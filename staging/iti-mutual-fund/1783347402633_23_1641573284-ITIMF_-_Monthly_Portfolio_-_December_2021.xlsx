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codeName="ThisWorkbook"/>
  <bookViews>
    <workbookView xWindow="0" yWindow="0" windowWidth="19200" windowHeight="7305"/>
  </bookViews>
  <sheets>
    <sheet name="Index" sheetId="1" r:id="rId1"/>
    <sheet name="ITIAF" sheetId="2" r:id="rId2"/>
    <sheet name="ITIBAF" sheetId="3" r:id="rId3"/>
    <sheet name="ITIBFS" sheetId="4" r:id="rId4"/>
    <sheet name="ITIBPSU" sheetId="5" r:id="rId5"/>
    <sheet name="ITIDYBF" sheetId="6" r:id="rId6"/>
    <sheet name="ITILCF" sheetId="7" r:id="rId7"/>
    <sheet name="ITILF" sheetId="8" r:id="rId8"/>
    <sheet name="ITILTE" sheetId="9" r:id="rId9"/>
    <sheet name="ITIMCF" sheetId="10" r:id="rId10"/>
    <sheet name="ITIMID" sheetId="11" r:id="rId11"/>
    <sheet name="ITIONF" sheetId="12" r:id="rId12"/>
    <sheet name="ITIPHF" sheetId="13" r:id="rId13"/>
    <sheet name="ITISCF" sheetId="14" r:id="rId14"/>
    <sheet name="ITIUSDF" sheetId="15" r:id="rId15"/>
    <sheet name="ITIVF" sheetId="16" r:id="rId16"/>
  </sheets>
  <definedNames>
    <definedName name="JR_PAGE_ANCHOR_0_1">Index!$A$1</definedName>
    <definedName name="JR_PAGE_ANCHOR_0_10">ITIMCF!$A$1</definedName>
    <definedName name="JR_PAGE_ANCHOR_0_11">ITIMID!$A$1</definedName>
    <definedName name="JR_PAGE_ANCHOR_0_12">ITIONF!$A$1</definedName>
    <definedName name="JR_PAGE_ANCHOR_0_13">ITIPHF!$A$1</definedName>
    <definedName name="JR_PAGE_ANCHOR_0_14">ITISCF!$A$1</definedName>
    <definedName name="JR_PAGE_ANCHOR_0_15">ITIUSDF!$A$1</definedName>
    <definedName name="JR_PAGE_ANCHOR_0_16">ITIVF!$A$1</definedName>
    <definedName name="JR_PAGE_ANCHOR_0_2">ITIAF!$A$1</definedName>
    <definedName name="JR_PAGE_ANCHOR_0_3">ITIBAF!$A$1</definedName>
    <definedName name="JR_PAGE_ANCHOR_0_4">ITIBFS!$A$1</definedName>
    <definedName name="JR_PAGE_ANCHOR_0_5">ITIBPSU!$A$1</definedName>
    <definedName name="JR_PAGE_ANCHOR_0_6">ITIDYBF!$A$1</definedName>
    <definedName name="JR_PAGE_ANCHOR_0_7">ITILCF!$A$1</definedName>
    <definedName name="JR_PAGE_ANCHOR_0_8">ITILF!$A$1</definedName>
    <definedName name="JR_PAGE_ANCHOR_0_9">ITILTE!$A$1</definedName>
  </definedNames>
  <calcPr calcId="145621"/>
</workbook>
</file>

<file path=xl/calcChain.xml><?xml version="1.0" encoding="utf-8"?>
<calcChain xmlns="http://schemas.openxmlformats.org/spreadsheetml/2006/main">
  <c r="G26" i="2" l="1"/>
  <c r="F26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93" i="2"/>
  <c r="C77" i="2"/>
  <c r="G95" i="2"/>
  <c r="F95" i="2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121" i="3"/>
  <c r="C95" i="3"/>
  <c r="G123" i="3"/>
  <c r="F123" i="3"/>
  <c r="G58" i="4"/>
  <c r="F58" i="4"/>
  <c r="G14" i="4"/>
  <c r="F14" i="4"/>
  <c r="C69" i="4"/>
  <c r="C68" i="4"/>
  <c r="C67" i="4"/>
  <c r="C66" i="4"/>
  <c r="C65" i="4"/>
  <c r="G71" i="4"/>
  <c r="F71" i="4"/>
  <c r="C87" i="7"/>
  <c r="G89" i="7"/>
  <c r="F89" i="7"/>
  <c r="G44" i="11"/>
  <c r="F44" i="11"/>
  <c r="C95" i="11"/>
  <c r="G97" i="11"/>
  <c r="F97" i="11"/>
</calcChain>
</file>

<file path=xl/sharedStrings.xml><?xml version="1.0" encoding="utf-8"?>
<sst xmlns="http://schemas.openxmlformats.org/spreadsheetml/2006/main" count="2925" uniqueCount="736">
  <si>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</si>
  <si>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</si>
  <si>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</si>
  <si>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</si>
  <si>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</si>
  <si>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</si>
  <si>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</si>
  <si>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</si>
  <si>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</si>
  <si>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</si>
  <si>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</si>
  <si>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ITIDYBF</t>
  </si>
  <si>
    <t>ITI Dynamic Bond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</si>
  <si>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</si>
  <si>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</si>
  <si>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</si>
  <si>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</si>
  <si>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</si>
  <si>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</si>
  <si>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</si>
  <si>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</si>
  <si>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</si>
  <si>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</si>
  <si>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</si>
  <si>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</si>
  <si>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</si>
  <si>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</si>
  <si>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</si>
  <si>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</si>
  <si>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</si>
  <si>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</si>
  <si>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</si>
  <si>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</si>
  <si>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</si>
  <si>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</si>
  <si>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December 31,2021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</si>
  <si>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</si>
  <si>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</si>
  <si>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</si>
  <si>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</si>
  <si>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</si>
  <si>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</si>
  <si>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</si>
  <si>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</si>
  <si>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</si>
  <si>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</si>
  <si>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MUND02</t>
  </si>
  <si>
    <t>Adani Ports and Special Economic Zone Limited</t>
  </si>
  <si>
    <t>INE742F01042</t>
  </si>
  <si>
    <t>Transportation</t>
  </si>
  <si>
    <t>BAFL02</t>
  </si>
  <si>
    <t>Bajaj Finance Limited</t>
  </si>
  <si>
    <t>INE296A01024</t>
  </si>
  <si>
    <t>Finance</t>
  </si>
  <si>
    <t>DIVI02</t>
  </si>
  <si>
    <t>Divi's Laboratories Limited</t>
  </si>
  <si>
    <t>INE361B01024</t>
  </si>
  <si>
    <t>Pharmaceuticals</t>
  </si>
  <si>
    <t>HINI02</t>
  </si>
  <si>
    <t>Hindalco Industries Limited</t>
  </si>
  <si>
    <t>INE038A01020</t>
  </si>
  <si>
    <t>Non - Ferrous Metals</t>
  </si>
  <si>
    <t>LICH02</t>
  </si>
  <si>
    <t>LIC Housing Finance Limited</t>
  </si>
  <si>
    <t>INE115A01026</t>
  </si>
  <si>
    <t>MARC02</t>
  </si>
  <si>
    <t>Marico Limited</t>
  </si>
  <si>
    <t>INE196A01026</t>
  </si>
  <si>
    <t>Consumer Non Durables</t>
  </si>
  <si>
    <t>HDLI01</t>
  </si>
  <si>
    <t>HDFC Life Insurance Company Limited</t>
  </si>
  <si>
    <t>INE795G01014</t>
  </si>
  <si>
    <t>Insurance</t>
  </si>
  <si>
    <t>SPIL03</t>
  </si>
  <si>
    <t>Sun Pharmaceutical Industries Limited</t>
  </si>
  <si>
    <t>INE044A01036</t>
  </si>
  <si>
    <t>ADAN02</t>
  </si>
  <si>
    <t>Adani Enterprises Limited</t>
  </si>
  <si>
    <t>INE423A01024</t>
  </si>
  <si>
    <t>Minerals/Mining</t>
  </si>
  <si>
    <t>LUPL02</t>
  </si>
  <si>
    <t>Lupin Limited</t>
  </si>
  <si>
    <t>INE326A01037</t>
  </si>
  <si>
    <t>SECH03</t>
  </si>
  <si>
    <t>UPL Limited</t>
  </si>
  <si>
    <t>INE628A01036</t>
  </si>
  <si>
    <t>Pesticides</t>
  </si>
  <si>
    <t>RIND01</t>
  </si>
  <si>
    <t>Reliance Industries Limited</t>
  </si>
  <si>
    <t>INE002A01018</t>
  </si>
  <si>
    <t>Petroleum Products</t>
  </si>
  <si>
    <t>MCEX01</t>
  </si>
  <si>
    <t>Multi Commodity Exchange of India Limited</t>
  </si>
  <si>
    <t>INE745G01035</t>
  </si>
  <si>
    <t>Capital Markets</t>
  </si>
  <si>
    <t>SBAI02</t>
  </si>
  <si>
    <t>State Bank of India</t>
  </si>
  <si>
    <t>INE062A01020</t>
  </si>
  <si>
    <t>Banks</t>
  </si>
  <si>
    <t>DLFL01</t>
  </si>
  <si>
    <t>DLF Limited</t>
  </si>
  <si>
    <t>INE271C01023</t>
  </si>
  <si>
    <t>Construction</t>
  </si>
  <si>
    <t>KOMA02</t>
  </si>
  <si>
    <t>Kotak Mahindra Bank Limited</t>
  </si>
  <si>
    <t>INE237A01028</t>
  </si>
  <si>
    <t>ITCL02</t>
  </si>
  <si>
    <t>ITC Limited</t>
  </si>
  <si>
    <t>INE154A01025</t>
  </si>
  <si>
    <t>ITCLJAN22</t>
  </si>
  <si>
    <t>KMBKJAN22</t>
  </si>
  <si>
    <t>DLFLJAN22</t>
  </si>
  <si>
    <t>SBAIJAN22</t>
  </si>
  <si>
    <t>MCEXJAN22</t>
  </si>
  <si>
    <t>RINDJAN22</t>
  </si>
  <si>
    <t>SECHJAN22</t>
  </si>
  <si>
    <t>LUPLJAN22</t>
  </si>
  <si>
    <t>ADANJAN22</t>
  </si>
  <si>
    <t>SPILJAN22</t>
  </si>
  <si>
    <t>HDLIJAN22</t>
  </si>
  <si>
    <t>MARCJAN22</t>
  </si>
  <si>
    <t>LICHJAN22</t>
  </si>
  <si>
    <t>HINIJAN22</t>
  </si>
  <si>
    <t>DIVIJAN22</t>
  </si>
  <si>
    <t>BAFLJAN22</t>
  </si>
  <si>
    <t>MUNDJAN22</t>
  </si>
  <si>
    <t>Sub Total</t>
  </si>
  <si>
    <t>(b) Unlisted</t>
  </si>
  <si>
    <t>NIL</t>
  </si>
  <si>
    <t>Total</t>
  </si>
  <si>
    <t>CBLO / Reverse Repo / TREPS</t>
  </si>
  <si>
    <t>TRP_030122</t>
  </si>
  <si>
    <t>TREPS 03-Jan-2022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</si>
  <si>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</si>
  <si>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</si>
  <si>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</si>
  <si>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</si>
  <si>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</si>
  <si>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</si>
  <si>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</si>
  <si>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</si>
  <si>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</si>
  <si>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</si>
  <si>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</si>
  <si>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</si>
  <si>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</si>
  <si>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</si>
  <si>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</si>
  <si>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</si>
  <si>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</si>
  <si>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</si>
  <si>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</si>
  <si>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</si>
  <si>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</si>
  <si>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</si>
  <si>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</si>
  <si>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</si>
  <si>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</si>
  <si>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UTIB02</t>
  </si>
  <si>
    <t>Axis Bank Limited</t>
  </si>
  <si>
    <t>INE238A01034</t>
  </si>
  <si>
    <t>TCSL01</t>
  </si>
  <si>
    <t>Tata Consultancy Services Limited</t>
  </si>
  <si>
    <t>INE467B01029</t>
  </si>
  <si>
    <t>Software</t>
  </si>
  <si>
    <t>HLEL02</t>
  </si>
  <si>
    <t>Hindustan Unilever Limited</t>
  </si>
  <si>
    <t>INE030A01027</t>
  </si>
  <si>
    <t>HDFB03</t>
  </si>
  <si>
    <t>HDFC Bank Limited</t>
  </si>
  <si>
    <t>INE040A01034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</si>
  <si>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</si>
  <si>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</si>
  <si>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</si>
  <si>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</si>
  <si>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</si>
  <si>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</si>
  <si>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IIBL01</t>
  </si>
  <si>
    <t>IndusInd Bank Limited</t>
  </si>
  <si>
    <t>INE095A01012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</si>
  <si>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</si>
  <si>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</si>
  <si>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</si>
  <si>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</si>
  <si>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</si>
  <si>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</si>
  <si>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</si>
  <si>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CANB01</t>
  </si>
  <si>
    <t>Canara Bank</t>
  </si>
  <si>
    <t>INE476A01014</t>
  </si>
  <si>
    <t>GUAM02</t>
  </si>
  <si>
    <t>Ambuja Cements Limited</t>
  </si>
  <si>
    <t>INE079A01024</t>
  </si>
  <si>
    <t>Cement &amp; Cement Products</t>
  </si>
  <si>
    <t>TELC03</t>
  </si>
  <si>
    <t>Tata Motors Limited</t>
  </si>
  <si>
    <t>INE155A01022</t>
  </si>
  <si>
    <t>Auto</t>
  </si>
  <si>
    <t>BFSL01</t>
  </si>
  <si>
    <t>Bajaj Finserv Limited</t>
  </si>
  <si>
    <t>INE918I01018</t>
  </si>
  <si>
    <t>WIPR02</t>
  </si>
  <si>
    <t>Wipro Limited</t>
  </si>
  <si>
    <t>INE075A01022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</si>
  <si>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</si>
  <si>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</si>
  <si>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</si>
  <si>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</si>
  <si>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</si>
  <si>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</si>
  <si>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</si>
  <si>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 Project</t>
  </si>
  <si>
    <t>NEST01</t>
  </si>
  <si>
    <t>Nestle India Limited</t>
  </si>
  <si>
    <t>INE239A01016</t>
  </si>
  <si>
    <t>EIML02</t>
  </si>
  <si>
    <t>Eicher Motors Limited</t>
  </si>
  <si>
    <t>INE066A01021</t>
  </si>
  <si>
    <t>HCLT02</t>
  </si>
  <si>
    <t>HCL Technologies Limited</t>
  </si>
  <si>
    <t>INE860A01027</t>
  </si>
  <si>
    <t>JVSL04</t>
  </si>
  <si>
    <t>JSW Steel Limited</t>
  </si>
  <si>
    <t>INE019A01038</t>
  </si>
  <si>
    <t>Ferrous Metals</t>
  </si>
  <si>
    <t>IOIC01</t>
  </si>
  <si>
    <t>Indian Oil Corporation Limited</t>
  </si>
  <si>
    <t>INE242A01010</t>
  </si>
  <si>
    <t>MAUD01</t>
  </si>
  <si>
    <t>Maruti Suzuki India Limited</t>
  </si>
  <si>
    <t>INE585B01010</t>
  </si>
  <si>
    <t>SLIF01</t>
  </si>
  <si>
    <t>SBI Life Insurance Company Limited</t>
  </si>
  <si>
    <t>INE123W01016</t>
  </si>
  <si>
    <t>BRIT03</t>
  </si>
  <si>
    <t>Britannia Industries Limited</t>
  </si>
  <si>
    <t>INE216A01030</t>
  </si>
  <si>
    <t>TISC01</t>
  </si>
  <si>
    <t>Tata Steel Limited</t>
  </si>
  <si>
    <t>INE081A01012</t>
  </si>
  <si>
    <t>GRAS02</t>
  </si>
  <si>
    <t>Grasim Industries Limited</t>
  </si>
  <si>
    <t>INE047A01021</t>
  </si>
  <si>
    <t>DRRL02</t>
  </si>
  <si>
    <t>Dr. Reddy's Laboratories Limited</t>
  </si>
  <si>
    <t>INE089A01023</t>
  </si>
  <si>
    <t>DRRLJAN22</t>
  </si>
  <si>
    <t>GRASJAN22</t>
  </si>
  <si>
    <t>INFSJAN22</t>
  </si>
  <si>
    <t>TISCJAN22</t>
  </si>
  <si>
    <t>BRITJAN22</t>
  </si>
  <si>
    <t>SLIFJAN22</t>
  </si>
  <si>
    <t>MAUDJAN22</t>
  </si>
  <si>
    <t>IOICJAN22</t>
  </si>
  <si>
    <t>JVSLJAN22</t>
  </si>
  <si>
    <t>WIPRJAN22</t>
  </si>
  <si>
    <t>EIMLJAN22</t>
  </si>
  <si>
    <t>TCSLJAN22</t>
  </si>
  <si>
    <t>LARSJAN22</t>
  </si>
  <si>
    <t>BFSLJAN22</t>
  </si>
  <si>
    <t>TELCJAN22</t>
  </si>
  <si>
    <t>GUAMJAN22</t>
  </si>
  <si>
    <t>CANBJAN22</t>
  </si>
  <si>
    <t>BTVLJAN22</t>
  </si>
  <si>
    <t>HDFCJAN22</t>
  </si>
  <si>
    <t>IIBLJAN22</t>
  </si>
  <si>
    <t>IBCLJAN22</t>
  </si>
  <si>
    <t>HDFBJAN22</t>
  </si>
  <si>
    <t>UTIBJAN22</t>
  </si>
  <si>
    <t>(a) Listed / awaiting listing on Stock Exchange</t>
  </si>
  <si>
    <t>NBAR574</t>
  </si>
  <si>
    <t>6.50% National Bank For Agriculture and Rural Development (17/04/2023)</t>
  </si>
  <si>
    <t>INE261F08CD4</t>
  </si>
  <si>
    <t>ICRA AAA</t>
  </si>
  <si>
    <t>N**</t>
  </si>
  <si>
    <t>NHBA306</t>
  </si>
  <si>
    <t>5.32% National Housing Bank (01/09/2023)</t>
  </si>
  <si>
    <t>INE557F08FK3</t>
  </si>
  <si>
    <t>CRISIL AAA</t>
  </si>
  <si>
    <t>(b) Privately placed / Unlisted</t>
  </si>
  <si>
    <t>Securitised Debt Instruments</t>
  </si>
  <si>
    <t>Central Government Securities</t>
  </si>
  <si>
    <t>State Government Securities</t>
  </si>
  <si>
    <t>Certificate of Deposit</t>
  </si>
  <si>
    <t>HDFB792</t>
  </si>
  <si>
    <t>HDFC Bank Limited (21/03/2022)</t>
  </si>
  <si>
    <t>INE040A16CK1</t>
  </si>
  <si>
    <t>CARE A1+</t>
  </si>
  <si>
    <t>Commercial Paper</t>
  </si>
  <si>
    <t>Treasury Bills</t>
  </si>
  <si>
    <t>Bills Re-Discounting</t>
  </si>
  <si>
    <t>MAXI02</t>
  </si>
  <si>
    <t>Max Financial Services Limited</t>
  </si>
  <si>
    <t>INE180A01020</t>
  </si>
  <si>
    <t>MAXIJAN22</t>
  </si>
  <si>
    <t>Rating</t>
  </si>
  <si>
    <t>POWF468</t>
  </si>
  <si>
    <t>5.47% Power Finance Corporation Limited (19/08/2023)</t>
  </si>
  <si>
    <t>INE134E08LB1</t>
  </si>
  <si>
    <t>SIDB437</t>
  </si>
  <si>
    <t>4.9% Small Industries Dev Bank of India (18/08/2023)</t>
  </si>
  <si>
    <t>INE556F08JQ4</t>
  </si>
  <si>
    <t>MREL194</t>
  </si>
  <si>
    <t>5.44% Chennai Petroleum Corporation Limited (24/06/2024)</t>
  </si>
  <si>
    <t>INE178A08037</t>
  </si>
  <si>
    <t>GOI2179</t>
  </si>
  <si>
    <t>7.26% Government of India (14/01/2029)</t>
  </si>
  <si>
    <t>IN0020180454</t>
  </si>
  <si>
    <t>Sovereign</t>
  </si>
  <si>
    <t>a) Listed/awaiting listing on Stock Exchanges</t>
  </si>
  <si>
    <t>b) Unlisted</t>
  </si>
  <si>
    <t>c) Foreign Securities and /or overseas ETF</t>
  </si>
  <si>
    <t>GOI1973</t>
  </si>
  <si>
    <t>7.17% Government of India (08/01/2028)</t>
  </si>
  <si>
    <t>IN0020170174</t>
  </si>
  <si>
    <t>NIFYJAN22</t>
  </si>
  <si>
    <t>Index</t>
  </si>
  <si>
    <t>COAL01</t>
  </si>
  <si>
    <t>Coal India Limited</t>
  </si>
  <si>
    <t>INE522F01014</t>
  </si>
  <si>
    <t>BPCL01</t>
  </si>
  <si>
    <t>Bharat Petroleum Corporation Limited</t>
  </si>
  <si>
    <t>INE029A01011</t>
  </si>
  <si>
    <t>NTPC01</t>
  </si>
  <si>
    <t>NTPC Limited</t>
  </si>
  <si>
    <t>INE733E01010</t>
  </si>
  <si>
    <t>Power</t>
  </si>
  <si>
    <t>GCPL02</t>
  </si>
  <si>
    <t>Godrej Consumer Products Limited</t>
  </si>
  <si>
    <t>INE102D01028</t>
  </si>
  <si>
    <t>MOTI02</t>
  </si>
  <si>
    <t>Bosch Limited</t>
  </si>
  <si>
    <t>INE323A01026</t>
  </si>
  <si>
    <t>Auto Ancillaries</t>
  </si>
  <si>
    <t>BTVL03</t>
  </si>
  <si>
    <t>IN9397D01014</t>
  </si>
  <si>
    <t>LICH584</t>
  </si>
  <si>
    <t>LIC Housing Finance Limited (14/02/2022)</t>
  </si>
  <si>
    <t>INE115A14DA5</t>
  </si>
  <si>
    <t>CRISIL A1+</t>
  </si>
  <si>
    <t>Certificate of Deposits</t>
  </si>
  <si>
    <t>ALPM01</t>
  </si>
  <si>
    <t>Alembic Pharmaceuticals Limited</t>
  </si>
  <si>
    <t>INE901L01018</t>
  </si>
  <si>
    <t>NAPH02</t>
  </si>
  <si>
    <t>Natco Pharma Limited</t>
  </si>
  <si>
    <t>INE987B01026</t>
  </si>
  <si>
    <t>AMRA03</t>
  </si>
  <si>
    <t>Amara Raja Batteries Limited</t>
  </si>
  <si>
    <t>INE885A01032</t>
  </si>
  <si>
    <t>CUBI02</t>
  </si>
  <si>
    <t>City Union Bank Limited</t>
  </si>
  <si>
    <t>INE491A01021</t>
  </si>
  <si>
    <t>VGIL02</t>
  </si>
  <si>
    <t>V-Guard Industries Limited</t>
  </si>
  <si>
    <t>INE951I01027</t>
  </si>
  <si>
    <t>EQMF01</t>
  </si>
  <si>
    <t>Equitas Holdings Limited</t>
  </si>
  <si>
    <t>INE988K01017</t>
  </si>
  <si>
    <t>DCBL01</t>
  </si>
  <si>
    <t>DCB Bank Limited</t>
  </si>
  <si>
    <t>INE503A01015</t>
  </si>
  <si>
    <t>BAJA01</t>
  </si>
  <si>
    <t>Bajaj Holdings &amp; Investment Limited</t>
  </si>
  <si>
    <t>INE118A01012</t>
  </si>
  <si>
    <t>SAEL02</t>
  </si>
  <si>
    <t>TVS Motor Company Limited</t>
  </si>
  <si>
    <t>INE494B01023</t>
  </si>
  <si>
    <t>HDAM01</t>
  </si>
  <si>
    <t>HDFC Asset Management Company Limited</t>
  </si>
  <si>
    <t>INE127D01025</t>
  </si>
  <si>
    <t>ASEA02</t>
  </si>
  <si>
    <t>ABB India Limited</t>
  </si>
  <si>
    <t>INE117A01022</t>
  </si>
  <si>
    <t>Industrial Capital Goods</t>
  </si>
  <si>
    <t>HPEC01</t>
  </si>
  <si>
    <t>Hindustan Petroleum Corporation Limited</t>
  </si>
  <si>
    <t>INE094A01015</t>
  </si>
  <si>
    <t>SIEM02</t>
  </si>
  <si>
    <t>Siemens Limited</t>
  </si>
  <si>
    <t>INE003A01024</t>
  </si>
  <si>
    <t>HHLS01</t>
  </si>
  <si>
    <t>Johnson Controls - Hitachi Air Conditioning India Limited</t>
  </si>
  <si>
    <t>INE782A01015</t>
  </si>
  <si>
    <t>MUFL01</t>
  </si>
  <si>
    <t>Muthoot Finance Limited</t>
  </si>
  <si>
    <t>INE414G01012</t>
  </si>
  <si>
    <t>WOHO01</t>
  </si>
  <si>
    <t>Wonderla Holidays Limited</t>
  </si>
  <si>
    <t>INE066O01014</t>
  </si>
  <si>
    <t>Leisure Services</t>
  </si>
  <si>
    <t>CDSL01</t>
  </si>
  <si>
    <t>Central Depository Services (India) Limited</t>
  </si>
  <si>
    <t>INE736A01011</t>
  </si>
  <si>
    <t>BLDA01</t>
  </si>
  <si>
    <t>Blue Dart Express Limited</t>
  </si>
  <si>
    <t>INE233B01017</t>
  </si>
  <si>
    <t>KAVS02</t>
  </si>
  <si>
    <t>Kaveri Seed Company Limited</t>
  </si>
  <si>
    <t>INE455I01029</t>
  </si>
  <si>
    <t>NAVP02</t>
  </si>
  <si>
    <t>Navneet Education Limited</t>
  </si>
  <si>
    <t>INE060A01024</t>
  </si>
  <si>
    <t>Printing &amp; Publication</t>
  </si>
  <si>
    <t>KCUL02</t>
  </si>
  <si>
    <t>Cummins India Limited</t>
  </si>
  <si>
    <t>INE298A01020</t>
  </si>
  <si>
    <t>Industrial Products</t>
  </si>
  <si>
    <t>NESC02</t>
  </si>
  <si>
    <t>Nesco Limited</t>
  </si>
  <si>
    <t>INE317F01035</t>
  </si>
  <si>
    <t>Commercial Services</t>
  </si>
  <si>
    <t>GOSL03</t>
  </si>
  <si>
    <t>Godrej Industries Limited</t>
  </si>
  <si>
    <t>INE233A01035</t>
  </si>
  <si>
    <t>THER02</t>
  </si>
  <si>
    <t>Thermax Limited</t>
  </si>
  <si>
    <t>INE152A01029</t>
  </si>
  <si>
    <t>ALEM02</t>
  </si>
  <si>
    <t>Alembic Limited</t>
  </si>
  <si>
    <t>INE426A01027</t>
  </si>
  <si>
    <t>SKFB02</t>
  </si>
  <si>
    <t>SKF India Limited</t>
  </si>
  <si>
    <t>INE640A01023</t>
  </si>
  <si>
    <t>KPNE02</t>
  </si>
  <si>
    <t>Kirloskar Pneumatic Company Limited</t>
  </si>
  <si>
    <t>INE811A01020</t>
  </si>
  <si>
    <t>ENGI02</t>
  </si>
  <si>
    <t>Engineers India Limited</t>
  </si>
  <si>
    <t>INE510A01028</t>
  </si>
  <si>
    <t>GRIN02</t>
  </si>
  <si>
    <t>Grindwell Norton Limited</t>
  </si>
  <si>
    <t>INE536A01023</t>
  </si>
  <si>
    <t>CPIL02</t>
  </si>
  <si>
    <t>CCL Products (India) Limited</t>
  </si>
  <si>
    <t>INE421D01022</t>
  </si>
  <si>
    <t>RALL02</t>
  </si>
  <si>
    <t>Rallis India Limited</t>
  </si>
  <si>
    <t>INE613A01020</t>
  </si>
  <si>
    <t>MTTP01</t>
  </si>
  <si>
    <t>Mold-Tek Packaging Limited</t>
  </si>
  <si>
    <t>INE893J01029</t>
  </si>
  <si>
    <t>ESAB01</t>
  </si>
  <si>
    <t>Esab India Limited</t>
  </si>
  <si>
    <t>INE284A01012</t>
  </si>
  <si>
    <t>SOKO03</t>
  </si>
  <si>
    <t>Jtekt India Limited</t>
  </si>
  <si>
    <t>INE643A01035</t>
  </si>
  <si>
    <t>GAPA02</t>
  </si>
  <si>
    <t>Apar Industries Limited</t>
  </si>
  <si>
    <t>INE372A01015</t>
  </si>
  <si>
    <t>TIIN01</t>
  </si>
  <si>
    <t>Timken India Limited</t>
  </si>
  <si>
    <t>INE325A01013</t>
  </si>
  <si>
    <t>VSTT01</t>
  </si>
  <si>
    <t>V.S.T Tillers Tractors Limited</t>
  </si>
  <si>
    <t>INE764D01017</t>
  </si>
  <si>
    <t>SUEN02</t>
  </si>
  <si>
    <t>Suprajit Engineering Limited</t>
  </si>
  <si>
    <t>INE399C01030</t>
  </si>
  <si>
    <t>MRFL01</t>
  </si>
  <si>
    <t>MRF Limited</t>
  </si>
  <si>
    <t>INE883A01011</t>
  </si>
  <si>
    <t>BAYE02</t>
  </si>
  <si>
    <t>Bayer Cropscience Limited</t>
  </si>
  <si>
    <t>INE462A01022</t>
  </si>
  <si>
    <t>HOCH01</t>
  </si>
  <si>
    <t>Sanofi India Limited</t>
  </si>
  <si>
    <t>INE058A01010</t>
  </si>
  <si>
    <t>KELV01</t>
  </si>
  <si>
    <t>Whirlpool of India Limited</t>
  </si>
  <si>
    <t>INE716A01013</t>
  </si>
  <si>
    <t>GOOD02</t>
  </si>
  <si>
    <t>Kansai Nerolac Paints Limited</t>
  </si>
  <si>
    <t>INE531A01024</t>
  </si>
  <si>
    <t>FEBA02</t>
  </si>
  <si>
    <t>The Federal Bank  Limited</t>
  </si>
  <si>
    <t>INE171A01029</t>
  </si>
  <si>
    <t>SUVP01</t>
  </si>
  <si>
    <t>Suven Pharmaceuticals Limited</t>
  </si>
  <si>
    <t>INE03QK01018</t>
  </si>
  <si>
    <t>FAGP01</t>
  </si>
  <si>
    <t>Schaeffler India Limited</t>
  </si>
  <si>
    <t>INE513A01014</t>
  </si>
  <si>
    <t>BKBA02</t>
  </si>
  <si>
    <t>Bank of Baroda</t>
  </si>
  <si>
    <t>INE028A01039</t>
  </si>
  <si>
    <t>MAGL01</t>
  </si>
  <si>
    <t>Mahanagar Gas Limited</t>
  </si>
  <si>
    <t>INE002S01010</t>
  </si>
  <si>
    <t>Gas</t>
  </si>
  <si>
    <t>BHEL02</t>
  </si>
  <si>
    <t>Bharat Electronics Limited</t>
  </si>
  <si>
    <t>INE263A01024</t>
  </si>
  <si>
    <t>Aerospace &amp; Defense</t>
  </si>
  <si>
    <t>SUNT02</t>
  </si>
  <si>
    <t>Sun TV Network Limited</t>
  </si>
  <si>
    <t>INE424H01027</t>
  </si>
  <si>
    <t>Entertainment</t>
  </si>
  <si>
    <t>GRAM01</t>
  </si>
  <si>
    <t>CreditAccess Grameen Limited</t>
  </si>
  <si>
    <t>INE741K01010</t>
  </si>
  <si>
    <t>SUMI01</t>
  </si>
  <si>
    <t>Sumitomo Chemical India Limited</t>
  </si>
  <si>
    <t>INE258G01013</t>
  </si>
  <si>
    <t>ICII01</t>
  </si>
  <si>
    <t>Akzo Nobel India Limited</t>
  </si>
  <si>
    <t>INE133A01011</t>
  </si>
  <si>
    <t>ACCL02</t>
  </si>
  <si>
    <t>ACC Limited</t>
  </si>
  <si>
    <t>INE012A01025</t>
  </si>
  <si>
    <t>CNAF01</t>
  </si>
  <si>
    <t>Zydus Wellness Limited</t>
  </si>
  <si>
    <t>INE768C01010</t>
  </si>
  <si>
    <t>MCEL03</t>
  </si>
  <si>
    <t>The Ramco Cements Limited</t>
  </si>
  <si>
    <t>INE331A01037</t>
  </si>
  <si>
    <t>VSNL01</t>
  </si>
  <si>
    <t>Tata Communications Limited</t>
  </si>
  <si>
    <t>INE151A01013</t>
  </si>
  <si>
    <t>ASHL02</t>
  </si>
  <si>
    <t>Ashok Leyland Limited</t>
  </si>
  <si>
    <t>INE208A01029</t>
  </si>
  <si>
    <t>AUHF01</t>
  </si>
  <si>
    <t>Aavas Financiers Limited</t>
  </si>
  <si>
    <t>INE216P01012</t>
  </si>
  <si>
    <t>BHFO02</t>
  </si>
  <si>
    <t>Bharat Forge Limited</t>
  </si>
  <si>
    <t>INE465A01025</t>
  </si>
  <si>
    <t>ESCO01</t>
  </si>
  <si>
    <t>Escorts Limited</t>
  </si>
  <si>
    <t>INE042A01014</t>
  </si>
  <si>
    <t>TOPH02</t>
  </si>
  <si>
    <t>Torrent Pharmaceuticals Limited</t>
  </si>
  <si>
    <t>INE685A01028</t>
  </si>
  <si>
    <t>GLAX01</t>
  </si>
  <si>
    <t>GlaxoSmithKline Pharmaceuticals Limited</t>
  </si>
  <si>
    <t>INE159A01016</t>
  </si>
  <si>
    <t>CIPL03</t>
  </si>
  <si>
    <t>Cipla Limited</t>
  </si>
  <si>
    <t>INE059A01026</t>
  </si>
  <si>
    <t>AJPH03</t>
  </si>
  <si>
    <t>Ajanta Pharma Limited</t>
  </si>
  <si>
    <t>INE031B01049</t>
  </si>
  <si>
    <t>ILOM01</t>
  </si>
  <si>
    <t>ICICI Lombard General Insurance Company Limited</t>
  </si>
  <si>
    <t>INE765G01017</t>
  </si>
  <si>
    <t>ADHL01</t>
  </si>
  <si>
    <t>Aster DM Healthcare Limited</t>
  </si>
  <si>
    <t>INE914M01019</t>
  </si>
  <si>
    <t>Healthcare Services</t>
  </si>
  <si>
    <t>JBCH02</t>
  </si>
  <si>
    <t>JB Chemicals &amp; Pharmaceuticals Limited</t>
  </si>
  <si>
    <t>INE572A01028</t>
  </si>
  <si>
    <t>SYNI01</t>
  </si>
  <si>
    <t>Syngene International Limited</t>
  </si>
  <si>
    <t>INE398R01022</t>
  </si>
  <si>
    <t>ALKE01</t>
  </si>
  <si>
    <t>Alkem Laboratories Limited</t>
  </si>
  <si>
    <t>INE540L01014</t>
  </si>
  <si>
    <t>FDCL01</t>
  </si>
  <si>
    <t>FDC Limited</t>
  </si>
  <si>
    <t>INE258B01022</t>
  </si>
  <si>
    <t>IPCA02</t>
  </si>
  <si>
    <t>IPCA Laboratories Limited</t>
  </si>
  <si>
    <t>INE571A01020</t>
  </si>
  <si>
    <t>INRL02</t>
  </si>
  <si>
    <t>Indoco Remedies Limited</t>
  </si>
  <si>
    <t>INE873D01024</t>
  </si>
  <si>
    <t>MAHE01</t>
  </si>
  <si>
    <t>Max Healthcare Institute Limited</t>
  </si>
  <si>
    <t>INE027H01010</t>
  </si>
  <si>
    <t>HEPH01</t>
  </si>
  <si>
    <t>Hester Biosciences Limited</t>
  </si>
  <si>
    <t>INE782E01017</t>
  </si>
  <si>
    <t>Mutual Fund Units</t>
  </si>
  <si>
    <t>149029</t>
  </si>
  <si>
    <t>ITI Dynamic Bond Fund -Direct Plan -Growth Option</t>
  </si>
  <si>
    <t>INF00XX01BC4</t>
  </si>
  <si>
    <t>Exchange Traded Funds</t>
  </si>
  <si>
    <t>Gold</t>
  </si>
  <si>
    <t>Short Term Deposits</t>
  </si>
  <si>
    <t>Term Deposits Placed as Margins</t>
  </si>
  <si>
    <t>ASHK02</t>
  </si>
  <si>
    <t>Ashoka Buildcon Limited</t>
  </si>
  <si>
    <t>INE442H01029</t>
  </si>
  <si>
    <t>GRSE01</t>
  </si>
  <si>
    <t>Garden Reach Shipbuilders &amp; Engineers Limited</t>
  </si>
  <si>
    <t>INE382Z01011</t>
  </si>
  <si>
    <t>BIRJ01</t>
  </si>
  <si>
    <t>Birla Corporation Limited</t>
  </si>
  <si>
    <t>INE340A01012</t>
  </si>
  <si>
    <t>MAUL02</t>
  </si>
  <si>
    <t>Mayur Uniquoters Limited</t>
  </si>
  <si>
    <t>INE040D01038</t>
  </si>
  <si>
    <t>CANH02</t>
  </si>
  <si>
    <t>Can Fin Homes Limited</t>
  </si>
  <si>
    <t>INE477A01020</t>
  </si>
  <si>
    <t>MFSL01</t>
  </si>
  <si>
    <t>Mas Financial Services Limited</t>
  </si>
  <si>
    <t>INE348L01012</t>
  </si>
  <si>
    <t>KPRM03</t>
  </si>
  <si>
    <t>K.P.R. Mill Limited</t>
  </si>
  <si>
    <t>INE930H01031</t>
  </si>
  <si>
    <t>Textile Products</t>
  </si>
  <si>
    <t>IDFC01</t>
  </si>
  <si>
    <t>IDFC Limited</t>
  </si>
  <si>
    <t>INE043D01016</t>
  </si>
  <si>
    <t>SODL01</t>
  </si>
  <si>
    <t>Sobha Limited</t>
  </si>
  <si>
    <t>INE671H01015</t>
  </si>
  <si>
    <t>CHLO02</t>
  </si>
  <si>
    <t>Exide Industries Limited</t>
  </si>
  <si>
    <t>INE302A01020</t>
  </si>
  <si>
    <t>TTPL02</t>
  </si>
  <si>
    <t>TTK Prestige Limited</t>
  </si>
  <si>
    <t>INE690A01028</t>
  </si>
  <si>
    <t>MARE01</t>
  </si>
  <si>
    <t>Mangalore Refinery and Petrochemicals Limited</t>
  </si>
  <si>
    <t>INE103A01014</t>
  </si>
  <si>
    <t>JDPL01</t>
  </si>
  <si>
    <t>Just Dial Limited</t>
  </si>
  <si>
    <t>INE599M01018</t>
  </si>
  <si>
    <t>Retailing</t>
  </si>
  <si>
    <t>KEII02</t>
  </si>
  <si>
    <t>KEI Industries Limited</t>
  </si>
  <si>
    <t>INE878B01027</t>
  </si>
  <si>
    <t>BAJT01</t>
  </si>
  <si>
    <t>Force Motors Limited</t>
  </si>
  <si>
    <t>INE451A01017</t>
  </si>
  <si>
    <t>BAAB01</t>
  </si>
  <si>
    <t>INEOS Styrolution India Limited</t>
  </si>
  <si>
    <t>INE189B01011</t>
  </si>
  <si>
    <t>Chemicals</t>
  </si>
  <si>
    <t>IREL01</t>
  </si>
  <si>
    <t>Indiabulls Real Estate Limited</t>
  </si>
  <si>
    <t>INE069I01010</t>
  </si>
  <si>
    <t>HACO01</t>
  </si>
  <si>
    <t>Hawkins Cookers Limited</t>
  </si>
  <si>
    <t>INE979B01015</t>
  </si>
  <si>
    <t>AVAF03</t>
  </si>
  <si>
    <t>Avanti Feeds Limited</t>
  </si>
  <si>
    <t>INE871C01038</t>
  </si>
  <si>
    <t>VSTI01</t>
  </si>
  <si>
    <t>VST Industries Limited</t>
  </si>
  <si>
    <t>INE710A01016</t>
  </si>
  <si>
    <t>TRTL01</t>
  </si>
  <si>
    <t>Triveni Turbine Limited</t>
  </si>
  <si>
    <t>INE152M01016</t>
  </si>
  <si>
    <t>LARS348</t>
  </si>
  <si>
    <t>7.87% Larsen &amp; Toubro Limited (18/04/2022)</t>
  </si>
  <si>
    <t>INE018A08AR3</t>
  </si>
  <si>
    <t>BAFL751</t>
  </si>
  <si>
    <t>Bajaj Finance Limited (16/02/2022)</t>
  </si>
  <si>
    <t>INE296A14RI6</t>
  </si>
  <si>
    <t>DABU02</t>
  </si>
  <si>
    <t>Dabur India Limited</t>
  </si>
  <si>
    <t>INE016A01026</t>
  </si>
  <si>
    <t>PLNG01</t>
  </si>
  <si>
    <t>Petronet LNG Limited</t>
  </si>
  <si>
    <t>INE347G01014</t>
  </si>
  <si>
    <t>DERIVATIVES</t>
  </si>
  <si>
    <t>Long / Short</t>
  </si>
  <si>
    <t>Industry ^</t>
  </si>
  <si>
    <t>Market value 
(Rs. in Lakhs)</t>
  </si>
  <si>
    <t>Stock Futures</t>
  </si>
  <si>
    <t>Derivatives Total</t>
  </si>
  <si>
    <t>Nifty 50 Index  27-Jan-2022</t>
  </si>
  <si>
    <t>Max Financial Services Limited  27-Jan-2022</t>
  </si>
  <si>
    <t>SBI Life Insurance Company Limited  27-Jan-2022</t>
  </si>
  <si>
    <t>State Bank of India  27-Jan-2022</t>
  </si>
  <si>
    <t>HDFC Bank Limited  27-Jan-2022</t>
  </si>
  <si>
    <t>ICICI Bank Limited  27-Jan-2022</t>
  </si>
  <si>
    <t>Dr. Reddy's Laboratories Limited 27-Jan-2022</t>
  </si>
  <si>
    <t>Grasim Industries Limited 27-Jan-2022</t>
  </si>
  <si>
    <t>Infosys Limited 27-Jan-2022</t>
  </si>
  <si>
    <t>Tata Steel Limited 27-Jan-2022</t>
  </si>
  <si>
    <t>Britannia Industries Limited 27-Jan-2022</t>
  </si>
  <si>
    <t>SBI Life Insurance Company Limited 27-Jan-2022</t>
  </si>
  <si>
    <t>Maruti Suzuki India Limited 27-Jan-2022</t>
  </si>
  <si>
    <t>Indian Oil Corporation Limited 27-Jan-2022</t>
  </si>
  <si>
    <t>JSW Steel Limited 27-Jan-2022</t>
  </si>
  <si>
    <t>Wipro Limited 27-Jan-2022</t>
  </si>
  <si>
    <t>Eicher Motors Limited 27-Jan-2022</t>
  </si>
  <si>
    <t>Tata Consultancy Services Limited 27-Jan-2022</t>
  </si>
  <si>
    <t>Larsen &amp; Toubro Limited 27-Jan-2022</t>
  </si>
  <si>
    <t>Bajaj Finserv Limited 27-Jan-2022</t>
  </si>
  <si>
    <t>Tata Motors Limited 27-Jan-2022</t>
  </si>
  <si>
    <t>Ambuja Cements Limited 27-Jan-2022</t>
  </si>
  <si>
    <t>Canara Bank 27-Jan-2022</t>
  </si>
  <si>
    <t>Bharti Airtel Limited 27-Jan-2022</t>
  </si>
  <si>
    <t>Bajaj Finance Limited 27-Jan-2022</t>
  </si>
  <si>
    <t>Hindalco Industries Limited 27-Jan-2022</t>
  </si>
  <si>
    <t>State Bank of India 27-Jan-2022</t>
  </si>
  <si>
    <t>Housing Development Finance Corporation Limited 27-Jan-2022</t>
  </si>
  <si>
    <t>IndusInd Bank Limited 27-Jan-2022</t>
  </si>
  <si>
    <t>ICICI Bank Limited 27-Jan-2022</t>
  </si>
  <si>
    <t>HDFC Bank Limited 27-Jan-2022</t>
  </si>
  <si>
    <t>Reliance Industries Limited 27-Jan-2022</t>
  </si>
  <si>
    <t>Axis Bank Limited 27-Jan-2022</t>
  </si>
  <si>
    <t>ITC Limited 27-Jan-2022</t>
  </si>
  <si>
    <t>Kotak Mahindra Bank Limited 27-Jan-2022</t>
  </si>
  <si>
    <t>DLF Limited 27-Jan-2022</t>
  </si>
  <si>
    <t>Multi Commodity Exchange of India Limited 27-Jan-2022</t>
  </si>
  <si>
    <t>UPL Limited 27-Jan-2022</t>
  </si>
  <si>
    <t>Lupin Limited 27-Jan-2022</t>
  </si>
  <si>
    <t>Adani Enterprises Limited 27-Jan-2022</t>
  </si>
  <si>
    <t>Sun Pharmaceutical Industries Limited 27-Jan-2022</t>
  </si>
  <si>
    <t>HDFC Life Insurance Company Limited 27-Jan-2022</t>
  </si>
  <si>
    <t>Marico Limited 27-Jan-2022</t>
  </si>
  <si>
    <t>LIC Housing Finance Limited 27-Jan-2022</t>
  </si>
  <si>
    <t>Divi's Laboratories Limited 27-Jan-2022</t>
  </si>
  <si>
    <t>Adani Ports and Special Economic Zone Limited 27-Jan-2022</t>
  </si>
  <si>
    <t>Bharti Airtel Limited - Partly Paid Up Shares</t>
  </si>
  <si>
    <t>5. Aggregate Investments by other schemes as on December 31, 2021 Rs. 1401.22 Lakhs</t>
  </si>
  <si>
    <t>Product labelling of scheme</t>
  </si>
  <si>
    <t xml:space="preserve">In line with SEBI Circular dated August 31, 2021, the name of the scheme's benchmark index and its riskometer is also provided below for information </t>
  </si>
  <si>
    <t>Risko-meter Benchmark name - NIFTY 50 Arbitrage Index</t>
  </si>
  <si>
    <t>Risko-meter Benchmark name - Nifty 50 Hybrid Composite Debt 50:50 Index</t>
  </si>
  <si>
    <t>Risko-meter Benchmark name - Nifty Financial Services TRI</t>
  </si>
  <si>
    <t>In line with SEBI circular dated June 7, 2021, PotentialRisk Class (PRC) matrix for the scheme is provided below for information</t>
  </si>
  <si>
    <t>Risko-meter Benchmark name - Crisil Banking &amp; PSU Debt Index</t>
  </si>
  <si>
    <t>*  New benchmark w.e.f December 01, 2021</t>
  </si>
  <si>
    <t>Risko-meter Benchmark name - *CRISIL Composite Bond Fund index</t>
  </si>
  <si>
    <t>Risko-meter Benchmark name - Nifty 100 TRI</t>
  </si>
  <si>
    <t>Risko-meter Benchmark name: CRISIL Liquid Fund Index</t>
  </si>
  <si>
    <t>Risko-meter Benchmark name - Nifty 500 TRI</t>
  </si>
  <si>
    <t>Risko-meter Benchmark name - Nifty 500 Multi Cap 50:25:25 TRI</t>
  </si>
  <si>
    <t>* New benchmark w.e.f December 01, 2021</t>
  </si>
  <si>
    <t>Risko-meter Benchmark name - *Nifty Mid Cap 150 TRI</t>
  </si>
  <si>
    <t>Risko-meter Benchmark name - CRISIL Overnight Index</t>
  </si>
  <si>
    <t>Risko-meter Benchmark name - Nifty Healthcare TRI</t>
  </si>
  <si>
    <t>Risko-meter Benchmark name - *Nifty Smallcap 250 TRI</t>
  </si>
  <si>
    <t>Risko-meter Benchmark name - *CRISIL Short Term Bond Fund Index</t>
  </si>
  <si>
    <t>*  New benchmark w.e.f January 01, 2022</t>
  </si>
  <si>
    <t>Risko-meter Benchmark name - *Nifty 500 Total Return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</si>
</sst>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  <numFmt numFmtId="168" formatCode="0.0000000000000000%"/>
  </numFmts>
  <fonts count="1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Franklin Gothic Book"/>
      <family val="2"/>
    </font>
    <font>
      <b/>
      <sz val="10"/>
      <color theme="1"/>
      <name val="Franklin Gothic Book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7" fillId="48" borderId="7"/>
    <xf numFmtId="164" fontId="10" fillId="48" borderId="7" applyNumberFormat="0" applyFont="0" applyFill="0" applyBorder="0" applyAlignment="0" applyProtection="0"/>
    <xf numFmtId="0" fontId="7" fillId="48" borderId="7"/>
    <xf numFmtId="0" fontId="7" fillId="48" borderId="7"/>
    <xf numFmtId="0" fontId="7" fillId="48" borderId="7"/>
    <xf numFmtId="0" fontId="7" fillId="48" borderId="7"/>
    <xf numFmtId="0" fontId="7" fillId="48" borderId="7"/>
    <xf numFmtId="0" fontId="7" fillId="48" borderId="7"/>
    <xf numFmtId="0" fontId="7" fillId="48" borderId="7"/>
    <xf numFmtId="0" fontId="7" fillId="48" borderId="7"/>
    <xf numFmtId="0" fontId="7" fillId="48" borderId="7"/>
    <xf numFmtId="0" fontId="7" fillId="48" borderId="7"/>
    <xf numFmtId="0" fontId="7" fillId="48" borderId="7"/>
    <xf numFmtId="0" fontId="17" fillId="48" borderId="7" applyNumberFormat="0" applyFill="0" applyBorder="0" applyAlignment="0" applyProtection="0"/>
  </cellStyleXfs>
  <cellXfs count="119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0" fillId="4" borderId="0" xfId="0" applyNumberFormat="1" applyFont="1" applyFill="1" applyBorder="1" applyAlignment="1" applyProtection="1">
      <alignment wrapText="1"/>
      <protection locked="0"/>
    </xf>
    <xf numFmtId="0" fontId="2" fillId="5" borderId="2" xfId="0" applyNumberFormat="1" applyFont="1" applyFill="1" applyBorder="1" applyAlignment="1" applyProtection="1">
      <alignment horizontal="left" vertical="top" wrapText="1"/>
    </xf>
    <xf numFmtId="0" fontId="3" fillId="6" borderId="2" xfId="0" applyNumberFormat="1" applyFont="1" applyFill="1" applyBorder="1" applyAlignment="1" applyProtection="1">
      <alignment horizontal="left" vertical="top" wrapText="1"/>
    </xf>
    <xf numFmtId="0" fontId="2" fillId="7" borderId="2" xfId="0" applyNumberFormat="1" applyFont="1" applyFill="1" applyBorder="1" applyAlignment="1" applyProtection="1">
      <alignment horizontal="center" vertical="top" wrapText="1"/>
    </xf>
    <xf numFmtId="0" fontId="1" fillId="8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  <xf numFmtId="0" fontId="1" fillId="15" borderId="4" xfId="0" applyNumberFormat="1" applyFont="1" applyFill="1" applyBorder="1" applyAlignment="1" applyProtection="1">
      <alignment horizontal="left" vertical="top" wrapText="1"/>
    </xf>
    <xf numFmtId="0" fontId="6" fillId="18" borderId="7" xfId="0" applyNumberFormat="1" applyFont="1" applyFill="1" applyBorder="1" applyAlignment="1" applyProtection="1">
      <alignment horizontal="left" vertical="top" wrapText="1"/>
    </xf>
    <xf numFmtId="0" fontId="1" fillId="19" borderId="3" xfId="0" applyNumberFormat="1" applyFont="1" applyFill="1" applyBorder="1" applyAlignment="1" applyProtection="1">
      <alignment horizontal="left" vertical="top" wrapText="1"/>
    </xf>
    <xf numFmtId="3" fontId="1" fillId="20" borderId="4" xfId="0" applyNumberFormat="1" applyFont="1" applyFill="1" applyBorder="1" applyAlignment="1" applyProtection="1">
      <alignment horizontal="right" vertical="top" wrapText="1"/>
    </xf>
    <xf numFmtId="165" fontId="1" fillId="21" borderId="5" xfId="0" applyNumberFormat="1" applyFont="1" applyFill="1" applyBorder="1" applyAlignment="1" applyProtection="1">
      <alignment horizontal="right" vertical="top" wrapText="1"/>
    </xf>
    <xf numFmtId="166" fontId="1" fillId="22" borderId="4" xfId="0" applyNumberFormat="1" applyFont="1" applyFill="1" applyBorder="1" applyAlignment="1" applyProtection="1">
      <alignment horizontal="right" vertical="top" wrapText="1"/>
    </xf>
    <xf numFmtId="0" fontId="1" fillId="23" borderId="5" xfId="0" applyNumberFormat="1" applyFont="1" applyFill="1" applyBorder="1" applyAlignment="1" applyProtection="1">
      <alignment horizontal="right" vertical="top" wrapText="1"/>
    </xf>
    <xf numFmtId="0" fontId="1" fillId="24" borderId="6" xfId="0" applyNumberFormat="1" applyFont="1" applyFill="1" applyBorder="1" applyAlignment="1" applyProtection="1">
      <alignment horizontal="right" vertical="top" wrapText="1"/>
    </xf>
    <xf numFmtId="0" fontId="0" fillId="4" borderId="7" xfId="0" applyNumberFormat="1" applyFont="1" applyFill="1" applyBorder="1" applyAlignment="1" applyProtection="1">
      <alignment wrapText="1"/>
      <protection locked="0"/>
    </xf>
    <xf numFmtId="0" fontId="1" fillId="3" borderId="8" xfId="0" applyNumberFormat="1" applyFont="1" applyFill="1" applyBorder="1" applyAlignment="1" applyProtection="1">
      <alignment horizontal="left" vertical="top" wrapText="1"/>
    </xf>
    <xf numFmtId="0" fontId="2" fillId="27" borderId="8" xfId="0" applyNumberFormat="1" applyFont="1" applyFill="1" applyBorder="1" applyAlignment="1" applyProtection="1">
      <alignment horizontal="right" vertical="top" wrapText="1"/>
    </xf>
    <xf numFmtId="0" fontId="1" fillId="32" borderId="8" xfId="0" applyNumberFormat="1" applyFont="1" applyFill="1" applyBorder="1" applyAlignment="1" applyProtection="1">
      <alignment horizontal="left" vertical="top" wrapText="1"/>
    </xf>
    <xf numFmtId="0" fontId="2" fillId="33" borderId="8" xfId="0" applyNumberFormat="1" applyFont="1" applyFill="1" applyBorder="1" applyAlignment="1" applyProtection="1">
      <alignment horizontal="right" vertical="top" wrapText="1"/>
    </xf>
    <xf numFmtId="0" fontId="1" fillId="30" borderId="8" xfId="0" applyNumberFormat="1" applyFont="1" applyFill="1" applyBorder="1" applyAlignment="1" applyProtection="1">
      <alignment horizontal="left" vertical="top" wrapText="1"/>
    </xf>
    <xf numFmtId="0" fontId="2" fillId="34" borderId="8" xfId="0" applyNumberFormat="1" applyFont="1" applyFill="1" applyBorder="1" applyAlignment="1" applyProtection="1">
      <alignment horizontal="right" vertical="top" wrapText="1"/>
    </xf>
    <xf numFmtId="0" fontId="1" fillId="35" borderId="8" xfId="0" applyNumberFormat="1" applyFont="1" applyFill="1" applyBorder="1" applyAlignment="1" applyProtection="1">
      <alignment horizontal="left" vertical="top" wrapText="1"/>
    </xf>
    <xf numFmtId="0" fontId="2" fillId="36" borderId="8" xfId="0" applyNumberFormat="1" applyFont="1" applyFill="1" applyBorder="1" applyAlignment="1" applyProtection="1">
      <alignment horizontal="right" vertical="top" wrapText="1"/>
    </xf>
    <xf numFmtId="0" fontId="1" fillId="15" borderId="8" xfId="0" applyNumberFormat="1" applyFont="1" applyFill="1" applyBorder="1" applyAlignment="1" applyProtection="1">
      <alignment horizontal="left" vertical="top" wrapText="1"/>
    </xf>
    <xf numFmtId="0" fontId="5" fillId="16" borderId="8" xfId="0" applyNumberFormat="1" applyFont="1" applyFill="1" applyBorder="1" applyAlignment="1" applyProtection="1">
      <alignment horizontal="right" vertical="top" wrapText="1"/>
    </xf>
    <xf numFmtId="0" fontId="0" fillId="4" borderId="8" xfId="0" applyNumberFormat="1" applyFont="1" applyFill="1" applyBorder="1" applyAlignment="1" applyProtection="1">
      <alignment wrapText="1"/>
      <protection locked="0"/>
    </xf>
    <xf numFmtId="3" fontId="1" fillId="20" borderId="8" xfId="0" applyNumberFormat="1" applyFont="1" applyFill="1" applyBorder="1" applyAlignment="1" applyProtection="1">
      <alignment horizontal="right" vertical="top" wrapText="1"/>
    </xf>
    <xf numFmtId="165" fontId="1" fillId="21" borderId="8" xfId="0" applyNumberFormat="1" applyFont="1" applyFill="1" applyBorder="1" applyAlignment="1" applyProtection="1">
      <alignment horizontal="right" vertical="top" wrapText="1"/>
    </xf>
    <xf numFmtId="166" fontId="1" fillId="22" borderId="8" xfId="0" applyNumberFormat="1" applyFont="1" applyFill="1" applyBorder="1" applyAlignment="1" applyProtection="1">
      <alignment horizontal="right" vertical="top" wrapText="1"/>
    </xf>
    <xf numFmtId="167" fontId="1" fillId="46" borderId="8" xfId="0" applyNumberFormat="1" applyFont="1" applyFill="1" applyBorder="1" applyAlignment="1" applyProtection="1">
      <alignment horizontal="right" vertical="top" wrapText="1"/>
    </xf>
    <xf numFmtId="165" fontId="2" fillId="25" borderId="8" xfId="0" applyNumberFormat="1" applyFont="1" applyFill="1" applyBorder="1" applyAlignment="1" applyProtection="1">
      <alignment horizontal="right" vertical="top" wrapText="1"/>
    </xf>
    <xf numFmtId="166" fontId="2" fillId="26" borderId="8" xfId="0" applyNumberFormat="1" applyFont="1" applyFill="1" applyBorder="1" applyAlignment="1" applyProtection="1">
      <alignment horizontal="right" vertical="top" wrapText="1"/>
    </xf>
    <xf numFmtId="0" fontId="1" fillId="37" borderId="8" xfId="0" applyNumberFormat="1" applyFont="1" applyFill="1" applyBorder="1" applyAlignment="1" applyProtection="1">
      <alignment horizontal="left" vertical="top" wrapText="1"/>
    </xf>
    <xf numFmtId="165" fontId="2" fillId="38" borderId="8" xfId="0" applyNumberFormat="1" applyFont="1" applyFill="1" applyBorder="1" applyAlignment="1" applyProtection="1">
      <alignment horizontal="right" vertical="top" wrapText="1"/>
    </xf>
    <xf numFmtId="0" fontId="2" fillId="10" borderId="9" xfId="0" applyNumberFormat="1" applyFont="1" applyFill="1" applyBorder="1" applyAlignment="1" applyProtection="1">
      <alignment horizontal="left" vertical="center" wrapText="1"/>
    </xf>
    <xf numFmtId="0" fontId="2" fillId="11" borderId="10" xfId="0" applyNumberFormat="1" applyFont="1" applyFill="1" applyBorder="1" applyAlignment="1" applyProtection="1">
      <alignment horizontal="left" vertical="center" wrapText="1"/>
    </xf>
    <xf numFmtId="0" fontId="2" fillId="12" borderId="10" xfId="0" applyNumberFormat="1" applyFont="1" applyFill="1" applyBorder="1" applyAlignment="1" applyProtection="1">
      <alignment horizontal="center" vertical="center" wrapText="1"/>
    </xf>
    <xf numFmtId="0" fontId="2" fillId="13" borderId="11" xfId="0" applyNumberFormat="1" applyFont="1" applyFill="1" applyBorder="1" applyAlignment="1" applyProtection="1">
      <alignment horizontal="center" vertical="center" wrapText="1"/>
    </xf>
    <xf numFmtId="0" fontId="2" fillId="31" borderId="12" xfId="0" applyNumberFormat="1" applyFont="1" applyFill="1" applyBorder="1" applyAlignment="1" applyProtection="1">
      <alignment horizontal="left" vertical="top" wrapText="1"/>
    </xf>
    <xf numFmtId="0" fontId="2" fillId="28" borderId="13" xfId="0" applyNumberFormat="1" applyFont="1" applyFill="1" applyBorder="1" applyAlignment="1" applyProtection="1">
      <alignment horizontal="right" vertical="top" wrapText="1"/>
    </xf>
    <xf numFmtId="0" fontId="2" fillId="14" borderId="12" xfId="0" applyNumberFormat="1" applyFont="1" applyFill="1" applyBorder="1" applyAlignment="1" applyProtection="1">
      <alignment horizontal="left" vertical="top" wrapText="1"/>
    </xf>
    <xf numFmtId="0" fontId="2" fillId="17" borderId="13" xfId="0" applyNumberFormat="1" applyFont="1" applyFill="1" applyBorder="1" applyAlignment="1" applyProtection="1">
      <alignment horizontal="right" vertical="top" wrapText="1"/>
    </xf>
    <xf numFmtId="0" fontId="2" fillId="29" borderId="12" xfId="0" applyNumberFormat="1" applyFont="1" applyFill="1" applyBorder="1" applyAlignment="1" applyProtection="1">
      <alignment horizontal="left" vertical="top" wrapText="1"/>
    </xf>
    <xf numFmtId="0" fontId="1" fillId="19" borderId="12" xfId="0" applyNumberFormat="1" applyFont="1" applyFill="1" applyBorder="1" applyAlignment="1" applyProtection="1">
      <alignment horizontal="left" vertical="top" wrapText="1"/>
    </xf>
    <xf numFmtId="0" fontId="1" fillId="24" borderId="13" xfId="0" applyNumberFormat="1" applyFont="1" applyFill="1" applyBorder="1" applyAlignment="1" applyProtection="1">
      <alignment horizontal="right" vertical="top" wrapText="1"/>
    </xf>
    <xf numFmtId="0" fontId="5" fillId="47" borderId="13" xfId="0" applyNumberFormat="1" applyFont="1" applyFill="1" applyBorder="1" applyAlignment="1" applyProtection="1">
      <alignment horizontal="right" vertical="top" wrapText="1"/>
    </xf>
    <xf numFmtId="0" fontId="2" fillId="39" borderId="14" xfId="0" applyNumberFormat="1" applyFont="1" applyFill="1" applyBorder="1" applyAlignment="1" applyProtection="1">
      <alignment horizontal="left" vertical="top" wrapText="1"/>
    </xf>
    <xf numFmtId="0" fontId="1" fillId="40" borderId="15" xfId="0" applyNumberFormat="1" applyFont="1" applyFill="1" applyBorder="1" applyAlignment="1" applyProtection="1">
      <alignment horizontal="left" vertical="top" wrapText="1"/>
    </xf>
    <xf numFmtId="165" fontId="2" fillId="41" borderId="15" xfId="0" applyNumberFormat="1" applyFont="1" applyFill="1" applyBorder="1" applyAlignment="1" applyProtection="1">
      <alignment horizontal="right" vertical="top" wrapText="1"/>
    </xf>
    <xf numFmtId="167" fontId="2" fillId="42" borderId="15" xfId="0" applyNumberFormat="1" applyFont="1" applyFill="1" applyBorder="1" applyAlignment="1" applyProtection="1">
      <alignment horizontal="right" vertical="top" wrapText="1"/>
    </xf>
    <xf numFmtId="0" fontId="2" fillId="43" borderId="15" xfId="0" applyNumberFormat="1" applyFont="1" applyFill="1" applyBorder="1" applyAlignment="1" applyProtection="1">
      <alignment horizontal="right" vertical="top" wrapText="1"/>
    </xf>
    <xf numFmtId="0" fontId="2" fillId="44" borderId="16" xfId="0" applyNumberFormat="1" applyFont="1" applyFill="1" applyBorder="1" applyAlignment="1" applyProtection="1">
      <alignment horizontal="right" vertical="top" wrapText="1"/>
    </xf>
    <xf numFmtId="0" fontId="1" fillId="48" borderId="8" xfId="0" applyNumberFormat="1" applyFont="1" applyFill="1" applyBorder="1" applyAlignment="1" applyProtection="1">
      <alignment horizontal="right" vertical="top" wrapText="1"/>
    </xf>
    <xf numFmtId="0" fontId="1" fillId="23" borderId="8" xfId="0" applyNumberFormat="1" applyFont="1" applyFill="1" applyBorder="1" applyAlignment="1" applyProtection="1">
      <alignment horizontal="right" vertical="top" wrapText="1"/>
    </xf>
    <xf numFmtId="0" fontId="4" fillId="9" borderId="7" xfId="0" applyNumberFormat="1" applyFont="1" applyFill="1" applyBorder="1" applyAlignment="1" applyProtection="1">
      <alignment horizontal="left" vertical="top" wrapText="1"/>
    </xf>
    <xf numFmtId="0" fontId="8" fillId="49" borderId="7" xfId="1" applyFont="1" applyFill="1"/>
    <xf numFmtId="0" fontId="2" fillId="48" borderId="7" xfId="0" applyNumberFormat="1" applyFont="1" applyFill="1" applyBorder="1" applyAlignment="1" applyProtection="1">
      <alignment horizontal="center" vertical="top" wrapText="1"/>
    </xf>
    <xf numFmtId="0" fontId="0" fillId="48" borderId="7" xfId="1" applyNumberFormat="1" applyFont="1" applyFill="1" applyBorder="1" applyAlignment="1"/>
    <xf numFmtId="0" fontId="4" fillId="48" borderId="7" xfId="1" applyNumberFormat="1" applyFont="1" applyFill="1" applyBorder="1" applyAlignment="1" applyProtection="1">
      <alignment horizontal="left" vertical="top" wrapText="1"/>
    </xf>
    <xf numFmtId="0" fontId="9" fillId="49" borderId="9" xfId="1" applyFont="1" applyFill="1" applyBorder="1" applyAlignment="1">
      <alignment vertical="center"/>
    </xf>
    <xf numFmtId="0" fontId="9" fillId="49" borderId="10" xfId="1" applyFont="1" applyFill="1" applyBorder="1" applyAlignment="1">
      <alignment vertical="center"/>
    </xf>
    <xf numFmtId="164" fontId="9" fillId="49" borderId="10" xfId="2" applyFont="1" applyFill="1" applyBorder="1" applyAlignment="1">
      <alignment vertical="center"/>
    </xf>
    <xf numFmtId="164" fontId="9" fillId="49" borderId="10" xfId="2" applyFont="1" applyFill="1" applyBorder="1" applyAlignment="1">
      <alignment vertical="center" wrapText="1"/>
    </xf>
    <xf numFmtId="0" fontId="2" fillId="48" borderId="10" xfId="1" applyNumberFormat="1" applyFont="1" applyFill="1" applyBorder="1" applyAlignment="1" applyProtection="1">
      <alignment horizontal="center" vertical="center" wrapText="1"/>
    </xf>
    <xf numFmtId="0" fontId="2" fillId="48" borderId="11" xfId="1" applyNumberFormat="1" applyFont="1" applyFill="1" applyBorder="1" applyAlignment="1" applyProtection="1">
      <alignment horizontal="center" vertical="center" wrapText="1"/>
    </xf>
    <xf numFmtId="0" fontId="7" fillId="48" borderId="8" xfId="1" applyBorder="1"/>
    <xf numFmtId="0" fontId="9" fillId="49" borderId="8" xfId="1" applyFont="1" applyFill="1" applyBorder="1" applyAlignment="1">
      <alignment vertical="center"/>
    </xf>
    <xf numFmtId="164" fontId="9" fillId="49" borderId="8" xfId="2" applyFont="1" applyFill="1" applyBorder="1" applyAlignment="1">
      <alignment vertical="center"/>
    </xf>
    <xf numFmtId="164" fontId="9" fillId="49" borderId="8" xfId="2" applyFont="1" applyFill="1" applyBorder="1" applyAlignment="1">
      <alignment vertical="center" wrapText="1"/>
    </xf>
    <xf numFmtId="0" fontId="9" fillId="49" borderId="13" xfId="1" applyFont="1" applyFill="1" applyBorder="1" applyAlignment="1">
      <alignment vertical="center"/>
    </xf>
    <xf numFmtId="0" fontId="6" fillId="48" borderId="7" xfId="0" applyNumberFormat="1" applyFont="1" applyFill="1" applyBorder="1" applyAlignment="1" applyProtection="1">
      <alignment horizontal="left" vertical="top" wrapText="1"/>
    </xf>
    <xf numFmtId="0" fontId="11" fillId="49" borderId="8" xfId="0" applyNumberFormat="1" applyFont="1" applyFill="1" applyBorder="1" applyAlignment="1" applyProtection="1">
      <alignment horizontal="left" vertical="top" wrapText="1"/>
    </xf>
    <xf numFmtId="0" fontId="1" fillId="48" borderId="4" xfId="0" applyNumberFormat="1" applyFont="1" applyFill="1" applyBorder="1" applyAlignment="1" applyProtection="1">
      <alignment horizontal="left" vertical="top" wrapText="1"/>
    </xf>
    <xf numFmtId="3" fontId="1" fillId="48" borderId="4" xfId="0" applyNumberFormat="1" applyFont="1" applyFill="1" applyBorder="1" applyAlignment="1" applyProtection="1">
      <alignment horizontal="right" vertical="top" wrapText="1"/>
    </xf>
    <xf numFmtId="165" fontId="1" fillId="48" borderId="5" xfId="0" applyNumberFormat="1" applyFont="1" applyFill="1" applyBorder="1" applyAlignment="1" applyProtection="1">
      <alignment horizontal="right" vertical="top" wrapText="1"/>
    </xf>
    <xf numFmtId="166" fontId="1" fillId="48" borderId="4" xfId="0" applyNumberFormat="1" applyFont="1" applyFill="1" applyBorder="1" applyAlignment="1" applyProtection="1">
      <alignment horizontal="right" vertical="top" wrapText="1"/>
    </xf>
    <xf numFmtId="0" fontId="1" fillId="48" borderId="5" xfId="0" applyNumberFormat="1" applyFont="1" applyFill="1" applyBorder="1" applyAlignment="1" applyProtection="1">
      <alignment horizontal="right" vertical="top" wrapText="1"/>
    </xf>
    <xf numFmtId="0" fontId="1" fillId="48" borderId="6" xfId="0" applyNumberFormat="1" applyFont="1" applyFill="1" applyBorder="1" applyAlignment="1" applyProtection="1">
      <alignment horizontal="right" vertical="top" wrapText="1"/>
    </xf>
    <xf numFmtId="0" fontId="0" fillId="48" borderId="8" xfId="1" applyNumberFormat="1" applyFont="1" applyFill="1" applyBorder="1" applyAlignment="1"/>
    <xf numFmtId="0" fontId="0" fillId="48" borderId="13" xfId="1" applyNumberFormat="1" applyFont="1" applyFill="1" applyBorder="1" applyAlignment="1"/>
    <xf numFmtId="0" fontId="9" fillId="49" borderId="15" xfId="1" applyFont="1" applyFill="1" applyBorder="1"/>
    <xf numFmtId="0" fontId="0" fillId="49" borderId="15" xfId="1" applyNumberFormat="1" applyFont="1" applyFill="1" applyBorder="1" applyAlignment="1"/>
    <xf numFmtId="165" fontId="12" fillId="49" borderId="15" xfId="1" applyNumberFormat="1" applyFont="1" applyFill="1" applyBorder="1" applyAlignment="1"/>
    <xf numFmtId="166" fontId="13" fillId="48" borderId="15" xfId="1" applyNumberFormat="1" applyFont="1" applyFill="1" applyBorder="1" applyAlignment="1" applyProtection="1">
      <alignment horizontal="right" vertical="top" wrapText="1"/>
    </xf>
    <xf numFmtId="10" fontId="12" fillId="49" borderId="15" xfId="1" applyNumberFormat="1" applyFont="1" applyFill="1" applyBorder="1" applyAlignment="1"/>
    <xf numFmtId="0" fontId="0" fillId="49" borderId="16" xfId="1" applyNumberFormat="1" applyFont="1" applyFill="1" applyBorder="1" applyAlignment="1"/>
    <xf numFmtId="0" fontId="1" fillId="48" borderId="3" xfId="0" applyNumberFormat="1" applyFont="1" applyFill="1" applyBorder="1" applyAlignment="1" applyProtection="1">
      <alignment horizontal="left" vertical="top" wrapText="1"/>
    </xf>
    <xf numFmtId="0" fontId="4" fillId="9" borderId="12" xfId="0" applyNumberFormat="1" applyFont="1" applyFill="1" applyBorder="1" applyAlignment="1" applyProtection="1">
      <alignment horizontal="left" vertical="top" wrapText="1"/>
    </xf>
    <xf numFmtId="0" fontId="4" fillId="9" borderId="14" xfId="0" applyNumberFormat="1" applyFont="1" applyFill="1" applyBorder="1" applyAlignment="1" applyProtection="1">
      <alignment horizontal="left" vertical="top" wrapText="1"/>
    </xf>
    <xf numFmtId="0" fontId="7" fillId="48" borderId="17" xfId="1" applyBorder="1"/>
    <xf numFmtId="0" fontId="7" fillId="48" borderId="18" xfId="1" applyBorder="1"/>
    <xf numFmtId="168" fontId="0" fillId="0" borderId="0" xfId="0" applyNumberFormat="1"/>
    <xf numFmtId="0" fontId="14" fillId="0" borderId="0" xfId="0" applyFont="1"/>
    <xf numFmtId="0" fontId="15" fillId="0" borderId="0" xfId="0" applyFont="1" applyAlignment="1">
      <alignment vertical="top"/>
    </xf>
    <xf numFmtId="0" fontId="7" fillId="48" borderId="7" xfId="3"/>
    <xf numFmtId="0" fontId="14" fillId="48" borderId="7" xfId="3" applyFont="1"/>
    <xf numFmtId="0" fontId="15" fillId="48" borderId="7" xfId="3" applyFont="1" applyAlignment="1">
      <alignment vertical="top"/>
    </xf>
    <xf numFmtId="0" fontId="7" fillId="48" borderId="7" xfId="4"/>
    <xf numFmtId="0" fontId="15" fillId="48" borderId="7" xfId="4" applyFont="1" applyAlignment="1">
      <alignment vertical="top"/>
    </xf>
    <xf numFmtId="0" fontId="14" fillId="48" borderId="7" xfId="5" applyFont="1"/>
    <xf numFmtId="0" fontId="7" fillId="48" borderId="7" xfId="6"/>
    <xf numFmtId="0" fontId="15" fillId="48" borderId="7" xfId="6" applyFont="1" applyAlignment="1">
      <alignment vertical="top"/>
    </xf>
    <xf numFmtId="0" fontId="14" fillId="48" borderId="7" xfId="8" applyFont="1"/>
    <xf numFmtId="0" fontId="7" fillId="48" borderId="7" xfId="9"/>
    <xf numFmtId="0" fontId="15" fillId="48" borderId="7" xfId="9" applyFont="1" applyAlignment="1">
      <alignment vertical="top"/>
    </xf>
    <xf numFmtId="0" fontId="14" fillId="48" borderId="7" xfId="10" applyFont="1"/>
    <xf numFmtId="0" fontId="7" fillId="48" borderId="7" xfId="11"/>
    <xf numFmtId="0" fontId="14" fillId="48" borderId="7" xfId="11" applyFont="1" applyAlignment="1">
      <alignment vertical="top"/>
    </xf>
    <xf numFmtId="0" fontId="14" fillId="48" borderId="7" xfId="12" applyFont="1"/>
    <xf numFmtId="0" fontId="7" fillId="48" borderId="7" xfId="13"/>
    <xf numFmtId="0" fontId="14" fillId="48" borderId="7" xfId="13" applyFont="1" applyAlignment="1">
      <alignment vertical="top"/>
    </xf>
    <xf numFmtId="0" fontId="0" fillId="0" borderId="0" xfId="0" applyFont="1"/>
    <xf numFmtId="0" fontId="16" fillId="0" borderId="0" xfId="0" applyFont="1"/>
    <xf numFmtId="0" fontId="17" fillId="3" borderId="1" xfId="14" applyNumberFormat="1" applyFill="1" applyBorder="1" applyAlignment="1" applyProtection="1">
      <alignment horizontal="left" vertical="top" wrapText="1"/>
    </xf>
    <xf numFmtId="0" fontId="5" fillId="45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</cellXfs>
  <cellStyles count="15">
    <cellStyle name="Comma 2" xfId="2"/>
    <cellStyle name="Hyperlink" xfId="14" builtinId="8"/>
    <cellStyle name="Normal" xfId="0" builtinId="0"/>
    <cellStyle name="Normal 10" xfId="10"/>
    <cellStyle name="Normal 11" xfId="11"/>
    <cellStyle name="Normal 12" xfId="12"/>
    <cellStyle name="Normal 13" xfId="13"/>
    <cellStyle name="Normal 14" xfId="4"/>
    <cellStyle name="Normal 2" xfId="1"/>
    <cellStyle name="Normal 3" xfId="3"/>
    <cellStyle name="Normal 5" xfId="5"/>
    <cellStyle name="Normal 6" xfId="6"/>
    <cellStyle name="Normal 7" xfId="7"/>
    <cellStyle name="Normal 8" xfId="8"/>
    <cellStyle name="Normal 9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3.jpeg"/><Relationship Id="rId1" Type="http://schemas.openxmlformats.org/officeDocument/2006/relationships/image" Target="../media/image8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105</xdr:row>
      <xdr:rowOff>120650</xdr:rowOff>
    </xdr:from>
    <xdr:to>
      <xdr:col>1</xdr:col>
      <xdr:colOff>2739838</xdr:colOff>
      <xdr:row>114</xdr:row>
      <xdr:rowOff>165100</xdr:rowOff>
    </xdr:to>
    <xdr:pic>
      <xdr:nvPicPr>
        <xdr:cNvPr id="2" name="Picture 2" descr="Z:\Compliance\Reports\ICRA - Riskometer\Low_Liquid and Overnight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8008600"/>
          <a:ext cx="2695388" cy="179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117</xdr:row>
      <xdr:rowOff>63500</xdr:rowOff>
    </xdr:from>
    <xdr:to>
      <xdr:col>1</xdr:col>
      <xdr:colOff>2686050</xdr:colOff>
      <xdr:row>127</xdr:row>
      <xdr:rowOff>31750</xdr:rowOff>
    </xdr:to>
    <xdr:pic>
      <xdr:nvPicPr>
        <xdr:cNvPr id="3" name="Picture 2" descr="Z:\Compliance\Reports\ICRA - Riskometer\Low_Liquid and Overnight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20085050"/>
          <a:ext cx="26416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144</xdr:row>
      <xdr:rowOff>6350</xdr:rowOff>
    </xdr:from>
    <xdr:to>
      <xdr:col>1</xdr:col>
      <xdr:colOff>2520950</xdr:colOff>
      <xdr:row>153</xdr:row>
      <xdr:rowOff>19050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24599900"/>
          <a:ext cx="2476500" cy="167005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133</xdr:row>
      <xdr:rowOff>0</xdr:rowOff>
    </xdr:from>
    <xdr:to>
      <xdr:col>1</xdr:col>
      <xdr:colOff>2393950</xdr:colOff>
      <xdr:row>141</xdr:row>
      <xdr:rowOff>127000</xdr:rowOff>
    </xdr:to>
    <xdr:pic>
      <xdr:nvPicPr>
        <xdr:cNvPr id="4" name="Picture 3" descr="Z:\Compliance\Reports\ICRA - Riskometer\Low to Moderate_Arbitrag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22555200"/>
          <a:ext cx="2349500" cy="160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81</xdr:row>
      <xdr:rowOff>19050</xdr:rowOff>
    </xdr:from>
    <xdr:to>
      <xdr:col>1</xdr:col>
      <xdr:colOff>2162026</xdr:colOff>
      <xdr:row>88</xdr:row>
      <xdr:rowOff>158750</xdr:rowOff>
    </xdr:to>
    <xdr:pic>
      <xdr:nvPicPr>
        <xdr:cNvPr id="4" name="Picture 2" descr="Z:\Compliance\Reports\ICRA - Riskometer\Low_Liquid and Overnight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4001750"/>
          <a:ext cx="2142976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25399</xdr:colOff>
      <xdr:row>91</xdr:row>
      <xdr:rowOff>101601</xdr:rowOff>
    </xdr:from>
    <xdr:to>
      <xdr:col>1</xdr:col>
      <xdr:colOff>2216686</xdr:colOff>
      <xdr:row>99</xdr:row>
      <xdr:rowOff>120650</xdr:rowOff>
    </xdr:to>
    <xdr:pic>
      <xdr:nvPicPr>
        <xdr:cNvPr id="5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999" y="15938501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72</xdr:row>
      <xdr:rowOff>63500</xdr:rowOff>
    </xdr:from>
    <xdr:to>
      <xdr:col>1</xdr:col>
      <xdr:colOff>2114550</xdr:colOff>
      <xdr:row>79</xdr:row>
      <xdr:rowOff>133350</xdr:rowOff>
    </xdr:to>
    <xdr:pic>
      <xdr:nvPicPr>
        <xdr:cNvPr id="2" name="Picture 1" descr="Z:\Compliance\Reports\ICRA - Riskometer\Low to Moderate_Arbitrag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2344400"/>
          <a:ext cx="2057400" cy="1358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</xdr:colOff>
      <xdr:row>82</xdr:row>
      <xdr:rowOff>38100</xdr:rowOff>
    </xdr:from>
    <xdr:to>
      <xdr:col>1</xdr:col>
      <xdr:colOff>2008505</xdr:colOff>
      <xdr:row>89</xdr:row>
      <xdr:rowOff>57785</xdr:rowOff>
    </xdr:to>
    <xdr:pic>
      <xdr:nvPicPr>
        <xdr:cNvPr id="3" name="Picture 2" descr="Z:\Compliance\Reports\ICRA - Riskometer\Moderate_banking &amp; PSU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4173200"/>
          <a:ext cx="1989455" cy="13087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3790929</xdr:colOff>
      <xdr:row>101</xdr:row>
      <xdr:rowOff>95249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16103600"/>
          <a:ext cx="3790929" cy="1936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82</xdr:row>
      <xdr:rowOff>57150</xdr:rowOff>
    </xdr:from>
    <xdr:to>
      <xdr:col>1</xdr:col>
      <xdr:colOff>2114550</xdr:colOff>
      <xdr:row>89</xdr:row>
      <xdr:rowOff>121285</xdr:rowOff>
    </xdr:to>
    <xdr:pic>
      <xdr:nvPicPr>
        <xdr:cNvPr id="3" name="Picture 2" descr="Z:\Compliance\Reports\ICRA - Riskometer\Moderate_banking &amp; PSU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4204950"/>
          <a:ext cx="2076450" cy="13531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3785886</xdr:colOff>
      <xdr:row>104</xdr:row>
      <xdr:rowOff>95249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6859250"/>
          <a:ext cx="3785886" cy="1936749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72</xdr:row>
      <xdr:rowOff>19050</xdr:rowOff>
    </xdr:from>
    <xdr:to>
      <xdr:col>1</xdr:col>
      <xdr:colOff>2165350</xdr:colOff>
      <xdr:row>79</xdr:row>
      <xdr:rowOff>139700</xdr:rowOff>
    </xdr:to>
    <xdr:pic>
      <xdr:nvPicPr>
        <xdr:cNvPr id="5" name="Picture 4" descr="Z:\Compliance\Reports\ICRA - Riskometer\Low to Moderate_Arbitrage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2312650"/>
          <a:ext cx="2133600" cy="1409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99</xdr:row>
      <xdr:rowOff>107950</xdr:rowOff>
    </xdr:from>
    <xdr:to>
      <xdr:col>1</xdr:col>
      <xdr:colOff>1939925</xdr:colOff>
      <xdr:row>106</xdr:row>
      <xdr:rowOff>127000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70434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1920875</xdr:colOff>
      <xdr:row>117</xdr:row>
      <xdr:rowOff>19050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2659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87</xdr:row>
      <xdr:rowOff>123825</xdr:rowOff>
    </xdr:from>
    <xdr:to>
      <xdr:col>1</xdr:col>
      <xdr:colOff>3522422</xdr:colOff>
      <xdr:row>97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6481425"/>
          <a:ext cx="3550996" cy="181292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67</xdr:row>
      <xdr:rowOff>38100</xdr:rowOff>
    </xdr:from>
    <xdr:to>
      <xdr:col>1</xdr:col>
      <xdr:colOff>2073275</xdr:colOff>
      <xdr:row>74</xdr:row>
      <xdr:rowOff>171450</xdr:rowOff>
    </xdr:to>
    <xdr:pic>
      <xdr:nvPicPr>
        <xdr:cNvPr id="3" name="Picture 2" descr="Z:\Compliance\Reports\ICRA - Riskometer\Low to Moderate_Arbitrag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1493500"/>
          <a:ext cx="2016125" cy="1422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1916430</xdr:colOff>
      <xdr:row>84</xdr:row>
      <xdr:rowOff>153035</xdr:rowOff>
    </xdr:to>
    <xdr:pic>
      <xdr:nvPicPr>
        <xdr:cNvPr id="4" name="Picture 3" descr="Z:\Compliance\Reports\ICRA - Riskometer\Low to Moderate_Arbitrag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516100"/>
          <a:ext cx="1916430" cy="12579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91</xdr:row>
      <xdr:rowOff>57150</xdr:rowOff>
    </xdr:from>
    <xdr:to>
      <xdr:col>1</xdr:col>
      <xdr:colOff>2045871</xdr:colOff>
      <xdr:row>98</xdr:row>
      <xdr:rowOff>139700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5474950"/>
          <a:ext cx="2014121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101</xdr:row>
      <xdr:rowOff>69850</xdr:rowOff>
    </xdr:from>
    <xdr:to>
      <xdr:col>1</xdr:col>
      <xdr:colOff>2073445</xdr:colOff>
      <xdr:row>109</xdr:row>
      <xdr:rowOff>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7341850"/>
          <a:ext cx="2060745" cy="140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107</xdr:row>
      <xdr:rowOff>57150</xdr:rowOff>
    </xdr:from>
    <xdr:to>
      <xdr:col>1</xdr:col>
      <xdr:colOff>1939925</xdr:colOff>
      <xdr:row>114</xdr:row>
      <xdr:rowOff>76200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81165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117</xdr:row>
      <xdr:rowOff>88900</xdr:rowOff>
    </xdr:from>
    <xdr:to>
      <xdr:col>1</xdr:col>
      <xdr:colOff>1939925</xdr:colOff>
      <xdr:row>124</xdr:row>
      <xdr:rowOff>107950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00025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107</xdr:row>
      <xdr:rowOff>82550</xdr:rowOff>
    </xdr:from>
    <xdr:to>
      <xdr:col>1</xdr:col>
      <xdr:colOff>1939925</xdr:colOff>
      <xdr:row>114</xdr:row>
      <xdr:rowOff>101600</xdr:rowOff>
    </xdr:to>
    <xdr:pic>
      <xdr:nvPicPr>
        <xdr:cNvPr id="2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84150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117</xdr:row>
      <xdr:rowOff>88900</xdr:rowOff>
    </xdr:from>
    <xdr:to>
      <xdr:col>1</xdr:col>
      <xdr:colOff>1965325</xdr:colOff>
      <xdr:row>124</xdr:row>
      <xdr:rowOff>107950</xdr:rowOff>
    </xdr:to>
    <xdr:pic>
      <xdr:nvPicPr>
        <xdr:cNvPr id="3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202755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3541471</xdr:colOff>
      <xdr:row>98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5487650"/>
          <a:ext cx="3541471" cy="18192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67</xdr:row>
      <xdr:rowOff>95250</xdr:rowOff>
    </xdr:from>
    <xdr:to>
      <xdr:col>1</xdr:col>
      <xdr:colOff>2203450</xdr:colOff>
      <xdr:row>75</xdr:row>
      <xdr:rowOff>111760</xdr:rowOff>
    </xdr:to>
    <xdr:pic>
      <xdr:nvPicPr>
        <xdr:cNvPr id="3" name="Picture 2" descr="Z:\Compliance\Reports\ICRA - Riskometer\Low_Liquid and Overnight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1550650"/>
          <a:ext cx="2165350" cy="14897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50800</xdr:colOff>
      <xdr:row>78</xdr:row>
      <xdr:rowOff>31750</xdr:rowOff>
    </xdr:from>
    <xdr:to>
      <xdr:col>1</xdr:col>
      <xdr:colOff>2203450</xdr:colOff>
      <xdr:row>86</xdr:row>
      <xdr:rowOff>67310</xdr:rowOff>
    </xdr:to>
    <xdr:pic>
      <xdr:nvPicPr>
        <xdr:cNvPr id="4" name="Picture 3" descr="Z:\Compliance\Reports\ICRA - Riskometer\Low_Liquid and Overnight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3512800"/>
          <a:ext cx="2152650" cy="1508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92</xdr:row>
      <xdr:rowOff>63500</xdr:rowOff>
    </xdr:from>
    <xdr:to>
      <xdr:col>1</xdr:col>
      <xdr:colOff>1946275</xdr:colOff>
      <xdr:row>99</xdr:row>
      <xdr:rowOff>82550</xdr:rowOff>
    </xdr:to>
    <xdr:pic>
      <xdr:nvPicPr>
        <xdr:cNvPr id="2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56464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102</xdr:row>
      <xdr:rowOff>95250</xdr:rowOff>
    </xdr:from>
    <xdr:to>
      <xdr:col>1</xdr:col>
      <xdr:colOff>1965325</xdr:colOff>
      <xdr:row>109</xdr:row>
      <xdr:rowOff>114300</xdr:rowOff>
    </xdr:to>
    <xdr:pic>
      <xdr:nvPicPr>
        <xdr:cNvPr id="3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75323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110</xdr:row>
      <xdr:rowOff>20782</xdr:rowOff>
    </xdr:from>
    <xdr:to>
      <xdr:col>1</xdr:col>
      <xdr:colOff>2114550</xdr:colOff>
      <xdr:row>117</xdr:row>
      <xdr:rowOff>158750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8575482"/>
          <a:ext cx="2095500" cy="1427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31750</xdr:colOff>
      <xdr:row>120</xdr:row>
      <xdr:rowOff>20509</xdr:rowOff>
    </xdr:from>
    <xdr:to>
      <xdr:col>1</xdr:col>
      <xdr:colOff>2146300</xdr:colOff>
      <xdr:row>127</xdr:row>
      <xdr:rowOff>171450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0429409"/>
          <a:ext cx="2114550" cy="1439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94</xdr:row>
      <xdr:rowOff>0</xdr:rowOff>
    </xdr:from>
    <xdr:to>
      <xdr:col>1</xdr:col>
      <xdr:colOff>3844926</xdr:colOff>
      <xdr:row>104</xdr:row>
      <xdr:rowOff>110877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1" y="17018000"/>
          <a:ext cx="3844925" cy="195237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73</xdr:row>
      <xdr:rowOff>38100</xdr:rowOff>
    </xdr:from>
    <xdr:to>
      <xdr:col>1</xdr:col>
      <xdr:colOff>2178050</xdr:colOff>
      <xdr:row>80</xdr:row>
      <xdr:rowOff>146050</xdr:rowOff>
    </xdr:to>
    <xdr:pic>
      <xdr:nvPicPr>
        <xdr:cNvPr id="3" name="Picture 2" descr="Z:\Compliance\Reports\ICRA - Riskometer\Low to Moderate_Arbitrag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248410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31750</xdr:colOff>
      <xdr:row>83</xdr:row>
      <xdr:rowOff>50800</xdr:rowOff>
    </xdr:from>
    <xdr:to>
      <xdr:col>1</xdr:col>
      <xdr:colOff>2108200</xdr:colOff>
      <xdr:row>90</xdr:row>
      <xdr:rowOff>114935</xdr:rowOff>
    </xdr:to>
    <xdr:pic>
      <xdr:nvPicPr>
        <xdr:cNvPr id="5" name="Picture 4" descr="Z:\Compliance\Reports\ICRA - Riskometer\Moderate_banking &amp; PSU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4338300"/>
          <a:ext cx="2076450" cy="13531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84</xdr:row>
      <xdr:rowOff>14978</xdr:rowOff>
    </xdr:from>
    <xdr:to>
      <xdr:col>1</xdr:col>
      <xdr:colOff>2089150</xdr:colOff>
      <xdr:row>91</xdr:row>
      <xdr:rowOff>127000</xdr:rowOff>
    </xdr:to>
    <xdr:pic>
      <xdr:nvPicPr>
        <xdr:cNvPr id="2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4277078"/>
          <a:ext cx="2057400" cy="1401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50800</xdr:colOff>
      <xdr:row>94</xdr:row>
      <xdr:rowOff>38353</xdr:rowOff>
    </xdr:from>
    <xdr:to>
      <xdr:col>1</xdr:col>
      <xdr:colOff>2101850</xdr:colOff>
      <xdr:row>101</xdr:row>
      <xdr:rowOff>146051</xdr:rowOff>
    </xdr:to>
    <xdr:pic>
      <xdr:nvPicPr>
        <xdr:cNvPr id="3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6154653"/>
          <a:ext cx="2051050" cy="139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"/>
  <sheetViews>
    <sheetView tabSelected="1" workbookViewId="0">
      <selection activeCell="B2" sqref="B2"/>
    </sheetView>
  </sheetViews>
  <sheetFormatPr defaultRowHeight="15"/>
  <cols>
    <col min="1" max="1" width="3.28515625" customWidth="1"/>
    <col min="2" max="2" width="16.7109375" customWidth="1"/>
    <col min="3" max="3" width="52.42578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116" t="s">
        <v>3</v>
      </c>
      <c r="C2" s="2" t="s">
        <v>4</v>
      </c>
    </row>
    <row r="3" spans="1:3" ht="12.95" customHeight="1">
      <c r="A3" s="2">
        <v>2</v>
      </c>
      <c r="B3" s="116" t="s">
        <v>5</v>
      </c>
      <c r="C3" s="2" t="s">
        <v>6</v>
      </c>
    </row>
    <row r="4" spans="1:3" ht="12.95" customHeight="1">
      <c r="A4" s="2">
        <v>3</v>
      </c>
      <c r="B4" s="116" t="s">
        <v>7</v>
      </c>
      <c r="C4" s="2" t="s">
        <v>8</v>
      </c>
    </row>
    <row r="5" spans="1:3" ht="12.95" customHeight="1">
      <c r="A5" s="2">
        <v>4</v>
      </c>
      <c r="B5" s="116" t="s">
        <v>9</v>
      </c>
      <c r="C5" s="2" t="s">
        <v>10</v>
      </c>
    </row>
    <row r="6" spans="1:3" ht="12.95" customHeight="1">
      <c r="A6" s="2">
        <v>5</v>
      </c>
      <c r="B6" s="116" t="s">
        <v>11</v>
      </c>
      <c r="C6" s="2" t="s">
        <v>12</v>
      </c>
    </row>
    <row r="7" spans="1:3" ht="12.95" customHeight="1">
      <c r="A7" s="2">
        <v>6</v>
      </c>
      <c r="B7" s="116" t="s">
        <v>13</v>
      </c>
      <c r="C7" s="2" t="s">
        <v>14</v>
      </c>
    </row>
    <row r="8" spans="1:3" ht="12.95" customHeight="1">
      <c r="A8" s="2">
        <v>7</v>
      </c>
      <c r="B8" s="116" t="s">
        <v>15</v>
      </c>
      <c r="C8" s="2" t="s">
        <v>16</v>
      </c>
    </row>
    <row r="9" spans="1:3" ht="12.95" customHeight="1">
      <c r="A9" s="2">
        <v>8</v>
      </c>
      <c r="B9" s="116" t="s">
        <v>17</v>
      </c>
      <c r="C9" s="2" t="s">
        <v>18</v>
      </c>
    </row>
    <row r="10" spans="1:3" ht="12.95" customHeight="1">
      <c r="A10" s="2">
        <v>9</v>
      </c>
      <c r="B10" s="116" t="s">
        <v>19</v>
      </c>
      <c r="C10" s="2" t="s">
        <v>20</v>
      </c>
    </row>
    <row r="11" spans="1:3" ht="12.95" customHeight="1">
      <c r="A11" s="2">
        <v>10</v>
      </c>
      <c r="B11" s="116" t="s">
        <v>21</v>
      </c>
      <c r="C11" s="2" t="s">
        <v>22</v>
      </c>
    </row>
    <row r="12" spans="1:3" ht="12.95" customHeight="1">
      <c r="A12" s="2">
        <v>11</v>
      </c>
      <c r="B12" s="116" t="s">
        <v>23</v>
      </c>
      <c r="C12" s="2" t="s">
        <v>24</v>
      </c>
    </row>
    <row r="13" spans="1:3" ht="12.95" customHeight="1">
      <c r="A13" s="2">
        <v>12</v>
      </c>
      <c r="B13" s="116" t="s">
        <v>25</v>
      </c>
      <c r="C13" s="2" t="s">
        <v>26</v>
      </c>
    </row>
    <row r="14" spans="1:3" ht="12.95" customHeight="1">
      <c r="A14" s="2">
        <v>13</v>
      </c>
      <c r="B14" s="116" t="s">
        <v>27</v>
      </c>
      <c r="C14" s="2" t="s">
        <v>28</v>
      </c>
    </row>
    <row r="15" spans="1:3" ht="12.95" customHeight="1">
      <c r="A15" s="2">
        <v>14</v>
      </c>
      <c r="B15" s="116" t="s">
        <v>29</v>
      </c>
      <c r="C15" s="2" t="s">
        <v>30</v>
      </c>
    </row>
    <row r="16" spans="1:3" ht="12.95" customHeight="1">
      <c r="A16" s="2">
        <v>15</v>
      </c>
      <c r="B16" s="116" t="s">
        <v>31</v>
      </c>
      <c r="C16" s="2" t="s">
        <v>32</v>
      </c>
    </row>
  </sheetData>
  <hyperlinks>
    <hyperlink ref="B2" location="ITIAF!A1" display="ITIAF"/>
    <hyperlink ref="B3" location="ITIBAF!A1" display="ITIBAF"/>
    <hyperlink ref="B4" location="ITIBFS!A1" display="ITIBFS"/>
    <hyperlink ref="B5" location="ITIBPSU!A1" display="ITIBPSU"/>
    <hyperlink ref="B6" location="ITIDYBF!A1" display="ITIDYBF"/>
    <hyperlink ref="B7" location="ITILCF!A1" display="ITILCF"/>
    <hyperlink ref="B8" location="ITILF!A1" display="ITILF"/>
    <hyperlink ref="B9" location="ITILTE!A1" display="ITILTE"/>
    <hyperlink ref="B10" location="ITIMCF!A1" display="ITIMCF"/>
    <hyperlink ref="B11" location="ITIMID!A1" display="ITIMID"/>
    <hyperlink ref="B12" location="ITIONF!A1" display="ITIONF"/>
    <hyperlink ref="B13" location="ITIPHF!A1" display="ITIPHF"/>
    <hyperlink ref="B14" location="ITISCF!A1" display="ITISCF"/>
    <hyperlink ref="B15" location="ITIUSDF!A1" display="ITIUSDF"/>
    <hyperlink ref="B16" location="ITIVF!A1" display="ITIVF"/>
  </hyperlink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7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7" t="s">
        <v>36</v>
      </c>
      <c r="C6" s="38" t="s">
        <v>37</v>
      </c>
      <c r="D6" s="39" t="s">
        <v>38</v>
      </c>
      <c r="E6" s="39" t="s">
        <v>39</v>
      </c>
      <c r="F6" s="39" t="s">
        <v>40</v>
      </c>
      <c r="G6" s="39" t="s">
        <v>41</v>
      </c>
      <c r="H6" s="39" t="s">
        <v>42</v>
      </c>
      <c r="I6" s="40" t="s">
        <v>43</v>
      </c>
    </row>
    <row r="7" spans="1:9" ht="12.95" customHeight="1">
      <c r="A7" s="3"/>
      <c r="B7" s="43" t="s">
        <v>44</v>
      </c>
      <c r="C7" s="26"/>
      <c r="D7" s="26"/>
      <c r="E7" s="26"/>
      <c r="F7" s="26"/>
      <c r="G7" s="26"/>
      <c r="H7" s="27"/>
      <c r="I7" s="44"/>
    </row>
    <row r="8" spans="1:9" ht="12.95" customHeight="1">
      <c r="A8" s="3"/>
      <c r="B8" s="43" t="s">
        <v>45</v>
      </c>
      <c r="C8" s="26"/>
      <c r="D8" s="26"/>
      <c r="E8" s="26"/>
      <c r="F8" s="28"/>
      <c r="G8" s="27"/>
      <c r="H8" s="27"/>
      <c r="I8" s="44"/>
    </row>
    <row r="9" spans="1:9" ht="12.95" customHeight="1">
      <c r="A9" s="10" t="s">
        <v>46</v>
      </c>
      <c r="B9" s="46" t="s">
        <v>47</v>
      </c>
      <c r="C9" s="26" t="s">
        <v>48</v>
      </c>
      <c r="D9" s="26" t="s">
        <v>49</v>
      </c>
      <c r="E9" s="29">
        <v>13750</v>
      </c>
      <c r="F9" s="30">
        <v>100.42</v>
      </c>
      <c r="G9" s="31">
        <v>8.3599999999999994E-2</v>
      </c>
      <c r="H9" s="56"/>
      <c r="I9" s="47"/>
    </row>
    <row r="10" spans="1:9" ht="12.95" customHeight="1">
      <c r="A10" s="10" t="s">
        <v>50</v>
      </c>
      <c r="B10" s="46" t="s">
        <v>51</v>
      </c>
      <c r="C10" s="26" t="s">
        <v>52</v>
      </c>
      <c r="D10" s="26" t="s">
        <v>53</v>
      </c>
      <c r="E10" s="29">
        <v>1250</v>
      </c>
      <c r="F10" s="30">
        <v>87.22</v>
      </c>
      <c r="G10" s="31">
        <v>7.2599999999999998E-2</v>
      </c>
      <c r="H10" s="56"/>
      <c r="I10" s="47"/>
    </row>
    <row r="11" spans="1:9" ht="12.95" customHeight="1">
      <c r="A11" s="10" t="s">
        <v>54</v>
      </c>
      <c r="B11" s="46" t="s">
        <v>55</v>
      </c>
      <c r="C11" s="26" t="s">
        <v>56</v>
      </c>
      <c r="D11" s="26" t="s">
        <v>57</v>
      </c>
      <c r="E11" s="29">
        <v>1800</v>
      </c>
      <c r="F11" s="30">
        <v>84.21</v>
      </c>
      <c r="G11" s="31">
        <v>7.0099999999999996E-2</v>
      </c>
      <c r="H11" s="56"/>
      <c r="I11" s="47"/>
    </row>
    <row r="12" spans="1:9" ht="12.95" customHeight="1">
      <c r="A12" s="10" t="s">
        <v>58</v>
      </c>
      <c r="B12" s="46" t="s">
        <v>59</v>
      </c>
      <c r="C12" s="26" t="s">
        <v>60</v>
      </c>
      <c r="D12" s="26" t="s">
        <v>61</v>
      </c>
      <c r="E12" s="29">
        <v>16125</v>
      </c>
      <c r="F12" s="30">
        <v>76.680000000000007</v>
      </c>
      <c r="G12" s="31">
        <v>6.3899999999999998E-2</v>
      </c>
      <c r="H12" s="56"/>
      <c r="I12" s="47"/>
    </row>
    <row r="13" spans="1:9" ht="12.95" customHeight="1">
      <c r="A13" s="10" t="s">
        <v>62</v>
      </c>
      <c r="B13" s="46" t="s">
        <v>63</v>
      </c>
      <c r="C13" s="26" t="s">
        <v>64</v>
      </c>
      <c r="D13" s="26" t="s">
        <v>53</v>
      </c>
      <c r="E13" s="29">
        <v>20000</v>
      </c>
      <c r="F13" s="30">
        <v>73.930000000000007</v>
      </c>
      <c r="G13" s="31">
        <v>6.1600000000000002E-2</v>
      </c>
      <c r="H13" s="56"/>
      <c r="I13" s="47"/>
    </row>
    <row r="14" spans="1:9" ht="12.95" customHeight="1">
      <c r="A14" s="10" t="s">
        <v>65</v>
      </c>
      <c r="B14" s="46" t="s">
        <v>66</v>
      </c>
      <c r="C14" s="26" t="s">
        <v>67</v>
      </c>
      <c r="D14" s="26" t="s">
        <v>68</v>
      </c>
      <c r="E14" s="29">
        <v>14000</v>
      </c>
      <c r="F14" s="30">
        <v>71.77</v>
      </c>
      <c r="G14" s="31">
        <v>5.9799999999999999E-2</v>
      </c>
      <c r="H14" s="56"/>
      <c r="I14" s="47"/>
    </row>
    <row r="15" spans="1:9" ht="12.95" customHeight="1">
      <c r="A15" s="10" t="s">
        <v>69</v>
      </c>
      <c r="B15" s="46" t="s">
        <v>70</v>
      </c>
      <c r="C15" s="26" t="s">
        <v>71</v>
      </c>
      <c r="D15" s="26" t="s">
        <v>72</v>
      </c>
      <c r="E15" s="29">
        <v>9900</v>
      </c>
      <c r="F15" s="30">
        <v>64.31</v>
      </c>
      <c r="G15" s="31">
        <v>5.3600000000000002E-2</v>
      </c>
      <c r="H15" s="56"/>
      <c r="I15" s="47"/>
    </row>
    <row r="16" spans="1:9" ht="12.95" customHeight="1">
      <c r="A16" s="10" t="s">
        <v>73</v>
      </c>
      <c r="B16" s="46" t="s">
        <v>74</v>
      </c>
      <c r="C16" s="26" t="s">
        <v>75</v>
      </c>
      <c r="D16" s="26" t="s">
        <v>57</v>
      </c>
      <c r="E16" s="29">
        <v>7000</v>
      </c>
      <c r="F16" s="30">
        <v>59.2</v>
      </c>
      <c r="G16" s="31">
        <v>4.9299999999999997E-2</v>
      </c>
      <c r="H16" s="56"/>
      <c r="I16" s="47"/>
    </row>
    <row r="17" spans="1:9" ht="12.95" customHeight="1">
      <c r="A17" s="10" t="s">
        <v>76</v>
      </c>
      <c r="B17" s="46" t="s">
        <v>77</v>
      </c>
      <c r="C17" s="26" t="s">
        <v>78</v>
      </c>
      <c r="D17" s="26" t="s">
        <v>79</v>
      </c>
      <c r="E17" s="29">
        <v>2000</v>
      </c>
      <c r="F17" s="30">
        <v>34.19</v>
      </c>
      <c r="G17" s="31">
        <v>2.8500000000000001E-2</v>
      </c>
      <c r="H17" s="56"/>
      <c r="I17" s="47"/>
    </row>
    <row r="18" spans="1:9" ht="12.95" customHeight="1">
      <c r="A18" s="10" t="s">
        <v>80</v>
      </c>
      <c r="B18" s="46" t="s">
        <v>81</v>
      </c>
      <c r="C18" s="26" t="s">
        <v>82</v>
      </c>
      <c r="D18" s="26" t="s">
        <v>57</v>
      </c>
      <c r="E18" s="29">
        <v>3400</v>
      </c>
      <c r="F18" s="30">
        <v>32.33</v>
      </c>
      <c r="G18" s="31">
        <v>2.69E-2</v>
      </c>
      <c r="H18" s="56"/>
      <c r="I18" s="47"/>
    </row>
    <row r="19" spans="1:9" ht="12.95" customHeight="1">
      <c r="A19" s="10" t="s">
        <v>83</v>
      </c>
      <c r="B19" s="46" t="s">
        <v>84</v>
      </c>
      <c r="C19" s="26" t="s">
        <v>85</v>
      </c>
      <c r="D19" s="26" t="s">
        <v>86</v>
      </c>
      <c r="E19" s="29">
        <v>3900</v>
      </c>
      <c r="F19" s="30">
        <v>29.14</v>
      </c>
      <c r="G19" s="31">
        <v>2.4299999999999999E-2</v>
      </c>
      <c r="H19" s="56"/>
      <c r="I19" s="47"/>
    </row>
    <row r="20" spans="1:9" ht="12.95" customHeight="1">
      <c r="A20" s="10" t="s">
        <v>87</v>
      </c>
      <c r="B20" s="46" t="s">
        <v>88</v>
      </c>
      <c r="C20" s="26" t="s">
        <v>89</v>
      </c>
      <c r="D20" s="26" t="s">
        <v>90</v>
      </c>
      <c r="E20" s="29">
        <v>1000</v>
      </c>
      <c r="F20" s="30">
        <v>23.68</v>
      </c>
      <c r="G20" s="31">
        <v>1.9699999999999999E-2</v>
      </c>
      <c r="H20" s="56"/>
      <c r="I20" s="47"/>
    </row>
    <row r="21" spans="1:9" ht="12.95" customHeight="1">
      <c r="A21" s="10" t="s">
        <v>91</v>
      </c>
      <c r="B21" s="46" t="s">
        <v>92</v>
      </c>
      <c r="C21" s="26" t="s">
        <v>93</v>
      </c>
      <c r="D21" s="26" t="s">
        <v>94</v>
      </c>
      <c r="E21" s="29">
        <v>1400</v>
      </c>
      <c r="F21" s="30">
        <v>22.16</v>
      </c>
      <c r="G21" s="31">
        <v>1.8499999999999999E-2</v>
      </c>
      <c r="H21" s="56"/>
      <c r="I21" s="47"/>
    </row>
    <row r="22" spans="1:9" ht="12.95" customHeight="1">
      <c r="A22" s="10" t="s">
        <v>95</v>
      </c>
      <c r="B22" s="46" t="s">
        <v>96</v>
      </c>
      <c r="C22" s="26" t="s">
        <v>97</v>
      </c>
      <c r="D22" s="26" t="s">
        <v>98</v>
      </c>
      <c r="E22" s="29">
        <v>4500</v>
      </c>
      <c r="F22" s="30">
        <v>20.72</v>
      </c>
      <c r="G22" s="31">
        <v>1.7299999999999999E-2</v>
      </c>
      <c r="H22" s="56"/>
      <c r="I22" s="47"/>
    </row>
    <row r="23" spans="1:9" ht="12.95" customHeight="1">
      <c r="A23" s="10" t="s">
        <v>99</v>
      </c>
      <c r="B23" s="46" t="s">
        <v>100</v>
      </c>
      <c r="C23" s="26" t="s">
        <v>101</v>
      </c>
      <c r="D23" s="26" t="s">
        <v>102</v>
      </c>
      <c r="E23" s="29">
        <v>3300</v>
      </c>
      <c r="F23" s="30">
        <v>12.88</v>
      </c>
      <c r="G23" s="31">
        <v>1.0699999999999999E-2</v>
      </c>
      <c r="H23" s="56"/>
      <c r="I23" s="47"/>
    </row>
    <row r="24" spans="1:9" ht="12.95" customHeight="1">
      <c r="A24" s="10" t="s">
        <v>103</v>
      </c>
      <c r="B24" s="46" t="s">
        <v>104</v>
      </c>
      <c r="C24" s="26" t="s">
        <v>105</v>
      </c>
      <c r="D24" s="26" t="s">
        <v>98</v>
      </c>
      <c r="E24" s="29">
        <v>400</v>
      </c>
      <c r="F24" s="30">
        <v>7.18</v>
      </c>
      <c r="G24" s="31">
        <v>6.0000000000000001E-3</v>
      </c>
      <c r="H24" s="56"/>
      <c r="I24" s="47"/>
    </row>
    <row r="25" spans="1:9" ht="12.95" customHeight="1">
      <c r="A25" s="10" t="s">
        <v>106</v>
      </c>
      <c r="B25" s="46" t="s">
        <v>107</v>
      </c>
      <c r="C25" s="26" t="s">
        <v>108</v>
      </c>
      <c r="D25" s="26" t="s">
        <v>68</v>
      </c>
      <c r="E25" s="29">
        <v>3200</v>
      </c>
      <c r="F25" s="30">
        <v>6.98</v>
      </c>
      <c r="G25" s="31">
        <v>5.7999999999999996E-3</v>
      </c>
      <c r="H25" s="56"/>
      <c r="I25" s="47"/>
    </row>
    <row r="26" spans="1:9" ht="12.95" customHeight="1">
      <c r="A26" s="3"/>
      <c r="B26" s="43" t="s">
        <v>126</v>
      </c>
      <c r="C26" s="26"/>
      <c r="D26" s="26"/>
      <c r="E26" s="26"/>
      <c r="F26" s="33">
        <f>SUM(F9:F25)</f>
        <v>807</v>
      </c>
      <c r="G26" s="34">
        <f>SUM(G9:G25)</f>
        <v>0.67220000000000002</v>
      </c>
      <c r="H26" s="19"/>
      <c r="I26" s="42"/>
    </row>
    <row r="27" spans="1:9" ht="12.95" customHeight="1">
      <c r="A27" s="3"/>
      <c r="B27" s="45" t="s">
        <v>127</v>
      </c>
      <c r="C27" s="18"/>
      <c r="D27" s="18"/>
      <c r="E27" s="18"/>
      <c r="F27" s="19" t="s">
        <v>128</v>
      </c>
      <c r="G27" s="19" t="s">
        <v>128</v>
      </c>
      <c r="H27" s="19"/>
      <c r="I27" s="42"/>
    </row>
    <row r="28" spans="1:9" ht="12.95" customHeight="1">
      <c r="A28" s="3"/>
      <c r="B28" s="45" t="s">
        <v>126</v>
      </c>
      <c r="C28" s="18"/>
      <c r="D28" s="18"/>
      <c r="E28" s="18"/>
      <c r="F28" s="19" t="s">
        <v>128</v>
      </c>
      <c r="G28" s="19" t="s">
        <v>128</v>
      </c>
      <c r="H28" s="19"/>
      <c r="I28" s="42"/>
    </row>
    <row r="29" spans="1:9" ht="12.95" customHeight="1">
      <c r="A29" s="3"/>
      <c r="B29" s="45" t="s">
        <v>129</v>
      </c>
      <c r="C29" s="22"/>
      <c r="D29" s="18"/>
      <c r="E29" s="22"/>
      <c r="F29" s="33">
        <v>807</v>
      </c>
      <c r="G29" s="34">
        <v>0.67220000000000002</v>
      </c>
      <c r="H29" s="19"/>
      <c r="I29" s="42"/>
    </row>
    <row r="30" spans="1:9" ht="12.95" customHeight="1">
      <c r="A30" s="3"/>
      <c r="B30" s="41" t="s">
        <v>133</v>
      </c>
      <c r="C30" s="20"/>
      <c r="D30" s="20"/>
      <c r="E30" s="20"/>
      <c r="F30" s="21"/>
      <c r="G30" s="21"/>
      <c r="H30" s="21"/>
      <c r="I30" s="44"/>
    </row>
    <row r="31" spans="1:9" ht="12.95" customHeight="1">
      <c r="A31" s="3"/>
      <c r="B31" s="43"/>
      <c r="C31" s="20"/>
      <c r="D31" s="20"/>
      <c r="E31" s="20"/>
      <c r="F31" s="21"/>
      <c r="G31" s="21"/>
      <c r="H31" s="21"/>
      <c r="I31" s="44"/>
    </row>
    <row r="32" spans="1:9" ht="12.95" customHeight="1">
      <c r="A32" s="3"/>
      <c r="B32" s="45" t="s">
        <v>134</v>
      </c>
      <c r="C32" s="18"/>
      <c r="D32" s="18"/>
      <c r="E32" s="18"/>
      <c r="F32" s="19" t="s">
        <v>128</v>
      </c>
      <c r="G32" s="19" t="s">
        <v>128</v>
      </c>
      <c r="H32" s="19"/>
      <c r="I32" s="42"/>
    </row>
    <row r="33" spans="1:9" ht="12.95" customHeight="1">
      <c r="A33" s="3"/>
      <c r="B33" s="43"/>
      <c r="C33" s="20"/>
      <c r="D33" s="20"/>
      <c r="E33" s="20"/>
      <c r="F33" s="21"/>
      <c r="G33" s="21"/>
      <c r="H33" s="21"/>
      <c r="I33" s="44"/>
    </row>
    <row r="34" spans="1:9" ht="12.95" customHeight="1">
      <c r="A34" s="3"/>
      <c r="B34" s="45" t="s">
        <v>135</v>
      </c>
      <c r="C34" s="18"/>
      <c r="D34" s="18"/>
      <c r="E34" s="18"/>
      <c r="F34" s="19" t="s">
        <v>128</v>
      </c>
      <c r="G34" s="19" t="s">
        <v>128</v>
      </c>
      <c r="H34" s="19"/>
      <c r="I34" s="42"/>
    </row>
    <row r="35" spans="1:9" ht="12.95" customHeight="1">
      <c r="A35" s="3"/>
      <c r="B35" s="43"/>
      <c r="C35" s="20"/>
      <c r="D35" s="20"/>
      <c r="E35" s="20"/>
      <c r="F35" s="21"/>
      <c r="G35" s="21"/>
      <c r="H35" s="21"/>
      <c r="I35" s="44"/>
    </row>
    <row r="36" spans="1:9" ht="12.95" customHeight="1">
      <c r="A36" s="3"/>
      <c r="B36" s="45" t="s">
        <v>136</v>
      </c>
      <c r="C36" s="18"/>
      <c r="D36" s="18"/>
      <c r="E36" s="18"/>
      <c r="F36" s="19" t="s">
        <v>128</v>
      </c>
      <c r="G36" s="19" t="s">
        <v>128</v>
      </c>
      <c r="H36" s="19"/>
      <c r="I36" s="42"/>
    </row>
    <row r="37" spans="1:9" ht="12.95" customHeight="1">
      <c r="A37" s="3"/>
      <c r="B37" s="43"/>
      <c r="C37" s="20"/>
      <c r="D37" s="20"/>
      <c r="E37" s="20"/>
      <c r="F37" s="21"/>
      <c r="G37" s="21"/>
      <c r="H37" s="21"/>
      <c r="I37" s="44"/>
    </row>
    <row r="38" spans="1:9" ht="12.95" customHeight="1">
      <c r="A38" s="3"/>
      <c r="B38" s="45" t="s">
        <v>137</v>
      </c>
      <c r="C38" s="18"/>
      <c r="D38" s="18"/>
      <c r="E38" s="18"/>
      <c r="F38" s="19" t="s">
        <v>128</v>
      </c>
      <c r="G38" s="19" t="s">
        <v>128</v>
      </c>
      <c r="H38" s="19"/>
      <c r="I38" s="42"/>
    </row>
    <row r="39" spans="1:9" ht="12.95" customHeight="1">
      <c r="A39" s="3"/>
      <c r="B39" s="43"/>
      <c r="C39" s="20"/>
      <c r="D39" s="20"/>
      <c r="E39" s="20"/>
      <c r="F39" s="21"/>
      <c r="G39" s="21"/>
      <c r="H39" s="21"/>
      <c r="I39" s="44"/>
    </row>
    <row r="40" spans="1:9" ht="12.95" customHeight="1">
      <c r="A40" s="3"/>
      <c r="B40" s="45" t="s">
        <v>138</v>
      </c>
      <c r="C40" s="22"/>
      <c r="D40" s="22"/>
      <c r="E40" s="22"/>
      <c r="F40" s="23" t="s">
        <v>128</v>
      </c>
      <c r="G40" s="23" t="s">
        <v>128</v>
      </c>
      <c r="H40" s="23"/>
      <c r="I40" s="42"/>
    </row>
    <row r="41" spans="1:9" ht="12.95" customHeight="1">
      <c r="A41" s="3"/>
      <c r="B41" s="43"/>
      <c r="C41" s="20"/>
      <c r="D41" s="20"/>
      <c r="E41" s="20"/>
      <c r="F41" s="21"/>
      <c r="G41" s="21"/>
      <c r="H41" s="21"/>
      <c r="I41" s="44"/>
    </row>
    <row r="42" spans="1:9" ht="12.95" customHeight="1">
      <c r="A42" s="3"/>
      <c r="B42" s="45" t="s">
        <v>129</v>
      </c>
      <c r="C42" s="24"/>
      <c r="D42" s="24"/>
      <c r="E42" s="24"/>
      <c r="F42" s="25" t="s">
        <v>128</v>
      </c>
      <c r="G42" s="25" t="s">
        <v>128</v>
      </c>
      <c r="H42" s="25"/>
      <c r="I42" s="42"/>
    </row>
    <row r="43" spans="1:9" ht="12.95" customHeight="1">
      <c r="A43" s="3"/>
      <c r="B43" s="45" t="s">
        <v>139</v>
      </c>
      <c r="C43" s="18"/>
      <c r="D43" s="18"/>
      <c r="E43" s="18"/>
      <c r="F43" s="19" t="s">
        <v>128</v>
      </c>
      <c r="G43" s="19" t="s">
        <v>128</v>
      </c>
      <c r="H43" s="19"/>
      <c r="I43" s="42"/>
    </row>
    <row r="44" spans="1:9" ht="12.95" customHeight="1">
      <c r="A44" s="3"/>
      <c r="B44" s="43"/>
      <c r="C44" s="20"/>
      <c r="D44" s="20"/>
      <c r="E44" s="20"/>
      <c r="F44" s="21"/>
      <c r="G44" s="21"/>
      <c r="H44" s="21"/>
      <c r="I44" s="44"/>
    </row>
    <row r="45" spans="1:9" ht="12.95" customHeight="1">
      <c r="A45" s="3"/>
      <c r="B45" s="45" t="s">
        <v>140</v>
      </c>
      <c r="C45" s="18"/>
      <c r="D45" s="18"/>
      <c r="E45" s="18"/>
      <c r="F45" s="19" t="s">
        <v>128</v>
      </c>
      <c r="G45" s="19" t="s">
        <v>128</v>
      </c>
      <c r="H45" s="19"/>
      <c r="I45" s="42"/>
    </row>
    <row r="46" spans="1:9" ht="12.95" customHeight="1">
      <c r="A46" s="3"/>
      <c r="B46" s="43"/>
      <c r="C46" s="20"/>
      <c r="D46" s="20"/>
      <c r="E46" s="20"/>
      <c r="F46" s="21"/>
      <c r="G46" s="21"/>
      <c r="H46" s="21"/>
      <c r="I46" s="44"/>
    </row>
    <row r="47" spans="1:9" ht="12.95" customHeight="1">
      <c r="A47" s="3"/>
      <c r="B47" s="45" t="s">
        <v>141</v>
      </c>
      <c r="C47" s="18"/>
      <c r="D47" s="18"/>
      <c r="E47" s="18"/>
      <c r="F47" s="19" t="s">
        <v>128</v>
      </c>
      <c r="G47" s="19" t="s">
        <v>128</v>
      </c>
      <c r="H47" s="19"/>
      <c r="I47" s="42"/>
    </row>
    <row r="48" spans="1:9" ht="12.95" customHeight="1">
      <c r="A48" s="3"/>
      <c r="B48" s="43"/>
      <c r="C48" s="20"/>
      <c r="D48" s="20"/>
      <c r="E48" s="20"/>
      <c r="F48" s="21"/>
      <c r="G48" s="21"/>
      <c r="H48" s="21"/>
      <c r="I48" s="44"/>
    </row>
    <row r="49" spans="1:9" ht="12.95" customHeight="1">
      <c r="A49" s="3"/>
      <c r="B49" s="45" t="s">
        <v>142</v>
      </c>
      <c r="C49" s="18"/>
      <c r="D49" s="18"/>
      <c r="E49" s="18"/>
      <c r="F49" s="19" t="s">
        <v>128</v>
      </c>
      <c r="G49" s="19" t="s">
        <v>128</v>
      </c>
      <c r="H49" s="19"/>
      <c r="I49" s="42"/>
    </row>
    <row r="50" spans="1:9" ht="12.95" customHeight="1">
      <c r="A50" s="3"/>
      <c r="B50" s="43"/>
      <c r="C50" s="20"/>
      <c r="D50" s="20"/>
      <c r="E50" s="20"/>
      <c r="F50" s="21"/>
      <c r="G50" s="21"/>
      <c r="H50" s="21"/>
      <c r="I50" s="44"/>
    </row>
    <row r="51" spans="1:9" ht="12.95" customHeight="1">
      <c r="A51" s="3"/>
      <c r="B51" s="45" t="s">
        <v>143</v>
      </c>
      <c r="C51" s="22"/>
      <c r="D51" s="22"/>
      <c r="E51" s="22"/>
      <c r="F51" s="23" t="s">
        <v>128</v>
      </c>
      <c r="G51" s="23" t="s">
        <v>128</v>
      </c>
      <c r="H51" s="23"/>
      <c r="I51" s="42"/>
    </row>
    <row r="52" spans="1:9" ht="12.95" customHeight="1">
      <c r="A52" s="3"/>
      <c r="B52" s="43"/>
      <c r="C52" s="20"/>
      <c r="D52" s="20"/>
      <c r="E52" s="20"/>
      <c r="F52" s="21"/>
      <c r="G52" s="21"/>
      <c r="H52" s="21"/>
      <c r="I52" s="44"/>
    </row>
    <row r="53" spans="1:9" ht="12.95" customHeight="1">
      <c r="A53" s="3"/>
      <c r="B53" s="45" t="s">
        <v>129</v>
      </c>
      <c r="C53" s="24"/>
      <c r="D53" s="24"/>
      <c r="E53" s="24"/>
      <c r="F53" s="25" t="s">
        <v>128</v>
      </c>
      <c r="G53" s="25" t="s">
        <v>128</v>
      </c>
      <c r="H53" s="25"/>
      <c r="I53" s="42"/>
    </row>
    <row r="54" spans="1:9" ht="12.95" customHeight="1">
      <c r="A54" s="3"/>
      <c r="B54" s="45" t="s">
        <v>144</v>
      </c>
      <c r="C54" s="18"/>
      <c r="D54" s="18"/>
      <c r="E54" s="18"/>
      <c r="F54" s="19" t="s">
        <v>128</v>
      </c>
      <c r="G54" s="19" t="s">
        <v>128</v>
      </c>
      <c r="H54" s="19"/>
      <c r="I54" s="42"/>
    </row>
    <row r="55" spans="1:9" ht="12.95" customHeight="1">
      <c r="A55" s="3"/>
      <c r="B55" s="43"/>
      <c r="C55" s="20"/>
      <c r="D55" s="20"/>
      <c r="E55" s="20"/>
      <c r="F55" s="21"/>
      <c r="G55" s="21"/>
      <c r="H55" s="21"/>
      <c r="I55" s="44"/>
    </row>
    <row r="56" spans="1:9" ht="12.95" customHeight="1">
      <c r="A56" s="3"/>
      <c r="B56" s="45" t="s">
        <v>145</v>
      </c>
      <c r="C56" s="18"/>
      <c r="D56" s="18"/>
      <c r="E56" s="18"/>
      <c r="F56" s="19" t="s">
        <v>128</v>
      </c>
      <c r="G56" s="19" t="s">
        <v>128</v>
      </c>
      <c r="H56" s="19"/>
      <c r="I56" s="42"/>
    </row>
    <row r="57" spans="1:9" ht="12.95" customHeight="1">
      <c r="A57" s="3"/>
      <c r="B57" s="43"/>
      <c r="C57" s="20"/>
      <c r="D57" s="20"/>
      <c r="E57" s="20"/>
      <c r="F57" s="21"/>
      <c r="G57" s="21"/>
      <c r="H57" s="21"/>
      <c r="I57" s="44"/>
    </row>
    <row r="58" spans="1:9" ht="12.95" customHeight="1">
      <c r="A58" s="3"/>
      <c r="B58" s="45" t="s">
        <v>146</v>
      </c>
      <c r="C58" s="18"/>
      <c r="D58" s="18"/>
      <c r="E58" s="18"/>
      <c r="F58" s="19" t="s">
        <v>128</v>
      </c>
      <c r="G58" s="19" t="s">
        <v>128</v>
      </c>
      <c r="H58" s="19"/>
      <c r="I58" s="42"/>
    </row>
    <row r="59" spans="1:9" ht="12.95" customHeight="1">
      <c r="A59" s="3"/>
      <c r="B59" s="43"/>
      <c r="C59" s="20"/>
      <c r="D59" s="20"/>
      <c r="E59" s="20"/>
      <c r="F59" s="21"/>
      <c r="G59" s="21"/>
      <c r="H59" s="21"/>
      <c r="I59" s="44"/>
    </row>
    <row r="60" spans="1:9" ht="12.95" customHeight="1">
      <c r="A60" s="3"/>
      <c r="B60" s="45" t="s">
        <v>147</v>
      </c>
      <c r="C60" s="18"/>
      <c r="D60" s="18"/>
      <c r="E60" s="18"/>
      <c r="F60" s="19" t="s">
        <v>128</v>
      </c>
      <c r="G60" s="19" t="s">
        <v>128</v>
      </c>
      <c r="H60" s="19"/>
      <c r="I60" s="42"/>
    </row>
    <row r="61" spans="1:9" ht="12.95" customHeight="1">
      <c r="A61" s="3"/>
      <c r="B61" s="43"/>
      <c r="C61" s="20"/>
      <c r="D61" s="20"/>
      <c r="E61" s="20"/>
      <c r="F61" s="21"/>
      <c r="G61" s="21"/>
      <c r="H61" s="21"/>
      <c r="I61" s="44"/>
    </row>
    <row r="62" spans="1:9" ht="12.95" customHeight="1">
      <c r="A62" s="3"/>
      <c r="B62" s="45" t="s">
        <v>148</v>
      </c>
      <c r="C62" s="18"/>
      <c r="D62" s="18"/>
      <c r="E62" s="18"/>
      <c r="F62" s="19" t="s">
        <v>128</v>
      </c>
      <c r="G62" s="19" t="s">
        <v>128</v>
      </c>
      <c r="H62" s="19"/>
      <c r="I62" s="42"/>
    </row>
    <row r="63" spans="1:9" ht="12.95" customHeight="1">
      <c r="A63" s="3"/>
      <c r="B63" s="43"/>
      <c r="C63" s="20"/>
      <c r="D63" s="20"/>
      <c r="E63" s="20"/>
      <c r="F63" s="21"/>
      <c r="G63" s="21"/>
      <c r="H63" s="21"/>
      <c r="I63" s="44"/>
    </row>
    <row r="64" spans="1:9" ht="12.95" customHeight="1">
      <c r="A64" s="3"/>
      <c r="B64" s="45" t="s">
        <v>129</v>
      </c>
      <c r="C64" s="22"/>
      <c r="D64" s="22"/>
      <c r="E64" s="22"/>
      <c r="F64" s="23" t="s">
        <v>128</v>
      </c>
      <c r="G64" s="23" t="s">
        <v>128</v>
      </c>
      <c r="H64" s="23"/>
      <c r="I64" s="42"/>
    </row>
    <row r="65" spans="1:9" ht="12.95" customHeight="1">
      <c r="A65" s="17"/>
      <c r="B65" s="45"/>
      <c r="C65" s="22"/>
      <c r="D65" s="22"/>
      <c r="E65" s="22"/>
      <c r="F65" s="23"/>
      <c r="G65" s="23"/>
      <c r="H65" s="23"/>
      <c r="I65" s="42"/>
    </row>
    <row r="66" spans="1:9" ht="12.95" customHeight="1">
      <c r="A66" s="3"/>
      <c r="B66" s="43" t="s">
        <v>130</v>
      </c>
      <c r="C66" s="26"/>
      <c r="D66" s="26"/>
      <c r="E66" s="26"/>
      <c r="F66" s="26"/>
      <c r="G66" s="26"/>
      <c r="H66" s="27"/>
      <c r="I66" s="44"/>
    </row>
    <row r="67" spans="1:9" ht="12.95" customHeight="1">
      <c r="A67" s="10" t="s">
        <v>131</v>
      </c>
      <c r="B67" s="46" t="s">
        <v>132</v>
      </c>
      <c r="C67" s="26"/>
      <c r="D67" s="26"/>
      <c r="E67" s="29"/>
      <c r="F67" s="30">
        <v>84.98</v>
      </c>
      <c r="G67" s="31">
        <v>7.0800000000000002E-2</v>
      </c>
      <c r="H67" s="56"/>
      <c r="I67" s="47"/>
    </row>
    <row r="68" spans="1:9" ht="12.95" customHeight="1">
      <c r="A68" s="3"/>
      <c r="B68" s="43" t="s">
        <v>126</v>
      </c>
      <c r="C68" s="26"/>
      <c r="D68" s="26"/>
      <c r="E68" s="26"/>
      <c r="F68" s="33">
        <v>84.98</v>
      </c>
      <c r="G68" s="34">
        <v>7.0800000000000002E-2</v>
      </c>
      <c r="H68" s="19"/>
      <c r="I68" s="42"/>
    </row>
    <row r="69" spans="1:9" ht="12.95" customHeight="1">
      <c r="A69" s="3"/>
      <c r="B69" s="45" t="s">
        <v>129</v>
      </c>
      <c r="C69" s="22"/>
      <c r="D69" s="18"/>
      <c r="E69" s="22"/>
      <c r="F69" s="33">
        <v>84.98</v>
      </c>
      <c r="G69" s="34">
        <v>7.0800000000000002E-2</v>
      </c>
      <c r="H69" s="19"/>
      <c r="I69" s="42"/>
    </row>
    <row r="70" spans="1:9" ht="12.95" customHeight="1">
      <c r="A70" s="3"/>
      <c r="B70" s="45" t="s">
        <v>149</v>
      </c>
      <c r="C70" s="35"/>
      <c r="D70" s="18"/>
      <c r="E70" s="22"/>
      <c r="F70" s="36">
        <v>308.80999999999995</v>
      </c>
      <c r="G70" s="34">
        <v>0.25700000000000001</v>
      </c>
      <c r="H70" s="19"/>
      <c r="I70" s="42"/>
    </row>
    <row r="71" spans="1:9" ht="12.95" customHeight="1" thickBot="1">
      <c r="A71" s="3"/>
      <c r="B71" s="49" t="s">
        <v>150</v>
      </c>
      <c r="C71" s="50"/>
      <c r="D71" s="50"/>
      <c r="E71" s="50"/>
      <c r="F71" s="51">
        <v>1200.79</v>
      </c>
      <c r="G71" s="52">
        <v>1</v>
      </c>
      <c r="H71" s="53"/>
      <c r="I71" s="54"/>
    </row>
    <row r="72" spans="1:9" ht="12.95" customHeight="1">
      <c r="A72" s="3"/>
      <c r="B72" s="118"/>
      <c r="C72" s="118"/>
      <c r="D72" s="118"/>
      <c r="E72" s="118"/>
      <c r="F72" s="118"/>
      <c r="G72" s="118"/>
      <c r="H72" s="118"/>
      <c r="I72" s="118"/>
    </row>
    <row r="73" spans="1:9" ht="12.95" customHeight="1">
      <c r="A73" s="17"/>
      <c r="B73" s="57"/>
      <c r="C73" s="57"/>
      <c r="D73" s="57"/>
      <c r="E73" s="57"/>
      <c r="F73" s="57"/>
      <c r="G73" s="57"/>
      <c r="H73" s="57"/>
      <c r="I73" s="57"/>
    </row>
    <row r="74" spans="1:9" ht="12.95" customHeight="1" thickBot="1">
      <c r="A74" s="17"/>
      <c r="B74" s="58" t="s">
        <v>661</v>
      </c>
      <c r="C74" s="59"/>
      <c r="D74" s="60"/>
      <c r="E74" s="60"/>
      <c r="F74" s="60"/>
      <c r="G74" s="60"/>
      <c r="H74" s="60"/>
      <c r="I74" s="60"/>
    </row>
    <row r="75" spans="1:9" ht="25.5" customHeight="1">
      <c r="A75" s="17"/>
      <c r="B75" s="62" t="s">
        <v>36</v>
      </c>
      <c r="C75" s="63" t="s">
        <v>662</v>
      </c>
      <c r="D75" s="63" t="s">
        <v>663</v>
      </c>
      <c r="E75" s="64" t="s">
        <v>39</v>
      </c>
      <c r="F75" s="65" t="s">
        <v>664</v>
      </c>
      <c r="G75" s="66" t="s">
        <v>41</v>
      </c>
      <c r="H75" s="66" t="s">
        <v>42</v>
      </c>
      <c r="I75" s="67" t="s">
        <v>43</v>
      </c>
    </row>
    <row r="76" spans="1:9" ht="12.95" customHeight="1">
      <c r="A76" s="17"/>
      <c r="B76" s="90" t="s">
        <v>665</v>
      </c>
      <c r="C76" s="68"/>
      <c r="D76" s="69"/>
      <c r="E76" s="70"/>
      <c r="F76" s="71"/>
      <c r="G76" s="70"/>
      <c r="H76" s="70"/>
      <c r="I76" s="72"/>
    </row>
    <row r="77" spans="1:9" ht="12.95" customHeight="1">
      <c r="A77" s="10" t="s">
        <v>109</v>
      </c>
      <c r="B77" s="46" t="s">
        <v>700</v>
      </c>
      <c r="C77" s="74" t="str">
        <f t="shared" ref="C77:C92" si="0">IF(E77&lt;0,"Short","Long")</f>
        <v>Short</v>
      </c>
      <c r="D77" s="26" t="s">
        <v>68</v>
      </c>
      <c r="E77" s="29">
        <v>-3200</v>
      </c>
      <c r="F77" s="30">
        <v>-7</v>
      </c>
      <c r="G77" s="31">
        <v>-5.7999999999999996E-3</v>
      </c>
      <c r="H77" s="56"/>
      <c r="I77" s="47"/>
    </row>
    <row r="78" spans="1:9" ht="12.95" customHeight="1">
      <c r="A78" s="10" t="s">
        <v>110</v>
      </c>
      <c r="B78" s="46" t="s">
        <v>701</v>
      </c>
      <c r="C78" s="74" t="str">
        <f t="shared" si="0"/>
        <v>Short</v>
      </c>
      <c r="D78" s="26" t="s">
        <v>98</v>
      </c>
      <c r="E78" s="29">
        <v>-400</v>
      </c>
      <c r="F78" s="30">
        <v>-7.2</v>
      </c>
      <c r="G78" s="31">
        <v>-6.0000000000000001E-3</v>
      </c>
      <c r="H78" s="56"/>
      <c r="I78" s="47"/>
    </row>
    <row r="79" spans="1:9" ht="12.95" customHeight="1">
      <c r="A79" s="10" t="s">
        <v>111</v>
      </c>
      <c r="B79" s="46" t="s">
        <v>702</v>
      </c>
      <c r="C79" s="74" t="str">
        <f t="shared" si="0"/>
        <v>Short</v>
      </c>
      <c r="D79" s="26" t="s">
        <v>102</v>
      </c>
      <c r="E79" s="29">
        <v>-3300</v>
      </c>
      <c r="F79" s="30">
        <v>-12.93</v>
      </c>
      <c r="G79" s="31">
        <v>-1.0800000000000001E-2</v>
      </c>
      <c r="H79" s="56"/>
      <c r="I79" s="47"/>
    </row>
    <row r="80" spans="1:9" ht="12.95" customHeight="1">
      <c r="A80" s="10" t="s">
        <v>112</v>
      </c>
      <c r="B80" s="46" t="s">
        <v>693</v>
      </c>
      <c r="C80" s="74" t="str">
        <f t="shared" si="0"/>
        <v>Short</v>
      </c>
      <c r="D80" s="26" t="s">
        <v>98</v>
      </c>
      <c r="E80" s="29">
        <v>-4500</v>
      </c>
      <c r="F80" s="30">
        <v>-20.78</v>
      </c>
      <c r="G80" s="31">
        <v>-1.7299999999999999E-2</v>
      </c>
      <c r="H80" s="56"/>
      <c r="I80" s="47"/>
    </row>
    <row r="81" spans="1:9" ht="12.95" customHeight="1">
      <c r="A81" s="10" t="s">
        <v>113</v>
      </c>
      <c r="B81" s="46" t="s">
        <v>703</v>
      </c>
      <c r="C81" s="74" t="str">
        <f t="shared" si="0"/>
        <v>Short</v>
      </c>
      <c r="D81" s="26" t="s">
        <v>94</v>
      </c>
      <c r="E81" s="29">
        <v>-1400</v>
      </c>
      <c r="F81" s="30">
        <v>-22.29</v>
      </c>
      <c r="G81" s="31">
        <v>-1.8599999999999998E-2</v>
      </c>
      <c r="H81" s="56"/>
      <c r="I81" s="47"/>
    </row>
    <row r="82" spans="1:9" ht="12.95" customHeight="1">
      <c r="A82" s="10" t="s">
        <v>114</v>
      </c>
      <c r="B82" s="46" t="s">
        <v>698</v>
      </c>
      <c r="C82" s="74" t="str">
        <f t="shared" si="0"/>
        <v>Short</v>
      </c>
      <c r="D82" s="26" t="s">
        <v>90</v>
      </c>
      <c r="E82" s="29">
        <v>-1000</v>
      </c>
      <c r="F82" s="30">
        <v>-23.82</v>
      </c>
      <c r="G82" s="31">
        <v>-1.9800000000000002E-2</v>
      </c>
      <c r="H82" s="56"/>
      <c r="I82" s="47"/>
    </row>
    <row r="83" spans="1:9" ht="12.95" customHeight="1">
      <c r="A83" s="10" t="s">
        <v>115</v>
      </c>
      <c r="B83" s="46" t="s">
        <v>704</v>
      </c>
      <c r="C83" s="74" t="str">
        <f t="shared" si="0"/>
        <v>Short</v>
      </c>
      <c r="D83" s="26" t="s">
        <v>86</v>
      </c>
      <c r="E83" s="29">
        <v>-3900</v>
      </c>
      <c r="F83" s="30">
        <v>-29.32</v>
      </c>
      <c r="G83" s="31">
        <v>-2.4400000000000002E-2</v>
      </c>
      <c r="H83" s="56"/>
      <c r="I83" s="47"/>
    </row>
    <row r="84" spans="1:9" ht="12.95" customHeight="1">
      <c r="A84" s="10" t="s">
        <v>116</v>
      </c>
      <c r="B84" s="46" t="s">
        <v>705</v>
      </c>
      <c r="C84" s="74" t="str">
        <f t="shared" si="0"/>
        <v>Short</v>
      </c>
      <c r="D84" s="26" t="s">
        <v>57</v>
      </c>
      <c r="E84" s="29">
        <v>-3400</v>
      </c>
      <c r="F84" s="30">
        <v>-32.450000000000003</v>
      </c>
      <c r="G84" s="31">
        <v>-2.7E-2</v>
      </c>
      <c r="H84" s="56"/>
      <c r="I84" s="47"/>
    </row>
    <row r="85" spans="1:9" ht="12.95" customHeight="1">
      <c r="A85" s="10" t="s">
        <v>117</v>
      </c>
      <c r="B85" s="46" t="s">
        <v>706</v>
      </c>
      <c r="C85" s="74" t="str">
        <f t="shared" si="0"/>
        <v>Short</v>
      </c>
      <c r="D85" s="26" t="s">
        <v>79</v>
      </c>
      <c r="E85" s="29">
        <v>-2000</v>
      </c>
      <c r="F85" s="30">
        <v>-34.4</v>
      </c>
      <c r="G85" s="31">
        <v>-2.86E-2</v>
      </c>
      <c r="H85" s="56"/>
      <c r="I85" s="47"/>
    </row>
    <row r="86" spans="1:9" ht="12.95" customHeight="1">
      <c r="A86" s="10" t="s">
        <v>118</v>
      </c>
      <c r="B86" s="46" t="s">
        <v>707</v>
      </c>
      <c r="C86" s="74" t="str">
        <f t="shared" si="0"/>
        <v>Short</v>
      </c>
      <c r="D86" s="26" t="s">
        <v>57</v>
      </c>
      <c r="E86" s="29">
        <v>-7000</v>
      </c>
      <c r="F86" s="30">
        <v>-59.45</v>
      </c>
      <c r="G86" s="31">
        <v>-4.9500000000000002E-2</v>
      </c>
      <c r="H86" s="56"/>
      <c r="I86" s="47"/>
    </row>
    <row r="87" spans="1:9" ht="12.95" customHeight="1">
      <c r="A87" s="10" t="s">
        <v>119</v>
      </c>
      <c r="B87" s="46" t="s">
        <v>708</v>
      </c>
      <c r="C87" s="74" t="str">
        <f t="shared" si="0"/>
        <v>Short</v>
      </c>
      <c r="D87" s="26" t="s">
        <v>72</v>
      </c>
      <c r="E87" s="29">
        <v>-9900</v>
      </c>
      <c r="F87" s="30">
        <v>-64.540000000000006</v>
      </c>
      <c r="G87" s="31">
        <v>-5.3800000000000001E-2</v>
      </c>
      <c r="H87" s="56"/>
      <c r="I87" s="47"/>
    </row>
    <row r="88" spans="1:9" ht="12.95" customHeight="1">
      <c r="A88" s="10" t="s">
        <v>120</v>
      </c>
      <c r="B88" s="46" t="s">
        <v>709</v>
      </c>
      <c r="C88" s="74" t="str">
        <f t="shared" si="0"/>
        <v>Short</v>
      </c>
      <c r="D88" s="26" t="s">
        <v>68</v>
      </c>
      <c r="E88" s="29">
        <v>-14000</v>
      </c>
      <c r="F88" s="30">
        <v>-72.17</v>
      </c>
      <c r="G88" s="31">
        <v>-6.0100000000000001E-2</v>
      </c>
      <c r="H88" s="56"/>
      <c r="I88" s="47"/>
    </row>
    <row r="89" spans="1:9" ht="12.95" customHeight="1">
      <c r="A89" s="10" t="s">
        <v>121</v>
      </c>
      <c r="B89" s="46" t="s">
        <v>710</v>
      </c>
      <c r="C89" s="74" t="str">
        <f t="shared" si="0"/>
        <v>Short</v>
      </c>
      <c r="D89" s="26" t="s">
        <v>53</v>
      </c>
      <c r="E89" s="29">
        <v>-20000</v>
      </c>
      <c r="F89" s="30">
        <v>-74.23</v>
      </c>
      <c r="G89" s="31">
        <v>-6.1800000000000001E-2</v>
      </c>
      <c r="H89" s="56"/>
      <c r="I89" s="47"/>
    </row>
    <row r="90" spans="1:9" ht="12.95" customHeight="1">
      <c r="A90" s="10" t="s">
        <v>122</v>
      </c>
      <c r="B90" s="46" t="s">
        <v>692</v>
      </c>
      <c r="C90" s="74" t="str">
        <f t="shared" si="0"/>
        <v>Short</v>
      </c>
      <c r="D90" s="26" t="s">
        <v>61</v>
      </c>
      <c r="E90" s="29">
        <v>-16125</v>
      </c>
      <c r="F90" s="30">
        <v>-76.92</v>
      </c>
      <c r="G90" s="31">
        <v>-6.4100000000000004E-2</v>
      </c>
      <c r="H90" s="56"/>
      <c r="I90" s="47"/>
    </row>
    <row r="91" spans="1:9" ht="12.95" customHeight="1">
      <c r="A91" s="10" t="s">
        <v>123</v>
      </c>
      <c r="B91" s="46" t="s">
        <v>711</v>
      </c>
      <c r="C91" s="74" t="str">
        <f t="shared" si="0"/>
        <v>Short</v>
      </c>
      <c r="D91" s="26" t="s">
        <v>57</v>
      </c>
      <c r="E91" s="29">
        <v>-1800</v>
      </c>
      <c r="F91" s="30">
        <v>-84.41</v>
      </c>
      <c r="G91" s="31">
        <v>-7.0300000000000001E-2</v>
      </c>
      <c r="H91" s="56"/>
      <c r="I91" s="47"/>
    </row>
    <row r="92" spans="1:9" ht="12.95" customHeight="1">
      <c r="A92" s="10" t="s">
        <v>124</v>
      </c>
      <c r="B92" s="46" t="s">
        <v>691</v>
      </c>
      <c r="C92" s="74" t="str">
        <f t="shared" si="0"/>
        <v>Short</v>
      </c>
      <c r="D92" s="26" t="s">
        <v>53</v>
      </c>
      <c r="E92" s="29">
        <v>-1250</v>
      </c>
      <c r="F92" s="30">
        <v>-87.64</v>
      </c>
      <c r="G92" s="31">
        <v>-7.2999999999999995E-2</v>
      </c>
      <c r="H92" s="56"/>
      <c r="I92" s="47"/>
    </row>
    <row r="93" spans="1:9" ht="12.95" customHeight="1">
      <c r="A93" s="10" t="s">
        <v>125</v>
      </c>
      <c r="B93" s="46" t="s">
        <v>712</v>
      </c>
      <c r="C93" s="74" t="str">
        <f t="shared" ref="C93" si="1">IF(E93&lt;0,"Short","Long")</f>
        <v>Short</v>
      </c>
      <c r="D93" s="26" t="s">
        <v>49</v>
      </c>
      <c r="E93" s="29">
        <v>-13750</v>
      </c>
      <c r="F93" s="30">
        <v>-100.99</v>
      </c>
      <c r="G93" s="31">
        <v>-8.4099999999999994E-2</v>
      </c>
      <c r="H93" s="56"/>
      <c r="I93" s="47"/>
    </row>
    <row r="94" spans="1:9" ht="12.95" customHeight="1">
      <c r="A94" s="17"/>
      <c r="B94" s="90"/>
      <c r="C94" s="68"/>
      <c r="D94" s="81"/>
      <c r="E94" s="81"/>
      <c r="F94" s="81"/>
      <c r="G94" s="81"/>
      <c r="H94" s="81"/>
      <c r="I94" s="82"/>
    </row>
    <row r="95" spans="1:9" ht="12.95" customHeight="1" thickBot="1">
      <c r="A95" s="17"/>
      <c r="B95" s="91" t="s">
        <v>666</v>
      </c>
      <c r="C95" s="83"/>
      <c r="D95" s="83"/>
      <c r="E95" s="84"/>
      <c r="F95" s="85">
        <f>SUM(F77:F94)</f>
        <v>-810.54</v>
      </c>
      <c r="G95" s="86">
        <f>SUM(G77:G94)</f>
        <v>-0.67499999999999993</v>
      </c>
      <c r="H95" s="87"/>
      <c r="I95" s="88"/>
    </row>
    <row r="96" spans="1:9" ht="12.95" customHeight="1">
      <c r="A96" s="17"/>
      <c r="B96" s="57"/>
      <c r="C96" s="57"/>
      <c r="D96" s="57"/>
      <c r="E96" s="57"/>
      <c r="F96" s="57"/>
      <c r="G96" s="57"/>
      <c r="H96" s="57"/>
      <c r="I96" s="57"/>
    </row>
    <row r="97" spans="1:9" ht="12.95" customHeight="1">
      <c r="A97" s="17"/>
      <c r="B97" s="57"/>
      <c r="C97" s="57"/>
      <c r="D97" s="57"/>
      <c r="E97" s="57"/>
      <c r="F97" s="57"/>
      <c r="G97" s="57"/>
      <c r="H97" s="57"/>
      <c r="I97" s="57"/>
    </row>
    <row r="98" spans="1:9" ht="12.95" customHeight="1">
      <c r="A98" s="3"/>
      <c r="B98" s="118" t="s">
        <v>151</v>
      </c>
      <c r="C98" s="118"/>
      <c r="D98" s="118"/>
      <c r="E98" s="118"/>
      <c r="F98" s="118"/>
      <c r="G98" s="118"/>
      <c r="H98" s="118"/>
      <c r="I98" s="118"/>
    </row>
    <row r="99" spans="1:9" ht="12.95" customHeight="1">
      <c r="A99" s="3"/>
      <c r="B99" s="117" t="s">
        <v>152</v>
      </c>
      <c r="C99" s="117"/>
      <c r="D99" s="117"/>
      <c r="E99" s="117"/>
      <c r="F99" s="117"/>
      <c r="G99" s="117"/>
      <c r="H99" s="117"/>
      <c r="I99" s="117"/>
    </row>
    <row r="100" spans="1:9" ht="12.95" customHeight="1">
      <c r="A100" s="3"/>
      <c r="B100" s="117" t="s">
        <v>153</v>
      </c>
      <c r="C100" s="117"/>
      <c r="D100" s="117"/>
      <c r="E100" s="117"/>
      <c r="F100" s="117"/>
      <c r="G100" s="117"/>
      <c r="H100" s="117"/>
      <c r="I100" s="117"/>
    </row>
    <row r="101" spans="1:9" ht="12.95" customHeight="1">
      <c r="A101" s="3"/>
      <c r="B101" s="117" t="s">
        <v>154</v>
      </c>
      <c r="C101" s="117"/>
      <c r="D101" s="117"/>
      <c r="E101" s="117"/>
      <c r="F101" s="117"/>
      <c r="G101" s="117"/>
      <c r="H101" s="117"/>
      <c r="I101" s="117"/>
    </row>
    <row r="102" spans="1:9" ht="12.95" customHeight="1">
      <c r="A102" s="3"/>
      <c r="B102" s="117" t="s">
        <v>155</v>
      </c>
      <c r="C102" s="117"/>
      <c r="D102" s="117"/>
      <c r="E102" s="117"/>
      <c r="F102" s="117"/>
      <c r="G102" s="117"/>
      <c r="H102" s="117"/>
      <c r="I102" s="117"/>
    </row>
    <row r="103" spans="1:9" ht="12.95" customHeight="1">
      <c r="A103" s="3"/>
      <c r="B103" s="117" t="s">
        <v>156</v>
      </c>
      <c r="C103" s="117"/>
      <c r="D103" s="117"/>
      <c r="E103" s="117"/>
      <c r="F103" s="117"/>
      <c r="G103" s="117"/>
      <c r="H103" s="117"/>
      <c r="I103" s="117"/>
    </row>
    <row r="105" spans="1:9">
      <c r="B105" s="98" t="s">
        <v>715</v>
      </c>
    </row>
    <row r="114" spans="2:2" ht="21.95" customHeight="1"/>
    <row r="115" spans="2:2" ht="21.95" customHeight="1"/>
    <row r="116" spans="2:2">
      <c r="B116" s="97" t="s">
        <v>716</v>
      </c>
    </row>
    <row r="117" spans="2:2" ht="15.75">
      <c r="B117" s="99" t="s">
        <v>717</v>
      </c>
    </row>
  </sheetData>
  <mergeCells count="7">
    <mergeCell ref="B101:I101"/>
    <mergeCell ref="B102:I102"/>
    <mergeCell ref="B103:I103"/>
    <mergeCell ref="B72:I72"/>
    <mergeCell ref="B98:I98"/>
    <mergeCell ref="B99:I99"/>
    <mergeCell ref="B100:I100"/>
  </mergeCells>
  <pageMargins left="0" right="0" top="0" bottom="0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44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  <col min="11" max="11" width="10.42578125" bestFit="1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7" t="s">
        <v>36</v>
      </c>
      <c r="C6" s="38" t="s">
        <v>37</v>
      </c>
      <c r="D6" s="39" t="s">
        <v>157</v>
      </c>
      <c r="E6" s="39" t="s">
        <v>39</v>
      </c>
      <c r="F6" s="39" t="s">
        <v>40</v>
      </c>
      <c r="G6" s="39" t="s">
        <v>41</v>
      </c>
      <c r="H6" s="39" t="s">
        <v>42</v>
      </c>
      <c r="I6" s="40" t="s">
        <v>43</v>
      </c>
    </row>
    <row r="7" spans="1:9" ht="12.95" customHeight="1">
      <c r="A7" s="3"/>
      <c r="B7" s="43" t="s">
        <v>44</v>
      </c>
      <c r="C7" s="26"/>
      <c r="D7" s="26"/>
      <c r="E7" s="26"/>
      <c r="F7" s="26"/>
      <c r="G7" s="26"/>
      <c r="H7" s="27"/>
      <c r="I7" s="44"/>
    </row>
    <row r="8" spans="1:9" ht="12.95" customHeight="1">
      <c r="A8" s="3"/>
      <c r="B8" s="43" t="s">
        <v>45</v>
      </c>
      <c r="C8" s="26"/>
      <c r="D8" s="26"/>
      <c r="E8" s="26"/>
      <c r="F8" s="28"/>
      <c r="G8" s="27"/>
      <c r="H8" s="27"/>
      <c r="I8" s="44"/>
    </row>
    <row r="9" spans="1:9" ht="12.95" customHeight="1">
      <c r="A9" s="10" t="s">
        <v>87</v>
      </c>
      <c r="B9" s="46" t="s">
        <v>88</v>
      </c>
      <c r="C9" s="26" t="s">
        <v>89</v>
      </c>
      <c r="D9" s="26" t="s">
        <v>90</v>
      </c>
      <c r="E9" s="29">
        <v>143002</v>
      </c>
      <c r="F9" s="30">
        <v>3386.5</v>
      </c>
      <c r="G9" s="31">
        <v>6.6400000000000001E-2</v>
      </c>
      <c r="H9" s="56"/>
      <c r="I9" s="47"/>
    </row>
    <row r="10" spans="1:9" ht="12.95" customHeight="1">
      <c r="A10" s="10" t="s">
        <v>158</v>
      </c>
      <c r="B10" s="46" t="s">
        <v>159</v>
      </c>
      <c r="C10" s="26" t="s">
        <v>160</v>
      </c>
      <c r="D10" s="26" t="s">
        <v>98</v>
      </c>
      <c r="E10" s="29">
        <v>488400</v>
      </c>
      <c r="F10" s="30">
        <v>3314.04</v>
      </c>
      <c r="G10" s="31">
        <v>6.5000000000000002E-2</v>
      </c>
      <c r="H10" s="56"/>
      <c r="I10" s="47"/>
    </row>
    <row r="11" spans="1:9" ht="12.95" customHeight="1">
      <c r="A11" s="10" t="s">
        <v>106</v>
      </c>
      <c r="B11" s="46" t="s">
        <v>107</v>
      </c>
      <c r="C11" s="26" t="s">
        <v>108</v>
      </c>
      <c r="D11" s="26" t="s">
        <v>68</v>
      </c>
      <c r="E11" s="29">
        <v>1225600</v>
      </c>
      <c r="F11" s="30">
        <v>2672.42</v>
      </c>
      <c r="G11" s="31">
        <v>5.2400000000000002E-2</v>
      </c>
      <c r="H11" s="56"/>
      <c r="I11" s="47"/>
    </row>
    <row r="12" spans="1:9" ht="12.95" customHeight="1">
      <c r="A12" s="10" t="s">
        <v>161</v>
      </c>
      <c r="B12" s="46" t="s">
        <v>162</v>
      </c>
      <c r="C12" s="26" t="s">
        <v>163</v>
      </c>
      <c r="D12" s="26" t="s">
        <v>164</v>
      </c>
      <c r="E12" s="29">
        <v>55500</v>
      </c>
      <c r="F12" s="30">
        <v>2074.7800000000002</v>
      </c>
      <c r="G12" s="31">
        <v>4.07E-2</v>
      </c>
      <c r="H12" s="56"/>
      <c r="I12" s="47"/>
    </row>
    <row r="13" spans="1:9" ht="12.95" customHeight="1">
      <c r="A13" s="10" t="s">
        <v>165</v>
      </c>
      <c r="B13" s="46" t="s">
        <v>166</v>
      </c>
      <c r="C13" s="26" t="s">
        <v>167</v>
      </c>
      <c r="D13" s="26" t="s">
        <v>68</v>
      </c>
      <c r="E13" s="29">
        <v>87607</v>
      </c>
      <c r="F13" s="30">
        <v>2067.66</v>
      </c>
      <c r="G13" s="31">
        <v>4.0500000000000001E-2</v>
      </c>
      <c r="H13" s="56"/>
      <c r="I13" s="47"/>
    </row>
    <row r="14" spans="1:9" ht="12.95" customHeight="1">
      <c r="A14" s="10" t="s">
        <v>168</v>
      </c>
      <c r="B14" s="46" t="s">
        <v>169</v>
      </c>
      <c r="C14" s="26" t="s">
        <v>170</v>
      </c>
      <c r="D14" s="26" t="s">
        <v>98</v>
      </c>
      <c r="E14" s="29">
        <v>124850</v>
      </c>
      <c r="F14" s="30">
        <v>1847.03</v>
      </c>
      <c r="G14" s="31">
        <v>3.6200000000000003E-2</v>
      </c>
      <c r="H14" s="56"/>
      <c r="I14" s="47"/>
    </row>
    <row r="15" spans="1:9" ht="12.95" customHeight="1">
      <c r="A15" s="10" t="s">
        <v>171</v>
      </c>
      <c r="B15" s="46" t="s">
        <v>172</v>
      </c>
      <c r="C15" s="26" t="s">
        <v>173</v>
      </c>
      <c r="D15" s="26" t="s">
        <v>98</v>
      </c>
      <c r="E15" s="29">
        <v>226875</v>
      </c>
      <c r="F15" s="30">
        <v>1679.22</v>
      </c>
      <c r="G15" s="31">
        <v>3.2899999999999999E-2</v>
      </c>
      <c r="H15" s="56"/>
      <c r="I15" s="47"/>
    </row>
    <row r="16" spans="1:9" ht="12.95" customHeight="1">
      <c r="A16" s="10" t="s">
        <v>174</v>
      </c>
      <c r="B16" s="46" t="s">
        <v>175</v>
      </c>
      <c r="C16" s="26" t="s">
        <v>176</v>
      </c>
      <c r="D16" s="26" t="s">
        <v>53</v>
      </c>
      <c r="E16" s="29">
        <v>58800</v>
      </c>
      <c r="F16" s="30">
        <v>1520.83</v>
      </c>
      <c r="G16" s="31">
        <v>2.98E-2</v>
      </c>
      <c r="H16" s="56"/>
      <c r="I16" s="47"/>
    </row>
    <row r="17" spans="1:9" ht="12.95" customHeight="1">
      <c r="A17" s="10" t="s">
        <v>177</v>
      </c>
      <c r="B17" s="46" t="s">
        <v>178</v>
      </c>
      <c r="C17" s="26" t="s">
        <v>179</v>
      </c>
      <c r="D17" s="26" t="s">
        <v>98</v>
      </c>
      <c r="E17" s="29">
        <v>171000</v>
      </c>
      <c r="F17" s="30">
        <v>1518.74</v>
      </c>
      <c r="G17" s="31">
        <v>2.98E-2</v>
      </c>
      <c r="H17" s="56"/>
      <c r="I17" s="47"/>
    </row>
    <row r="18" spans="1:9" ht="12.95" customHeight="1">
      <c r="A18" s="10" t="s">
        <v>95</v>
      </c>
      <c r="B18" s="46" t="s">
        <v>96</v>
      </c>
      <c r="C18" s="26" t="s">
        <v>97</v>
      </c>
      <c r="D18" s="26" t="s">
        <v>98</v>
      </c>
      <c r="E18" s="29">
        <v>328500</v>
      </c>
      <c r="F18" s="30">
        <v>1512.58</v>
      </c>
      <c r="G18" s="31">
        <v>2.9600000000000001E-2</v>
      </c>
      <c r="H18" s="56"/>
      <c r="I18" s="47"/>
    </row>
    <row r="19" spans="1:9" ht="12.95" customHeight="1">
      <c r="A19" s="10" t="s">
        <v>58</v>
      </c>
      <c r="B19" s="46" t="s">
        <v>59</v>
      </c>
      <c r="C19" s="26" t="s">
        <v>60</v>
      </c>
      <c r="D19" s="26" t="s">
        <v>61</v>
      </c>
      <c r="E19" s="29">
        <v>309600</v>
      </c>
      <c r="F19" s="30">
        <v>1472.3</v>
      </c>
      <c r="G19" s="31">
        <v>2.8899999999999999E-2</v>
      </c>
      <c r="H19" s="56"/>
      <c r="I19" s="47"/>
    </row>
    <row r="20" spans="1:9" ht="12.95" customHeight="1">
      <c r="A20" s="10" t="s">
        <v>50</v>
      </c>
      <c r="B20" s="46" t="s">
        <v>51</v>
      </c>
      <c r="C20" s="26" t="s">
        <v>52</v>
      </c>
      <c r="D20" s="26" t="s">
        <v>53</v>
      </c>
      <c r="E20" s="29">
        <v>20125</v>
      </c>
      <c r="F20" s="30">
        <v>1404.18</v>
      </c>
      <c r="G20" s="31">
        <v>2.75E-2</v>
      </c>
      <c r="H20" s="56"/>
      <c r="I20" s="47"/>
    </row>
    <row r="21" spans="1:9" ht="12.95" customHeight="1">
      <c r="A21" s="10" t="s">
        <v>180</v>
      </c>
      <c r="B21" s="46" t="s">
        <v>181</v>
      </c>
      <c r="C21" s="26" t="s">
        <v>182</v>
      </c>
      <c r="D21" s="26" t="s">
        <v>183</v>
      </c>
      <c r="E21" s="29">
        <v>175398</v>
      </c>
      <c r="F21" s="30">
        <v>1199.3699999999999</v>
      </c>
      <c r="G21" s="31">
        <v>2.35E-2</v>
      </c>
      <c r="H21" s="56"/>
      <c r="I21" s="47"/>
    </row>
    <row r="22" spans="1:9" ht="12.95" customHeight="1">
      <c r="A22" s="10" t="s">
        <v>184</v>
      </c>
      <c r="B22" s="46" t="s">
        <v>185</v>
      </c>
      <c r="C22" s="26" t="s">
        <v>186</v>
      </c>
      <c r="D22" s="26" t="s">
        <v>164</v>
      </c>
      <c r="E22" s="29">
        <v>58800</v>
      </c>
      <c r="F22" s="30">
        <v>1110</v>
      </c>
      <c r="G22" s="31">
        <v>2.18E-2</v>
      </c>
      <c r="H22" s="56"/>
      <c r="I22" s="47"/>
    </row>
    <row r="23" spans="1:9" ht="12.95" customHeight="1">
      <c r="A23" s="10" t="s">
        <v>187</v>
      </c>
      <c r="B23" s="46" t="s">
        <v>188</v>
      </c>
      <c r="C23" s="26" t="s">
        <v>189</v>
      </c>
      <c r="D23" s="26" t="s">
        <v>98</v>
      </c>
      <c r="E23" s="29">
        <v>534600</v>
      </c>
      <c r="F23" s="30">
        <v>1068.93</v>
      </c>
      <c r="G23" s="31">
        <v>2.1000000000000001E-2</v>
      </c>
      <c r="H23" s="56"/>
      <c r="I23" s="47"/>
    </row>
    <row r="24" spans="1:9" ht="12.95" customHeight="1">
      <c r="A24" s="10" t="s">
        <v>190</v>
      </c>
      <c r="B24" s="46" t="s">
        <v>191</v>
      </c>
      <c r="C24" s="26" t="s">
        <v>192</v>
      </c>
      <c r="D24" s="26" t="s">
        <v>193</v>
      </c>
      <c r="E24" s="29">
        <v>267000</v>
      </c>
      <c r="F24" s="30">
        <v>1007.93</v>
      </c>
      <c r="G24" s="31">
        <v>1.9800000000000002E-2</v>
      </c>
      <c r="H24" s="56"/>
      <c r="I24" s="47"/>
    </row>
    <row r="25" spans="1:9" ht="12.95" customHeight="1">
      <c r="A25" s="10" t="s">
        <v>194</v>
      </c>
      <c r="B25" s="46" t="s">
        <v>195</v>
      </c>
      <c r="C25" s="26" t="s">
        <v>196</v>
      </c>
      <c r="D25" s="26" t="s">
        <v>197</v>
      </c>
      <c r="E25" s="29">
        <v>165300</v>
      </c>
      <c r="F25" s="30">
        <v>797.41</v>
      </c>
      <c r="G25" s="31">
        <v>1.5599999999999999E-2</v>
      </c>
      <c r="H25" s="56"/>
      <c r="I25" s="47"/>
    </row>
    <row r="26" spans="1:9" ht="12.95" customHeight="1">
      <c r="A26" s="10" t="s">
        <v>198</v>
      </c>
      <c r="B26" s="46" t="s">
        <v>199</v>
      </c>
      <c r="C26" s="26" t="s">
        <v>200</v>
      </c>
      <c r="D26" s="26" t="s">
        <v>72</v>
      </c>
      <c r="E26" s="29">
        <v>4650</v>
      </c>
      <c r="F26" s="30">
        <v>762.89</v>
      </c>
      <c r="G26" s="31">
        <v>1.4999999999999999E-2</v>
      </c>
      <c r="H26" s="56"/>
      <c r="I26" s="47"/>
    </row>
    <row r="27" spans="1:9" ht="12.95" customHeight="1">
      <c r="A27" s="10" t="s">
        <v>201</v>
      </c>
      <c r="B27" s="46" t="s">
        <v>202</v>
      </c>
      <c r="C27" s="26" t="s">
        <v>203</v>
      </c>
      <c r="D27" s="26" t="s">
        <v>164</v>
      </c>
      <c r="E27" s="29">
        <v>104579</v>
      </c>
      <c r="F27" s="30">
        <v>748.11</v>
      </c>
      <c r="G27" s="31">
        <v>1.47E-2</v>
      </c>
      <c r="H27" s="56"/>
      <c r="I27" s="47"/>
    </row>
    <row r="28" spans="1:9" ht="12.95" customHeight="1">
      <c r="A28" s="10" t="s">
        <v>204</v>
      </c>
      <c r="B28" s="46" t="s">
        <v>205</v>
      </c>
      <c r="C28" s="26" t="s">
        <v>206</v>
      </c>
      <c r="D28" s="26" t="s">
        <v>207</v>
      </c>
      <c r="E28" s="29">
        <v>25125</v>
      </c>
      <c r="F28" s="30">
        <v>633.75</v>
      </c>
      <c r="G28" s="31">
        <v>1.24E-2</v>
      </c>
      <c r="H28" s="56"/>
      <c r="I28" s="47"/>
    </row>
    <row r="29" spans="1:9" ht="12.95" customHeight="1">
      <c r="A29" s="10" t="s">
        <v>208</v>
      </c>
      <c r="B29" s="46" t="s">
        <v>209</v>
      </c>
      <c r="C29" s="26" t="s">
        <v>210</v>
      </c>
      <c r="D29" s="26" t="s">
        <v>211</v>
      </c>
      <c r="E29" s="29">
        <v>30475</v>
      </c>
      <c r="F29" s="30">
        <v>577.78</v>
      </c>
      <c r="G29" s="31">
        <v>1.1299999999999999E-2</v>
      </c>
      <c r="H29" s="56"/>
      <c r="I29" s="47"/>
    </row>
    <row r="30" spans="1:9" ht="12.95" customHeight="1">
      <c r="A30" s="10" t="s">
        <v>73</v>
      </c>
      <c r="B30" s="46" t="s">
        <v>74</v>
      </c>
      <c r="C30" s="26" t="s">
        <v>75</v>
      </c>
      <c r="D30" s="26" t="s">
        <v>57</v>
      </c>
      <c r="E30" s="29">
        <v>67200</v>
      </c>
      <c r="F30" s="30">
        <v>568.30999999999995</v>
      </c>
      <c r="G30" s="31">
        <v>1.11E-2</v>
      </c>
      <c r="H30" s="56"/>
      <c r="I30" s="47"/>
    </row>
    <row r="31" spans="1:9" ht="12.95" customHeight="1">
      <c r="A31" s="10" t="s">
        <v>54</v>
      </c>
      <c r="B31" s="46" t="s">
        <v>55</v>
      </c>
      <c r="C31" s="26" t="s">
        <v>56</v>
      </c>
      <c r="D31" s="26" t="s">
        <v>57</v>
      </c>
      <c r="E31" s="29">
        <v>11400</v>
      </c>
      <c r="F31" s="30">
        <v>533.30999999999995</v>
      </c>
      <c r="G31" s="31">
        <v>1.0500000000000001E-2</v>
      </c>
      <c r="H31" s="56"/>
      <c r="I31" s="47"/>
    </row>
    <row r="32" spans="1:9" ht="12.95" customHeight="1">
      <c r="A32" s="10" t="s">
        <v>212</v>
      </c>
      <c r="B32" s="46" t="s">
        <v>213</v>
      </c>
      <c r="C32" s="26" t="s">
        <v>214</v>
      </c>
      <c r="D32" s="26" t="s">
        <v>68</v>
      </c>
      <c r="E32" s="29">
        <v>2553</v>
      </c>
      <c r="F32" s="30">
        <v>503.09</v>
      </c>
      <c r="G32" s="31">
        <v>9.9000000000000008E-3</v>
      </c>
      <c r="H32" s="56"/>
      <c r="I32" s="47"/>
    </row>
    <row r="33" spans="1:9" ht="12.95" customHeight="1">
      <c r="A33" s="10" t="s">
        <v>215</v>
      </c>
      <c r="B33" s="46" t="s">
        <v>216</v>
      </c>
      <c r="C33" s="26" t="s">
        <v>217</v>
      </c>
      <c r="D33" s="26" t="s">
        <v>197</v>
      </c>
      <c r="E33" s="29">
        <v>15750</v>
      </c>
      <c r="F33" s="30">
        <v>408.22</v>
      </c>
      <c r="G33" s="31">
        <v>8.0000000000000002E-3</v>
      </c>
      <c r="H33" s="56"/>
      <c r="I33" s="47"/>
    </row>
    <row r="34" spans="1:9" ht="12.95" customHeight="1">
      <c r="A34" s="10" t="s">
        <v>218</v>
      </c>
      <c r="B34" s="46" t="s">
        <v>219</v>
      </c>
      <c r="C34" s="26" t="s">
        <v>220</v>
      </c>
      <c r="D34" s="26" t="s">
        <v>164</v>
      </c>
      <c r="E34" s="29">
        <v>25200</v>
      </c>
      <c r="F34" s="30">
        <v>332.41</v>
      </c>
      <c r="G34" s="31">
        <v>6.4999999999999997E-3</v>
      </c>
      <c r="H34" s="56"/>
      <c r="I34" s="47"/>
    </row>
    <row r="35" spans="1:9" ht="12.95" customHeight="1">
      <c r="A35" s="10" t="s">
        <v>221</v>
      </c>
      <c r="B35" s="46" t="s">
        <v>222</v>
      </c>
      <c r="C35" s="26" t="s">
        <v>223</v>
      </c>
      <c r="D35" s="26" t="s">
        <v>224</v>
      </c>
      <c r="E35" s="29">
        <v>33750</v>
      </c>
      <c r="F35" s="30">
        <v>221.38</v>
      </c>
      <c r="G35" s="31">
        <v>4.3E-3</v>
      </c>
      <c r="H35" s="56"/>
      <c r="I35" s="47"/>
    </row>
    <row r="36" spans="1:9" ht="12.95" customHeight="1">
      <c r="A36" s="10" t="s">
        <v>225</v>
      </c>
      <c r="B36" s="46" t="s">
        <v>226</v>
      </c>
      <c r="C36" s="26" t="s">
        <v>227</v>
      </c>
      <c r="D36" s="26" t="s">
        <v>90</v>
      </c>
      <c r="E36" s="29">
        <v>188500</v>
      </c>
      <c r="F36" s="30">
        <v>210.18</v>
      </c>
      <c r="G36" s="31">
        <v>4.1000000000000003E-3</v>
      </c>
      <c r="H36" s="56"/>
      <c r="I36" s="47"/>
    </row>
    <row r="37" spans="1:9" ht="12.95" customHeight="1">
      <c r="A37" s="10" t="s">
        <v>228</v>
      </c>
      <c r="B37" s="46" t="s">
        <v>229</v>
      </c>
      <c r="C37" s="26" t="s">
        <v>230</v>
      </c>
      <c r="D37" s="26" t="s">
        <v>197</v>
      </c>
      <c r="E37" s="29">
        <v>2400</v>
      </c>
      <c r="F37" s="30">
        <v>178.23</v>
      </c>
      <c r="G37" s="31">
        <v>3.5000000000000001E-3</v>
      </c>
      <c r="H37" s="56"/>
      <c r="I37" s="47"/>
    </row>
    <row r="38" spans="1:9" ht="12.95" customHeight="1">
      <c r="A38" s="10" t="s">
        <v>231</v>
      </c>
      <c r="B38" s="46" t="s">
        <v>232</v>
      </c>
      <c r="C38" s="26" t="s">
        <v>233</v>
      </c>
      <c r="D38" s="26" t="s">
        <v>72</v>
      </c>
      <c r="E38" s="29">
        <v>14250</v>
      </c>
      <c r="F38" s="30">
        <v>170.43</v>
      </c>
      <c r="G38" s="31">
        <v>3.3E-3</v>
      </c>
      <c r="H38" s="56"/>
      <c r="I38" s="47"/>
    </row>
    <row r="39" spans="1:9" ht="12.95" customHeight="1">
      <c r="A39" s="10" t="s">
        <v>234</v>
      </c>
      <c r="B39" s="46" t="s">
        <v>235</v>
      </c>
      <c r="C39" s="26" t="s">
        <v>236</v>
      </c>
      <c r="D39" s="26" t="s">
        <v>68</v>
      </c>
      <c r="E39" s="29">
        <v>4600</v>
      </c>
      <c r="F39" s="30">
        <v>165.88</v>
      </c>
      <c r="G39" s="31">
        <v>3.3E-3</v>
      </c>
      <c r="H39" s="56"/>
      <c r="I39" s="47"/>
    </row>
    <row r="40" spans="1:9" ht="12.95" customHeight="1">
      <c r="A40" s="10" t="s">
        <v>237</v>
      </c>
      <c r="B40" s="46" t="s">
        <v>238</v>
      </c>
      <c r="C40" s="26" t="s">
        <v>239</v>
      </c>
      <c r="D40" s="26" t="s">
        <v>224</v>
      </c>
      <c r="E40" s="29">
        <v>13600</v>
      </c>
      <c r="F40" s="30">
        <v>151.16</v>
      </c>
      <c r="G40" s="31">
        <v>3.0000000000000001E-3</v>
      </c>
      <c r="H40" s="56"/>
      <c r="I40" s="47"/>
    </row>
    <row r="41" spans="1:9" ht="12.95" customHeight="1">
      <c r="A41" s="10" t="s">
        <v>240</v>
      </c>
      <c r="B41" s="46" t="s">
        <v>241</v>
      </c>
      <c r="C41" s="26" t="s">
        <v>242</v>
      </c>
      <c r="D41" s="26" t="s">
        <v>193</v>
      </c>
      <c r="E41" s="29">
        <v>2850</v>
      </c>
      <c r="F41" s="30">
        <v>46.23</v>
      </c>
      <c r="G41" s="31">
        <v>8.9999999999999998E-4</v>
      </c>
      <c r="H41" s="56"/>
      <c r="I41" s="47"/>
    </row>
    <row r="42" spans="1:9" ht="12.95" customHeight="1">
      <c r="A42" s="10" t="s">
        <v>243</v>
      </c>
      <c r="B42" s="46" t="s">
        <v>244</v>
      </c>
      <c r="C42" s="26" t="s">
        <v>245</v>
      </c>
      <c r="D42" s="26" t="s">
        <v>57</v>
      </c>
      <c r="E42" s="29">
        <v>750</v>
      </c>
      <c r="F42" s="30">
        <v>36.799999999999997</v>
      </c>
      <c r="G42" s="31">
        <v>6.9999999999999999E-4</v>
      </c>
      <c r="H42" s="56"/>
      <c r="I42" s="47"/>
    </row>
    <row r="43" spans="1:9" ht="12.95" customHeight="1">
      <c r="A43" s="3"/>
      <c r="B43" s="43" t="s">
        <v>126</v>
      </c>
      <c r="C43" s="26"/>
      <c r="D43" s="26"/>
      <c r="E43" s="26"/>
      <c r="F43" s="33">
        <v>35902.080000000009</v>
      </c>
      <c r="G43" s="34">
        <v>0.70389999999999986</v>
      </c>
      <c r="H43" s="19"/>
      <c r="I43" s="42"/>
    </row>
    <row r="44" spans="1:9" ht="12.95" customHeight="1">
      <c r="A44" s="3"/>
      <c r="B44" s="45" t="s">
        <v>127</v>
      </c>
      <c r="C44" s="18"/>
      <c r="D44" s="18"/>
      <c r="E44" s="18"/>
      <c r="F44" s="19" t="s">
        <v>128</v>
      </c>
      <c r="G44" s="19" t="s">
        <v>128</v>
      </c>
      <c r="H44" s="19"/>
      <c r="I44" s="42"/>
    </row>
    <row r="45" spans="1:9" ht="12.95" customHeight="1">
      <c r="A45" s="3"/>
      <c r="B45" s="45" t="s">
        <v>126</v>
      </c>
      <c r="C45" s="18"/>
      <c r="D45" s="18"/>
      <c r="E45" s="18"/>
      <c r="F45" s="19" t="s">
        <v>128</v>
      </c>
      <c r="G45" s="19" t="s">
        <v>128</v>
      </c>
      <c r="H45" s="19"/>
      <c r="I45" s="42"/>
    </row>
    <row r="46" spans="1:9" ht="12.95" customHeight="1">
      <c r="A46" s="3"/>
      <c r="B46" s="45" t="s">
        <v>129</v>
      </c>
      <c r="C46" s="22"/>
      <c r="D46" s="18"/>
      <c r="E46" s="22"/>
      <c r="F46" s="33">
        <v>35902.080000000009</v>
      </c>
      <c r="G46" s="34">
        <v>0.70389999999999986</v>
      </c>
      <c r="H46" s="19"/>
      <c r="I46" s="42"/>
    </row>
    <row r="47" spans="1:9" ht="12.95" customHeight="1">
      <c r="A47" s="3"/>
      <c r="B47" s="43" t="s">
        <v>133</v>
      </c>
      <c r="C47" s="26"/>
      <c r="D47" s="26"/>
      <c r="E47" s="26"/>
      <c r="F47" s="26"/>
      <c r="G47" s="26"/>
      <c r="H47" s="27"/>
      <c r="I47" s="44"/>
    </row>
    <row r="48" spans="1:9" ht="12.95" customHeight="1">
      <c r="A48" s="3"/>
      <c r="B48" s="43" t="s">
        <v>269</v>
      </c>
      <c r="C48" s="26"/>
      <c r="D48" s="26"/>
      <c r="E48" s="26"/>
      <c r="F48" s="28"/>
      <c r="G48" s="27"/>
      <c r="H48" s="27"/>
      <c r="I48" s="44"/>
    </row>
    <row r="49" spans="1:9" ht="12.95" customHeight="1">
      <c r="A49" s="10" t="s">
        <v>270</v>
      </c>
      <c r="B49" s="46" t="s">
        <v>271</v>
      </c>
      <c r="C49" s="26" t="s">
        <v>272</v>
      </c>
      <c r="D49" s="26" t="s">
        <v>273</v>
      </c>
      <c r="E49" s="29">
        <v>1300000</v>
      </c>
      <c r="F49" s="30">
        <v>1325.16</v>
      </c>
      <c r="G49" s="31">
        <v>2.5999999999999999E-2</v>
      </c>
      <c r="H49" s="32">
        <v>4.8899999999999999E-2</v>
      </c>
      <c r="I49" s="47" t="s">
        <v>274</v>
      </c>
    </row>
    <row r="50" spans="1:9" ht="12.95" customHeight="1">
      <c r="A50" s="10" t="s">
        <v>275</v>
      </c>
      <c r="B50" s="46" t="s">
        <v>276</v>
      </c>
      <c r="C50" s="26" t="s">
        <v>277</v>
      </c>
      <c r="D50" s="26" t="s">
        <v>278</v>
      </c>
      <c r="E50" s="29">
        <v>300000</v>
      </c>
      <c r="F50" s="30">
        <v>301.64</v>
      </c>
      <c r="G50" s="31">
        <v>5.8999999999999999E-3</v>
      </c>
      <c r="H50" s="32">
        <v>4.965E-2</v>
      </c>
      <c r="I50" s="47" t="s">
        <v>274</v>
      </c>
    </row>
    <row r="51" spans="1:9" ht="12.95" customHeight="1">
      <c r="A51" s="3"/>
      <c r="B51" s="43" t="s">
        <v>126</v>
      </c>
      <c r="C51" s="26"/>
      <c r="D51" s="26"/>
      <c r="E51" s="26"/>
      <c r="F51" s="33">
        <v>1626.8</v>
      </c>
      <c r="G51" s="34">
        <v>3.1899999999999998E-2</v>
      </c>
      <c r="H51" s="19"/>
      <c r="I51" s="42"/>
    </row>
    <row r="52" spans="1:9" ht="12.95" customHeight="1">
      <c r="A52" s="3"/>
      <c r="B52" s="45" t="s">
        <v>279</v>
      </c>
      <c r="C52" s="18"/>
      <c r="D52" s="18"/>
      <c r="E52" s="18"/>
      <c r="F52" s="19" t="s">
        <v>128</v>
      </c>
      <c r="G52" s="19" t="s">
        <v>128</v>
      </c>
      <c r="H52" s="19"/>
      <c r="I52" s="48"/>
    </row>
    <row r="53" spans="1:9" ht="12.95" customHeight="1">
      <c r="A53" s="3"/>
      <c r="B53" s="45" t="s">
        <v>126</v>
      </c>
      <c r="C53" s="18"/>
      <c r="D53" s="18"/>
      <c r="E53" s="18"/>
      <c r="F53" s="19" t="s">
        <v>128</v>
      </c>
      <c r="G53" s="19" t="s">
        <v>128</v>
      </c>
      <c r="H53" s="19"/>
      <c r="I53" s="48"/>
    </row>
    <row r="54" spans="1:9" ht="12.95" customHeight="1">
      <c r="A54" s="3"/>
      <c r="B54" s="45" t="s">
        <v>280</v>
      </c>
      <c r="C54" s="18"/>
      <c r="D54" s="18"/>
      <c r="E54" s="18"/>
      <c r="F54" s="19" t="s">
        <v>128</v>
      </c>
      <c r="G54" s="19" t="s">
        <v>128</v>
      </c>
      <c r="H54" s="19"/>
      <c r="I54" s="48"/>
    </row>
    <row r="55" spans="1:9" ht="12.95" customHeight="1">
      <c r="A55" s="3"/>
      <c r="B55" s="45" t="s">
        <v>126</v>
      </c>
      <c r="C55" s="18"/>
      <c r="D55" s="18"/>
      <c r="E55" s="18"/>
      <c r="F55" s="19" t="s">
        <v>128</v>
      </c>
      <c r="G55" s="19" t="s">
        <v>128</v>
      </c>
      <c r="H55" s="19"/>
      <c r="I55" s="48"/>
    </row>
    <row r="56" spans="1:9" ht="12.95" customHeight="1">
      <c r="A56" s="3"/>
      <c r="B56" s="45" t="s">
        <v>281</v>
      </c>
      <c r="C56" s="18"/>
      <c r="D56" s="18"/>
      <c r="E56" s="18"/>
      <c r="F56" s="19" t="s">
        <v>128</v>
      </c>
      <c r="G56" s="19" t="s">
        <v>128</v>
      </c>
      <c r="H56" s="19"/>
      <c r="I56" s="48"/>
    </row>
    <row r="57" spans="1:9" ht="12.95" customHeight="1">
      <c r="A57" s="3"/>
      <c r="B57" s="45" t="s">
        <v>126</v>
      </c>
      <c r="C57" s="18"/>
      <c r="D57" s="18"/>
      <c r="E57" s="18"/>
      <c r="F57" s="19" t="s">
        <v>128</v>
      </c>
      <c r="G57" s="19" t="s">
        <v>128</v>
      </c>
      <c r="H57" s="19"/>
      <c r="I57" s="48"/>
    </row>
    <row r="58" spans="1:9" ht="12.95" customHeight="1">
      <c r="A58" s="3"/>
      <c r="B58" s="45" t="s">
        <v>282</v>
      </c>
      <c r="C58" s="18"/>
      <c r="D58" s="18"/>
      <c r="E58" s="18"/>
      <c r="F58" s="19" t="s">
        <v>128</v>
      </c>
      <c r="G58" s="19" t="s">
        <v>128</v>
      </c>
      <c r="H58" s="19"/>
      <c r="I58" s="48"/>
    </row>
    <row r="59" spans="1:9" ht="12.95" customHeight="1">
      <c r="A59" s="3"/>
      <c r="B59" s="45" t="s">
        <v>126</v>
      </c>
      <c r="C59" s="18"/>
      <c r="D59" s="18"/>
      <c r="E59" s="18"/>
      <c r="F59" s="19" t="s">
        <v>128</v>
      </c>
      <c r="G59" s="19" t="s">
        <v>128</v>
      </c>
      <c r="H59" s="19"/>
      <c r="I59" s="48"/>
    </row>
    <row r="60" spans="1:9" ht="12.95" customHeight="1">
      <c r="A60" s="3"/>
      <c r="B60" s="45" t="s">
        <v>129</v>
      </c>
      <c r="C60" s="22"/>
      <c r="D60" s="18"/>
      <c r="E60" s="22"/>
      <c r="F60" s="33">
        <v>1626.8</v>
      </c>
      <c r="G60" s="34">
        <v>3.1899999999999998E-2</v>
      </c>
      <c r="H60" s="19"/>
      <c r="I60" s="42"/>
    </row>
    <row r="61" spans="1:9" ht="12.95" customHeight="1">
      <c r="A61" s="3"/>
      <c r="B61" s="43" t="s">
        <v>139</v>
      </c>
      <c r="C61" s="26"/>
      <c r="D61" s="26"/>
      <c r="E61" s="26"/>
      <c r="F61" s="26"/>
      <c r="G61" s="26"/>
      <c r="H61" s="27"/>
      <c r="I61" s="44"/>
    </row>
    <row r="62" spans="1:9" ht="12.95" customHeight="1">
      <c r="A62" s="3"/>
      <c r="B62" s="43" t="s">
        <v>283</v>
      </c>
      <c r="C62" s="26"/>
      <c r="D62" s="26"/>
      <c r="E62" s="26"/>
      <c r="F62" s="28"/>
      <c r="G62" s="27"/>
      <c r="H62" s="27"/>
      <c r="I62" s="44"/>
    </row>
    <row r="63" spans="1:9" ht="12.95" customHeight="1">
      <c r="A63" s="10" t="s">
        <v>284</v>
      </c>
      <c r="B63" s="46" t="s">
        <v>285</v>
      </c>
      <c r="C63" s="26" t="s">
        <v>286</v>
      </c>
      <c r="D63" s="26" t="s">
        <v>287</v>
      </c>
      <c r="E63" s="29">
        <v>800000</v>
      </c>
      <c r="F63" s="30">
        <v>793.8</v>
      </c>
      <c r="G63" s="31">
        <v>1.5599999999999999E-2</v>
      </c>
      <c r="H63" s="32">
        <v>3.6101000000000001E-2</v>
      </c>
      <c r="I63" s="47" t="s">
        <v>274</v>
      </c>
    </row>
    <row r="64" spans="1:9" ht="12.95" customHeight="1">
      <c r="A64" s="3"/>
      <c r="B64" s="43" t="s">
        <v>126</v>
      </c>
      <c r="C64" s="26"/>
      <c r="D64" s="26"/>
      <c r="E64" s="26"/>
      <c r="F64" s="33">
        <v>793.8</v>
      </c>
      <c r="G64" s="34">
        <v>1.5599999999999999E-2</v>
      </c>
      <c r="H64" s="19"/>
      <c r="I64" s="42"/>
    </row>
    <row r="65" spans="1:9" ht="12.95" customHeight="1">
      <c r="A65" s="3"/>
      <c r="B65" s="45" t="s">
        <v>288</v>
      </c>
      <c r="C65" s="18"/>
      <c r="D65" s="18"/>
      <c r="E65" s="18"/>
      <c r="F65" s="19" t="s">
        <v>128</v>
      </c>
      <c r="G65" s="19" t="s">
        <v>128</v>
      </c>
      <c r="H65" s="19"/>
      <c r="I65" s="42"/>
    </row>
    <row r="66" spans="1:9" ht="12.95" customHeight="1">
      <c r="A66" s="3"/>
      <c r="B66" s="43" t="s">
        <v>126</v>
      </c>
      <c r="C66" s="20"/>
      <c r="D66" s="20"/>
      <c r="E66" s="20"/>
      <c r="F66" s="21" t="s">
        <v>128</v>
      </c>
      <c r="G66" s="21" t="s">
        <v>128</v>
      </c>
      <c r="H66" s="21"/>
      <c r="I66" s="44"/>
    </row>
    <row r="67" spans="1:9" ht="12.95" customHeight="1">
      <c r="A67" s="3"/>
      <c r="B67" s="45" t="s">
        <v>289</v>
      </c>
      <c r="C67" s="18"/>
      <c r="D67" s="18"/>
      <c r="E67" s="18"/>
      <c r="F67" s="19" t="s">
        <v>128</v>
      </c>
      <c r="G67" s="19" t="s">
        <v>128</v>
      </c>
      <c r="H67" s="19"/>
      <c r="I67" s="42"/>
    </row>
    <row r="68" spans="1:9" ht="12.95" customHeight="1">
      <c r="A68" s="3"/>
      <c r="B68" s="43" t="s">
        <v>126</v>
      </c>
      <c r="C68" s="20"/>
      <c r="D68" s="20"/>
      <c r="E68" s="20"/>
      <c r="F68" s="21"/>
      <c r="G68" s="21"/>
      <c r="H68" s="21"/>
      <c r="I68" s="44"/>
    </row>
    <row r="69" spans="1:9" ht="12.95" customHeight="1">
      <c r="A69" s="3"/>
      <c r="B69" s="45" t="s">
        <v>290</v>
      </c>
      <c r="C69" s="22"/>
      <c r="D69" s="22"/>
      <c r="E69" s="22"/>
      <c r="F69" s="23" t="s">
        <v>128</v>
      </c>
      <c r="G69" s="23" t="s">
        <v>128</v>
      </c>
      <c r="H69" s="23"/>
      <c r="I69" s="42"/>
    </row>
    <row r="70" spans="1:9" ht="12.95" customHeight="1">
      <c r="A70" s="3"/>
      <c r="B70" s="43" t="s">
        <v>126</v>
      </c>
      <c r="C70" s="20"/>
      <c r="D70" s="20"/>
      <c r="E70" s="20"/>
      <c r="F70" s="21"/>
      <c r="G70" s="21"/>
      <c r="H70" s="21"/>
      <c r="I70" s="44"/>
    </row>
    <row r="71" spans="1:9" ht="12.95" customHeight="1">
      <c r="A71" s="3"/>
      <c r="B71" s="45" t="s">
        <v>129</v>
      </c>
      <c r="C71" s="22"/>
      <c r="D71" s="18"/>
      <c r="E71" s="22"/>
      <c r="F71" s="33">
        <v>793.8</v>
      </c>
      <c r="G71" s="34">
        <v>1.5599999999999999E-2</v>
      </c>
      <c r="H71" s="19"/>
      <c r="I71" s="42"/>
    </row>
    <row r="72" spans="1:9" ht="12.95" customHeight="1">
      <c r="A72" s="3"/>
      <c r="B72" s="45" t="s">
        <v>144</v>
      </c>
      <c r="C72" s="18"/>
      <c r="D72" s="18"/>
      <c r="E72" s="18"/>
      <c r="F72" s="19" t="s">
        <v>128</v>
      </c>
      <c r="G72" s="19" t="s">
        <v>128</v>
      </c>
      <c r="H72" s="19"/>
      <c r="I72" s="42"/>
    </row>
    <row r="73" spans="1:9" ht="12.95" customHeight="1">
      <c r="A73" s="3"/>
      <c r="B73" s="43"/>
      <c r="C73" s="20"/>
      <c r="D73" s="20"/>
      <c r="E73" s="20"/>
      <c r="F73" s="21"/>
      <c r="G73" s="21"/>
      <c r="H73" s="21"/>
      <c r="I73" s="44"/>
    </row>
    <row r="74" spans="1:9" ht="12.95" customHeight="1">
      <c r="A74" s="3"/>
      <c r="B74" s="45" t="s">
        <v>145</v>
      </c>
      <c r="C74" s="18"/>
      <c r="D74" s="18"/>
      <c r="E74" s="18"/>
      <c r="F74" s="19" t="s">
        <v>128</v>
      </c>
      <c r="G74" s="19" t="s">
        <v>128</v>
      </c>
      <c r="H74" s="19"/>
      <c r="I74" s="42"/>
    </row>
    <row r="75" spans="1:9" ht="12.95" customHeight="1">
      <c r="A75" s="3"/>
      <c r="B75" s="43"/>
      <c r="C75" s="20"/>
      <c r="D75" s="20"/>
      <c r="E75" s="20"/>
      <c r="F75" s="21"/>
      <c r="G75" s="21"/>
      <c r="H75" s="21"/>
      <c r="I75" s="44"/>
    </row>
    <row r="76" spans="1:9" ht="12.95" customHeight="1">
      <c r="A76" s="3"/>
      <c r="B76" s="45" t="s">
        <v>146</v>
      </c>
      <c r="C76" s="18"/>
      <c r="D76" s="18"/>
      <c r="E76" s="18"/>
      <c r="F76" s="19" t="s">
        <v>128</v>
      </c>
      <c r="G76" s="19" t="s">
        <v>128</v>
      </c>
      <c r="H76" s="19"/>
      <c r="I76" s="42"/>
    </row>
    <row r="77" spans="1:9" ht="12.95" customHeight="1">
      <c r="A77" s="3"/>
      <c r="B77" s="43"/>
      <c r="C77" s="20"/>
      <c r="D77" s="20"/>
      <c r="E77" s="20"/>
      <c r="F77" s="21"/>
      <c r="G77" s="21"/>
      <c r="H77" s="21"/>
      <c r="I77" s="44"/>
    </row>
    <row r="78" spans="1:9" ht="12.95" customHeight="1">
      <c r="A78" s="3"/>
      <c r="B78" s="45" t="s">
        <v>147</v>
      </c>
      <c r="C78" s="18"/>
      <c r="D78" s="18"/>
      <c r="E78" s="18"/>
      <c r="F78" s="19" t="s">
        <v>128</v>
      </c>
      <c r="G78" s="19" t="s">
        <v>128</v>
      </c>
      <c r="H78" s="19"/>
      <c r="I78" s="42"/>
    </row>
    <row r="79" spans="1:9" ht="12.95" customHeight="1">
      <c r="A79" s="3"/>
      <c r="B79" s="43"/>
      <c r="C79" s="20"/>
      <c r="D79" s="20"/>
      <c r="E79" s="20"/>
      <c r="F79" s="21"/>
      <c r="G79" s="21"/>
      <c r="H79" s="21"/>
      <c r="I79" s="44"/>
    </row>
    <row r="80" spans="1:9" ht="12.95" customHeight="1">
      <c r="A80" s="3"/>
      <c r="B80" s="45" t="s">
        <v>148</v>
      </c>
      <c r="C80" s="18"/>
      <c r="D80" s="18"/>
      <c r="E80" s="18"/>
      <c r="F80" s="19" t="s">
        <v>128</v>
      </c>
      <c r="G80" s="19" t="s">
        <v>128</v>
      </c>
      <c r="H80" s="19"/>
      <c r="I80" s="42"/>
    </row>
    <row r="81" spans="1:9" ht="12.95" customHeight="1">
      <c r="A81" s="3"/>
      <c r="B81" s="43"/>
      <c r="C81" s="20"/>
      <c r="D81" s="20"/>
      <c r="E81" s="20"/>
      <c r="F81" s="21"/>
      <c r="G81" s="21"/>
      <c r="H81" s="21"/>
      <c r="I81" s="44"/>
    </row>
    <row r="82" spans="1:9" ht="12.95" customHeight="1">
      <c r="A82" s="3"/>
      <c r="B82" s="45" t="s">
        <v>129</v>
      </c>
      <c r="C82" s="22"/>
      <c r="D82" s="22"/>
      <c r="E82" s="22"/>
      <c r="F82" s="23" t="s">
        <v>128</v>
      </c>
      <c r="G82" s="23" t="s">
        <v>128</v>
      </c>
      <c r="H82" s="23"/>
      <c r="I82" s="42"/>
    </row>
    <row r="83" spans="1:9" ht="12.95" customHeight="1">
      <c r="A83" s="17"/>
      <c r="B83" s="45"/>
      <c r="C83" s="22"/>
      <c r="D83" s="22"/>
      <c r="E83" s="22"/>
      <c r="F83" s="23"/>
      <c r="G83" s="23"/>
      <c r="H83" s="23"/>
      <c r="I83" s="42"/>
    </row>
    <row r="84" spans="1:9" ht="12.95" customHeight="1">
      <c r="A84" s="3"/>
      <c r="B84" s="43" t="s">
        <v>130</v>
      </c>
      <c r="C84" s="26"/>
      <c r="D84" s="26"/>
      <c r="E84" s="26"/>
      <c r="F84" s="26"/>
      <c r="G84" s="26"/>
      <c r="H84" s="27"/>
      <c r="I84" s="44"/>
    </row>
    <row r="85" spans="1:9" ht="12.95" customHeight="1">
      <c r="A85" s="10" t="s">
        <v>131</v>
      </c>
      <c r="B85" s="46" t="s">
        <v>132</v>
      </c>
      <c r="C85" s="26"/>
      <c r="D85" s="26"/>
      <c r="E85" s="29"/>
      <c r="F85" s="30">
        <v>6281.82</v>
      </c>
      <c r="G85" s="31">
        <v>0.1231</v>
      </c>
      <c r="H85" s="32"/>
      <c r="I85" s="47"/>
    </row>
    <row r="86" spans="1:9" ht="12.95" customHeight="1">
      <c r="A86" s="3"/>
      <c r="B86" s="43" t="s">
        <v>126</v>
      </c>
      <c r="C86" s="26"/>
      <c r="D86" s="26"/>
      <c r="E86" s="26"/>
      <c r="F86" s="33">
        <v>6281.82</v>
      </c>
      <c r="G86" s="34">
        <v>0.1231</v>
      </c>
      <c r="H86" s="19"/>
      <c r="I86" s="42"/>
    </row>
    <row r="87" spans="1:9" ht="12.95" customHeight="1">
      <c r="A87" s="3"/>
      <c r="B87" s="45" t="s">
        <v>129</v>
      </c>
      <c r="C87" s="22"/>
      <c r="D87" s="18"/>
      <c r="E87" s="22"/>
      <c r="F87" s="33">
        <v>6281.82</v>
      </c>
      <c r="G87" s="34">
        <v>0.1231</v>
      </c>
      <c r="H87" s="19"/>
      <c r="I87" s="42"/>
    </row>
    <row r="88" spans="1:9" ht="12.95" customHeight="1">
      <c r="A88" s="3"/>
      <c r="B88" s="45" t="s">
        <v>149</v>
      </c>
      <c r="C88" s="35"/>
      <c r="D88" s="18"/>
      <c r="E88" s="22"/>
      <c r="F88" s="36">
        <v>6414.3199999999924</v>
      </c>
      <c r="G88" s="34">
        <v>0.12550000000000017</v>
      </c>
      <c r="H88" s="19"/>
      <c r="I88" s="42"/>
    </row>
    <row r="89" spans="1:9" ht="12.95" customHeight="1" thickBot="1">
      <c r="A89" s="3"/>
      <c r="B89" s="49" t="s">
        <v>150</v>
      </c>
      <c r="C89" s="50"/>
      <c r="D89" s="50"/>
      <c r="E89" s="50"/>
      <c r="F89" s="51">
        <v>51018.82</v>
      </c>
      <c r="G89" s="52">
        <v>1</v>
      </c>
      <c r="H89" s="53"/>
      <c r="I89" s="54"/>
    </row>
    <row r="90" spans="1:9" ht="13.5" customHeight="1">
      <c r="A90" s="3"/>
      <c r="B90" s="118"/>
      <c r="C90" s="118"/>
      <c r="D90" s="118"/>
      <c r="E90" s="118"/>
      <c r="F90" s="118"/>
      <c r="G90" s="118"/>
      <c r="H90" s="118"/>
      <c r="I90" s="118"/>
    </row>
    <row r="91" spans="1:9" ht="12.95" customHeight="1">
      <c r="A91" s="17"/>
      <c r="B91" s="57"/>
      <c r="C91" s="57"/>
      <c r="D91" s="57"/>
      <c r="E91" s="57"/>
      <c r="F91" s="57"/>
      <c r="G91" s="57"/>
      <c r="H91" s="57"/>
      <c r="I91" s="57"/>
    </row>
    <row r="92" spans="1:9" ht="12.95" customHeight="1" thickBot="1">
      <c r="A92" s="17"/>
      <c r="B92" s="58" t="s">
        <v>661</v>
      </c>
      <c r="C92" s="59"/>
      <c r="D92" s="60"/>
      <c r="E92" s="60"/>
      <c r="F92" s="60"/>
      <c r="G92" s="60"/>
      <c r="H92" s="60"/>
      <c r="I92" s="60"/>
    </row>
    <row r="93" spans="1:9" ht="28.5" customHeight="1">
      <c r="A93" s="17"/>
      <c r="B93" s="62" t="s">
        <v>36</v>
      </c>
      <c r="C93" s="63" t="s">
        <v>662</v>
      </c>
      <c r="D93" s="63" t="s">
        <v>663</v>
      </c>
      <c r="E93" s="64" t="s">
        <v>39</v>
      </c>
      <c r="F93" s="65" t="s">
        <v>664</v>
      </c>
      <c r="G93" s="66" t="s">
        <v>41</v>
      </c>
      <c r="H93" s="66" t="s">
        <v>42</v>
      </c>
      <c r="I93" s="67" t="s">
        <v>43</v>
      </c>
    </row>
    <row r="94" spans="1:9" ht="12.95" customHeight="1">
      <c r="A94" s="17"/>
      <c r="B94" s="90" t="s">
        <v>665</v>
      </c>
      <c r="C94" s="68"/>
      <c r="D94" s="69"/>
      <c r="E94" s="70"/>
      <c r="F94" s="71"/>
      <c r="G94" s="70"/>
      <c r="H94" s="70"/>
      <c r="I94" s="72"/>
    </row>
    <row r="95" spans="1:9" ht="12.95" customHeight="1">
      <c r="A95" s="10" t="s">
        <v>246</v>
      </c>
      <c r="B95" s="46" t="s">
        <v>673</v>
      </c>
      <c r="C95" s="74" t="str">
        <f t="shared" ref="C95:C120" si="0">IF(E95&lt;0,"Short","Long")</f>
        <v>Short</v>
      </c>
      <c r="D95" s="26" t="s">
        <v>57</v>
      </c>
      <c r="E95" s="29">
        <v>-750</v>
      </c>
      <c r="F95" s="30">
        <v>-37.020000000000003</v>
      </c>
      <c r="G95" s="31">
        <v>-6.9999999999999999E-4</v>
      </c>
      <c r="H95" s="56"/>
      <c r="I95" s="47"/>
    </row>
    <row r="96" spans="1:9" ht="12.95" customHeight="1">
      <c r="A96" s="10" t="s">
        <v>247</v>
      </c>
      <c r="B96" s="46" t="s">
        <v>674</v>
      </c>
      <c r="C96" s="74" t="str">
        <f t="shared" si="0"/>
        <v>Short</v>
      </c>
      <c r="D96" s="26" t="s">
        <v>193</v>
      </c>
      <c r="E96" s="29">
        <v>-2850</v>
      </c>
      <c r="F96" s="30">
        <v>-46.5</v>
      </c>
      <c r="G96" s="31">
        <v>-8.9999999999999998E-4</v>
      </c>
      <c r="H96" s="56"/>
      <c r="I96" s="47"/>
    </row>
    <row r="97" spans="1:9" ht="12.95" customHeight="1">
      <c r="A97" s="10" t="s">
        <v>248</v>
      </c>
      <c r="B97" s="46" t="s">
        <v>675</v>
      </c>
      <c r="C97" s="74" t="str">
        <f t="shared" si="0"/>
        <v>Short</v>
      </c>
      <c r="D97" s="26" t="s">
        <v>164</v>
      </c>
      <c r="E97" s="29">
        <v>-2700</v>
      </c>
      <c r="F97" s="30">
        <v>-51.27</v>
      </c>
      <c r="G97" s="31">
        <v>-1E-3</v>
      </c>
      <c r="H97" s="56"/>
      <c r="I97" s="47"/>
    </row>
    <row r="98" spans="1:9" ht="12.95" customHeight="1">
      <c r="A98" s="10" t="s">
        <v>249</v>
      </c>
      <c r="B98" s="46" t="s">
        <v>676</v>
      </c>
      <c r="C98" s="74" t="str">
        <f t="shared" si="0"/>
        <v>Short</v>
      </c>
      <c r="D98" s="26" t="s">
        <v>224</v>
      </c>
      <c r="E98" s="29">
        <v>-13600</v>
      </c>
      <c r="F98" s="30">
        <v>-151.86000000000001</v>
      </c>
      <c r="G98" s="31">
        <v>-3.0000000000000001E-3</v>
      </c>
      <c r="H98" s="56"/>
      <c r="I98" s="47"/>
    </row>
    <row r="99" spans="1:9" ht="12.95" customHeight="1">
      <c r="A99" s="10" t="s">
        <v>250</v>
      </c>
      <c r="B99" s="46" t="s">
        <v>677</v>
      </c>
      <c r="C99" s="74" t="str">
        <f t="shared" si="0"/>
        <v>Short</v>
      </c>
      <c r="D99" s="26" t="s">
        <v>68</v>
      </c>
      <c r="E99" s="29">
        <v>-4600</v>
      </c>
      <c r="F99" s="30">
        <v>-166.77</v>
      </c>
      <c r="G99" s="31">
        <v>-3.3E-3</v>
      </c>
      <c r="H99" s="56"/>
      <c r="I99" s="47"/>
    </row>
    <row r="100" spans="1:9" ht="12.95" customHeight="1">
      <c r="A100" s="10" t="s">
        <v>251</v>
      </c>
      <c r="B100" s="46" t="s">
        <v>678</v>
      </c>
      <c r="C100" s="74" t="str">
        <f t="shared" si="0"/>
        <v>Short</v>
      </c>
      <c r="D100" s="26" t="s">
        <v>72</v>
      </c>
      <c r="E100" s="29">
        <v>-14250</v>
      </c>
      <c r="F100" s="30">
        <v>-170.84</v>
      </c>
      <c r="G100" s="31">
        <v>-3.3E-3</v>
      </c>
      <c r="H100" s="56"/>
      <c r="I100" s="47"/>
    </row>
    <row r="101" spans="1:9" ht="12.95" customHeight="1">
      <c r="A101" s="10" t="s">
        <v>252</v>
      </c>
      <c r="B101" s="46" t="s">
        <v>679</v>
      </c>
      <c r="C101" s="74" t="str">
        <f t="shared" si="0"/>
        <v>Short</v>
      </c>
      <c r="D101" s="26" t="s">
        <v>197</v>
      </c>
      <c r="E101" s="29">
        <v>-2400</v>
      </c>
      <c r="F101" s="30">
        <v>-178.64</v>
      </c>
      <c r="G101" s="31">
        <v>-3.5000000000000001E-3</v>
      </c>
      <c r="H101" s="56"/>
      <c r="I101" s="47"/>
    </row>
    <row r="102" spans="1:9" ht="12.95" customHeight="1">
      <c r="A102" s="10" t="s">
        <v>253</v>
      </c>
      <c r="B102" s="46" t="s">
        <v>680</v>
      </c>
      <c r="C102" s="74" t="str">
        <f t="shared" si="0"/>
        <v>Short</v>
      </c>
      <c r="D102" s="26" t="s">
        <v>90</v>
      </c>
      <c r="E102" s="29">
        <v>-188500</v>
      </c>
      <c r="F102" s="30">
        <v>-211.12</v>
      </c>
      <c r="G102" s="31">
        <v>-4.1000000000000003E-3</v>
      </c>
      <c r="H102" s="56"/>
      <c r="I102" s="47"/>
    </row>
    <row r="103" spans="1:9" ht="12.95" customHeight="1">
      <c r="A103" s="10" t="s">
        <v>254</v>
      </c>
      <c r="B103" s="46" t="s">
        <v>681</v>
      </c>
      <c r="C103" s="74" t="str">
        <f t="shared" si="0"/>
        <v>Short</v>
      </c>
      <c r="D103" s="26" t="s">
        <v>224</v>
      </c>
      <c r="E103" s="29">
        <v>-33750</v>
      </c>
      <c r="F103" s="30">
        <v>-222.55</v>
      </c>
      <c r="G103" s="31">
        <v>-4.4000000000000003E-3</v>
      </c>
      <c r="H103" s="56"/>
      <c r="I103" s="47"/>
    </row>
    <row r="104" spans="1:9" ht="12.95" customHeight="1">
      <c r="A104" s="10" t="s">
        <v>255</v>
      </c>
      <c r="B104" s="46" t="s">
        <v>682</v>
      </c>
      <c r="C104" s="74" t="str">
        <f t="shared" si="0"/>
        <v>Short</v>
      </c>
      <c r="D104" s="26" t="s">
        <v>164</v>
      </c>
      <c r="E104" s="29">
        <v>-35200</v>
      </c>
      <c r="F104" s="30">
        <v>-252.82</v>
      </c>
      <c r="G104" s="31">
        <v>-5.0000000000000001E-3</v>
      </c>
      <c r="H104" s="56"/>
      <c r="I104" s="47"/>
    </row>
    <row r="105" spans="1:9" ht="12.95" customHeight="1">
      <c r="A105" s="10" t="s">
        <v>256</v>
      </c>
      <c r="B105" s="46" t="s">
        <v>683</v>
      </c>
      <c r="C105" s="74" t="str">
        <f t="shared" si="0"/>
        <v>Short</v>
      </c>
      <c r="D105" s="26" t="s">
        <v>197</v>
      </c>
      <c r="E105" s="29">
        <v>-15750</v>
      </c>
      <c r="F105" s="30">
        <v>-409.86</v>
      </c>
      <c r="G105" s="31">
        <v>-8.0000000000000002E-3</v>
      </c>
      <c r="H105" s="56"/>
      <c r="I105" s="47"/>
    </row>
    <row r="106" spans="1:9" ht="12.95" customHeight="1">
      <c r="A106" s="10" t="s">
        <v>257</v>
      </c>
      <c r="B106" s="46" t="s">
        <v>684</v>
      </c>
      <c r="C106" s="74" t="str">
        <f t="shared" si="0"/>
        <v>Short</v>
      </c>
      <c r="D106" s="26" t="s">
        <v>164</v>
      </c>
      <c r="E106" s="29">
        <v>-12600</v>
      </c>
      <c r="F106" s="30">
        <v>-471.79</v>
      </c>
      <c r="G106" s="31">
        <v>-9.1999999999999998E-3</v>
      </c>
      <c r="H106" s="56"/>
      <c r="I106" s="47"/>
    </row>
    <row r="107" spans="1:9" ht="12.95" customHeight="1">
      <c r="A107" s="10" t="s">
        <v>258</v>
      </c>
      <c r="B107" s="46" t="s">
        <v>685</v>
      </c>
      <c r="C107" s="74" t="str">
        <f t="shared" si="0"/>
        <v>Short</v>
      </c>
      <c r="D107" s="26" t="s">
        <v>211</v>
      </c>
      <c r="E107" s="29">
        <v>-30475</v>
      </c>
      <c r="F107" s="30">
        <v>-581.08000000000004</v>
      </c>
      <c r="G107" s="31">
        <v>-1.14E-2</v>
      </c>
      <c r="H107" s="56"/>
      <c r="I107" s="47"/>
    </row>
    <row r="108" spans="1:9" ht="12.95" customHeight="1">
      <c r="A108" s="10" t="s">
        <v>259</v>
      </c>
      <c r="B108" s="46" t="s">
        <v>686</v>
      </c>
      <c r="C108" s="74" t="str">
        <f t="shared" si="0"/>
        <v>Short</v>
      </c>
      <c r="D108" s="26" t="s">
        <v>72</v>
      </c>
      <c r="E108" s="29">
        <v>-4650</v>
      </c>
      <c r="F108" s="30">
        <v>-765.1</v>
      </c>
      <c r="G108" s="31">
        <v>-1.4999999999999999E-2</v>
      </c>
      <c r="H108" s="56"/>
      <c r="I108" s="47"/>
    </row>
    <row r="109" spans="1:9" ht="12.95" customHeight="1">
      <c r="A109" s="10" t="s">
        <v>260</v>
      </c>
      <c r="B109" s="46" t="s">
        <v>687</v>
      </c>
      <c r="C109" s="74" t="str">
        <f t="shared" si="0"/>
        <v>Short</v>
      </c>
      <c r="D109" s="26" t="s">
        <v>197</v>
      </c>
      <c r="E109" s="29">
        <v>-165300</v>
      </c>
      <c r="F109" s="30">
        <v>-801.79</v>
      </c>
      <c r="G109" s="31">
        <v>-1.5699999999999999E-2</v>
      </c>
      <c r="H109" s="56"/>
      <c r="I109" s="47"/>
    </row>
    <row r="110" spans="1:9" ht="12.95" customHeight="1">
      <c r="A110" s="10" t="s">
        <v>261</v>
      </c>
      <c r="B110" s="46" t="s">
        <v>688</v>
      </c>
      <c r="C110" s="74" t="str">
        <f t="shared" si="0"/>
        <v>Short</v>
      </c>
      <c r="D110" s="26" t="s">
        <v>193</v>
      </c>
      <c r="E110" s="29">
        <v>-267000</v>
      </c>
      <c r="F110" s="30">
        <v>-1013.8</v>
      </c>
      <c r="G110" s="31">
        <v>-1.9900000000000001E-2</v>
      </c>
      <c r="H110" s="56"/>
      <c r="I110" s="47"/>
    </row>
    <row r="111" spans="1:9" ht="12.95" customHeight="1">
      <c r="A111" s="10" t="s">
        <v>262</v>
      </c>
      <c r="B111" s="46" t="s">
        <v>689</v>
      </c>
      <c r="C111" s="74" t="str">
        <f t="shared" si="0"/>
        <v>Short</v>
      </c>
      <c r="D111" s="26" t="s">
        <v>98</v>
      </c>
      <c r="E111" s="29">
        <v>-534600</v>
      </c>
      <c r="F111" s="30">
        <v>-1072.67</v>
      </c>
      <c r="G111" s="31">
        <v>-2.1000000000000001E-2</v>
      </c>
      <c r="H111" s="56"/>
      <c r="I111" s="47"/>
    </row>
    <row r="112" spans="1:9" ht="12.95" customHeight="1">
      <c r="A112" s="10" t="s">
        <v>263</v>
      </c>
      <c r="B112" s="46" t="s">
        <v>690</v>
      </c>
      <c r="C112" s="74" t="str">
        <f t="shared" si="0"/>
        <v>Short</v>
      </c>
      <c r="D112" s="26" t="s">
        <v>183</v>
      </c>
      <c r="E112" s="29">
        <v>-174800</v>
      </c>
      <c r="F112" s="30">
        <v>-1201.49</v>
      </c>
      <c r="G112" s="31">
        <v>-2.35E-2</v>
      </c>
      <c r="H112" s="56"/>
      <c r="I112" s="47"/>
    </row>
    <row r="113" spans="1:9" ht="12.95" customHeight="1">
      <c r="A113" s="10" t="s">
        <v>124</v>
      </c>
      <c r="B113" s="46" t="s">
        <v>691</v>
      </c>
      <c r="C113" s="74" t="str">
        <f t="shared" si="0"/>
        <v>Short</v>
      </c>
      <c r="D113" s="26" t="s">
        <v>53</v>
      </c>
      <c r="E113" s="29">
        <v>-20125</v>
      </c>
      <c r="F113" s="30">
        <v>-1410.93</v>
      </c>
      <c r="G113" s="31">
        <v>-2.7699999999999999E-2</v>
      </c>
      <c r="H113" s="56"/>
      <c r="I113" s="47"/>
    </row>
    <row r="114" spans="1:9" ht="12.95" customHeight="1">
      <c r="A114" s="10" t="s">
        <v>122</v>
      </c>
      <c r="B114" s="46" t="s">
        <v>692</v>
      </c>
      <c r="C114" s="74" t="str">
        <f t="shared" si="0"/>
        <v>Short</v>
      </c>
      <c r="D114" s="26" t="s">
        <v>61</v>
      </c>
      <c r="E114" s="29">
        <v>-309600</v>
      </c>
      <c r="F114" s="30">
        <v>-1476.95</v>
      </c>
      <c r="G114" s="31">
        <v>-2.8899999999999999E-2</v>
      </c>
      <c r="H114" s="56"/>
      <c r="I114" s="47"/>
    </row>
    <row r="115" spans="1:9" ht="12.95" customHeight="1">
      <c r="A115" s="10" t="s">
        <v>112</v>
      </c>
      <c r="B115" s="46" t="s">
        <v>693</v>
      </c>
      <c r="C115" s="74" t="str">
        <f t="shared" si="0"/>
        <v>Short</v>
      </c>
      <c r="D115" s="26" t="s">
        <v>98</v>
      </c>
      <c r="E115" s="29">
        <v>-328500</v>
      </c>
      <c r="F115" s="30">
        <v>-1517.01</v>
      </c>
      <c r="G115" s="31">
        <v>-2.9700000000000001E-2</v>
      </c>
      <c r="H115" s="56"/>
      <c r="I115" s="47"/>
    </row>
    <row r="116" spans="1:9" ht="12.95" customHeight="1">
      <c r="A116" s="10" t="s">
        <v>264</v>
      </c>
      <c r="B116" s="46" t="s">
        <v>694</v>
      </c>
      <c r="C116" s="74" t="str">
        <f t="shared" si="0"/>
        <v>Short</v>
      </c>
      <c r="D116" s="26" t="s">
        <v>53</v>
      </c>
      <c r="E116" s="29">
        <v>-58800</v>
      </c>
      <c r="F116" s="30">
        <v>-1524.89</v>
      </c>
      <c r="G116" s="31">
        <v>-2.9899999999999999E-2</v>
      </c>
      <c r="H116" s="56"/>
      <c r="I116" s="47"/>
    </row>
    <row r="117" spans="1:9" ht="12.95" customHeight="1">
      <c r="A117" s="10" t="s">
        <v>265</v>
      </c>
      <c r="B117" s="46" t="s">
        <v>695</v>
      </c>
      <c r="C117" s="74" t="str">
        <f t="shared" si="0"/>
        <v>Short</v>
      </c>
      <c r="D117" s="26" t="s">
        <v>98</v>
      </c>
      <c r="E117" s="29">
        <v>-171000</v>
      </c>
      <c r="F117" s="30">
        <v>-1524.98</v>
      </c>
      <c r="G117" s="31">
        <v>-2.9899999999999999E-2</v>
      </c>
      <c r="H117" s="56"/>
      <c r="I117" s="47"/>
    </row>
    <row r="118" spans="1:9" ht="12.95" customHeight="1">
      <c r="A118" s="10" t="s">
        <v>266</v>
      </c>
      <c r="B118" s="46" t="s">
        <v>696</v>
      </c>
      <c r="C118" s="74" t="str">
        <f t="shared" si="0"/>
        <v>Short</v>
      </c>
      <c r="D118" s="26" t="s">
        <v>98</v>
      </c>
      <c r="E118" s="29">
        <v>-226875</v>
      </c>
      <c r="F118" s="30">
        <v>-1688.52</v>
      </c>
      <c r="G118" s="31">
        <v>-3.3099999999999997E-2</v>
      </c>
      <c r="H118" s="56"/>
      <c r="I118" s="47"/>
    </row>
    <row r="119" spans="1:9" ht="12.95" customHeight="1">
      <c r="A119" s="10" t="s">
        <v>267</v>
      </c>
      <c r="B119" s="46" t="s">
        <v>697</v>
      </c>
      <c r="C119" s="74" t="str">
        <f t="shared" si="0"/>
        <v>Short</v>
      </c>
      <c r="D119" s="26" t="s">
        <v>98</v>
      </c>
      <c r="E119" s="29">
        <v>-124850</v>
      </c>
      <c r="F119" s="30">
        <v>-1851.03</v>
      </c>
      <c r="G119" s="31">
        <v>-3.6299999999999999E-2</v>
      </c>
      <c r="H119" s="56"/>
      <c r="I119" s="47"/>
    </row>
    <row r="120" spans="1:9" ht="12.95" customHeight="1">
      <c r="A120" s="10" t="s">
        <v>114</v>
      </c>
      <c r="B120" s="46" t="s">
        <v>698</v>
      </c>
      <c r="C120" s="74" t="str">
        <f t="shared" si="0"/>
        <v>Short</v>
      </c>
      <c r="D120" s="26" t="s">
        <v>90</v>
      </c>
      <c r="E120" s="29">
        <v>-101000</v>
      </c>
      <c r="F120" s="30">
        <v>-2405.3200000000002</v>
      </c>
      <c r="G120" s="31">
        <v>-4.7100000000000003E-2</v>
      </c>
      <c r="H120" s="56"/>
      <c r="I120" s="47"/>
    </row>
    <row r="121" spans="1:9" ht="12.95" customHeight="1">
      <c r="A121" s="10" t="s">
        <v>268</v>
      </c>
      <c r="B121" s="46" t="s">
        <v>699</v>
      </c>
      <c r="C121" s="74" t="str">
        <f t="shared" ref="C121" si="1">IF(E121&lt;0,"Short","Long")</f>
        <v>Short</v>
      </c>
      <c r="D121" s="26" t="s">
        <v>98</v>
      </c>
      <c r="E121" s="29">
        <v>-488400</v>
      </c>
      <c r="F121" s="30">
        <v>-3322.83</v>
      </c>
      <c r="G121" s="31">
        <v>-6.5100000000000005E-2</v>
      </c>
      <c r="H121" s="56"/>
      <c r="I121" s="47"/>
    </row>
    <row r="122" spans="1:9" ht="12.95" customHeight="1">
      <c r="A122" s="17"/>
      <c r="B122" s="90"/>
      <c r="C122" s="68"/>
      <c r="D122" s="81"/>
      <c r="E122" s="81"/>
      <c r="F122" s="81"/>
      <c r="G122" s="81"/>
      <c r="H122" s="81"/>
      <c r="I122" s="82"/>
    </row>
    <row r="123" spans="1:9" ht="12.95" customHeight="1" thickBot="1">
      <c r="A123" s="17"/>
      <c r="B123" s="91" t="s">
        <v>666</v>
      </c>
      <c r="C123" s="83"/>
      <c r="D123" s="83"/>
      <c r="E123" s="84"/>
      <c r="F123" s="85">
        <f>SUM(F95:F122)</f>
        <v>-24529.43</v>
      </c>
      <c r="G123" s="86">
        <f>SUM(G95:G122)</f>
        <v>-0.48059999999999997</v>
      </c>
      <c r="H123" s="87"/>
      <c r="I123" s="88"/>
    </row>
    <row r="124" spans="1:9" ht="12.95" customHeight="1">
      <c r="A124" s="17"/>
      <c r="B124" s="57"/>
      <c r="C124" s="57"/>
      <c r="D124" s="57"/>
      <c r="E124" s="57"/>
      <c r="F124" s="57"/>
      <c r="G124" s="57"/>
      <c r="H124" s="57"/>
      <c r="I124" s="57"/>
    </row>
    <row r="125" spans="1:9" ht="12.95" customHeight="1">
      <c r="A125" s="17"/>
      <c r="B125" s="57"/>
      <c r="C125" s="57"/>
      <c r="D125" s="57"/>
      <c r="E125" s="57"/>
      <c r="F125" s="57"/>
      <c r="G125" s="57"/>
      <c r="H125" s="57"/>
      <c r="I125" s="57"/>
    </row>
    <row r="126" spans="1:9" ht="12.95" customHeight="1">
      <c r="A126" s="3"/>
      <c r="B126" s="118" t="s">
        <v>151</v>
      </c>
      <c r="C126" s="118"/>
      <c r="D126" s="118"/>
      <c r="E126" s="118"/>
      <c r="F126" s="118"/>
      <c r="G126" s="118"/>
      <c r="H126" s="118"/>
      <c r="I126" s="118"/>
    </row>
    <row r="127" spans="1:9" ht="12.95" customHeight="1">
      <c r="A127" s="3"/>
      <c r="B127" s="117" t="s">
        <v>152</v>
      </c>
      <c r="C127" s="117"/>
      <c r="D127" s="117"/>
      <c r="E127" s="117"/>
      <c r="F127" s="117"/>
      <c r="G127" s="117"/>
      <c r="H127" s="117"/>
      <c r="I127" s="117"/>
    </row>
    <row r="128" spans="1:9" ht="12.95" customHeight="1">
      <c r="A128" s="3"/>
      <c r="B128" s="117" t="s">
        <v>153</v>
      </c>
      <c r="C128" s="117"/>
      <c r="D128" s="117"/>
      <c r="E128" s="117"/>
      <c r="F128" s="117"/>
      <c r="G128" s="117"/>
      <c r="H128" s="117"/>
      <c r="I128" s="117"/>
    </row>
    <row r="129" spans="1:9" ht="12.95" customHeight="1">
      <c r="A129" s="3"/>
      <c r="B129" s="117" t="s">
        <v>154</v>
      </c>
      <c r="C129" s="117"/>
      <c r="D129" s="117"/>
      <c r="E129" s="117"/>
      <c r="F129" s="117"/>
      <c r="G129" s="117"/>
      <c r="H129" s="117"/>
      <c r="I129" s="117"/>
    </row>
    <row r="130" spans="1:9" ht="12.95" customHeight="1">
      <c r="A130" s="3"/>
      <c r="B130" s="117" t="s">
        <v>155</v>
      </c>
      <c r="C130" s="117"/>
      <c r="D130" s="117"/>
      <c r="E130" s="117"/>
      <c r="F130" s="117"/>
      <c r="G130" s="117"/>
      <c r="H130" s="117"/>
      <c r="I130" s="117"/>
    </row>
    <row r="131" spans="1:9" ht="12.95" customHeight="1">
      <c r="A131" s="3"/>
      <c r="B131" s="117" t="s">
        <v>156</v>
      </c>
      <c r="C131" s="117"/>
      <c r="D131" s="117"/>
      <c r="E131" s="117"/>
      <c r="F131" s="117"/>
      <c r="G131" s="117"/>
      <c r="H131" s="117"/>
      <c r="I131" s="117"/>
    </row>
    <row r="133" spans="1:9">
      <c r="B133" s="95" t="s">
        <v>715</v>
      </c>
    </row>
    <row r="143" spans="1:9">
      <c r="B143" t="s">
        <v>716</v>
      </c>
    </row>
    <row r="144" spans="1:9" ht="15.75">
      <c r="B144" s="96" t="s">
        <v>718</v>
      </c>
    </row>
  </sheetData>
  <mergeCells count="7">
    <mergeCell ref="B129:I129"/>
    <mergeCell ref="B130:I130"/>
    <mergeCell ref="B131:I131"/>
    <mergeCell ref="B90:I90"/>
    <mergeCell ref="B126:I126"/>
    <mergeCell ref="B127:I127"/>
    <mergeCell ref="B128:I128"/>
  </mergeCells>
  <pageMargins left="0" right="0" top="0" bottom="0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1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7" t="s">
        <v>36</v>
      </c>
      <c r="C6" s="38" t="s">
        <v>37</v>
      </c>
      <c r="D6" s="39" t="s">
        <v>38</v>
      </c>
      <c r="E6" s="39" t="s">
        <v>39</v>
      </c>
      <c r="F6" s="39" t="s">
        <v>40</v>
      </c>
      <c r="G6" s="39" t="s">
        <v>41</v>
      </c>
      <c r="H6" s="39" t="s">
        <v>42</v>
      </c>
      <c r="I6" s="40" t="s">
        <v>43</v>
      </c>
    </row>
    <row r="7" spans="1:9" ht="12.95" customHeight="1">
      <c r="A7" s="3"/>
      <c r="B7" s="43" t="s">
        <v>44</v>
      </c>
      <c r="C7" s="26"/>
      <c r="D7" s="26"/>
      <c r="E7" s="26"/>
      <c r="F7" s="26"/>
      <c r="G7" s="26"/>
      <c r="H7" s="27"/>
      <c r="I7" s="44"/>
    </row>
    <row r="8" spans="1:9" ht="12.95" customHeight="1">
      <c r="A8" s="3"/>
      <c r="B8" s="43" t="s">
        <v>45</v>
      </c>
      <c r="C8" s="26"/>
      <c r="D8" s="26"/>
      <c r="E8" s="26"/>
      <c r="F8" s="28"/>
      <c r="G8" s="27"/>
      <c r="H8" s="27"/>
      <c r="I8" s="44"/>
    </row>
    <row r="9" spans="1:9" ht="12.95" customHeight="1">
      <c r="A9" s="10" t="s">
        <v>171</v>
      </c>
      <c r="B9" s="46" t="s">
        <v>172</v>
      </c>
      <c r="C9" s="26" t="s">
        <v>173</v>
      </c>
      <c r="D9" s="26" t="s">
        <v>98</v>
      </c>
      <c r="E9" s="29">
        <v>232765</v>
      </c>
      <c r="F9" s="30">
        <v>1722.81</v>
      </c>
      <c r="G9" s="31">
        <v>0.15640000000000001</v>
      </c>
      <c r="H9" s="56"/>
      <c r="I9" s="47"/>
    </row>
    <row r="10" spans="1:9" ht="12.95" customHeight="1">
      <c r="A10" s="10" t="s">
        <v>168</v>
      </c>
      <c r="B10" s="46" t="s">
        <v>169</v>
      </c>
      <c r="C10" s="26" t="s">
        <v>170</v>
      </c>
      <c r="D10" s="26" t="s">
        <v>98</v>
      </c>
      <c r="E10" s="29">
        <v>46725</v>
      </c>
      <c r="F10" s="30">
        <v>691.25</v>
      </c>
      <c r="G10" s="31">
        <v>6.2799999999999995E-2</v>
      </c>
      <c r="H10" s="56"/>
      <c r="I10" s="47"/>
    </row>
    <row r="11" spans="1:9" ht="12.95" customHeight="1">
      <c r="A11" s="10" t="s">
        <v>95</v>
      </c>
      <c r="B11" s="46" t="s">
        <v>96</v>
      </c>
      <c r="C11" s="26" t="s">
        <v>97</v>
      </c>
      <c r="D11" s="26" t="s">
        <v>98</v>
      </c>
      <c r="E11" s="29">
        <v>138142</v>
      </c>
      <c r="F11" s="30">
        <v>636.07000000000005</v>
      </c>
      <c r="G11" s="31">
        <v>5.7799999999999997E-2</v>
      </c>
      <c r="H11" s="56"/>
      <c r="I11" s="47"/>
    </row>
    <row r="12" spans="1:9" ht="12.95" customHeight="1">
      <c r="A12" s="10" t="s">
        <v>231</v>
      </c>
      <c r="B12" s="46" t="s">
        <v>232</v>
      </c>
      <c r="C12" s="26" t="s">
        <v>233</v>
      </c>
      <c r="D12" s="26" t="s">
        <v>72</v>
      </c>
      <c r="E12" s="29">
        <v>25849</v>
      </c>
      <c r="F12" s="30">
        <v>309.14999999999998</v>
      </c>
      <c r="G12" s="31">
        <v>2.81E-2</v>
      </c>
      <c r="H12" s="56"/>
      <c r="I12" s="47"/>
    </row>
    <row r="13" spans="1:9" ht="12.95" customHeight="1">
      <c r="A13" s="10" t="s">
        <v>291</v>
      </c>
      <c r="B13" s="46" t="s">
        <v>292</v>
      </c>
      <c r="C13" s="26" t="s">
        <v>293</v>
      </c>
      <c r="D13" s="26" t="s">
        <v>72</v>
      </c>
      <c r="E13" s="29">
        <v>20515</v>
      </c>
      <c r="F13" s="30">
        <v>201.12</v>
      </c>
      <c r="G13" s="31">
        <v>1.83E-2</v>
      </c>
      <c r="H13" s="56"/>
      <c r="I13" s="47"/>
    </row>
    <row r="14" spans="1:9" ht="12.95" customHeight="1">
      <c r="A14" s="3"/>
      <c r="B14" s="43" t="s">
        <v>126</v>
      </c>
      <c r="C14" s="26"/>
      <c r="D14" s="26"/>
      <c r="E14" s="26"/>
      <c r="F14" s="33">
        <f>SUM(F9:F13)</f>
        <v>3560.4</v>
      </c>
      <c r="G14" s="34">
        <f>SUM(G9:G13)</f>
        <v>0.32340000000000002</v>
      </c>
      <c r="H14" s="19"/>
      <c r="I14" s="42"/>
    </row>
    <row r="15" spans="1:9" ht="12.95" customHeight="1">
      <c r="A15" s="3"/>
      <c r="B15" s="45" t="s">
        <v>127</v>
      </c>
      <c r="C15" s="18"/>
      <c r="D15" s="18"/>
      <c r="E15" s="18"/>
      <c r="F15" s="19" t="s">
        <v>128</v>
      </c>
      <c r="G15" s="19" t="s">
        <v>128</v>
      </c>
      <c r="H15" s="19"/>
      <c r="I15" s="42"/>
    </row>
    <row r="16" spans="1:9" ht="12.95" customHeight="1">
      <c r="A16" s="3"/>
      <c r="B16" s="45" t="s">
        <v>126</v>
      </c>
      <c r="C16" s="18"/>
      <c r="D16" s="18"/>
      <c r="E16" s="18"/>
      <c r="F16" s="19" t="s">
        <v>128</v>
      </c>
      <c r="G16" s="19" t="s">
        <v>128</v>
      </c>
      <c r="H16" s="19"/>
      <c r="I16" s="42"/>
    </row>
    <row r="17" spans="1:9" ht="12.95" customHeight="1">
      <c r="A17" s="3"/>
      <c r="B17" s="45" t="s">
        <v>129</v>
      </c>
      <c r="C17" s="22"/>
      <c r="D17" s="18"/>
      <c r="E17" s="22"/>
      <c r="F17" s="33">
        <v>3560.4</v>
      </c>
      <c r="G17" s="34">
        <v>0.32340000000000002</v>
      </c>
      <c r="H17" s="19"/>
      <c r="I17" s="42"/>
    </row>
    <row r="18" spans="1:9" ht="12.95" customHeight="1">
      <c r="A18" s="3"/>
      <c r="B18" s="41" t="s">
        <v>133</v>
      </c>
      <c r="C18" s="20"/>
      <c r="D18" s="20"/>
      <c r="E18" s="20"/>
      <c r="F18" s="21"/>
      <c r="G18" s="21"/>
      <c r="H18" s="21"/>
      <c r="I18" s="44"/>
    </row>
    <row r="19" spans="1:9" ht="12.95" customHeight="1">
      <c r="A19" s="3"/>
      <c r="B19" s="43"/>
      <c r="C19" s="20"/>
      <c r="D19" s="20"/>
      <c r="E19" s="20"/>
      <c r="F19" s="21"/>
      <c r="G19" s="21"/>
      <c r="H19" s="21"/>
      <c r="I19" s="44"/>
    </row>
    <row r="20" spans="1:9" ht="12.95" customHeight="1">
      <c r="A20" s="3"/>
      <c r="B20" s="45" t="s">
        <v>134</v>
      </c>
      <c r="C20" s="18"/>
      <c r="D20" s="18"/>
      <c r="E20" s="18"/>
      <c r="F20" s="19" t="s">
        <v>128</v>
      </c>
      <c r="G20" s="19" t="s">
        <v>128</v>
      </c>
      <c r="H20" s="19"/>
      <c r="I20" s="42"/>
    </row>
    <row r="21" spans="1:9" ht="12.95" customHeight="1">
      <c r="A21" s="3"/>
      <c r="B21" s="43"/>
      <c r="C21" s="20"/>
      <c r="D21" s="20"/>
      <c r="E21" s="20"/>
      <c r="F21" s="21"/>
      <c r="G21" s="21"/>
      <c r="H21" s="21"/>
      <c r="I21" s="44"/>
    </row>
    <row r="22" spans="1:9" ht="12.95" customHeight="1">
      <c r="A22" s="3"/>
      <c r="B22" s="45" t="s">
        <v>135</v>
      </c>
      <c r="C22" s="18"/>
      <c r="D22" s="18"/>
      <c r="E22" s="18"/>
      <c r="F22" s="19" t="s">
        <v>128</v>
      </c>
      <c r="G22" s="19" t="s">
        <v>128</v>
      </c>
      <c r="H22" s="19"/>
      <c r="I22" s="42"/>
    </row>
    <row r="23" spans="1:9" ht="12.95" customHeight="1">
      <c r="A23" s="3"/>
      <c r="B23" s="43"/>
      <c r="C23" s="20"/>
      <c r="D23" s="20"/>
      <c r="E23" s="20"/>
      <c r="F23" s="21"/>
      <c r="G23" s="21"/>
      <c r="H23" s="21"/>
      <c r="I23" s="44"/>
    </row>
    <row r="24" spans="1:9" ht="12.95" customHeight="1">
      <c r="A24" s="3"/>
      <c r="B24" s="45" t="s">
        <v>136</v>
      </c>
      <c r="C24" s="18"/>
      <c r="D24" s="18"/>
      <c r="E24" s="18"/>
      <c r="F24" s="19" t="s">
        <v>128</v>
      </c>
      <c r="G24" s="19" t="s">
        <v>128</v>
      </c>
      <c r="H24" s="19"/>
      <c r="I24" s="42"/>
    </row>
    <row r="25" spans="1:9" ht="12.95" customHeight="1">
      <c r="A25" s="3"/>
      <c r="B25" s="43"/>
      <c r="C25" s="20"/>
      <c r="D25" s="20"/>
      <c r="E25" s="20"/>
      <c r="F25" s="21"/>
      <c r="G25" s="21"/>
      <c r="H25" s="21"/>
      <c r="I25" s="44"/>
    </row>
    <row r="26" spans="1:9" ht="12.95" customHeight="1">
      <c r="A26" s="3"/>
      <c r="B26" s="45" t="s">
        <v>137</v>
      </c>
      <c r="C26" s="18"/>
      <c r="D26" s="18"/>
      <c r="E26" s="18"/>
      <c r="F26" s="19" t="s">
        <v>128</v>
      </c>
      <c r="G26" s="19" t="s">
        <v>128</v>
      </c>
      <c r="H26" s="19"/>
      <c r="I26" s="42"/>
    </row>
    <row r="27" spans="1:9" ht="12.95" customHeight="1">
      <c r="A27" s="3"/>
      <c r="B27" s="43"/>
      <c r="C27" s="20"/>
      <c r="D27" s="20"/>
      <c r="E27" s="20"/>
      <c r="F27" s="21"/>
      <c r="G27" s="21"/>
      <c r="H27" s="21"/>
      <c r="I27" s="44"/>
    </row>
    <row r="28" spans="1:9" ht="12.95" customHeight="1">
      <c r="A28" s="3"/>
      <c r="B28" s="45" t="s">
        <v>138</v>
      </c>
      <c r="C28" s="22"/>
      <c r="D28" s="22"/>
      <c r="E28" s="22"/>
      <c r="F28" s="23" t="s">
        <v>128</v>
      </c>
      <c r="G28" s="23" t="s">
        <v>128</v>
      </c>
      <c r="H28" s="23"/>
      <c r="I28" s="42"/>
    </row>
    <row r="29" spans="1:9" ht="12.95" customHeight="1">
      <c r="A29" s="3"/>
      <c r="B29" s="43"/>
      <c r="C29" s="20"/>
      <c r="D29" s="20"/>
      <c r="E29" s="20"/>
      <c r="F29" s="21"/>
      <c r="G29" s="21"/>
      <c r="H29" s="21"/>
      <c r="I29" s="44"/>
    </row>
    <row r="30" spans="1:9" ht="12.95" customHeight="1">
      <c r="A30" s="3"/>
      <c r="B30" s="45" t="s">
        <v>129</v>
      </c>
      <c r="C30" s="24"/>
      <c r="D30" s="24"/>
      <c r="E30" s="24"/>
      <c r="F30" s="25" t="s">
        <v>128</v>
      </c>
      <c r="G30" s="25" t="s">
        <v>128</v>
      </c>
      <c r="H30" s="25"/>
      <c r="I30" s="42"/>
    </row>
    <row r="31" spans="1:9" ht="12.95" customHeight="1">
      <c r="A31" s="3"/>
      <c r="B31" s="45" t="s">
        <v>139</v>
      </c>
      <c r="C31" s="18"/>
      <c r="D31" s="18"/>
      <c r="E31" s="18"/>
      <c r="F31" s="19" t="s">
        <v>128</v>
      </c>
      <c r="G31" s="19" t="s">
        <v>128</v>
      </c>
      <c r="H31" s="19"/>
      <c r="I31" s="42"/>
    </row>
    <row r="32" spans="1:9" ht="12.95" customHeight="1">
      <c r="A32" s="3"/>
      <c r="B32" s="43"/>
      <c r="C32" s="20"/>
      <c r="D32" s="20"/>
      <c r="E32" s="20"/>
      <c r="F32" s="21"/>
      <c r="G32" s="21"/>
      <c r="H32" s="21"/>
      <c r="I32" s="44"/>
    </row>
    <row r="33" spans="1:9" ht="12.95" customHeight="1">
      <c r="A33" s="3"/>
      <c r="B33" s="45" t="s">
        <v>140</v>
      </c>
      <c r="C33" s="18"/>
      <c r="D33" s="18"/>
      <c r="E33" s="18"/>
      <c r="F33" s="19" t="s">
        <v>128</v>
      </c>
      <c r="G33" s="19" t="s">
        <v>128</v>
      </c>
      <c r="H33" s="19"/>
      <c r="I33" s="42"/>
    </row>
    <row r="34" spans="1:9" ht="12.95" customHeight="1">
      <c r="A34" s="3"/>
      <c r="B34" s="43"/>
      <c r="C34" s="20"/>
      <c r="D34" s="20"/>
      <c r="E34" s="20"/>
      <c r="F34" s="21"/>
      <c r="G34" s="21"/>
      <c r="H34" s="21"/>
      <c r="I34" s="44"/>
    </row>
    <row r="35" spans="1:9" ht="12.95" customHeight="1">
      <c r="A35" s="3"/>
      <c r="B35" s="45" t="s">
        <v>141</v>
      </c>
      <c r="C35" s="18"/>
      <c r="D35" s="18"/>
      <c r="E35" s="18"/>
      <c r="F35" s="19" t="s">
        <v>128</v>
      </c>
      <c r="G35" s="19" t="s">
        <v>128</v>
      </c>
      <c r="H35" s="19"/>
      <c r="I35" s="42"/>
    </row>
    <row r="36" spans="1:9" ht="12.95" customHeight="1">
      <c r="A36" s="3"/>
      <c r="B36" s="43"/>
      <c r="C36" s="20"/>
      <c r="D36" s="20"/>
      <c r="E36" s="20"/>
      <c r="F36" s="21"/>
      <c r="G36" s="21"/>
      <c r="H36" s="21"/>
      <c r="I36" s="44"/>
    </row>
    <row r="37" spans="1:9" ht="12.95" customHeight="1">
      <c r="A37" s="3"/>
      <c r="B37" s="45" t="s">
        <v>142</v>
      </c>
      <c r="C37" s="18"/>
      <c r="D37" s="18"/>
      <c r="E37" s="18"/>
      <c r="F37" s="19" t="s">
        <v>128</v>
      </c>
      <c r="G37" s="19" t="s">
        <v>128</v>
      </c>
      <c r="H37" s="19"/>
      <c r="I37" s="42"/>
    </row>
    <row r="38" spans="1:9" ht="12.95" customHeight="1">
      <c r="A38" s="3"/>
      <c r="B38" s="43"/>
      <c r="C38" s="20"/>
      <c r="D38" s="20"/>
      <c r="E38" s="20"/>
      <c r="F38" s="21"/>
      <c r="G38" s="21"/>
      <c r="H38" s="21"/>
      <c r="I38" s="44"/>
    </row>
    <row r="39" spans="1:9" ht="12.95" customHeight="1">
      <c r="A39" s="3"/>
      <c r="B39" s="45" t="s">
        <v>143</v>
      </c>
      <c r="C39" s="22"/>
      <c r="D39" s="22"/>
      <c r="E39" s="22"/>
      <c r="F39" s="23" t="s">
        <v>128</v>
      </c>
      <c r="G39" s="23" t="s">
        <v>128</v>
      </c>
      <c r="H39" s="23"/>
      <c r="I39" s="42"/>
    </row>
    <row r="40" spans="1:9" ht="12.95" customHeight="1">
      <c r="A40" s="3"/>
      <c r="B40" s="43"/>
      <c r="C40" s="20"/>
      <c r="D40" s="20"/>
      <c r="E40" s="20"/>
      <c r="F40" s="21"/>
      <c r="G40" s="21"/>
      <c r="H40" s="21"/>
      <c r="I40" s="44"/>
    </row>
    <row r="41" spans="1:9" ht="12.95" customHeight="1">
      <c r="A41" s="3"/>
      <c r="B41" s="45" t="s">
        <v>129</v>
      </c>
      <c r="C41" s="24"/>
      <c r="D41" s="24"/>
      <c r="E41" s="24"/>
      <c r="F41" s="25" t="s">
        <v>128</v>
      </c>
      <c r="G41" s="25" t="s">
        <v>128</v>
      </c>
      <c r="H41" s="25"/>
      <c r="I41" s="42"/>
    </row>
    <row r="42" spans="1:9" ht="12.95" customHeight="1">
      <c r="A42" s="3"/>
      <c r="B42" s="45" t="s">
        <v>144</v>
      </c>
      <c r="C42" s="18"/>
      <c r="D42" s="18"/>
      <c r="E42" s="18"/>
      <c r="F42" s="19" t="s">
        <v>128</v>
      </c>
      <c r="G42" s="19" t="s">
        <v>128</v>
      </c>
      <c r="H42" s="19"/>
      <c r="I42" s="42"/>
    </row>
    <row r="43" spans="1:9" ht="12.95" customHeight="1">
      <c r="A43" s="3"/>
      <c r="B43" s="43"/>
      <c r="C43" s="20"/>
      <c r="D43" s="20"/>
      <c r="E43" s="20"/>
      <c r="F43" s="21"/>
      <c r="G43" s="21"/>
      <c r="H43" s="21"/>
      <c r="I43" s="44"/>
    </row>
    <row r="44" spans="1:9" ht="12.95" customHeight="1">
      <c r="A44" s="3"/>
      <c r="B44" s="45" t="s">
        <v>145</v>
      </c>
      <c r="C44" s="18"/>
      <c r="D44" s="18"/>
      <c r="E44" s="18"/>
      <c r="F44" s="19" t="s">
        <v>128</v>
      </c>
      <c r="G44" s="19" t="s">
        <v>128</v>
      </c>
      <c r="H44" s="19"/>
      <c r="I44" s="42"/>
    </row>
    <row r="45" spans="1:9" ht="12.95" customHeight="1">
      <c r="A45" s="3"/>
      <c r="B45" s="43"/>
      <c r="C45" s="20"/>
      <c r="D45" s="20"/>
      <c r="E45" s="20"/>
      <c r="F45" s="21"/>
      <c r="G45" s="21"/>
      <c r="H45" s="21"/>
      <c r="I45" s="44"/>
    </row>
    <row r="46" spans="1:9" ht="12.95" customHeight="1">
      <c r="A46" s="3"/>
      <c r="B46" s="45" t="s">
        <v>146</v>
      </c>
      <c r="C46" s="18"/>
      <c r="D46" s="18"/>
      <c r="E46" s="18"/>
      <c r="F46" s="19" t="s">
        <v>128</v>
      </c>
      <c r="G46" s="19" t="s">
        <v>128</v>
      </c>
      <c r="H46" s="19"/>
      <c r="I46" s="42"/>
    </row>
    <row r="47" spans="1:9" ht="12.95" customHeight="1">
      <c r="A47" s="3"/>
      <c r="B47" s="43"/>
      <c r="C47" s="20"/>
      <c r="D47" s="20"/>
      <c r="E47" s="20"/>
      <c r="F47" s="21"/>
      <c r="G47" s="21"/>
      <c r="H47" s="21"/>
      <c r="I47" s="44"/>
    </row>
    <row r="48" spans="1:9" ht="12.95" customHeight="1">
      <c r="A48" s="3"/>
      <c r="B48" s="45" t="s">
        <v>147</v>
      </c>
      <c r="C48" s="18"/>
      <c r="D48" s="18"/>
      <c r="E48" s="18"/>
      <c r="F48" s="19" t="s">
        <v>128</v>
      </c>
      <c r="G48" s="19" t="s">
        <v>128</v>
      </c>
      <c r="H48" s="19"/>
      <c r="I48" s="42"/>
    </row>
    <row r="49" spans="1:9" ht="12.95" customHeight="1">
      <c r="A49" s="3"/>
      <c r="B49" s="43"/>
      <c r="C49" s="20"/>
      <c r="D49" s="20"/>
      <c r="E49" s="20"/>
      <c r="F49" s="21"/>
      <c r="G49" s="21"/>
      <c r="H49" s="21"/>
      <c r="I49" s="44"/>
    </row>
    <row r="50" spans="1:9" ht="12.95" customHeight="1">
      <c r="A50" s="3"/>
      <c r="B50" s="45" t="s">
        <v>148</v>
      </c>
      <c r="C50" s="18"/>
      <c r="D50" s="18"/>
      <c r="E50" s="18"/>
      <c r="F50" s="19" t="s">
        <v>128</v>
      </c>
      <c r="G50" s="19" t="s">
        <v>128</v>
      </c>
      <c r="H50" s="19"/>
      <c r="I50" s="42"/>
    </row>
    <row r="51" spans="1:9" ht="12.95" customHeight="1">
      <c r="A51" s="3"/>
      <c r="B51" s="43"/>
      <c r="C51" s="20"/>
      <c r="D51" s="20"/>
      <c r="E51" s="20"/>
      <c r="F51" s="21"/>
      <c r="G51" s="21"/>
      <c r="H51" s="21"/>
      <c r="I51" s="44"/>
    </row>
    <row r="52" spans="1:9" ht="12.95" customHeight="1">
      <c r="A52" s="3"/>
      <c r="B52" s="45" t="s">
        <v>129</v>
      </c>
      <c r="C52" s="22"/>
      <c r="D52" s="22"/>
      <c r="E52" s="22"/>
      <c r="F52" s="23" t="s">
        <v>128</v>
      </c>
      <c r="G52" s="23" t="s">
        <v>128</v>
      </c>
      <c r="H52" s="23"/>
      <c r="I52" s="42"/>
    </row>
    <row r="53" spans="1:9" ht="12.95" customHeight="1">
      <c r="A53" s="17"/>
      <c r="B53" s="45"/>
      <c r="C53" s="22"/>
      <c r="D53" s="22"/>
      <c r="E53" s="22"/>
      <c r="F53" s="23"/>
      <c r="G53" s="23"/>
      <c r="H53" s="23"/>
      <c r="I53" s="42"/>
    </row>
    <row r="54" spans="1:9" ht="12.95" customHeight="1">
      <c r="A54" s="3"/>
      <c r="B54" s="43" t="s">
        <v>130</v>
      </c>
      <c r="C54" s="26"/>
      <c r="D54" s="26"/>
      <c r="E54" s="26"/>
      <c r="F54" s="26"/>
      <c r="G54" s="26"/>
      <c r="H54" s="27"/>
      <c r="I54" s="44"/>
    </row>
    <row r="55" spans="1:9" ht="12.95" customHeight="1">
      <c r="A55" s="10" t="s">
        <v>131</v>
      </c>
      <c r="B55" s="46" t="s">
        <v>132</v>
      </c>
      <c r="C55" s="26"/>
      <c r="D55" s="26"/>
      <c r="E55" s="29"/>
      <c r="F55" s="30">
        <v>5997.88</v>
      </c>
      <c r="G55" s="31">
        <v>0.54459999999999997</v>
      </c>
      <c r="H55" s="56"/>
      <c r="I55" s="47"/>
    </row>
    <row r="56" spans="1:9" ht="12.95" customHeight="1">
      <c r="A56" s="3"/>
      <c r="B56" s="43" t="s">
        <v>126</v>
      </c>
      <c r="C56" s="26"/>
      <c r="D56" s="26"/>
      <c r="E56" s="26"/>
      <c r="F56" s="33">
        <v>5997.88</v>
      </c>
      <c r="G56" s="34">
        <v>0.54459999999999997</v>
      </c>
      <c r="H56" s="19"/>
      <c r="I56" s="42"/>
    </row>
    <row r="57" spans="1:9" ht="12.95" customHeight="1">
      <c r="A57" s="3"/>
      <c r="B57" s="45" t="s">
        <v>129</v>
      </c>
      <c r="C57" s="22"/>
      <c r="D57" s="18"/>
      <c r="E57" s="22"/>
      <c r="F57" s="33">
        <v>5997.88</v>
      </c>
      <c r="G57" s="34">
        <v>0.54459999999999997</v>
      </c>
      <c r="H57" s="19"/>
      <c r="I57" s="42"/>
    </row>
    <row r="58" spans="1:9" ht="12.95" customHeight="1">
      <c r="A58" s="3"/>
      <c r="B58" s="45" t="s">
        <v>149</v>
      </c>
      <c r="C58" s="35"/>
      <c r="D58" s="18"/>
      <c r="E58" s="22"/>
      <c r="F58" s="36">
        <f>+F59-F17-F57</f>
        <v>1454.4100000000008</v>
      </c>
      <c r="G58" s="34">
        <f>+G59-G17-G57</f>
        <v>0.13200000000000001</v>
      </c>
      <c r="H58" s="19"/>
      <c r="I58" s="42"/>
    </row>
    <row r="59" spans="1:9" ht="12.95" customHeight="1" thickBot="1">
      <c r="A59" s="3"/>
      <c r="B59" s="49" t="s">
        <v>150</v>
      </c>
      <c r="C59" s="50"/>
      <c r="D59" s="50"/>
      <c r="E59" s="50"/>
      <c r="F59" s="51">
        <v>11012.69</v>
      </c>
      <c r="G59" s="52">
        <v>1</v>
      </c>
      <c r="H59" s="53"/>
      <c r="I59" s="54"/>
    </row>
    <row r="60" spans="1:9" ht="12.95" customHeight="1">
      <c r="A60" s="3"/>
      <c r="B60" s="118"/>
      <c r="C60" s="118"/>
      <c r="D60" s="118"/>
      <c r="E60" s="118"/>
      <c r="F60" s="118"/>
      <c r="G60" s="118"/>
      <c r="H60" s="118"/>
      <c r="I60" s="118"/>
    </row>
    <row r="61" spans="1:9" ht="12.95" customHeight="1">
      <c r="A61" s="17"/>
      <c r="B61" s="57"/>
      <c r="C61" s="57"/>
      <c r="D61" s="57"/>
      <c r="E61" s="57"/>
      <c r="F61" s="57"/>
      <c r="G61" s="57"/>
      <c r="H61" s="57"/>
      <c r="I61" s="57"/>
    </row>
    <row r="62" spans="1:9" ht="12.95" customHeight="1" thickBot="1">
      <c r="A62" s="17"/>
      <c r="B62" s="58" t="s">
        <v>661</v>
      </c>
      <c r="C62" s="59"/>
      <c r="D62" s="60"/>
      <c r="E62" s="60"/>
      <c r="F62" s="60"/>
      <c r="G62" s="60"/>
      <c r="H62" s="60"/>
      <c r="I62" s="60"/>
    </row>
    <row r="63" spans="1:9" ht="30" customHeight="1">
      <c r="A63" s="17"/>
      <c r="B63" s="62" t="s">
        <v>36</v>
      </c>
      <c r="C63" s="63" t="s">
        <v>662</v>
      </c>
      <c r="D63" s="63" t="s">
        <v>663</v>
      </c>
      <c r="E63" s="64" t="s">
        <v>39</v>
      </c>
      <c r="F63" s="65" t="s">
        <v>664</v>
      </c>
      <c r="G63" s="66" t="s">
        <v>41</v>
      </c>
      <c r="H63" s="66" t="s">
        <v>42</v>
      </c>
      <c r="I63" s="67" t="s">
        <v>43</v>
      </c>
    </row>
    <row r="64" spans="1:9" ht="12.95" customHeight="1">
      <c r="A64" s="17"/>
      <c r="B64" s="90" t="s">
        <v>665</v>
      </c>
      <c r="C64" s="68"/>
      <c r="D64" s="69"/>
      <c r="E64" s="70"/>
      <c r="F64" s="71"/>
      <c r="G64" s="70"/>
      <c r="H64" s="70"/>
      <c r="I64" s="72"/>
    </row>
    <row r="65" spans="1:9" ht="12.95" customHeight="1">
      <c r="A65" s="10" t="s">
        <v>294</v>
      </c>
      <c r="B65" s="46" t="s">
        <v>668</v>
      </c>
      <c r="C65" s="74" t="str">
        <f t="shared" ref="C65:C69" si="0">IF(E65&lt;0,"Short","Long")</f>
        <v>Short</v>
      </c>
      <c r="D65" s="26" t="s">
        <v>72</v>
      </c>
      <c r="E65" s="29">
        <v>-20150</v>
      </c>
      <c r="F65" s="30">
        <v>-197.49</v>
      </c>
      <c r="G65" s="31">
        <v>-1.7899999999999999E-2</v>
      </c>
      <c r="H65" s="56"/>
      <c r="I65" s="47"/>
    </row>
    <row r="66" spans="1:9" ht="12.95" customHeight="1">
      <c r="A66" s="10" t="s">
        <v>251</v>
      </c>
      <c r="B66" s="46" t="s">
        <v>669</v>
      </c>
      <c r="C66" s="74" t="str">
        <f t="shared" si="0"/>
        <v>Short</v>
      </c>
      <c r="D66" s="26" t="s">
        <v>72</v>
      </c>
      <c r="E66" s="29">
        <v>-25500</v>
      </c>
      <c r="F66" s="30">
        <v>-305.70999999999998</v>
      </c>
      <c r="G66" s="31">
        <v>-2.7799999999999998E-2</v>
      </c>
      <c r="H66" s="56"/>
      <c r="I66" s="47"/>
    </row>
    <row r="67" spans="1:9" ht="12.95" customHeight="1">
      <c r="A67" s="10" t="s">
        <v>112</v>
      </c>
      <c r="B67" s="46" t="s">
        <v>670</v>
      </c>
      <c r="C67" s="74" t="str">
        <f t="shared" si="0"/>
        <v>Short</v>
      </c>
      <c r="D67" s="26" t="s">
        <v>98</v>
      </c>
      <c r="E67" s="29">
        <v>-138000</v>
      </c>
      <c r="F67" s="30">
        <v>-637.28</v>
      </c>
      <c r="G67" s="31">
        <v>-5.79E-2</v>
      </c>
      <c r="H67" s="56"/>
      <c r="I67" s="47"/>
    </row>
    <row r="68" spans="1:9" ht="12.95" customHeight="1">
      <c r="A68" s="10" t="s">
        <v>267</v>
      </c>
      <c r="B68" s="46" t="s">
        <v>671</v>
      </c>
      <c r="C68" s="74" t="str">
        <f t="shared" si="0"/>
        <v>Short</v>
      </c>
      <c r="D68" s="26" t="s">
        <v>98</v>
      </c>
      <c r="E68" s="29">
        <v>-44000</v>
      </c>
      <c r="F68" s="30">
        <v>-652.34</v>
      </c>
      <c r="G68" s="31">
        <v>-5.9200000000000003E-2</v>
      </c>
      <c r="H68" s="56"/>
      <c r="I68" s="47"/>
    </row>
    <row r="69" spans="1:9" ht="12.95" customHeight="1">
      <c r="A69" s="10" t="s">
        <v>266</v>
      </c>
      <c r="B69" s="46" t="s">
        <v>672</v>
      </c>
      <c r="C69" s="74" t="str">
        <f t="shared" si="0"/>
        <v>Short</v>
      </c>
      <c r="D69" s="26" t="s">
        <v>98</v>
      </c>
      <c r="E69" s="29">
        <v>-232375</v>
      </c>
      <c r="F69" s="30">
        <v>-1729.45</v>
      </c>
      <c r="G69" s="31">
        <v>-0.157</v>
      </c>
      <c r="H69" s="56"/>
      <c r="I69" s="47"/>
    </row>
    <row r="70" spans="1:9" ht="12.95" customHeight="1">
      <c r="A70" s="17"/>
      <c r="B70" s="90"/>
      <c r="C70" s="68"/>
      <c r="D70" s="81"/>
      <c r="E70" s="81"/>
      <c r="F70" s="81"/>
      <c r="G70" s="81"/>
      <c r="H70" s="81"/>
      <c r="I70" s="82"/>
    </row>
    <row r="71" spans="1:9" ht="12.95" customHeight="1" thickBot="1">
      <c r="A71" s="17"/>
      <c r="B71" s="91" t="s">
        <v>666</v>
      </c>
      <c r="C71" s="83"/>
      <c r="D71" s="83"/>
      <c r="E71" s="84"/>
      <c r="F71" s="85">
        <f>SUM(F65:F70)</f>
        <v>-3522.2700000000004</v>
      </c>
      <c r="G71" s="86">
        <f>SUM(G65:G70)</f>
        <v>-0.31979999999999997</v>
      </c>
      <c r="H71" s="87"/>
      <c r="I71" s="88"/>
    </row>
    <row r="72" spans="1:9" ht="12.95" customHeight="1">
      <c r="A72" s="17"/>
      <c r="B72" s="57"/>
      <c r="C72" s="57"/>
      <c r="D72" s="57"/>
      <c r="E72" s="57"/>
      <c r="F72" s="57"/>
      <c r="G72" s="57"/>
      <c r="H72" s="57"/>
      <c r="I72" s="57"/>
    </row>
    <row r="73" spans="1:9" ht="12.95" customHeight="1">
      <c r="A73" s="17"/>
      <c r="B73" s="57"/>
      <c r="C73" s="57"/>
      <c r="D73" s="57"/>
      <c r="E73" s="57"/>
      <c r="F73" s="57"/>
      <c r="G73" s="57"/>
      <c r="H73" s="57"/>
      <c r="I73" s="57"/>
    </row>
    <row r="74" spans="1:9" ht="12.95" customHeight="1">
      <c r="A74" s="3"/>
      <c r="B74" s="118" t="s">
        <v>151</v>
      </c>
      <c r="C74" s="118"/>
      <c r="D74" s="118"/>
      <c r="E74" s="118"/>
      <c r="F74" s="118"/>
      <c r="G74" s="118"/>
      <c r="H74" s="118"/>
      <c r="I74" s="118"/>
    </row>
    <row r="75" spans="1:9" ht="12.95" customHeight="1">
      <c r="A75" s="3"/>
      <c r="B75" s="117" t="s">
        <v>152</v>
      </c>
      <c r="C75" s="117"/>
      <c r="D75" s="117"/>
      <c r="E75" s="117"/>
      <c r="F75" s="117"/>
      <c r="G75" s="117"/>
      <c r="H75" s="117"/>
      <c r="I75" s="117"/>
    </row>
    <row r="76" spans="1:9" ht="12.95" customHeight="1">
      <c r="A76" s="3"/>
      <c r="B76" s="117" t="s">
        <v>153</v>
      </c>
      <c r="C76" s="117"/>
      <c r="D76" s="117"/>
      <c r="E76" s="117"/>
      <c r="F76" s="117"/>
      <c r="G76" s="117"/>
      <c r="H76" s="117"/>
      <c r="I76" s="117"/>
    </row>
    <row r="77" spans="1:9" ht="12.95" customHeight="1">
      <c r="A77" s="3"/>
      <c r="B77" s="117" t="s">
        <v>154</v>
      </c>
      <c r="C77" s="117"/>
      <c r="D77" s="117"/>
      <c r="E77" s="117"/>
      <c r="F77" s="117"/>
      <c r="G77" s="117"/>
      <c r="H77" s="117"/>
      <c r="I77" s="117"/>
    </row>
    <row r="78" spans="1:9" ht="12.95" customHeight="1">
      <c r="A78" s="3"/>
      <c r="B78" s="117" t="s">
        <v>155</v>
      </c>
      <c r="C78" s="117"/>
      <c r="D78" s="117"/>
      <c r="E78" s="117"/>
      <c r="F78" s="117"/>
      <c r="G78" s="117"/>
      <c r="H78" s="117"/>
      <c r="I78" s="117"/>
    </row>
    <row r="79" spans="1:9" ht="12.95" customHeight="1">
      <c r="A79" s="3"/>
      <c r="B79" s="117" t="s">
        <v>156</v>
      </c>
      <c r="C79" s="117"/>
      <c r="D79" s="117"/>
      <c r="E79" s="117"/>
      <c r="F79" s="117"/>
      <c r="G79" s="117"/>
      <c r="H79" s="117"/>
      <c r="I79" s="117"/>
    </row>
    <row r="81" spans="2:2">
      <c r="B81" s="95" t="s">
        <v>715</v>
      </c>
    </row>
    <row r="90" spans="2:2">
      <c r="B90" t="s">
        <v>716</v>
      </c>
    </row>
    <row r="91" spans="2:2" ht="15.75">
      <c r="B91" s="96" t="s">
        <v>719</v>
      </c>
    </row>
  </sheetData>
  <mergeCells count="7">
    <mergeCell ref="B77:I77"/>
    <mergeCell ref="B78:I78"/>
    <mergeCell ref="B79:I79"/>
    <mergeCell ref="B60:I60"/>
    <mergeCell ref="B74:I74"/>
    <mergeCell ref="B75:I75"/>
    <mergeCell ref="B76:I76"/>
  </mergeCells>
  <pageMargins left="0" right="0" top="0" bottom="0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1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7" t="s">
        <v>36</v>
      </c>
      <c r="C6" s="38" t="s">
        <v>37</v>
      </c>
      <c r="D6" s="39" t="s">
        <v>295</v>
      </c>
      <c r="E6" s="39" t="s">
        <v>39</v>
      </c>
      <c r="F6" s="39" t="s">
        <v>40</v>
      </c>
      <c r="G6" s="39" t="s">
        <v>41</v>
      </c>
      <c r="H6" s="39" t="s">
        <v>42</v>
      </c>
      <c r="I6" s="40" t="s">
        <v>43</v>
      </c>
    </row>
    <row r="7" spans="1:9" ht="12.95" customHeight="1">
      <c r="A7" s="3"/>
      <c r="B7" s="41" t="s">
        <v>44</v>
      </c>
      <c r="C7" s="18"/>
      <c r="D7" s="18"/>
      <c r="E7" s="18"/>
      <c r="F7" s="19" t="s">
        <v>128</v>
      </c>
      <c r="G7" s="19" t="s">
        <v>128</v>
      </c>
      <c r="H7" s="19"/>
      <c r="I7" s="42"/>
    </row>
    <row r="8" spans="1:9" ht="12.95" customHeight="1">
      <c r="A8" s="3"/>
      <c r="B8" s="43"/>
      <c r="C8" s="20"/>
      <c r="D8" s="20"/>
      <c r="E8" s="20"/>
      <c r="F8" s="21"/>
      <c r="G8" s="21"/>
      <c r="H8" s="21"/>
      <c r="I8" s="44"/>
    </row>
    <row r="9" spans="1:9" ht="12.95" customHeight="1">
      <c r="A9" s="3"/>
      <c r="B9" s="45" t="s">
        <v>309</v>
      </c>
      <c r="C9" s="18"/>
      <c r="D9" s="18"/>
      <c r="E9" s="18"/>
      <c r="F9" s="19" t="s">
        <v>128</v>
      </c>
      <c r="G9" s="19" t="s">
        <v>128</v>
      </c>
      <c r="H9" s="19"/>
      <c r="I9" s="42"/>
    </row>
    <row r="10" spans="1:9" ht="12.95" customHeight="1">
      <c r="A10" s="3"/>
      <c r="B10" s="43"/>
      <c r="C10" s="20"/>
      <c r="D10" s="20"/>
      <c r="E10" s="20"/>
      <c r="F10" s="21"/>
      <c r="G10" s="21"/>
      <c r="H10" s="21"/>
      <c r="I10" s="44"/>
    </row>
    <row r="11" spans="1:9" ht="12.95" customHeight="1">
      <c r="A11" s="3"/>
      <c r="B11" s="45" t="s">
        <v>310</v>
      </c>
      <c r="C11" s="22"/>
      <c r="D11" s="22"/>
      <c r="E11" s="22"/>
      <c r="F11" s="23" t="s">
        <v>128</v>
      </c>
      <c r="G11" s="23" t="s">
        <v>128</v>
      </c>
      <c r="H11" s="23"/>
      <c r="I11" s="42"/>
    </row>
    <row r="12" spans="1:9" ht="12.95" customHeight="1">
      <c r="A12" s="3"/>
      <c r="B12" s="43"/>
      <c r="C12" s="20"/>
      <c r="D12" s="20"/>
      <c r="E12" s="20"/>
      <c r="F12" s="21"/>
      <c r="G12" s="21"/>
      <c r="H12" s="21"/>
      <c r="I12" s="44"/>
    </row>
    <row r="13" spans="1:9" ht="12.95" customHeight="1">
      <c r="A13" s="3"/>
      <c r="B13" s="45" t="s">
        <v>311</v>
      </c>
      <c r="C13" s="24"/>
      <c r="D13" s="24"/>
      <c r="E13" s="24"/>
      <c r="F13" s="25" t="s">
        <v>128</v>
      </c>
      <c r="G13" s="25" t="s">
        <v>128</v>
      </c>
      <c r="H13" s="25"/>
      <c r="I13" s="42"/>
    </row>
    <row r="14" spans="1:9" ht="12.95" customHeight="1">
      <c r="A14" s="3"/>
      <c r="B14" s="43"/>
      <c r="C14" s="20"/>
      <c r="D14" s="20"/>
      <c r="E14" s="20"/>
      <c r="F14" s="21"/>
      <c r="G14" s="21"/>
      <c r="H14" s="21"/>
      <c r="I14" s="44"/>
    </row>
    <row r="15" spans="1:9" ht="12.95" customHeight="1">
      <c r="A15" s="3"/>
      <c r="B15" s="45" t="s">
        <v>129</v>
      </c>
      <c r="C15" s="24"/>
      <c r="D15" s="24"/>
      <c r="E15" s="24"/>
      <c r="F15" s="25" t="s">
        <v>128</v>
      </c>
      <c r="G15" s="25" t="s">
        <v>128</v>
      </c>
      <c r="H15" s="25"/>
      <c r="I15" s="42"/>
    </row>
    <row r="16" spans="1:9" ht="12.95" customHeight="1">
      <c r="A16" s="17"/>
      <c r="B16" s="43" t="s">
        <v>133</v>
      </c>
      <c r="C16" s="26"/>
      <c r="D16" s="26"/>
      <c r="E16" s="26"/>
      <c r="F16" s="26"/>
      <c r="G16" s="26"/>
      <c r="H16" s="27"/>
      <c r="I16" s="44"/>
    </row>
    <row r="17" spans="1:9" ht="12.95" customHeight="1">
      <c r="A17" s="3"/>
      <c r="B17" s="43" t="s">
        <v>269</v>
      </c>
      <c r="C17" s="26"/>
      <c r="D17" s="26"/>
      <c r="E17" s="26"/>
      <c r="F17" s="28"/>
      <c r="G17" s="27"/>
      <c r="H17" s="27"/>
      <c r="I17" s="44"/>
    </row>
    <row r="18" spans="1:9" ht="12.95" customHeight="1">
      <c r="A18" s="10" t="s">
        <v>270</v>
      </c>
      <c r="B18" s="46" t="s">
        <v>271</v>
      </c>
      <c r="C18" s="26" t="s">
        <v>272</v>
      </c>
      <c r="D18" s="26" t="s">
        <v>273</v>
      </c>
      <c r="E18" s="29">
        <v>200000</v>
      </c>
      <c r="F18" s="30">
        <v>203.87</v>
      </c>
      <c r="G18" s="31">
        <v>0.1231</v>
      </c>
      <c r="H18" s="32">
        <v>4.8899999999999999E-2</v>
      </c>
      <c r="I18" s="47" t="s">
        <v>274</v>
      </c>
    </row>
    <row r="19" spans="1:9" ht="12.95" customHeight="1">
      <c r="A19" s="10" t="s">
        <v>275</v>
      </c>
      <c r="B19" s="46" t="s">
        <v>276</v>
      </c>
      <c r="C19" s="26" t="s">
        <v>277</v>
      </c>
      <c r="D19" s="26" t="s">
        <v>278</v>
      </c>
      <c r="E19" s="29">
        <v>200000</v>
      </c>
      <c r="F19" s="30">
        <v>201.09</v>
      </c>
      <c r="G19" s="31">
        <v>0.12139999999999999</v>
      </c>
      <c r="H19" s="32">
        <v>4.965E-2</v>
      </c>
      <c r="I19" s="47" t="s">
        <v>274</v>
      </c>
    </row>
    <row r="20" spans="1:9" ht="12.95" customHeight="1">
      <c r="A20" s="10" t="s">
        <v>296</v>
      </c>
      <c r="B20" s="46" t="s">
        <v>297</v>
      </c>
      <c r="C20" s="26" t="s">
        <v>298</v>
      </c>
      <c r="D20" s="26" t="s">
        <v>278</v>
      </c>
      <c r="E20" s="29">
        <v>200000</v>
      </c>
      <c r="F20" s="30">
        <v>201.07</v>
      </c>
      <c r="G20" s="31">
        <v>0.12139999999999999</v>
      </c>
      <c r="H20" s="32">
        <v>5.0999999999999997E-2</v>
      </c>
      <c r="I20" s="47" t="s">
        <v>274</v>
      </c>
    </row>
    <row r="21" spans="1:9" ht="12.95" customHeight="1">
      <c r="A21" s="10" t="s">
        <v>299</v>
      </c>
      <c r="B21" s="46" t="s">
        <v>300</v>
      </c>
      <c r="C21" s="26" t="s">
        <v>301</v>
      </c>
      <c r="D21" s="26" t="s">
        <v>273</v>
      </c>
      <c r="E21" s="29">
        <v>200000</v>
      </c>
      <c r="F21" s="30">
        <v>199.76</v>
      </c>
      <c r="G21" s="31">
        <v>0.1206</v>
      </c>
      <c r="H21" s="32">
        <v>4.9599999999999998E-2</v>
      </c>
      <c r="I21" s="47" t="s">
        <v>274</v>
      </c>
    </row>
    <row r="22" spans="1:9" ht="12.95" customHeight="1">
      <c r="A22" s="10" t="s">
        <v>302</v>
      </c>
      <c r="B22" s="46" t="s">
        <v>303</v>
      </c>
      <c r="C22" s="26" t="s">
        <v>304</v>
      </c>
      <c r="D22" s="26" t="s">
        <v>278</v>
      </c>
      <c r="E22" s="29">
        <v>200000</v>
      </c>
      <c r="F22" s="30">
        <v>198.04</v>
      </c>
      <c r="G22" s="31">
        <v>0.1196</v>
      </c>
      <c r="H22" s="32">
        <v>5.8599999999999999E-2</v>
      </c>
      <c r="I22" s="47" t="s">
        <v>274</v>
      </c>
    </row>
    <row r="23" spans="1:9" ht="12.95" customHeight="1">
      <c r="A23" s="3"/>
      <c r="B23" s="43" t="s">
        <v>126</v>
      </c>
      <c r="C23" s="26"/>
      <c r="D23" s="26"/>
      <c r="E23" s="26"/>
      <c r="F23" s="33">
        <v>1003.83</v>
      </c>
      <c r="G23" s="34">
        <v>0.60609999999999997</v>
      </c>
      <c r="H23" s="19"/>
      <c r="I23" s="42"/>
    </row>
    <row r="24" spans="1:9" ht="12.95" customHeight="1">
      <c r="A24" s="3"/>
      <c r="B24" s="43" t="s">
        <v>281</v>
      </c>
      <c r="C24" s="26"/>
      <c r="D24" s="26"/>
      <c r="E24" s="26"/>
      <c r="F24" s="28"/>
      <c r="G24" s="27"/>
      <c r="H24" s="27"/>
      <c r="I24" s="44"/>
    </row>
    <row r="25" spans="1:9" ht="12.95" customHeight="1">
      <c r="A25" s="10" t="s">
        <v>305</v>
      </c>
      <c r="B25" s="46" t="s">
        <v>306</v>
      </c>
      <c r="C25" s="26" t="s">
        <v>307</v>
      </c>
      <c r="D25" s="26" t="s">
        <v>308</v>
      </c>
      <c r="E25" s="29">
        <v>100000</v>
      </c>
      <c r="F25" s="30">
        <v>104.73</v>
      </c>
      <c r="G25" s="31">
        <v>6.3200000000000006E-2</v>
      </c>
      <c r="H25" s="32">
        <v>6.4130999999999994E-2</v>
      </c>
      <c r="I25" s="47"/>
    </row>
    <row r="26" spans="1:9" ht="12.95" customHeight="1">
      <c r="A26" s="3"/>
      <c r="B26" s="43" t="s">
        <v>126</v>
      </c>
      <c r="C26" s="26"/>
      <c r="D26" s="26"/>
      <c r="E26" s="26"/>
      <c r="F26" s="33">
        <v>104.73</v>
      </c>
      <c r="G26" s="34">
        <v>6.3200000000000006E-2</v>
      </c>
      <c r="H26" s="19"/>
      <c r="I26" s="42"/>
    </row>
    <row r="27" spans="1:9" ht="12.95" customHeight="1">
      <c r="A27" s="3"/>
      <c r="B27" s="45" t="s">
        <v>279</v>
      </c>
      <c r="C27" s="18"/>
      <c r="D27" s="18"/>
      <c r="E27" s="18"/>
      <c r="F27" s="19" t="s">
        <v>128</v>
      </c>
      <c r="G27" s="19" t="s">
        <v>128</v>
      </c>
      <c r="H27" s="19"/>
      <c r="I27" s="48"/>
    </row>
    <row r="28" spans="1:9" ht="12.95" customHeight="1">
      <c r="A28" s="3"/>
      <c r="B28" s="45" t="s">
        <v>126</v>
      </c>
      <c r="C28" s="18"/>
      <c r="D28" s="18"/>
      <c r="E28" s="18"/>
      <c r="F28" s="19" t="s">
        <v>128</v>
      </c>
      <c r="G28" s="19" t="s">
        <v>128</v>
      </c>
      <c r="H28" s="19"/>
      <c r="I28" s="48"/>
    </row>
    <row r="29" spans="1:9" ht="12.95" customHeight="1">
      <c r="A29" s="3"/>
      <c r="B29" s="45" t="s">
        <v>280</v>
      </c>
      <c r="C29" s="18"/>
      <c r="D29" s="18"/>
      <c r="E29" s="18"/>
      <c r="F29" s="19" t="s">
        <v>128</v>
      </c>
      <c r="G29" s="19" t="s">
        <v>128</v>
      </c>
      <c r="H29" s="19"/>
      <c r="I29" s="48"/>
    </row>
    <row r="30" spans="1:9" ht="12.95" customHeight="1">
      <c r="A30" s="3"/>
      <c r="B30" s="45" t="s">
        <v>126</v>
      </c>
      <c r="C30" s="18"/>
      <c r="D30" s="18"/>
      <c r="E30" s="18"/>
      <c r="F30" s="19" t="s">
        <v>128</v>
      </c>
      <c r="G30" s="19" t="s">
        <v>128</v>
      </c>
      <c r="H30" s="19"/>
      <c r="I30" s="48"/>
    </row>
    <row r="31" spans="1:9" ht="12.95" customHeight="1">
      <c r="A31" s="3"/>
      <c r="B31" s="45" t="s">
        <v>282</v>
      </c>
      <c r="C31" s="18"/>
      <c r="D31" s="18"/>
      <c r="E31" s="18"/>
      <c r="F31" s="19" t="s">
        <v>128</v>
      </c>
      <c r="G31" s="19" t="s">
        <v>128</v>
      </c>
      <c r="H31" s="19"/>
      <c r="I31" s="48"/>
    </row>
    <row r="32" spans="1:9" ht="12.95" customHeight="1">
      <c r="A32" s="3"/>
      <c r="B32" s="45" t="s">
        <v>126</v>
      </c>
      <c r="C32" s="18"/>
      <c r="D32" s="18"/>
      <c r="E32" s="18"/>
      <c r="F32" s="19" t="s">
        <v>128</v>
      </c>
      <c r="G32" s="19" t="s">
        <v>128</v>
      </c>
      <c r="H32" s="19"/>
      <c r="I32" s="48"/>
    </row>
    <row r="33" spans="1:9" ht="12.95" customHeight="1">
      <c r="A33" s="3"/>
      <c r="B33" s="45" t="s">
        <v>129</v>
      </c>
      <c r="C33" s="22"/>
      <c r="D33" s="18"/>
      <c r="E33" s="22"/>
      <c r="F33" s="33">
        <v>1108.56</v>
      </c>
      <c r="G33" s="34">
        <v>0.66930000000000001</v>
      </c>
      <c r="H33" s="19"/>
      <c r="I33" s="42"/>
    </row>
    <row r="34" spans="1:9" ht="12.95" customHeight="1">
      <c r="A34" s="3"/>
      <c r="B34" s="43" t="s">
        <v>139</v>
      </c>
      <c r="C34" s="26"/>
      <c r="D34" s="26"/>
      <c r="E34" s="26"/>
      <c r="F34" s="26"/>
      <c r="G34" s="26"/>
      <c r="H34" s="27"/>
      <c r="I34" s="44"/>
    </row>
    <row r="35" spans="1:9" ht="12.95" customHeight="1">
      <c r="A35" s="3"/>
      <c r="B35" s="43" t="s">
        <v>283</v>
      </c>
      <c r="C35" s="26"/>
      <c r="D35" s="26"/>
      <c r="E35" s="26"/>
      <c r="F35" s="28"/>
      <c r="G35" s="27"/>
      <c r="H35" s="27"/>
      <c r="I35" s="44"/>
    </row>
    <row r="36" spans="1:9" ht="12.95" customHeight="1">
      <c r="A36" s="10" t="s">
        <v>284</v>
      </c>
      <c r="B36" s="46" t="s">
        <v>285</v>
      </c>
      <c r="C36" s="26" t="s">
        <v>286</v>
      </c>
      <c r="D36" s="26" t="s">
        <v>287</v>
      </c>
      <c r="E36" s="29">
        <v>200000</v>
      </c>
      <c r="F36" s="30">
        <v>198.45</v>
      </c>
      <c r="G36" s="31">
        <v>0.1198</v>
      </c>
      <c r="H36" s="32">
        <v>3.6101000000000001E-2</v>
      </c>
      <c r="I36" s="47" t="s">
        <v>274</v>
      </c>
    </row>
    <row r="37" spans="1:9" ht="12.95" customHeight="1">
      <c r="A37" s="3"/>
      <c r="B37" s="43" t="s">
        <v>126</v>
      </c>
      <c r="C37" s="26"/>
      <c r="D37" s="26"/>
      <c r="E37" s="26"/>
      <c r="F37" s="33">
        <v>198.45</v>
      </c>
      <c r="G37" s="34">
        <v>0.1198</v>
      </c>
      <c r="H37" s="19"/>
      <c r="I37" s="42"/>
    </row>
    <row r="38" spans="1:9" ht="12.95" customHeight="1">
      <c r="A38" s="3"/>
      <c r="B38" s="45" t="s">
        <v>288</v>
      </c>
      <c r="C38" s="18"/>
      <c r="D38" s="18"/>
      <c r="E38" s="18"/>
      <c r="F38" s="19" t="s">
        <v>128</v>
      </c>
      <c r="G38" s="19" t="s">
        <v>128</v>
      </c>
      <c r="H38" s="19"/>
      <c r="I38" s="42"/>
    </row>
    <row r="39" spans="1:9" ht="12.95" customHeight="1">
      <c r="A39" s="3"/>
      <c r="B39" s="43" t="s">
        <v>126</v>
      </c>
      <c r="C39" s="20"/>
      <c r="D39" s="20"/>
      <c r="E39" s="20"/>
      <c r="F39" s="21" t="s">
        <v>128</v>
      </c>
      <c r="G39" s="21" t="s">
        <v>128</v>
      </c>
      <c r="H39" s="21"/>
      <c r="I39" s="44"/>
    </row>
    <row r="40" spans="1:9" ht="12.95" customHeight="1">
      <c r="A40" s="3"/>
      <c r="B40" s="45" t="s">
        <v>289</v>
      </c>
      <c r="C40" s="18"/>
      <c r="D40" s="18"/>
      <c r="E40" s="18"/>
      <c r="F40" s="19" t="s">
        <v>128</v>
      </c>
      <c r="G40" s="19" t="s">
        <v>128</v>
      </c>
      <c r="H40" s="19"/>
      <c r="I40" s="42"/>
    </row>
    <row r="41" spans="1:9" ht="12.95" customHeight="1">
      <c r="A41" s="3"/>
      <c r="B41" s="43" t="s">
        <v>126</v>
      </c>
      <c r="C41" s="20"/>
      <c r="D41" s="20"/>
      <c r="E41" s="20"/>
      <c r="F41" s="21"/>
      <c r="G41" s="21"/>
      <c r="H41" s="21"/>
      <c r="I41" s="44"/>
    </row>
    <row r="42" spans="1:9" ht="12.95" customHeight="1">
      <c r="A42" s="3"/>
      <c r="B42" s="45" t="s">
        <v>290</v>
      </c>
      <c r="C42" s="22"/>
      <c r="D42" s="22"/>
      <c r="E42" s="22"/>
      <c r="F42" s="23" t="s">
        <v>128</v>
      </c>
      <c r="G42" s="23" t="s">
        <v>128</v>
      </c>
      <c r="H42" s="23"/>
      <c r="I42" s="42"/>
    </row>
    <row r="43" spans="1:9" ht="12.95" customHeight="1">
      <c r="A43" s="3"/>
      <c r="B43" s="43" t="s">
        <v>126</v>
      </c>
      <c r="C43" s="20"/>
      <c r="D43" s="20"/>
      <c r="E43" s="20"/>
      <c r="F43" s="21"/>
      <c r="G43" s="21"/>
      <c r="H43" s="21"/>
      <c r="I43" s="44"/>
    </row>
    <row r="44" spans="1:9" ht="12.95" customHeight="1">
      <c r="A44" s="3"/>
      <c r="B44" s="45" t="s">
        <v>129</v>
      </c>
      <c r="C44" s="22"/>
      <c r="D44" s="18"/>
      <c r="E44" s="22"/>
      <c r="F44" s="33">
        <v>198.45</v>
      </c>
      <c r="G44" s="34">
        <v>0.1198</v>
      </c>
      <c r="H44" s="19"/>
      <c r="I44" s="42"/>
    </row>
    <row r="45" spans="1:9" ht="12.95" customHeight="1">
      <c r="A45" s="3"/>
      <c r="B45" s="45" t="s">
        <v>144</v>
      </c>
      <c r="C45" s="18"/>
      <c r="D45" s="18"/>
      <c r="E45" s="18"/>
      <c r="F45" s="19" t="s">
        <v>128</v>
      </c>
      <c r="G45" s="19" t="s">
        <v>128</v>
      </c>
      <c r="H45" s="19"/>
      <c r="I45" s="42"/>
    </row>
    <row r="46" spans="1:9" ht="12.95" customHeight="1">
      <c r="A46" s="3"/>
      <c r="B46" s="43"/>
      <c r="C46" s="20"/>
      <c r="D46" s="20"/>
      <c r="E46" s="20"/>
      <c r="F46" s="21"/>
      <c r="G46" s="21"/>
      <c r="H46" s="21"/>
      <c r="I46" s="44"/>
    </row>
    <row r="47" spans="1:9" ht="12.95" customHeight="1">
      <c r="A47" s="3"/>
      <c r="B47" s="45" t="s">
        <v>145</v>
      </c>
      <c r="C47" s="18"/>
      <c r="D47" s="18"/>
      <c r="E47" s="18"/>
      <c r="F47" s="19" t="s">
        <v>128</v>
      </c>
      <c r="G47" s="19" t="s">
        <v>128</v>
      </c>
      <c r="H47" s="19"/>
      <c r="I47" s="42"/>
    </row>
    <row r="48" spans="1:9" ht="12.95" customHeight="1">
      <c r="A48" s="3"/>
      <c r="B48" s="43"/>
      <c r="C48" s="20"/>
      <c r="D48" s="20"/>
      <c r="E48" s="20"/>
      <c r="F48" s="21"/>
      <c r="G48" s="21"/>
      <c r="H48" s="21"/>
      <c r="I48" s="44"/>
    </row>
    <row r="49" spans="1:9" ht="12.95" customHeight="1">
      <c r="A49" s="3"/>
      <c r="B49" s="45" t="s">
        <v>146</v>
      </c>
      <c r="C49" s="18"/>
      <c r="D49" s="18"/>
      <c r="E49" s="18"/>
      <c r="F49" s="19" t="s">
        <v>128</v>
      </c>
      <c r="G49" s="19" t="s">
        <v>128</v>
      </c>
      <c r="H49" s="19"/>
      <c r="I49" s="42"/>
    </row>
    <row r="50" spans="1:9" ht="12.95" customHeight="1">
      <c r="A50" s="3"/>
      <c r="B50" s="43"/>
      <c r="C50" s="20"/>
      <c r="D50" s="20"/>
      <c r="E50" s="20"/>
      <c r="F50" s="21"/>
      <c r="G50" s="21"/>
      <c r="H50" s="21"/>
      <c r="I50" s="44"/>
    </row>
    <row r="51" spans="1:9" ht="12.95" customHeight="1">
      <c r="A51" s="3"/>
      <c r="B51" s="45" t="s">
        <v>147</v>
      </c>
      <c r="C51" s="18"/>
      <c r="D51" s="18"/>
      <c r="E51" s="18"/>
      <c r="F51" s="19" t="s">
        <v>128</v>
      </c>
      <c r="G51" s="19" t="s">
        <v>128</v>
      </c>
      <c r="H51" s="19"/>
      <c r="I51" s="42"/>
    </row>
    <row r="52" spans="1:9" ht="12.95" customHeight="1">
      <c r="A52" s="3"/>
      <c r="B52" s="43"/>
      <c r="C52" s="20"/>
      <c r="D52" s="20"/>
      <c r="E52" s="20"/>
      <c r="F52" s="21"/>
      <c r="G52" s="21"/>
      <c r="H52" s="21"/>
      <c r="I52" s="44"/>
    </row>
    <row r="53" spans="1:9" ht="12.95" customHeight="1">
      <c r="A53" s="3"/>
      <c r="B53" s="45" t="s">
        <v>148</v>
      </c>
      <c r="C53" s="18"/>
      <c r="D53" s="18"/>
      <c r="E53" s="18"/>
      <c r="F53" s="19" t="s">
        <v>128</v>
      </c>
      <c r="G53" s="19" t="s">
        <v>128</v>
      </c>
      <c r="H53" s="19"/>
      <c r="I53" s="42"/>
    </row>
    <row r="54" spans="1:9" ht="12.95" customHeight="1">
      <c r="A54" s="3"/>
      <c r="B54" s="43"/>
      <c r="C54" s="20"/>
      <c r="D54" s="20"/>
      <c r="E54" s="20"/>
      <c r="F54" s="21"/>
      <c r="G54" s="21"/>
      <c r="H54" s="21"/>
      <c r="I54" s="44"/>
    </row>
    <row r="55" spans="1:9" ht="12.95" customHeight="1">
      <c r="A55" s="3"/>
      <c r="B55" s="45" t="s">
        <v>129</v>
      </c>
      <c r="C55" s="22"/>
      <c r="D55" s="22"/>
      <c r="E55" s="22"/>
      <c r="F55" s="23" t="s">
        <v>128</v>
      </c>
      <c r="G55" s="23" t="s">
        <v>128</v>
      </c>
      <c r="H55" s="23"/>
      <c r="I55" s="42"/>
    </row>
    <row r="56" spans="1:9" ht="12.95" customHeight="1">
      <c r="A56" s="17"/>
      <c r="B56" s="45"/>
      <c r="C56" s="22"/>
      <c r="D56" s="22"/>
      <c r="E56" s="22"/>
      <c r="F56" s="23"/>
      <c r="G56" s="23"/>
      <c r="H56" s="23"/>
      <c r="I56" s="42"/>
    </row>
    <row r="57" spans="1:9" ht="12.95" customHeight="1">
      <c r="A57" s="3"/>
      <c r="B57" s="43" t="s">
        <v>130</v>
      </c>
      <c r="C57" s="26"/>
      <c r="D57" s="26"/>
      <c r="E57" s="26"/>
      <c r="F57" s="26"/>
      <c r="G57" s="26"/>
      <c r="H57" s="27"/>
      <c r="I57" s="44"/>
    </row>
    <row r="58" spans="1:9" ht="12.95" customHeight="1">
      <c r="A58" s="10" t="s">
        <v>131</v>
      </c>
      <c r="B58" s="46" t="s">
        <v>132</v>
      </c>
      <c r="C58" s="26"/>
      <c r="D58" s="26"/>
      <c r="E58" s="29"/>
      <c r="F58" s="30">
        <v>314.94</v>
      </c>
      <c r="G58" s="31">
        <v>0.19020000000000001</v>
      </c>
      <c r="H58" s="32"/>
      <c r="I58" s="47"/>
    </row>
    <row r="59" spans="1:9" ht="12.95" customHeight="1">
      <c r="A59" s="3"/>
      <c r="B59" s="43" t="s">
        <v>126</v>
      </c>
      <c r="C59" s="26"/>
      <c r="D59" s="26"/>
      <c r="E59" s="26"/>
      <c r="F59" s="33">
        <v>314.94</v>
      </c>
      <c r="G59" s="34">
        <v>0.19020000000000001</v>
      </c>
      <c r="H59" s="19"/>
      <c r="I59" s="42"/>
    </row>
    <row r="60" spans="1:9" ht="12.95" customHeight="1">
      <c r="A60" s="3"/>
      <c r="B60" s="45" t="s">
        <v>129</v>
      </c>
      <c r="C60" s="22"/>
      <c r="D60" s="18"/>
      <c r="E60" s="22"/>
      <c r="F60" s="33">
        <v>314.94</v>
      </c>
      <c r="G60" s="34">
        <v>0.19020000000000001</v>
      </c>
      <c r="H60" s="19"/>
      <c r="I60" s="42"/>
    </row>
    <row r="61" spans="1:9" ht="12.95" customHeight="1">
      <c r="A61" s="3"/>
      <c r="B61" s="45" t="s">
        <v>149</v>
      </c>
      <c r="C61" s="35"/>
      <c r="D61" s="18"/>
      <c r="E61" s="22"/>
      <c r="F61" s="36">
        <v>34.229999999999997</v>
      </c>
      <c r="G61" s="34">
        <v>2.07E-2</v>
      </c>
      <c r="H61" s="19"/>
      <c r="I61" s="42"/>
    </row>
    <row r="62" spans="1:9" ht="12.95" customHeight="1" thickBot="1">
      <c r="A62" s="3"/>
      <c r="B62" s="49" t="s">
        <v>150</v>
      </c>
      <c r="C62" s="50"/>
      <c r="D62" s="50"/>
      <c r="E62" s="50"/>
      <c r="F62" s="51">
        <v>1656.18</v>
      </c>
      <c r="G62" s="52">
        <v>1</v>
      </c>
      <c r="H62" s="53"/>
      <c r="I62" s="54"/>
    </row>
    <row r="63" spans="1:9" ht="12.95" customHeight="1">
      <c r="A63" s="3"/>
      <c r="B63" s="118"/>
      <c r="C63" s="118"/>
      <c r="D63" s="118"/>
      <c r="E63" s="118"/>
      <c r="F63" s="118"/>
      <c r="G63" s="118"/>
      <c r="H63" s="118"/>
      <c r="I63" s="118"/>
    </row>
    <row r="64" spans="1:9" ht="12.95" customHeight="1">
      <c r="A64" s="3"/>
      <c r="B64" s="118"/>
      <c r="C64" s="118"/>
      <c r="D64" s="118"/>
      <c r="E64" s="118"/>
      <c r="F64" s="118"/>
      <c r="G64" s="118"/>
      <c r="H64" s="118"/>
      <c r="I64" s="118"/>
    </row>
    <row r="65" spans="1:9" ht="12.95" customHeight="1">
      <c r="A65" s="3"/>
      <c r="B65" s="118" t="s">
        <v>151</v>
      </c>
      <c r="C65" s="118"/>
      <c r="D65" s="118"/>
      <c r="E65" s="118"/>
      <c r="F65" s="118"/>
      <c r="G65" s="118"/>
      <c r="H65" s="118"/>
      <c r="I65" s="118"/>
    </row>
    <row r="66" spans="1:9" ht="12.95" customHeight="1">
      <c r="A66" s="3"/>
      <c r="B66" s="117" t="s">
        <v>152</v>
      </c>
      <c r="C66" s="117"/>
      <c r="D66" s="117"/>
      <c r="E66" s="117"/>
      <c r="F66" s="117"/>
      <c r="G66" s="117"/>
      <c r="H66" s="117"/>
      <c r="I66" s="117"/>
    </row>
    <row r="67" spans="1:9" ht="12.95" customHeight="1">
      <c r="A67" s="3"/>
      <c r="B67" s="117" t="s">
        <v>153</v>
      </c>
      <c r="C67" s="117"/>
      <c r="D67" s="117"/>
      <c r="E67" s="117"/>
      <c r="F67" s="117"/>
      <c r="G67" s="117"/>
      <c r="H67" s="117"/>
      <c r="I67" s="117"/>
    </row>
    <row r="68" spans="1:9" ht="12.95" customHeight="1">
      <c r="A68" s="3"/>
      <c r="B68" s="117" t="s">
        <v>154</v>
      </c>
      <c r="C68" s="117"/>
      <c r="D68" s="117"/>
      <c r="E68" s="117"/>
      <c r="F68" s="117"/>
      <c r="G68" s="117"/>
      <c r="H68" s="117"/>
      <c r="I68" s="117"/>
    </row>
    <row r="69" spans="1:9" ht="12.95" customHeight="1">
      <c r="A69" s="3"/>
      <c r="B69" s="117" t="s">
        <v>155</v>
      </c>
      <c r="C69" s="117"/>
      <c r="D69" s="117"/>
      <c r="E69" s="117"/>
      <c r="F69" s="117"/>
      <c r="G69" s="117"/>
      <c r="H69" s="117"/>
      <c r="I69" s="117"/>
    </row>
    <row r="70" spans="1:9" ht="12.95" customHeight="1">
      <c r="A70" s="3"/>
      <c r="B70" s="117" t="s">
        <v>156</v>
      </c>
      <c r="C70" s="117"/>
      <c r="D70" s="117"/>
      <c r="E70" s="117"/>
      <c r="F70" s="117"/>
      <c r="G70" s="117"/>
      <c r="H70" s="117"/>
      <c r="I70" s="117"/>
    </row>
    <row r="72" spans="1:9">
      <c r="B72" s="95" t="s">
        <v>715</v>
      </c>
    </row>
    <row r="81" spans="2:2">
      <c r="B81" s="100" t="s">
        <v>716</v>
      </c>
    </row>
    <row r="82" spans="2:2" ht="15.75">
      <c r="B82" s="101" t="s">
        <v>721</v>
      </c>
    </row>
    <row r="91" spans="2:2">
      <c r="B91" s="114" t="s">
        <v>720</v>
      </c>
    </row>
  </sheetData>
  <mergeCells count="8">
    <mergeCell ref="B68:I68"/>
    <mergeCell ref="B69:I69"/>
    <mergeCell ref="B70:I70"/>
    <mergeCell ref="B63:I63"/>
    <mergeCell ref="B64:I64"/>
    <mergeCell ref="B65:I65"/>
    <mergeCell ref="B66:I66"/>
    <mergeCell ref="B67:I67"/>
  </mergeCells>
  <pageMargins left="0" right="0" top="0" bottom="0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3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7" t="s">
        <v>36</v>
      </c>
      <c r="C6" s="38" t="s">
        <v>37</v>
      </c>
      <c r="D6" s="39" t="s">
        <v>295</v>
      </c>
      <c r="E6" s="39" t="s">
        <v>39</v>
      </c>
      <c r="F6" s="39" t="s">
        <v>40</v>
      </c>
      <c r="G6" s="39" t="s">
        <v>41</v>
      </c>
      <c r="H6" s="39" t="s">
        <v>42</v>
      </c>
      <c r="I6" s="40" t="s">
        <v>43</v>
      </c>
    </row>
    <row r="7" spans="1:9" ht="12.95" customHeight="1">
      <c r="A7" s="3"/>
      <c r="B7" s="41" t="s">
        <v>44</v>
      </c>
      <c r="C7" s="18"/>
      <c r="D7" s="18"/>
      <c r="E7" s="18"/>
      <c r="F7" s="19" t="s">
        <v>128</v>
      </c>
      <c r="G7" s="19" t="s">
        <v>128</v>
      </c>
      <c r="H7" s="19"/>
      <c r="I7" s="42"/>
    </row>
    <row r="8" spans="1:9" ht="12.95" customHeight="1">
      <c r="A8" s="3"/>
      <c r="B8" s="43"/>
      <c r="C8" s="20"/>
      <c r="D8" s="20"/>
      <c r="E8" s="20"/>
      <c r="F8" s="21"/>
      <c r="G8" s="21"/>
      <c r="H8" s="21"/>
      <c r="I8" s="44"/>
    </row>
    <row r="9" spans="1:9" ht="12.95" customHeight="1">
      <c r="A9" s="3"/>
      <c r="B9" s="45" t="s">
        <v>309</v>
      </c>
      <c r="C9" s="18"/>
      <c r="D9" s="18"/>
      <c r="E9" s="18"/>
      <c r="F9" s="19" t="s">
        <v>128</v>
      </c>
      <c r="G9" s="19" t="s">
        <v>128</v>
      </c>
      <c r="H9" s="19"/>
      <c r="I9" s="42"/>
    </row>
    <row r="10" spans="1:9" ht="12.95" customHeight="1">
      <c r="A10" s="3"/>
      <c r="B10" s="43"/>
      <c r="C10" s="20"/>
      <c r="D10" s="20"/>
      <c r="E10" s="20"/>
      <c r="F10" s="21"/>
      <c r="G10" s="21"/>
      <c r="H10" s="21"/>
      <c r="I10" s="44"/>
    </row>
    <row r="11" spans="1:9" ht="12.95" customHeight="1">
      <c r="A11" s="3"/>
      <c r="B11" s="45" t="s">
        <v>310</v>
      </c>
      <c r="C11" s="22"/>
      <c r="D11" s="22"/>
      <c r="E11" s="22"/>
      <c r="F11" s="23" t="s">
        <v>128</v>
      </c>
      <c r="G11" s="23" t="s">
        <v>128</v>
      </c>
      <c r="H11" s="23"/>
      <c r="I11" s="42"/>
    </row>
    <row r="12" spans="1:9" ht="12.95" customHeight="1">
      <c r="A12" s="3"/>
      <c r="B12" s="43"/>
      <c r="C12" s="20"/>
      <c r="D12" s="20"/>
      <c r="E12" s="20"/>
      <c r="F12" s="21"/>
      <c r="G12" s="21"/>
      <c r="H12" s="21"/>
      <c r="I12" s="44"/>
    </row>
    <row r="13" spans="1:9" ht="12.95" customHeight="1">
      <c r="A13" s="3"/>
      <c r="B13" s="45" t="s">
        <v>311</v>
      </c>
      <c r="C13" s="24"/>
      <c r="D13" s="24"/>
      <c r="E13" s="24"/>
      <c r="F13" s="25" t="s">
        <v>128</v>
      </c>
      <c r="G13" s="25" t="s">
        <v>128</v>
      </c>
      <c r="H13" s="25"/>
      <c r="I13" s="42"/>
    </row>
    <row r="14" spans="1:9" ht="12.95" customHeight="1">
      <c r="A14" s="3"/>
      <c r="B14" s="43"/>
      <c r="C14" s="20"/>
      <c r="D14" s="20"/>
      <c r="E14" s="20"/>
      <c r="F14" s="21"/>
      <c r="G14" s="21"/>
      <c r="H14" s="21"/>
      <c r="I14" s="44"/>
    </row>
    <row r="15" spans="1:9" ht="12.95" customHeight="1">
      <c r="A15" s="3"/>
      <c r="B15" s="45" t="s">
        <v>129</v>
      </c>
      <c r="C15" s="24"/>
      <c r="D15" s="24"/>
      <c r="E15" s="24"/>
      <c r="F15" s="25" t="s">
        <v>128</v>
      </c>
      <c r="G15" s="25" t="s">
        <v>128</v>
      </c>
      <c r="H15" s="25"/>
      <c r="I15" s="42"/>
    </row>
    <row r="16" spans="1:9" ht="12.95" customHeight="1">
      <c r="A16" s="17"/>
      <c r="B16" s="43" t="s">
        <v>133</v>
      </c>
      <c r="C16" s="26"/>
      <c r="D16" s="26"/>
      <c r="E16" s="26"/>
      <c r="F16" s="26"/>
      <c r="G16" s="26"/>
      <c r="H16" s="27"/>
      <c r="I16" s="44"/>
    </row>
    <row r="17" spans="1:9" ht="12.95" customHeight="1">
      <c r="A17" s="3"/>
      <c r="B17" s="43" t="s">
        <v>269</v>
      </c>
      <c r="C17" s="26"/>
      <c r="D17" s="26"/>
      <c r="E17" s="26"/>
      <c r="F17" s="28"/>
      <c r="G17" s="27"/>
      <c r="H17" s="27"/>
      <c r="I17" s="44"/>
    </row>
    <row r="18" spans="1:9" ht="12.95" customHeight="1">
      <c r="A18" s="10" t="s">
        <v>296</v>
      </c>
      <c r="B18" s="46" t="s">
        <v>297</v>
      </c>
      <c r="C18" s="26" t="s">
        <v>298</v>
      </c>
      <c r="D18" s="26" t="s">
        <v>278</v>
      </c>
      <c r="E18" s="29">
        <v>1000000</v>
      </c>
      <c r="F18" s="30">
        <v>1005.34</v>
      </c>
      <c r="G18" s="31">
        <v>9.8599999999999993E-2</v>
      </c>
      <c r="H18" s="32">
        <v>5.0999999999999997E-2</v>
      </c>
      <c r="I18" s="47" t="s">
        <v>274</v>
      </c>
    </row>
    <row r="19" spans="1:9" ht="12.95" customHeight="1">
      <c r="A19" s="10" t="s">
        <v>270</v>
      </c>
      <c r="B19" s="46" t="s">
        <v>271</v>
      </c>
      <c r="C19" s="26" t="s">
        <v>272</v>
      </c>
      <c r="D19" s="26" t="s">
        <v>273</v>
      </c>
      <c r="E19" s="29">
        <v>800000</v>
      </c>
      <c r="F19" s="30">
        <v>815.48</v>
      </c>
      <c r="G19" s="31">
        <v>0.08</v>
      </c>
      <c r="H19" s="32">
        <v>4.8899999999999999E-2</v>
      </c>
      <c r="I19" s="47" t="s">
        <v>274</v>
      </c>
    </row>
    <row r="20" spans="1:9" ht="12.95" customHeight="1">
      <c r="A20" s="10" t="s">
        <v>302</v>
      </c>
      <c r="B20" s="46" t="s">
        <v>303</v>
      </c>
      <c r="C20" s="26" t="s">
        <v>304</v>
      </c>
      <c r="D20" s="26" t="s">
        <v>278</v>
      </c>
      <c r="E20" s="29">
        <v>500000</v>
      </c>
      <c r="F20" s="30">
        <v>495.09</v>
      </c>
      <c r="G20" s="31">
        <v>4.8599999999999997E-2</v>
      </c>
      <c r="H20" s="32">
        <v>5.8599999999999999E-2</v>
      </c>
      <c r="I20" s="47" t="s">
        <v>274</v>
      </c>
    </row>
    <row r="21" spans="1:9" ht="12.95" customHeight="1">
      <c r="A21" s="3"/>
      <c r="B21" s="43" t="s">
        <v>126</v>
      </c>
      <c r="C21" s="26"/>
      <c r="D21" s="26"/>
      <c r="E21" s="26"/>
      <c r="F21" s="33">
        <v>2315.91</v>
      </c>
      <c r="G21" s="34">
        <v>0.22720000000000001</v>
      </c>
      <c r="H21" s="19"/>
      <c r="I21" s="42"/>
    </row>
    <row r="22" spans="1:9" ht="12.95" customHeight="1">
      <c r="A22" s="3"/>
      <c r="B22" s="43" t="s">
        <v>281</v>
      </c>
      <c r="C22" s="26"/>
      <c r="D22" s="26"/>
      <c r="E22" s="26"/>
      <c r="F22" s="28"/>
      <c r="G22" s="27"/>
      <c r="H22" s="27"/>
      <c r="I22" s="44"/>
    </row>
    <row r="23" spans="1:9" ht="12.95" customHeight="1">
      <c r="A23" s="10" t="s">
        <v>312</v>
      </c>
      <c r="B23" s="46" t="s">
        <v>313</v>
      </c>
      <c r="C23" s="26" t="s">
        <v>314</v>
      </c>
      <c r="D23" s="26" t="s">
        <v>308</v>
      </c>
      <c r="E23" s="29">
        <v>2500000</v>
      </c>
      <c r="F23" s="30">
        <v>2609.85</v>
      </c>
      <c r="G23" s="31">
        <v>0.25609999999999999</v>
      </c>
      <c r="H23" s="32">
        <v>6.2816999999999998E-2</v>
      </c>
      <c r="I23" s="47"/>
    </row>
    <row r="24" spans="1:9" ht="12.95" customHeight="1">
      <c r="A24" s="10" t="s">
        <v>305</v>
      </c>
      <c r="B24" s="46" t="s">
        <v>306</v>
      </c>
      <c r="C24" s="26" t="s">
        <v>307</v>
      </c>
      <c r="D24" s="26" t="s">
        <v>308</v>
      </c>
      <c r="E24" s="29">
        <v>1900000</v>
      </c>
      <c r="F24" s="30">
        <v>1989.91</v>
      </c>
      <c r="G24" s="31">
        <v>0.19520000000000001</v>
      </c>
      <c r="H24" s="32">
        <v>6.4130999999999994E-2</v>
      </c>
      <c r="I24" s="47"/>
    </row>
    <row r="25" spans="1:9" ht="12.95" customHeight="1">
      <c r="A25" s="3"/>
      <c r="B25" s="43" t="s">
        <v>126</v>
      </c>
      <c r="C25" s="26"/>
      <c r="D25" s="26"/>
      <c r="E25" s="26"/>
      <c r="F25" s="33">
        <v>4599.76</v>
      </c>
      <c r="G25" s="34">
        <v>0.45129999999999998</v>
      </c>
      <c r="H25" s="19"/>
      <c r="I25" s="42"/>
    </row>
    <row r="26" spans="1:9" ht="12.95" customHeight="1">
      <c r="A26" s="3"/>
      <c r="B26" s="45" t="s">
        <v>279</v>
      </c>
      <c r="C26" s="18"/>
      <c r="D26" s="18"/>
      <c r="E26" s="18"/>
      <c r="F26" s="19" t="s">
        <v>128</v>
      </c>
      <c r="G26" s="19" t="s">
        <v>128</v>
      </c>
      <c r="H26" s="19"/>
      <c r="I26" s="48"/>
    </row>
    <row r="27" spans="1:9" ht="12.95" customHeight="1">
      <c r="A27" s="3"/>
      <c r="B27" s="45" t="s">
        <v>126</v>
      </c>
      <c r="C27" s="18"/>
      <c r="D27" s="18"/>
      <c r="E27" s="18"/>
      <c r="F27" s="19" t="s">
        <v>128</v>
      </c>
      <c r="G27" s="19" t="s">
        <v>128</v>
      </c>
      <c r="H27" s="19"/>
      <c r="I27" s="48"/>
    </row>
    <row r="28" spans="1:9" ht="12.95" customHeight="1">
      <c r="A28" s="3"/>
      <c r="B28" s="45" t="s">
        <v>280</v>
      </c>
      <c r="C28" s="18"/>
      <c r="D28" s="18"/>
      <c r="E28" s="18"/>
      <c r="F28" s="19" t="s">
        <v>128</v>
      </c>
      <c r="G28" s="19" t="s">
        <v>128</v>
      </c>
      <c r="H28" s="19"/>
      <c r="I28" s="48"/>
    </row>
    <row r="29" spans="1:9" ht="12.95" customHeight="1">
      <c r="A29" s="3"/>
      <c r="B29" s="45" t="s">
        <v>126</v>
      </c>
      <c r="C29" s="18"/>
      <c r="D29" s="18"/>
      <c r="E29" s="18"/>
      <c r="F29" s="19" t="s">
        <v>128</v>
      </c>
      <c r="G29" s="19" t="s">
        <v>128</v>
      </c>
      <c r="H29" s="19"/>
      <c r="I29" s="48"/>
    </row>
    <row r="30" spans="1:9" ht="12.95" customHeight="1">
      <c r="A30" s="3"/>
      <c r="B30" s="45" t="s">
        <v>282</v>
      </c>
      <c r="C30" s="18"/>
      <c r="D30" s="18"/>
      <c r="E30" s="18"/>
      <c r="F30" s="19" t="s">
        <v>128</v>
      </c>
      <c r="G30" s="19" t="s">
        <v>128</v>
      </c>
      <c r="H30" s="19"/>
      <c r="I30" s="48"/>
    </row>
    <row r="31" spans="1:9" ht="12.95" customHeight="1">
      <c r="A31" s="3"/>
      <c r="B31" s="45" t="s">
        <v>126</v>
      </c>
      <c r="C31" s="18"/>
      <c r="D31" s="18"/>
      <c r="E31" s="18"/>
      <c r="F31" s="19" t="s">
        <v>128</v>
      </c>
      <c r="G31" s="19" t="s">
        <v>128</v>
      </c>
      <c r="H31" s="19"/>
      <c r="I31" s="48"/>
    </row>
    <row r="32" spans="1:9" ht="12.95" customHeight="1">
      <c r="A32" s="3"/>
      <c r="B32" s="45" t="s">
        <v>129</v>
      </c>
      <c r="C32" s="22"/>
      <c r="D32" s="18"/>
      <c r="E32" s="22"/>
      <c r="F32" s="33">
        <v>6915.67</v>
      </c>
      <c r="G32" s="34">
        <v>0.67849999999999999</v>
      </c>
      <c r="H32" s="19"/>
      <c r="I32" s="42"/>
    </row>
    <row r="33" spans="1:9" ht="12.95" customHeight="1">
      <c r="A33" s="3"/>
      <c r="B33" s="45" t="s">
        <v>139</v>
      </c>
      <c r="C33" s="18"/>
      <c r="D33" s="18"/>
      <c r="E33" s="18"/>
      <c r="F33" s="19" t="s">
        <v>128</v>
      </c>
      <c r="G33" s="19" t="s">
        <v>128</v>
      </c>
      <c r="H33" s="19"/>
      <c r="I33" s="42"/>
    </row>
    <row r="34" spans="1:9" ht="12.95" customHeight="1">
      <c r="A34" s="3"/>
      <c r="B34" s="43"/>
      <c r="C34" s="20"/>
      <c r="D34" s="20"/>
      <c r="E34" s="20"/>
      <c r="F34" s="21"/>
      <c r="G34" s="21"/>
      <c r="H34" s="21"/>
      <c r="I34" s="44"/>
    </row>
    <row r="35" spans="1:9" ht="12.95" customHeight="1">
      <c r="A35" s="3"/>
      <c r="B35" s="45" t="s">
        <v>140</v>
      </c>
      <c r="C35" s="18"/>
      <c r="D35" s="18"/>
      <c r="E35" s="18"/>
      <c r="F35" s="19" t="s">
        <v>128</v>
      </c>
      <c r="G35" s="19" t="s">
        <v>128</v>
      </c>
      <c r="H35" s="19"/>
      <c r="I35" s="42"/>
    </row>
    <row r="36" spans="1:9" ht="12.95" customHeight="1">
      <c r="A36" s="3"/>
      <c r="B36" s="43"/>
      <c r="C36" s="20"/>
      <c r="D36" s="20"/>
      <c r="E36" s="20"/>
      <c r="F36" s="21"/>
      <c r="G36" s="21"/>
      <c r="H36" s="21"/>
      <c r="I36" s="44"/>
    </row>
    <row r="37" spans="1:9" ht="12.95" customHeight="1">
      <c r="A37" s="3"/>
      <c r="B37" s="45" t="s">
        <v>141</v>
      </c>
      <c r="C37" s="18"/>
      <c r="D37" s="18"/>
      <c r="E37" s="18"/>
      <c r="F37" s="19" t="s">
        <v>128</v>
      </c>
      <c r="G37" s="19" t="s">
        <v>128</v>
      </c>
      <c r="H37" s="19"/>
      <c r="I37" s="42"/>
    </row>
    <row r="38" spans="1:9" ht="12.95" customHeight="1">
      <c r="A38" s="3"/>
      <c r="B38" s="43"/>
      <c r="C38" s="20"/>
      <c r="D38" s="20"/>
      <c r="E38" s="20"/>
      <c r="F38" s="21"/>
      <c r="G38" s="21"/>
      <c r="H38" s="21"/>
      <c r="I38" s="44"/>
    </row>
    <row r="39" spans="1:9" ht="12.95" customHeight="1">
      <c r="A39" s="3"/>
      <c r="B39" s="45" t="s">
        <v>142</v>
      </c>
      <c r="C39" s="18"/>
      <c r="D39" s="18"/>
      <c r="E39" s="18"/>
      <c r="F39" s="19" t="s">
        <v>128</v>
      </c>
      <c r="G39" s="19" t="s">
        <v>128</v>
      </c>
      <c r="H39" s="19"/>
      <c r="I39" s="42"/>
    </row>
    <row r="40" spans="1:9" ht="12.95" customHeight="1">
      <c r="A40" s="3"/>
      <c r="B40" s="43"/>
      <c r="C40" s="20"/>
      <c r="D40" s="20"/>
      <c r="E40" s="20"/>
      <c r="F40" s="21"/>
      <c r="G40" s="21"/>
      <c r="H40" s="21"/>
      <c r="I40" s="44"/>
    </row>
    <row r="41" spans="1:9" ht="12.95" customHeight="1">
      <c r="A41" s="3"/>
      <c r="B41" s="45" t="s">
        <v>143</v>
      </c>
      <c r="C41" s="22"/>
      <c r="D41" s="22"/>
      <c r="E41" s="22"/>
      <c r="F41" s="23" t="s">
        <v>128</v>
      </c>
      <c r="G41" s="23" t="s">
        <v>128</v>
      </c>
      <c r="H41" s="23"/>
      <c r="I41" s="42"/>
    </row>
    <row r="42" spans="1:9" ht="12.95" customHeight="1">
      <c r="A42" s="3"/>
      <c r="B42" s="43"/>
      <c r="C42" s="20"/>
      <c r="D42" s="20"/>
      <c r="E42" s="20"/>
      <c r="F42" s="21"/>
      <c r="G42" s="21"/>
      <c r="H42" s="21"/>
      <c r="I42" s="44"/>
    </row>
    <row r="43" spans="1:9" ht="12.95" customHeight="1">
      <c r="A43" s="3"/>
      <c r="B43" s="45" t="s">
        <v>129</v>
      </c>
      <c r="C43" s="24"/>
      <c r="D43" s="24"/>
      <c r="E43" s="24"/>
      <c r="F43" s="25" t="s">
        <v>128</v>
      </c>
      <c r="G43" s="25" t="s">
        <v>128</v>
      </c>
      <c r="H43" s="25"/>
      <c r="I43" s="42"/>
    </row>
    <row r="44" spans="1:9" ht="12.95" customHeight="1">
      <c r="A44" s="3"/>
      <c r="B44" s="45" t="s">
        <v>144</v>
      </c>
      <c r="C44" s="18"/>
      <c r="D44" s="18"/>
      <c r="E44" s="18"/>
      <c r="F44" s="19" t="s">
        <v>128</v>
      </c>
      <c r="G44" s="19" t="s">
        <v>128</v>
      </c>
      <c r="H44" s="19"/>
      <c r="I44" s="42"/>
    </row>
    <row r="45" spans="1:9" ht="12.95" customHeight="1">
      <c r="A45" s="3"/>
      <c r="B45" s="43"/>
      <c r="C45" s="20"/>
      <c r="D45" s="20"/>
      <c r="E45" s="20"/>
      <c r="F45" s="21"/>
      <c r="G45" s="21"/>
      <c r="H45" s="21"/>
      <c r="I45" s="44"/>
    </row>
    <row r="46" spans="1:9" ht="12.95" customHeight="1">
      <c r="A46" s="3"/>
      <c r="B46" s="45" t="s">
        <v>145</v>
      </c>
      <c r="C46" s="18"/>
      <c r="D46" s="18"/>
      <c r="E46" s="18"/>
      <c r="F46" s="19" t="s">
        <v>128</v>
      </c>
      <c r="G46" s="19" t="s">
        <v>128</v>
      </c>
      <c r="H46" s="19"/>
      <c r="I46" s="42"/>
    </row>
    <row r="47" spans="1:9" ht="12.95" customHeight="1">
      <c r="A47" s="3"/>
      <c r="B47" s="43"/>
      <c r="C47" s="20"/>
      <c r="D47" s="20"/>
      <c r="E47" s="20"/>
      <c r="F47" s="21"/>
      <c r="G47" s="21"/>
      <c r="H47" s="21"/>
      <c r="I47" s="44"/>
    </row>
    <row r="48" spans="1:9" ht="12.95" customHeight="1">
      <c r="A48" s="3"/>
      <c r="B48" s="45" t="s">
        <v>146</v>
      </c>
      <c r="C48" s="18"/>
      <c r="D48" s="18"/>
      <c r="E48" s="18"/>
      <c r="F48" s="19" t="s">
        <v>128</v>
      </c>
      <c r="G48" s="19" t="s">
        <v>128</v>
      </c>
      <c r="H48" s="19"/>
      <c r="I48" s="42"/>
    </row>
    <row r="49" spans="1:9" ht="12.95" customHeight="1">
      <c r="A49" s="3"/>
      <c r="B49" s="43"/>
      <c r="C49" s="20"/>
      <c r="D49" s="20"/>
      <c r="E49" s="20"/>
      <c r="F49" s="21"/>
      <c r="G49" s="21"/>
      <c r="H49" s="21"/>
      <c r="I49" s="44"/>
    </row>
    <row r="50" spans="1:9" ht="12.95" customHeight="1">
      <c r="A50" s="3"/>
      <c r="B50" s="45" t="s">
        <v>147</v>
      </c>
      <c r="C50" s="18"/>
      <c r="D50" s="18"/>
      <c r="E50" s="18"/>
      <c r="F50" s="19" t="s">
        <v>128</v>
      </c>
      <c r="G50" s="19" t="s">
        <v>128</v>
      </c>
      <c r="H50" s="19"/>
      <c r="I50" s="42"/>
    </row>
    <row r="51" spans="1:9" ht="12.95" customHeight="1">
      <c r="A51" s="3"/>
      <c r="B51" s="43"/>
      <c r="C51" s="20"/>
      <c r="D51" s="20"/>
      <c r="E51" s="20"/>
      <c r="F51" s="21"/>
      <c r="G51" s="21"/>
      <c r="H51" s="21"/>
      <c r="I51" s="44"/>
    </row>
    <row r="52" spans="1:9" ht="12.95" customHeight="1">
      <c r="A52" s="3"/>
      <c r="B52" s="45" t="s">
        <v>148</v>
      </c>
      <c r="C52" s="18"/>
      <c r="D52" s="18"/>
      <c r="E52" s="18"/>
      <c r="F52" s="19" t="s">
        <v>128</v>
      </c>
      <c r="G52" s="19" t="s">
        <v>128</v>
      </c>
      <c r="H52" s="19"/>
      <c r="I52" s="42"/>
    </row>
    <row r="53" spans="1:9" ht="12.95" customHeight="1">
      <c r="A53" s="3"/>
      <c r="B53" s="43"/>
      <c r="C53" s="20"/>
      <c r="D53" s="20"/>
      <c r="E53" s="20"/>
      <c r="F53" s="21"/>
      <c r="G53" s="21"/>
      <c r="H53" s="21"/>
      <c r="I53" s="44"/>
    </row>
    <row r="54" spans="1:9" ht="12.95" customHeight="1">
      <c r="A54" s="3"/>
      <c r="B54" s="45" t="s">
        <v>129</v>
      </c>
      <c r="C54" s="22"/>
      <c r="D54" s="22"/>
      <c r="E54" s="22"/>
      <c r="F54" s="23" t="s">
        <v>128</v>
      </c>
      <c r="G54" s="23" t="s">
        <v>128</v>
      </c>
      <c r="H54" s="23"/>
      <c r="I54" s="42"/>
    </row>
    <row r="55" spans="1:9" ht="12.95" customHeight="1">
      <c r="A55" s="17"/>
      <c r="B55" s="45"/>
      <c r="C55" s="22"/>
      <c r="D55" s="22"/>
      <c r="E55" s="22"/>
      <c r="F55" s="23"/>
      <c r="G55" s="23"/>
      <c r="H55" s="23"/>
      <c r="I55" s="42"/>
    </row>
    <row r="56" spans="1:9" ht="12.95" customHeight="1">
      <c r="A56" s="3"/>
      <c r="B56" s="43" t="s">
        <v>130</v>
      </c>
      <c r="C56" s="26"/>
      <c r="D56" s="26"/>
      <c r="E56" s="26"/>
      <c r="F56" s="26"/>
      <c r="G56" s="26"/>
      <c r="H56" s="27"/>
      <c r="I56" s="44"/>
    </row>
    <row r="57" spans="1:9" ht="12.95" customHeight="1">
      <c r="A57" s="10" t="s">
        <v>131</v>
      </c>
      <c r="B57" s="46" t="s">
        <v>132</v>
      </c>
      <c r="C57" s="26"/>
      <c r="D57" s="26"/>
      <c r="E57" s="29"/>
      <c r="F57" s="30">
        <v>3043.43</v>
      </c>
      <c r="G57" s="31">
        <v>0.29859999999999998</v>
      </c>
      <c r="H57" s="32"/>
      <c r="I57" s="47"/>
    </row>
    <row r="58" spans="1:9" ht="12.95" customHeight="1">
      <c r="A58" s="3"/>
      <c r="B58" s="43" t="s">
        <v>126</v>
      </c>
      <c r="C58" s="26"/>
      <c r="D58" s="26"/>
      <c r="E58" s="26"/>
      <c r="F58" s="33">
        <v>3043.43</v>
      </c>
      <c r="G58" s="34">
        <v>0.29859999999999998</v>
      </c>
      <c r="H58" s="19"/>
      <c r="I58" s="42"/>
    </row>
    <row r="59" spans="1:9" ht="12.95" customHeight="1">
      <c r="A59" s="3"/>
      <c r="B59" s="45" t="s">
        <v>129</v>
      </c>
      <c r="C59" s="22"/>
      <c r="D59" s="18"/>
      <c r="E59" s="22"/>
      <c r="F59" s="33">
        <v>3043.43</v>
      </c>
      <c r="G59" s="34">
        <v>0.29859999999999998</v>
      </c>
      <c r="H59" s="19"/>
      <c r="I59" s="42"/>
    </row>
    <row r="60" spans="1:9" ht="12.95" customHeight="1">
      <c r="A60" s="3"/>
      <c r="B60" s="45" t="s">
        <v>149</v>
      </c>
      <c r="C60" s="35"/>
      <c r="D60" s="18"/>
      <c r="E60" s="22"/>
      <c r="F60" s="36">
        <v>232.86</v>
      </c>
      <c r="G60" s="34">
        <v>2.29E-2</v>
      </c>
      <c r="H60" s="19"/>
      <c r="I60" s="42"/>
    </row>
    <row r="61" spans="1:9" ht="12.95" customHeight="1" thickBot="1">
      <c r="A61" s="3"/>
      <c r="B61" s="49" t="s">
        <v>150</v>
      </c>
      <c r="C61" s="50"/>
      <c r="D61" s="50"/>
      <c r="E61" s="50"/>
      <c r="F61" s="51">
        <v>10191.959999999999</v>
      </c>
      <c r="G61" s="52">
        <v>1</v>
      </c>
      <c r="H61" s="53"/>
      <c r="I61" s="54"/>
    </row>
    <row r="62" spans="1:9" ht="12.95" customHeight="1">
      <c r="A62" s="3"/>
      <c r="B62" s="118"/>
      <c r="C62" s="118"/>
      <c r="D62" s="118"/>
      <c r="E62" s="118"/>
      <c r="F62" s="118"/>
      <c r="G62" s="118"/>
      <c r="H62" s="118"/>
      <c r="I62" s="118"/>
    </row>
    <row r="63" spans="1:9" ht="12.95" customHeight="1">
      <c r="A63" s="17"/>
      <c r="B63" s="57"/>
      <c r="C63" s="57"/>
      <c r="D63" s="57"/>
      <c r="E63" s="57"/>
      <c r="F63" s="57"/>
      <c r="G63" s="57"/>
      <c r="H63" s="57"/>
      <c r="I63" s="57"/>
    </row>
    <row r="64" spans="1:9" ht="12.75" customHeight="1">
      <c r="A64" s="3"/>
      <c r="B64" s="118" t="s">
        <v>151</v>
      </c>
      <c r="C64" s="118"/>
      <c r="D64" s="118"/>
      <c r="E64" s="118"/>
      <c r="F64" s="118"/>
      <c r="G64" s="118"/>
      <c r="H64" s="118"/>
      <c r="I64" s="118"/>
    </row>
    <row r="65" spans="1:9" ht="12.95" customHeight="1">
      <c r="A65" s="3"/>
      <c r="B65" s="117" t="s">
        <v>152</v>
      </c>
      <c r="C65" s="117"/>
      <c r="D65" s="117"/>
      <c r="E65" s="117"/>
      <c r="F65" s="117"/>
      <c r="G65" s="117"/>
      <c r="H65" s="117"/>
      <c r="I65" s="117"/>
    </row>
    <row r="66" spans="1:9" ht="12.95" customHeight="1">
      <c r="A66" s="3"/>
      <c r="B66" s="117" t="s">
        <v>153</v>
      </c>
      <c r="C66" s="117"/>
      <c r="D66" s="117"/>
      <c r="E66" s="117"/>
      <c r="F66" s="117"/>
      <c r="G66" s="117"/>
      <c r="H66" s="117"/>
      <c r="I66" s="117"/>
    </row>
    <row r="67" spans="1:9" ht="12.95" customHeight="1">
      <c r="A67" s="3"/>
      <c r="B67" s="117" t="s">
        <v>154</v>
      </c>
      <c r="C67" s="117"/>
      <c r="D67" s="117"/>
      <c r="E67" s="117"/>
      <c r="F67" s="117"/>
      <c r="G67" s="117"/>
      <c r="H67" s="117"/>
      <c r="I67" s="117"/>
    </row>
    <row r="68" spans="1:9" ht="12.95" customHeight="1">
      <c r="A68" s="3"/>
      <c r="B68" s="117" t="s">
        <v>155</v>
      </c>
      <c r="C68" s="117"/>
      <c r="D68" s="117"/>
      <c r="E68" s="117"/>
      <c r="F68" s="117"/>
      <c r="G68" s="117"/>
      <c r="H68" s="117"/>
      <c r="I68" s="117"/>
    </row>
    <row r="69" spans="1:9" ht="12.95" customHeight="1">
      <c r="A69" s="3"/>
      <c r="B69" s="117" t="s">
        <v>156</v>
      </c>
      <c r="C69" s="117"/>
      <c r="D69" s="117"/>
      <c r="E69" s="117"/>
      <c r="F69" s="117"/>
      <c r="G69" s="117"/>
      <c r="H69" s="117"/>
      <c r="I69" s="117"/>
    </row>
    <row r="70" spans="1:9">
      <c r="B70" t="s">
        <v>714</v>
      </c>
    </row>
    <row r="72" spans="1:9">
      <c r="B72" s="102" t="s">
        <v>715</v>
      </c>
    </row>
    <row r="81" spans="2:2">
      <c r="B81" s="103" t="s">
        <v>716</v>
      </c>
    </row>
    <row r="82" spans="2:2" ht="15.75">
      <c r="B82" s="104" t="s">
        <v>723</v>
      </c>
    </row>
    <row r="91" spans="2:2">
      <c r="B91" s="115" t="s">
        <v>722</v>
      </c>
    </row>
    <row r="93" spans="2:2">
      <c r="B93" s="114" t="s">
        <v>720</v>
      </c>
    </row>
  </sheetData>
  <mergeCells count="7">
    <mergeCell ref="B67:I67"/>
    <mergeCell ref="B68:I68"/>
    <mergeCell ref="B69:I69"/>
    <mergeCell ref="B62:I62"/>
    <mergeCell ref="B64:I64"/>
    <mergeCell ref="B65:I65"/>
    <mergeCell ref="B66:I66"/>
  </mergeCells>
  <pageMargins left="0" right="0" top="0" bottom="0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9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7" t="s">
        <v>36</v>
      </c>
      <c r="C6" s="38" t="s">
        <v>37</v>
      </c>
      <c r="D6" s="39" t="s">
        <v>38</v>
      </c>
      <c r="E6" s="39" t="s">
        <v>39</v>
      </c>
      <c r="F6" s="39" t="s">
        <v>40</v>
      </c>
      <c r="G6" s="39" t="s">
        <v>41</v>
      </c>
      <c r="H6" s="39" t="s">
        <v>42</v>
      </c>
      <c r="I6" s="40" t="s">
        <v>43</v>
      </c>
    </row>
    <row r="7" spans="1:9" ht="12.95" customHeight="1">
      <c r="A7" s="3"/>
      <c r="B7" s="43" t="s">
        <v>44</v>
      </c>
      <c r="C7" s="26"/>
      <c r="D7" s="26"/>
      <c r="E7" s="26"/>
      <c r="F7" s="26"/>
      <c r="G7" s="26"/>
      <c r="H7" s="27"/>
      <c r="I7" s="44"/>
    </row>
    <row r="8" spans="1:9" ht="12.95" customHeight="1">
      <c r="A8" s="3"/>
      <c r="B8" s="43" t="s">
        <v>45</v>
      </c>
      <c r="C8" s="26"/>
      <c r="D8" s="26"/>
      <c r="E8" s="26"/>
      <c r="F8" s="28"/>
      <c r="G8" s="27"/>
      <c r="H8" s="27"/>
      <c r="I8" s="44"/>
    </row>
    <row r="9" spans="1:9" ht="12.95" customHeight="1">
      <c r="A9" s="10" t="s">
        <v>161</v>
      </c>
      <c r="B9" s="46" t="s">
        <v>162</v>
      </c>
      <c r="C9" s="26" t="s">
        <v>163</v>
      </c>
      <c r="D9" s="26" t="s">
        <v>164</v>
      </c>
      <c r="E9" s="29">
        <v>39179</v>
      </c>
      <c r="F9" s="30">
        <v>1464.65</v>
      </c>
      <c r="G9" s="31">
        <v>7.22E-2</v>
      </c>
      <c r="H9" s="56"/>
      <c r="I9" s="47"/>
    </row>
    <row r="10" spans="1:9" ht="12.95" customHeight="1">
      <c r="A10" s="10" t="s">
        <v>168</v>
      </c>
      <c r="B10" s="46" t="s">
        <v>169</v>
      </c>
      <c r="C10" s="26" t="s">
        <v>170</v>
      </c>
      <c r="D10" s="26" t="s">
        <v>98</v>
      </c>
      <c r="E10" s="29">
        <v>96426</v>
      </c>
      <c r="F10" s="30">
        <v>1426.53</v>
      </c>
      <c r="G10" s="31">
        <v>7.0400000000000004E-2</v>
      </c>
      <c r="H10" s="56"/>
      <c r="I10" s="47"/>
    </row>
    <row r="11" spans="1:9" ht="12.95" customHeight="1">
      <c r="A11" s="10" t="s">
        <v>87</v>
      </c>
      <c r="B11" s="46" t="s">
        <v>88</v>
      </c>
      <c r="C11" s="26" t="s">
        <v>89</v>
      </c>
      <c r="D11" s="26" t="s">
        <v>90</v>
      </c>
      <c r="E11" s="29">
        <v>60173</v>
      </c>
      <c r="F11" s="30">
        <v>1424.99</v>
      </c>
      <c r="G11" s="31">
        <v>7.0300000000000001E-2</v>
      </c>
      <c r="H11" s="56"/>
      <c r="I11" s="47"/>
    </row>
    <row r="12" spans="1:9" ht="12.95" customHeight="1">
      <c r="A12" s="10" t="s">
        <v>184</v>
      </c>
      <c r="B12" s="46" t="s">
        <v>185</v>
      </c>
      <c r="C12" s="26" t="s">
        <v>186</v>
      </c>
      <c r="D12" s="26" t="s">
        <v>164</v>
      </c>
      <c r="E12" s="29">
        <v>67209</v>
      </c>
      <c r="F12" s="30">
        <v>1268.74</v>
      </c>
      <c r="G12" s="31">
        <v>6.2600000000000003E-2</v>
      </c>
      <c r="H12" s="56"/>
      <c r="I12" s="47"/>
    </row>
    <row r="13" spans="1:9" ht="12.95" customHeight="1">
      <c r="A13" s="10" t="s">
        <v>106</v>
      </c>
      <c r="B13" s="46" t="s">
        <v>107</v>
      </c>
      <c r="C13" s="26" t="s">
        <v>108</v>
      </c>
      <c r="D13" s="26" t="s">
        <v>68</v>
      </c>
      <c r="E13" s="29">
        <v>560405</v>
      </c>
      <c r="F13" s="30">
        <v>1221.96</v>
      </c>
      <c r="G13" s="31">
        <v>6.0299999999999999E-2</v>
      </c>
      <c r="H13" s="56"/>
      <c r="I13" s="47"/>
    </row>
    <row r="14" spans="1:9" ht="12.95" customHeight="1">
      <c r="A14" s="10" t="s">
        <v>80</v>
      </c>
      <c r="B14" s="46" t="s">
        <v>81</v>
      </c>
      <c r="C14" s="26" t="s">
        <v>82</v>
      </c>
      <c r="D14" s="26" t="s">
        <v>57</v>
      </c>
      <c r="E14" s="29">
        <v>105056</v>
      </c>
      <c r="F14" s="30">
        <v>998.82</v>
      </c>
      <c r="G14" s="31">
        <v>4.9299999999999997E-2</v>
      </c>
      <c r="H14" s="56"/>
      <c r="I14" s="47"/>
    </row>
    <row r="15" spans="1:9" ht="12.95" customHeight="1">
      <c r="A15" s="10" t="s">
        <v>73</v>
      </c>
      <c r="B15" s="46" t="s">
        <v>74</v>
      </c>
      <c r="C15" s="26" t="s">
        <v>75</v>
      </c>
      <c r="D15" s="26" t="s">
        <v>57</v>
      </c>
      <c r="E15" s="29">
        <v>112612</v>
      </c>
      <c r="F15" s="30">
        <v>952.36</v>
      </c>
      <c r="G15" s="31">
        <v>4.7E-2</v>
      </c>
      <c r="H15" s="56"/>
      <c r="I15" s="47"/>
    </row>
    <row r="16" spans="1:9" ht="12.95" customHeight="1">
      <c r="A16" s="10" t="s">
        <v>171</v>
      </c>
      <c r="B16" s="46" t="s">
        <v>172</v>
      </c>
      <c r="C16" s="26" t="s">
        <v>173</v>
      </c>
      <c r="D16" s="26" t="s">
        <v>98</v>
      </c>
      <c r="E16" s="29">
        <v>123437</v>
      </c>
      <c r="F16" s="30">
        <v>913.62</v>
      </c>
      <c r="G16" s="31">
        <v>4.5100000000000001E-2</v>
      </c>
      <c r="H16" s="56"/>
      <c r="I16" s="47"/>
    </row>
    <row r="17" spans="1:9" ht="12.95" customHeight="1">
      <c r="A17" s="10" t="s">
        <v>215</v>
      </c>
      <c r="B17" s="46" t="s">
        <v>216</v>
      </c>
      <c r="C17" s="26" t="s">
        <v>217</v>
      </c>
      <c r="D17" s="26" t="s">
        <v>197</v>
      </c>
      <c r="E17" s="29">
        <v>24030</v>
      </c>
      <c r="F17" s="30">
        <v>622.83000000000004</v>
      </c>
      <c r="G17" s="31">
        <v>3.0700000000000002E-2</v>
      </c>
      <c r="H17" s="56"/>
      <c r="I17" s="47"/>
    </row>
    <row r="18" spans="1:9" ht="12.95" customHeight="1">
      <c r="A18" s="10" t="s">
        <v>165</v>
      </c>
      <c r="B18" s="46" t="s">
        <v>166</v>
      </c>
      <c r="C18" s="26" t="s">
        <v>167</v>
      </c>
      <c r="D18" s="26" t="s">
        <v>68</v>
      </c>
      <c r="E18" s="29">
        <v>25880</v>
      </c>
      <c r="F18" s="30">
        <v>610.80999999999995</v>
      </c>
      <c r="G18" s="31">
        <v>3.0099999999999998E-2</v>
      </c>
      <c r="H18" s="56"/>
      <c r="I18" s="47"/>
    </row>
    <row r="19" spans="1:9" ht="12.95" customHeight="1">
      <c r="A19" s="10" t="s">
        <v>174</v>
      </c>
      <c r="B19" s="46" t="s">
        <v>175</v>
      </c>
      <c r="C19" s="26" t="s">
        <v>176</v>
      </c>
      <c r="D19" s="26" t="s">
        <v>53</v>
      </c>
      <c r="E19" s="29">
        <v>22500</v>
      </c>
      <c r="F19" s="30">
        <v>581.95000000000005</v>
      </c>
      <c r="G19" s="31">
        <v>2.87E-2</v>
      </c>
      <c r="H19" s="56"/>
      <c r="I19" s="47"/>
    </row>
    <row r="20" spans="1:9" ht="12.95" customHeight="1">
      <c r="A20" s="10" t="s">
        <v>231</v>
      </c>
      <c r="B20" s="46" t="s">
        <v>232</v>
      </c>
      <c r="C20" s="26" t="s">
        <v>233</v>
      </c>
      <c r="D20" s="26" t="s">
        <v>72</v>
      </c>
      <c r="E20" s="29">
        <v>43290</v>
      </c>
      <c r="F20" s="30">
        <v>517.75</v>
      </c>
      <c r="G20" s="31">
        <v>2.5499999999999998E-2</v>
      </c>
      <c r="H20" s="56"/>
      <c r="I20" s="47"/>
    </row>
    <row r="21" spans="1:9" ht="12.95" customHeight="1">
      <c r="A21" s="10" t="s">
        <v>95</v>
      </c>
      <c r="B21" s="46" t="s">
        <v>96</v>
      </c>
      <c r="C21" s="26" t="s">
        <v>97</v>
      </c>
      <c r="D21" s="26" t="s">
        <v>98</v>
      </c>
      <c r="E21" s="29">
        <v>111807</v>
      </c>
      <c r="F21" s="30">
        <v>514.82000000000005</v>
      </c>
      <c r="G21" s="31">
        <v>2.5399999999999999E-2</v>
      </c>
      <c r="H21" s="56"/>
      <c r="I21" s="47"/>
    </row>
    <row r="22" spans="1:9" ht="12.95" customHeight="1">
      <c r="A22" s="10" t="s">
        <v>180</v>
      </c>
      <c r="B22" s="46" t="s">
        <v>181</v>
      </c>
      <c r="C22" s="26" t="s">
        <v>182</v>
      </c>
      <c r="D22" s="26" t="s">
        <v>183</v>
      </c>
      <c r="E22" s="29">
        <v>68876</v>
      </c>
      <c r="F22" s="30">
        <v>470.97</v>
      </c>
      <c r="G22" s="31">
        <v>2.3199999999999998E-2</v>
      </c>
      <c r="H22" s="56"/>
      <c r="I22" s="47"/>
    </row>
    <row r="23" spans="1:9" ht="12.95" customHeight="1">
      <c r="A23" s="10" t="s">
        <v>218</v>
      </c>
      <c r="B23" s="46" t="s">
        <v>219</v>
      </c>
      <c r="C23" s="26" t="s">
        <v>220</v>
      </c>
      <c r="D23" s="26" t="s">
        <v>164</v>
      </c>
      <c r="E23" s="29">
        <v>34600</v>
      </c>
      <c r="F23" s="30">
        <v>456.41</v>
      </c>
      <c r="G23" s="31">
        <v>2.2499999999999999E-2</v>
      </c>
      <c r="H23" s="56"/>
      <c r="I23" s="47"/>
    </row>
    <row r="24" spans="1:9" ht="12.95" customHeight="1">
      <c r="A24" s="10" t="s">
        <v>317</v>
      </c>
      <c r="B24" s="46" t="s">
        <v>318</v>
      </c>
      <c r="C24" s="26" t="s">
        <v>319</v>
      </c>
      <c r="D24" s="26" t="s">
        <v>79</v>
      </c>
      <c r="E24" s="29">
        <v>306192</v>
      </c>
      <c r="F24" s="30">
        <v>447.19</v>
      </c>
      <c r="G24" s="31">
        <v>2.2100000000000002E-2</v>
      </c>
      <c r="H24" s="56"/>
      <c r="I24" s="47"/>
    </row>
    <row r="25" spans="1:9" ht="12.95" customHeight="1">
      <c r="A25" s="10" t="s">
        <v>208</v>
      </c>
      <c r="B25" s="46" t="s">
        <v>209</v>
      </c>
      <c r="C25" s="26" t="s">
        <v>210</v>
      </c>
      <c r="D25" s="26" t="s">
        <v>211</v>
      </c>
      <c r="E25" s="29">
        <v>22616</v>
      </c>
      <c r="F25" s="30">
        <v>428.78</v>
      </c>
      <c r="G25" s="31">
        <v>2.1100000000000001E-2</v>
      </c>
      <c r="H25" s="56"/>
      <c r="I25" s="47"/>
    </row>
    <row r="26" spans="1:9" ht="12.95" customHeight="1">
      <c r="A26" s="10" t="s">
        <v>320</v>
      </c>
      <c r="B26" s="46" t="s">
        <v>321</v>
      </c>
      <c r="C26" s="26" t="s">
        <v>322</v>
      </c>
      <c r="D26" s="26" t="s">
        <v>90</v>
      </c>
      <c r="E26" s="29">
        <v>93721</v>
      </c>
      <c r="F26" s="30">
        <v>361.25</v>
      </c>
      <c r="G26" s="31">
        <v>1.78E-2</v>
      </c>
      <c r="H26" s="56"/>
      <c r="I26" s="47"/>
    </row>
    <row r="27" spans="1:9" ht="12.95" customHeight="1">
      <c r="A27" s="10" t="s">
        <v>103</v>
      </c>
      <c r="B27" s="46" t="s">
        <v>104</v>
      </c>
      <c r="C27" s="26" t="s">
        <v>105</v>
      </c>
      <c r="D27" s="26" t="s">
        <v>98</v>
      </c>
      <c r="E27" s="29">
        <v>20050</v>
      </c>
      <c r="F27" s="30">
        <v>360.12</v>
      </c>
      <c r="G27" s="31">
        <v>1.78E-2</v>
      </c>
      <c r="H27" s="56"/>
      <c r="I27" s="47"/>
    </row>
    <row r="28" spans="1:9" ht="12.95" customHeight="1">
      <c r="A28" s="10" t="s">
        <v>323</v>
      </c>
      <c r="B28" s="46" t="s">
        <v>324</v>
      </c>
      <c r="C28" s="26" t="s">
        <v>325</v>
      </c>
      <c r="D28" s="26" t="s">
        <v>326</v>
      </c>
      <c r="E28" s="29">
        <v>268000</v>
      </c>
      <c r="F28" s="30">
        <v>333.39</v>
      </c>
      <c r="G28" s="31">
        <v>1.6400000000000001E-2</v>
      </c>
      <c r="H28" s="56"/>
      <c r="I28" s="47"/>
    </row>
    <row r="29" spans="1:9" ht="12.95" customHeight="1">
      <c r="A29" s="10" t="s">
        <v>225</v>
      </c>
      <c r="B29" s="46" t="s">
        <v>226</v>
      </c>
      <c r="C29" s="26" t="s">
        <v>227</v>
      </c>
      <c r="D29" s="26" t="s">
        <v>90</v>
      </c>
      <c r="E29" s="29">
        <v>293812</v>
      </c>
      <c r="F29" s="30">
        <v>327.60000000000002</v>
      </c>
      <c r="G29" s="31">
        <v>1.6199999999999999E-2</v>
      </c>
      <c r="H29" s="56"/>
      <c r="I29" s="47"/>
    </row>
    <row r="30" spans="1:9" ht="12.95" customHeight="1">
      <c r="A30" s="10" t="s">
        <v>228</v>
      </c>
      <c r="B30" s="46" t="s">
        <v>229</v>
      </c>
      <c r="C30" s="26" t="s">
        <v>230</v>
      </c>
      <c r="D30" s="26" t="s">
        <v>197</v>
      </c>
      <c r="E30" s="29">
        <v>4396</v>
      </c>
      <c r="F30" s="30">
        <v>326.47000000000003</v>
      </c>
      <c r="G30" s="31">
        <v>1.61E-2</v>
      </c>
      <c r="H30" s="56"/>
      <c r="I30" s="47"/>
    </row>
    <row r="31" spans="1:9" ht="12.95" customHeight="1">
      <c r="A31" s="10" t="s">
        <v>158</v>
      </c>
      <c r="B31" s="46" t="s">
        <v>159</v>
      </c>
      <c r="C31" s="26" t="s">
        <v>160</v>
      </c>
      <c r="D31" s="26" t="s">
        <v>98</v>
      </c>
      <c r="E31" s="29">
        <v>46075</v>
      </c>
      <c r="F31" s="30">
        <v>312.64</v>
      </c>
      <c r="G31" s="31">
        <v>1.54E-2</v>
      </c>
      <c r="H31" s="56"/>
      <c r="I31" s="47"/>
    </row>
    <row r="32" spans="1:9" ht="12.95" customHeight="1">
      <c r="A32" s="10" t="s">
        <v>327</v>
      </c>
      <c r="B32" s="46" t="s">
        <v>328</v>
      </c>
      <c r="C32" s="26" t="s">
        <v>329</v>
      </c>
      <c r="D32" s="26" t="s">
        <v>68</v>
      </c>
      <c r="E32" s="29">
        <v>32108</v>
      </c>
      <c r="F32" s="30">
        <v>310.92</v>
      </c>
      <c r="G32" s="31">
        <v>1.5299999999999999E-2</v>
      </c>
      <c r="H32" s="56"/>
      <c r="I32" s="47"/>
    </row>
    <row r="33" spans="1:9" ht="12.95" customHeight="1">
      <c r="A33" s="10" t="s">
        <v>69</v>
      </c>
      <c r="B33" s="46" t="s">
        <v>70</v>
      </c>
      <c r="C33" s="26" t="s">
        <v>71</v>
      </c>
      <c r="D33" s="26" t="s">
        <v>72</v>
      </c>
      <c r="E33" s="29">
        <v>34336</v>
      </c>
      <c r="F33" s="30">
        <v>223.03</v>
      </c>
      <c r="G33" s="31">
        <v>1.0999999999999999E-2</v>
      </c>
      <c r="H33" s="56"/>
      <c r="I33" s="47"/>
    </row>
    <row r="34" spans="1:9" ht="12.95" customHeight="1">
      <c r="A34" s="10" t="s">
        <v>330</v>
      </c>
      <c r="B34" s="46" t="s">
        <v>331</v>
      </c>
      <c r="C34" s="26" t="s">
        <v>332</v>
      </c>
      <c r="D34" s="26" t="s">
        <v>333</v>
      </c>
      <c r="E34" s="29">
        <v>1200</v>
      </c>
      <c r="F34" s="30">
        <v>207.84</v>
      </c>
      <c r="G34" s="31">
        <v>1.03E-2</v>
      </c>
      <c r="H34" s="56"/>
      <c r="I34" s="47"/>
    </row>
    <row r="35" spans="1:9" ht="12.95" customHeight="1">
      <c r="A35" s="10" t="s">
        <v>334</v>
      </c>
      <c r="B35" s="46" t="s">
        <v>713</v>
      </c>
      <c r="C35" s="26" t="s">
        <v>335</v>
      </c>
      <c r="D35" s="26" t="s">
        <v>183</v>
      </c>
      <c r="E35" s="29">
        <v>5255</v>
      </c>
      <c r="F35" s="30">
        <v>18.53</v>
      </c>
      <c r="G35" s="31">
        <v>8.9999999999999998E-4</v>
      </c>
      <c r="H35" s="56"/>
      <c r="I35" s="47"/>
    </row>
    <row r="36" spans="1:9" ht="12.95" customHeight="1">
      <c r="A36" s="3"/>
      <c r="B36" s="43" t="s">
        <v>126</v>
      </c>
      <c r="C36" s="26"/>
      <c r="D36" s="26"/>
      <c r="E36" s="26"/>
      <c r="F36" s="33">
        <v>17104.969999999998</v>
      </c>
      <c r="G36" s="34">
        <v>0.84369999999999989</v>
      </c>
      <c r="H36" s="19"/>
      <c r="I36" s="42"/>
    </row>
    <row r="37" spans="1:9" ht="12.95" customHeight="1">
      <c r="A37" s="3"/>
      <c r="B37" s="45" t="s">
        <v>127</v>
      </c>
      <c r="C37" s="18"/>
      <c r="D37" s="18"/>
      <c r="E37" s="18"/>
      <c r="F37" s="19" t="s">
        <v>128</v>
      </c>
      <c r="G37" s="19" t="s">
        <v>128</v>
      </c>
      <c r="H37" s="19"/>
      <c r="I37" s="42"/>
    </row>
    <row r="38" spans="1:9" ht="12.95" customHeight="1">
      <c r="A38" s="3"/>
      <c r="B38" s="45" t="s">
        <v>126</v>
      </c>
      <c r="C38" s="18"/>
      <c r="D38" s="18"/>
      <c r="E38" s="18"/>
      <c r="F38" s="19" t="s">
        <v>128</v>
      </c>
      <c r="G38" s="19" t="s">
        <v>128</v>
      </c>
      <c r="H38" s="19"/>
      <c r="I38" s="42"/>
    </row>
    <row r="39" spans="1:9" ht="12.95" customHeight="1">
      <c r="A39" s="3"/>
      <c r="B39" s="45" t="s">
        <v>129</v>
      </c>
      <c r="C39" s="22"/>
      <c r="D39" s="18"/>
      <c r="E39" s="22"/>
      <c r="F39" s="33">
        <v>17104.969999999998</v>
      </c>
      <c r="G39" s="34">
        <v>0.84369999999999989</v>
      </c>
      <c r="H39" s="19"/>
      <c r="I39" s="42"/>
    </row>
    <row r="40" spans="1:9" ht="12.95" customHeight="1">
      <c r="A40" s="3"/>
      <c r="B40" s="41" t="s">
        <v>133</v>
      </c>
      <c r="C40" s="20"/>
      <c r="D40" s="20"/>
      <c r="E40" s="20"/>
      <c r="F40" s="21"/>
      <c r="G40" s="21"/>
      <c r="H40" s="21"/>
      <c r="I40" s="44"/>
    </row>
    <row r="41" spans="1:9" ht="12.95" customHeight="1">
      <c r="A41" s="3"/>
      <c r="B41" s="43"/>
      <c r="C41" s="20"/>
      <c r="D41" s="20"/>
      <c r="E41" s="20"/>
      <c r="F41" s="21"/>
      <c r="G41" s="21"/>
      <c r="H41" s="21"/>
      <c r="I41" s="44"/>
    </row>
    <row r="42" spans="1:9" ht="12.95" customHeight="1">
      <c r="A42" s="3"/>
      <c r="B42" s="45" t="s">
        <v>134</v>
      </c>
      <c r="C42" s="18"/>
      <c r="D42" s="18"/>
      <c r="E42" s="18"/>
      <c r="F42" s="19" t="s">
        <v>128</v>
      </c>
      <c r="G42" s="19" t="s">
        <v>128</v>
      </c>
      <c r="H42" s="19"/>
      <c r="I42" s="42"/>
    </row>
    <row r="43" spans="1:9" ht="12.95" customHeight="1">
      <c r="A43" s="3"/>
      <c r="B43" s="43"/>
      <c r="C43" s="20"/>
      <c r="D43" s="20"/>
      <c r="E43" s="20"/>
      <c r="F43" s="21"/>
      <c r="G43" s="21"/>
      <c r="H43" s="21"/>
      <c r="I43" s="44"/>
    </row>
    <row r="44" spans="1:9" ht="12.95" customHeight="1">
      <c r="A44" s="3"/>
      <c r="B44" s="45" t="s">
        <v>135</v>
      </c>
      <c r="C44" s="18"/>
      <c r="D44" s="18"/>
      <c r="E44" s="18"/>
      <c r="F44" s="19" t="s">
        <v>128</v>
      </c>
      <c r="G44" s="19" t="s">
        <v>128</v>
      </c>
      <c r="H44" s="19"/>
      <c r="I44" s="42"/>
    </row>
    <row r="45" spans="1:9" ht="12.95" customHeight="1">
      <c r="A45" s="3"/>
      <c r="B45" s="43"/>
      <c r="C45" s="20"/>
      <c r="D45" s="20"/>
      <c r="E45" s="20"/>
      <c r="F45" s="21"/>
      <c r="G45" s="21"/>
      <c r="H45" s="21"/>
      <c r="I45" s="44"/>
    </row>
    <row r="46" spans="1:9" ht="12.95" customHeight="1">
      <c r="A46" s="3"/>
      <c r="B46" s="45" t="s">
        <v>136</v>
      </c>
      <c r="C46" s="18"/>
      <c r="D46" s="18"/>
      <c r="E46" s="18"/>
      <c r="F46" s="19" t="s">
        <v>128</v>
      </c>
      <c r="G46" s="19" t="s">
        <v>128</v>
      </c>
      <c r="H46" s="19"/>
      <c r="I46" s="42"/>
    </row>
    <row r="47" spans="1:9" ht="12.95" customHeight="1">
      <c r="A47" s="3"/>
      <c r="B47" s="43"/>
      <c r="C47" s="20"/>
      <c r="D47" s="20"/>
      <c r="E47" s="20"/>
      <c r="F47" s="21"/>
      <c r="G47" s="21"/>
      <c r="H47" s="21"/>
      <c r="I47" s="44"/>
    </row>
    <row r="48" spans="1:9" ht="12.95" customHeight="1">
      <c r="A48" s="3"/>
      <c r="B48" s="45" t="s">
        <v>137</v>
      </c>
      <c r="C48" s="18"/>
      <c r="D48" s="18"/>
      <c r="E48" s="18"/>
      <c r="F48" s="19" t="s">
        <v>128</v>
      </c>
      <c r="G48" s="19" t="s">
        <v>128</v>
      </c>
      <c r="H48" s="19"/>
      <c r="I48" s="42"/>
    </row>
    <row r="49" spans="1:9" ht="12.95" customHeight="1">
      <c r="A49" s="3"/>
      <c r="B49" s="43"/>
      <c r="C49" s="20"/>
      <c r="D49" s="20"/>
      <c r="E49" s="20"/>
      <c r="F49" s="21"/>
      <c r="G49" s="21"/>
      <c r="H49" s="21"/>
      <c r="I49" s="44"/>
    </row>
    <row r="50" spans="1:9" ht="12.95" customHeight="1">
      <c r="A50" s="3"/>
      <c r="B50" s="45" t="s">
        <v>138</v>
      </c>
      <c r="C50" s="22"/>
      <c r="D50" s="22"/>
      <c r="E50" s="22"/>
      <c r="F50" s="23" t="s">
        <v>128</v>
      </c>
      <c r="G50" s="23" t="s">
        <v>128</v>
      </c>
      <c r="H50" s="23"/>
      <c r="I50" s="42"/>
    </row>
    <row r="51" spans="1:9" ht="12.95" customHeight="1">
      <c r="A51" s="3"/>
      <c r="B51" s="43"/>
      <c r="C51" s="20"/>
      <c r="D51" s="20"/>
      <c r="E51" s="20"/>
      <c r="F51" s="21"/>
      <c r="G51" s="21"/>
      <c r="H51" s="21"/>
      <c r="I51" s="44"/>
    </row>
    <row r="52" spans="1:9" ht="12.95" customHeight="1">
      <c r="A52" s="3"/>
      <c r="B52" s="45" t="s">
        <v>129</v>
      </c>
      <c r="C52" s="24"/>
      <c r="D52" s="24"/>
      <c r="E52" s="24"/>
      <c r="F52" s="25" t="s">
        <v>128</v>
      </c>
      <c r="G52" s="25" t="s">
        <v>128</v>
      </c>
      <c r="H52" s="25"/>
      <c r="I52" s="42"/>
    </row>
    <row r="53" spans="1:9" ht="12.95" customHeight="1">
      <c r="A53" s="3"/>
      <c r="B53" s="45" t="s">
        <v>139</v>
      </c>
      <c r="C53" s="18"/>
      <c r="D53" s="18"/>
      <c r="E53" s="18"/>
      <c r="F53" s="19" t="s">
        <v>128</v>
      </c>
      <c r="G53" s="19" t="s">
        <v>128</v>
      </c>
      <c r="H53" s="19"/>
      <c r="I53" s="42"/>
    </row>
    <row r="54" spans="1:9" ht="12.95" customHeight="1">
      <c r="A54" s="3"/>
      <c r="B54" s="43"/>
      <c r="C54" s="20"/>
      <c r="D54" s="20"/>
      <c r="E54" s="20"/>
      <c r="F54" s="21"/>
      <c r="G54" s="21"/>
      <c r="H54" s="21"/>
      <c r="I54" s="44"/>
    </row>
    <row r="55" spans="1:9" ht="12.95" customHeight="1">
      <c r="A55" s="3"/>
      <c r="B55" s="45" t="s">
        <v>140</v>
      </c>
      <c r="C55" s="18"/>
      <c r="D55" s="18"/>
      <c r="E55" s="18"/>
      <c r="F55" s="19" t="s">
        <v>128</v>
      </c>
      <c r="G55" s="19" t="s">
        <v>128</v>
      </c>
      <c r="H55" s="19"/>
      <c r="I55" s="42"/>
    </row>
    <row r="56" spans="1:9" ht="12.95" customHeight="1">
      <c r="A56" s="3"/>
      <c r="B56" s="43"/>
      <c r="C56" s="20"/>
      <c r="D56" s="20"/>
      <c r="E56" s="20"/>
      <c r="F56" s="21"/>
      <c r="G56" s="21"/>
      <c r="H56" s="21"/>
      <c r="I56" s="44"/>
    </row>
    <row r="57" spans="1:9" ht="12.95" customHeight="1">
      <c r="A57" s="3"/>
      <c r="B57" s="45" t="s">
        <v>141</v>
      </c>
      <c r="C57" s="18"/>
      <c r="D57" s="18"/>
      <c r="E57" s="18"/>
      <c r="F57" s="19" t="s">
        <v>128</v>
      </c>
      <c r="G57" s="19" t="s">
        <v>128</v>
      </c>
      <c r="H57" s="19"/>
      <c r="I57" s="42"/>
    </row>
    <row r="58" spans="1:9" ht="12.95" customHeight="1">
      <c r="A58" s="3"/>
      <c r="B58" s="43"/>
      <c r="C58" s="20"/>
      <c r="D58" s="20"/>
      <c r="E58" s="20"/>
      <c r="F58" s="21"/>
      <c r="G58" s="21"/>
      <c r="H58" s="21"/>
      <c r="I58" s="44"/>
    </row>
    <row r="59" spans="1:9" ht="12.95" customHeight="1">
      <c r="A59" s="3"/>
      <c r="B59" s="45" t="s">
        <v>142</v>
      </c>
      <c r="C59" s="18"/>
      <c r="D59" s="18"/>
      <c r="E59" s="18"/>
      <c r="F59" s="19" t="s">
        <v>128</v>
      </c>
      <c r="G59" s="19" t="s">
        <v>128</v>
      </c>
      <c r="H59" s="19"/>
      <c r="I59" s="42"/>
    </row>
    <row r="60" spans="1:9" ht="12.95" customHeight="1">
      <c r="A60" s="3"/>
      <c r="B60" s="43"/>
      <c r="C60" s="20"/>
      <c r="D60" s="20"/>
      <c r="E60" s="20"/>
      <c r="F60" s="21"/>
      <c r="G60" s="21"/>
      <c r="H60" s="21"/>
      <c r="I60" s="44"/>
    </row>
    <row r="61" spans="1:9" ht="12.95" customHeight="1">
      <c r="A61" s="3"/>
      <c r="B61" s="45" t="s">
        <v>143</v>
      </c>
      <c r="C61" s="22"/>
      <c r="D61" s="22"/>
      <c r="E61" s="22"/>
      <c r="F61" s="23" t="s">
        <v>128</v>
      </c>
      <c r="G61" s="23" t="s">
        <v>128</v>
      </c>
      <c r="H61" s="23"/>
      <c r="I61" s="42"/>
    </row>
    <row r="62" spans="1:9" ht="12.95" customHeight="1">
      <c r="A62" s="3"/>
      <c r="B62" s="43"/>
      <c r="C62" s="20"/>
      <c r="D62" s="20"/>
      <c r="E62" s="20"/>
      <c r="F62" s="21"/>
      <c r="G62" s="21"/>
      <c r="H62" s="21"/>
      <c r="I62" s="44"/>
    </row>
    <row r="63" spans="1:9" ht="12.95" customHeight="1">
      <c r="A63" s="3"/>
      <c r="B63" s="45" t="s">
        <v>129</v>
      </c>
      <c r="C63" s="24"/>
      <c r="D63" s="24"/>
      <c r="E63" s="24"/>
      <c r="F63" s="25" t="s">
        <v>128</v>
      </c>
      <c r="G63" s="25" t="s">
        <v>128</v>
      </c>
      <c r="H63" s="25"/>
      <c r="I63" s="42"/>
    </row>
    <row r="64" spans="1:9" ht="12.95" customHeight="1">
      <c r="A64" s="3"/>
      <c r="B64" s="45" t="s">
        <v>144</v>
      </c>
      <c r="C64" s="18"/>
      <c r="D64" s="18"/>
      <c r="E64" s="18"/>
      <c r="F64" s="19" t="s">
        <v>128</v>
      </c>
      <c r="G64" s="19" t="s">
        <v>128</v>
      </c>
      <c r="H64" s="19"/>
      <c r="I64" s="42"/>
    </row>
    <row r="65" spans="1:9" ht="12.95" customHeight="1">
      <c r="A65" s="3"/>
      <c r="B65" s="43"/>
      <c r="C65" s="20"/>
      <c r="D65" s="20"/>
      <c r="E65" s="20"/>
      <c r="F65" s="21"/>
      <c r="G65" s="21"/>
      <c r="H65" s="21"/>
      <c r="I65" s="44"/>
    </row>
    <row r="66" spans="1:9" ht="12.95" customHeight="1">
      <c r="A66" s="3"/>
      <c r="B66" s="45" t="s">
        <v>145</v>
      </c>
      <c r="C66" s="18"/>
      <c r="D66" s="18"/>
      <c r="E66" s="18"/>
      <c r="F66" s="19" t="s">
        <v>128</v>
      </c>
      <c r="G66" s="19" t="s">
        <v>128</v>
      </c>
      <c r="H66" s="19"/>
      <c r="I66" s="42"/>
    </row>
    <row r="67" spans="1:9" ht="12.95" customHeight="1">
      <c r="A67" s="3"/>
      <c r="B67" s="43"/>
      <c r="C67" s="20"/>
      <c r="D67" s="20"/>
      <c r="E67" s="20"/>
      <c r="F67" s="21"/>
      <c r="G67" s="21"/>
      <c r="H67" s="21"/>
      <c r="I67" s="44"/>
    </row>
    <row r="68" spans="1:9" ht="12.95" customHeight="1">
      <c r="A68" s="3"/>
      <c r="B68" s="45" t="s">
        <v>146</v>
      </c>
      <c r="C68" s="18"/>
      <c r="D68" s="18"/>
      <c r="E68" s="18"/>
      <c r="F68" s="19" t="s">
        <v>128</v>
      </c>
      <c r="G68" s="19" t="s">
        <v>128</v>
      </c>
      <c r="H68" s="19"/>
      <c r="I68" s="42"/>
    </row>
    <row r="69" spans="1:9" ht="12.95" customHeight="1">
      <c r="A69" s="3"/>
      <c r="B69" s="43"/>
      <c r="C69" s="20"/>
      <c r="D69" s="20"/>
      <c r="E69" s="20"/>
      <c r="F69" s="21"/>
      <c r="G69" s="21"/>
      <c r="H69" s="21"/>
      <c r="I69" s="44"/>
    </row>
    <row r="70" spans="1:9" ht="12.95" customHeight="1">
      <c r="A70" s="3"/>
      <c r="B70" s="45" t="s">
        <v>147</v>
      </c>
      <c r="C70" s="18"/>
      <c r="D70" s="18"/>
      <c r="E70" s="18"/>
      <c r="F70" s="19" t="s">
        <v>128</v>
      </c>
      <c r="G70" s="19" t="s">
        <v>128</v>
      </c>
      <c r="H70" s="19"/>
      <c r="I70" s="42"/>
    </row>
    <row r="71" spans="1:9" ht="12.95" customHeight="1">
      <c r="A71" s="3"/>
      <c r="B71" s="43"/>
      <c r="C71" s="20"/>
      <c r="D71" s="20"/>
      <c r="E71" s="20"/>
      <c r="F71" s="21"/>
      <c r="G71" s="21"/>
      <c r="H71" s="21"/>
      <c r="I71" s="44"/>
    </row>
    <row r="72" spans="1:9" ht="12.95" customHeight="1">
      <c r="A72" s="3"/>
      <c r="B72" s="45" t="s">
        <v>148</v>
      </c>
      <c r="C72" s="18"/>
      <c r="D72" s="18"/>
      <c r="E72" s="18"/>
      <c r="F72" s="19" t="s">
        <v>128</v>
      </c>
      <c r="G72" s="19" t="s">
        <v>128</v>
      </c>
      <c r="H72" s="19"/>
      <c r="I72" s="42"/>
    </row>
    <row r="73" spans="1:9" ht="12.95" customHeight="1">
      <c r="A73" s="3"/>
      <c r="B73" s="43"/>
      <c r="C73" s="20"/>
      <c r="D73" s="20"/>
      <c r="E73" s="20"/>
      <c r="F73" s="21"/>
      <c r="G73" s="21"/>
      <c r="H73" s="21"/>
      <c r="I73" s="44"/>
    </row>
    <row r="74" spans="1:9" ht="12.95" customHeight="1">
      <c r="A74" s="3"/>
      <c r="B74" s="45" t="s">
        <v>129</v>
      </c>
      <c r="C74" s="22"/>
      <c r="D74" s="22"/>
      <c r="E74" s="22"/>
      <c r="F74" s="23" t="s">
        <v>128</v>
      </c>
      <c r="G74" s="23" t="s">
        <v>128</v>
      </c>
      <c r="H74" s="23"/>
      <c r="I74" s="42"/>
    </row>
    <row r="75" spans="1:9" ht="12.95" customHeight="1">
      <c r="A75" s="17"/>
      <c r="B75" s="45"/>
      <c r="C75" s="22"/>
      <c r="D75" s="22"/>
      <c r="E75" s="22"/>
      <c r="F75" s="23"/>
      <c r="G75" s="23"/>
      <c r="H75" s="23"/>
      <c r="I75" s="42"/>
    </row>
    <row r="76" spans="1:9" ht="12.95" customHeight="1">
      <c r="A76" s="3"/>
      <c r="B76" s="43" t="s">
        <v>130</v>
      </c>
      <c r="C76" s="26"/>
      <c r="D76" s="26"/>
      <c r="E76" s="26"/>
      <c r="F76" s="26"/>
      <c r="G76" s="26"/>
      <c r="H76" s="27"/>
      <c r="I76" s="44"/>
    </row>
    <row r="77" spans="1:9" ht="12.95" customHeight="1">
      <c r="A77" s="10" t="s">
        <v>131</v>
      </c>
      <c r="B77" s="46" t="s">
        <v>132</v>
      </c>
      <c r="C77" s="26"/>
      <c r="D77" s="26"/>
      <c r="E77" s="29"/>
      <c r="F77" s="30">
        <v>2946.45</v>
      </c>
      <c r="G77" s="31">
        <v>0.14530000000000001</v>
      </c>
      <c r="H77" s="56"/>
      <c r="I77" s="47"/>
    </row>
    <row r="78" spans="1:9" ht="12.95" customHeight="1">
      <c r="A78" s="3"/>
      <c r="B78" s="43" t="s">
        <v>126</v>
      </c>
      <c r="C78" s="26"/>
      <c r="D78" s="26"/>
      <c r="E78" s="26"/>
      <c r="F78" s="33">
        <v>2946.45</v>
      </c>
      <c r="G78" s="34">
        <v>0.14530000000000001</v>
      </c>
      <c r="H78" s="19"/>
      <c r="I78" s="42"/>
    </row>
    <row r="79" spans="1:9" ht="12.95" customHeight="1">
      <c r="A79" s="3"/>
      <c r="B79" s="45" t="s">
        <v>129</v>
      </c>
      <c r="C79" s="22"/>
      <c r="D79" s="18"/>
      <c r="E79" s="22"/>
      <c r="F79" s="33">
        <v>2946.45</v>
      </c>
      <c r="G79" s="34">
        <v>0.14530000000000001</v>
      </c>
      <c r="H79" s="19"/>
      <c r="I79" s="42"/>
    </row>
    <row r="80" spans="1:9" ht="12.95" customHeight="1">
      <c r="A80" s="3"/>
      <c r="B80" s="45" t="s">
        <v>149</v>
      </c>
      <c r="C80" s="35"/>
      <c r="D80" s="18"/>
      <c r="E80" s="22"/>
      <c r="F80" s="36">
        <v>223.05000000000382</v>
      </c>
      <c r="G80" s="34">
        <v>1.1000000000000093E-2</v>
      </c>
      <c r="H80" s="19"/>
      <c r="I80" s="42"/>
    </row>
    <row r="81" spans="1:9" ht="12.95" customHeight="1" thickBot="1">
      <c r="A81" s="3"/>
      <c r="B81" s="49" t="s">
        <v>150</v>
      </c>
      <c r="C81" s="50"/>
      <c r="D81" s="50"/>
      <c r="E81" s="50"/>
      <c r="F81" s="51">
        <v>20274.47</v>
      </c>
      <c r="G81" s="52">
        <v>1</v>
      </c>
      <c r="H81" s="53"/>
      <c r="I81" s="54"/>
    </row>
    <row r="82" spans="1:9" ht="12.95" customHeight="1">
      <c r="A82" s="3"/>
      <c r="B82" s="118"/>
      <c r="C82" s="118"/>
      <c r="D82" s="118"/>
      <c r="E82" s="118"/>
      <c r="F82" s="118"/>
      <c r="G82" s="118"/>
      <c r="H82" s="118"/>
      <c r="I82" s="118"/>
    </row>
    <row r="83" spans="1:9" ht="12.95" customHeight="1">
      <c r="A83" s="3"/>
      <c r="B83" s="118"/>
      <c r="C83" s="118"/>
      <c r="D83" s="118"/>
      <c r="E83" s="118"/>
      <c r="F83" s="118"/>
      <c r="G83" s="118"/>
      <c r="H83" s="118"/>
      <c r="I83" s="118"/>
    </row>
    <row r="84" spans="1:9" ht="12.95" customHeight="1" thickBot="1">
      <c r="A84" s="17"/>
      <c r="B84" s="58" t="s">
        <v>661</v>
      </c>
      <c r="C84" s="59"/>
      <c r="D84" s="60"/>
      <c r="E84" s="60"/>
      <c r="F84" s="60"/>
      <c r="G84" s="60"/>
      <c r="H84" s="60"/>
      <c r="I84" s="60"/>
    </row>
    <row r="85" spans="1:9" ht="28.5" customHeight="1">
      <c r="A85" s="17"/>
      <c r="B85" s="62" t="s">
        <v>36</v>
      </c>
      <c r="C85" s="63" t="s">
        <v>662</v>
      </c>
      <c r="D85" s="63" t="s">
        <v>663</v>
      </c>
      <c r="E85" s="64" t="s">
        <v>39</v>
      </c>
      <c r="F85" s="65" t="s">
        <v>664</v>
      </c>
      <c r="G85" s="66" t="s">
        <v>41</v>
      </c>
      <c r="H85" s="66" t="s">
        <v>42</v>
      </c>
      <c r="I85" s="67" t="s">
        <v>43</v>
      </c>
    </row>
    <row r="86" spans="1:9" ht="12.95" customHeight="1">
      <c r="A86" s="17"/>
      <c r="B86" s="90" t="s">
        <v>665</v>
      </c>
      <c r="C86" s="92"/>
      <c r="D86" s="69"/>
      <c r="E86" s="70"/>
      <c r="F86" s="71"/>
      <c r="G86" s="70"/>
      <c r="H86" s="70"/>
      <c r="I86" s="72"/>
    </row>
    <row r="87" spans="1:9" ht="12.95" customHeight="1">
      <c r="A87" s="10" t="s">
        <v>315</v>
      </c>
      <c r="B87" s="11" t="s">
        <v>667</v>
      </c>
      <c r="C87" s="74" t="str">
        <f t="shared" ref="C87" si="0">IF(E87&lt;0,"Short","Long")</f>
        <v>Long</v>
      </c>
      <c r="D87" s="9" t="s">
        <v>316</v>
      </c>
      <c r="E87" s="12">
        <v>5750</v>
      </c>
      <c r="F87" s="13">
        <v>1001.07</v>
      </c>
      <c r="G87" s="14">
        <v>4.9399999999999999E-2</v>
      </c>
      <c r="H87" s="15"/>
      <c r="I87" s="16"/>
    </row>
    <row r="88" spans="1:9" ht="12.95" customHeight="1">
      <c r="A88" s="17"/>
      <c r="B88" s="90"/>
      <c r="C88" s="93"/>
      <c r="D88" s="81"/>
      <c r="E88" s="81"/>
      <c r="F88" s="81"/>
      <c r="G88" s="81"/>
      <c r="H88" s="81"/>
      <c r="I88" s="82"/>
    </row>
    <row r="89" spans="1:9" ht="12.95" customHeight="1" thickBot="1">
      <c r="A89" s="17"/>
      <c r="B89" s="91" t="s">
        <v>666</v>
      </c>
      <c r="C89" s="83"/>
      <c r="D89" s="83"/>
      <c r="E89" s="84"/>
      <c r="F89" s="85">
        <f>SUM(F87:F88)</f>
        <v>1001.07</v>
      </c>
      <c r="G89" s="86">
        <f>SUM(G87:G88)</f>
        <v>4.9399999999999999E-2</v>
      </c>
      <c r="H89" s="87"/>
      <c r="I89" s="88"/>
    </row>
    <row r="90" spans="1:9" ht="12.95" customHeight="1">
      <c r="A90" s="17"/>
      <c r="B90" s="57"/>
      <c r="C90" s="57"/>
      <c r="D90" s="57"/>
      <c r="E90" s="57"/>
      <c r="F90" s="57"/>
      <c r="G90" s="57"/>
      <c r="H90" s="57"/>
      <c r="I90" s="57"/>
    </row>
    <row r="91" spans="1:9" ht="12.95" customHeight="1">
      <c r="A91" s="17"/>
      <c r="B91" s="57"/>
      <c r="C91" s="57"/>
      <c r="D91" s="57"/>
      <c r="E91" s="57"/>
      <c r="F91" s="57"/>
      <c r="G91" s="57"/>
      <c r="H91" s="57"/>
      <c r="I91" s="57"/>
    </row>
    <row r="92" spans="1:9" ht="12.95" customHeight="1">
      <c r="A92" s="3"/>
      <c r="B92" s="118" t="s">
        <v>151</v>
      </c>
      <c r="C92" s="118"/>
      <c r="D92" s="118"/>
      <c r="E92" s="118"/>
      <c r="F92" s="118"/>
      <c r="G92" s="118"/>
      <c r="H92" s="118"/>
      <c r="I92" s="118"/>
    </row>
    <row r="93" spans="1:9" ht="12.95" customHeight="1">
      <c r="A93" s="3"/>
      <c r="B93" s="117" t="s">
        <v>152</v>
      </c>
      <c r="C93" s="117"/>
      <c r="D93" s="117"/>
      <c r="E93" s="117"/>
      <c r="F93" s="117"/>
      <c r="G93" s="117"/>
      <c r="H93" s="117"/>
      <c r="I93" s="117"/>
    </row>
    <row r="94" spans="1:9" ht="12.95" customHeight="1">
      <c r="A94" s="3"/>
      <c r="B94" s="117" t="s">
        <v>153</v>
      </c>
      <c r="C94" s="117"/>
      <c r="D94" s="117"/>
      <c r="E94" s="117"/>
      <c r="F94" s="117"/>
      <c r="G94" s="117"/>
      <c r="H94" s="117"/>
      <c r="I94" s="117"/>
    </row>
    <row r="95" spans="1:9" ht="12.95" customHeight="1">
      <c r="A95" s="3"/>
      <c r="B95" s="117" t="s">
        <v>154</v>
      </c>
      <c r="C95" s="117"/>
      <c r="D95" s="117"/>
      <c r="E95" s="117"/>
      <c r="F95" s="117"/>
      <c r="G95" s="117"/>
      <c r="H95" s="117"/>
      <c r="I95" s="117"/>
    </row>
    <row r="96" spans="1:9" ht="12.95" customHeight="1">
      <c r="A96" s="3"/>
      <c r="B96" s="117" t="s">
        <v>155</v>
      </c>
      <c r="C96" s="117"/>
      <c r="D96" s="117"/>
      <c r="E96" s="117"/>
      <c r="F96" s="117"/>
      <c r="G96" s="117"/>
      <c r="H96" s="117"/>
      <c r="I96" s="117"/>
    </row>
    <row r="97" spans="1:9" ht="12.95" customHeight="1">
      <c r="A97" s="3"/>
      <c r="B97" s="117" t="s">
        <v>156</v>
      </c>
      <c r="C97" s="117"/>
      <c r="D97" s="117"/>
      <c r="E97" s="117"/>
      <c r="F97" s="117"/>
      <c r="G97" s="117"/>
      <c r="H97" s="117"/>
      <c r="I97" s="117"/>
    </row>
    <row r="99" spans="1:9">
      <c r="B99" s="95" t="s">
        <v>715</v>
      </c>
    </row>
    <row r="108" spans="1:9">
      <c r="B108" t="s">
        <v>716</v>
      </c>
    </row>
    <row r="109" spans="1:9" ht="15.75">
      <c r="B109" s="96" t="s">
        <v>724</v>
      </c>
    </row>
  </sheetData>
  <mergeCells count="8">
    <mergeCell ref="B95:I95"/>
    <mergeCell ref="B96:I96"/>
    <mergeCell ref="B97:I97"/>
    <mergeCell ref="B82:I82"/>
    <mergeCell ref="B83:I83"/>
    <mergeCell ref="B92:I92"/>
    <mergeCell ref="B93:I93"/>
    <mergeCell ref="B94:I94"/>
  </mergeCells>
  <pageMargins left="0" right="0" top="0" bottom="0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7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7" t="s">
        <v>36</v>
      </c>
      <c r="C6" s="38" t="s">
        <v>37</v>
      </c>
      <c r="D6" s="39" t="s">
        <v>295</v>
      </c>
      <c r="E6" s="39" t="s">
        <v>39</v>
      </c>
      <c r="F6" s="39" t="s">
        <v>40</v>
      </c>
      <c r="G6" s="39" t="s">
        <v>41</v>
      </c>
      <c r="H6" s="39" t="s">
        <v>42</v>
      </c>
      <c r="I6" s="40" t="s">
        <v>43</v>
      </c>
    </row>
    <row r="7" spans="1:9" ht="12.95" customHeight="1">
      <c r="A7" s="3"/>
      <c r="B7" s="41" t="s">
        <v>44</v>
      </c>
      <c r="C7" s="18"/>
      <c r="D7" s="18"/>
      <c r="E7" s="18"/>
      <c r="F7" s="19" t="s">
        <v>128</v>
      </c>
      <c r="G7" s="19" t="s">
        <v>128</v>
      </c>
      <c r="H7" s="19"/>
      <c r="I7" s="42"/>
    </row>
    <row r="8" spans="1:9" ht="12.95" customHeight="1">
      <c r="A8" s="3"/>
      <c r="B8" s="43"/>
      <c r="C8" s="20"/>
      <c r="D8" s="20"/>
      <c r="E8" s="20"/>
      <c r="F8" s="21"/>
      <c r="G8" s="21"/>
      <c r="H8" s="21"/>
      <c r="I8" s="44"/>
    </row>
    <row r="9" spans="1:9" ht="12.95" customHeight="1">
      <c r="A9" s="3"/>
      <c r="B9" s="45" t="s">
        <v>309</v>
      </c>
      <c r="C9" s="18"/>
      <c r="D9" s="18"/>
      <c r="E9" s="18"/>
      <c r="F9" s="19" t="s">
        <v>128</v>
      </c>
      <c r="G9" s="19" t="s">
        <v>128</v>
      </c>
      <c r="H9" s="19"/>
      <c r="I9" s="42"/>
    </row>
    <row r="10" spans="1:9" ht="12.95" customHeight="1">
      <c r="A10" s="3"/>
      <c r="B10" s="43"/>
      <c r="C10" s="20"/>
      <c r="D10" s="20"/>
      <c r="E10" s="20"/>
      <c r="F10" s="21"/>
      <c r="G10" s="21"/>
      <c r="H10" s="21"/>
      <c r="I10" s="44"/>
    </row>
    <row r="11" spans="1:9" ht="12.95" customHeight="1">
      <c r="A11" s="3"/>
      <c r="B11" s="45" t="s">
        <v>310</v>
      </c>
      <c r="C11" s="22"/>
      <c r="D11" s="22"/>
      <c r="E11" s="22"/>
      <c r="F11" s="23" t="s">
        <v>128</v>
      </c>
      <c r="G11" s="23" t="s">
        <v>128</v>
      </c>
      <c r="H11" s="23"/>
      <c r="I11" s="42"/>
    </row>
    <row r="12" spans="1:9" ht="12.95" customHeight="1">
      <c r="A12" s="3"/>
      <c r="B12" s="43"/>
      <c r="C12" s="20"/>
      <c r="D12" s="20"/>
      <c r="E12" s="20"/>
      <c r="F12" s="21"/>
      <c r="G12" s="21"/>
      <c r="H12" s="21"/>
      <c r="I12" s="44"/>
    </row>
    <row r="13" spans="1:9" ht="12.95" customHeight="1">
      <c r="A13" s="3"/>
      <c r="B13" s="45" t="s">
        <v>311</v>
      </c>
      <c r="C13" s="24"/>
      <c r="D13" s="24"/>
      <c r="E13" s="24"/>
      <c r="F13" s="25" t="s">
        <v>128</v>
      </c>
      <c r="G13" s="25" t="s">
        <v>128</v>
      </c>
      <c r="H13" s="25"/>
      <c r="I13" s="42"/>
    </row>
    <row r="14" spans="1:9" ht="12.95" customHeight="1">
      <c r="A14" s="3"/>
      <c r="B14" s="43"/>
      <c r="C14" s="20"/>
      <c r="D14" s="20"/>
      <c r="E14" s="20"/>
      <c r="F14" s="21"/>
      <c r="G14" s="21"/>
      <c r="H14" s="21"/>
      <c r="I14" s="44"/>
    </row>
    <row r="15" spans="1:9" ht="12.95" customHeight="1">
      <c r="A15" s="3"/>
      <c r="B15" s="45" t="s">
        <v>129</v>
      </c>
      <c r="C15" s="24"/>
      <c r="D15" s="24"/>
      <c r="E15" s="24"/>
      <c r="F15" s="25" t="s">
        <v>128</v>
      </c>
      <c r="G15" s="25" t="s">
        <v>128</v>
      </c>
      <c r="H15" s="25"/>
      <c r="I15" s="42"/>
    </row>
    <row r="16" spans="1:9" ht="12.95" customHeight="1">
      <c r="A16" s="3"/>
      <c r="B16" s="41" t="s">
        <v>133</v>
      </c>
      <c r="C16" s="20"/>
      <c r="D16" s="20"/>
      <c r="E16" s="20"/>
      <c r="F16" s="21"/>
      <c r="G16" s="21"/>
      <c r="H16" s="21"/>
      <c r="I16" s="44"/>
    </row>
    <row r="17" spans="1:9" ht="12.95" customHeight="1">
      <c r="A17" s="3"/>
      <c r="B17" s="43"/>
      <c r="C17" s="20"/>
      <c r="D17" s="20"/>
      <c r="E17" s="20"/>
      <c r="F17" s="21"/>
      <c r="G17" s="21"/>
      <c r="H17" s="21"/>
      <c r="I17" s="44"/>
    </row>
    <row r="18" spans="1:9" ht="12.95" customHeight="1">
      <c r="A18" s="3"/>
      <c r="B18" s="45" t="s">
        <v>134</v>
      </c>
      <c r="C18" s="18"/>
      <c r="D18" s="18"/>
      <c r="E18" s="18"/>
      <c r="F18" s="19" t="s">
        <v>128</v>
      </c>
      <c r="G18" s="19" t="s">
        <v>128</v>
      </c>
      <c r="H18" s="19"/>
      <c r="I18" s="42"/>
    </row>
    <row r="19" spans="1:9" ht="12.95" customHeight="1">
      <c r="A19" s="3"/>
      <c r="B19" s="43"/>
      <c r="C19" s="20"/>
      <c r="D19" s="20"/>
      <c r="E19" s="20"/>
      <c r="F19" s="21"/>
      <c r="G19" s="21"/>
      <c r="H19" s="21"/>
      <c r="I19" s="44"/>
    </row>
    <row r="20" spans="1:9" ht="12.95" customHeight="1">
      <c r="A20" s="3"/>
      <c r="B20" s="45" t="s">
        <v>135</v>
      </c>
      <c r="C20" s="18"/>
      <c r="D20" s="18"/>
      <c r="E20" s="18"/>
      <c r="F20" s="19" t="s">
        <v>128</v>
      </c>
      <c r="G20" s="19" t="s">
        <v>128</v>
      </c>
      <c r="H20" s="19"/>
      <c r="I20" s="42"/>
    </row>
    <row r="21" spans="1:9" ht="12.95" customHeight="1">
      <c r="A21" s="3"/>
      <c r="B21" s="43"/>
      <c r="C21" s="20"/>
      <c r="D21" s="20"/>
      <c r="E21" s="20"/>
      <c r="F21" s="21"/>
      <c r="G21" s="21"/>
      <c r="H21" s="21"/>
      <c r="I21" s="44"/>
    </row>
    <row r="22" spans="1:9" ht="12.95" customHeight="1">
      <c r="A22" s="3"/>
      <c r="B22" s="45" t="s">
        <v>136</v>
      </c>
      <c r="C22" s="18"/>
      <c r="D22" s="18"/>
      <c r="E22" s="18"/>
      <c r="F22" s="19" t="s">
        <v>128</v>
      </c>
      <c r="G22" s="19" t="s">
        <v>128</v>
      </c>
      <c r="H22" s="19"/>
      <c r="I22" s="42"/>
    </row>
    <row r="23" spans="1:9" ht="12.95" customHeight="1">
      <c r="A23" s="3"/>
      <c r="B23" s="43"/>
      <c r="C23" s="20"/>
      <c r="D23" s="20"/>
      <c r="E23" s="20"/>
      <c r="F23" s="21"/>
      <c r="G23" s="21"/>
      <c r="H23" s="21"/>
      <c r="I23" s="44"/>
    </row>
    <row r="24" spans="1:9" ht="12.95" customHeight="1">
      <c r="A24" s="3"/>
      <c r="B24" s="45" t="s">
        <v>137</v>
      </c>
      <c r="C24" s="18"/>
      <c r="D24" s="18"/>
      <c r="E24" s="18"/>
      <c r="F24" s="19" t="s">
        <v>128</v>
      </c>
      <c r="G24" s="19" t="s">
        <v>128</v>
      </c>
      <c r="H24" s="19"/>
      <c r="I24" s="42"/>
    </row>
    <row r="25" spans="1:9" ht="12.95" customHeight="1">
      <c r="A25" s="3"/>
      <c r="B25" s="43"/>
      <c r="C25" s="20"/>
      <c r="D25" s="20"/>
      <c r="E25" s="20"/>
      <c r="F25" s="21"/>
      <c r="G25" s="21"/>
      <c r="H25" s="21"/>
      <c r="I25" s="44"/>
    </row>
    <row r="26" spans="1:9" ht="12.95" customHeight="1">
      <c r="A26" s="3"/>
      <c r="B26" s="45" t="s">
        <v>138</v>
      </c>
      <c r="C26" s="22"/>
      <c r="D26" s="22"/>
      <c r="E26" s="22"/>
      <c r="F26" s="23" t="s">
        <v>128</v>
      </c>
      <c r="G26" s="23" t="s">
        <v>128</v>
      </c>
      <c r="H26" s="23"/>
      <c r="I26" s="42"/>
    </row>
    <row r="27" spans="1:9" ht="12.95" customHeight="1">
      <c r="A27" s="3"/>
      <c r="B27" s="43"/>
      <c r="C27" s="20"/>
      <c r="D27" s="20"/>
      <c r="E27" s="20"/>
      <c r="F27" s="21"/>
      <c r="G27" s="21"/>
      <c r="H27" s="21"/>
      <c r="I27" s="44"/>
    </row>
    <row r="28" spans="1:9" ht="12.95" customHeight="1">
      <c r="A28" s="3"/>
      <c r="B28" s="45" t="s">
        <v>129</v>
      </c>
      <c r="C28" s="24"/>
      <c r="D28" s="24"/>
      <c r="E28" s="24"/>
      <c r="F28" s="25" t="s">
        <v>128</v>
      </c>
      <c r="G28" s="25" t="s">
        <v>128</v>
      </c>
      <c r="H28" s="25"/>
      <c r="I28" s="42"/>
    </row>
    <row r="29" spans="1:9" ht="12.95" customHeight="1">
      <c r="A29" s="17"/>
      <c r="B29" s="43" t="s">
        <v>139</v>
      </c>
      <c r="C29" s="26"/>
      <c r="D29" s="26"/>
      <c r="E29" s="26"/>
      <c r="F29" s="26"/>
      <c r="G29" s="26"/>
      <c r="H29" s="27"/>
      <c r="I29" s="44"/>
    </row>
    <row r="30" spans="1:9" ht="12.95" customHeight="1">
      <c r="A30" s="3"/>
      <c r="B30" s="43" t="s">
        <v>288</v>
      </c>
      <c r="C30" s="26"/>
      <c r="D30" s="26"/>
      <c r="E30" s="26"/>
      <c r="F30" s="28"/>
      <c r="G30" s="27"/>
      <c r="H30" s="27"/>
      <c r="I30" s="44"/>
    </row>
    <row r="31" spans="1:9" ht="12.95" customHeight="1">
      <c r="A31" s="10" t="s">
        <v>336</v>
      </c>
      <c r="B31" s="46" t="s">
        <v>337</v>
      </c>
      <c r="C31" s="26" t="s">
        <v>338</v>
      </c>
      <c r="D31" s="26" t="s">
        <v>339</v>
      </c>
      <c r="E31" s="29">
        <v>350000</v>
      </c>
      <c r="F31" s="30">
        <v>348.46</v>
      </c>
      <c r="G31" s="31">
        <v>9.9500000000000005E-2</v>
      </c>
      <c r="H31" s="32">
        <v>3.6748999999999997E-2</v>
      </c>
      <c r="I31" s="47" t="s">
        <v>274</v>
      </c>
    </row>
    <row r="32" spans="1:9" ht="12.95" customHeight="1">
      <c r="A32" s="3"/>
      <c r="B32" s="43" t="s">
        <v>126</v>
      </c>
      <c r="C32" s="26"/>
      <c r="D32" s="26"/>
      <c r="E32" s="26"/>
      <c r="F32" s="33">
        <v>348.46</v>
      </c>
      <c r="G32" s="34">
        <v>9.9500000000000005E-2</v>
      </c>
      <c r="H32" s="19"/>
      <c r="I32" s="42"/>
    </row>
    <row r="33" spans="1:9" ht="12.95" customHeight="1">
      <c r="A33" s="3"/>
      <c r="B33" s="45" t="s">
        <v>340</v>
      </c>
      <c r="C33" s="18"/>
      <c r="D33" s="18"/>
      <c r="E33" s="18"/>
      <c r="F33" s="19" t="s">
        <v>128</v>
      </c>
      <c r="G33" s="19" t="s">
        <v>128</v>
      </c>
      <c r="H33" s="19"/>
      <c r="I33" s="42"/>
    </row>
    <row r="34" spans="1:9" ht="12.95" customHeight="1">
      <c r="A34" s="3"/>
      <c r="B34" s="43" t="s">
        <v>126</v>
      </c>
      <c r="C34" s="20"/>
      <c r="D34" s="20"/>
      <c r="E34" s="20"/>
      <c r="F34" s="21"/>
      <c r="G34" s="21"/>
      <c r="H34" s="21"/>
      <c r="I34" s="44"/>
    </row>
    <row r="35" spans="1:9" ht="12.95" customHeight="1">
      <c r="A35" s="3"/>
      <c r="B35" s="45" t="s">
        <v>289</v>
      </c>
      <c r="C35" s="18"/>
      <c r="D35" s="18"/>
      <c r="E35" s="18"/>
      <c r="F35" s="19" t="s">
        <v>128</v>
      </c>
      <c r="G35" s="19" t="s">
        <v>128</v>
      </c>
      <c r="H35" s="19"/>
      <c r="I35" s="42"/>
    </row>
    <row r="36" spans="1:9" ht="12.95" customHeight="1">
      <c r="A36" s="3"/>
      <c r="B36" s="43" t="s">
        <v>126</v>
      </c>
      <c r="C36" s="20"/>
      <c r="D36" s="20"/>
      <c r="E36" s="20"/>
      <c r="F36" s="21"/>
      <c r="G36" s="21"/>
      <c r="H36" s="21"/>
      <c r="I36" s="44"/>
    </row>
    <row r="37" spans="1:9" ht="12.95" customHeight="1">
      <c r="A37" s="3"/>
      <c r="B37" s="45" t="s">
        <v>290</v>
      </c>
      <c r="C37" s="22"/>
      <c r="D37" s="22"/>
      <c r="E37" s="22"/>
      <c r="F37" s="23" t="s">
        <v>128</v>
      </c>
      <c r="G37" s="23" t="s">
        <v>128</v>
      </c>
      <c r="H37" s="23"/>
      <c r="I37" s="42"/>
    </row>
    <row r="38" spans="1:9" ht="12.95" customHeight="1">
      <c r="A38" s="3"/>
      <c r="B38" s="43" t="s">
        <v>126</v>
      </c>
      <c r="C38" s="20"/>
      <c r="D38" s="20"/>
      <c r="E38" s="20"/>
      <c r="F38" s="21"/>
      <c r="G38" s="21"/>
      <c r="H38" s="21"/>
      <c r="I38" s="44"/>
    </row>
    <row r="39" spans="1:9" ht="12.95" customHeight="1">
      <c r="A39" s="3"/>
      <c r="B39" s="45" t="s">
        <v>129</v>
      </c>
      <c r="C39" s="22"/>
      <c r="D39" s="18"/>
      <c r="E39" s="22"/>
      <c r="F39" s="33">
        <v>348.46</v>
      </c>
      <c r="G39" s="34">
        <v>9.9500000000000005E-2</v>
      </c>
      <c r="H39" s="19"/>
      <c r="I39" s="42"/>
    </row>
    <row r="40" spans="1:9" ht="12.95" customHeight="1">
      <c r="A40" s="3"/>
      <c r="B40" s="45" t="s">
        <v>144</v>
      </c>
      <c r="C40" s="18"/>
      <c r="D40" s="18"/>
      <c r="E40" s="18"/>
      <c r="F40" s="19" t="s">
        <v>128</v>
      </c>
      <c r="G40" s="19" t="s">
        <v>128</v>
      </c>
      <c r="H40" s="19"/>
      <c r="I40" s="42"/>
    </row>
    <row r="41" spans="1:9" ht="12.95" customHeight="1">
      <c r="A41" s="3"/>
      <c r="B41" s="43"/>
      <c r="C41" s="20"/>
      <c r="D41" s="20"/>
      <c r="E41" s="20"/>
      <c r="F41" s="21"/>
      <c r="G41" s="21"/>
      <c r="H41" s="21"/>
      <c r="I41" s="44"/>
    </row>
    <row r="42" spans="1:9" ht="12.95" customHeight="1">
      <c r="A42" s="3"/>
      <c r="B42" s="45" t="s">
        <v>145</v>
      </c>
      <c r="C42" s="18"/>
      <c r="D42" s="18"/>
      <c r="E42" s="18"/>
      <c r="F42" s="19" t="s">
        <v>128</v>
      </c>
      <c r="G42" s="19" t="s">
        <v>128</v>
      </c>
      <c r="H42" s="19"/>
      <c r="I42" s="42"/>
    </row>
    <row r="43" spans="1:9" ht="12.95" customHeight="1">
      <c r="A43" s="3"/>
      <c r="B43" s="43"/>
      <c r="C43" s="20"/>
      <c r="D43" s="20"/>
      <c r="E43" s="20"/>
      <c r="F43" s="21"/>
      <c r="G43" s="21"/>
      <c r="H43" s="21"/>
      <c r="I43" s="44"/>
    </row>
    <row r="44" spans="1:9" ht="12.95" customHeight="1">
      <c r="A44" s="3"/>
      <c r="B44" s="45" t="s">
        <v>146</v>
      </c>
      <c r="C44" s="18"/>
      <c r="D44" s="18"/>
      <c r="E44" s="18"/>
      <c r="F44" s="19" t="s">
        <v>128</v>
      </c>
      <c r="G44" s="19" t="s">
        <v>128</v>
      </c>
      <c r="H44" s="19"/>
      <c r="I44" s="42"/>
    </row>
    <row r="45" spans="1:9" ht="12.95" customHeight="1">
      <c r="A45" s="3"/>
      <c r="B45" s="43"/>
      <c r="C45" s="20"/>
      <c r="D45" s="20"/>
      <c r="E45" s="20"/>
      <c r="F45" s="21"/>
      <c r="G45" s="21"/>
      <c r="H45" s="21"/>
      <c r="I45" s="44"/>
    </row>
    <row r="46" spans="1:9" ht="12.95" customHeight="1">
      <c r="A46" s="3"/>
      <c r="B46" s="45" t="s">
        <v>147</v>
      </c>
      <c r="C46" s="18"/>
      <c r="D46" s="18"/>
      <c r="E46" s="18"/>
      <c r="F46" s="19" t="s">
        <v>128</v>
      </c>
      <c r="G46" s="19" t="s">
        <v>128</v>
      </c>
      <c r="H46" s="19"/>
      <c r="I46" s="42"/>
    </row>
    <row r="47" spans="1:9" ht="12.95" customHeight="1">
      <c r="A47" s="3"/>
      <c r="B47" s="43"/>
      <c r="C47" s="20"/>
      <c r="D47" s="20"/>
      <c r="E47" s="20"/>
      <c r="F47" s="21"/>
      <c r="G47" s="21"/>
      <c r="H47" s="21"/>
      <c r="I47" s="44"/>
    </row>
    <row r="48" spans="1:9" ht="12.95" customHeight="1">
      <c r="A48" s="3"/>
      <c r="B48" s="45" t="s">
        <v>148</v>
      </c>
      <c r="C48" s="18"/>
      <c r="D48" s="18"/>
      <c r="E48" s="18"/>
      <c r="F48" s="19" t="s">
        <v>128</v>
      </c>
      <c r="G48" s="19" t="s">
        <v>128</v>
      </c>
      <c r="H48" s="19"/>
      <c r="I48" s="42"/>
    </row>
    <row r="49" spans="1:9" ht="12.95" customHeight="1">
      <c r="A49" s="3"/>
      <c r="B49" s="43"/>
      <c r="C49" s="20"/>
      <c r="D49" s="20"/>
      <c r="E49" s="20"/>
      <c r="F49" s="21"/>
      <c r="G49" s="21"/>
      <c r="H49" s="21"/>
      <c r="I49" s="44"/>
    </row>
    <row r="50" spans="1:9" ht="12.95" customHeight="1">
      <c r="A50" s="3"/>
      <c r="B50" s="45" t="s">
        <v>129</v>
      </c>
      <c r="C50" s="22"/>
      <c r="D50" s="22"/>
      <c r="E50" s="22"/>
      <c r="F50" s="23" t="s">
        <v>128</v>
      </c>
      <c r="G50" s="23" t="s">
        <v>128</v>
      </c>
      <c r="H50" s="23"/>
      <c r="I50" s="42"/>
    </row>
    <row r="51" spans="1:9" ht="12.95" customHeight="1">
      <c r="A51" s="17"/>
      <c r="B51" s="45"/>
      <c r="C51" s="22"/>
      <c r="D51" s="22"/>
      <c r="E51" s="22"/>
      <c r="F51" s="23"/>
      <c r="G51" s="23"/>
      <c r="H51" s="23"/>
      <c r="I51" s="42"/>
    </row>
    <row r="52" spans="1:9" ht="12.95" customHeight="1">
      <c r="A52" s="3"/>
      <c r="B52" s="43" t="s">
        <v>130</v>
      </c>
      <c r="C52" s="26"/>
      <c r="D52" s="26"/>
      <c r="E52" s="26"/>
      <c r="F52" s="26"/>
      <c r="G52" s="26"/>
      <c r="H52" s="27"/>
      <c r="I52" s="44"/>
    </row>
    <row r="53" spans="1:9" ht="12.95" customHeight="1">
      <c r="A53" s="10" t="s">
        <v>131</v>
      </c>
      <c r="B53" s="46" t="s">
        <v>132</v>
      </c>
      <c r="C53" s="26"/>
      <c r="D53" s="26"/>
      <c r="E53" s="29"/>
      <c r="F53" s="30">
        <v>3136.41</v>
      </c>
      <c r="G53" s="31">
        <v>0.89529999999999998</v>
      </c>
      <c r="H53" s="32"/>
      <c r="I53" s="47"/>
    </row>
    <row r="54" spans="1:9" ht="12.95" customHeight="1">
      <c r="A54" s="3"/>
      <c r="B54" s="43" t="s">
        <v>126</v>
      </c>
      <c r="C54" s="26"/>
      <c r="D54" s="26"/>
      <c r="E54" s="26"/>
      <c r="F54" s="33">
        <v>3136.41</v>
      </c>
      <c r="G54" s="34">
        <v>0.89529999999999998</v>
      </c>
      <c r="H54" s="19"/>
      <c r="I54" s="42"/>
    </row>
    <row r="55" spans="1:9" ht="12.95" customHeight="1">
      <c r="A55" s="3"/>
      <c r="B55" s="45" t="s">
        <v>129</v>
      </c>
      <c r="C55" s="22"/>
      <c r="D55" s="18"/>
      <c r="E55" s="22"/>
      <c r="F55" s="33">
        <v>3136.41</v>
      </c>
      <c r="G55" s="34">
        <v>0.89529999999999998</v>
      </c>
      <c r="H55" s="19"/>
      <c r="I55" s="42"/>
    </row>
    <row r="56" spans="1:9" ht="12.95" customHeight="1">
      <c r="A56" s="3"/>
      <c r="B56" s="45" t="s">
        <v>149</v>
      </c>
      <c r="C56" s="35"/>
      <c r="D56" s="18"/>
      <c r="E56" s="22"/>
      <c r="F56" s="36">
        <v>18.3</v>
      </c>
      <c r="G56" s="34">
        <v>5.1999999999999998E-3</v>
      </c>
      <c r="H56" s="19"/>
      <c r="I56" s="42"/>
    </row>
    <row r="57" spans="1:9" ht="12.95" customHeight="1" thickBot="1">
      <c r="A57" s="3"/>
      <c r="B57" s="49" t="s">
        <v>150</v>
      </c>
      <c r="C57" s="50"/>
      <c r="D57" s="50"/>
      <c r="E57" s="50"/>
      <c r="F57" s="51">
        <v>3503.17</v>
      </c>
      <c r="G57" s="52">
        <v>1</v>
      </c>
      <c r="H57" s="53"/>
      <c r="I57" s="54"/>
    </row>
    <row r="58" spans="1:9" ht="12.95" customHeight="1">
      <c r="A58" s="3"/>
      <c r="B58" s="118"/>
      <c r="C58" s="118"/>
      <c r="D58" s="118"/>
      <c r="E58" s="118"/>
      <c r="F58" s="118"/>
      <c r="G58" s="118"/>
      <c r="H58" s="118"/>
      <c r="I58" s="118"/>
    </row>
    <row r="59" spans="1:9" ht="12.95" customHeight="1">
      <c r="A59" s="3"/>
      <c r="B59" s="118"/>
      <c r="C59" s="118"/>
      <c r="D59" s="118"/>
      <c r="E59" s="118"/>
      <c r="F59" s="118"/>
      <c r="G59" s="118"/>
      <c r="H59" s="118"/>
      <c r="I59" s="118"/>
    </row>
    <row r="60" spans="1:9" ht="12.95" customHeight="1">
      <c r="A60" s="3"/>
      <c r="B60" s="118" t="s">
        <v>151</v>
      </c>
      <c r="C60" s="118"/>
      <c r="D60" s="118"/>
      <c r="E60" s="118"/>
      <c r="F60" s="118"/>
      <c r="G60" s="118"/>
      <c r="H60" s="118"/>
      <c r="I60" s="118"/>
    </row>
    <row r="61" spans="1:9" ht="12.95" customHeight="1">
      <c r="A61" s="3"/>
      <c r="B61" s="117" t="s">
        <v>152</v>
      </c>
      <c r="C61" s="117"/>
      <c r="D61" s="117"/>
      <c r="E61" s="117"/>
      <c r="F61" s="117"/>
      <c r="G61" s="117"/>
      <c r="H61" s="117"/>
      <c r="I61" s="117"/>
    </row>
    <row r="62" spans="1:9" ht="12.95" customHeight="1">
      <c r="A62" s="3"/>
      <c r="B62" s="117" t="s">
        <v>153</v>
      </c>
      <c r="C62" s="117"/>
      <c r="D62" s="117"/>
      <c r="E62" s="117"/>
      <c r="F62" s="117"/>
      <c r="G62" s="117"/>
      <c r="H62" s="117"/>
      <c r="I62" s="117"/>
    </row>
    <row r="63" spans="1:9" ht="12.95" customHeight="1">
      <c r="A63" s="3"/>
      <c r="B63" s="117" t="s">
        <v>154</v>
      </c>
      <c r="C63" s="117"/>
      <c r="D63" s="117"/>
      <c r="E63" s="117"/>
      <c r="F63" s="117"/>
      <c r="G63" s="117"/>
      <c r="H63" s="117"/>
      <c r="I63" s="117"/>
    </row>
    <row r="64" spans="1:9" ht="12.95" customHeight="1">
      <c r="A64" s="3"/>
      <c r="B64" s="117" t="s">
        <v>155</v>
      </c>
      <c r="C64" s="117"/>
      <c r="D64" s="117"/>
      <c r="E64" s="117"/>
      <c r="F64" s="117"/>
      <c r="G64" s="117"/>
      <c r="H64" s="117"/>
      <c r="I64" s="117"/>
    </row>
    <row r="65" spans="1:9" ht="12.95" customHeight="1">
      <c r="A65" s="3"/>
      <c r="B65" s="117" t="s">
        <v>156</v>
      </c>
      <c r="C65" s="117"/>
      <c r="D65" s="117"/>
      <c r="E65" s="117"/>
      <c r="F65" s="117"/>
      <c r="G65" s="117"/>
      <c r="H65" s="117"/>
      <c r="I65" s="117"/>
    </row>
    <row r="67" spans="1:9">
      <c r="B67" s="105" t="s">
        <v>715</v>
      </c>
    </row>
    <row r="77" spans="1:9">
      <c r="B77" s="106" t="s">
        <v>716</v>
      </c>
    </row>
    <row r="78" spans="1:9" ht="15.75">
      <c r="B78" s="107" t="s">
        <v>725</v>
      </c>
    </row>
    <row r="87" spans="2:2">
      <c r="B87" s="114" t="s">
        <v>720</v>
      </c>
    </row>
  </sheetData>
  <mergeCells count="8">
    <mergeCell ref="B63:I63"/>
    <mergeCell ref="B64:I64"/>
    <mergeCell ref="B65:I65"/>
    <mergeCell ref="B58:I58"/>
    <mergeCell ref="B59:I59"/>
    <mergeCell ref="B60:I60"/>
    <mergeCell ref="B61:I61"/>
    <mergeCell ref="B62:I62"/>
  </mergeCells>
  <pageMargins left="0" right="0" top="0" bottom="0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1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7" t="s">
        <v>36</v>
      </c>
      <c r="C6" s="38" t="s">
        <v>37</v>
      </c>
      <c r="D6" s="39" t="s">
        <v>38</v>
      </c>
      <c r="E6" s="39" t="s">
        <v>39</v>
      </c>
      <c r="F6" s="39" t="s">
        <v>40</v>
      </c>
      <c r="G6" s="39" t="s">
        <v>41</v>
      </c>
      <c r="H6" s="39" t="s">
        <v>42</v>
      </c>
      <c r="I6" s="40" t="s">
        <v>43</v>
      </c>
    </row>
    <row r="7" spans="1:9" ht="12.95" customHeight="1">
      <c r="A7" s="3"/>
      <c r="B7" s="43" t="s">
        <v>44</v>
      </c>
      <c r="C7" s="26"/>
      <c r="D7" s="26"/>
      <c r="E7" s="26"/>
      <c r="F7" s="26"/>
      <c r="G7" s="26"/>
      <c r="H7" s="27"/>
      <c r="I7" s="44"/>
    </row>
    <row r="8" spans="1:9" ht="12.95" customHeight="1">
      <c r="A8" s="3"/>
      <c r="B8" s="43" t="s">
        <v>45</v>
      </c>
      <c r="C8" s="26"/>
      <c r="D8" s="26"/>
      <c r="E8" s="26"/>
      <c r="F8" s="28"/>
      <c r="G8" s="27"/>
      <c r="H8" s="27"/>
      <c r="I8" s="44"/>
    </row>
    <row r="9" spans="1:9" ht="12.95" customHeight="1">
      <c r="A9" s="10" t="s">
        <v>168</v>
      </c>
      <c r="B9" s="46" t="s">
        <v>169</v>
      </c>
      <c r="C9" s="26" t="s">
        <v>170</v>
      </c>
      <c r="D9" s="26" t="s">
        <v>98</v>
      </c>
      <c r="E9" s="29">
        <v>57224</v>
      </c>
      <c r="F9" s="30">
        <v>846.57</v>
      </c>
      <c r="G9" s="31">
        <v>7.7499999999999999E-2</v>
      </c>
      <c r="H9" s="56"/>
      <c r="I9" s="47"/>
    </row>
    <row r="10" spans="1:9" ht="12.95" customHeight="1">
      <c r="A10" s="10" t="s">
        <v>73</v>
      </c>
      <c r="B10" s="46" t="s">
        <v>74</v>
      </c>
      <c r="C10" s="26" t="s">
        <v>75</v>
      </c>
      <c r="D10" s="26" t="s">
        <v>57</v>
      </c>
      <c r="E10" s="29">
        <v>95210</v>
      </c>
      <c r="F10" s="30">
        <v>805.19</v>
      </c>
      <c r="G10" s="31">
        <v>7.3700000000000002E-2</v>
      </c>
      <c r="H10" s="56"/>
      <c r="I10" s="47"/>
    </row>
    <row r="11" spans="1:9" ht="12.95" customHeight="1">
      <c r="A11" s="10" t="s">
        <v>80</v>
      </c>
      <c r="B11" s="46" t="s">
        <v>81</v>
      </c>
      <c r="C11" s="26" t="s">
        <v>82</v>
      </c>
      <c r="D11" s="26" t="s">
        <v>57</v>
      </c>
      <c r="E11" s="29">
        <v>82365</v>
      </c>
      <c r="F11" s="30">
        <v>783.09</v>
      </c>
      <c r="G11" s="31">
        <v>7.17E-2</v>
      </c>
      <c r="H11" s="56"/>
      <c r="I11" s="47"/>
    </row>
    <row r="12" spans="1:9" ht="12.95" customHeight="1">
      <c r="A12" s="10" t="s">
        <v>215</v>
      </c>
      <c r="B12" s="46" t="s">
        <v>216</v>
      </c>
      <c r="C12" s="26" t="s">
        <v>217</v>
      </c>
      <c r="D12" s="26" t="s">
        <v>197</v>
      </c>
      <c r="E12" s="29">
        <v>27400</v>
      </c>
      <c r="F12" s="30">
        <v>710.18</v>
      </c>
      <c r="G12" s="31">
        <v>6.5000000000000002E-2</v>
      </c>
      <c r="H12" s="56"/>
      <c r="I12" s="47"/>
    </row>
    <row r="13" spans="1:9" ht="12.95" customHeight="1">
      <c r="A13" s="10" t="s">
        <v>341</v>
      </c>
      <c r="B13" s="46" t="s">
        <v>342</v>
      </c>
      <c r="C13" s="26" t="s">
        <v>343</v>
      </c>
      <c r="D13" s="26" t="s">
        <v>57</v>
      </c>
      <c r="E13" s="29">
        <v>70954</v>
      </c>
      <c r="F13" s="30">
        <v>568.98</v>
      </c>
      <c r="G13" s="31">
        <v>5.21E-2</v>
      </c>
      <c r="H13" s="56"/>
      <c r="I13" s="47"/>
    </row>
    <row r="14" spans="1:9" ht="12.95" customHeight="1">
      <c r="A14" s="10" t="s">
        <v>184</v>
      </c>
      <c r="B14" s="46" t="s">
        <v>185</v>
      </c>
      <c r="C14" s="26" t="s">
        <v>186</v>
      </c>
      <c r="D14" s="26" t="s">
        <v>164</v>
      </c>
      <c r="E14" s="29">
        <v>29299</v>
      </c>
      <c r="F14" s="30">
        <v>553.09</v>
      </c>
      <c r="G14" s="31">
        <v>5.0599999999999999E-2</v>
      </c>
      <c r="H14" s="56"/>
      <c r="I14" s="47"/>
    </row>
    <row r="15" spans="1:9" ht="12.95" customHeight="1">
      <c r="A15" s="10" t="s">
        <v>344</v>
      </c>
      <c r="B15" s="46" t="s">
        <v>345</v>
      </c>
      <c r="C15" s="26" t="s">
        <v>346</v>
      </c>
      <c r="D15" s="26" t="s">
        <v>57</v>
      </c>
      <c r="E15" s="29">
        <v>60236</v>
      </c>
      <c r="F15" s="30">
        <v>544.91999999999996</v>
      </c>
      <c r="G15" s="31">
        <v>4.99E-2</v>
      </c>
      <c r="H15" s="56"/>
      <c r="I15" s="47"/>
    </row>
    <row r="16" spans="1:9" ht="12.95" customHeight="1">
      <c r="A16" s="10" t="s">
        <v>106</v>
      </c>
      <c r="B16" s="46" t="s">
        <v>107</v>
      </c>
      <c r="C16" s="26" t="s">
        <v>108</v>
      </c>
      <c r="D16" s="26" t="s">
        <v>68</v>
      </c>
      <c r="E16" s="29">
        <v>245502</v>
      </c>
      <c r="F16" s="30">
        <v>535.32000000000005</v>
      </c>
      <c r="G16" s="31">
        <v>4.9000000000000002E-2</v>
      </c>
      <c r="H16" s="56"/>
      <c r="I16" s="47"/>
    </row>
    <row r="17" spans="1:9" ht="12.95" customHeight="1">
      <c r="A17" s="10" t="s">
        <v>87</v>
      </c>
      <c r="B17" s="46" t="s">
        <v>88</v>
      </c>
      <c r="C17" s="26" t="s">
        <v>89</v>
      </c>
      <c r="D17" s="26" t="s">
        <v>90</v>
      </c>
      <c r="E17" s="29">
        <v>21606</v>
      </c>
      <c r="F17" s="30">
        <v>511.66</v>
      </c>
      <c r="G17" s="31">
        <v>4.6800000000000001E-2</v>
      </c>
      <c r="H17" s="56"/>
      <c r="I17" s="47"/>
    </row>
    <row r="18" spans="1:9" ht="12.95" customHeight="1">
      <c r="A18" s="10" t="s">
        <v>161</v>
      </c>
      <c r="B18" s="46" t="s">
        <v>162</v>
      </c>
      <c r="C18" s="26" t="s">
        <v>163</v>
      </c>
      <c r="D18" s="26" t="s">
        <v>164</v>
      </c>
      <c r="E18" s="29">
        <v>11686</v>
      </c>
      <c r="F18" s="30">
        <v>436.86</v>
      </c>
      <c r="G18" s="31">
        <v>0.04</v>
      </c>
      <c r="H18" s="56"/>
      <c r="I18" s="47"/>
    </row>
    <row r="19" spans="1:9" ht="12.95" customHeight="1">
      <c r="A19" s="10" t="s">
        <v>103</v>
      </c>
      <c r="B19" s="46" t="s">
        <v>104</v>
      </c>
      <c r="C19" s="26" t="s">
        <v>105</v>
      </c>
      <c r="D19" s="26" t="s">
        <v>98</v>
      </c>
      <c r="E19" s="29">
        <v>23984</v>
      </c>
      <c r="F19" s="30">
        <v>430.78</v>
      </c>
      <c r="G19" s="31">
        <v>3.9399999999999998E-2</v>
      </c>
      <c r="H19" s="56"/>
      <c r="I19" s="47"/>
    </row>
    <row r="20" spans="1:9" ht="12.95" customHeight="1">
      <c r="A20" s="10" t="s">
        <v>347</v>
      </c>
      <c r="B20" s="46" t="s">
        <v>348</v>
      </c>
      <c r="C20" s="26" t="s">
        <v>349</v>
      </c>
      <c r="D20" s="26" t="s">
        <v>333</v>
      </c>
      <c r="E20" s="29">
        <v>59300</v>
      </c>
      <c r="F20" s="30">
        <v>377.83</v>
      </c>
      <c r="G20" s="31">
        <v>3.4599999999999999E-2</v>
      </c>
      <c r="H20" s="56"/>
      <c r="I20" s="47"/>
    </row>
    <row r="21" spans="1:9" ht="12.95" customHeight="1">
      <c r="A21" s="10" t="s">
        <v>350</v>
      </c>
      <c r="B21" s="46" t="s">
        <v>351</v>
      </c>
      <c r="C21" s="26" t="s">
        <v>352</v>
      </c>
      <c r="D21" s="26" t="s">
        <v>98</v>
      </c>
      <c r="E21" s="29">
        <v>279378</v>
      </c>
      <c r="F21" s="30">
        <v>376.18</v>
      </c>
      <c r="G21" s="31">
        <v>3.44E-2</v>
      </c>
      <c r="H21" s="56"/>
      <c r="I21" s="47"/>
    </row>
    <row r="22" spans="1:9" ht="12.95" customHeight="1">
      <c r="A22" s="10" t="s">
        <v>174</v>
      </c>
      <c r="B22" s="46" t="s">
        <v>175</v>
      </c>
      <c r="C22" s="26" t="s">
        <v>176</v>
      </c>
      <c r="D22" s="26" t="s">
        <v>53</v>
      </c>
      <c r="E22" s="29">
        <v>12650</v>
      </c>
      <c r="F22" s="30">
        <v>327.19</v>
      </c>
      <c r="G22" s="31">
        <v>2.9899999999999999E-2</v>
      </c>
      <c r="H22" s="56"/>
      <c r="I22" s="47"/>
    </row>
    <row r="23" spans="1:9" ht="12.95" customHeight="1">
      <c r="A23" s="10" t="s">
        <v>353</v>
      </c>
      <c r="B23" s="46" t="s">
        <v>354</v>
      </c>
      <c r="C23" s="26" t="s">
        <v>355</v>
      </c>
      <c r="D23" s="26" t="s">
        <v>207</v>
      </c>
      <c r="E23" s="29">
        <v>138398</v>
      </c>
      <c r="F23" s="30">
        <v>306.76</v>
      </c>
      <c r="G23" s="31">
        <v>2.81E-2</v>
      </c>
      <c r="H23" s="56"/>
      <c r="I23" s="47"/>
    </row>
    <row r="24" spans="1:9" ht="12.95" customHeight="1">
      <c r="A24" s="10" t="s">
        <v>356</v>
      </c>
      <c r="B24" s="46" t="s">
        <v>357</v>
      </c>
      <c r="C24" s="26" t="s">
        <v>358</v>
      </c>
      <c r="D24" s="26" t="s">
        <v>53</v>
      </c>
      <c r="E24" s="29">
        <v>274589</v>
      </c>
      <c r="F24" s="30">
        <v>304.38</v>
      </c>
      <c r="G24" s="31">
        <v>2.7900000000000001E-2</v>
      </c>
      <c r="H24" s="56"/>
      <c r="I24" s="47"/>
    </row>
    <row r="25" spans="1:9" ht="12.95" customHeight="1">
      <c r="A25" s="10" t="s">
        <v>359</v>
      </c>
      <c r="B25" s="46" t="s">
        <v>360</v>
      </c>
      <c r="C25" s="26" t="s">
        <v>361</v>
      </c>
      <c r="D25" s="26" t="s">
        <v>98</v>
      </c>
      <c r="E25" s="29">
        <v>289195</v>
      </c>
      <c r="F25" s="30">
        <v>227.31</v>
      </c>
      <c r="G25" s="31">
        <v>2.0799999999999999E-2</v>
      </c>
      <c r="H25" s="56"/>
      <c r="I25" s="47"/>
    </row>
    <row r="26" spans="1:9" ht="12.95" customHeight="1">
      <c r="A26" s="10" t="s">
        <v>204</v>
      </c>
      <c r="B26" s="46" t="s">
        <v>205</v>
      </c>
      <c r="C26" s="26" t="s">
        <v>206</v>
      </c>
      <c r="D26" s="26" t="s">
        <v>207</v>
      </c>
      <c r="E26" s="29">
        <v>6842</v>
      </c>
      <c r="F26" s="30">
        <v>172.58</v>
      </c>
      <c r="G26" s="31">
        <v>1.5800000000000002E-2</v>
      </c>
      <c r="H26" s="56"/>
      <c r="I26" s="47"/>
    </row>
    <row r="27" spans="1:9" ht="12.95" customHeight="1">
      <c r="A27" s="10" t="s">
        <v>362</v>
      </c>
      <c r="B27" s="46" t="s">
        <v>363</v>
      </c>
      <c r="C27" s="26" t="s">
        <v>364</v>
      </c>
      <c r="D27" s="26" t="s">
        <v>53</v>
      </c>
      <c r="E27" s="29">
        <v>3138</v>
      </c>
      <c r="F27" s="30">
        <v>170.46</v>
      </c>
      <c r="G27" s="31">
        <v>1.5599999999999999E-2</v>
      </c>
      <c r="H27" s="56"/>
      <c r="I27" s="47"/>
    </row>
    <row r="28" spans="1:9" ht="12.95" customHeight="1">
      <c r="A28" s="10" t="s">
        <v>218</v>
      </c>
      <c r="B28" s="46" t="s">
        <v>219</v>
      </c>
      <c r="C28" s="26" t="s">
        <v>220</v>
      </c>
      <c r="D28" s="26" t="s">
        <v>164</v>
      </c>
      <c r="E28" s="29">
        <v>12588</v>
      </c>
      <c r="F28" s="30">
        <v>166.05</v>
      </c>
      <c r="G28" s="31">
        <v>1.52E-2</v>
      </c>
      <c r="H28" s="56"/>
      <c r="I28" s="47"/>
    </row>
    <row r="29" spans="1:9" ht="12.95" customHeight="1">
      <c r="A29" s="10" t="s">
        <v>365</v>
      </c>
      <c r="B29" s="46" t="s">
        <v>366</v>
      </c>
      <c r="C29" s="26" t="s">
        <v>367</v>
      </c>
      <c r="D29" s="26" t="s">
        <v>197</v>
      </c>
      <c r="E29" s="29">
        <v>26336</v>
      </c>
      <c r="F29" s="30">
        <v>165.13</v>
      </c>
      <c r="G29" s="31">
        <v>1.5100000000000001E-2</v>
      </c>
      <c r="H29" s="56"/>
      <c r="I29" s="47"/>
    </row>
    <row r="30" spans="1:9" ht="12.95" customHeight="1">
      <c r="A30" s="10" t="s">
        <v>368</v>
      </c>
      <c r="B30" s="46" t="s">
        <v>369</v>
      </c>
      <c r="C30" s="26" t="s">
        <v>370</v>
      </c>
      <c r="D30" s="26" t="s">
        <v>94</v>
      </c>
      <c r="E30" s="29">
        <v>6724</v>
      </c>
      <c r="F30" s="30">
        <v>164.48</v>
      </c>
      <c r="G30" s="31">
        <v>1.5100000000000001E-2</v>
      </c>
      <c r="H30" s="56"/>
      <c r="I30" s="47"/>
    </row>
    <row r="31" spans="1:9" ht="12.95" customHeight="1">
      <c r="A31" s="10" t="s">
        <v>371</v>
      </c>
      <c r="B31" s="46" t="s">
        <v>372</v>
      </c>
      <c r="C31" s="26" t="s">
        <v>373</v>
      </c>
      <c r="D31" s="26" t="s">
        <v>374</v>
      </c>
      <c r="E31" s="29">
        <v>7266</v>
      </c>
      <c r="F31" s="30">
        <v>162.29</v>
      </c>
      <c r="G31" s="31">
        <v>1.49E-2</v>
      </c>
      <c r="H31" s="56"/>
      <c r="I31" s="47"/>
    </row>
    <row r="32" spans="1:9" ht="12.95" customHeight="1">
      <c r="A32" s="10" t="s">
        <v>208</v>
      </c>
      <c r="B32" s="46" t="s">
        <v>209</v>
      </c>
      <c r="C32" s="26" t="s">
        <v>210</v>
      </c>
      <c r="D32" s="26" t="s">
        <v>211</v>
      </c>
      <c r="E32" s="29">
        <v>8547</v>
      </c>
      <c r="F32" s="30">
        <v>162.04</v>
      </c>
      <c r="G32" s="31">
        <v>1.4800000000000001E-2</v>
      </c>
      <c r="H32" s="56"/>
      <c r="I32" s="47"/>
    </row>
    <row r="33" spans="1:9" ht="12.95" customHeight="1">
      <c r="A33" s="10" t="s">
        <v>375</v>
      </c>
      <c r="B33" s="46" t="s">
        <v>376</v>
      </c>
      <c r="C33" s="26" t="s">
        <v>377</v>
      </c>
      <c r="D33" s="26" t="s">
        <v>90</v>
      </c>
      <c r="E33" s="29">
        <v>54860</v>
      </c>
      <c r="F33" s="30">
        <v>160.38</v>
      </c>
      <c r="G33" s="31">
        <v>1.47E-2</v>
      </c>
      <c r="H33" s="56"/>
      <c r="I33" s="47"/>
    </row>
    <row r="34" spans="1:9" ht="12.95" customHeight="1">
      <c r="A34" s="10" t="s">
        <v>378</v>
      </c>
      <c r="B34" s="46" t="s">
        <v>379</v>
      </c>
      <c r="C34" s="26" t="s">
        <v>380</v>
      </c>
      <c r="D34" s="26" t="s">
        <v>374</v>
      </c>
      <c r="E34" s="29">
        <v>6779</v>
      </c>
      <c r="F34" s="30">
        <v>160.08000000000001</v>
      </c>
      <c r="G34" s="31">
        <v>1.46E-2</v>
      </c>
      <c r="H34" s="56"/>
      <c r="I34" s="47"/>
    </row>
    <row r="35" spans="1:9" ht="12.95" customHeight="1">
      <c r="A35" s="10" t="s">
        <v>381</v>
      </c>
      <c r="B35" s="46" t="s">
        <v>382</v>
      </c>
      <c r="C35" s="26" t="s">
        <v>383</v>
      </c>
      <c r="D35" s="26" t="s">
        <v>207</v>
      </c>
      <c r="E35" s="29">
        <v>5488</v>
      </c>
      <c r="F35" s="30">
        <v>108.41</v>
      </c>
      <c r="G35" s="31">
        <v>9.9000000000000008E-3</v>
      </c>
      <c r="H35" s="56"/>
      <c r="I35" s="47"/>
    </row>
    <row r="36" spans="1:9" ht="12.95" customHeight="1">
      <c r="A36" s="3"/>
      <c r="B36" s="43" t="s">
        <v>126</v>
      </c>
      <c r="C36" s="26"/>
      <c r="D36" s="26"/>
      <c r="E36" s="26"/>
      <c r="F36" s="33">
        <v>10238.19</v>
      </c>
      <c r="G36" s="34">
        <v>0.93710000000000004</v>
      </c>
      <c r="H36" s="19"/>
      <c r="I36" s="42"/>
    </row>
    <row r="37" spans="1:9" ht="12.95" customHeight="1">
      <c r="A37" s="3"/>
      <c r="B37" s="45" t="s">
        <v>127</v>
      </c>
      <c r="C37" s="18"/>
      <c r="D37" s="18"/>
      <c r="E37" s="18"/>
      <c r="F37" s="19" t="s">
        <v>128</v>
      </c>
      <c r="G37" s="19" t="s">
        <v>128</v>
      </c>
      <c r="H37" s="19"/>
      <c r="I37" s="42"/>
    </row>
    <row r="38" spans="1:9" ht="12.95" customHeight="1">
      <c r="A38" s="3"/>
      <c r="B38" s="45" t="s">
        <v>126</v>
      </c>
      <c r="C38" s="18"/>
      <c r="D38" s="18"/>
      <c r="E38" s="18"/>
      <c r="F38" s="19" t="s">
        <v>128</v>
      </c>
      <c r="G38" s="19" t="s">
        <v>128</v>
      </c>
      <c r="H38" s="19"/>
      <c r="I38" s="42"/>
    </row>
    <row r="39" spans="1:9" ht="12.95" customHeight="1">
      <c r="A39" s="3"/>
      <c r="B39" s="45" t="s">
        <v>129</v>
      </c>
      <c r="C39" s="22"/>
      <c r="D39" s="18"/>
      <c r="E39" s="22"/>
      <c r="F39" s="33">
        <v>10238.19</v>
      </c>
      <c r="G39" s="34">
        <v>0.93710000000000004</v>
      </c>
      <c r="H39" s="19"/>
      <c r="I39" s="42"/>
    </row>
    <row r="40" spans="1:9" ht="12.95" customHeight="1">
      <c r="A40" s="3"/>
      <c r="B40" s="41" t="s">
        <v>133</v>
      </c>
      <c r="C40" s="20"/>
      <c r="D40" s="20"/>
      <c r="E40" s="20"/>
      <c r="F40" s="21"/>
      <c r="G40" s="21"/>
      <c r="H40" s="21"/>
      <c r="I40" s="44"/>
    </row>
    <row r="41" spans="1:9" ht="12.95" customHeight="1">
      <c r="A41" s="3"/>
      <c r="B41" s="43"/>
      <c r="C41" s="20"/>
      <c r="D41" s="20"/>
      <c r="E41" s="20"/>
      <c r="F41" s="21"/>
      <c r="G41" s="21"/>
      <c r="H41" s="21"/>
      <c r="I41" s="44"/>
    </row>
    <row r="42" spans="1:9" ht="12.95" customHeight="1">
      <c r="A42" s="3"/>
      <c r="B42" s="45" t="s">
        <v>134</v>
      </c>
      <c r="C42" s="18"/>
      <c r="D42" s="18"/>
      <c r="E42" s="18"/>
      <c r="F42" s="19" t="s">
        <v>128</v>
      </c>
      <c r="G42" s="19" t="s">
        <v>128</v>
      </c>
      <c r="H42" s="19"/>
      <c r="I42" s="42"/>
    </row>
    <row r="43" spans="1:9" ht="12.95" customHeight="1">
      <c r="A43" s="3"/>
      <c r="B43" s="43"/>
      <c r="C43" s="20"/>
      <c r="D43" s="20"/>
      <c r="E43" s="20"/>
      <c r="F43" s="21"/>
      <c r="G43" s="21"/>
      <c r="H43" s="21"/>
      <c r="I43" s="44"/>
    </row>
    <row r="44" spans="1:9" ht="12.95" customHeight="1">
      <c r="A44" s="3"/>
      <c r="B44" s="45" t="s">
        <v>135</v>
      </c>
      <c r="C44" s="18"/>
      <c r="D44" s="18"/>
      <c r="E44" s="18"/>
      <c r="F44" s="19" t="s">
        <v>128</v>
      </c>
      <c r="G44" s="19" t="s">
        <v>128</v>
      </c>
      <c r="H44" s="19"/>
      <c r="I44" s="42"/>
    </row>
    <row r="45" spans="1:9" ht="12.95" customHeight="1">
      <c r="A45" s="3"/>
      <c r="B45" s="43"/>
      <c r="C45" s="20"/>
      <c r="D45" s="20"/>
      <c r="E45" s="20"/>
      <c r="F45" s="21"/>
      <c r="G45" s="21"/>
      <c r="H45" s="21"/>
      <c r="I45" s="44"/>
    </row>
    <row r="46" spans="1:9" ht="12.95" customHeight="1">
      <c r="A46" s="3"/>
      <c r="B46" s="45" t="s">
        <v>136</v>
      </c>
      <c r="C46" s="18"/>
      <c r="D46" s="18"/>
      <c r="E46" s="18"/>
      <c r="F46" s="19" t="s">
        <v>128</v>
      </c>
      <c r="G46" s="19" t="s">
        <v>128</v>
      </c>
      <c r="H46" s="19"/>
      <c r="I46" s="42"/>
    </row>
    <row r="47" spans="1:9" ht="12.95" customHeight="1">
      <c r="A47" s="3"/>
      <c r="B47" s="43"/>
      <c r="C47" s="20"/>
      <c r="D47" s="20"/>
      <c r="E47" s="20"/>
      <c r="F47" s="21"/>
      <c r="G47" s="21"/>
      <c r="H47" s="21"/>
      <c r="I47" s="44"/>
    </row>
    <row r="48" spans="1:9" ht="12.95" customHeight="1">
      <c r="A48" s="3"/>
      <c r="B48" s="45" t="s">
        <v>137</v>
      </c>
      <c r="C48" s="18"/>
      <c r="D48" s="18"/>
      <c r="E48" s="18"/>
      <c r="F48" s="19" t="s">
        <v>128</v>
      </c>
      <c r="G48" s="19" t="s">
        <v>128</v>
      </c>
      <c r="H48" s="19"/>
      <c r="I48" s="42"/>
    </row>
    <row r="49" spans="1:9" ht="12.95" customHeight="1">
      <c r="A49" s="3"/>
      <c r="B49" s="43"/>
      <c r="C49" s="20"/>
      <c r="D49" s="20"/>
      <c r="E49" s="20"/>
      <c r="F49" s="21"/>
      <c r="G49" s="21"/>
      <c r="H49" s="21"/>
      <c r="I49" s="44"/>
    </row>
    <row r="50" spans="1:9" ht="12.95" customHeight="1">
      <c r="A50" s="3"/>
      <c r="B50" s="45" t="s">
        <v>138</v>
      </c>
      <c r="C50" s="22"/>
      <c r="D50" s="22"/>
      <c r="E50" s="22"/>
      <c r="F50" s="23" t="s">
        <v>128</v>
      </c>
      <c r="G50" s="23" t="s">
        <v>128</v>
      </c>
      <c r="H50" s="23"/>
      <c r="I50" s="42"/>
    </row>
    <row r="51" spans="1:9" ht="12.95" customHeight="1">
      <c r="A51" s="3"/>
      <c r="B51" s="43"/>
      <c r="C51" s="20"/>
      <c r="D51" s="20"/>
      <c r="E51" s="20"/>
      <c r="F51" s="21"/>
      <c r="G51" s="21"/>
      <c r="H51" s="21"/>
      <c r="I51" s="44"/>
    </row>
    <row r="52" spans="1:9" ht="12.95" customHeight="1">
      <c r="A52" s="3"/>
      <c r="B52" s="45" t="s">
        <v>129</v>
      </c>
      <c r="C52" s="24"/>
      <c r="D52" s="24"/>
      <c r="E52" s="24"/>
      <c r="F52" s="25" t="s">
        <v>128</v>
      </c>
      <c r="G52" s="25" t="s">
        <v>128</v>
      </c>
      <c r="H52" s="25"/>
      <c r="I52" s="42"/>
    </row>
    <row r="53" spans="1:9" ht="12.95" customHeight="1">
      <c r="A53" s="3"/>
      <c r="B53" s="45" t="s">
        <v>139</v>
      </c>
      <c r="C53" s="18"/>
      <c r="D53" s="18"/>
      <c r="E53" s="18"/>
      <c r="F53" s="19" t="s">
        <v>128</v>
      </c>
      <c r="G53" s="19" t="s">
        <v>128</v>
      </c>
      <c r="H53" s="19"/>
      <c r="I53" s="42"/>
    </row>
    <row r="54" spans="1:9" ht="12.95" customHeight="1">
      <c r="A54" s="3"/>
      <c r="B54" s="43"/>
      <c r="C54" s="20"/>
      <c r="D54" s="20"/>
      <c r="E54" s="20"/>
      <c r="F54" s="21"/>
      <c r="G54" s="21"/>
      <c r="H54" s="21"/>
      <c r="I54" s="44"/>
    </row>
    <row r="55" spans="1:9" ht="12.95" customHeight="1">
      <c r="A55" s="3"/>
      <c r="B55" s="45" t="s">
        <v>140</v>
      </c>
      <c r="C55" s="18"/>
      <c r="D55" s="18"/>
      <c r="E55" s="18"/>
      <c r="F55" s="19" t="s">
        <v>128</v>
      </c>
      <c r="G55" s="19" t="s">
        <v>128</v>
      </c>
      <c r="H55" s="19"/>
      <c r="I55" s="42"/>
    </row>
    <row r="56" spans="1:9" ht="12.95" customHeight="1">
      <c r="A56" s="3"/>
      <c r="B56" s="43"/>
      <c r="C56" s="20"/>
      <c r="D56" s="20"/>
      <c r="E56" s="20"/>
      <c r="F56" s="21"/>
      <c r="G56" s="21"/>
      <c r="H56" s="21"/>
      <c r="I56" s="44"/>
    </row>
    <row r="57" spans="1:9" ht="12.95" customHeight="1">
      <c r="A57" s="3"/>
      <c r="B57" s="45" t="s">
        <v>141</v>
      </c>
      <c r="C57" s="18"/>
      <c r="D57" s="18"/>
      <c r="E57" s="18"/>
      <c r="F57" s="19" t="s">
        <v>128</v>
      </c>
      <c r="G57" s="19" t="s">
        <v>128</v>
      </c>
      <c r="H57" s="19"/>
      <c r="I57" s="42"/>
    </row>
    <row r="58" spans="1:9" ht="12.95" customHeight="1">
      <c r="A58" s="3"/>
      <c r="B58" s="43"/>
      <c r="C58" s="20"/>
      <c r="D58" s="20"/>
      <c r="E58" s="20"/>
      <c r="F58" s="21"/>
      <c r="G58" s="21"/>
      <c r="H58" s="21"/>
      <c r="I58" s="44"/>
    </row>
    <row r="59" spans="1:9" ht="12.95" customHeight="1">
      <c r="A59" s="3"/>
      <c r="B59" s="45" t="s">
        <v>142</v>
      </c>
      <c r="C59" s="18"/>
      <c r="D59" s="18"/>
      <c r="E59" s="18"/>
      <c r="F59" s="19" t="s">
        <v>128</v>
      </c>
      <c r="G59" s="19" t="s">
        <v>128</v>
      </c>
      <c r="H59" s="19"/>
      <c r="I59" s="42"/>
    </row>
    <row r="60" spans="1:9" ht="12.95" customHeight="1">
      <c r="A60" s="3"/>
      <c r="B60" s="43"/>
      <c r="C60" s="20"/>
      <c r="D60" s="20"/>
      <c r="E60" s="20"/>
      <c r="F60" s="21"/>
      <c r="G60" s="21"/>
      <c r="H60" s="21"/>
      <c r="I60" s="44"/>
    </row>
    <row r="61" spans="1:9" ht="12.95" customHeight="1">
      <c r="A61" s="3"/>
      <c r="B61" s="45" t="s">
        <v>143</v>
      </c>
      <c r="C61" s="22"/>
      <c r="D61" s="22"/>
      <c r="E61" s="22"/>
      <c r="F61" s="23" t="s">
        <v>128</v>
      </c>
      <c r="G61" s="23" t="s">
        <v>128</v>
      </c>
      <c r="H61" s="23"/>
      <c r="I61" s="42"/>
    </row>
    <row r="62" spans="1:9" ht="12.95" customHeight="1">
      <c r="A62" s="3"/>
      <c r="B62" s="43"/>
      <c r="C62" s="20"/>
      <c r="D62" s="20"/>
      <c r="E62" s="20"/>
      <c r="F62" s="21"/>
      <c r="G62" s="21"/>
      <c r="H62" s="21"/>
      <c r="I62" s="44"/>
    </row>
    <row r="63" spans="1:9" ht="12.95" customHeight="1">
      <c r="A63" s="3"/>
      <c r="B63" s="45" t="s">
        <v>129</v>
      </c>
      <c r="C63" s="24"/>
      <c r="D63" s="24"/>
      <c r="E63" s="24"/>
      <c r="F63" s="25" t="s">
        <v>128</v>
      </c>
      <c r="G63" s="25" t="s">
        <v>128</v>
      </c>
      <c r="H63" s="25"/>
      <c r="I63" s="42"/>
    </row>
    <row r="64" spans="1:9" ht="12.95" customHeight="1">
      <c r="A64" s="3"/>
      <c r="B64" s="45" t="s">
        <v>144</v>
      </c>
      <c r="C64" s="18"/>
      <c r="D64" s="18"/>
      <c r="E64" s="18"/>
      <c r="F64" s="19" t="s">
        <v>128</v>
      </c>
      <c r="G64" s="19" t="s">
        <v>128</v>
      </c>
      <c r="H64" s="19"/>
      <c r="I64" s="42"/>
    </row>
    <row r="65" spans="1:9" ht="12.95" customHeight="1">
      <c r="A65" s="3"/>
      <c r="B65" s="43"/>
      <c r="C65" s="20"/>
      <c r="D65" s="20"/>
      <c r="E65" s="20"/>
      <c r="F65" s="21"/>
      <c r="G65" s="21"/>
      <c r="H65" s="21"/>
      <c r="I65" s="44"/>
    </row>
    <row r="66" spans="1:9" ht="12.95" customHeight="1">
      <c r="A66" s="3"/>
      <c r="B66" s="45" t="s">
        <v>145</v>
      </c>
      <c r="C66" s="18"/>
      <c r="D66" s="18"/>
      <c r="E66" s="18"/>
      <c r="F66" s="19" t="s">
        <v>128</v>
      </c>
      <c r="G66" s="19" t="s">
        <v>128</v>
      </c>
      <c r="H66" s="19"/>
      <c r="I66" s="42"/>
    </row>
    <row r="67" spans="1:9" ht="12.95" customHeight="1">
      <c r="A67" s="3"/>
      <c r="B67" s="43"/>
      <c r="C67" s="20"/>
      <c r="D67" s="20"/>
      <c r="E67" s="20"/>
      <c r="F67" s="21"/>
      <c r="G67" s="21"/>
      <c r="H67" s="21"/>
      <c r="I67" s="44"/>
    </row>
    <row r="68" spans="1:9" ht="12.95" customHeight="1">
      <c r="A68" s="3"/>
      <c r="B68" s="45" t="s">
        <v>146</v>
      </c>
      <c r="C68" s="18"/>
      <c r="D68" s="18"/>
      <c r="E68" s="18"/>
      <c r="F68" s="19" t="s">
        <v>128</v>
      </c>
      <c r="G68" s="19" t="s">
        <v>128</v>
      </c>
      <c r="H68" s="19"/>
      <c r="I68" s="42"/>
    </row>
    <row r="69" spans="1:9" ht="12.95" customHeight="1">
      <c r="A69" s="3"/>
      <c r="B69" s="43"/>
      <c r="C69" s="20"/>
      <c r="D69" s="20"/>
      <c r="E69" s="20"/>
      <c r="F69" s="21"/>
      <c r="G69" s="21"/>
      <c r="H69" s="21"/>
      <c r="I69" s="44"/>
    </row>
    <row r="70" spans="1:9" ht="12.95" customHeight="1">
      <c r="A70" s="3"/>
      <c r="B70" s="45" t="s">
        <v>147</v>
      </c>
      <c r="C70" s="18"/>
      <c r="D70" s="18"/>
      <c r="E70" s="18"/>
      <c r="F70" s="19" t="s">
        <v>128</v>
      </c>
      <c r="G70" s="19" t="s">
        <v>128</v>
      </c>
      <c r="H70" s="19"/>
      <c r="I70" s="42"/>
    </row>
    <row r="71" spans="1:9" ht="12.95" customHeight="1">
      <c r="A71" s="3"/>
      <c r="B71" s="43"/>
      <c r="C71" s="20"/>
      <c r="D71" s="20"/>
      <c r="E71" s="20"/>
      <c r="F71" s="21"/>
      <c r="G71" s="21"/>
      <c r="H71" s="21"/>
      <c r="I71" s="44"/>
    </row>
    <row r="72" spans="1:9" ht="12.95" customHeight="1">
      <c r="A72" s="3"/>
      <c r="B72" s="45" t="s">
        <v>148</v>
      </c>
      <c r="C72" s="18"/>
      <c r="D72" s="18"/>
      <c r="E72" s="18"/>
      <c r="F72" s="19" t="s">
        <v>128</v>
      </c>
      <c r="G72" s="19" t="s">
        <v>128</v>
      </c>
      <c r="H72" s="19"/>
      <c r="I72" s="42"/>
    </row>
    <row r="73" spans="1:9" ht="12.95" customHeight="1">
      <c r="A73" s="3"/>
      <c r="B73" s="43"/>
      <c r="C73" s="20"/>
      <c r="D73" s="20"/>
      <c r="E73" s="20"/>
      <c r="F73" s="21"/>
      <c r="G73" s="21"/>
      <c r="H73" s="21"/>
      <c r="I73" s="44"/>
    </row>
    <row r="74" spans="1:9" ht="12.95" customHeight="1">
      <c r="A74" s="3"/>
      <c r="B74" s="45" t="s">
        <v>129</v>
      </c>
      <c r="C74" s="22"/>
      <c r="D74" s="22"/>
      <c r="E74" s="22"/>
      <c r="F74" s="23" t="s">
        <v>128</v>
      </c>
      <c r="G74" s="23" t="s">
        <v>128</v>
      </c>
      <c r="H74" s="23"/>
      <c r="I74" s="42"/>
    </row>
    <row r="75" spans="1:9" ht="12.95" customHeight="1">
      <c r="A75" s="17"/>
      <c r="B75" s="45"/>
      <c r="C75" s="22"/>
      <c r="D75" s="22"/>
      <c r="E75" s="22"/>
      <c r="F75" s="23"/>
      <c r="G75" s="23"/>
      <c r="H75" s="23"/>
      <c r="I75" s="42"/>
    </row>
    <row r="76" spans="1:9" ht="12.95" customHeight="1">
      <c r="A76" s="3"/>
      <c r="B76" s="43" t="s">
        <v>130</v>
      </c>
      <c r="C76" s="26"/>
      <c r="D76" s="26"/>
      <c r="E76" s="26"/>
      <c r="F76" s="26"/>
      <c r="G76" s="26"/>
      <c r="H76" s="27"/>
      <c r="I76" s="44"/>
    </row>
    <row r="77" spans="1:9" ht="12.95" customHeight="1">
      <c r="A77" s="10" t="s">
        <v>131</v>
      </c>
      <c r="B77" s="46" t="s">
        <v>132</v>
      </c>
      <c r="C77" s="26"/>
      <c r="D77" s="26"/>
      <c r="E77" s="29"/>
      <c r="F77" s="30">
        <v>521.9</v>
      </c>
      <c r="G77" s="31">
        <v>4.7800000000000002E-2</v>
      </c>
      <c r="H77" s="56"/>
      <c r="I77" s="47"/>
    </row>
    <row r="78" spans="1:9" ht="12.95" customHeight="1">
      <c r="A78" s="3"/>
      <c r="B78" s="43" t="s">
        <v>126</v>
      </c>
      <c r="C78" s="26"/>
      <c r="D78" s="26"/>
      <c r="E78" s="26"/>
      <c r="F78" s="33">
        <v>521.9</v>
      </c>
      <c r="G78" s="34">
        <v>4.7800000000000002E-2</v>
      </c>
      <c r="H78" s="19"/>
      <c r="I78" s="42"/>
    </row>
    <row r="79" spans="1:9" ht="12.95" customHeight="1">
      <c r="A79" s="3"/>
      <c r="B79" s="45" t="s">
        <v>129</v>
      </c>
      <c r="C79" s="22"/>
      <c r="D79" s="18"/>
      <c r="E79" s="22"/>
      <c r="F79" s="33">
        <v>521.9</v>
      </c>
      <c r="G79" s="34">
        <v>4.7800000000000002E-2</v>
      </c>
      <c r="H79" s="19"/>
      <c r="I79" s="42"/>
    </row>
    <row r="80" spans="1:9" ht="12.95" customHeight="1">
      <c r="A80" s="3"/>
      <c r="B80" s="45" t="s">
        <v>149</v>
      </c>
      <c r="C80" s="35"/>
      <c r="D80" s="18"/>
      <c r="E80" s="22"/>
      <c r="F80" s="36">
        <v>167.68</v>
      </c>
      <c r="G80" s="34">
        <v>1.5100000000000001E-2</v>
      </c>
      <c r="H80" s="19"/>
      <c r="I80" s="42"/>
    </row>
    <row r="81" spans="1:9" ht="12.95" customHeight="1" thickBot="1">
      <c r="A81" s="3"/>
      <c r="B81" s="49" t="s">
        <v>150</v>
      </c>
      <c r="C81" s="50"/>
      <c r="D81" s="50"/>
      <c r="E81" s="50"/>
      <c r="F81" s="51">
        <v>10927.77</v>
      </c>
      <c r="G81" s="52">
        <v>1</v>
      </c>
      <c r="H81" s="53"/>
      <c r="I81" s="54"/>
    </row>
    <row r="82" spans="1:9" ht="12.95" customHeight="1">
      <c r="A82" s="3"/>
      <c r="B82" s="118"/>
      <c r="C82" s="118"/>
      <c r="D82" s="118"/>
      <c r="E82" s="118"/>
      <c r="F82" s="118"/>
      <c r="G82" s="118"/>
      <c r="H82" s="118"/>
      <c r="I82" s="118"/>
    </row>
    <row r="83" spans="1:9" ht="12.95" customHeight="1">
      <c r="A83" s="3"/>
      <c r="B83" s="118"/>
      <c r="C83" s="118"/>
      <c r="D83" s="118"/>
      <c r="E83" s="118"/>
      <c r="F83" s="118"/>
      <c r="G83" s="118"/>
      <c r="H83" s="118"/>
      <c r="I83" s="118"/>
    </row>
    <row r="84" spans="1:9" ht="12.95" customHeight="1">
      <c r="A84" s="3"/>
      <c r="B84" s="118" t="s">
        <v>151</v>
      </c>
      <c r="C84" s="118"/>
      <c r="D84" s="118"/>
      <c r="E84" s="118"/>
      <c r="F84" s="118"/>
      <c r="G84" s="118"/>
      <c r="H84" s="118"/>
      <c r="I84" s="118"/>
    </row>
    <row r="85" spans="1:9" ht="12.95" customHeight="1">
      <c r="A85" s="3"/>
      <c r="B85" s="117" t="s">
        <v>152</v>
      </c>
      <c r="C85" s="117"/>
      <c r="D85" s="117"/>
      <c r="E85" s="117"/>
      <c r="F85" s="117"/>
      <c r="G85" s="117"/>
      <c r="H85" s="117"/>
      <c r="I85" s="117"/>
    </row>
    <row r="86" spans="1:9" ht="12.95" customHeight="1">
      <c r="A86" s="3"/>
      <c r="B86" s="117" t="s">
        <v>153</v>
      </c>
      <c r="C86" s="117"/>
      <c r="D86" s="117"/>
      <c r="E86" s="117"/>
      <c r="F86" s="117"/>
      <c r="G86" s="117"/>
      <c r="H86" s="117"/>
      <c r="I86" s="117"/>
    </row>
    <row r="87" spans="1:9" ht="12.95" customHeight="1">
      <c r="A87" s="3"/>
      <c r="B87" s="117" t="s">
        <v>154</v>
      </c>
      <c r="C87" s="117"/>
      <c r="D87" s="117"/>
      <c r="E87" s="117"/>
      <c r="F87" s="117"/>
      <c r="G87" s="117"/>
      <c r="H87" s="117"/>
      <c r="I87" s="117"/>
    </row>
    <row r="88" spans="1:9" ht="12.95" customHeight="1">
      <c r="A88" s="3"/>
      <c r="B88" s="117" t="s">
        <v>155</v>
      </c>
      <c r="C88" s="117"/>
      <c r="D88" s="117"/>
      <c r="E88" s="117"/>
      <c r="F88" s="117"/>
      <c r="G88" s="117"/>
      <c r="H88" s="117"/>
      <c r="I88" s="117"/>
    </row>
    <row r="89" spans="1:9" ht="12.95" customHeight="1">
      <c r="A89" s="3"/>
      <c r="B89" s="117" t="s">
        <v>156</v>
      </c>
      <c r="C89" s="117"/>
      <c r="D89" s="117"/>
      <c r="E89" s="117"/>
      <c r="F89" s="117"/>
      <c r="G89" s="117"/>
      <c r="H89" s="117"/>
      <c r="I89" s="117"/>
    </row>
    <row r="91" spans="1:9">
      <c r="B91" s="95" t="s">
        <v>715</v>
      </c>
    </row>
    <row r="100" spans="2:2">
      <c r="B100" t="s">
        <v>716</v>
      </c>
    </row>
    <row r="101" spans="2:2" ht="15.75">
      <c r="B101" s="96" t="s">
        <v>726</v>
      </c>
    </row>
  </sheetData>
  <mergeCells count="8">
    <mergeCell ref="B87:I87"/>
    <mergeCell ref="B88:I88"/>
    <mergeCell ref="B89:I89"/>
    <mergeCell ref="B82:I82"/>
    <mergeCell ref="B83:I83"/>
    <mergeCell ref="B84:I84"/>
    <mergeCell ref="B85:I85"/>
    <mergeCell ref="B86:I86"/>
  </mergeCells>
  <pageMargins left="0" right="0" top="0" bottom="0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7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7" t="s">
        <v>36</v>
      </c>
      <c r="C6" s="38" t="s">
        <v>37</v>
      </c>
      <c r="D6" s="39" t="s">
        <v>38</v>
      </c>
      <c r="E6" s="39" t="s">
        <v>39</v>
      </c>
      <c r="F6" s="39" t="s">
        <v>40</v>
      </c>
      <c r="G6" s="39" t="s">
        <v>41</v>
      </c>
      <c r="H6" s="39" t="s">
        <v>42</v>
      </c>
      <c r="I6" s="40" t="s">
        <v>43</v>
      </c>
    </row>
    <row r="7" spans="1:9" ht="12.95" customHeight="1">
      <c r="A7" s="3"/>
      <c r="B7" s="43" t="s">
        <v>44</v>
      </c>
      <c r="C7" s="26"/>
      <c r="D7" s="26"/>
      <c r="E7" s="26"/>
      <c r="F7" s="26"/>
      <c r="G7" s="26"/>
      <c r="H7" s="27"/>
      <c r="I7" s="44"/>
    </row>
    <row r="8" spans="1:9" ht="12.95" customHeight="1">
      <c r="A8" s="3"/>
      <c r="B8" s="43" t="s">
        <v>45</v>
      </c>
      <c r="C8" s="26"/>
      <c r="D8" s="26"/>
      <c r="E8" s="26"/>
      <c r="F8" s="28"/>
      <c r="G8" s="27"/>
      <c r="H8" s="27"/>
      <c r="I8" s="44"/>
    </row>
    <row r="9" spans="1:9" ht="12.95" customHeight="1">
      <c r="A9" s="10" t="s">
        <v>168</v>
      </c>
      <c r="B9" s="46" t="s">
        <v>169</v>
      </c>
      <c r="C9" s="26" t="s">
        <v>170</v>
      </c>
      <c r="D9" s="26" t="s">
        <v>98</v>
      </c>
      <c r="E9" s="29">
        <v>178480</v>
      </c>
      <c r="F9" s="30">
        <v>2640.43</v>
      </c>
      <c r="G9" s="31">
        <v>7.9600000000000004E-2</v>
      </c>
      <c r="H9" s="56"/>
      <c r="I9" s="47"/>
    </row>
    <row r="10" spans="1:9" ht="12.95" customHeight="1">
      <c r="A10" s="10" t="s">
        <v>73</v>
      </c>
      <c r="B10" s="46" t="s">
        <v>74</v>
      </c>
      <c r="C10" s="26" t="s">
        <v>75</v>
      </c>
      <c r="D10" s="26" t="s">
        <v>57</v>
      </c>
      <c r="E10" s="29">
        <v>206317</v>
      </c>
      <c r="F10" s="30">
        <v>1744.82</v>
      </c>
      <c r="G10" s="31">
        <v>5.2600000000000001E-2</v>
      </c>
      <c r="H10" s="56"/>
      <c r="I10" s="47"/>
    </row>
    <row r="11" spans="1:9" ht="12.95" customHeight="1">
      <c r="A11" s="10" t="s">
        <v>344</v>
      </c>
      <c r="B11" s="46" t="s">
        <v>345</v>
      </c>
      <c r="C11" s="26" t="s">
        <v>346</v>
      </c>
      <c r="D11" s="26" t="s">
        <v>57</v>
      </c>
      <c r="E11" s="29">
        <v>189856</v>
      </c>
      <c r="F11" s="30">
        <v>1717.53</v>
      </c>
      <c r="G11" s="31">
        <v>5.1799999999999999E-2</v>
      </c>
      <c r="H11" s="56"/>
      <c r="I11" s="47"/>
    </row>
    <row r="12" spans="1:9" ht="12.95" customHeight="1">
      <c r="A12" s="10" t="s">
        <v>215</v>
      </c>
      <c r="B12" s="46" t="s">
        <v>216</v>
      </c>
      <c r="C12" s="26" t="s">
        <v>217</v>
      </c>
      <c r="D12" s="26" t="s">
        <v>197</v>
      </c>
      <c r="E12" s="29">
        <v>64412</v>
      </c>
      <c r="F12" s="30">
        <v>1669.49</v>
      </c>
      <c r="G12" s="31">
        <v>5.0299999999999997E-2</v>
      </c>
      <c r="H12" s="56"/>
      <c r="I12" s="47"/>
    </row>
    <row r="13" spans="1:9" ht="12.95" customHeight="1">
      <c r="A13" s="10" t="s">
        <v>174</v>
      </c>
      <c r="B13" s="46" t="s">
        <v>175</v>
      </c>
      <c r="C13" s="26" t="s">
        <v>176</v>
      </c>
      <c r="D13" s="26" t="s">
        <v>53</v>
      </c>
      <c r="E13" s="29">
        <v>62330</v>
      </c>
      <c r="F13" s="30">
        <v>1612.13</v>
      </c>
      <c r="G13" s="31">
        <v>4.8599999999999997E-2</v>
      </c>
      <c r="H13" s="56"/>
      <c r="I13" s="47"/>
    </row>
    <row r="14" spans="1:9" ht="12.95" customHeight="1">
      <c r="A14" s="10" t="s">
        <v>341</v>
      </c>
      <c r="B14" s="46" t="s">
        <v>342</v>
      </c>
      <c r="C14" s="26" t="s">
        <v>343</v>
      </c>
      <c r="D14" s="26" t="s">
        <v>57</v>
      </c>
      <c r="E14" s="29">
        <v>195602</v>
      </c>
      <c r="F14" s="30">
        <v>1568.53</v>
      </c>
      <c r="G14" s="31">
        <v>4.7300000000000002E-2</v>
      </c>
      <c r="H14" s="56"/>
      <c r="I14" s="47"/>
    </row>
    <row r="15" spans="1:9" ht="12.95" customHeight="1">
      <c r="A15" s="10" t="s">
        <v>184</v>
      </c>
      <c r="B15" s="46" t="s">
        <v>185</v>
      </c>
      <c r="C15" s="26" t="s">
        <v>186</v>
      </c>
      <c r="D15" s="26" t="s">
        <v>164</v>
      </c>
      <c r="E15" s="29">
        <v>70880</v>
      </c>
      <c r="F15" s="30">
        <v>1338.04</v>
      </c>
      <c r="G15" s="31">
        <v>4.0399999999999998E-2</v>
      </c>
      <c r="H15" s="56"/>
      <c r="I15" s="47"/>
    </row>
    <row r="16" spans="1:9" ht="12.95" customHeight="1">
      <c r="A16" s="10" t="s">
        <v>106</v>
      </c>
      <c r="B16" s="46" t="s">
        <v>107</v>
      </c>
      <c r="C16" s="26" t="s">
        <v>108</v>
      </c>
      <c r="D16" s="26" t="s">
        <v>68</v>
      </c>
      <c r="E16" s="29">
        <v>485514</v>
      </c>
      <c r="F16" s="30">
        <v>1058.6600000000001</v>
      </c>
      <c r="G16" s="31">
        <v>3.1899999999999998E-2</v>
      </c>
      <c r="H16" s="56"/>
      <c r="I16" s="47"/>
    </row>
    <row r="17" spans="1:9" ht="12.95" customHeight="1">
      <c r="A17" s="10" t="s">
        <v>384</v>
      </c>
      <c r="B17" s="46" t="s">
        <v>385</v>
      </c>
      <c r="C17" s="26" t="s">
        <v>386</v>
      </c>
      <c r="D17" s="26" t="s">
        <v>53</v>
      </c>
      <c r="E17" s="29">
        <v>67633</v>
      </c>
      <c r="F17" s="30">
        <v>1011.55</v>
      </c>
      <c r="G17" s="31">
        <v>3.0499999999999999E-2</v>
      </c>
      <c r="H17" s="56"/>
      <c r="I17" s="47"/>
    </row>
    <row r="18" spans="1:9" ht="12.95" customHeight="1">
      <c r="A18" s="10" t="s">
        <v>347</v>
      </c>
      <c r="B18" s="46" t="s">
        <v>348</v>
      </c>
      <c r="C18" s="26" t="s">
        <v>349</v>
      </c>
      <c r="D18" s="26" t="s">
        <v>333</v>
      </c>
      <c r="E18" s="29">
        <v>158699</v>
      </c>
      <c r="F18" s="30">
        <v>1011.15</v>
      </c>
      <c r="G18" s="31">
        <v>3.0499999999999999E-2</v>
      </c>
      <c r="H18" s="56"/>
      <c r="I18" s="47"/>
    </row>
    <row r="19" spans="1:9" ht="12.95" customHeight="1">
      <c r="A19" s="10" t="s">
        <v>375</v>
      </c>
      <c r="B19" s="46" t="s">
        <v>376</v>
      </c>
      <c r="C19" s="26" t="s">
        <v>377</v>
      </c>
      <c r="D19" s="26" t="s">
        <v>90</v>
      </c>
      <c r="E19" s="29">
        <v>335906</v>
      </c>
      <c r="F19" s="30">
        <v>982.02</v>
      </c>
      <c r="G19" s="31">
        <v>2.9600000000000001E-2</v>
      </c>
      <c r="H19" s="56"/>
      <c r="I19" s="47"/>
    </row>
    <row r="20" spans="1:9" ht="12.95" customHeight="1">
      <c r="A20" s="10" t="s">
        <v>87</v>
      </c>
      <c r="B20" s="46" t="s">
        <v>88</v>
      </c>
      <c r="C20" s="26" t="s">
        <v>89</v>
      </c>
      <c r="D20" s="26" t="s">
        <v>90</v>
      </c>
      <c r="E20" s="29">
        <v>40831</v>
      </c>
      <c r="F20" s="30">
        <v>966.94</v>
      </c>
      <c r="G20" s="31">
        <v>2.92E-2</v>
      </c>
      <c r="H20" s="56"/>
      <c r="I20" s="47"/>
    </row>
    <row r="21" spans="1:9" ht="12.95" customHeight="1">
      <c r="A21" s="10" t="s">
        <v>80</v>
      </c>
      <c r="B21" s="46" t="s">
        <v>81</v>
      </c>
      <c r="C21" s="26" t="s">
        <v>82</v>
      </c>
      <c r="D21" s="26" t="s">
        <v>57</v>
      </c>
      <c r="E21" s="29">
        <v>87637</v>
      </c>
      <c r="F21" s="30">
        <v>833.21</v>
      </c>
      <c r="G21" s="31">
        <v>2.5100000000000001E-2</v>
      </c>
      <c r="H21" s="56"/>
      <c r="I21" s="47"/>
    </row>
    <row r="22" spans="1:9" ht="12.95" customHeight="1">
      <c r="A22" s="10" t="s">
        <v>356</v>
      </c>
      <c r="B22" s="46" t="s">
        <v>357</v>
      </c>
      <c r="C22" s="26" t="s">
        <v>358</v>
      </c>
      <c r="D22" s="26" t="s">
        <v>53</v>
      </c>
      <c r="E22" s="29">
        <v>708431</v>
      </c>
      <c r="F22" s="30">
        <v>785.3</v>
      </c>
      <c r="G22" s="31">
        <v>2.3699999999999999E-2</v>
      </c>
      <c r="H22" s="56"/>
      <c r="I22" s="47"/>
    </row>
    <row r="23" spans="1:9" ht="12.95" customHeight="1">
      <c r="A23" s="10" t="s">
        <v>353</v>
      </c>
      <c r="B23" s="46" t="s">
        <v>354</v>
      </c>
      <c r="C23" s="26" t="s">
        <v>355</v>
      </c>
      <c r="D23" s="26" t="s">
        <v>207</v>
      </c>
      <c r="E23" s="29">
        <v>334435</v>
      </c>
      <c r="F23" s="30">
        <v>741.28</v>
      </c>
      <c r="G23" s="31">
        <v>2.24E-2</v>
      </c>
      <c r="H23" s="56"/>
      <c r="I23" s="47"/>
    </row>
    <row r="24" spans="1:9" ht="12.95" customHeight="1">
      <c r="A24" s="10" t="s">
        <v>387</v>
      </c>
      <c r="B24" s="46" t="s">
        <v>388</v>
      </c>
      <c r="C24" s="26" t="s">
        <v>389</v>
      </c>
      <c r="D24" s="26" t="s">
        <v>390</v>
      </c>
      <c r="E24" s="29">
        <v>352919</v>
      </c>
      <c r="F24" s="30">
        <v>727.19</v>
      </c>
      <c r="G24" s="31">
        <v>2.1899999999999999E-2</v>
      </c>
      <c r="H24" s="56"/>
      <c r="I24" s="47"/>
    </row>
    <row r="25" spans="1:9" ht="12.95" customHeight="1">
      <c r="A25" s="10" t="s">
        <v>291</v>
      </c>
      <c r="B25" s="46" t="s">
        <v>292</v>
      </c>
      <c r="C25" s="26" t="s">
        <v>293</v>
      </c>
      <c r="D25" s="26" t="s">
        <v>72</v>
      </c>
      <c r="E25" s="29">
        <v>70400</v>
      </c>
      <c r="F25" s="30">
        <v>690.17</v>
      </c>
      <c r="G25" s="31">
        <v>2.0799999999999999E-2</v>
      </c>
      <c r="H25" s="56"/>
      <c r="I25" s="47"/>
    </row>
    <row r="26" spans="1:9" ht="12.95" customHeight="1">
      <c r="A26" s="10" t="s">
        <v>391</v>
      </c>
      <c r="B26" s="46" t="s">
        <v>392</v>
      </c>
      <c r="C26" s="26" t="s">
        <v>393</v>
      </c>
      <c r="D26" s="26" t="s">
        <v>94</v>
      </c>
      <c r="E26" s="29">
        <v>44259</v>
      </c>
      <c r="F26" s="30">
        <v>663.8</v>
      </c>
      <c r="G26" s="31">
        <v>0.02</v>
      </c>
      <c r="H26" s="56"/>
      <c r="I26" s="47"/>
    </row>
    <row r="27" spans="1:9" ht="12.95" customHeight="1">
      <c r="A27" s="10" t="s">
        <v>394</v>
      </c>
      <c r="B27" s="46" t="s">
        <v>395</v>
      </c>
      <c r="C27" s="26" t="s">
        <v>396</v>
      </c>
      <c r="D27" s="26" t="s">
        <v>49</v>
      </c>
      <c r="E27" s="29">
        <v>10477</v>
      </c>
      <c r="F27" s="30">
        <v>662.46</v>
      </c>
      <c r="G27" s="31">
        <v>0.02</v>
      </c>
      <c r="H27" s="56"/>
      <c r="I27" s="47"/>
    </row>
    <row r="28" spans="1:9" ht="12.95" customHeight="1">
      <c r="A28" s="10" t="s">
        <v>397</v>
      </c>
      <c r="B28" s="46" t="s">
        <v>398</v>
      </c>
      <c r="C28" s="26" t="s">
        <v>399</v>
      </c>
      <c r="D28" s="26" t="s">
        <v>68</v>
      </c>
      <c r="E28" s="29">
        <v>109827</v>
      </c>
      <c r="F28" s="30">
        <v>627.11</v>
      </c>
      <c r="G28" s="31">
        <v>1.89E-2</v>
      </c>
      <c r="H28" s="56"/>
      <c r="I28" s="47"/>
    </row>
    <row r="29" spans="1:9" ht="12.95" customHeight="1">
      <c r="A29" s="10" t="s">
        <v>400</v>
      </c>
      <c r="B29" s="46" t="s">
        <v>401</v>
      </c>
      <c r="C29" s="26" t="s">
        <v>402</v>
      </c>
      <c r="D29" s="26" t="s">
        <v>403</v>
      </c>
      <c r="E29" s="29">
        <v>588213</v>
      </c>
      <c r="F29" s="30">
        <v>522.04</v>
      </c>
      <c r="G29" s="31">
        <v>1.5699999999999999E-2</v>
      </c>
      <c r="H29" s="56"/>
      <c r="I29" s="47"/>
    </row>
    <row r="30" spans="1:9" ht="12.95" customHeight="1">
      <c r="A30" s="10" t="s">
        <v>243</v>
      </c>
      <c r="B30" s="46" t="s">
        <v>244</v>
      </c>
      <c r="C30" s="26" t="s">
        <v>245</v>
      </c>
      <c r="D30" s="26" t="s">
        <v>57</v>
      </c>
      <c r="E30" s="29">
        <v>10422</v>
      </c>
      <c r="F30" s="30">
        <v>511.41</v>
      </c>
      <c r="G30" s="31">
        <v>1.54E-2</v>
      </c>
      <c r="H30" s="56"/>
      <c r="I30" s="47"/>
    </row>
    <row r="31" spans="1:9" ht="12.95" customHeight="1">
      <c r="A31" s="10" t="s">
        <v>404</v>
      </c>
      <c r="B31" s="46" t="s">
        <v>405</v>
      </c>
      <c r="C31" s="26" t="s">
        <v>406</v>
      </c>
      <c r="D31" s="26" t="s">
        <v>407</v>
      </c>
      <c r="E31" s="29">
        <v>53794</v>
      </c>
      <c r="F31" s="30">
        <v>506.63</v>
      </c>
      <c r="G31" s="31">
        <v>1.5299999999999999E-2</v>
      </c>
      <c r="H31" s="56"/>
      <c r="I31" s="47"/>
    </row>
    <row r="32" spans="1:9" ht="12.95" customHeight="1">
      <c r="A32" s="10" t="s">
        <v>408</v>
      </c>
      <c r="B32" s="46" t="s">
        <v>409</v>
      </c>
      <c r="C32" s="26" t="s">
        <v>410</v>
      </c>
      <c r="D32" s="26" t="s">
        <v>411</v>
      </c>
      <c r="E32" s="29">
        <v>84704</v>
      </c>
      <c r="F32" s="30">
        <v>493.7</v>
      </c>
      <c r="G32" s="31">
        <v>1.49E-2</v>
      </c>
      <c r="H32" s="56"/>
      <c r="I32" s="47"/>
    </row>
    <row r="33" spans="1:9" ht="12.95" customHeight="1">
      <c r="A33" s="10" t="s">
        <v>371</v>
      </c>
      <c r="B33" s="46" t="s">
        <v>372</v>
      </c>
      <c r="C33" s="26" t="s">
        <v>373</v>
      </c>
      <c r="D33" s="26" t="s">
        <v>374</v>
      </c>
      <c r="E33" s="29">
        <v>21760</v>
      </c>
      <c r="F33" s="30">
        <v>486.03</v>
      </c>
      <c r="G33" s="31">
        <v>1.47E-2</v>
      </c>
      <c r="H33" s="56"/>
      <c r="I33" s="47"/>
    </row>
    <row r="34" spans="1:9" ht="12.95" customHeight="1">
      <c r="A34" s="10" t="s">
        <v>412</v>
      </c>
      <c r="B34" s="46" t="s">
        <v>413</v>
      </c>
      <c r="C34" s="26" t="s">
        <v>414</v>
      </c>
      <c r="D34" s="26" t="s">
        <v>68</v>
      </c>
      <c r="E34" s="29">
        <v>77145</v>
      </c>
      <c r="F34" s="30">
        <v>484.7</v>
      </c>
      <c r="G34" s="31">
        <v>1.46E-2</v>
      </c>
      <c r="H34" s="56"/>
      <c r="I34" s="47"/>
    </row>
    <row r="35" spans="1:9" ht="12.95" customHeight="1">
      <c r="A35" s="10" t="s">
        <v>359</v>
      </c>
      <c r="B35" s="46" t="s">
        <v>360</v>
      </c>
      <c r="C35" s="26" t="s">
        <v>361</v>
      </c>
      <c r="D35" s="26" t="s">
        <v>98</v>
      </c>
      <c r="E35" s="29">
        <v>598431</v>
      </c>
      <c r="F35" s="30">
        <v>470.37</v>
      </c>
      <c r="G35" s="31">
        <v>1.4200000000000001E-2</v>
      </c>
      <c r="H35" s="56"/>
      <c r="I35" s="47"/>
    </row>
    <row r="36" spans="1:9" ht="12.95" customHeight="1">
      <c r="A36" s="10" t="s">
        <v>381</v>
      </c>
      <c r="B36" s="46" t="s">
        <v>382</v>
      </c>
      <c r="C36" s="26" t="s">
        <v>383</v>
      </c>
      <c r="D36" s="26" t="s">
        <v>207</v>
      </c>
      <c r="E36" s="29">
        <v>23417</v>
      </c>
      <c r="F36" s="30">
        <v>462.58</v>
      </c>
      <c r="G36" s="31">
        <v>1.3899999999999999E-2</v>
      </c>
      <c r="H36" s="56"/>
      <c r="I36" s="47"/>
    </row>
    <row r="37" spans="1:9" ht="12.95" customHeight="1">
      <c r="A37" s="10" t="s">
        <v>415</v>
      </c>
      <c r="B37" s="46" t="s">
        <v>416</v>
      </c>
      <c r="C37" s="26" t="s">
        <v>417</v>
      </c>
      <c r="D37" s="26" t="s">
        <v>374</v>
      </c>
      <c r="E37" s="29">
        <v>23036</v>
      </c>
      <c r="F37" s="30">
        <v>411.63</v>
      </c>
      <c r="G37" s="31">
        <v>1.24E-2</v>
      </c>
      <c r="H37" s="56"/>
      <c r="I37" s="47"/>
    </row>
    <row r="38" spans="1:9" ht="12.95" customHeight="1">
      <c r="A38" s="10" t="s">
        <v>418</v>
      </c>
      <c r="B38" s="46" t="s">
        <v>419</v>
      </c>
      <c r="C38" s="26" t="s">
        <v>420</v>
      </c>
      <c r="D38" s="26" t="s">
        <v>57</v>
      </c>
      <c r="E38" s="29">
        <v>288096</v>
      </c>
      <c r="F38" s="30">
        <v>306.82</v>
      </c>
      <c r="G38" s="31">
        <v>9.2999999999999992E-3</v>
      </c>
      <c r="H38" s="56"/>
      <c r="I38" s="47"/>
    </row>
    <row r="39" spans="1:9" ht="12.95" customHeight="1">
      <c r="A39" s="10" t="s">
        <v>421</v>
      </c>
      <c r="B39" s="46" t="s">
        <v>422</v>
      </c>
      <c r="C39" s="26" t="s">
        <v>423</v>
      </c>
      <c r="D39" s="26" t="s">
        <v>407</v>
      </c>
      <c r="E39" s="29">
        <v>7545</v>
      </c>
      <c r="F39" s="30">
        <v>282.27999999999997</v>
      </c>
      <c r="G39" s="31">
        <v>8.5000000000000006E-3</v>
      </c>
      <c r="H39" s="56"/>
      <c r="I39" s="47"/>
    </row>
    <row r="40" spans="1:9" ht="12.95" customHeight="1">
      <c r="A40" s="10" t="s">
        <v>424</v>
      </c>
      <c r="B40" s="46" t="s">
        <v>425</v>
      </c>
      <c r="C40" s="26" t="s">
        <v>426</v>
      </c>
      <c r="D40" s="26" t="s">
        <v>407</v>
      </c>
      <c r="E40" s="29">
        <v>63768</v>
      </c>
      <c r="F40" s="30">
        <v>273.5</v>
      </c>
      <c r="G40" s="31">
        <v>8.2000000000000007E-3</v>
      </c>
      <c r="H40" s="56"/>
      <c r="I40" s="47"/>
    </row>
    <row r="41" spans="1:9" ht="12.95" customHeight="1">
      <c r="A41" s="10" t="s">
        <v>427</v>
      </c>
      <c r="B41" s="46" t="s">
        <v>428</v>
      </c>
      <c r="C41" s="26" t="s">
        <v>429</v>
      </c>
      <c r="D41" s="26" t="s">
        <v>211</v>
      </c>
      <c r="E41" s="29">
        <v>389164</v>
      </c>
      <c r="F41" s="30">
        <v>272.41000000000003</v>
      </c>
      <c r="G41" s="31">
        <v>8.2000000000000007E-3</v>
      </c>
      <c r="H41" s="56"/>
      <c r="I41" s="47"/>
    </row>
    <row r="42" spans="1:9" ht="12.95" customHeight="1">
      <c r="A42" s="10" t="s">
        <v>430</v>
      </c>
      <c r="B42" s="46" t="s">
        <v>431</v>
      </c>
      <c r="C42" s="26" t="s">
        <v>432</v>
      </c>
      <c r="D42" s="26" t="s">
        <v>407</v>
      </c>
      <c r="E42" s="29">
        <v>10471</v>
      </c>
      <c r="F42" s="30">
        <v>200.73</v>
      </c>
      <c r="G42" s="31">
        <v>6.1000000000000004E-3</v>
      </c>
      <c r="H42" s="56"/>
      <c r="I42" s="47"/>
    </row>
    <row r="43" spans="1:9" ht="12.95" customHeight="1">
      <c r="A43" s="10" t="s">
        <v>433</v>
      </c>
      <c r="B43" s="46" t="s">
        <v>434</v>
      </c>
      <c r="C43" s="26" t="s">
        <v>435</v>
      </c>
      <c r="D43" s="26" t="s">
        <v>68</v>
      </c>
      <c r="E43" s="29">
        <v>44000</v>
      </c>
      <c r="F43" s="30">
        <v>188.87</v>
      </c>
      <c r="G43" s="31">
        <v>5.7000000000000002E-3</v>
      </c>
      <c r="H43" s="56"/>
      <c r="I43" s="47"/>
    </row>
    <row r="44" spans="1:9" ht="12.95" customHeight="1">
      <c r="A44" s="10" t="s">
        <v>436</v>
      </c>
      <c r="B44" s="46" t="s">
        <v>437</v>
      </c>
      <c r="C44" s="26" t="s">
        <v>438</v>
      </c>
      <c r="D44" s="26" t="s">
        <v>86</v>
      </c>
      <c r="E44" s="29">
        <v>66729</v>
      </c>
      <c r="F44" s="30">
        <v>182.84</v>
      </c>
      <c r="G44" s="31">
        <v>5.4999999999999997E-3</v>
      </c>
      <c r="H44" s="56"/>
      <c r="I44" s="47"/>
    </row>
    <row r="45" spans="1:9" ht="12.95" customHeight="1">
      <c r="A45" s="10" t="s">
        <v>439</v>
      </c>
      <c r="B45" s="46" t="s">
        <v>440</v>
      </c>
      <c r="C45" s="26" t="s">
        <v>441</v>
      </c>
      <c r="D45" s="26" t="s">
        <v>407</v>
      </c>
      <c r="E45" s="29">
        <v>22492</v>
      </c>
      <c r="F45" s="30">
        <v>181.23</v>
      </c>
      <c r="G45" s="31">
        <v>5.4999999999999997E-3</v>
      </c>
      <c r="H45" s="56"/>
      <c r="I45" s="47"/>
    </row>
    <row r="46" spans="1:9" ht="12.95" customHeight="1">
      <c r="A46" s="10" t="s">
        <v>442</v>
      </c>
      <c r="B46" s="46" t="s">
        <v>443</v>
      </c>
      <c r="C46" s="26" t="s">
        <v>444</v>
      </c>
      <c r="D46" s="26" t="s">
        <v>407</v>
      </c>
      <c r="E46" s="29">
        <v>5351</v>
      </c>
      <c r="F46" s="30">
        <v>179.48</v>
      </c>
      <c r="G46" s="31">
        <v>5.4000000000000003E-3</v>
      </c>
      <c r="H46" s="56"/>
      <c r="I46" s="47"/>
    </row>
    <row r="47" spans="1:9" ht="12.95" customHeight="1">
      <c r="A47" s="10" t="s">
        <v>445</v>
      </c>
      <c r="B47" s="46" t="s">
        <v>446</v>
      </c>
      <c r="C47" s="26" t="s">
        <v>447</v>
      </c>
      <c r="D47" s="26" t="s">
        <v>333</v>
      </c>
      <c r="E47" s="29">
        <v>162500</v>
      </c>
      <c r="F47" s="30">
        <v>150.88</v>
      </c>
      <c r="G47" s="31">
        <v>4.5999999999999999E-3</v>
      </c>
      <c r="H47" s="56"/>
      <c r="I47" s="47"/>
    </row>
    <row r="48" spans="1:9" ht="12.95" customHeight="1">
      <c r="A48" s="10" t="s">
        <v>448</v>
      </c>
      <c r="B48" s="46" t="s">
        <v>449</v>
      </c>
      <c r="C48" s="26" t="s">
        <v>450</v>
      </c>
      <c r="D48" s="26" t="s">
        <v>374</v>
      </c>
      <c r="E48" s="29">
        <v>13286</v>
      </c>
      <c r="F48" s="30">
        <v>103.62</v>
      </c>
      <c r="G48" s="31">
        <v>3.0999999999999999E-3</v>
      </c>
      <c r="H48" s="56"/>
      <c r="I48" s="47"/>
    </row>
    <row r="49" spans="1:9" ht="12.95" customHeight="1">
      <c r="A49" s="10" t="s">
        <v>451</v>
      </c>
      <c r="B49" s="46" t="s">
        <v>452</v>
      </c>
      <c r="C49" s="26" t="s">
        <v>453</v>
      </c>
      <c r="D49" s="26" t="s">
        <v>407</v>
      </c>
      <c r="E49" s="29">
        <v>4039</v>
      </c>
      <c r="F49" s="30">
        <v>80.3</v>
      </c>
      <c r="G49" s="31">
        <v>2.3999999999999998E-3</v>
      </c>
      <c r="H49" s="56"/>
      <c r="I49" s="47"/>
    </row>
    <row r="50" spans="1:9" ht="12.95" customHeight="1">
      <c r="A50" s="10" t="s">
        <v>454</v>
      </c>
      <c r="B50" s="46" t="s">
        <v>455</v>
      </c>
      <c r="C50" s="26" t="s">
        <v>456</v>
      </c>
      <c r="D50" s="26" t="s">
        <v>197</v>
      </c>
      <c r="E50" s="29">
        <v>1284</v>
      </c>
      <c r="F50" s="30">
        <v>35.49</v>
      </c>
      <c r="G50" s="31">
        <v>1.1000000000000001E-3</v>
      </c>
      <c r="H50" s="56"/>
      <c r="I50" s="47"/>
    </row>
    <row r="51" spans="1:9" ht="12.95" customHeight="1">
      <c r="A51" s="10" t="s">
        <v>457</v>
      </c>
      <c r="B51" s="46" t="s">
        <v>458</v>
      </c>
      <c r="C51" s="26" t="s">
        <v>459</v>
      </c>
      <c r="D51" s="26" t="s">
        <v>333</v>
      </c>
      <c r="E51" s="29">
        <v>6311</v>
      </c>
      <c r="F51" s="30">
        <v>27.14</v>
      </c>
      <c r="G51" s="31">
        <v>8.0000000000000004E-4</v>
      </c>
      <c r="H51" s="56"/>
      <c r="I51" s="47"/>
    </row>
    <row r="52" spans="1:9" ht="12.95" customHeight="1">
      <c r="A52" s="3"/>
      <c r="B52" s="43" t="s">
        <v>126</v>
      </c>
      <c r="C52" s="26"/>
      <c r="D52" s="26"/>
      <c r="E52" s="26"/>
      <c r="F52" s="33">
        <v>29866.49</v>
      </c>
      <c r="G52" s="34">
        <v>0.90059999999999996</v>
      </c>
      <c r="H52" s="19"/>
      <c r="I52" s="42"/>
    </row>
    <row r="53" spans="1:9" ht="12.95" customHeight="1">
      <c r="A53" s="3"/>
      <c r="B53" s="45" t="s">
        <v>127</v>
      </c>
      <c r="C53" s="18"/>
      <c r="D53" s="18"/>
      <c r="E53" s="18"/>
      <c r="F53" s="19" t="s">
        <v>128</v>
      </c>
      <c r="G53" s="19" t="s">
        <v>128</v>
      </c>
      <c r="H53" s="19"/>
      <c r="I53" s="42"/>
    </row>
    <row r="54" spans="1:9" ht="12.95" customHeight="1">
      <c r="A54" s="3"/>
      <c r="B54" s="45" t="s">
        <v>126</v>
      </c>
      <c r="C54" s="18"/>
      <c r="D54" s="18"/>
      <c r="E54" s="18"/>
      <c r="F54" s="19" t="s">
        <v>128</v>
      </c>
      <c r="G54" s="19" t="s">
        <v>128</v>
      </c>
      <c r="H54" s="19"/>
      <c r="I54" s="42"/>
    </row>
    <row r="55" spans="1:9" ht="12.95" customHeight="1">
      <c r="A55" s="3"/>
      <c r="B55" s="45" t="s">
        <v>129</v>
      </c>
      <c r="C55" s="22"/>
      <c r="D55" s="18"/>
      <c r="E55" s="22"/>
      <c r="F55" s="33">
        <v>29866.49</v>
      </c>
      <c r="G55" s="34">
        <v>0.90059999999999996</v>
      </c>
      <c r="H55" s="19"/>
      <c r="I55" s="42"/>
    </row>
    <row r="56" spans="1:9" ht="12.95" customHeight="1">
      <c r="A56" s="3"/>
      <c r="B56" s="41" t="s">
        <v>133</v>
      </c>
      <c r="C56" s="20"/>
      <c r="D56" s="20"/>
      <c r="E56" s="20"/>
      <c r="F56" s="21"/>
      <c r="G56" s="21"/>
      <c r="H56" s="21"/>
      <c r="I56" s="44"/>
    </row>
    <row r="57" spans="1:9" ht="12.95" customHeight="1">
      <c r="A57" s="3"/>
      <c r="B57" s="43"/>
      <c r="C57" s="20"/>
      <c r="D57" s="20"/>
      <c r="E57" s="20"/>
      <c r="F57" s="21"/>
      <c r="G57" s="21"/>
      <c r="H57" s="21"/>
      <c r="I57" s="44"/>
    </row>
    <row r="58" spans="1:9" ht="12.95" customHeight="1">
      <c r="A58" s="3"/>
      <c r="B58" s="45" t="s">
        <v>134</v>
      </c>
      <c r="C58" s="18"/>
      <c r="D58" s="18"/>
      <c r="E58" s="18"/>
      <c r="F58" s="19" t="s">
        <v>128</v>
      </c>
      <c r="G58" s="19" t="s">
        <v>128</v>
      </c>
      <c r="H58" s="19"/>
      <c r="I58" s="42"/>
    </row>
    <row r="59" spans="1:9" ht="12.95" customHeight="1">
      <c r="A59" s="3"/>
      <c r="B59" s="43"/>
      <c r="C59" s="20"/>
      <c r="D59" s="20"/>
      <c r="E59" s="20"/>
      <c r="F59" s="21"/>
      <c r="G59" s="21"/>
      <c r="H59" s="21"/>
      <c r="I59" s="44"/>
    </row>
    <row r="60" spans="1:9" ht="12.95" customHeight="1">
      <c r="A60" s="3"/>
      <c r="B60" s="45" t="s">
        <v>135</v>
      </c>
      <c r="C60" s="18"/>
      <c r="D60" s="18"/>
      <c r="E60" s="18"/>
      <c r="F60" s="19" t="s">
        <v>128</v>
      </c>
      <c r="G60" s="19" t="s">
        <v>128</v>
      </c>
      <c r="H60" s="19"/>
      <c r="I60" s="42"/>
    </row>
    <row r="61" spans="1:9" ht="12.95" customHeight="1">
      <c r="A61" s="3"/>
      <c r="B61" s="43"/>
      <c r="C61" s="20"/>
      <c r="D61" s="20"/>
      <c r="E61" s="20"/>
      <c r="F61" s="21"/>
      <c r="G61" s="21"/>
      <c r="H61" s="21"/>
      <c r="I61" s="44"/>
    </row>
    <row r="62" spans="1:9" ht="12.95" customHeight="1">
      <c r="A62" s="3"/>
      <c r="B62" s="45" t="s">
        <v>136</v>
      </c>
      <c r="C62" s="18"/>
      <c r="D62" s="18"/>
      <c r="E62" s="18"/>
      <c r="F62" s="19" t="s">
        <v>128</v>
      </c>
      <c r="G62" s="19" t="s">
        <v>128</v>
      </c>
      <c r="H62" s="19"/>
      <c r="I62" s="42"/>
    </row>
    <row r="63" spans="1:9" ht="12.95" customHeight="1">
      <c r="A63" s="3"/>
      <c r="B63" s="43"/>
      <c r="C63" s="20"/>
      <c r="D63" s="20"/>
      <c r="E63" s="20"/>
      <c r="F63" s="21"/>
      <c r="G63" s="21"/>
      <c r="H63" s="21"/>
      <c r="I63" s="44"/>
    </row>
    <row r="64" spans="1:9" ht="12.95" customHeight="1">
      <c r="A64" s="3"/>
      <c r="B64" s="45" t="s">
        <v>137</v>
      </c>
      <c r="C64" s="18"/>
      <c r="D64" s="18"/>
      <c r="E64" s="18"/>
      <c r="F64" s="19" t="s">
        <v>128</v>
      </c>
      <c r="G64" s="19" t="s">
        <v>128</v>
      </c>
      <c r="H64" s="19"/>
      <c r="I64" s="42"/>
    </row>
    <row r="65" spans="1:9" ht="12.95" customHeight="1">
      <c r="A65" s="3"/>
      <c r="B65" s="43"/>
      <c r="C65" s="20"/>
      <c r="D65" s="20"/>
      <c r="E65" s="20"/>
      <c r="F65" s="21"/>
      <c r="G65" s="21"/>
      <c r="H65" s="21"/>
      <c r="I65" s="44"/>
    </row>
    <row r="66" spans="1:9" ht="12.95" customHeight="1">
      <c r="A66" s="3"/>
      <c r="B66" s="45" t="s">
        <v>138</v>
      </c>
      <c r="C66" s="22"/>
      <c r="D66" s="22"/>
      <c r="E66" s="22"/>
      <c r="F66" s="23" t="s">
        <v>128</v>
      </c>
      <c r="G66" s="23" t="s">
        <v>128</v>
      </c>
      <c r="H66" s="23"/>
      <c r="I66" s="42"/>
    </row>
    <row r="67" spans="1:9" ht="12.95" customHeight="1">
      <c r="A67" s="3"/>
      <c r="B67" s="43"/>
      <c r="C67" s="20"/>
      <c r="D67" s="20"/>
      <c r="E67" s="20"/>
      <c r="F67" s="21"/>
      <c r="G67" s="21"/>
      <c r="H67" s="21"/>
      <c r="I67" s="44"/>
    </row>
    <row r="68" spans="1:9" ht="12.95" customHeight="1">
      <c r="A68" s="3"/>
      <c r="B68" s="45" t="s">
        <v>129</v>
      </c>
      <c r="C68" s="24"/>
      <c r="D68" s="24"/>
      <c r="E68" s="24"/>
      <c r="F68" s="25" t="s">
        <v>128</v>
      </c>
      <c r="G68" s="25" t="s">
        <v>128</v>
      </c>
      <c r="H68" s="25"/>
      <c r="I68" s="42"/>
    </row>
    <row r="69" spans="1:9" ht="12.95" customHeight="1">
      <c r="A69" s="3"/>
      <c r="B69" s="45" t="s">
        <v>139</v>
      </c>
      <c r="C69" s="18"/>
      <c r="D69" s="18"/>
      <c r="E69" s="18"/>
      <c r="F69" s="19" t="s">
        <v>128</v>
      </c>
      <c r="G69" s="19" t="s">
        <v>128</v>
      </c>
      <c r="H69" s="19"/>
      <c r="I69" s="42"/>
    </row>
    <row r="70" spans="1:9" ht="12.95" customHeight="1">
      <c r="A70" s="3"/>
      <c r="B70" s="43"/>
      <c r="C70" s="20"/>
      <c r="D70" s="20"/>
      <c r="E70" s="20"/>
      <c r="F70" s="21"/>
      <c r="G70" s="21"/>
      <c r="H70" s="21"/>
      <c r="I70" s="44"/>
    </row>
    <row r="71" spans="1:9" ht="12.95" customHeight="1">
      <c r="A71" s="3"/>
      <c r="B71" s="45" t="s">
        <v>140</v>
      </c>
      <c r="C71" s="18"/>
      <c r="D71" s="18"/>
      <c r="E71" s="18"/>
      <c r="F71" s="19" t="s">
        <v>128</v>
      </c>
      <c r="G71" s="19" t="s">
        <v>128</v>
      </c>
      <c r="H71" s="19"/>
      <c r="I71" s="42"/>
    </row>
    <row r="72" spans="1:9" ht="12.95" customHeight="1">
      <c r="A72" s="3"/>
      <c r="B72" s="43"/>
      <c r="C72" s="20"/>
      <c r="D72" s="20"/>
      <c r="E72" s="20"/>
      <c r="F72" s="21"/>
      <c r="G72" s="21"/>
      <c r="H72" s="21"/>
      <c r="I72" s="44"/>
    </row>
    <row r="73" spans="1:9" ht="12.95" customHeight="1">
      <c r="A73" s="3"/>
      <c r="B73" s="45" t="s">
        <v>141</v>
      </c>
      <c r="C73" s="18"/>
      <c r="D73" s="18"/>
      <c r="E73" s="18"/>
      <c r="F73" s="19" t="s">
        <v>128</v>
      </c>
      <c r="G73" s="19" t="s">
        <v>128</v>
      </c>
      <c r="H73" s="19"/>
      <c r="I73" s="42"/>
    </row>
    <row r="74" spans="1:9" ht="12.95" customHeight="1">
      <c r="A74" s="3"/>
      <c r="B74" s="43"/>
      <c r="C74" s="20"/>
      <c r="D74" s="20"/>
      <c r="E74" s="20"/>
      <c r="F74" s="21"/>
      <c r="G74" s="21"/>
      <c r="H74" s="21"/>
      <c r="I74" s="44"/>
    </row>
    <row r="75" spans="1:9" ht="12.95" customHeight="1">
      <c r="A75" s="3"/>
      <c r="B75" s="45" t="s">
        <v>142</v>
      </c>
      <c r="C75" s="18"/>
      <c r="D75" s="18"/>
      <c r="E75" s="18"/>
      <c r="F75" s="19" t="s">
        <v>128</v>
      </c>
      <c r="G75" s="19" t="s">
        <v>128</v>
      </c>
      <c r="H75" s="19"/>
      <c r="I75" s="42"/>
    </row>
    <row r="76" spans="1:9" ht="12.95" customHeight="1">
      <c r="A76" s="3"/>
      <c r="B76" s="43"/>
      <c r="C76" s="20"/>
      <c r="D76" s="20"/>
      <c r="E76" s="20"/>
      <c r="F76" s="21"/>
      <c r="G76" s="21"/>
      <c r="H76" s="21"/>
      <c r="I76" s="44"/>
    </row>
    <row r="77" spans="1:9" ht="12.95" customHeight="1">
      <c r="A77" s="3"/>
      <c r="B77" s="45" t="s">
        <v>143</v>
      </c>
      <c r="C77" s="22"/>
      <c r="D77" s="22"/>
      <c r="E77" s="22"/>
      <c r="F77" s="23" t="s">
        <v>128</v>
      </c>
      <c r="G77" s="23" t="s">
        <v>128</v>
      </c>
      <c r="H77" s="23"/>
      <c r="I77" s="42"/>
    </row>
    <row r="78" spans="1:9" ht="12.95" customHeight="1">
      <c r="A78" s="3"/>
      <c r="B78" s="43"/>
      <c r="C78" s="20"/>
      <c r="D78" s="20"/>
      <c r="E78" s="20"/>
      <c r="F78" s="21"/>
      <c r="G78" s="21"/>
      <c r="H78" s="21"/>
      <c r="I78" s="44"/>
    </row>
    <row r="79" spans="1:9" ht="12.95" customHeight="1">
      <c r="A79" s="3"/>
      <c r="B79" s="45" t="s">
        <v>129</v>
      </c>
      <c r="C79" s="24"/>
      <c r="D79" s="24"/>
      <c r="E79" s="24"/>
      <c r="F79" s="25" t="s">
        <v>128</v>
      </c>
      <c r="G79" s="25" t="s">
        <v>128</v>
      </c>
      <c r="H79" s="25"/>
      <c r="I79" s="42"/>
    </row>
    <row r="80" spans="1:9" ht="12.95" customHeight="1">
      <c r="A80" s="3"/>
      <c r="B80" s="45" t="s">
        <v>144</v>
      </c>
      <c r="C80" s="18"/>
      <c r="D80" s="18"/>
      <c r="E80" s="18"/>
      <c r="F80" s="19" t="s">
        <v>128</v>
      </c>
      <c r="G80" s="19" t="s">
        <v>128</v>
      </c>
      <c r="H80" s="19"/>
      <c r="I80" s="42"/>
    </row>
    <row r="81" spans="1:9" ht="12.95" customHeight="1">
      <c r="A81" s="3"/>
      <c r="B81" s="43"/>
      <c r="C81" s="20"/>
      <c r="D81" s="20"/>
      <c r="E81" s="20"/>
      <c r="F81" s="21"/>
      <c r="G81" s="21"/>
      <c r="H81" s="21"/>
      <c r="I81" s="44"/>
    </row>
    <row r="82" spans="1:9" ht="12.95" customHeight="1">
      <c r="A82" s="3"/>
      <c r="B82" s="45" t="s">
        <v>145</v>
      </c>
      <c r="C82" s="18"/>
      <c r="D82" s="18"/>
      <c r="E82" s="18"/>
      <c r="F82" s="19" t="s">
        <v>128</v>
      </c>
      <c r="G82" s="19" t="s">
        <v>128</v>
      </c>
      <c r="H82" s="19"/>
      <c r="I82" s="42"/>
    </row>
    <row r="83" spans="1:9" ht="12.95" customHeight="1">
      <c r="A83" s="3"/>
      <c r="B83" s="43"/>
      <c r="C83" s="20"/>
      <c r="D83" s="20"/>
      <c r="E83" s="20"/>
      <c r="F83" s="21"/>
      <c r="G83" s="21"/>
      <c r="H83" s="21"/>
      <c r="I83" s="44"/>
    </row>
    <row r="84" spans="1:9" ht="12.95" customHeight="1">
      <c r="A84" s="3"/>
      <c r="B84" s="45" t="s">
        <v>146</v>
      </c>
      <c r="C84" s="18"/>
      <c r="D84" s="18"/>
      <c r="E84" s="18"/>
      <c r="F84" s="19" t="s">
        <v>128</v>
      </c>
      <c r="G84" s="19" t="s">
        <v>128</v>
      </c>
      <c r="H84" s="19"/>
      <c r="I84" s="42"/>
    </row>
    <row r="85" spans="1:9" ht="12.95" customHeight="1">
      <c r="A85" s="3"/>
      <c r="B85" s="43"/>
      <c r="C85" s="20"/>
      <c r="D85" s="20"/>
      <c r="E85" s="20"/>
      <c r="F85" s="21"/>
      <c r="G85" s="21"/>
      <c r="H85" s="21"/>
      <c r="I85" s="44"/>
    </row>
    <row r="86" spans="1:9" ht="12.95" customHeight="1">
      <c r="A86" s="3"/>
      <c r="B86" s="45" t="s">
        <v>147</v>
      </c>
      <c r="C86" s="18"/>
      <c r="D86" s="18"/>
      <c r="E86" s="18"/>
      <c r="F86" s="19" t="s">
        <v>128</v>
      </c>
      <c r="G86" s="19" t="s">
        <v>128</v>
      </c>
      <c r="H86" s="19"/>
      <c r="I86" s="42"/>
    </row>
    <row r="87" spans="1:9" ht="12.95" customHeight="1">
      <c r="A87" s="3"/>
      <c r="B87" s="43"/>
      <c r="C87" s="20"/>
      <c r="D87" s="20"/>
      <c r="E87" s="20"/>
      <c r="F87" s="21"/>
      <c r="G87" s="21"/>
      <c r="H87" s="21"/>
      <c r="I87" s="44"/>
    </row>
    <row r="88" spans="1:9" ht="12.95" customHeight="1">
      <c r="A88" s="3"/>
      <c r="B88" s="45" t="s">
        <v>148</v>
      </c>
      <c r="C88" s="18"/>
      <c r="D88" s="18"/>
      <c r="E88" s="18"/>
      <c r="F88" s="19" t="s">
        <v>128</v>
      </c>
      <c r="G88" s="19" t="s">
        <v>128</v>
      </c>
      <c r="H88" s="19"/>
      <c r="I88" s="42"/>
    </row>
    <row r="89" spans="1:9" ht="12.95" customHeight="1">
      <c r="A89" s="3"/>
      <c r="B89" s="43"/>
      <c r="C89" s="20"/>
      <c r="D89" s="20"/>
      <c r="E89" s="20"/>
      <c r="F89" s="21"/>
      <c r="G89" s="21"/>
      <c r="H89" s="21"/>
      <c r="I89" s="44"/>
    </row>
    <row r="90" spans="1:9" ht="12.95" customHeight="1">
      <c r="A90" s="3"/>
      <c r="B90" s="45" t="s">
        <v>129</v>
      </c>
      <c r="C90" s="22"/>
      <c r="D90" s="22"/>
      <c r="E90" s="22"/>
      <c r="F90" s="23" t="s">
        <v>128</v>
      </c>
      <c r="G90" s="23" t="s">
        <v>128</v>
      </c>
      <c r="H90" s="23"/>
      <c r="I90" s="42"/>
    </row>
    <row r="91" spans="1:9" ht="12.95" customHeight="1">
      <c r="A91" s="17"/>
      <c r="B91" s="45"/>
      <c r="C91" s="22"/>
      <c r="D91" s="22"/>
      <c r="E91" s="22"/>
      <c r="F91" s="23"/>
      <c r="G91" s="23"/>
      <c r="H91" s="23"/>
      <c r="I91" s="42"/>
    </row>
    <row r="92" spans="1:9" ht="12.95" customHeight="1">
      <c r="A92" s="3"/>
      <c r="B92" s="43" t="s">
        <v>130</v>
      </c>
      <c r="C92" s="26"/>
      <c r="D92" s="26"/>
      <c r="E92" s="26"/>
      <c r="F92" s="26"/>
      <c r="G92" s="26"/>
      <c r="H92" s="27"/>
      <c r="I92" s="44"/>
    </row>
    <row r="93" spans="1:9" ht="12.95" customHeight="1">
      <c r="A93" s="10" t="s">
        <v>131</v>
      </c>
      <c r="B93" s="46" t="s">
        <v>132</v>
      </c>
      <c r="C93" s="26"/>
      <c r="D93" s="26"/>
      <c r="E93" s="29"/>
      <c r="F93" s="30">
        <v>5649.94</v>
      </c>
      <c r="G93" s="31">
        <v>0.1704</v>
      </c>
      <c r="H93" s="56"/>
      <c r="I93" s="47"/>
    </row>
    <row r="94" spans="1:9" ht="12.95" customHeight="1">
      <c r="A94" s="3"/>
      <c r="B94" s="43" t="s">
        <v>126</v>
      </c>
      <c r="C94" s="26"/>
      <c r="D94" s="26"/>
      <c r="E94" s="26"/>
      <c r="F94" s="33">
        <v>5649.94</v>
      </c>
      <c r="G94" s="34">
        <v>0.1704</v>
      </c>
      <c r="H94" s="19"/>
      <c r="I94" s="42"/>
    </row>
    <row r="95" spans="1:9" ht="12.95" customHeight="1">
      <c r="A95" s="3"/>
      <c r="B95" s="45" t="s">
        <v>129</v>
      </c>
      <c r="C95" s="22"/>
      <c r="D95" s="18"/>
      <c r="E95" s="22"/>
      <c r="F95" s="33">
        <v>5649.94</v>
      </c>
      <c r="G95" s="34">
        <v>0.1704</v>
      </c>
      <c r="H95" s="19"/>
      <c r="I95" s="42"/>
    </row>
    <row r="96" spans="1:9" ht="12.95" customHeight="1">
      <c r="A96" s="3"/>
      <c r="B96" s="45" t="s">
        <v>149</v>
      </c>
      <c r="C96" s="35"/>
      <c r="D96" s="18"/>
      <c r="E96" s="22"/>
      <c r="F96" s="36">
        <v>-2355.86</v>
      </c>
      <c r="G96" s="34">
        <v>-7.0999999999999994E-2</v>
      </c>
      <c r="H96" s="19"/>
      <c r="I96" s="42"/>
    </row>
    <row r="97" spans="1:9" ht="12.95" customHeight="1" thickBot="1">
      <c r="A97" s="3"/>
      <c r="B97" s="49" t="s">
        <v>150</v>
      </c>
      <c r="C97" s="50"/>
      <c r="D97" s="50"/>
      <c r="E97" s="50"/>
      <c r="F97" s="51">
        <v>33160.57</v>
      </c>
      <c r="G97" s="52">
        <v>1</v>
      </c>
      <c r="H97" s="53"/>
      <c r="I97" s="54"/>
    </row>
    <row r="98" spans="1:9" ht="12.95" customHeight="1">
      <c r="A98" s="3"/>
      <c r="B98" s="118"/>
      <c r="C98" s="118"/>
      <c r="D98" s="118"/>
      <c r="E98" s="118"/>
      <c r="F98" s="118"/>
      <c r="G98" s="118"/>
      <c r="H98" s="118"/>
      <c r="I98" s="118"/>
    </row>
    <row r="99" spans="1:9" ht="12.95" customHeight="1">
      <c r="A99" s="3"/>
      <c r="B99" s="118"/>
      <c r="C99" s="118"/>
      <c r="D99" s="118"/>
      <c r="E99" s="118"/>
      <c r="F99" s="118"/>
      <c r="G99" s="118"/>
      <c r="H99" s="118"/>
      <c r="I99" s="118"/>
    </row>
    <row r="100" spans="1:9" ht="12.95" customHeight="1">
      <c r="A100" s="3"/>
      <c r="B100" s="118" t="s">
        <v>151</v>
      </c>
      <c r="C100" s="118"/>
      <c r="D100" s="118"/>
      <c r="E100" s="118"/>
      <c r="F100" s="118"/>
      <c r="G100" s="118"/>
      <c r="H100" s="118"/>
      <c r="I100" s="118"/>
    </row>
    <row r="101" spans="1:9" ht="12.95" customHeight="1">
      <c r="A101" s="3"/>
      <c r="B101" s="117" t="s">
        <v>152</v>
      </c>
      <c r="C101" s="117"/>
      <c r="D101" s="117"/>
      <c r="E101" s="117"/>
      <c r="F101" s="117"/>
      <c r="G101" s="117"/>
      <c r="H101" s="117"/>
      <c r="I101" s="117"/>
    </row>
    <row r="102" spans="1:9" ht="12.95" customHeight="1">
      <c r="A102" s="3"/>
      <c r="B102" s="117" t="s">
        <v>153</v>
      </c>
      <c r="C102" s="117"/>
      <c r="D102" s="117"/>
      <c r="E102" s="117"/>
      <c r="F102" s="117"/>
      <c r="G102" s="117"/>
      <c r="H102" s="117"/>
      <c r="I102" s="117"/>
    </row>
    <row r="103" spans="1:9" ht="12.95" customHeight="1">
      <c r="A103" s="3"/>
      <c r="B103" s="117" t="s">
        <v>154</v>
      </c>
      <c r="C103" s="117"/>
      <c r="D103" s="117"/>
      <c r="E103" s="117"/>
      <c r="F103" s="117"/>
      <c r="G103" s="117"/>
      <c r="H103" s="117"/>
      <c r="I103" s="117"/>
    </row>
    <row r="104" spans="1:9" ht="12.95" customHeight="1">
      <c r="A104" s="3"/>
      <c r="B104" s="117" t="s">
        <v>155</v>
      </c>
      <c r="C104" s="117"/>
      <c r="D104" s="117"/>
      <c r="E104" s="117"/>
      <c r="F104" s="117"/>
      <c r="G104" s="117"/>
      <c r="H104" s="117"/>
      <c r="I104" s="117"/>
    </row>
    <row r="105" spans="1:9" ht="12.95" customHeight="1">
      <c r="A105" s="3"/>
      <c r="B105" s="117" t="s">
        <v>156</v>
      </c>
      <c r="C105" s="117"/>
      <c r="D105" s="117"/>
      <c r="E105" s="117"/>
      <c r="F105" s="117"/>
      <c r="G105" s="117"/>
      <c r="H105" s="117"/>
      <c r="I105" s="117"/>
    </row>
    <row r="107" spans="1:9">
      <c r="B107" s="95" t="s">
        <v>715</v>
      </c>
    </row>
    <row r="116" spans="2:2">
      <c r="B116" t="s">
        <v>716</v>
      </c>
    </row>
    <row r="117" spans="2:2" ht="15.75">
      <c r="B117" s="96" t="s">
        <v>727</v>
      </c>
    </row>
  </sheetData>
  <mergeCells count="8">
    <mergeCell ref="B103:I103"/>
    <mergeCell ref="B104:I104"/>
    <mergeCell ref="B105:I105"/>
    <mergeCell ref="B98:I98"/>
    <mergeCell ref="B99:I99"/>
    <mergeCell ref="B100:I100"/>
    <mergeCell ref="B101:I101"/>
    <mergeCell ref="B102:I102"/>
  </mergeCells>
  <pageMargins left="0" right="0" top="0" bottom="0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26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  <col min="13" max="13" width="21.140625" bestFit="1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7" t="s">
        <v>36</v>
      </c>
      <c r="C6" s="38" t="s">
        <v>37</v>
      </c>
      <c r="D6" s="39" t="s">
        <v>38</v>
      </c>
      <c r="E6" s="39" t="s">
        <v>39</v>
      </c>
      <c r="F6" s="39" t="s">
        <v>40</v>
      </c>
      <c r="G6" s="39" t="s">
        <v>41</v>
      </c>
      <c r="H6" s="39" t="s">
        <v>42</v>
      </c>
      <c r="I6" s="40" t="s">
        <v>43</v>
      </c>
    </row>
    <row r="7" spans="1:9" ht="12.95" customHeight="1">
      <c r="A7" s="3"/>
      <c r="B7" s="43" t="s">
        <v>44</v>
      </c>
      <c r="C7" s="26"/>
      <c r="D7" s="26"/>
      <c r="E7" s="26"/>
      <c r="F7" s="26"/>
      <c r="G7" s="26"/>
      <c r="H7" s="27"/>
      <c r="I7" s="44"/>
    </row>
    <row r="8" spans="1:9" ht="12.95" customHeight="1">
      <c r="A8" s="3"/>
      <c r="B8" s="43" t="s">
        <v>45</v>
      </c>
      <c r="C8" s="26"/>
      <c r="D8" s="26"/>
      <c r="E8" s="26"/>
      <c r="F8" s="28"/>
      <c r="G8" s="27"/>
      <c r="H8" s="27"/>
      <c r="I8" s="44"/>
    </row>
    <row r="9" spans="1:9" ht="12.95" customHeight="1">
      <c r="A9" s="10" t="s">
        <v>341</v>
      </c>
      <c r="B9" s="46" t="s">
        <v>342</v>
      </c>
      <c r="C9" s="26" t="s">
        <v>343</v>
      </c>
      <c r="D9" s="26" t="s">
        <v>57</v>
      </c>
      <c r="E9" s="29">
        <v>239991</v>
      </c>
      <c r="F9" s="30">
        <v>1924.49</v>
      </c>
      <c r="G9" s="31">
        <v>5.1999999999999998E-2</v>
      </c>
      <c r="H9" s="56"/>
      <c r="I9" s="47"/>
    </row>
    <row r="10" spans="1:9" ht="12.95" customHeight="1">
      <c r="A10" s="10" t="s">
        <v>344</v>
      </c>
      <c r="B10" s="46" t="s">
        <v>345</v>
      </c>
      <c r="C10" s="26" t="s">
        <v>346</v>
      </c>
      <c r="D10" s="26" t="s">
        <v>57</v>
      </c>
      <c r="E10" s="29">
        <v>205000</v>
      </c>
      <c r="F10" s="30">
        <v>1854.53</v>
      </c>
      <c r="G10" s="31">
        <v>5.0099999999999999E-2</v>
      </c>
      <c r="H10" s="56"/>
      <c r="I10" s="47"/>
    </row>
    <row r="11" spans="1:9" ht="12.95" customHeight="1">
      <c r="A11" s="10" t="s">
        <v>460</v>
      </c>
      <c r="B11" s="46" t="s">
        <v>461</v>
      </c>
      <c r="C11" s="26" t="s">
        <v>462</v>
      </c>
      <c r="D11" s="26" t="s">
        <v>333</v>
      </c>
      <c r="E11" s="29">
        <v>1785</v>
      </c>
      <c r="F11" s="30">
        <v>1309.08</v>
      </c>
      <c r="G11" s="31">
        <v>3.5400000000000001E-2</v>
      </c>
      <c r="H11" s="56"/>
      <c r="I11" s="47"/>
    </row>
    <row r="12" spans="1:9" ht="12.95" customHeight="1">
      <c r="A12" s="10" t="s">
        <v>463</v>
      </c>
      <c r="B12" s="46" t="s">
        <v>464</v>
      </c>
      <c r="C12" s="26" t="s">
        <v>465</v>
      </c>
      <c r="D12" s="26" t="s">
        <v>86</v>
      </c>
      <c r="E12" s="29">
        <v>26044</v>
      </c>
      <c r="F12" s="30">
        <v>1293.1400000000001</v>
      </c>
      <c r="G12" s="31">
        <v>3.49E-2</v>
      </c>
      <c r="H12" s="56"/>
      <c r="I12" s="47"/>
    </row>
    <row r="13" spans="1:9" ht="12.95" customHeight="1">
      <c r="A13" s="10" t="s">
        <v>466</v>
      </c>
      <c r="B13" s="46" t="s">
        <v>467</v>
      </c>
      <c r="C13" s="26" t="s">
        <v>468</v>
      </c>
      <c r="D13" s="26" t="s">
        <v>57</v>
      </c>
      <c r="E13" s="29">
        <v>15773</v>
      </c>
      <c r="F13" s="30">
        <v>1244.05</v>
      </c>
      <c r="G13" s="31">
        <v>3.3599999999999998E-2</v>
      </c>
      <c r="H13" s="56"/>
      <c r="I13" s="47"/>
    </row>
    <row r="14" spans="1:9" ht="12.95" customHeight="1">
      <c r="A14" s="10" t="s">
        <v>469</v>
      </c>
      <c r="B14" s="46" t="s">
        <v>470</v>
      </c>
      <c r="C14" s="26" t="s">
        <v>471</v>
      </c>
      <c r="D14" s="26" t="s">
        <v>207</v>
      </c>
      <c r="E14" s="29">
        <v>68479</v>
      </c>
      <c r="F14" s="30">
        <v>1206.43</v>
      </c>
      <c r="G14" s="31">
        <v>3.2599999999999997E-2</v>
      </c>
      <c r="H14" s="56"/>
      <c r="I14" s="47"/>
    </row>
    <row r="15" spans="1:9" ht="12.95" customHeight="1">
      <c r="A15" s="10" t="s">
        <v>404</v>
      </c>
      <c r="B15" s="46" t="s">
        <v>405</v>
      </c>
      <c r="C15" s="26" t="s">
        <v>406</v>
      </c>
      <c r="D15" s="26" t="s">
        <v>407</v>
      </c>
      <c r="E15" s="29">
        <v>126096</v>
      </c>
      <c r="F15" s="30">
        <v>1187.57</v>
      </c>
      <c r="G15" s="31">
        <v>3.2099999999999997E-2</v>
      </c>
      <c r="H15" s="56"/>
      <c r="I15" s="47"/>
    </row>
    <row r="16" spans="1:9" ht="12.95" customHeight="1">
      <c r="A16" s="10" t="s">
        <v>347</v>
      </c>
      <c r="B16" s="46" t="s">
        <v>348</v>
      </c>
      <c r="C16" s="26" t="s">
        <v>349</v>
      </c>
      <c r="D16" s="26" t="s">
        <v>333</v>
      </c>
      <c r="E16" s="29">
        <v>181200</v>
      </c>
      <c r="F16" s="30">
        <v>1154.52</v>
      </c>
      <c r="G16" s="31">
        <v>3.1199999999999999E-2</v>
      </c>
      <c r="H16" s="56"/>
      <c r="I16" s="47"/>
    </row>
    <row r="17" spans="1:9" ht="12.95" customHeight="1">
      <c r="A17" s="10" t="s">
        <v>73</v>
      </c>
      <c r="B17" s="46" t="s">
        <v>74</v>
      </c>
      <c r="C17" s="26" t="s">
        <v>75</v>
      </c>
      <c r="D17" s="26" t="s">
        <v>57</v>
      </c>
      <c r="E17" s="29">
        <v>134716</v>
      </c>
      <c r="F17" s="30">
        <v>1139.29</v>
      </c>
      <c r="G17" s="31">
        <v>3.0800000000000001E-2</v>
      </c>
      <c r="H17" s="56"/>
      <c r="I17" s="47"/>
    </row>
    <row r="18" spans="1:9" ht="12.95" customHeight="1">
      <c r="A18" s="10" t="s">
        <v>472</v>
      </c>
      <c r="B18" s="46" t="s">
        <v>473</v>
      </c>
      <c r="C18" s="26" t="s">
        <v>474</v>
      </c>
      <c r="D18" s="26" t="s">
        <v>68</v>
      </c>
      <c r="E18" s="29">
        <v>185382</v>
      </c>
      <c r="F18" s="30">
        <v>1095.98</v>
      </c>
      <c r="G18" s="31">
        <v>2.9600000000000001E-2</v>
      </c>
      <c r="H18" s="56"/>
      <c r="I18" s="47"/>
    </row>
    <row r="19" spans="1:9" ht="12.95" customHeight="1">
      <c r="A19" s="10" t="s">
        <v>475</v>
      </c>
      <c r="B19" s="46" t="s">
        <v>476</v>
      </c>
      <c r="C19" s="26" t="s">
        <v>477</v>
      </c>
      <c r="D19" s="26" t="s">
        <v>98</v>
      </c>
      <c r="E19" s="29">
        <v>1307856</v>
      </c>
      <c r="F19" s="30">
        <v>1085.52</v>
      </c>
      <c r="G19" s="31">
        <v>2.93E-2</v>
      </c>
      <c r="H19" s="56"/>
      <c r="I19" s="47"/>
    </row>
    <row r="20" spans="1:9" ht="12.95" customHeight="1">
      <c r="A20" s="10" t="s">
        <v>165</v>
      </c>
      <c r="B20" s="46" t="s">
        <v>166</v>
      </c>
      <c r="C20" s="26" t="s">
        <v>167</v>
      </c>
      <c r="D20" s="26" t="s">
        <v>68</v>
      </c>
      <c r="E20" s="29">
        <v>45000</v>
      </c>
      <c r="F20" s="30">
        <v>1062.07</v>
      </c>
      <c r="G20" s="31">
        <v>2.87E-2</v>
      </c>
      <c r="H20" s="56"/>
      <c r="I20" s="47"/>
    </row>
    <row r="21" spans="1:9" ht="12.95" customHeight="1">
      <c r="A21" s="10" t="s">
        <v>291</v>
      </c>
      <c r="B21" s="46" t="s">
        <v>292</v>
      </c>
      <c r="C21" s="26" t="s">
        <v>293</v>
      </c>
      <c r="D21" s="26" t="s">
        <v>72</v>
      </c>
      <c r="E21" s="29">
        <v>106923</v>
      </c>
      <c r="F21" s="30">
        <v>1048.22</v>
      </c>
      <c r="G21" s="31">
        <v>2.8299999999999999E-2</v>
      </c>
      <c r="H21" s="56"/>
      <c r="I21" s="47"/>
    </row>
    <row r="22" spans="1:9" ht="12.95" customHeight="1">
      <c r="A22" s="10" t="s">
        <v>375</v>
      </c>
      <c r="B22" s="46" t="s">
        <v>376</v>
      </c>
      <c r="C22" s="26" t="s">
        <v>377</v>
      </c>
      <c r="D22" s="26" t="s">
        <v>90</v>
      </c>
      <c r="E22" s="29">
        <v>310000</v>
      </c>
      <c r="F22" s="30">
        <v>906.29</v>
      </c>
      <c r="G22" s="31">
        <v>2.4500000000000001E-2</v>
      </c>
      <c r="H22" s="56"/>
      <c r="I22" s="47"/>
    </row>
    <row r="23" spans="1:9" ht="12.95" customHeight="1">
      <c r="A23" s="10" t="s">
        <v>478</v>
      </c>
      <c r="B23" s="46" t="s">
        <v>479</v>
      </c>
      <c r="C23" s="26" t="s">
        <v>480</v>
      </c>
      <c r="D23" s="26" t="s">
        <v>57</v>
      </c>
      <c r="E23" s="29">
        <v>171256</v>
      </c>
      <c r="F23" s="30">
        <v>844.72</v>
      </c>
      <c r="G23" s="31">
        <v>2.2800000000000001E-2</v>
      </c>
      <c r="H23" s="56"/>
      <c r="I23" s="47"/>
    </row>
    <row r="24" spans="1:9" ht="12.95" customHeight="1">
      <c r="A24" s="10" t="s">
        <v>481</v>
      </c>
      <c r="B24" s="46" t="s">
        <v>482</v>
      </c>
      <c r="C24" s="26" t="s">
        <v>483</v>
      </c>
      <c r="D24" s="26" t="s">
        <v>407</v>
      </c>
      <c r="E24" s="29">
        <v>9178</v>
      </c>
      <c r="F24" s="30">
        <v>806.23</v>
      </c>
      <c r="G24" s="31">
        <v>2.18E-2</v>
      </c>
      <c r="H24" s="56"/>
      <c r="I24" s="47"/>
    </row>
    <row r="25" spans="1:9" ht="12.95" customHeight="1">
      <c r="A25" s="10" t="s">
        <v>484</v>
      </c>
      <c r="B25" s="46" t="s">
        <v>485</v>
      </c>
      <c r="C25" s="26" t="s">
        <v>486</v>
      </c>
      <c r="D25" s="26" t="s">
        <v>98</v>
      </c>
      <c r="E25" s="29">
        <v>900000</v>
      </c>
      <c r="F25" s="30">
        <v>737.55</v>
      </c>
      <c r="G25" s="31">
        <v>1.9900000000000001E-2</v>
      </c>
      <c r="H25" s="56"/>
      <c r="I25" s="47"/>
    </row>
    <row r="26" spans="1:9" ht="12.95" customHeight="1">
      <c r="A26" s="10" t="s">
        <v>184</v>
      </c>
      <c r="B26" s="46" t="s">
        <v>185</v>
      </c>
      <c r="C26" s="26" t="s">
        <v>186</v>
      </c>
      <c r="D26" s="26" t="s">
        <v>164</v>
      </c>
      <c r="E26" s="29">
        <v>39000</v>
      </c>
      <c r="F26" s="30">
        <v>736.22</v>
      </c>
      <c r="G26" s="31">
        <v>1.9900000000000001E-2</v>
      </c>
      <c r="H26" s="56"/>
      <c r="I26" s="47"/>
    </row>
    <row r="27" spans="1:9" ht="12.95" customHeight="1">
      <c r="A27" s="10" t="s">
        <v>487</v>
      </c>
      <c r="B27" s="46" t="s">
        <v>488</v>
      </c>
      <c r="C27" s="26" t="s">
        <v>489</v>
      </c>
      <c r="D27" s="26" t="s">
        <v>490</v>
      </c>
      <c r="E27" s="29">
        <v>80000</v>
      </c>
      <c r="F27" s="30">
        <v>690.36</v>
      </c>
      <c r="G27" s="31">
        <v>1.8599999999999998E-2</v>
      </c>
      <c r="H27" s="56"/>
      <c r="I27" s="47"/>
    </row>
    <row r="28" spans="1:9" ht="12.95" customHeight="1">
      <c r="A28" s="10" t="s">
        <v>491</v>
      </c>
      <c r="B28" s="46" t="s">
        <v>492</v>
      </c>
      <c r="C28" s="26" t="s">
        <v>493</v>
      </c>
      <c r="D28" s="26" t="s">
        <v>494</v>
      </c>
      <c r="E28" s="29">
        <v>313356</v>
      </c>
      <c r="F28" s="30">
        <v>657.89</v>
      </c>
      <c r="G28" s="31">
        <v>1.78E-2</v>
      </c>
      <c r="H28" s="56"/>
      <c r="I28" s="47"/>
    </row>
    <row r="29" spans="1:9" ht="12.95" customHeight="1">
      <c r="A29" s="10" t="s">
        <v>495</v>
      </c>
      <c r="B29" s="46" t="s">
        <v>496</v>
      </c>
      <c r="C29" s="26" t="s">
        <v>497</v>
      </c>
      <c r="D29" s="26" t="s">
        <v>498</v>
      </c>
      <c r="E29" s="29">
        <v>126500</v>
      </c>
      <c r="F29" s="30">
        <v>632.63</v>
      </c>
      <c r="G29" s="31">
        <v>1.7100000000000001E-2</v>
      </c>
      <c r="H29" s="56"/>
      <c r="I29" s="47"/>
    </row>
    <row r="30" spans="1:9" ht="12.95" customHeight="1">
      <c r="A30" s="10" t="s">
        <v>499</v>
      </c>
      <c r="B30" s="46" t="s">
        <v>500</v>
      </c>
      <c r="C30" s="26" t="s">
        <v>501</v>
      </c>
      <c r="D30" s="26" t="s">
        <v>53</v>
      </c>
      <c r="E30" s="29">
        <v>105075</v>
      </c>
      <c r="F30" s="30">
        <v>628.19000000000005</v>
      </c>
      <c r="G30" s="31">
        <v>1.7000000000000001E-2</v>
      </c>
      <c r="H30" s="56"/>
      <c r="I30" s="47"/>
    </row>
    <row r="31" spans="1:9" ht="12.95" customHeight="1">
      <c r="A31" s="10" t="s">
        <v>412</v>
      </c>
      <c r="B31" s="46" t="s">
        <v>413</v>
      </c>
      <c r="C31" s="26" t="s">
        <v>414</v>
      </c>
      <c r="D31" s="26" t="s">
        <v>68</v>
      </c>
      <c r="E31" s="29">
        <v>95628</v>
      </c>
      <c r="F31" s="30">
        <v>600.83000000000004</v>
      </c>
      <c r="G31" s="31">
        <v>1.6199999999999999E-2</v>
      </c>
      <c r="H31" s="56"/>
      <c r="I31" s="47"/>
    </row>
    <row r="32" spans="1:9" ht="12.95" customHeight="1">
      <c r="A32" s="10" t="s">
        <v>502</v>
      </c>
      <c r="B32" s="46" t="s">
        <v>503</v>
      </c>
      <c r="C32" s="26" t="s">
        <v>504</v>
      </c>
      <c r="D32" s="26" t="s">
        <v>86</v>
      </c>
      <c r="E32" s="29">
        <v>151939</v>
      </c>
      <c r="F32" s="30">
        <v>586.55999999999995</v>
      </c>
      <c r="G32" s="31">
        <v>1.5800000000000002E-2</v>
      </c>
      <c r="H32" s="56"/>
      <c r="I32" s="47"/>
    </row>
    <row r="33" spans="1:13" ht="12.95" customHeight="1">
      <c r="A33" s="10" t="s">
        <v>505</v>
      </c>
      <c r="B33" s="46" t="s">
        <v>506</v>
      </c>
      <c r="C33" s="26" t="s">
        <v>507</v>
      </c>
      <c r="D33" s="26" t="s">
        <v>68</v>
      </c>
      <c r="E33" s="29">
        <v>28070</v>
      </c>
      <c r="F33" s="30">
        <v>574.16</v>
      </c>
      <c r="G33" s="31">
        <v>1.55E-2</v>
      </c>
      <c r="H33" s="56"/>
      <c r="I33" s="47"/>
    </row>
    <row r="34" spans="1:13" ht="12.95" customHeight="1">
      <c r="A34" s="10" t="s">
        <v>508</v>
      </c>
      <c r="B34" s="46" t="s">
        <v>509</v>
      </c>
      <c r="C34" s="26" t="s">
        <v>510</v>
      </c>
      <c r="D34" s="26" t="s">
        <v>193</v>
      </c>
      <c r="E34" s="29">
        <v>25500</v>
      </c>
      <c r="F34" s="30">
        <v>565.02</v>
      </c>
      <c r="G34" s="31">
        <v>1.5299999999999999E-2</v>
      </c>
      <c r="H34" s="56"/>
      <c r="I34" s="47"/>
    </row>
    <row r="35" spans="1:13" ht="12.95" customHeight="1">
      <c r="A35" s="10" t="s">
        <v>365</v>
      </c>
      <c r="B35" s="46" t="s">
        <v>366</v>
      </c>
      <c r="C35" s="26" t="s">
        <v>367</v>
      </c>
      <c r="D35" s="26" t="s">
        <v>197</v>
      </c>
      <c r="E35" s="29">
        <v>90000</v>
      </c>
      <c r="F35" s="30">
        <v>564.29999999999995</v>
      </c>
      <c r="G35" s="31">
        <v>1.52E-2</v>
      </c>
      <c r="H35" s="56"/>
      <c r="I35" s="47"/>
    </row>
    <row r="36" spans="1:13" ht="12.95" customHeight="1">
      <c r="A36" s="10" t="s">
        <v>511</v>
      </c>
      <c r="B36" s="46" t="s">
        <v>512</v>
      </c>
      <c r="C36" s="26" t="s">
        <v>513</v>
      </c>
      <c r="D36" s="26" t="s">
        <v>68</v>
      </c>
      <c r="E36" s="29">
        <v>29750</v>
      </c>
      <c r="F36" s="30">
        <v>560.64</v>
      </c>
      <c r="G36" s="31">
        <v>1.5100000000000001E-2</v>
      </c>
      <c r="H36" s="56"/>
      <c r="I36" s="47"/>
    </row>
    <row r="37" spans="1:13" ht="12.95" customHeight="1">
      <c r="A37" s="10" t="s">
        <v>514</v>
      </c>
      <c r="B37" s="46" t="s">
        <v>515</v>
      </c>
      <c r="C37" s="26" t="s">
        <v>516</v>
      </c>
      <c r="D37" s="26" t="s">
        <v>193</v>
      </c>
      <c r="E37" s="29">
        <v>55550</v>
      </c>
      <c r="F37" s="30">
        <v>557.78</v>
      </c>
      <c r="G37" s="31">
        <v>1.5100000000000001E-2</v>
      </c>
      <c r="H37" s="56"/>
      <c r="I37" s="47"/>
    </row>
    <row r="38" spans="1:13" ht="12.95" customHeight="1">
      <c r="A38" s="10" t="s">
        <v>517</v>
      </c>
      <c r="B38" s="46" t="s">
        <v>518</v>
      </c>
      <c r="C38" s="26" t="s">
        <v>519</v>
      </c>
      <c r="D38" s="26" t="s">
        <v>183</v>
      </c>
      <c r="E38" s="29">
        <v>37550</v>
      </c>
      <c r="F38" s="30">
        <v>549.9</v>
      </c>
      <c r="G38" s="31">
        <v>1.4800000000000001E-2</v>
      </c>
      <c r="H38" s="56"/>
      <c r="I38" s="47"/>
    </row>
    <row r="39" spans="1:13" ht="12.95" customHeight="1">
      <c r="A39" s="10" t="s">
        <v>520</v>
      </c>
      <c r="B39" s="46" t="s">
        <v>521</v>
      </c>
      <c r="C39" s="26" t="s">
        <v>522</v>
      </c>
      <c r="D39" s="26" t="s">
        <v>197</v>
      </c>
      <c r="E39" s="29">
        <v>418821</v>
      </c>
      <c r="F39" s="30">
        <v>512.85</v>
      </c>
      <c r="G39" s="31">
        <v>1.38E-2</v>
      </c>
      <c r="H39" s="56"/>
      <c r="I39" s="47"/>
    </row>
    <row r="40" spans="1:13" ht="12.95" customHeight="1">
      <c r="A40" s="10" t="s">
        <v>523</v>
      </c>
      <c r="B40" s="46" t="s">
        <v>524</v>
      </c>
      <c r="C40" s="26" t="s">
        <v>525</v>
      </c>
      <c r="D40" s="26" t="s">
        <v>53</v>
      </c>
      <c r="E40" s="29">
        <v>19232</v>
      </c>
      <c r="F40" s="30">
        <v>503.12</v>
      </c>
      <c r="G40" s="31">
        <v>1.3599999999999999E-2</v>
      </c>
      <c r="H40" s="56"/>
      <c r="I40" s="47"/>
    </row>
    <row r="41" spans="1:13" ht="12.95" customHeight="1">
      <c r="A41" s="10" t="s">
        <v>526</v>
      </c>
      <c r="B41" s="46" t="s">
        <v>527</v>
      </c>
      <c r="C41" s="26" t="s">
        <v>528</v>
      </c>
      <c r="D41" s="26" t="s">
        <v>407</v>
      </c>
      <c r="E41" s="29">
        <v>65966</v>
      </c>
      <c r="F41" s="30">
        <v>460.34</v>
      </c>
      <c r="G41" s="31">
        <v>1.24E-2</v>
      </c>
      <c r="H41" s="56"/>
      <c r="I41" s="47"/>
    </row>
    <row r="42" spans="1:13" ht="12.95" customHeight="1">
      <c r="A42" s="10" t="s">
        <v>350</v>
      </c>
      <c r="B42" s="46" t="s">
        <v>351</v>
      </c>
      <c r="C42" s="26" t="s">
        <v>352</v>
      </c>
      <c r="D42" s="26" t="s">
        <v>98</v>
      </c>
      <c r="E42" s="29">
        <v>300000</v>
      </c>
      <c r="F42" s="30">
        <v>403.95</v>
      </c>
      <c r="G42" s="31">
        <v>1.09E-2</v>
      </c>
      <c r="H42" s="56"/>
      <c r="I42" s="47"/>
    </row>
    <row r="43" spans="1:13" ht="12.95" customHeight="1">
      <c r="A43" s="10" t="s">
        <v>529</v>
      </c>
      <c r="B43" s="46" t="s">
        <v>530</v>
      </c>
      <c r="C43" s="26" t="s">
        <v>531</v>
      </c>
      <c r="D43" s="26" t="s">
        <v>197</v>
      </c>
      <c r="E43" s="29">
        <v>20000</v>
      </c>
      <c r="F43" s="30">
        <v>381.74</v>
      </c>
      <c r="G43" s="31">
        <v>1.03E-2</v>
      </c>
      <c r="H43" s="56"/>
      <c r="I43" s="47"/>
    </row>
    <row r="44" spans="1:13" ht="12.95" customHeight="1">
      <c r="A44" s="3"/>
      <c r="B44" s="43" t="s">
        <v>126</v>
      </c>
      <c r="C44" s="26"/>
      <c r="D44" s="26"/>
      <c r="E44" s="26"/>
      <c r="F44" s="33">
        <f>SUM(F9:F43)</f>
        <v>30066.160000000007</v>
      </c>
      <c r="G44" s="34">
        <f>SUM(G9:G43)</f>
        <v>0.81200000000000006</v>
      </c>
      <c r="H44" s="19"/>
      <c r="I44" s="42"/>
      <c r="M44" s="94"/>
    </row>
    <row r="45" spans="1:13" ht="12.95" customHeight="1">
      <c r="A45" s="3"/>
      <c r="B45" s="45" t="s">
        <v>127</v>
      </c>
      <c r="C45" s="18"/>
      <c r="D45" s="18"/>
      <c r="E45" s="18"/>
      <c r="F45" s="19" t="s">
        <v>128</v>
      </c>
      <c r="G45" s="19" t="s">
        <v>128</v>
      </c>
      <c r="H45" s="19"/>
      <c r="I45" s="42"/>
    </row>
    <row r="46" spans="1:13" ht="12.95" customHeight="1">
      <c r="A46" s="3"/>
      <c r="B46" s="45" t="s">
        <v>126</v>
      </c>
      <c r="C46" s="18"/>
      <c r="D46" s="18"/>
      <c r="E46" s="18"/>
      <c r="F46" s="19" t="s">
        <v>128</v>
      </c>
      <c r="G46" s="19" t="s">
        <v>128</v>
      </c>
      <c r="H46" s="19"/>
      <c r="I46" s="42"/>
    </row>
    <row r="47" spans="1:13" ht="12.95" customHeight="1">
      <c r="A47" s="3"/>
      <c r="B47" s="45" t="s">
        <v>129</v>
      </c>
      <c r="C47" s="22"/>
      <c r="D47" s="18"/>
      <c r="E47" s="22"/>
      <c r="F47" s="33">
        <v>30066.160000000007</v>
      </c>
      <c r="G47" s="34">
        <v>0.81200000000000006</v>
      </c>
      <c r="H47" s="19"/>
      <c r="I47" s="42"/>
    </row>
    <row r="48" spans="1:13" ht="12.95" customHeight="1">
      <c r="A48" s="3"/>
      <c r="B48" s="41" t="s">
        <v>133</v>
      </c>
      <c r="C48" s="20"/>
      <c r="D48" s="20"/>
      <c r="E48" s="20"/>
      <c r="F48" s="21"/>
      <c r="G48" s="21"/>
      <c r="H48" s="21"/>
      <c r="I48" s="44"/>
    </row>
    <row r="49" spans="1:9" ht="12.95" customHeight="1">
      <c r="A49" s="3"/>
      <c r="B49" s="43"/>
      <c r="C49" s="20"/>
      <c r="D49" s="20"/>
      <c r="E49" s="20"/>
      <c r="F49" s="21"/>
      <c r="G49" s="21"/>
      <c r="H49" s="21"/>
      <c r="I49" s="44"/>
    </row>
    <row r="50" spans="1:9" ht="12.95" customHeight="1">
      <c r="A50" s="3"/>
      <c r="B50" s="45" t="s">
        <v>134</v>
      </c>
      <c r="C50" s="18"/>
      <c r="D50" s="18"/>
      <c r="E50" s="18"/>
      <c r="F50" s="19" t="s">
        <v>128</v>
      </c>
      <c r="G50" s="19" t="s">
        <v>128</v>
      </c>
      <c r="H50" s="19"/>
      <c r="I50" s="42"/>
    </row>
    <row r="51" spans="1:9" ht="12.95" customHeight="1">
      <c r="A51" s="3"/>
      <c r="B51" s="43"/>
      <c r="C51" s="20"/>
      <c r="D51" s="20"/>
      <c r="E51" s="20"/>
      <c r="F51" s="21"/>
      <c r="G51" s="21"/>
      <c r="H51" s="21"/>
      <c r="I51" s="44"/>
    </row>
    <row r="52" spans="1:9" ht="12.95" customHeight="1">
      <c r="A52" s="3"/>
      <c r="B52" s="45" t="s">
        <v>135</v>
      </c>
      <c r="C52" s="18"/>
      <c r="D52" s="18"/>
      <c r="E52" s="18"/>
      <c r="F52" s="19" t="s">
        <v>128</v>
      </c>
      <c r="G52" s="19" t="s">
        <v>128</v>
      </c>
      <c r="H52" s="19"/>
      <c r="I52" s="42"/>
    </row>
    <row r="53" spans="1:9" ht="12.95" customHeight="1">
      <c r="A53" s="3"/>
      <c r="B53" s="43"/>
      <c r="C53" s="20"/>
      <c r="D53" s="20"/>
      <c r="E53" s="20"/>
      <c r="F53" s="21"/>
      <c r="G53" s="21"/>
      <c r="H53" s="21"/>
      <c r="I53" s="44"/>
    </row>
    <row r="54" spans="1:9" ht="12.95" customHeight="1">
      <c r="A54" s="3"/>
      <c r="B54" s="45" t="s">
        <v>136</v>
      </c>
      <c r="C54" s="18"/>
      <c r="D54" s="18"/>
      <c r="E54" s="18"/>
      <c r="F54" s="19" t="s">
        <v>128</v>
      </c>
      <c r="G54" s="19" t="s">
        <v>128</v>
      </c>
      <c r="H54" s="19"/>
      <c r="I54" s="42"/>
    </row>
    <row r="55" spans="1:9" ht="12.95" customHeight="1">
      <c r="A55" s="3"/>
      <c r="B55" s="43"/>
      <c r="C55" s="20"/>
      <c r="D55" s="20"/>
      <c r="E55" s="20"/>
      <c r="F55" s="21"/>
      <c r="G55" s="21"/>
      <c r="H55" s="21"/>
      <c r="I55" s="44"/>
    </row>
    <row r="56" spans="1:9" ht="12.95" customHeight="1">
      <c r="A56" s="3"/>
      <c r="B56" s="45" t="s">
        <v>137</v>
      </c>
      <c r="C56" s="18"/>
      <c r="D56" s="18"/>
      <c r="E56" s="18"/>
      <c r="F56" s="19" t="s">
        <v>128</v>
      </c>
      <c r="G56" s="19" t="s">
        <v>128</v>
      </c>
      <c r="H56" s="19"/>
      <c r="I56" s="42"/>
    </row>
    <row r="57" spans="1:9" ht="12.95" customHeight="1">
      <c r="A57" s="3"/>
      <c r="B57" s="43"/>
      <c r="C57" s="20"/>
      <c r="D57" s="20"/>
      <c r="E57" s="20"/>
      <c r="F57" s="21"/>
      <c r="G57" s="21"/>
      <c r="H57" s="21"/>
      <c r="I57" s="44"/>
    </row>
    <row r="58" spans="1:9" ht="12.95" customHeight="1">
      <c r="A58" s="3"/>
      <c r="B58" s="45" t="s">
        <v>138</v>
      </c>
      <c r="C58" s="22"/>
      <c r="D58" s="22"/>
      <c r="E58" s="22"/>
      <c r="F58" s="23" t="s">
        <v>128</v>
      </c>
      <c r="G58" s="23" t="s">
        <v>128</v>
      </c>
      <c r="H58" s="23"/>
      <c r="I58" s="42"/>
    </row>
    <row r="59" spans="1:9" ht="12.95" customHeight="1">
      <c r="A59" s="3"/>
      <c r="B59" s="43"/>
      <c r="C59" s="20"/>
      <c r="D59" s="20"/>
      <c r="E59" s="20"/>
      <c r="F59" s="21"/>
      <c r="G59" s="21"/>
      <c r="H59" s="21"/>
      <c r="I59" s="44"/>
    </row>
    <row r="60" spans="1:9" ht="12.95" customHeight="1">
      <c r="A60" s="3"/>
      <c r="B60" s="45" t="s">
        <v>129</v>
      </c>
      <c r="C60" s="24"/>
      <c r="D60" s="24"/>
      <c r="E60" s="24"/>
      <c r="F60" s="25" t="s">
        <v>128</v>
      </c>
      <c r="G60" s="25" t="s">
        <v>128</v>
      </c>
      <c r="H60" s="25"/>
      <c r="I60" s="42"/>
    </row>
    <row r="61" spans="1:9" ht="12.95" customHeight="1">
      <c r="A61" s="3"/>
      <c r="B61" s="45" t="s">
        <v>139</v>
      </c>
      <c r="C61" s="18"/>
      <c r="D61" s="18"/>
      <c r="E61" s="18"/>
      <c r="F61" s="19" t="s">
        <v>128</v>
      </c>
      <c r="G61" s="19" t="s">
        <v>128</v>
      </c>
      <c r="H61" s="19"/>
      <c r="I61" s="42"/>
    </row>
    <row r="62" spans="1:9" ht="12.95" customHeight="1">
      <c r="A62" s="3"/>
      <c r="B62" s="43"/>
      <c r="C62" s="20"/>
      <c r="D62" s="20"/>
      <c r="E62" s="20"/>
      <c r="F62" s="21"/>
      <c r="G62" s="21"/>
      <c r="H62" s="21"/>
      <c r="I62" s="44"/>
    </row>
    <row r="63" spans="1:9" ht="12.95" customHeight="1">
      <c r="A63" s="3"/>
      <c r="B63" s="45" t="s">
        <v>140</v>
      </c>
      <c r="C63" s="18"/>
      <c r="D63" s="18"/>
      <c r="E63" s="18"/>
      <c r="F63" s="19" t="s">
        <v>128</v>
      </c>
      <c r="G63" s="19" t="s">
        <v>128</v>
      </c>
      <c r="H63" s="19"/>
      <c r="I63" s="42"/>
    </row>
    <row r="64" spans="1:9" ht="12.95" customHeight="1">
      <c r="A64" s="3"/>
      <c r="B64" s="43"/>
      <c r="C64" s="20"/>
      <c r="D64" s="20"/>
      <c r="E64" s="20"/>
      <c r="F64" s="21"/>
      <c r="G64" s="21"/>
      <c r="H64" s="21"/>
      <c r="I64" s="44"/>
    </row>
    <row r="65" spans="1:9" ht="12.95" customHeight="1">
      <c r="A65" s="3"/>
      <c r="B65" s="45" t="s">
        <v>141</v>
      </c>
      <c r="C65" s="18"/>
      <c r="D65" s="18"/>
      <c r="E65" s="18"/>
      <c r="F65" s="19" t="s">
        <v>128</v>
      </c>
      <c r="G65" s="19" t="s">
        <v>128</v>
      </c>
      <c r="H65" s="19"/>
      <c r="I65" s="42"/>
    </row>
    <row r="66" spans="1:9" ht="12.95" customHeight="1">
      <c r="A66" s="3"/>
      <c r="B66" s="43"/>
      <c r="C66" s="20"/>
      <c r="D66" s="20"/>
      <c r="E66" s="20"/>
      <c r="F66" s="21"/>
      <c r="G66" s="21"/>
      <c r="H66" s="21"/>
      <c r="I66" s="44"/>
    </row>
    <row r="67" spans="1:9" ht="12.95" customHeight="1">
      <c r="A67" s="3"/>
      <c r="B67" s="45" t="s">
        <v>142</v>
      </c>
      <c r="C67" s="18"/>
      <c r="D67" s="18"/>
      <c r="E67" s="18"/>
      <c r="F67" s="19" t="s">
        <v>128</v>
      </c>
      <c r="G67" s="19" t="s">
        <v>128</v>
      </c>
      <c r="H67" s="19"/>
      <c r="I67" s="42"/>
    </row>
    <row r="68" spans="1:9" ht="12.95" customHeight="1">
      <c r="A68" s="3"/>
      <c r="B68" s="43"/>
      <c r="C68" s="20"/>
      <c r="D68" s="20"/>
      <c r="E68" s="20"/>
      <c r="F68" s="21"/>
      <c r="G68" s="21"/>
      <c r="H68" s="21"/>
      <c r="I68" s="44"/>
    </row>
    <row r="69" spans="1:9" ht="12.95" customHeight="1">
      <c r="A69" s="3"/>
      <c r="B69" s="45" t="s">
        <v>143</v>
      </c>
      <c r="C69" s="22"/>
      <c r="D69" s="22"/>
      <c r="E69" s="22"/>
      <c r="F69" s="23" t="s">
        <v>128</v>
      </c>
      <c r="G69" s="23" t="s">
        <v>128</v>
      </c>
      <c r="H69" s="23"/>
      <c r="I69" s="42"/>
    </row>
    <row r="70" spans="1:9" ht="12.95" customHeight="1">
      <c r="A70" s="3"/>
      <c r="B70" s="43"/>
      <c r="C70" s="20"/>
      <c r="D70" s="20"/>
      <c r="E70" s="20"/>
      <c r="F70" s="21"/>
      <c r="G70" s="21"/>
      <c r="H70" s="21"/>
      <c r="I70" s="44"/>
    </row>
    <row r="71" spans="1:9" ht="12.95" customHeight="1">
      <c r="A71" s="3"/>
      <c r="B71" s="45" t="s">
        <v>129</v>
      </c>
      <c r="C71" s="24"/>
      <c r="D71" s="24"/>
      <c r="E71" s="24"/>
      <c r="F71" s="25" t="s">
        <v>128</v>
      </c>
      <c r="G71" s="25" t="s">
        <v>128</v>
      </c>
      <c r="H71" s="25"/>
      <c r="I71" s="42"/>
    </row>
    <row r="72" spans="1:9" ht="12.95" customHeight="1">
      <c r="A72" s="3"/>
      <c r="B72" s="45" t="s">
        <v>144</v>
      </c>
      <c r="C72" s="18"/>
      <c r="D72" s="18"/>
      <c r="E72" s="18"/>
      <c r="F72" s="19" t="s">
        <v>128</v>
      </c>
      <c r="G72" s="19" t="s">
        <v>128</v>
      </c>
      <c r="H72" s="19"/>
      <c r="I72" s="42"/>
    </row>
    <row r="73" spans="1:9" ht="12.95" customHeight="1">
      <c r="A73" s="3"/>
      <c r="B73" s="43"/>
      <c r="C73" s="20"/>
      <c r="D73" s="20"/>
      <c r="E73" s="20"/>
      <c r="F73" s="21"/>
      <c r="G73" s="21"/>
      <c r="H73" s="21"/>
      <c r="I73" s="44"/>
    </row>
    <row r="74" spans="1:9" ht="12.95" customHeight="1">
      <c r="A74" s="3"/>
      <c r="B74" s="45" t="s">
        <v>145</v>
      </c>
      <c r="C74" s="18"/>
      <c r="D74" s="18"/>
      <c r="E74" s="18"/>
      <c r="F74" s="19" t="s">
        <v>128</v>
      </c>
      <c r="G74" s="19" t="s">
        <v>128</v>
      </c>
      <c r="H74" s="19"/>
      <c r="I74" s="42"/>
    </row>
    <row r="75" spans="1:9" ht="12.95" customHeight="1">
      <c r="A75" s="3"/>
      <c r="B75" s="43"/>
      <c r="C75" s="20"/>
      <c r="D75" s="20"/>
      <c r="E75" s="20"/>
      <c r="F75" s="21"/>
      <c r="G75" s="21"/>
      <c r="H75" s="21"/>
      <c r="I75" s="44"/>
    </row>
    <row r="76" spans="1:9" ht="12.95" customHeight="1">
      <c r="A76" s="3"/>
      <c r="B76" s="45" t="s">
        <v>146</v>
      </c>
      <c r="C76" s="18"/>
      <c r="D76" s="18"/>
      <c r="E76" s="18"/>
      <c r="F76" s="19" t="s">
        <v>128</v>
      </c>
      <c r="G76" s="19" t="s">
        <v>128</v>
      </c>
      <c r="H76" s="19"/>
      <c r="I76" s="42"/>
    </row>
    <row r="77" spans="1:9" ht="12.95" customHeight="1">
      <c r="A77" s="3"/>
      <c r="B77" s="43"/>
      <c r="C77" s="20"/>
      <c r="D77" s="20"/>
      <c r="E77" s="20"/>
      <c r="F77" s="21"/>
      <c r="G77" s="21"/>
      <c r="H77" s="21"/>
      <c r="I77" s="44"/>
    </row>
    <row r="78" spans="1:9" ht="12.95" customHeight="1">
      <c r="A78" s="3"/>
      <c r="B78" s="45" t="s">
        <v>147</v>
      </c>
      <c r="C78" s="18"/>
      <c r="D78" s="18"/>
      <c r="E78" s="18"/>
      <c r="F78" s="19" t="s">
        <v>128</v>
      </c>
      <c r="G78" s="19" t="s">
        <v>128</v>
      </c>
      <c r="H78" s="19"/>
      <c r="I78" s="42"/>
    </row>
    <row r="79" spans="1:9" ht="12.95" customHeight="1">
      <c r="A79" s="3"/>
      <c r="B79" s="43"/>
      <c r="C79" s="20"/>
      <c r="D79" s="20"/>
      <c r="E79" s="20"/>
      <c r="F79" s="21"/>
      <c r="G79" s="21"/>
      <c r="H79" s="21"/>
      <c r="I79" s="44"/>
    </row>
    <row r="80" spans="1:9" ht="12.95" customHeight="1">
      <c r="A80" s="3"/>
      <c r="B80" s="45" t="s">
        <v>148</v>
      </c>
      <c r="C80" s="18"/>
      <c r="D80" s="18"/>
      <c r="E80" s="18"/>
      <c r="F80" s="19" t="s">
        <v>128</v>
      </c>
      <c r="G80" s="19" t="s">
        <v>128</v>
      </c>
      <c r="H80" s="19"/>
      <c r="I80" s="42"/>
    </row>
    <row r="81" spans="1:10" ht="12.95" customHeight="1">
      <c r="A81" s="3"/>
      <c r="B81" s="43"/>
      <c r="C81" s="20"/>
      <c r="D81" s="20"/>
      <c r="E81" s="20"/>
      <c r="F81" s="21"/>
      <c r="G81" s="21"/>
      <c r="H81" s="21"/>
      <c r="I81" s="44"/>
    </row>
    <row r="82" spans="1:10" ht="12.95" customHeight="1">
      <c r="A82" s="3"/>
      <c r="B82" s="45" t="s">
        <v>129</v>
      </c>
      <c r="C82" s="22"/>
      <c r="D82" s="22"/>
      <c r="E82" s="22"/>
      <c r="F82" s="23" t="s">
        <v>128</v>
      </c>
      <c r="G82" s="23" t="s">
        <v>128</v>
      </c>
      <c r="H82" s="23"/>
      <c r="I82" s="42"/>
    </row>
    <row r="83" spans="1:10" ht="12.95" customHeight="1">
      <c r="A83" s="17"/>
      <c r="B83" s="45"/>
      <c r="C83" s="22"/>
      <c r="D83" s="22"/>
      <c r="E83" s="22"/>
      <c r="F83" s="23"/>
      <c r="G83" s="23"/>
      <c r="H83" s="23"/>
      <c r="I83" s="42"/>
    </row>
    <row r="84" spans="1:10" ht="12.95" customHeight="1">
      <c r="A84" s="3"/>
      <c r="B84" s="43" t="s">
        <v>130</v>
      </c>
      <c r="C84" s="26"/>
      <c r="D84" s="26"/>
      <c r="E84" s="26"/>
      <c r="F84" s="26"/>
      <c r="G84" s="26"/>
      <c r="H84" s="27"/>
      <c r="I84" s="44"/>
    </row>
    <row r="85" spans="1:10" ht="12.95" customHeight="1">
      <c r="A85" s="10" t="s">
        <v>131</v>
      </c>
      <c r="B85" s="46" t="s">
        <v>132</v>
      </c>
      <c r="C85" s="26"/>
      <c r="D85" s="26"/>
      <c r="E85" s="29"/>
      <c r="F85" s="30">
        <v>4655.13</v>
      </c>
      <c r="G85" s="31">
        <v>0.12570000000000001</v>
      </c>
      <c r="H85" s="56"/>
      <c r="I85" s="47"/>
    </row>
    <row r="86" spans="1:10" ht="12.95" customHeight="1">
      <c r="A86" s="3"/>
      <c r="B86" s="43" t="s">
        <v>126</v>
      </c>
      <c r="C86" s="26"/>
      <c r="D86" s="26"/>
      <c r="E86" s="26"/>
      <c r="F86" s="33">
        <v>4655.13</v>
      </c>
      <c r="G86" s="34">
        <v>0.12570000000000001</v>
      </c>
      <c r="H86" s="19"/>
      <c r="I86" s="42"/>
    </row>
    <row r="87" spans="1:10" ht="12.95" customHeight="1">
      <c r="A87" s="3"/>
      <c r="B87" s="45" t="s">
        <v>129</v>
      </c>
      <c r="C87" s="22"/>
      <c r="D87" s="18"/>
      <c r="E87" s="22"/>
      <c r="F87" s="33">
        <v>4655.13</v>
      </c>
      <c r="G87" s="34">
        <v>0.12570000000000001</v>
      </c>
      <c r="H87" s="19"/>
      <c r="I87" s="42"/>
    </row>
    <row r="88" spans="1:10" ht="12.95" customHeight="1">
      <c r="A88" s="3"/>
      <c r="B88" s="45" t="s">
        <v>149</v>
      </c>
      <c r="C88" s="35"/>
      <c r="D88" s="18"/>
      <c r="E88" s="22"/>
      <c r="F88" s="36">
        <v>2309.1399999999931</v>
      </c>
      <c r="G88" s="34">
        <v>6.2299999999999939E-2</v>
      </c>
      <c r="H88" s="19"/>
      <c r="I88" s="42"/>
    </row>
    <row r="89" spans="1:10" ht="12.95" customHeight="1" thickBot="1">
      <c r="A89" s="3"/>
      <c r="B89" s="49" t="s">
        <v>150</v>
      </c>
      <c r="C89" s="50"/>
      <c r="D89" s="50"/>
      <c r="E89" s="50"/>
      <c r="F89" s="51">
        <v>37030.43</v>
      </c>
      <c r="G89" s="52">
        <v>1</v>
      </c>
      <c r="H89" s="53"/>
      <c r="I89" s="54"/>
    </row>
    <row r="90" spans="1:10" ht="12.95" customHeight="1">
      <c r="A90" s="3"/>
      <c r="B90" s="118"/>
      <c r="C90" s="118"/>
      <c r="D90" s="118"/>
      <c r="E90" s="118"/>
      <c r="F90" s="118"/>
      <c r="G90" s="118"/>
      <c r="H90" s="118"/>
      <c r="I90" s="118"/>
    </row>
    <row r="91" spans="1:10" ht="12.95" customHeight="1">
      <c r="A91" s="17"/>
      <c r="B91" s="57"/>
      <c r="C91" s="57"/>
      <c r="D91" s="57"/>
      <c r="E91" s="57"/>
      <c r="F91" s="57"/>
      <c r="G91" s="57"/>
      <c r="H91" s="57"/>
      <c r="I91" s="57"/>
    </row>
    <row r="92" spans="1:10" ht="12.95" customHeight="1" thickBot="1">
      <c r="A92" s="17"/>
      <c r="B92" s="58" t="s">
        <v>661</v>
      </c>
      <c r="C92" s="59"/>
      <c r="D92" s="60"/>
      <c r="E92" s="60"/>
      <c r="F92" s="60"/>
      <c r="G92" s="60"/>
      <c r="H92" s="60"/>
      <c r="I92" s="60"/>
      <c r="J92" s="61"/>
    </row>
    <row r="93" spans="1:10" ht="34.5" customHeight="1">
      <c r="A93" s="17"/>
      <c r="B93" s="62" t="s">
        <v>36</v>
      </c>
      <c r="C93" s="63" t="s">
        <v>662</v>
      </c>
      <c r="D93" s="63" t="s">
        <v>663</v>
      </c>
      <c r="E93" s="64" t="s">
        <v>39</v>
      </c>
      <c r="F93" s="65" t="s">
        <v>664</v>
      </c>
      <c r="G93" s="66" t="s">
        <v>41</v>
      </c>
      <c r="H93" s="66" t="s">
        <v>42</v>
      </c>
      <c r="I93" s="67" t="s">
        <v>43</v>
      </c>
    </row>
    <row r="94" spans="1:10" ht="12.95" customHeight="1">
      <c r="A94" s="17"/>
      <c r="B94" s="90" t="s">
        <v>665</v>
      </c>
      <c r="C94" s="92"/>
      <c r="D94" s="69"/>
      <c r="E94" s="70"/>
      <c r="F94" s="71"/>
      <c r="G94" s="70"/>
      <c r="H94" s="70"/>
      <c r="I94" s="72"/>
    </row>
    <row r="95" spans="1:10" ht="12.95" customHeight="1">
      <c r="A95" s="73" t="s">
        <v>315</v>
      </c>
      <c r="B95" s="89" t="s">
        <v>667</v>
      </c>
      <c r="C95" s="74" t="str">
        <f t="shared" ref="C95" si="0">IF(E95&lt;0,"Short","Long")</f>
        <v>Long</v>
      </c>
      <c r="D95" s="75" t="s">
        <v>316</v>
      </c>
      <c r="E95" s="76">
        <v>21000</v>
      </c>
      <c r="F95" s="77">
        <v>3656.09</v>
      </c>
      <c r="G95" s="78">
        <v>9.8699999999999996E-2</v>
      </c>
      <c r="H95" s="79"/>
      <c r="I95" s="80"/>
    </row>
    <row r="96" spans="1:10" ht="12.95" customHeight="1">
      <c r="A96" s="17"/>
      <c r="B96" s="90"/>
      <c r="C96" s="93"/>
      <c r="D96" s="81"/>
      <c r="E96" s="81"/>
      <c r="F96" s="81"/>
      <c r="G96" s="81"/>
      <c r="H96" s="81"/>
      <c r="I96" s="82"/>
    </row>
    <row r="97" spans="1:9" ht="12.95" customHeight="1" thickBot="1">
      <c r="A97" s="17"/>
      <c r="B97" s="91" t="s">
        <v>666</v>
      </c>
      <c r="C97" s="83"/>
      <c r="D97" s="83"/>
      <c r="E97" s="84"/>
      <c r="F97" s="85">
        <f>SUM(F95:F96)</f>
        <v>3656.09</v>
      </c>
      <c r="G97" s="86">
        <f>SUM(G95:G96)</f>
        <v>9.8699999999999996E-2</v>
      </c>
      <c r="H97" s="87"/>
      <c r="I97" s="88"/>
    </row>
    <row r="98" spans="1:9" ht="12.95" customHeight="1">
      <c r="A98" s="17"/>
      <c r="B98" s="57"/>
      <c r="C98" s="57"/>
      <c r="D98" s="57"/>
      <c r="E98" s="57"/>
      <c r="F98" s="57"/>
      <c r="G98" s="57"/>
      <c r="H98" s="57"/>
      <c r="I98" s="57"/>
    </row>
    <row r="99" spans="1:9" ht="12.95" customHeight="1">
      <c r="A99" s="17"/>
      <c r="B99" s="57"/>
      <c r="C99" s="57"/>
      <c r="D99" s="57"/>
      <c r="E99" s="57"/>
      <c r="F99" s="57"/>
      <c r="G99" s="57"/>
      <c r="H99" s="57"/>
      <c r="I99" s="57"/>
    </row>
    <row r="100" spans="1:9" ht="12.95" customHeight="1">
      <c r="A100" s="3"/>
      <c r="B100" s="118" t="s">
        <v>151</v>
      </c>
      <c r="C100" s="118"/>
      <c r="D100" s="118"/>
      <c r="E100" s="118"/>
      <c r="F100" s="118"/>
      <c r="G100" s="118"/>
      <c r="H100" s="118"/>
      <c r="I100" s="118"/>
    </row>
    <row r="101" spans="1:9" ht="12.95" customHeight="1">
      <c r="A101" s="3"/>
      <c r="B101" s="117" t="s">
        <v>152</v>
      </c>
      <c r="C101" s="117"/>
      <c r="D101" s="117"/>
      <c r="E101" s="117"/>
      <c r="F101" s="117"/>
      <c r="G101" s="117"/>
      <c r="H101" s="117"/>
      <c r="I101" s="117"/>
    </row>
    <row r="102" spans="1:9" ht="12.95" customHeight="1">
      <c r="A102" s="3"/>
      <c r="B102" s="117" t="s">
        <v>153</v>
      </c>
      <c r="C102" s="117"/>
      <c r="D102" s="117"/>
      <c r="E102" s="117"/>
      <c r="F102" s="117"/>
      <c r="G102" s="117"/>
      <c r="H102" s="117"/>
      <c r="I102" s="117"/>
    </row>
    <row r="103" spans="1:9" ht="12.95" customHeight="1">
      <c r="A103" s="3"/>
      <c r="B103" s="117" t="s">
        <v>154</v>
      </c>
      <c r="C103" s="117"/>
      <c r="D103" s="117"/>
      <c r="E103" s="117"/>
      <c r="F103" s="117"/>
      <c r="G103" s="117"/>
      <c r="H103" s="117"/>
      <c r="I103" s="117"/>
    </row>
    <row r="104" spans="1:9" ht="12.95" customHeight="1">
      <c r="A104" s="3"/>
      <c r="B104" s="117" t="s">
        <v>155</v>
      </c>
      <c r="C104" s="117"/>
      <c r="D104" s="117"/>
      <c r="E104" s="117"/>
      <c r="F104" s="117"/>
      <c r="G104" s="117"/>
      <c r="H104" s="117"/>
      <c r="I104" s="117"/>
    </row>
    <row r="105" spans="1:9" ht="12.95" customHeight="1">
      <c r="A105" s="3"/>
      <c r="B105" s="117" t="s">
        <v>156</v>
      </c>
      <c r="C105" s="117"/>
      <c r="D105" s="117"/>
      <c r="E105" s="117"/>
      <c r="F105" s="117"/>
      <c r="G105" s="117"/>
      <c r="H105" s="117"/>
      <c r="I105" s="117"/>
    </row>
    <row r="107" spans="1:9">
      <c r="B107" s="95" t="s">
        <v>715</v>
      </c>
    </row>
    <row r="116" spans="2:2">
      <c r="B116" t="s">
        <v>716</v>
      </c>
    </row>
    <row r="117" spans="2:2" ht="15.75">
      <c r="B117" s="96" t="s">
        <v>729</v>
      </c>
    </row>
    <row r="126" spans="2:2">
      <c r="B126" s="115" t="s">
        <v>728</v>
      </c>
    </row>
  </sheetData>
  <mergeCells count="7">
    <mergeCell ref="B103:I103"/>
    <mergeCell ref="B104:I104"/>
    <mergeCell ref="B105:I105"/>
    <mergeCell ref="B90:I90"/>
    <mergeCell ref="B100:I100"/>
    <mergeCell ref="B101:I101"/>
    <mergeCell ref="B102:I102"/>
  </mergeCells>
  <pageMargins left="0" right="0" top="0" bottom="0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8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7" t="s">
        <v>36</v>
      </c>
      <c r="C6" s="38" t="s">
        <v>37</v>
      </c>
      <c r="D6" s="39" t="s">
        <v>157</v>
      </c>
      <c r="E6" s="39" t="s">
        <v>39</v>
      </c>
      <c r="F6" s="39" t="s">
        <v>40</v>
      </c>
      <c r="G6" s="39" t="s">
        <v>41</v>
      </c>
      <c r="H6" s="39" t="s">
        <v>42</v>
      </c>
      <c r="I6" s="40" t="s">
        <v>43</v>
      </c>
    </row>
    <row r="7" spans="1:9" ht="12.95" customHeight="1">
      <c r="A7" s="3"/>
      <c r="B7" s="41" t="s">
        <v>44</v>
      </c>
      <c r="C7" s="18"/>
      <c r="D7" s="18"/>
      <c r="E7" s="18"/>
      <c r="F7" s="19" t="s">
        <v>128</v>
      </c>
      <c r="G7" s="19" t="s">
        <v>128</v>
      </c>
      <c r="H7" s="19"/>
      <c r="I7" s="42"/>
    </row>
    <row r="8" spans="1:9" ht="12.95" customHeight="1">
      <c r="A8" s="3"/>
      <c r="B8" s="43"/>
      <c r="C8" s="20"/>
      <c r="D8" s="20"/>
      <c r="E8" s="20"/>
      <c r="F8" s="21"/>
      <c r="G8" s="21"/>
      <c r="H8" s="21"/>
      <c r="I8" s="44"/>
    </row>
    <row r="9" spans="1:9" ht="12.95" customHeight="1">
      <c r="A9" s="3"/>
      <c r="B9" s="45" t="s">
        <v>309</v>
      </c>
      <c r="C9" s="18"/>
      <c r="D9" s="18"/>
      <c r="E9" s="18"/>
      <c r="F9" s="19" t="s">
        <v>128</v>
      </c>
      <c r="G9" s="19" t="s">
        <v>128</v>
      </c>
      <c r="H9" s="19"/>
      <c r="I9" s="42"/>
    </row>
    <row r="10" spans="1:9" ht="12.95" customHeight="1">
      <c r="A10" s="3"/>
      <c r="B10" s="43"/>
      <c r="C10" s="20"/>
      <c r="D10" s="20"/>
      <c r="E10" s="20"/>
      <c r="F10" s="21"/>
      <c r="G10" s="21"/>
      <c r="H10" s="21"/>
      <c r="I10" s="44"/>
    </row>
    <row r="11" spans="1:9" ht="12.95" customHeight="1">
      <c r="A11" s="3"/>
      <c r="B11" s="45" t="s">
        <v>310</v>
      </c>
      <c r="C11" s="22"/>
      <c r="D11" s="22"/>
      <c r="E11" s="22"/>
      <c r="F11" s="23" t="s">
        <v>128</v>
      </c>
      <c r="G11" s="23" t="s">
        <v>128</v>
      </c>
      <c r="H11" s="23"/>
      <c r="I11" s="42"/>
    </row>
    <row r="12" spans="1:9" ht="12.95" customHeight="1">
      <c r="A12" s="3"/>
      <c r="B12" s="43"/>
      <c r="C12" s="20"/>
      <c r="D12" s="20"/>
      <c r="E12" s="20"/>
      <c r="F12" s="21"/>
      <c r="G12" s="21"/>
      <c r="H12" s="21"/>
      <c r="I12" s="44"/>
    </row>
    <row r="13" spans="1:9" ht="12.95" customHeight="1">
      <c r="A13" s="3"/>
      <c r="B13" s="45" t="s">
        <v>311</v>
      </c>
      <c r="C13" s="24"/>
      <c r="D13" s="24"/>
      <c r="E13" s="24"/>
      <c r="F13" s="25" t="s">
        <v>128</v>
      </c>
      <c r="G13" s="25" t="s">
        <v>128</v>
      </c>
      <c r="H13" s="25"/>
      <c r="I13" s="42"/>
    </row>
    <row r="14" spans="1:9" ht="12.95" customHeight="1">
      <c r="A14" s="3"/>
      <c r="B14" s="43"/>
      <c r="C14" s="20"/>
      <c r="D14" s="20"/>
      <c r="E14" s="20"/>
      <c r="F14" s="21"/>
      <c r="G14" s="21"/>
      <c r="H14" s="21"/>
      <c r="I14" s="44"/>
    </row>
    <row r="15" spans="1:9" ht="12.95" customHeight="1">
      <c r="A15" s="3"/>
      <c r="B15" s="45" t="s">
        <v>129</v>
      </c>
      <c r="C15" s="24"/>
      <c r="D15" s="24"/>
      <c r="E15" s="24"/>
      <c r="F15" s="25" t="s">
        <v>128</v>
      </c>
      <c r="G15" s="25" t="s">
        <v>128</v>
      </c>
      <c r="H15" s="25"/>
      <c r="I15" s="42"/>
    </row>
    <row r="16" spans="1:9" ht="12.95" customHeight="1">
      <c r="A16" s="3"/>
      <c r="B16" s="41" t="s">
        <v>133</v>
      </c>
      <c r="C16" s="20"/>
      <c r="D16" s="20"/>
      <c r="E16" s="20"/>
      <c r="F16" s="21"/>
      <c r="G16" s="21"/>
      <c r="H16" s="21"/>
      <c r="I16" s="44"/>
    </row>
    <row r="17" spans="1:9" ht="12.95" customHeight="1">
      <c r="A17" s="3"/>
      <c r="B17" s="43"/>
      <c r="C17" s="20"/>
      <c r="D17" s="20"/>
      <c r="E17" s="20"/>
      <c r="F17" s="21"/>
      <c r="G17" s="21"/>
      <c r="H17" s="21"/>
      <c r="I17" s="44"/>
    </row>
    <row r="18" spans="1:9" ht="12.95" customHeight="1">
      <c r="A18" s="3"/>
      <c r="B18" s="45" t="s">
        <v>134</v>
      </c>
      <c r="C18" s="18"/>
      <c r="D18" s="18"/>
      <c r="E18" s="18"/>
      <c r="F18" s="19" t="s">
        <v>128</v>
      </c>
      <c r="G18" s="19" t="s">
        <v>128</v>
      </c>
      <c r="H18" s="19"/>
      <c r="I18" s="42"/>
    </row>
    <row r="19" spans="1:9" ht="12.95" customHeight="1">
      <c r="A19" s="3"/>
      <c r="B19" s="43"/>
      <c r="C19" s="20"/>
      <c r="D19" s="20"/>
      <c r="E19" s="20"/>
      <c r="F19" s="21"/>
      <c r="G19" s="21"/>
      <c r="H19" s="21"/>
      <c r="I19" s="44"/>
    </row>
    <row r="20" spans="1:9" ht="12.95" customHeight="1">
      <c r="A20" s="3"/>
      <c r="B20" s="45" t="s">
        <v>135</v>
      </c>
      <c r="C20" s="18"/>
      <c r="D20" s="18"/>
      <c r="E20" s="18"/>
      <c r="F20" s="19" t="s">
        <v>128</v>
      </c>
      <c r="G20" s="19" t="s">
        <v>128</v>
      </c>
      <c r="H20" s="19"/>
      <c r="I20" s="42"/>
    </row>
    <row r="21" spans="1:9" ht="12.95" customHeight="1">
      <c r="A21" s="3"/>
      <c r="B21" s="43"/>
      <c r="C21" s="20"/>
      <c r="D21" s="20"/>
      <c r="E21" s="20"/>
      <c r="F21" s="21"/>
      <c r="G21" s="21"/>
      <c r="H21" s="21"/>
      <c r="I21" s="44"/>
    </row>
    <row r="22" spans="1:9" ht="12.95" customHeight="1">
      <c r="A22" s="3"/>
      <c r="B22" s="45" t="s">
        <v>136</v>
      </c>
      <c r="C22" s="18"/>
      <c r="D22" s="18"/>
      <c r="E22" s="18"/>
      <c r="F22" s="19" t="s">
        <v>128</v>
      </c>
      <c r="G22" s="19" t="s">
        <v>128</v>
      </c>
      <c r="H22" s="19"/>
      <c r="I22" s="42"/>
    </row>
    <row r="23" spans="1:9" ht="12.95" customHeight="1">
      <c r="A23" s="3"/>
      <c r="B23" s="43"/>
      <c r="C23" s="20"/>
      <c r="D23" s="20"/>
      <c r="E23" s="20"/>
      <c r="F23" s="21"/>
      <c r="G23" s="21"/>
      <c r="H23" s="21"/>
      <c r="I23" s="44"/>
    </row>
    <row r="24" spans="1:9" ht="12.95" customHeight="1">
      <c r="A24" s="3"/>
      <c r="B24" s="45" t="s">
        <v>137</v>
      </c>
      <c r="C24" s="18"/>
      <c r="D24" s="18"/>
      <c r="E24" s="18"/>
      <c r="F24" s="19" t="s">
        <v>128</v>
      </c>
      <c r="G24" s="19" t="s">
        <v>128</v>
      </c>
      <c r="H24" s="19"/>
      <c r="I24" s="42"/>
    </row>
    <row r="25" spans="1:9" ht="12.95" customHeight="1">
      <c r="A25" s="3"/>
      <c r="B25" s="43"/>
      <c r="C25" s="20"/>
      <c r="D25" s="20"/>
      <c r="E25" s="20"/>
      <c r="F25" s="21"/>
      <c r="G25" s="21"/>
      <c r="H25" s="21"/>
      <c r="I25" s="44"/>
    </row>
    <row r="26" spans="1:9" ht="12.95" customHeight="1">
      <c r="A26" s="3"/>
      <c r="B26" s="45" t="s">
        <v>138</v>
      </c>
      <c r="C26" s="22"/>
      <c r="D26" s="22"/>
      <c r="E26" s="22"/>
      <c r="F26" s="23" t="s">
        <v>128</v>
      </c>
      <c r="G26" s="23" t="s">
        <v>128</v>
      </c>
      <c r="H26" s="23"/>
      <c r="I26" s="42"/>
    </row>
    <row r="27" spans="1:9" ht="12.95" customHeight="1">
      <c r="A27" s="3"/>
      <c r="B27" s="43"/>
      <c r="C27" s="20"/>
      <c r="D27" s="20"/>
      <c r="E27" s="20"/>
      <c r="F27" s="21"/>
      <c r="G27" s="21"/>
      <c r="H27" s="21"/>
      <c r="I27" s="44"/>
    </row>
    <row r="28" spans="1:9" ht="12.95" customHeight="1">
      <c r="A28" s="3"/>
      <c r="B28" s="45" t="s">
        <v>129</v>
      </c>
      <c r="C28" s="24"/>
      <c r="D28" s="24"/>
      <c r="E28" s="24"/>
      <c r="F28" s="25" t="s">
        <v>128</v>
      </c>
      <c r="G28" s="25" t="s">
        <v>128</v>
      </c>
      <c r="H28" s="25"/>
      <c r="I28" s="42"/>
    </row>
    <row r="29" spans="1:9" ht="12.95" customHeight="1">
      <c r="A29" s="3"/>
      <c r="B29" s="45" t="s">
        <v>139</v>
      </c>
      <c r="C29" s="18"/>
      <c r="D29" s="18"/>
      <c r="E29" s="18"/>
      <c r="F29" s="19" t="s">
        <v>128</v>
      </c>
      <c r="G29" s="19" t="s">
        <v>128</v>
      </c>
      <c r="H29" s="19"/>
      <c r="I29" s="42"/>
    </row>
    <row r="30" spans="1:9" ht="12.95" customHeight="1">
      <c r="A30" s="3"/>
      <c r="B30" s="43"/>
      <c r="C30" s="20"/>
      <c r="D30" s="20"/>
      <c r="E30" s="20"/>
      <c r="F30" s="21"/>
      <c r="G30" s="21"/>
      <c r="H30" s="21"/>
      <c r="I30" s="44"/>
    </row>
    <row r="31" spans="1:9" ht="12.95" customHeight="1">
      <c r="A31" s="3"/>
      <c r="B31" s="45" t="s">
        <v>140</v>
      </c>
      <c r="C31" s="18"/>
      <c r="D31" s="18"/>
      <c r="E31" s="18"/>
      <c r="F31" s="19" t="s">
        <v>128</v>
      </c>
      <c r="G31" s="19" t="s">
        <v>128</v>
      </c>
      <c r="H31" s="19"/>
      <c r="I31" s="42"/>
    </row>
    <row r="32" spans="1:9" ht="12.95" customHeight="1">
      <c r="A32" s="3"/>
      <c r="B32" s="43"/>
      <c r="C32" s="20"/>
      <c r="D32" s="20"/>
      <c r="E32" s="20"/>
      <c r="F32" s="21"/>
      <c r="G32" s="21"/>
      <c r="H32" s="21"/>
      <c r="I32" s="44"/>
    </row>
    <row r="33" spans="1:9" ht="12.95" customHeight="1">
      <c r="A33" s="3"/>
      <c r="B33" s="45" t="s">
        <v>141</v>
      </c>
      <c r="C33" s="18"/>
      <c r="D33" s="18"/>
      <c r="E33" s="18"/>
      <c r="F33" s="19" t="s">
        <v>128</v>
      </c>
      <c r="G33" s="19" t="s">
        <v>128</v>
      </c>
      <c r="H33" s="19"/>
      <c r="I33" s="42"/>
    </row>
    <row r="34" spans="1:9" ht="12.95" customHeight="1">
      <c r="A34" s="3"/>
      <c r="B34" s="43"/>
      <c r="C34" s="20"/>
      <c r="D34" s="20"/>
      <c r="E34" s="20"/>
      <c r="F34" s="21"/>
      <c r="G34" s="21"/>
      <c r="H34" s="21"/>
      <c r="I34" s="44"/>
    </row>
    <row r="35" spans="1:9" ht="12.95" customHeight="1">
      <c r="A35" s="3"/>
      <c r="B35" s="45" t="s">
        <v>142</v>
      </c>
      <c r="C35" s="18"/>
      <c r="D35" s="18"/>
      <c r="E35" s="18"/>
      <c r="F35" s="19" t="s">
        <v>128</v>
      </c>
      <c r="G35" s="19" t="s">
        <v>128</v>
      </c>
      <c r="H35" s="19"/>
      <c r="I35" s="42"/>
    </row>
    <row r="36" spans="1:9" ht="12.95" customHeight="1">
      <c r="A36" s="3"/>
      <c r="B36" s="43"/>
      <c r="C36" s="20"/>
      <c r="D36" s="20"/>
      <c r="E36" s="20"/>
      <c r="F36" s="21"/>
      <c r="G36" s="21"/>
      <c r="H36" s="21"/>
      <c r="I36" s="44"/>
    </row>
    <row r="37" spans="1:9" ht="12.95" customHeight="1">
      <c r="A37" s="3"/>
      <c r="B37" s="45" t="s">
        <v>143</v>
      </c>
      <c r="C37" s="22"/>
      <c r="D37" s="22"/>
      <c r="E37" s="22"/>
      <c r="F37" s="23" t="s">
        <v>128</v>
      </c>
      <c r="G37" s="23" t="s">
        <v>128</v>
      </c>
      <c r="H37" s="23"/>
      <c r="I37" s="42"/>
    </row>
    <row r="38" spans="1:9" ht="12.95" customHeight="1">
      <c r="A38" s="3"/>
      <c r="B38" s="43"/>
      <c r="C38" s="20"/>
      <c r="D38" s="20"/>
      <c r="E38" s="20"/>
      <c r="F38" s="21"/>
      <c r="G38" s="21"/>
      <c r="H38" s="21"/>
      <c r="I38" s="44"/>
    </row>
    <row r="39" spans="1:9" ht="12.95" customHeight="1">
      <c r="A39" s="3"/>
      <c r="B39" s="45" t="s">
        <v>129</v>
      </c>
      <c r="C39" s="24"/>
      <c r="D39" s="24"/>
      <c r="E39" s="24"/>
      <c r="F39" s="25" t="s">
        <v>128</v>
      </c>
      <c r="G39" s="25" t="s">
        <v>128</v>
      </c>
      <c r="H39" s="25"/>
      <c r="I39" s="42"/>
    </row>
    <row r="40" spans="1:9" ht="12.95" customHeight="1">
      <c r="A40" s="3"/>
      <c r="B40" s="45" t="s">
        <v>144</v>
      </c>
      <c r="C40" s="18"/>
      <c r="D40" s="18"/>
      <c r="E40" s="18"/>
      <c r="F40" s="19" t="s">
        <v>128</v>
      </c>
      <c r="G40" s="19" t="s">
        <v>128</v>
      </c>
      <c r="H40" s="19"/>
      <c r="I40" s="42"/>
    </row>
    <row r="41" spans="1:9" ht="12.95" customHeight="1">
      <c r="A41" s="3"/>
      <c r="B41" s="43"/>
      <c r="C41" s="20"/>
      <c r="D41" s="20"/>
      <c r="E41" s="20"/>
      <c r="F41" s="21"/>
      <c r="G41" s="21"/>
      <c r="H41" s="21"/>
      <c r="I41" s="44"/>
    </row>
    <row r="42" spans="1:9" ht="12.95" customHeight="1">
      <c r="A42" s="3"/>
      <c r="B42" s="45" t="s">
        <v>145</v>
      </c>
      <c r="C42" s="18"/>
      <c r="D42" s="18"/>
      <c r="E42" s="18"/>
      <c r="F42" s="19" t="s">
        <v>128</v>
      </c>
      <c r="G42" s="19" t="s">
        <v>128</v>
      </c>
      <c r="H42" s="19"/>
      <c r="I42" s="42"/>
    </row>
    <row r="43" spans="1:9" ht="12.95" customHeight="1">
      <c r="A43" s="3"/>
      <c r="B43" s="43"/>
      <c r="C43" s="20"/>
      <c r="D43" s="20"/>
      <c r="E43" s="20"/>
      <c r="F43" s="21"/>
      <c r="G43" s="21"/>
      <c r="H43" s="21"/>
      <c r="I43" s="44"/>
    </row>
    <row r="44" spans="1:9" ht="12.95" customHeight="1">
      <c r="A44" s="3"/>
      <c r="B44" s="45" t="s">
        <v>146</v>
      </c>
      <c r="C44" s="18"/>
      <c r="D44" s="18"/>
      <c r="E44" s="18"/>
      <c r="F44" s="19" t="s">
        <v>128</v>
      </c>
      <c r="G44" s="19" t="s">
        <v>128</v>
      </c>
      <c r="H44" s="19"/>
      <c r="I44" s="42"/>
    </row>
    <row r="45" spans="1:9" ht="12.95" customHeight="1">
      <c r="A45" s="3"/>
      <c r="B45" s="43"/>
      <c r="C45" s="20"/>
      <c r="D45" s="20"/>
      <c r="E45" s="20"/>
      <c r="F45" s="21"/>
      <c r="G45" s="21"/>
      <c r="H45" s="21"/>
      <c r="I45" s="44"/>
    </row>
    <row r="46" spans="1:9" ht="12.95" customHeight="1">
      <c r="A46" s="3"/>
      <c r="B46" s="45" t="s">
        <v>147</v>
      </c>
      <c r="C46" s="18"/>
      <c r="D46" s="18"/>
      <c r="E46" s="18"/>
      <c r="F46" s="19" t="s">
        <v>128</v>
      </c>
      <c r="G46" s="19" t="s">
        <v>128</v>
      </c>
      <c r="H46" s="19"/>
      <c r="I46" s="42"/>
    </row>
    <row r="47" spans="1:9" ht="12.95" customHeight="1">
      <c r="A47" s="3"/>
      <c r="B47" s="43"/>
      <c r="C47" s="20"/>
      <c r="D47" s="20"/>
      <c r="E47" s="20"/>
      <c r="F47" s="21"/>
      <c r="G47" s="21"/>
      <c r="H47" s="21"/>
      <c r="I47" s="44"/>
    </row>
    <row r="48" spans="1:9" ht="12.95" customHeight="1">
      <c r="A48" s="3"/>
      <c r="B48" s="45" t="s">
        <v>148</v>
      </c>
      <c r="C48" s="18"/>
      <c r="D48" s="18"/>
      <c r="E48" s="18"/>
      <c r="F48" s="19" t="s">
        <v>128</v>
      </c>
      <c r="G48" s="19" t="s">
        <v>128</v>
      </c>
      <c r="H48" s="19"/>
      <c r="I48" s="42"/>
    </row>
    <row r="49" spans="1:9" ht="12.95" customHeight="1">
      <c r="A49" s="3"/>
      <c r="B49" s="43"/>
      <c r="C49" s="20"/>
      <c r="D49" s="20"/>
      <c r="E49" s="20"/>
      <c r="F49" s="21"/>
      <c r="G49" s="21"/>
      <c r="H49" s="21"/>
      <c r="I49" s="44"/>
    </row>
    <row r="50" spans="1:9" ht="12.95" customHeight="1">
      <c r="A50" s="3"/>
      <c r="B50" s="45" t="s">
        <v>129</v>
      </c>
      <c r="C50" s="22"/>
      <c r="D50" s="22"/>
      <c r="E50" s="22"/>
      <c r="F50" s="23" t="s">
        <v>128</v>
      </c>
      <c r="G50" s="23" t="s">
        <v>128</v>
      </c>
      <c r="H50" s="23"/>
      <c r="I50" s="42"/>
    </row>
    <row r="51" spans="1:9" ht="12.95" customHeight="1">
      <c r="A51" s="17"/>
      <c r="B51" s="45"/>
      <c r="C51" s="22"/>
      <c r="D51" s="22"/>
      <c r="E51" s="22"/>
      <c r="F51" s="23"/>
      <c r="G51" s="23"/>
      <c r="H51" s="23"/>
      <c r="I51" s="42"/>
    </row>
    <row r="52" spans="1:9" ht="12.95" customHeight="1">
      <c r="A52" s="3"/>
      <c r="B52" s="43" t="s">
        <v>130</v>
      </c>
      <c r="C52" s="26"/>
      <c r="D52" s="26"/>
      <c r="E52" s="26"/>
      <c r="F52" s="26"/>
      <c r="G52" s="26"/>
      <c r="H52" s="27"/>
      <c r="I52" s="44"/>
    </row>
    <row r="53" spans="1:9" ht="12.95" customHeight="1">
      <c r="A53" s="10" t="s">
        <v>131</v>
      </c>
      <c r="B53" s="46" t="s">
        <v>132</v>
      </c>
      <c r="C53" s="26"/>
      <c r="D53" s="26"/>
      <c r="E53" s="55"/>
      <c r="F53" s="30">
        <v>4096.2299999999996</v>
      </c>
      <c r="G53" s="31">
        <v>0.99099999999999999</v>
      </c>
      <c r="H53" s="56"/>
      <c r="I53" s="47"/>
    </row>
    <row r="54" spans="1:9" ht="12.95" customHeight="1">
      <c r="A54" s="3"/>
      <c r="B54" s="43" t="s">
        <v>126</v>
      </c>
      <c r="C54" s="26"/>
      <c r="D54" s="26"/>
      <c r="E54" s="26"/>
      <c r="F54" s="33">
        <v>4096.2299999999996</v>
      </c>
      <c r="G54" s="34">
        <v>0.99099999999999999</v>
      </c>
      <c r="H54" s="19"/>
      <c r="I54" s="42"/>
    </row>
    <row r="55" spans="1:9" ht="12.95" customHeight="1">
      <c r="A55" s="3"/>
      <c r="B55" s="45" t="s">
        <v>129</v>
      </c>
      <c r="C55" s="22"/>
      <c r="D55" s="18"/>
      <c r="E55" s="22"/>
      <c r="F55" s="33">
        <v>4096.2299999999996</v>
      </c>
      <c r="G55" s="34">
        <v>0.99099999999999999</v>
      </c>
      <c r="H55" s="19"/>
      <c r="I55" s="42"/>
    </row>
    <row r="56" spans="1:9" ht="12.95" customHeight="1">
      <c r="A56" s="3"/>
      <c r="B56" s="45" t="s">
        <v>149</v>
      </c>
      <c r="C56" s="35"/>
      <c r="D56" s="18"/>
      <c r="E56" s="22"/>
      <c r="F56" s="36">
        <v>37.1</v>
      </c>
      <c r="G56" s="34">
        <v>8.9999999999999993E-3</v>
      </c>
      <c r="H56" s="19"/>
      <c r="I56" s="42"/>
    </row>
    <row r="57" spans="1:9" ht="12.95" customHeight="1" thickBot="1">
      <c r="A57" s="3"/>
      <c r="B57" s="49" t="s">
        <v>150</v>
      </c>
      <c r="C57" s="50"/>
      <c r="D57" s="50"/>
      <c r="E57" s="50"/>
      <c r="F57" s="51">
        <v>4133.33</v>
      </c>
      <c r="G57" s="52">
        <v>1</v>
      </c>
      <c r="H57" s="53"/>
      <c r="I57" s="54"/>
    </row>
    <row r="58" spans="1:9" ht="12.95" customHeight="1">
      <c r="A58" s="3"/>
      <c r="B58" s="118"/>
      <c r="C58" s="118"/>
      <c r="D58" s="118"/>
      <c r="E58" s="118"/>
      <c r="F58" s="118"/>
      <c r="G58" s="118"/>
      <c r="H58" s="118"/>
      <c r="I58" s="118"/>
    </row>
    <row r="59" spans="1:9" ht="12.95" customHeight="1">
      <c r="A59" s="3"/>
      <c r="B59" s="118"/>
      <c r="C59" s="118"/>
      <c r="D59" s="118"/>
      <c r="E59" s="118"/>
      <c r="F59" s="118"/>
      <c r="G59" s="118"/>
      <c r="H59" s="118"/>
      <c r="I59" s="118"/>
    </row>
    <row r="60" spans="1:9" ht="12.95" customHeight="1">
      <c r="A60" s="3"/>
      <c r="B60" s="118" t="s">
        <v>151</v>
      </c>
      <c r="C60" s="118"/>
      <c r="D60" s="118"/>
      <c r="E60" s="118"/>
      <c r="F60" s="118"/>
      <c r="G60" s="118"/>
      <c r="H60" s="118"/>
      <c r="I60" s="118"/>
    </row>
    <row r="61" spans="1:9" ht="12.95" customHeight="1">
      <c r="A61" s="3"/>
      <c r="B61" s="117" t="s">
        <v>152</v>
      </c>
      <c r="C61" s="117"/>
      <c r="D61" s="117"/>
      <c r="E61" s="117"/>
      <c r="F61" s="117"/>
      <c r="G61" s="117"/>
      <c r="H61" s="117"/>
      <c r="I61" s="117"/>
    </row>
    <row r="62" spans="1:9" ht="12.95" customHeight="1">
      <c r="A62" s="3"/>
      <c r="B62" s="117" t="s">
        <v>153</v>
      </c>
      <c r="C62" s="117"/>
      <c r="D62" s="117"/>
      <c r="E62" s="117"/>
      <c r="F62" s="117"/>
      <c r="G62" s="117"/>
      <c r="H62" s="117"/>
      <c r="I62" s="117"/>
    </row>
    <row r="63" spans="1:9" ht="12.95" customHeight="1">
      <c r="A63" s="3"/>
      <c r="B63" s="117" t="s">
        <v>154</v>
      </c>
      <c r="C63" s="117"/>
      <c r="D63" s="117"/>
      <c r="E63" s="117"/>
      <c r="F63" s="117"/>
      <c r="G63" s="117"/>
      <c r="H63" s="117"/>
      <c r="I63" s="117"/>
    </row>
    <row r="64" spans="1:9" ht="12.95" customHeight="1">
      <c r="A64" s="3"/>
      <c r="B64" s="117" t="s">
        <v>155</v>
      </c>
      <c r="C64" s="117"/>
      <c r="D64" s="117"/>
      <c r="E64" s="117"/>
      <c r="F64" s="117"/>
      <c r="G64" s="117"/>
      <c r="H64" s="117"/>
      <c r="I64" s="117"/>
    </row>
    <row r="65" spans="1:9" ht="12.95" customHeight="1">
      <c r="A65" s="3"/>
      <c r="B65" s="117" t="s">
        <v>156</v>
      </c>
      <c r="C65" s="117"/>
      <c r="D65" s="117"/>
      <c r="E65" s="117"/>
      <c r="F65" s="117"/>
      <c r="G65" s="117"/>
      <c r="H65" s="117"/>
      <c r="I65" s="117"/>
    </row>
    <row r="67" spans="1:9">
      <c r="B67" s="108" t="s">
        <v>715</v>
      </c>
    </row>
    <row r="77" spans="1:9">
      <c r="B77" s="109" t="s">
        <v>716</v>
      </c>
    </row>
    <row r="78" spans="1:9">
      <c r="B78" s="110" t="s">
        <v>730</v>
      </c>
    </row>
    <row r="88" spans="2:2">
      <c r="B88" s="114" t="s">
        <v>720</v>
      </c>
    </row>
  </sheetData>
  <mergeCells count="8">
    <mergeCell ref="B63:I63"/>
    <mergeCell ref="B64:I64"/>
    <mergeCell ref="B65:I65"/>
    <mergeCell ref="B58:I58"/>
    <mergeCell ref="B59:I59"/>
    <mergeCell ref="B60:I60"/>
    <mergeCell ref="B61:I61"/>
    <mergeCell ref="B62:I62"/>
  </mergeCells>
  <pageMargins left="0" right="0" top="0" bottom="0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2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7" t="s">
        <v>36</v>
      </c>
      <c r="C6" s="38" t="s">
        <v>37</v>
      </c>
      <c r="D6" s="39" t="s">
        <v>38</v>
      </c>
      <c r="E6" s="39" t="s">
        <v>39</v>
      </c>
      <c r="F6" s="39" t="s">
        <v>40</v>
      </c>
      <c r="G6" s="39" t="s">
        <v>41</v>
      </c>
      <c r="H6" s="39" t="s">
        <v>42</v>
      </c>
      <c r="I6" s="40" t="s">
        <v>43</v>
      </c>
    </row>
    <row r="7" spans="1:9" ht="12.95" customHeight="1">
      <c r="A7" s="3"/>
      <c r="B7" s="43" t="s">
        <v>44</v>
      </c>
      <c r="C7" s="26"/>
      <c r="D7" s="26"/>
      <c r="E7" s="26"/>
      <c r="F7" s="26"/>
      <c r="G7" s="26"/>
      <c r="H7" s="27"/>
      <c r="I7" s="44"/>
    </row>
    <row r="8" spans="1:9" ht="12.95" customHeight="1">
      <c r="A8" s="3"/>
      <c r="B8" s="43" t="s">
        <v>45</v>
      </c>
      <c r="C8" s="26"/>
      <c r="D8" s="26"/>
      <c r="E8" s="26"/>
      <c r="F8" s="28"/>
      <c r="G8" s="27"/>
      <c r="H8" s="27"/>
      <c r="I8" s="44"/>
    </row>
    <row r="9" spans="1:9" ht="12.95" customHeight="1">
      <c r="A9" s="10" t="s">
        <v>73</v>
      </c>
      <c r="B9" s="46" t="s">
        <v>74</v>
      </c>
      <c r="C9" s="26" t="s">
        <v>75</v>
      </c>
      <c r="D9" s="26" t="s">
        <v>57</v>
      </c>
      <c r="E9" s="29">
        <v>374500</v>
      </c>
      <c r="F9" s="30">
        <v>3167.15</v>
      </c>
      <c r="G9" s="31">
        <v>0.17660000000000001</v>
      </c>
      <c r="H9" s="56"/>
      <c r="I9" s="47"/>
    </row>
    <row r="10" spans="1:9" ht="12.95" customHeight="1">
      <c r="A10" s="10" t="s">
        <v>80</v>
      </c>
      <c r="B10" s="46" t="s">
        <v>81</v>
      </c>
      <c r="C10" s="26" t="s">
        <v>82</v>
      </c>
      <c r="D10" s="26" t="s">
        <v>57</v>
      </c>
      <c r="E10" s="29">
        <v>183732</v>
      </c>
      <c r="F10" s="30">
        <v>1746.83</v>
      </c>
      <c r="G10" s="31">
        <v>9.74E-2</v>
      </c>
      <c r="H10" s="56"/>
      <c r="I10" s="47"/>
    </row>
    <row r="11" spans="1:9" ht="12.95" customHeight="1">
      <c r="A11" s="10" t="s">
        <v>243</v>
      </c>
      <c r="B11" s="46" t="s">
        <v>244</v>
      </c>
      <c r="C11" s="26" t="s">
        <v>245</v>
      </c>
      <c r="D11" s="26" t="s">
        <v>57</v>
      </c>
      <c r="E11" s="29">
        <v>35500</v>
      </c>
      <c r="F11" s="30">
        <v>1741.99</v>
      </c>
      <c r="G11" s="31">
        <v>9.7199999999999995E-2</v>
      </c>
      <c r="H11" s="56"/>
      <c r="I11" s="47"/>
    </row>
    <row r="12" spans="1:9" ht="12.95" customHeight="1">
      <c r="A12" s="10" t="s">
        <v>54</v>
      </c>
      <c r="B12" s="46" t="s">
        <v>55</v>
      </c>
      <c r="C12" s="26" t="s">
        <v>56</v>
      </c>
      <c r="D12" s="26" t="s">
        <v>57</v>
      </c>
      <c r="E12" s="29">
        <v>23050</v>
      </c>
      <c r="F12" s="30">
        <v>1078.33</v>
      </c>
      <c r="G12" s="31">
        <v>6.0100000000000001E-2</v>
      </c>
      <c r="H12" s="56"/>
      <c r="I12" s="47"/>
    </row>
    <row r="13" spans="1:9" ht="12.95" customHeight="1">
      <c r="A13" s="10" t="s">
        <v>344</v>
      </c>
      <c r="B13" s="46" t="s">
        <v>345</v>
      </c>
      <c r="C13" s="26" t="s">
        <v>346</v>
      </c>
      <c r="D13" s="26" t="s">
        <v>57</v>
      </c>
      <c r="E13" s="29">
        <v>101000</v>
      </c>
      <c r="F13" s="30">
        <v>913.7</v>
      </c>
      <c r="G13" s="31">
        <v>5.0999999999999997E-2</v>
      </c>
      <c r="H13" s="56"/>
      <c r="I13" s="47"/>
    </row>
    <row r="14" spans="1:9" ht="12.95" customHeight="1">
      <c r="A14" s="10" t="s">
        <v>532</v>
      </c>
      <c r="B14" s="46" t="s">
        <v>533</v>
      </c>
      <c r="C14" s="26" t="s">
        <v>534</v>
      </c>
      <c r="D14" s="26" t="s">
        <v>57</v>
      </c>
      <c r="E14" s="29">
        <v>27000</v>
      </c>
      <c r="F14" s="30">
        <v>885.18</v>
      </c>
      <c r="G14" s="31">
        <v>4.9399999999999999E-2</v>
      </c>
      <c r="H14" s="56"/>
      <c r="I14" s="47"/>
    </row>
    <row r="15" spans="1:9" ht="12.95" customHeight="1">
      <c r="A15" s="10" t="s">
        <v>341</v>
      </c>
      <c r="B15" s="46" t="s">
        <v>342</v>
      </c>
      <c r="C15" s="26" t="s">
        <v>343</v>
      </c>
      <c r="D15" s="26" t="s">
        <v>57</v>
      </c>
      <c r="E15" s="29">
        <v>105800</v>
      </c>
      <c r="F15" s="30">
        <v>848.41</v>
      </c>
      <c r="G15" s="31">
        <v>4.7300000000000002E-2</v>
      </c>
      <c r="H15" s="56"/>
      <c r="I15" s="47"/>
    </row>
    <row r="16" spans="1:9" ht="12.95" customHeight="1">
      <c r="A16" s="10" t="s">
        <v>535</v>
      </c>
      <c r="B16" s="46" t="s">
        <v>536</v>
      </c>
      <c r="C16" s="26" t="s">
        <v>537</v>
      </c>
      <c r="D16" s="26" t="s">
        <v>57</v>
      </c>
      <c r="E16" s="29">
        <v>45772</v>
      </c>
      <c r="F16" s="30">
        <v>804.05</v>
      </c>
      <c r="G16" s="31">
        <v>4.48E-2</v>
      </c>
      <c r="H16" s="56"/>
      <c r="I16" s="47"/>
    </row>
    <row r="17" spans="1:9" ht="12.95" customHeight="1">
      <c r="A17" s="10" t="s">
        <v>538</v>
      </c>
      <c r="B17" s="46" t="s">
        <v>539</v>
      </c>
      <c r="C17" s="26" t="s">
        <v>540</v>
      </c>
      <c r="D17" s="26" t="s">
        <v>57</v>
      </c>
      <c r="E17" s="29">
        <v>81000</v>
      </c>
      <c r="F17" s="30">
        <v>764.72</v>
      </c>
      <c r="G17" s="31">
        <v>4.2599999999999999E-2</v>
      </c>
      <c r="H17" s="56"/>
      <c r="I17" s="47"/>
    </row>
    <row r="18" spans="1:9" ht="12.95" customHeight="1">
      <c r="A18" s="10" t="s">
        <v>478</v>
      </c>
      <c r="B18" s="46" t="s">
        <v>479</v>
      </c>
      <c r="C18" s="26" t="s">
        <v>480</v>
      </c>
      <c r="D18" s="26" t="s">
        <v>57</v>
      </c>
      <c r="E18" s="29">
        <v>101500</v>
      </c>
      <c r="F18" s="30">
        <v>500.65</v>
      </c>
      <c r="G18" s="31">
        <v>2.7900000000000001E-2</v>
      </c>
      <c r="H18" s="56"/>
      <c r="I18" s="47"/>
    </row>
    <row r="19" spans="1:9" ht="12.95" customHeight="1">
      <c r="A19" s="10" t="s">
        <v>466</v>
      </c>
      <c r="B19" s="46" t="s">
        <v>467</v>
      </c>
      <c r="C19" s="26" t="s">
        <v>468</v>
      </c>
      <c r="D19" s="26" t="s">
        <v>57</v>
      </c>
      <c r="E19" s="29">
        <v>6100</v>
      </c>
      <c r="F19" s="30">
        <v>481.12</v>
      </c>
      <c r="G19" s="31">
        <v>2.6800000000000001E-2</v>
      </c>
      <c r="H19" s="56"/>
      <c r="I19" s="47"/>
    </row>
    <row r="20" spans="1:9" ht="12.95" customHeight="1">
      <c r="A20" s="10" t="s">
        <v>541</v>
      </c>
      <c r="B20" s="46" t="s">
        <v>542</v>
      </c>
      <c r="C20" s="26" t="s">
        <v>543</v>
      </c>
      <c r="D20" s="26" t="s">
        <v>57</v>
      </c>
      <c r="E20" s="29">
        <v>16100</v>
      </c>
      <c r="F20" s="30">
        <v>359.92</v>
      </c>
      <c r="G20" s="31">
        <v>2.01E-2</v>
      </c>
      <c r="H20" s="56"/>
      <c r="I20" s="47"/>
    </row>
    <row r="21" spans="1:9" ht="12.95" customHeight="1">
      <c r="A21" s="10" t="s">
        <v>291</v>
      </c>
      <c r="B21" s="46" t="s">
        <v>292</v>
      </c>
      <c r="C21" s="26" t="s">
        <v>293</v>
      </c>
      <c r="D21" s="26" t="s">
        <v>72</v>
      </c>
      <c r="E21" s="29">
        <v>36000</v>
      </c>
      <c r="F21" s="30">
        <v>352.93</v>
      </c>
      <c r="G21" s="31">
        <v>1.9699999999999999E-2</v>
      </c>
      <c r="H21" s="56"/>
      <c r="I21" s="47"/>
    </row>
    <row r="22" spans="1:9" ht="12.95" customHeight="1">
      <c r="A22" s="10" t="s">
        <v>418</v>
      </c>
      <c r="B22" s="46" t="s">
        <v>419</v>
      </c>
      <c r="C22" s="26" t="s">
        <v>420</v>
      </c>
      <c r="D22" s="26" t="s">
        <v>57</v>
      </c>
      <c r="E22" s="29">
        <v>326217</v>
      </c>
      <c r="F22" s="30">
        <v>347.42</v>
      </c>
      <c r="G22" s="31">
        <v>1.9400000000000001E-2</v>
      </c>
      <c r="H22" s="56"/>
      <c r="I22" s="47"/>
    </row>
    <row r="23" spans="1:9" ht="12.95" customHeight="1">
      <c r="A23" s="10" t="s">
        <v>231</v>
      </c>
      <c r="B23" s="46" t="s">
        <v>232</v>
      </c>
      <c r="C23" s="26" t="s">
        <v>233</v>
      </c>
      <c r="D23" s="26" t="s">
        <v>72</v>
      </c>
      <c r="E23" s="29">
        <v>29000</v>
      </c>
      <c r="F23" s="30">
        <v>346.84</v>
      </c>
      <c r="G23" s="31">
        <v>1.9300000000000001E-2</v>
      </c>
      <c r="H23" s="56"/>
      <c r="I23" s="47"/>
    </row>
    <row r="24" spans="1:9" ht="12.95" customHeight="1">
      <c r="A24" s="10" t="s">
        <v>544</v>
      </c>
      <c r="B24" s="46" t="s">
        <v>545</v>
      </c>
      <c r="C24" s="26" t="s">
        <v>546</v>
      </c>
      <c r="D24" s="26" t="s">
        <v>72</v>
      </c>
      <c r="E24" s="29">
        <v>17000</v>
      </c>
      <c r="F24" s="30">
        <v>238.21</v>
      </c>
      <c r="G24" s="31">
        <v>1.3299999999999999E-2</v>
      </c>
      <c r="H24" s="56"/>
      <c r="I24" s="47"/>
    </row>
    <row r="25" spans="1:9" ht="12.95" customHeight="1">
      <c r="A25" s="10" t="s">
        <v>547</v>
      </c>
      <c r="B25" s="46" t="s">
        <v>548</v>
      </c>
      <c r="C25" s="26" t="s">
        <v>549</v>
      </c>
      <c r="D25" s="26" t="s">
        <v>550</v>
      </c>
      <c r="E25" s="29">
        <v>131767</v>
      </c>
      <c r="F25" s="30">
        <v>229.01</v>
      </c>
      <c r="G25" s="31">
        <v>1.2800000000000001E-2</v>
      </c>
      <c r="H25" s="56"/>
      <c r="I25" s="47"/>
    </row>
    <row r="26" spans="1:9" ht="12.95" customHeight="1">
      <c r="A26" s="10" t="s">
        <v>551</v>
      </c>
      <c r="B26" s="46" t="s">
        <v>552</v>
      </c>
      <c r="C26" s="26" t="s">
        <v>553</v>
      </c>
      <c r="D26" s="26" t="s">
        <v>57</v>
      </c>
      <c r="E26" s="29">
        <v>10900</v>
      </c>
      <c r="F26" s="30">
        <v>193.99</v>
      </c>
      <c r="G26" s="31">
        <v>1.0800000000000001E-2</v>
      </c>
      <c r="H26" s="56"/>
      <c r="I26" s="47"/>
    </row>
    <row r="27" spans="1:9" ht="12.95" customHeight="1">
      <c r="A27" s="10" t="s">
        <v>554</v>
      </c>
      <c r="B27" s="46" t="s">
        <v>555</v>
      </c>
      <c r="C27" s="26" t="s">
        <v>556</v>
      </c>
      <c r="D27" s="26" t="s">
        <v>550</v>
      </c>
      <c r="E27" s="29">
        <v>30000</v>
      </c>
      <c r="F27" s="30">
        <v>185.97</v>
      </c>
      <c r="G27" s="31">
        <v>1.04E-2</v>
      </c>
      <c r="H27" s="56"/>
      <c r="I27" s="47"/>
    </row>
    <row r="28" spans="1:9" ht="12.95" customHeight="1">
      <c r="A28" s="10" t="s">
        <v>557</v>
      </c>
      <c r="B28" s="46" t="s">
        <v>558</v>
      </c>
      <c r="C28" s="26" t="s">
        <v>559</v>
      </c>
      <c r="D28" s="26" t="s">
        <v>57</v>
      </c>
      <c r="E28" s="29">
        <v>5000</v>
      </c>
      <c r="F28" s="30">
        <v>181.2</v>
      </c>
      <c r="G28" s="31">
        <v>1.01E-2</v>
      </c>
      <c r="H28" s="56"/>
      <c r="I28" s="47"/>
    </row>
    <row r="29" spans="1:9" ht="12.95" customHeight="1">
      <c r="A29" s="10" t="s">
        <v>560</v>
      </c>
      <c r="B29" s="46" t="s">
        <v>561</v>
      </c>
      <c r="C29" s="26" t="s">
        <v>562</v>
      </c>
      <c r="D29" s="26" t="s">
        <v>57</v>
      </c>
      <c r="E29" s="29">
        <v>58000</v>
      </c>
      <c r="F29" s="30">
        <v>176.44</v>
      </c>
      <c r="G29" s="31">
        <v>9.7999999999999997E-3</v>
      </c>
      <c r="H29" s="56"/>
      <c r="I29" s="47"/>
    </row>
    <row r="30" spans="1:9" ht="12.95" customHeight="1">
      <c r="A30" s="10" t="s">
        <v>563</v>
      </c>
      <c r="B30" s="46" t="s">
        <v>564</v>
      </c>
      <c r="C30" s="26" t="s">
        <v>565</v>
      </c>
      <c r="D30" s="26" t="s">
        <v>57</v>
      </c>
      <c r="E30" s="29">
        <v>7500</v>
      </c>
      <c r="F30" s="30">
        <v>162.51</v>
      </c>
      <c r="G30" s="31">
        <v>9.1000000000000004E-3</v>
      </c>
      <c r="H30" s="56"/>
      <c r="I30" s="47"/>
    </row>
    <row r="31" spans="1:9" ht="12.95" customHeight="1">
      <c r="A31" s="10" t="s">
        <v>566</v>
      </c>
      <c r="B31" s="46" t="s">
        <v>567</v>
      </c>
      <c r="C31" s="26" t="s">
        <v>568</v>
      </c>
      <c r="D31" s="26" t="s">
        <v>57</v>
      </c>
      <c r="E31" s="29">
        <v>31843</v>
      </c>
      <c r="F31" s="30">
        <v>144.66</v>
      </c>
      <c r="G31" s="31">
        <v>8.0999999999999996E-3</v>
      </c>
      <c r="H31" s="56"/>
      <c r="I31" s="47"/>
    </row>
    <row r="32" spans="1:9" ht="12.95" customHeight="1">
      <c r="A32" s="10" t="s">
        <v>569</v>
      </c>
      <c r="B32" s="46" t="s">
        <v>570</v>
      </c>
      <c r="C32" s="26" t="s">
        <v>571</v>
      </c>
      <c r="D32" s="26" t="s">
        <v>550</v>
      </c>
      <c r="E32" s="29">
        <v>30251</v>
      </c>
      <c r="F32" s="30">
        <v>133.97999999999999</v>
      </c>
      <c r="G32" s="31">
        <v>7.4999999999999997E-3</v>
      </c>
      <c r="H32" s="56"/>
      <c r="I32" s="47"/>
    </row>
    <row r="33" spans="1:9" ht="12.95" customHeight="1">
      <c r="A33" s="10" t="s">
        <v>572</v>
      </c>
      <c r="B33" s="46" t="s">
        <v>573</v>
      </c>
      <c r="C33" s="26" t="s">
        <v>574</v>
      </c>
      <c r="D33" s="26" t="s">
        <v>57</v>
      </c>
      <c r="E33" s="29">
        <v>1736</v>
      </c>
      <c r="F33" s="30">
        <v>43.95</v>
      </c>
      <c r="G33" s="31">
        <v>2.5000000000000001E-3</v>
      </c>
      <c r="H33" s="56"/>
      <c r="I33" s="47"/>
    </row>
    <row r="34" spans="1:9" ht="12.95" customHeight="1">
      <c r="A34" s="3"/>
      <c r="B34" s="43" t="s">
        <v>126</v>
      </c>
      <c r="C34" s="26"/>
      <c r="D34" s="26"/>
      <c r="E34" s="26"/>
      <c r="F34" s="33">
        <v>16029.16</v>
      </c>
      <c r="G34" s="34">
        <v>0.89400000000000002</v>
      </c>
      <c r="H34" s="19"/>
      <c r="I34" s="42"/>
    </row>
    <row r="35" spans="1:9" ht="12.95" customHeight="1">
      <c r="A35" s="3"/>
      <c r="B35" s="45" t="s">
        <v>127</v>
      </c>
      <c r="C35" s="18"/>
      <c r="D35" s="18"/>
      <c r="E35" s="18"/>
      <c r="F35" s="19" t="s">
        <v>128</v>
      </c>
      <c r="G35" s="19" t="s">
        <v>128</v>
      </c>
      <c r="H35" s="19"/>
      <c r="I35" s="42"/>
    </row>
    <row r="36" spans="1:9" ht="12.95" customHeight="1">
      <c r="A36" s="3"/>
      <c r="B36" s="45" t="s">
        <v>126</v>
      </c>
      <c r="C36" s="18"/>
      <c r="D36" s="18"/>
      <c r="E36" s="18"/>
      <c r="F36" s="19" t="s">
        <v>128</v>
      </c>
      <c r="G36" s="19" t="s">
        <v>128</v>
      </c>
      <c r="H36" s="19"/>
      <c r="I36" s="42"/>
    </row>
    <row r="37" spans="1:9" ht="12.95" customHeight="1">
      <c r="A37" s="3"/>
      <c r="B37" s="45" t="s">
        <v>129</v>
      </c>
      <c r="C37" s="22"/>
      <c r="D37" s="18"/>
      <c r="E37" s="22"/>
      <c r="F37" s="33">
        <v>16029.16</v>
      </c>
      <c r="G37" s="34">
        <v>0.89400000000000002</v>
      </c>
      <c r="H37" s="19"/>
      <c r="I37" s="42"/>
    </row>
    <row r="38" spans="1:9" ht="12.95" customHeight="1">
      <c r="A38" s="3"/>
      <c r="B38" s="41" t="s">
        <v>133</v>
      </c>
      <c r="C38" s="20"/>
      <c r="D38" s="20"/>
      <c r="E38" s="20"/>
      <c r="F38" s="21"/>
      <c r="G38" s="21"/>
      <c r="H38" s="21"/>
      <c r="I38" s="44"/>
    </row>
    <row r="39" spans="1:9" ht="12.95" customHeight="1">
      <c r="A39" s="3"/>
      <c r="B39" s="43"/>
      <c r="C39" s="20"/>
      <c r="D39" s="20"/>
      <c r="E39" s="20"/>
      <c r="F39" s="21"/>
      <c r="G39" s="21"/>
      <c r="H39" s="21"/>
      <c r="I39" s="44"/>
    </row>
    <row r="40" spans="1:9" ht="12.95" customHeight="1">
      <c r="A40" s="3"/>
      <c r="B40" s="45" t="s">
        <v>134</v>
      </c>
      <c r="C40" s="18"/>
      <c r="D40" s="18"/>
      <c r="E40" s="18"/>
      <c r="F40" s="19" t="s">
        <v>128</v>
      </c>
      <c r="G40" s="19" t="s">
        <v>128</v>
      </c>
      <c r="H40" s="19"/>
      <c r="I40" s="42"/>
    </row>
    <row r="41" spans="1:9" ht="12.95" customHeight="1">
      <c r="A41" s="3"/>
      <c r="B41" s="43"/>
      <c r="C41" s="20"/>
      <c r="D41" s="20"/>
      <c r="E41" s="20"/>
      <c r="F41" s="21"/>
      <c r="G41" s="21"/>
      <c r="H41" s="21"/>
      <c r="I41" s="44"/>
    </row>
    <row r="42" spans="1:9" ht="12.95" customHeight="1">
      <c r="A42" s="3"/>
      <c r="B42" s="45" t="s">
        <v>135</v>
      </c>
      <c r="C42" s="18"/>
      <c r="D42" s="18"/>
      <c r="E42" s="18"/>
      <c r="F42" s="19" t="s">
        <v>128</v>
      </c>
      <c r="G42" s="19" t="s">
        <v>128</v>
      </c>
      <c r="H42" s="19"/>
      <c r="I42" s="42"/>
    </row>
    <row r="43" spans="1:9" ht="12.95" customHeight="1">
      <c r="A43" s="3"/>
      <c r="B43" s="43"/>
      <c r="C43" s="20"/>
      <c r="D43" s="20"/>
      <c r="E43" s="20"/>
      <c r="F43" s="21"/>
      <c r="G43" s="21"/>
      <c r="H43" s="21"/>
      <c r="I43" s="44"/>
    </row>
    <row r="44" spans="1:9" ht="12.95" customHeight="1">
      <c r="A44" s="3"/>
      <c r="B44" s="45" t="s">
        <v>136</v>
      </c>
      <c r="C44" s="18"/>
      <c r="D44" s="18"/>
      <c r="E44" s="18"/>
      <c r="F44" s="19" t="s">
        <v>128</v>
      </c>
      <c r="G44" s="19" t="s">
        <v>128</v>
      </c>
      <c r="H44" s="19"/>
      <c r="I44" s="42"/>
    </row>
    <row r="45" spans="1:9" ht="12.95" customHeight="1">
      <c r="A45" s="3"/>
      <c r="B45" s="43"/>
      <c r="C45" s="20"/>
      <c r="D45" s="20"/>
      <c r="E45" s="20"/>
      <c r="F45" s="21"/>
      <c r="G45" s="21"/>
      <c r="H45" s="21"/>
      <c r="I45" s="44"/>
    </row>
    <row r="46" spans="1:9" ht="12.95" customHeight="1">
      <c r="A46" s="3"/>
      <c r="B46" s="45" t="s">
        <v>137</v>
      </c>
      <c r="C46" s="18"/>
      <c r="D46" s="18"/>
      <c r="E46" s="18"/>
      <c r="F46" s="19" t="s">
        <v>128</v>
      </c>
      <c r="G46" s="19" t="s">
        <v>128</v>
      </c>
      <c r="H46" s="19"/>
      <c r="I46" s="42"/>
    </row>
    <row r="47" spans="1:9" ht="12.95" customHeight="1">
      <c r="A47" s="3"/>
      <c r="B47" s="43"/>
      <c r="C47" s="20"/>
      <c r="D47" s="20"/>
      <c r="E47" s="20"/>
      <c r="F47" s="21"/>
      <c r="G47" s="21"/>
      <c r="H47" s="21"/>
      <c r="I47" s="44"/>
    </row>
    <row r="48" spans="1:9" ht="12.95" customHeight="1">
      <c r="A48" s="3"/>
      <c r="B48" s="45" t="s">
        <v>138</v>
      </c>
      <c r="C48" s="22"/>
      <c r="D48" s="22"/>
      <c r="E48" s="22"/>
      <c r="F48" s="23" t="s">
        <v>128</v>
      </c>
      <c r="G48" s="23" t="s">
        <v>128</v>
      </c>
      <c r="H48" s="23"/>
      <c r="I48" s="42"/>
    </row>
    <row r="49" spans="1:9" ht="12.95" customHeight="1">
      <c r="A49" s="3"/>
      <c r="B49" s="43"/>
      <c r="C49" s="20"/>
      <c r="D49" s="20"/>
      <c r="E49" s="20"/>
      <c r="F49" s="21"/>
      <c r="G49" s="21"/>
      <c r="H49" s="21"/>
      <c r="I49" s="44"/>
    </row>
    <row r="50" spans="1:9" ht="12.95" customHeight="1">
      <c r="A50" s="3"/>
      <c r="B50" s="45" t="s">
        <v>129</v>
      </c>
      <c r="C50" s="24"/>
      <c r="D50" s="24"/>
      <c r="E50" s="24"/>
      <c r="F50" s="25" t="s">
        <v>128</v>
      </c>
      <c r="G50" s="25" t="s">
        <v>128</v>
      </c>
      <c r="H50" s="25"/>
      <c r="I50" s="42"/>
    </row>
    <row r="51" spans="1:9" ht="12.95" customHeight="1">
      <c r="A51" s="3"/>
      <c r="B51" s="45" t="s">
        <v>139</v>
      </c>
      <c r="C51" s="18"/>
      <c r="D51" s="18"/>
      <c r="E51" s="18"/>
      <c r="F51" s="19" t="s">
        <v>128</v>
      </c>
      <c r="G51" s="19" t="s">
        <v>128</v>
      </c>
      <c r="H51" s="19"/>
      <c r="I51" s="42"/>
    </row>
    <row r="52" spans="1:9" ht="12.95" customHeight="1">
      <c r="A52" s="3"/>
      <c r="B52" s="43"/>
      <c r="C52" s="20"/>
      <c r="D52" s="20"/>
      <c r="E52" s="20"/>
      <c r="F52" s="21"/>
      <c r="G52" s="21"/>
      <c r="H52" s="21"/>
      <c r="I52" s="44"/>
    </row>
    <row r="53" spans="1:9" ht="12.95" customHeight="1">
      <c r="A53" s="3"/>
      <c r="B53" s="45" t="s">
        <v>140</v>
      </c>
      <c r="C53" s="18"/>
      <c r="D53" s="18"/>
      <c r="E53" s="18"/>
      <c r="F53" s="19" t="s">
        <v>128</v>
      </c>
      <c r="G53" s="19" t="s">
        <v>128</v>
      </c>
      <c r="H53" s="19"/>
      <c r="I53" s="42"/>
    </row>
    <row r="54" spans="1:9" ht="12.95" customHeight="1">
      <c r="A54" s="3"/>
      <c r="B54" s="43"/>
      <c r="C54" s="20"/>
      <c r="D54" s="20"/>
      <c r="E54" s="20"/>
      <c r="F54" s="21"/>
      <c r="G54" s="21"/>
      <c r="H54" s="21"/>
      <c r="I54" s="44"/>
    </row>
    <row r="55" spans="1:9" ht="12.95" customHeight="1">
      <c r="A55" s="3"/>
      <c r="B55" s="45" t="s">
        <v>141</v>
      </c>
      <c r="C55" s="18"/>
      <c r="D55" s="18"/>
      <c r="E55" s="18"/>
      <c r="F55" s="19" t="s">
        <v>128</v>
      </c>
      <c r="G55" s="19" t="s">
        <v>128</v>
      </c>
      <c r="H55" s="19"/>
      <c r="I55" s="42"/>
    </row>
    <row r="56" spans="1:9" ht="12.95" customHeight="1">
      <c r="A56" s="3"/>
      <c r="B56" s="43"/>
      <c r="C56" s="20"/>
      <c r="D56" s="20"/>
      <c r="E56" s="20"/>
      <c r="F56" s="21"/>
      <c r="G56" s="21"/>
      <c r="H56" s="21"/>
      <c r="I56" s="44"/>
    </row>
    <row r="57" spans="1:9" ht="12.95" customHeight="1">
      <c r="A57" s="3"/>
      <c r="B57" s="45" t="s">
        <v>142</v>
      </c>
      <c r="C57" s="18"/>
      <c r="D57" s="18"/>
      <c r="E57" s="18"/>
      <c r="F57" s="19" t="s">
        <v>128</v>
      </c>
      <c r="G57" s="19" t="s">
        <v>128</v>
      </c>
      <c r="H57" s="19"/>
      <c r="I57" s="42"/>
    </row>
    <row r="58" spans="1:9" ht="12.95" customHeight="1">
      <c r="A58" s="3"/>
      <c r="B58" s="43"/>
      <c r="C58" s="20"/>
      <c r="D58" s="20"/>
      <c r="E58" s="20"/>
      <c r="F58" s="21"/>
      <c r="G58" s="21"/>
      <c r="H58" s="21"/>
      <c r="I58" s="44"/>
    </row>
    <row r="59" spans="1:9" ht="12.95" customHeight="1">
      <c r="A59" s="3"/>
      <c r="B59" s="45" t="s">
        <v>143</v>
      </c>
      <c r="C59" s="22"/>
      <c r="D59" s="22"/>
      <c r="E59" s="22"/>
      <c r="F59" s="23" t="s">
        <v>128</v>
      </c>
      <c r="G59" s="23" t="s">
        <v>128</v>
      </c>
      <c r="H59" s="23"/>
      <c r="I59" s="42"/>
    </row>
    <row r="60" spans="1:9" ht="12.95" customHeight="1">
      <c r="A60" s="3"/>
      <c r="B60" s="43"/>
      <c r="C60" s="20"/>
      <c r="D60" s="20"/>
      <c r="E60" s="20"/>
      <c r="F60" s="21"/>
      <c r="G60" s="21"/>
      <c r="H60" s="21"/>
      <c r="I60" s="44"/>
    </row>
    <row r="61" spans="1:9" ht="12.95" customHeight="1">
      <c r="A61" s="3"/>
      <c r="B61" s="45" t="s">
        <v>129</v>
      </c>
      <c r="C61" s="24"/>
      <c r="D61" s="24"/>
      <c r="E61" s="24"/>
      <c r="F61" s="25" t="s">
        <v>128</v>
      </c>
      <c r="G61" s="25" t="s">
        <v>128</v>
      </c>
      <c r="H61" s="25"/>
      <c r="I61" s="42"/>
    </row>
    <row r="62" spans="1:9" ht="12.95" customHeight="1">
      <c r="A62" s="17"/>
      <c r="B62" s="45"/>
      <c r="C62" s="24"/>
      <c r="D62" s="24"/>
      <c r="E62" s="24"/>
      <c r="F62" s="25"/>
      <c r="G62" s="25"/>
      <c r="H62" s="25"/>
      <c r="I62" s="42"/>
    </row>
    <row r="63" spans="1:9" ht="12.95" customHeight="1">
      <c r="A63" s="3"/>
      <c r="B63" s="43" t="s">
        <v>144</v>
      </c>
      <c r="C63" s="26"/>
      <c r="D63" s="26"/>
      <c r="E63" s="26"/>
      <c r="F63" s="26"/>
      <c r="G63" s="26"/>
      <c r="H63" s="27"/>
      <c r="I63" s="44"/>
    </row>
    <row r="64" spans="1:9" ht="12.95" customHeight="1">
      <c r="A64" s="3"/>
      <c r="B64" s="43" t="s">
        <v>575</v>
      </c>
      <c r="C64" s="26"/>
      <c r="D64" s="26"/>
      <c r="E64" s="26"/>
      <c r="F64" s="28"/>
      <c r="G64" s="27"/>
      <c r="H64" s="27"/>
      <c r="I64" s="44"/>
    </row>
    <row r="65" spans="1:9" ht="12.95" customHeight="1">
      <c r="A65" s="10" t="s">
        <v>576</v>
      </c>
      <c r="B65" s="46" t="s">
        <v>577</v>
      </c>
      <c r="C65" s="26" t="s">
        <v>578</v>
      </c>
      <c r="D65" s="26"/>
      <c r="E65" s="29">
        <v>9798244.091</v>
      </c>
      <c r="F65" s="30">
        <v>1001.79</v>
      </c>
      <c r="G65" s="31">
        <v>5.5899999999999998E-2</v>
      </c>
      <c r="H65" s="56"/>
      <c r="I65" s="47"/>
    </row>
    <row r="66" spans="1:9" ht="12.95" customHeight="1">
      <c r="A66" s="3"/>
      <c r="B66" s="43" t="s">
        <v>126</v>
      </c>
      <c r="C66" s="26"/>
      <c r="D66" s="26"/>
      <c r="E66" s="26"/>
      <c r="F66" s="33">
        <v>1001.79</v>
      </c>
      <c r="G66" s="34">
        <v>5.5899999999999998E-2</v>
      </c>
      <c r="H66" s="19"/>
      <c r="I66" s="42"/>
    </row>
    <row r="67" spans="1:9" ht="12.95" customHeight="1">
      <c r="A67" s="3"/>
      <c r="B67" s="45" t="s">
        <v>579</v>
      </c>
      <c r="C67" s="18"/>
      <c r="D67" s="18"/>
      <c r="E67" s="18"/>
      <c r="F67" s="19" t="s">
        <v>128</v>
      </c>
      <c r="G67" s="19" t="s">
        <v>128</v>
      </c>
      <c r="H67" s="19"/>
      <c r="I67" s="42"/>
    </row>
    <row r="68" spans="1:9" ht="12.95" customHeight="1">
      <c r="A68" s="3"/>
      <c r="B68" s="43" t="s">
        <v>126</v>
      </c>
      <c r="C68" s="20"/>
      <c r="D68" s="20"/>
      <c r="E68" s="20"/>
      <c r="F68" s="21"/>
      <c r="G68" s="21"/>
      <c r="H68" s="21"/>
      <c r="I68" s="44"/>
    </row>
    <row r="69" spans="1:9" ht="12.95" customHeight="1">
      <c r="A69" s="3"/>
      <c r="B69" s="45" t="s">
        <v>580</v>
      </c>
      <c r="C69" s="18"/>
      <c r="D69" s="18"/>
      <c r="E69" s="18"/>
      <c r="F69" s="19" t="s">
        <v>128</v>
      </c>
      <c r="G69" s="19" t="s">
        <v>128</v>
      </c>
      <c r="H69" s="19"/>
      <c r="I69" s="42"/>
    </row>
    <row r="70" spans="1:9" ht="12.95" customHeight="1">
      <c r="A70" s="3"/>
      <c r="B70" s="43" t="s">
        <v>126</v>
      </c>
      <c r="C70" s="20"/>
      <c r="D70" s="20"/>
      <c r="E70" s="20"/>
      <c r="F70" s="21"/>
      <c r="G70" s="21"/>
      <c r="H70" s="21"/>
      <c r="I70" s="44"/>
    </row>
    <row r="71" spans="1:9" ht="12.95" customHeight="1">
      <c r="A71" s="3"/>
      <c r="B71" s="45" t="s">
        <v>581</v>
      </c>
      <c r="C71" s="18"/>
      <c r="D71" s="18"/>
      <c r="E71" s="18"/>
      <c r="F71" s="19" t="s">
        <v>128</v>
      </c>
      <c r="G71" s="19" t="s">
        <v>128</v>
      </c>
      <c r="H71" s="19"/>
      <c r="I71" s="42"/>
    </row>
    <row r="72" spans="1:9" ht="12.95" customHeight="1">
      <c r="A72" s="3"/>
      <c r="B72" s="43" t="s">
        <v>126</v>
      </c>
      <c r="C72" s="20"/>
      <c r="D72" s="20"/>
      <c r="E72" s="20"/>
      <c r="F72" s="21"/>
      <c r="G72" s="21"/>
      <c r="H72" s="21"/>
      <c r="I72" s="44"/>
    </row>
    <row r="73" spans="1:9" ht="12.95" customHeight="1">
      <c r="A73" s="3"/>
      <c r="B73" s="45" t="s">
        <v>582</v>
      </c>
      <c r="C73" s="18"/>
      <c r="D73" s="18"/>
      <c r="E73" s="18"/>
      <c r="F73" s="19" t="s">
        <v>128</v>
      </c>
      <c r="G73" s="19" t="s">
        <v>128</v>
      </c>
      <c r="H73" s="19"/>
      <c r="I73" s="42"/>
    </row>
    <row r="74" spans="1:9" ht="12.95" customHeight="1">
      <c r="A74" s="3"/>
      <c r="B74" s="43" t="s">
        <v>126</v>
      </c>
      <c r="C74" s="20"/>
      <c r="D74" s="20"/>
      <c r="E74" s="20"/>
      <c r="F74" s="21"/>
      <c r="G74" s="21"/>
      <c r="H74" s="21"/>
      <c r="I74" s="44"/>
    </row>
    <row r="75" spans="1:9" ht="12.95" customHeight="1">
      <c r="A75" s="3"/>
      <c r="B75" s="45" t="s">
        <v>129</v>
      </c>
      <c r="C75" s="22"/>
      <c r="D75" s="18"/>
      <c r="E75" s="22"/>
      <c r="F75" s="33">
        <v>1001.79</v>
      </c>
      <c r="G75" s="34">
        <v>5.5899999999999998E-2</v>
      </c>
      <c r="H75" s="19"/>
      <c r="I75" s="42"/>
    </row>
    <row r="76" spans="1:9" ht="12.95" customHeight="1">
      <c r="A76" s="17"/>
      <c r="B76" s="45"/>
      <c r="C76" s="24"/>
      <c r="D76" s="24"/>
      <c r="E76" s="24"/>
      <c r="F76" s="25"/>
      <c r="G76" s="25"/>
      <c r="H76" s="25"/>
      <c r="I76" s="42"/>
    </row>
    <row r="77" spans="1:9" ht="12.95" customHeight="1">
      <c r="A77" s="3"/>
      <c r="B77" s="43" t="s">
        <v>130</v>
      </c>
      <c r="C77" s="26"/>
      <c r="D77" s="26"/>
      <c r="E77" s="26"/>
      <c r="F77" s="26"/>
      <c r="G77" s="26"/>
      <c r="H77" s="27"/>
      <c r="I77" s="44"/>
    </row>
    <row r="78" spans="1:9" ht="12.95" customHeight="1">
      <c r="A78" s="10" t="s">
        <v>131</v>
      </c>
      <c r="B78" s="46" t="s">
        <v>132</v>
      </c>
      <c r="C78" s="26"/>
      <c r="D78" s="26"/>
      <c r="E78" s="29"/>
      <c r="F78" s="30">
        <v>961.82</v>
      </c>
      <c r="G78" s="31">
        <v>5.3600000000000002E-2</v>
      </c>
      <c r="H78" s="56"/>
      <c r="I78" s="47"/>
    </row>
    <row r="79" spans="1:9" ht="12.95" customHeight="1">
      <c r="A79" s="3"/>
      <c r="B79" s="43" t="s">
        <v>126</v>
      </c>
      <c r="C79" s="26"/>
      <c r="D79" s="26"/>
      <c r="E79" s="26"/>
      <c r="F79" s="33">
        <v>961.82</v>
      </c>
      <c r="G79" s="34">
        <v>5.3600000000000002E-2</v>
      </c>
      <c r="H79" s="19"/>
      <c r="I79" s="42"/>
    </row>
    <row r="80" spans="1:9" ht="12.95" customHeight="1">
      <c r="A80" s="3"/>
      <c r="B80" s="45" t="s">
        <v>129</v>
      </c>
      <c r="C80" s="22"/>
      <c r="D80" s="18"/>
      <c r="E80" s="22"/>
      <c r="F80" s="33">
        <v>961.82</v>
      </c>
      <c r="G80" s="34">
        <v>5.3600000000000002E-2</v>
      </c>
      <c r="H80" s="19"/>
      <c r="I80" s="42"/>
    </row>
    <row r="81" spans="1:9" ht="12.95" customHeight="1">
      <c r="A81" s="3"/>
      <c r="B81" s="45" t="s">
        <v>149</v>
      </c>
      <c r="C81" s="35"/>
      <c r="D81" s="18"/>
      <c r="E81" s="22"/>
      <c r="F81" s="36">
        <v>-61.95</v>
      </c>
      <c r="G81" s="34">
        <v>-3.5000000000000001E-3</v>
      </c>
      <c r="H81" s="19"/>
      <c r="I81" s="42"/>
    </row>
    <row r="82" spans="1:9" ht="12.95" customHeight="1" thickBot="1">
      <c r="A82" s="3"/>
      <c r="B82" s="49" t="s">
        <v>150</v>
      </c>
      <c r="C82" s="50"/>
      <c r="D82" s="50"/>
      <c r="E82" s="50"/>
      <c r="F82" s="51">
        <v>17930.82</v>
      </c>
      <c r="G82" s="52">
        <v>1</v>
      </c>
      <c r="H82" s="53"/>
      <c r="I82" s="54"/>
    </row>
    <row r="83" spans="1:9" ht="12.95" customHeight="1">
      <c r="A83" s="3"/>
      <c r="B83" s="118"/>
      <c r="C83" s="118"/>
      <c r="D83" s="118"/>
      <c r="E83" s="118"/>
      <c r="F83" s="118"/>
      <c r="G83" s="118"/>
      <c r="H83" s="118"/>
      <c r="I83" s="118"/>
    </row>
    <row r="84" spans="1:9" ht="12.95" customHeight="1">
      <c r="A84" s="3"/>
      <c r="B84" s="118"/>
      <c r="C84" s="118"/>
      <c r="D84" s="118"/>
      <c r="E84" s="118"/>
      <c r="F84" s="118"/>
      <c r="G84" s="118"/>
      <c r="H84" s="118"/>
      <c r="I84" s="118"/>
    </row>
    <row r="85" spans="1:9" ht="12.95" customHeight="1">
      <c r="A85" s="3"/>
      <c r="B85" s="118" t="s">
        <v>151</v>
      </c>
      <c r="C85" s="118"/>
      <c r="D85" s="118"/>
      <c r="E85" s="118"/>
      <c r="F85" s="118"/>
      <c r="G85" s="118"/>
      <c r="H85" s="118"/>
      <c r="I85" s="118"/>
    </row>
    <row r="86" spans="1:9" ht="12.95" customHeight="1">
      <c r="A86" s="3"/>
      <c r="B86" s="117" t="s">
        <v>152</v>
      </c>
      <c r="C86" s="117"/>
      <c r="D86" s="117"/>
      <c r="E86" s="117"/>
      <c r="F86" s="117"/>
      <c r="G86" s="117"/>
      <c r="H86" s="117"/>
      <c r="I86" s="117"/>
    </row>
    <row r="87" spans="1:9" ht="12.95" customHeight="1">
      <c r="A87" s="3"/>
      <c r="B87" s="117" t="s">
        <v>153</v>
      </c>
      <c r="C87" s="117"/>
      <c r="D87" s="117"/>
      <c r="E87" s="117"/>
      <c r="F87" s="117"/>
      <c r="G87" s="117"/>
      <c r="H87" s="117"/>
      <c r="I87" s="117"/>
    </row>
    <row r="88" spans="1:9" ht="12.95" customHeight="1">
      <c r="A88" s="3"/>
      <c r="B88" s="117" t="s">
        <v>154</v>
      </c>
      <c r="C88" s="117"/>
      <c r="D88" s="117"/>
      <c r="E88" s="117"/>
      <c r="F88" s="117"/>
      <c r="G88" s="117"/>
      <c r="H88" s="117"/>
      <c r="I88" s="117"/>
    </row>
    <row r="89" spans="1:9" ht="12.95" customHeight="1">
      <c r="A89" s="3"/>
      <c r="B89" s="117" t="s">
        <v>155</v>
      </c>
      <c r="C89" s="117"/>
      <c r="D89" s="117"/>
      <c r="E89" s="117"/>
      <c r="F89" s="117"/>
      <c r="G89" s="117"/>
      <c r="H89" s="117"/>
      <c r="I89" s="117"/>
    </row>
    <row r="90" spans="1:9" ht="12.95" customHeight="1">
      <c r="A90" s="3"/>
      <c r="B90" s="117" t="s">
        <v>156</v>
      </c>
      <c r="C90" s="117"/>
      <c r="D90" s="117"/>
      <c r="E90" s="117"/>
      <c r="F90" s="117"/>
      <c r="G90" s="117"/>
      <c r="H90" s="117"/>
      <c r="I90" s="117"/>
    </row>
    <row r="92" spans="1:9">
      <c r="B92" s="95" t="s">
        <v>715</v>
      </c>
    </row>
    <row r="101" spans="2:2">
      <c r="B101" t="s">
        <v>716</v>
      </c>
    </row>
    <row r="102" spans="2:2" ht="15.75">
      <c r="B102" s="96" t="s">
        <v>731</v>
      </c>
    </row>
  </sheetData>
  <mergeCells count="8">
    <mergeCell ref="B88:I88"/>
    <mergeCell ref="B89:I89"/>
    <mergeCell ref="B90:I90"/>
    <mergeCell ref="B83:I83"/>
    <mergeCell ref="B84:I84"/>
    <mergeCell ref="B85:I85"/>
    <mergeCell ref="B86:I86"/>
    <mergeCell ref="B87:I87"/>
  </mergeCells>
  <pageMargins left="0" right="0" top="0" bottom="0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9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7" t="s">
        <v>36</v>
      </c>
      <c r="C6" s="38" t="s">
        <v>37</v>
      </c>
      <c r="D6" s="39" t="s">
        <v>38</v>
      </c>
      <c r="E6" s="39" t="s">
        <v>39</v>
      </c>
      <c r="F6" s="39" t="s">
        <v>40</v>
      </c>
      <c r="G6" s="39" t="s">
        <v>41</v>
      </c>
      <c r="H6" s="39" t="s">
        <v>42</v>
      </c>
      <c r="I6" s="40" t="s">
        <v>43</v>
      </c>
    </row>
    <row r="7" spans="1:9" ht="12.95" customHeight="1">
      <c r="A7" s="3"/>
      <c r="B7" s="43" t="s">
        <v>44</v>
      </c>
      <c r="C7" s="26"/>
      <c r="D7" s="26"/>
      <c r="E7" s="26"/>
      <c r="F7" s="26"/>
      <c r="G7" s="26"/>
      <c r="H7" s="27"/>
      <c r="I7" s="44"/>
    </row>
    <row r="8" spans="1:9" ht="12.95" customHeight="1">
      <c r="A8" s="3"/>
      <c r="B8" s="43" t="s">
        <v>45</v>
      </c>
      <c r="C8" s="26"/>
      <c r="D8" s="26"/>
      <c r="E8" s="26"/>
      <c r="F8" s="28"/>
      <c r="G8" s="27"/>
      <c r="H8" s="27"/>
      <c r="I8" s="44"/>
    </row>
    <row r="9" spans="1:9" ht="12.95" customHeight="1">
      <c r="A9" s="10" t="s">
        <v>344</v>
      </c>
      <c r="B9" s="46" t="s">
        <v>345</v>
      </c>
      <c r="C9" s="26" t="s">
        <v>346</v>
      </c>
      <c r="D9" s="26" t="s">
        <v>57</v>
      </c>
      <c r="E9" s="29">
        <v>428000</v>
      </c>
      <c r="F9" s="30">
        <v>3871.9</v>
      </c>
      <c r="G9" s="31">
        <v>9.3399999999999997E-2</v>
      </c>
      <c r="H9" s="56"/>
      <c r="I9" s="47"/>
    </row>
    <row r="10" spans="1:9" ht="12.95" customHeight="1">
      <c r="A10" s="10" t="s">
        <v>353</v>
      </c>
      <c r="B10" s="46" t="s">
        <v>354</v>
      </c>
      <c r="C10" s="26" t="s">
        <v>355</v>
      </c>
      <c r="D10" s="26" t="s">
        <v>207</v>
      </c>
      <c r="E10" s="29">
        <v>1238533</v>
      </c>
      <c r="F10" s="30">
        <v>2745.21</v>
      </c>
      <c r="G10" s="31">
        <v>6.6199999999999995E-2</v>
      </c>
      <c r="H10" s="56"/>
      <c r="I10" s="47"/>
    </row>
    <row r="11" spans="1:9" ht="12.95" customHeight="1">
      <c r="A11" s="10" t="s">
        <v>418</v>
      </c>
      <c r="B11" s="46" t="s">
        <v>419</v>
      </c>
      <c r="C11" s="26" t="s">
        <v>420</v>
      </c>
      <c r="D11" s="26" t="s">
        <v>57</v>
      </c>
      <c r="E11" s="29">
        <v>2077901</v>
      </c>
      <c r="F11" s="30">
        <v>2212.96</v>
      </c>
      <c r="G11" s="31">
        <v>5.3400000000000003E-2</v>
      </c>
      <c r="H11" s="56"/>
      <c r="I11" s="47"/>
    </row>
    <row r="12" spans="1:9" ht="12.95" customHeight="1">
      <c r="A12" s="10" t="s">
        <v>400</v>
      </c>
      <c r="B12" s="46" t="s">
        <v>401</v>
      </c>
      <c r="C12" s="26" t="s">
        <v>402</v>
      </c>
      <c r="D12" s="26" t="s">
        <v>403</v>
      </c>
      <c r="E12" s="29">
        <v>1976898</v>
      </c>
      <c r="F12" s="30">
        <v>1754.5</v>
      </c>
      <c r="G12" s="31">
        <v>4.2299999999999997E-2</v>
      </c>
      <c r="H12" s="56"/>
      <c r="I12" s="47"/>
    </row>
    <row r="13" spans="1:9" ht="12.95" customHeight="1">
      <c r="A13" s="10" t="s">
        <v>583</v>
      </c>
      <c r="B13" s="46" t="s">
        <v>584</v>
      </c>
      <c r="C13" s="26" t="s">
        <v>585</v>
      </c>
      <c r="D13" s="26" t="s">
        <v>102</v>
      </c>
      <c r="E13" s="29">
        <v>1318576</v>
      </c>
      <c r="F13" s="30">
        <v>1325.83</v>
      </c>
      <c r="G13" s="31">
        <v>3.2000000000000001E-2</v>
      </c>
      <c r="H13" s="56"/>
      <c r="I13" s="47"/>
    </row>
    <row r="14" spans="1:9" ht="12.95" customHeight="1">
      <c r="A14" s="10" t="s">
        <v>356</v>
      </c>
      <c r="B14" s="46" t="s">
        <v>357</v>
      </c>
      <c r="C14" s="26" t="s">
        <v>358</v>
      </c>
      <c r="D14" s="26" t="s">
        <v>53</v>
      </c>
      <c r="E14" s="29">
        <v>1161021</v>
      </c>
      <c r="F14" s="30">
        <v>1286.99</v>
      </c>
      <c r="G14" s="31">
        <v>3.1E-2</v>
      </c>
      <c r="H14" s="56"/>
      <c r="I14" s="47"/>
    </row>
    <row r="15" spans="1:9" ht="12.95" customHeight="1">
      <c r="A15" s="10" t="s">
        <v>586</v>
      </c>
      <c r="B15" s="46" t="s">
        <v>587</v>
      </c>
      <c r="C15" s="26" t="s">
        <v>588</v>
      </c>
      <c r="D15" s="26" t="s">
        <v>494</v>
      </c>
      <c r="E15" s="29">
        <v>569900</v>
      </c>
      <c r="F15" s="30">
        <v>1272.8699999999999</v>
      </c>
      <c r="G15" s="31">
        <v>3.0700000000000002E-2</v>
      </c>
      <c r="H15" s="56"/>
      <c r="I15" s="47"/>
    </row>
    <row r="16" spans="1:9" ht="12.95" customHeight="1">
      <c r="A16" s="10" t="s">
        <v>387</v>
      </c>
      <c r="B16" s="46" t="s">
        <v>388</v>
      </c>
      <c r="C16" s="26" t="s">
        <v>389</v>
      </c>
      <c r="D16" s="26" t="s">
        <v>390</v>
      </c>
      <c r="E16" s="29">
        <v>605076</v>
      </c>
      <c r="F16" s="30">
        <v>1246.76</v>
      </c>
      <c r="G16" s="31">
        <v>3.0099999999999998E-2</v>
      </c>
      <c r="H16" s="56"/>
      <c r="I16" s="47"/>
    </row>
    <row r="17" spans="1:9" ht="12.95" customHeight="1">
      <c r="A17" s="10" t="s">
        <v>394</v>
      </c>
      <c r="B17" s="46" t="s">
        <v>395</v>
      </c>
      <c r="C17" s="26" t="s">
        <v>396</v>
      </c>
      <c r="D17" s="26" t="s">
        <v>49</v>
      </c>
      <c r="E17" s="29">
        <v>19484</v>
      </c>
      <c r="F17" s="30">
        <v>1231.97</v>
      </c>
      <c r="G17" s="31">
        <v>2.9700000000000001E-2</v>
      </c>
      <c r="H17" s="56"/>
      <c r="I17" s="47"/>
    </row>
    <row r="18" spans="1:9" ht="12.95" customHeight="1">
      <c r="A18" s="10" t="s">
        <v>589</v>
      </c>
      <c r="B18" s="46" t="s">
        <v>590</v>
      </c>
      <c r="C18" s="26" t="s">
        <v>591</v>
      </c>
      <c r="D18" s="26" t="s">
        <v>193</v>
      </c>
      <c r="E18" s="29">
        <v>85796</v>
      </c>
      <c r="F18" s="30">
        <v>1219.72</v>
      </c>
      <c r="G18" s="31">
        <v>2.9399999999999999E-2</v>
      </c>
      <c r="H18" s="56"/>
      <c r="I18" s="47"/>
    </row>
    <row r="19" spans="1:9" ht="12.95" customHeight="1">
      <c r="A19" s="10" t="s">
        <v>381</v>
      </c>
      <c r="B19" s="46" t="s">
        <v>382</v>
      </c>
      <c r="C19" s="26" t="s">
        <v>383</v>
      </c>
      <c r="D19" s="26" t="s">
        <v>207</v>
      </c>
      <c r="E19" s="29">
        <v>60357</v>
      </c>
      <c r="F19" s="30">
        <v>1192.29</v>
      </c>
      <c r="G19" s="31">
        <v>2.87E-2</v>
      </c>
      <c r="H19" s="56"/>
      <c r="I19" s="47"/>
    </row>
    <row r="20" spans="1:9" ht="12.95" customHeight="1">
      <c r="A20" s="10" t="s">
        <v>592</v>
      </c>
      <c r="B20" s="46" t="s">
        <v>593</v>
      </c>
      <c r="C20" s="26" t="s">
        <v>594</v>
      </c>
      <c r="D20" s="26" t="s">
        <v>207</v>
      </c>
      <c r="E20" s="29">
        <v>214077</v>
      </c>
      <c r="F20" s="30">
        <v>1177</v>
      </c>
      <c r="G20" s="31">
        <v>2.8400000000000002E-2</v>
      </c>
      <c r="H20" s="56"/>
      <c r="I20" s="47"/>
    </row>
    <row r="21" spans="1:9" ht="12.95" customHeight="1">
      <c r="A21" s="10" t="s">
        <v>595</v>
      </c>
      <c r="B21" s="46" t="s">
        <v>596</v>
      </c>
      <c r="C21" s="26" t="s">
        <v>597</v>
      </c>
      <c r="D21" s="26" t="s">
        <v>53</v>
      </c>
      <c r="E21" s="29">
        <v>199194</v>
      </c>
      <c r="F21" s="30">
        <v>1101.44</v>
      </c>
      <c r="G21" s="31">
        <v>2.6599999999999999E-2</v>
      </c>
      <c r="H21" s="56"/>
      <c r="I21" s="47"/>
    </row>
    <row r="22" spans="1:9" ht="12.95" customHeight="1">
      <c r="A22" s="10" t="s">
        <v>359</v>
      </c>
      <c r="B22" s="46" t="s">
        <v>360</v>
      </c>
      <c r="C22" s="26" t="s">
        <v>361</v>
      </c>
      <c r="D22" s="26" t="s">
        <v>98</v>
      </c>
      <c r="E22" s="29">
        <v>1068876</v>
      </c>
      <c r="F22" s="30">
        <v>840.14</v>
      </c>
      <c r="G22" s="31">
        <v>2.0299999999999999E-2</v>
      </c>
      <c r="H22" s="56"/>
      <c r="I22" s="47"/>
    </row>
    <row r="23" spans="1:9" ht="12.95" customHeight="1">
      <c r="A23" s="10" t="s">
        <v>598</v>
      </c>
      <c r="B23" s="46" t="s">
        <v>599</v>
      </c>
      <c r="C23" s="26" t="s">
        <v>600</v>
      </c>
      <c r="D23" s="26" t="s">
        <v>53</v>
      </c>
      <c r="E23" s="29">
        <v>128769</v>
      </c>
      <c r="F23" s="30">
        <v>813.56</v>
      </c>
      <c r="G23" s="31">
        <v>1.9599999999999999E-2</v>
      </c>
      <c r="H23" s="56"/>
      <c r="I23" s="47"/>
    </row>
    <row r="24" spans="1:9" ht="12.95" customHeight="1">
      <c r="A24" s="10" t="s">
        <v>566</v>
      </c>
      <c r="B24" s="46" t="s">
        <v>567</v>
      </c>
      <c r="C24" s="26" t="s">
        <v>568</v>
      </c>
      <c r="D24" s="26" t="s">
        <v>57</v>
      </c>
      <c r="E24" s="29">
        <v>166824</v>
      </c>
      <c r="F24" s="30">
        <v>757.88</v>
      </c>
      <c r="G24" s="31">
        <v>1.83E-2</v>
      </c>
      <c r="H24" s="56"/>
      <c r="I24" s="47"/>
    </row>
    <row r="25" spans="1:9" ht="12.95" customHeight="1">
      <c r="A25" s="10" t="s">
        <v>601</v>
      </c>
      <c r="B25" s="46" t="s">
        <v>602</v>
      </c>
      <c r="C25" s="26" t="s">
        <v>603</v>
      </c>
      <c r="D25" s="26" t="s">
        <v>604</v>
      </c>
      <c r="E25" s="29">
        <v>111622</v>
      </c>
      <c r="F25" s="30">
        <v>747.09</v>
      </c>
      <c r="G25" s="31">
        <v>1.7999999999999999E-2</v>
      </c>
      <c r="H25" s="56"/>
      <c r="I25" s="47"/>
    </row>
    <row r="26" spans="1:9" ht="12.95" customHeight="1">
      <c r="A26" s="10" t="s">
        <v>605</v>
      </c>
      <c r="B26" s="46" t="s">
        <v>606</v>
      </c>
      <c r="C26" s="26" t="s">
        <v>607</v>
      </c>
      <c r="D26" s="26" t="s">
        <v>53</v>
      </c>
      <c r="E26" s="29">
        <v>1092284</v>
      </c>
      <c r="F26" s="30">
        <v>688.14</v>
      </c>
      <c r="G26" s="31">
        <v>1.66E-2</v>
      </c>
      <c r="H26" s="56"/>
      <c r="I26" s="47"/>
    </row>
    <row r="27" spans="1:9" ht="12.95" customHeight="1">
      <c r="A27" s="10" t="s">
        <v>608</v>
      </c>
      <c r="B27" s="46" t="s">
        <v>609</v>
      </c>
      <c r="C27" s="26" t="s">
        <v>610</v>
      </c>
      <c r="D27" s="26" t="s">
        <v>102</v>
      </c>
      <c r="E27" s="29">
        <v>72421</v>
      </c>
      <c r="F27" s="30">
        <v>648.49</v>
      </c>
      <c r="G27" s="31">
        <v>1.5599999999999999E-2</v>
      </c>
      <c r="H27" s="56"/>
      <c r="I27" s="47"/>
    </row>
    <row r="28" spans="1:9" ht="12.95" customHeight="1">
      <c r="A28" s="10" t="s">
        <v>347</v>
      </c>
      <c r="B28" s="46" t="s">
        <v>348</v>
      </c>
      <c r="C28" s="26" t="s">
        <v>349</v>
      </c>
      <c r="D28" s="26" t="s">
        <v>333</v>
      </c>
      <c r="E28" s="29">
        <v>99999</v>
      </c>
      <c r="F28" s="30">
        <v>637.14</v>
      </c>
      <c r="G28" s="31">
        <v>1.54E-2</v>
      </c>
      <c r="H28" s="56"/>
      <c r="I28" s="47"/>
    </row>
    <row r="29" spans="1:9" ht="12.95" customHeight="1">
      <c r="A29" s="10" t="s">
        <v>505</v>
      </c>
      <c r="B29" s="46" t="s">
        <v>506</v>
      </c>
      <c r="C29" s="26" t="s">
        <v>507</v>
      </c>
      <c r="D29" s="26" t="s">
        <v>68</v>
      </c>
      <c r="E29" s="29">
        <v>30953</v>
      </c>
      <c r="F29" s="30">
        <v>633.13</v>
      </c>
      <c r="G29" s="31">
        <v>1.5299999999999999E-2</v>
      </c>
      <c r="H29" s="56"/>
      <c r="I29" s="47"/>
    </row>
    <row r="30" spans="1:9" ht="12.95" customHeight="1">
      <c r="A30" s="10" t="s">
        <v>611</v>
      </c>
      <c r="B30" s="46" t="s">
        <v>612</v>
      </c>
      <c r="C30" s="26" t="s">
        <v>613</v>
      </c>
      <c r="D30" s="26" t="s">
        <v>333</v>
      </c>
      <c r="E30" s="29">
        <v>375793</v>
      </c>
      <c r="F30" s="30">
        <v>632.65</v>
      </c>
      <c r="G30" s="31">
        <v>1.5299999999999999E-2</v>
      </c>
      <c r="H30" s="56"/>
      <c r="I30" s="47"/>
    </row>
    <row r="31" spans="1:9" ht="12.95" customHeight="1">
      <c r="A31" s="10" t="s">
        <v>445</v>
      </c>
      <c r="B31" s="46" t="s">
        <v>446</v>
      </c>
      <c r="C31" s="26" t="s">
        <v>447</v>
      </c>
      <c r="D31" s="26" t="s">
        <v>333</v>
      </c>
      <c r="E31" s="29">
        <v>654687</v>
      </c>
      <c r="F31" s="30">
        <v>607.88</v>
      </c>
      <c r="G31" s="31">
        <v>1.47E-2</v>
      </c>
      <c r="H31" s="56"/>
      <c r="I31" s="47"/>
    </row>
    <row r="32" spans="1:9" ht="12.95" customHeight="1">
      <c r="A32" s="10" t="s">
        <v>614</v>
      </c>
      <c r="B32" s="46" t="s">
        <v>615</v>
      </c>
      <c r="C32" s="26" t="s">
        <v>616</v>
      </c>
      <c r="D32" s="26" t="s">
        <v>207</v>
      </c>
      <c r="E32" s="29">
        <v>61409</v>
      </c>
      <c r="F32" s="30">
        <v>605.91999999999996</v>
      </c>
      <c r="G32" s="31">
        <v>1.46E-2</v>
      </c>
      <c r="H32" s="56"/>
      <c r="I32" s="47"/>
    </row>
    <row r="33" spans="1:9" ht="12.95" customHeight="1">
      <c r="A33" s="10" t="s">
        <v>617</v>
      </c>
      <c r="B33" s="46" t="s">
        <v>618</v>
      </c>
      <c r="C33" s="26" t="s">
        <v>619</v>
      </c>
      <c r="D33" s="26" t="s">
        <v>90</v>
      </c>
      <c r="E33" s="29">
        <v>1388246</v>
      </c>
      <c r="F33" s="30">
        <v>598.33000000000004</v>
      </c>
      <c r="G33" s="31">
        <v>1.44E-2</v>
      </c>
      <c r="H33" s="56"/>
      <c r="I33" s="47"/>
    </row>
    <row r="34" spans="1:9" ht="12.95" customHeight="1">
      <c r="A34" s="10" t="s">
        <v>433</v>
      </c>
      <c r="B34" s="46" t="s">
        <v>434</v>
      </c>
      <c r="C34" s="26" t="s">
        <v>435</v>
      </c>
      <c r="D34" s="26" t="s">
        <v>68</v>
      </c>
      <c r="E34" s="29">
        <v>137680</v>
      </c>
      <c r="F34" s="30">
        <v>590.99</v>
      </c>
      <c r="G34" s="31">
        <v>1.4200000000000001E-2</v>
      </c>
      <c r="H34" s="56"/>
      <c r="I34" s="47"/>
    </row>
    <row r="35" spans="1:9" ht="12.95" customHeight="1">
      <c r="A35" s="10" t="s">
        <v>620</v>
      </c>
      <c r="B35" s="46" t="s">
        <v>621</v>
      </c>
      <c r="C35" s="26" t="s">
        <v>622</v>
      </c>
      <c r="D35" s="26" t="s">
        <v>623</v>
      </c>
      <c r="E35" s="29">
        <v>67721</v>
      </c>
      <c r="F35" s="30">
        <v>553.30999999999995</v>
      </c>
      <c r="G35" s="31">
        <v>1.3299999999999999E-2</v>
      </c>
      <c r="H35" s="56"/>
      <c r="I35" s="47"/>
    </row>
    <row r="36" spans="1:9" ht="12.95" customHeight="1">
      <c r="A36" s="10" t="s">
        <v>624</v>
      </c>
      <c r="B36" s="46" t="s">
        <v>625</v>
      </c>
      <c r="C36" s="26" t="s">
        <v>626</v>
      </c>
      <c r="D36" s="26" t="s">
        <v>407</v>
      </c>
      <c r="E36" s="29">
        <v>37383</v>
      </c>
      <c r="F36" s="30">
        <v>436.65</v>
      </c>
      <c r="G36" s="31">
        <v>1.0500000000000001E-2</v>
      </c>
      <c r="H36" s="56"/>
      <c r="I36" s="47"/>
    </row>
    <row r="37" spans="1:9" ht="12.95" customHeight="1">
      <c r="A37" s="10" t="s">
        <v>627</v>
      </c>
      <c r="B37" s="46" t="s">
        <v>628</v>
      </c>
      <c r="C37" s="26" t="s">
        <v>629</v>
      </c>
      <c r="D37" s="26" t="s">
        <v>197</v>
      </c>
      <c r="E37" s="29">
        <v>34094</v>
      </c>
      <c r="F37" s="30">
        <v>426.5</v>
      </c>
      <c r="G37" s="31">
        <v>1.03E-2</v>
      </c>
      <c r="H37" s="56"/>
      <c r="I37" s="47"/>
    </row>
    <row r="38" spans="1:9" ht="12.95" customHeight="1">
      <c r="A38" s="10" t="s">
        <v>630</v>
      </c>
      <c r="B38" s="46" t="s">
        <v>631</v>
      </c>
      <c r="C38" s="26" t="s">
        <v>632</v>
      </c>
      <c r="D38" s="26" t="s">
        <v>633</v>
      </c>
      <c r="E38" s="29">
        <v>30162</v>
      </c>
      <c r="F38" s="30">
        <v>415.42</v>
      </c>
      <c r="G38" s="31">
        <v>0.01</v>
      </c>
      <c r="H38" s="56"/>
      <c r="I38" s="47"/>
    </row>
    <row r="39" spans="1:9" ht="12.95" customHeight="1">
      <c r="A39" s="10" t="s">
        <v>397</v>
      </c>
      <c r="B39" s="46" t="s">
        <v>398</v>
      </c>
      <c r="C39" s="26" t="s">
        <v>399</v>
      </c>
      <c r="D39" s="26" t="s">
        <v>68</v>
      </c>
      <c r="E39" s="29">
        <v>67481</v>
      </c>
      <c r="F39" s="30">
        <v>385.32</v>
      </c>
      <c r="G39" s="31">
        <v>9.2999999999999992E-3</v>
      </c>
      <c r="H39" s="56"/>
      <c r="I39" s="47"/>
    </row>
    <row r="40" spans="1:9" ht="12.95" customHeight="1">
      <c r="A40" s="10" t="s">
        <v>415</v>
      </c>
      <c r="B40" s="46" t="s">
        <v>416</v>
      </c>
      <c r="C40" s="26" t="s">
        <v>417</v>
      </c>
      <c r="D40" s="26" t="s">
        <v>374</v>
      </c>
      <c r="E40" s="29">
        <v>19949</v>
      </c>
      <c r="F40" s="30">
        <v>356.47</v>
      </c>
      <c r="G40" s="31">
        <v>8.6E-3</v>
      </c>
      <c r="H40" s="56"/>
      <c r="I40" s="47"/>
    </row>
    <row r="41" spans="1:9" ht="12.95" customHeight="1">
      <c r="A41" s="10" t="s">
        <v>460</v>
      </c>
      <c r="B41" s="46" t="s">
        <v>461</v>
      </c>
      <c r="C41" s="26" t="s">
        <v>462</v>
      </c>
      <c r="D41" s="26" t="s">
        <v>333</v>
      </c>
      <c r="E41" s="29">
        <v>435</v>
      </c>
      <c r="F41" s="30">
        <v>319.02</v>
      </c>
      <c r="G41" s="31">
        <v>7.7000000000000002E-3</v>
      </c>
      <c r="H41" s="56"/>
      <c r="I41" s="47"/>
    </row>
    <row r="42" spans="1:9" ht="12.95" customHeight="1">
      <c r="A42" s="10" t="s">
        <v>475</v>
      </c>
      <c r="B42" s="46" t="s">
        <v>476</v>
      </c>
      <c r="C42" s="26" t="s">
        <v>477</v>
      </c>
      <c r="D42" s="26" t="s">
        <v>98</v>
      </c>
      <c r="E42" s="29">
        <v>377184</v>
      </c>
      <c r="F42" s="30">
        <v>313.06</v>
      </c>
      <c r="G42" s="31">
        <v>7.4999999999999997E-3</v>
      </c>
      <c r="H42" s="56"/>
      <c r="I42" s="47"/>
    </row>
    <row r="43" spans="1:9" ht="12.95" customHeight="1">
      <c r="A43" s="10" t="s">
        <v>634</v>
      </c>
      <c r="B43" s="46" t="s">
        <v>635</v>
      </c>
      <c r="C43" s="26" t="s">
        <v>636</v>
      </c>
      <c r="D43" s="26" t="s">
        <v>102</v>
      </c>
      <c r="E43" s="29">
        <v>195948</v>
      </c>
      <c r="F43" s="30">
        <v>309.01</v>
      </c>
      <c r="G43" s="31">
        <v>7.4999999999999997E-3</v>
      </c>
      <c r="H43" s="56"/>
      <c r="I43" s="47"/>
    </row>
    <row r="44" spans="1:9" ht="12.95" customHeight="1">
      <c r="A44" s="10" t="s">
        <v>637</v>
      </c>
      <c r="B44" s="46" t="s">
        <v>638</v>
      </c>
      <c r="C44" s="26" t="s">
        <v>639</v>
      </c>
      <c r="D44" s="26" t="s">
        <v>207</v>
      </c>
      <c r="E44" s="29">
        <v>4347</v>
      </c>
      <c r="F44" s="30">
        <v>265.98</v>
      </c>
      <c r="G44" s="31">
        <v>6.4000000000000003E-3</v>
      </c>
      <c r="H44" s="56"/>
      <c r="I44" s="47"/>
    </row>
    <row r="45" spans="1:9" ht="12.95" customHeight="1">
      <c r="A45" s="10" t="s">
        <v>640</v>
      </c>
      <c r="B45" s="46" t="s">
        <v>641</v>
      </c>
      <c r="C45" s="26" t="s">
        <v>642</v>
      </c>
      <c r="D45" s="26" t="s">
        <v>68</v>
      </c>
      <c r="E45" s="29">
        <v>45490</v>
      </c>
      <c r="F45" s="30">
        <v>256.89999999999998</v>
      </c>
      <c r="G45" s="31">
        <v>6.1999999999999998E-3</v>
      </c>
      <c r="H45" s="56"/>
      <c r="I45" s="47"/>
    </row>
    <row r="46" spans="1:9" ht="12.95" customHeight="1">
      <c r="A46" s="10" t="s">
        <v>643</v>
      </c>
      <c r="B46" s="46" t="s">
        <v>644</v>
      </c>
      <c r="C46" s="26" t="s">
        <v>645</v>
      </c>
      <c r="D46" s="26" t="s">
        <v>68</v>
      </c>
      <c r="E46" s="29">
        <v>8057</v>
      </c>
      <c r="F46" s="30">
        <v>255.4</v>
      </c>
      <c r="G46" s="31">
        <v>6.1999999999999998E-3</v>
      </c>
      <c r="H46" s="56"/>
      <c r="I46" s="47"/>
    </row>
    <row r="47" spans="1:9" ht="12.95" customHeight="1">
      <c r="A47" s="10" t="s">
        <v>457</v>
      </c>
      <c r="B47" s="46" t="s">
        <v>458</v>
      </c>
      <c r="C47" s="26" t="s">
        <v>459</v>
      </c>
      <c r="D47" s="26" t="s">
        <v>333</v>
      </c>
      <c r="E47" s="29">
        <v>38333</v>
      </c>
      <c r="F47" s="30">
        <v>164.85</v>
      </c>
      <c r="G47" s="31">
        <v>4.0000000000000001E-3</v>
      </c>
      <c r="H47" s="56"/>
      <c r="I47" s="47"/>
    </row>
    <row r="48" spans="1:9" ht="12.95" customHeight="1">
      <c r="A48" s="10" t="s">
        <v>448</v>
      </c>
      <c r="B48" s="46" t="s">
        <v>449</v>
      </c>
      <c r="C48" s="26" t="s">
        <v>450</v>
      </c>
      <c r="D48" s="26" t="s">
        <v>374</v>
      </c>
      <c r="E48" s="29">
        <v>7910</v>
      </c>
      <c r="F48" s="30">
        <v>61.69</v>
      </c>
      <c r="G48" s="31">
        <v>1.5E-3</v>
      </c>
      <c r="H48" s="56"/>
      <c r="I48" s="47"/>
    </row>
    <row r="49" spans="1:9" ht="12.95" customHeight="1">
      <c r="A49" s="10" t="s">
        <v>646</v>
      </c>
      <c r="B49" s="46" t="s">
        <v>647</v>
      </c>
      <c r="C49" s="26" t="s">
        <v>648</v>
      </c>
      <c r="D49" s="26" t="s">
        <v>374</v>
      </c>
      <c r="E49" s="29">
        <v>15839</v>
      </c>
      <c r="F49" s="30">
        <v>30.01</v>
      </c>
      <c r="G49" s="31">
        <v>6.9999999999999999E-4</v>
      </c>
      <c r="H49" s="56"/>
      <c r="I49" s="47"/>
    </row>
    <row r="50" spans="1:9" ht="12.95" customHeight="1">
      <c r="A50" s="10" t="s">
        <v>551</v>
      </c>
      <c r="B50" s="46" t="s">
        <v>552</v>
      </c>
      <c r="C50" s="26" t="s">
        <v>553</v>
      </c>
      <c r="D50" s="26" t="s">
        <v>57</v>
      </c>
      <c r="E50" s="29">
        <v>625</v>
      </c>
      <c r="F50" s="30">
        <v>11.12</v>
      </c>
      <c r="G50" s="31">
        <v>2.9999999999999997E-4</v>
      </c>
      <c r="H50" s="56"/>
      <c r="I50" s="47"/>
    </row>
    <row r="51" spans="1:9" ht="12.95" customHeight="1">
      <c r="A51" s="10" t="s">
        <v>350</v>
      </c>
      <c r="B51" s="46" t="s">
        <v>351</v>
      </c>
      <c r="C51" s="26" t="s">
        <v>352</v>
      </c>
      <c r="D51" s="26" t="s">
        <v>98</v>
      </c>
      <c r="E51" s="29">
        <v>2728</v>
      </c>
      <c r="F51" s="30">
        <v>3.67</v>
      </c>
      <c r="G51" s="31">
        <v>1E-4</v>
      </c>
      <c r="H51" s="56"/>
      <c r="I51" s="47"/>
    </row>
    <row r="52" spans="1:9" ht="12.95" customHeight="1">
      <c r="A52" s="3"/>
      <c r="B52" s="43" t="s">
        <v>126</v>
      </c>
      <c r="C52" s="26"/>
      <c r="D52" s="26"/>
      <c r="E52" s="26"/>
      <c r="F52" s="33">
        <v>35005.160000000003</v>
      </c>
      <c r="G52" s="34">
        <v>0.84430000000000005</v>
      </c>
      <c r="H52" s="19"/>
      <c r="I52" s="42"/>
    </row>
    <row r="53" spans="1:9" ht="12.95" customHeight="1">
      <c r="A53" s="3"/>
      <c r="B53" s="45" t="s">
        <v>127</v>
      </c>
      <c r="C53" s="18"/>
      <c r="D53" s="18"/>
      <c r="E53" s="18"/>
      <c r="F53" s="19" t="s">
        <v>128</v>
      </c>
      <c r="G53" s="19" t="s">
        <v>128</v>
      </c>
      <c r="H53" s="19"/>
      <c r="I53" s="42"/>
    </row>
    <row r="54" spans="1:9" ht="12.95" customHeight="1">
      <c r="A54" s="3"/>
      <c r="B54" s="45" t="s">
        <v>126</v>
      </c>
      <c r="C54" s="18"/>
      <c r="D54" s="18"/>
      <c r="E54" s="18"/>
      <c r="F54" s="19" t="s">
        <v>128</v>
      </c>
      <c r="G54" s="19" t="s">
        <v>128</v>
      </c>
      <c r="H54" s="19"/>
      <c r="I54" s="42"/>
    </row>
    <row r="55" spans="1:9" ht="12.95" customHeight="1">
      <c r="A55" s="3"/>
      <c r="B55" s="45" t="s">
        <v>129</v>
      </c>
      <c r="C55" s="22"/>
      <c r="D55" s="18"/>
      <c r="E55" s="22"/>
      <c r="F55" s="33">
        <v>35005.160000000003</v>
      </c>
      <c r="G55" s="34">
        <v>0.84430000000000005</v>
      </c>
      <c r="H55" s="19"/>
      <c r="I55" s="42"/>
    </row>
    <row r="56" spans="1:9" ht="12.95" customHeight="1">
      <c r="A56" s="3"/>
      <c r="B56" s="41" t="s">
        <v>133</v>
      </c>
      <c r="C56" s="20"/>
      <c r="D56" s="20"/>
      <c r="E56" s="20"/>
      <c r="F56" s="21"/>
      <c r="G56" s="21"/>
      <c r="H56" s="21"/>
      <c r="I56" s="44"/>
    </row>
    <row r="57" spans="1:9" ht="12.95" customHeight="1">
      <c r="A57" s="3"/>
      <c r="B57" s="43"/>
      <c r="C57" s="20"/>
      <c r="D57" s="20"/>
      <c r="E57" s="20"/>
      <c r="F57" s="21"/>
      <c r="G57" s="21"/>
      <c r="H57" s="21"/>
      <c r="I57" s="44"/>
    </row>
    <row r="58" spans="1:9" ht="12.95" customHeight="1">
      <c r="A58" s="3"/>
      <c r="B58" s="45" t="s">
        <v>134</v>
      </c>
      <c r="C58" s="18"/>
      <c r="D58" s="18"/>
      <c r="E58" s="18"/>
      <c r="F58" s="19" t="s">
        <v>128</v>
      </c>
      <c r="G58" s="19" t="s">
        <v>128</v>
      </c>
      <c r="H58" s="19"/>
      <c r="I58" s="42"/>
    </row>
    <row r="59" spans="1:9" ht="12.95" customHeight="1">
      <c r="A59" s="3"/>
      <c r="B59" s="43"/>
      <c r="C59" s="20"/>
      <c r="D59" s="20"/>
      <c r="E59" s="20"/>
      <c r="F59" s="21"/>
      <c r="G59" s="21"/>
      <c r="H59" s="21"/>
      <c r="I59" s="44"/>
    </row>
    <row r="60" spans="1:9" ht="12.95" customHeight="1">
      <c r="A60" s="3"/>
      <c r="B60" s="45" t="s">
        <v>135</v>
      </c>
      <c r="C60" s="18"/>
      <c r="D60" s="18"/>
      <c r="E60" s="18"/>
      <c r="F60" s="19" t="s">
        <v>128</v>
      </c>
      <c r="G60" s="19" t="s">
        <v>128</v>
      </c>
      <c r="H60" s="19"/>
      <c r="I60" s="42"/>
    </row>
    <row r="61" spans="1:9" ht="12.95" customHeight="1">
      <c r="A61" s="3"/>
      <c r="B61" s="43"/>
      <c r="C61" s="20"/>
      <c r="D61" s="20"/>
      <c r="E61" s="20"/>
      <c r="F61" s="21"/>
      <c r="G61" s="21"/>
      <c r="H61" s="21"/>
      <c r="I61" s="44"/>
    </row>
    <row r="62" spans="1:9" ht="12.95" customHeight="1">
      <c r="A62" s="3"/>
      <c r="B62" s="45" t="s">
        <v>136</v>
      </c>
      <c r="C62" s="18"/>
      <c r="D62" s="18"/>
      <c r="E62" s="18"/>
      <c r="F62" s="19" t="s">
        <v>128</v>
      </c>
      <c r="G62" s="19" t="s">
        <v>128</v>
      </c>
      <c r="H62" s="19"/>
      <c r="I62" s="42"/>
    </row>
    <row r="63" spans="1:9" ht="12.95" customHeight="1">
      <c r="A63" s="3"/>
      <c r="B63" s="43"/>
      <c r="C63" s="20"/>
      <c r="D63" s="20"/>
      <c r="E63" s="20"/>
      <c r="F63" s="21"/>
      <c r="G63" s="21"/>
      <c r="H63" s="21"/>
      <c r="I63" s="44"/>
    </row>
    <row r="64" spans="1:9" ht="12.95" customHeight="1">
      <c r="A64" s="3"/>
      <c r="B64" s="45" t="s">
        <v>137</v>
      </c>
      <c r="C64" s="18"/>
      <c r="D64" s="18"/>
      <c r="E64" s="18"/>
      <c r="F64" s="19" t="s">
        <v>128</v>
      </c>
      <c r="G64" s="19" t="s">
        <v>128</v>
      </c>
      <c r="H64" s="19"/>
      <c r="I64" s="42"/>
    </row>
    <row r="65" spans="1:9" ht="12.95" customHeight="1">
      <c r="A65" s="3"/>
      <c r="B65" s="43"/>
      <c r="C65" s="20"/>
      <c r="D65" s="20"/>
      <c r="E65" s="20"/>
      <c r="F65" s="21"/>
      <c r="G65" s="21"/>
      <c r="H65" s="21"/>
      <c r="I65" s="44"/>
    </row>
    <row r="66" spans="1:9" ht="12.95" customHeight="1">
      <c r="A66" s="3"/>
      <c r="B66" s="45" t="s">
        <v>138</v>
      </c>
      <c r="C66" s="22"/>
      <c r="D66" s="22"/>
      <c r="E66" s="22"/>
      <c r="F66" s="23" t="s">
        <v>128</v>
      </c>
      <c r="G66" s="23" t="s">
        <v>128</v>
      </c>
      <c r="H66" s="23"/>
      <c r="I66" s="42"/>
    </row>
    <row r="67" spans="1:9" ht="12.95" customHeight="1">
      <c r="A67" s="3"/>
      <c r="B67" s="43"/>
      <c r="C67" s="20"/>
      <c r="D67" s="20"/>
      <c r="E67" s="20"/>
      <c r="F67" s="21"/>
      <c r="G67" s="21"/>
      <c r="H67" s="21"/>
      <c r="I67" s="44"/>
    </row>
    <row r="68" spans="1:9" ht="12.95" customHeight="1">
      <c r="A68" s="3"/>
      <c r="B68" s="45" t="s">
        <v>129</v>
      </c>
      <c r="C68" s="24"/>
      <c r="D68" s="24"/>
      <c r="E68" s="24"/>
      <c r="F68" s="25" t="s">
        <v>128</v>
      </c>
      <c r="G68" s="25" t="s">
        <v>128</v>
      </c>
      <c r="H68" s="25"/>
      <c r="I68" s="42"/>
    </row>
    <row r="69" spans="1:9" ht="12.95" customHeight="1">
      <c r="A69" s="3"/>
      <c r="B69" s="45" t="s">
        <v>139</v>
      </c>
      <c r="C69" s="18"/>
      <c r="D69" s="18"/>
      <c r="E69" s="18"/>
      <c r="F69" s="19" t="s">
        <v>128</v>
      </c>
      <c r="G69" s="19" t="s">
        <v>128</v>
      </c>
      <c r="H69" s="19"/>
      <c r="I69" s="42"/>
    </row>
    <row r="70" spans="1:9" ht="12.95" customHeight="1">
      <c r="A70" s="3"/>
      <c r="B70" s="43"/>
      <c r="C70" s="20"/>
      <c r="D70" s="20"/>
      <c r="E70" s="20"/>
      <c r="F70" s="21"/>
      <c r="G70" s="21"/>
      <c r="H70" s="21"/>
      <c r="I70" s="44"/>
    </row>
    <row r="71" spans="1:9" ht="12.95" customHeight="1">
      <c r="A71" s="3"/>
      <c r="B71" s="45" t="s">
        <v>140</v>
      </c>
      <c r="C71" s="18"/>
      <c r="D71" s="18"/>
      <c r="E71" s="18"/>
      <c r="F71" s="19" t="s">
        <v>128</v>
      </c>
      <c r="G71" s="19" t="s">
        <v>128</v>
      </c>
      <c r="H71" s="19"/>
      <c r="I71" s="42"/>
    </row>
    <row r="72" spans="1:9" ht="12.95" customHeight="1">
      <c r="A72" s="3"/>
      <c r="B72" s="43"/>
      <c r="C72" s="20"/>
      <c r="D72" s="20"/>
      <c r="E72" s="20"/>
      <c r="F72" s="21"/>
      <c r="G72" s="21"/>
      <c r="H72" s="21"/>
      <c r="I72" s="44"/>
    </row>
    <row r="73" spans="1:9" ht="12.95" customHeight="1">
      <c r="A73" s="3"/>
      <c r="B73" s="45" t="s">
        <v>141</v>
      </c>
      <c r="C73" s="18"/>
      <c r="D73" s="18"/>
      <c r="E73" s="18"/>
      <c r="F73" s="19" t="s">
        <v>128</v>
      </c>
      <c r="G73" s="19" t="s">
        <v>128</v>
      </c>
      <c r="H73" s="19"/>
      <c r="I73" s="42"/>
    </row>
    <row r="74" spans="1:9" ht="12.95" customHeight="1">
      <c r="A74" s="3"/>
      <c r="B74" s="43"/>
      <c r="C74" s="20"/>
      <c r="D74" s="20"/>
      <c r="E74" s="20"/>
      <c r="F74" s="21"/>
      <c r="G74" s="21"/>
      <c r="H74" s="21"/>
      <c r="I74" s="44"/>
    </row>
    <row r="75" spans="1:9" ht="12.95" customHeight="1">
      <c r="A75" s="3"/>
      <c r="B75" s="45" t="s">
        <v>142</v>
      </c>
      <c r="C75" s="18"/>
      <c r="D75" s="18"/>
      <c r="E75" s="18"/>
      <c r="F75" s="19" t="s">
        <v>128</v>
      </c>
      <c r="G75" s="19" t="s">
        <v>128</v>
      </c>
      <c r="H75" s="19"/>
      <c r="I75" s="42"/>
    </row>
    <row r="76" spans="1:9" ht="12.95" customHeight="1">
      <c r="A76" s="3"/>
      <c r="B76" s="43"/>
      <c r="C76" s="20"/>
      <c r="D76" s="20"/>
      <c r="E76" s="20"/>
      <c r="F76" s="21"/>
      <c r="G76" s="21"/>
      <c r="H76" s="21"/>
      <c r="I76" s="44"/>
    </row>
    <row r="77" spans="1:9" ht="12.95" customHeight="1">
      <c r="A77" s="3"/>
      <c r="B77" s="45" t="s">
        <v>143</v>
      </c>
      <c r="C77" s="22"/>
      <c r="D77" s="22"/>
      <c r="E77" s="22"/>
      <c r="F77" s="23" t="s">
        <v>128</v>
      </c>
      <c r="G77" s="23" t="s">
        <v>128</v>
      </c>
      <c r="H77" s="23"/>
      <c r="I77" s="42"/>
    </row>
    <row r="78" spans="1:9" ht="12.95" customHeight="1">
      <c r="A78" s="3"/>
      <c r="B78" s="43"/>
      <c r="C78" s="20"/>
      <c r="D78" s="20"/>
      <c r="E78" s="20"/>
      <c r="F78" s="21"/>
      <c r="G78" s="21"/>
      <c r="H78" s="21"/>
      <c r="I78" s="44"/>
    </row>
    <row r="79" spans="1:9" ht="12.95" customHeight="1">
      <c r="A79" s="3"/>
      <c r="B79" s="45" t="s">
        <v>129</v>
      </c>
      <c r="C79" s="24"/>
      <c r="D79" s="24"/>
      <c r="E79" s="24"/>
      <c r="F79" s="25" t="s">
        <v>128</v>
      </c>
      <c r="G79" s="25" t="s">
        <v>128</v>
      </c>
      <c r="H79" s="25"/>
      <c r="I79" s="42"/>
    </row>
    <row r="80" spans="1:9" ht="12.95" customHeight="1">
      <c r="A80" s="17"/>
      <c r="B80" s="45"/>
      <c r="C80" s="24"/>
      <c r="D80" s="24"/>
      <c r="E80" s="24"/>
      <c r="F80" s="25"/>
      <c r="G80" s="25"/>
      <c r="H80" s="25"/>
      <c r="I80" s="42"/>
    </row>
    <row r="81" spans="1:9" ht="12.95" customHeight="1">
      <c r="A81" s="3"/>
      <c r="B81" s="43" t="s">
        <v>144</v>
      </c>
      <c r="C81" s="26"/>
      <c r="D81" s="26"/>
      <c r="E81" s="26"/>
      <c r="F81" s="26"/>
      <c r="G81" s="26"/>
      <c r="H81" s="27"/>
      <c r="I81" s="44"/>
    </row>
    <row r="82" spans="1:9" ht="12.95" customHeight="1">
      <c r="A82" s="3"/>
      <c r="B82" s="43" t="s">
        <v>575</v>
      </c>
      <c r="C82" s="26"/>
      <c r="D82" s="26"/>
      <c r="E82" s="26"/>
      <c r="F82" s="28"/>
      <c r="G82" s="27"/>
      <c r="H82" s="27"/>
      <c r="I82" s="44"/>
    </row>
    <row r="83" spans="1:9" ht="12.95" customHeight="1">
      <c r="A83" s="10" t="s">
        <v>576</v>
      </c>
      <c r="B83" s="46" t="s">
        <v>577</v>
      </c>
      <c r="C83" s="26" t="s">
        <v>578</v>
      </c>
      <c r="D83" s="26"/>
      <c r="E83" s="29">
        <v>3906741.429</v>
      </c>
      <c r="F83" s="30">
        <v>399.43</v>
      </c>
      <c r="G83" s="31">
        <v>9.5999999999999992E-3</v>
      </c>
      <c r="H83" s="56"/>
      <c r="I83" s="47"/>
    </row>
    <row r="84" spans="1:9" ht="12.95" customHeight="1">
      <c r="A84" s="3"/>
      <c r="B84" s="43" t="s">
        <v>126</v>
      </c>
      <c r="C84" s="26"/>
      <c r="D84" s="26"/>
      <c r="E84" s="26"/>
      <c r="F84" s="33">
        <v>399.43</v>
      </c>
      <c r="G84" s="34">
        <v>9.5999999999999992E-3</v>
      </c>
      <c r="H84" s="19"/>
      <c r="I84" s="42"/>
    </row>
    <row r="85" spans="1:9" ht="12.95" customHeight="1">
      <c r="A85" s="3"/>
      <c r="B85" s="45" t="s">
        <v>579</v>
      </c>
      <c r="C85" s="18"/>
      <c r="D85" s="18"/>
      <c r="E85" s="18"/>
      <c r="F85" s="19" t="s">
        <v>128</v>
      </c>
      <c r="G85" s="19" t="s">
        <v>128</v>
      </c>
      <c r="H85" s="19"/>
      <c r="I85" s="42"/>
    </row>
    <row r="86" spans="1:9" ht="12.95" customHeight="1">
      <c r="A86" s="3"/>
      <c r="B86" s="43" t="s">
        <v>126</v>
      </c>
      <c r="C86" s="20"/>
      <c r="D86" s="20"/>
      <c r="E86" s="20"/>
      <c r="F86" s="21"/>
      <c r="G86" s="21"/>
      <c r="H86" s="21"/>
      <c r="I86" s="44"/>
    </row>
    <row r="87" spans="1:9" ht="12.95" customHeight="1">
      <c r="A87" s="3"/>
      <c r="B87" s="45" t="s">
        <v>580</v>
      </c>
      <c r="C87" s="18"/>
      <c r="D87" s="18"/>
      <c r="E87" s="18"/>
      <c r="F87" s="19" t="s">
        <v>128</v>
      </c>
      <c r="G87" s="19" t="s">
        <v>128</v>
      </c>
      <c r="H87" s="19"/>
      <c r="I87" s="42"/>
    </row>
    <row r="88" spans="1:9" ht="12.95" customHeight="1">
      <c r="A88" s="3"/>
      <c r="B88" s="43" t="s">
        <v>126</v>
      </c>
      <c r="C88" s="20"/>
      <c r="D88" s="20"/>
      <c r="E88" s="20"/>
      <c r="F88" s="21"/>
      <c r="G88" s="21"/>
      <c r="H88" s="21"/>
      <c r="I88" s="44"/>
    </row>
    <row r="89" spans="1:9" ht="12.95" customHeight="1">
      <c r="A89" s="3"/>
      <c r="B89" s="45" t="s">
        <v>581</v>
      </c>
      <c r="C89" s="18"/>
      <c r="D89" s="18"/>
      <c r="E89" s="18"/>
      <c r="F89" s="19" t="s">
        <v>128</v>
      </c>
      <c r="G89" s="19" t="s">
        <v>128</v>
      </c>
      <c r="H89" s="19"/>
      <c r="I89" s="42"/>
    </row>
    <row r="90" spans="1:9" ht="12.95" customHeight="1">
      <c r="A90" s="3"/>
      <c r="B90" s="43" t="s">
        <v>126</v>
      </c>
      <c r="C90" s="20"/>
      <c r="D90" s="20"/>
      <c r="E90" s="20"/>
      <c r="F90" s="21"/>
      <c r="G90" s="21"/>
      <c r="H90" s="21"/>
      <c r="I90" s="44"/>
    </row>
    <row r="91" spans="1:9" ht="12.95" customHeight="1">
      <c r="A91" s="3"/>
      <c r="B91" s="45" t="s">
        <v>582</v>
      </c>
      <c r="C91" s="18"/>
      <c r="D91" s="18"/>
      <c r="E91" s="18"/>
      <c r="F91" s="19" t="s">
        <v>128</v>
      </c>
      <c r="G91" s="19" t="s">
        <v>128</v>
      </c>
      <c r="H91" s="19"/>
      <c r="I91" s="42"/>
    </row>
    <row r="92" spans="1:9" ht="12.95" customHeight="1">
      <c r="A92" s="3"/>
      <c r="B92" s="43" t="s">
        <v>126</v>
      </c>
      <c r="C92" s="20"/>
      <c r="D92" s="20"/>
      <c r="E92" s="20"/>
      <c r="F92" s="21"/>
      <c r="G92" s="21"/>
      <c r="H92" s="21"/>
      <c r="I92" s="44"/>
    </row>
    <row r="93" spans="1:9" ht="12.95" customHeight="1">
      <c r="A93" s="3"/>
      <c r="B93" s="45" t="s">
        <v>129</v>
      </c>
      <c r="C93" s="22"/>
      <c r="D93" s="18"/>
      <c r="E93" s="22"/>
      <c r="F93" s="33">
        <v>399.43</v>
      </c>
      <c r="G93" s="34">
        <v>9.5999999999999992E-3</v>
      </c>
      <c r="H93" s="19"/>
      <c r="I93" s="42"/>
    </row>
    <row r="94" spans="1:9" ht="12.95" customHeight="1">
      <c r="A94" s="17"/>
      <c r="B94" s="45"/>
      <c r="C94" s="22"/>
      <c r="D94" s="18"/>
      <c r="E94" s="22"/>
      <c r="F94" s="33"/>
      <c r="G94" s="34"/>
      <c r="H94" s="19"/>
      <c r="I94" s="42"/>
    </row>
    <row r="95" spans="1:9" ht="12.95" customHeight="1">
      <c r="A95" s="3"/>
      <c r="B95" s="43" t="s">
        <v>130</v>
      </c>
      <c r="C95" s="26"/>
      <c r="D95" s="26"/>
      <c r="E95" s="26"/>
      <c r="F95" s="26"/>
      <c r="G95" s="26"/>
      <c r="H95" s="27"/>
      <c r="I95" s="44"/>
    </row>
    <row r="96" spans="1:9" ht="12.95" customHeight="1">
      <c r="A96" s="10" t="s">
        <v>131</v>
      </c>
      <c r="B96" s="46" t="s">
        <v>132</v>
      </c>
      <c r="C96" s="26"/>
      <c r="D96" s="26"/>
      <c r="E96" s="29"/>
      <c r="F96" s="30">
        <v>7023.68</v>
      </c>
      <c r="G96" s="31">
        <v>0.1694</v>
      </c>
      <c r="H96" s="56"/>
      <c r="I96" s="47"/>
    </row>
    <row r="97" spans="1:9" ht="12.95" customHeight="1">
      <c r="A97" s="3"/>
      <c r="B97" s="43" t="s">
        <v>126</v>
      </c>
      <c r="C97" s="26"/>
      <c r="D97" s="26"/>
      <c r="E97" s="26"/>
      <c r="F97" s="33">
        <v>7023.68</v>
      </c>
      <c r="G97" s="34">
        <v>0.1694</v>
      </c>
      <c r="H97" s="19"/>
      <c r="I97" s="42"/>
    </row>
    <row r="98" spans="1:9" ht="12.95" customHeight="1">
      <c r="A98" s="3"/>
      <c r="B98" s="45" t="s">
        <v>129</v>
      </c>
      <c r="C98" s="22"/>
      <c r="D98" s="18"/>
      <c r="E98" s="22"/>
      <c r="F98" s="33">
        <v>7023.68</v>
      </c>
      <c r="G98" s="34">
        <v>0.1694</v>
      </c>
      <c r="H98" s="19"/>
      <c r="I98" s="42"/>
    </row>
    <row r="99" spans="1:9" ht="12.95" customHeight="1">
      <c r="A99" s="3"/>
      <c r="B99" s="45" t="s">
        <v>149</v>
      </c>
      <c r="C99" s="35"/>
      <c r="D99" s="18"/>
      <c r="E99" s="22"/>
      <c r="F99" s="36">
        <v>-954.28</v>
      </c>
      <c r="G99" s="34">
        <v>-2.3300000000000001E-2</v>
      </c>
      <c r="H99" s="19"/>
      <c r="I99" s="42"/>
    </row>
    <row r="100" spans="1:9" ht="12.95" customHeight="1" thickBot="1">
      <c r="A100" s="3"/>
      <c r="B100" s="49" t="s">
        <v>150</v>
      </c>
      <c r="C100" s="50"/>
      <c r="D100" s="50"/>
      <c r="E100" s="50"/>
      <c r="F100" s="51">
        <v>41473.99</v>
      </c>
      <c r="G100" s="52">
        <v>1</v>
      </c>
      <c r="H100" s="53"/>
      <c r="I100" s="54"/>
    </row>
    <row r="101" spans="1:9" ht="12.95" customHeight="1">
      <c r="A101" s="3"/>
      <c r="B101" s="118"/>
      <c r="C101" s="118"/>
      <c r="D101" s="118"/>
      <c r="E101" s="118"/>
      <c r="F101" s="118"/>
      <c r="G101" s="118"/>
      <c r="H101" s="118"/>
      <c r="I101" s="118"/>
    </row>
    <row r="102" spans="1:9" ht="12.95" customHeight="1">
      <c r="A102" s="3"/>
      <c r="B102" s="118"/>
      <c r="C102" s="118"/>
      <c r="D102" s="118"/>
      <c r="E102" s="118"/>
      <c r="F102" s="118"/>
      <c r="G102" s="118"/>
      <c r="H102" s="118"/>
      <c r="I102" s="118"/>
    </row>
    <row r="103" spans="1:9" ht="12.95" customHeight="1">
      <c r="A103" s="3"/>
      <c r="B103" s="118" t="s">
        <v>151</v>
      </c>
      <c r="C103" s="118"/>
      <c r="D103" s="118"/>
      <c r="E103" s="118"/>
      <c r="F103" s="118"/>
      <c r="G103" s="118"/>
      <c r="H103" s="118"/>
      <c r="I103" s="118"/>
    </row>
    <row r="104" spans="1:9" ht="12.95" customHeight="1">
      <c r="A104" s="3"/>
      <c r="B104" s="117" t="s">
        <v>152</v>
      </c>
      <c r="C104" s="117"/>
      <c r="D104" s="117"/>
      <c r="E104" s="117"/>
      <c r="F104" s="117"/>
      <c r="G104" s="117"/>
      <c r="H104" s="117"/>
      <c r="I104" s="117"/>
    </row>
    <row r="105" spans="1:9" ht="12.95" customHeight="1">
      <c r="A105" s="3"/>
      <c r="B105" s="117" t="s">
        <v>153</v>
      </c>
      <c r="C105" s="117"/>
      <c r="D105" s="117"/>
      <c r="E105" s="117"/>
      <c r="F105" s="117"/>
      <c r="G105" s="117"/>
      <c r="H105" s="117"/>
      <c r="I105" s="117"/>
    </row>
    <row r="106" spans="1:9" ht="12.95" customHeight="1">
      <c r="A106" s="3"/>
      <c r="B106" s="117" t="s">
        <v>154</v>
      </c>
      <c r="C106" s="117"/>
      <c r="D106" s="117"/>
      <c r="E106" s="117"/>
      <c r="F106" s="117"/>
      <c r="G106" s="117"/>
      <c r="H106" s="117"/>
      <c r="I106" s="117"/>
    </row>
    <row r="107" spans="1:9" ht="12.95" customHeight="1">
      <c r="A107" s="3"/>
      <c r="B107" s="117" t="s">
        <v>155</v>
      </c>
      <c r="C107" s="117"/>
      <c r="D107" s="117"/>
      <c r="E107" s="117"/>
      <c r="F107" s="117"/>
      <c r="G107" s="117"/>
      <c r="H107" s="117"/>
      <c r="I107" s="117"/>
    </row>
    <row r="108" spans="1:9" ht="12.95" customHeight="1">
      <c r="A108" s="3"/>
      <c r="B108" s="117" t="s">
        <v>156</v>
      </c>
      <c r="C108" s="117"/>
      <c r="D108" s="117"/>
      <c r="E108" s="117"/>
      <c r="F108" s="117"/>
      <c r="G108" s="117"/>
      <c r="H108" s="117"/>
      <c r="I108" s="117"/>
    </row>
    <row r="110" spans="1:9">
      <c r="B110" s="95" t="s">
        <v>715</v>
      </c>
    </row>
    <row r="119" spans="2:2">
      <c r="B119" t="s">
        <v>716</v>
      </c>
    </row>
    <row r="120" spans="2:2" ht="15.75">
      <c r="B120" s="96" t="s">
        <v>732</v>
      </c>
    </row>
    <row r="129" spans="2:2">
      <c r="B129" s="115" t="s">
        <v>722</v>
      </c>
    </row>
  </sheetData>
  <mergeCells count="8">
    <mergeCell ref="B106:I106"/>
    <mergeCell ref="B107:I107"/>
    <mergeCell ref="B108:I108"/>
    <mergeCell ref="B101:I101"/>
    <mergeCell ref="B102:I102"/>
    <mergeCell ref="B103:I103"/>
    <mergeCell ref="B104:I104"/>
    <mergeCell ref="B105:I105"/>
  </mergeCells>
  <pageMargins left="0" right="0" top="0" bottom="0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3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7" t="s">
        <v>36</v>
      </c>
      <c r="C6" s="38" t="s">
        <v>37</v>
      </c>
      <c r="D6" s="39" t="s">
        <v>295</v>
      </c>
      <c r="E6" s="39" t="s">
        <v>39</v>
      </c>
      <c r="F6" s="39" t="s">
        <v>40</v>
      </c>
      <c r="G6" s="39" t="s">
        <v>41</v>
      </c>
      <c r="H6" s="39" t="s">
        <v>42</v>
      </c>
      <c r="I6" s="40" t="s">
        <v>43</v>
      </c>
    </row>
    <row r="7" spans="1:9" ht="12.95" customHeight="1">
      <c r="A7" s="3"/>
      <c r="B7" s="41" t="s">
        <v>44</v>
      </c>
      <c r="C7" s="18"/>
      <c r="D7" s="18"/>
      <c r="E7" s="18"/>
      <c r="F7" s="19" t="s">
        <v>128</v>
      </c>
      <c r="G7" s="19" t="s">
        <v>128</v>
      </c>
      <c r="H7" s="19"/>
      <c r="I7" s="42"/>
    </row>
    <row r="8" spans="1:9" ht="12.95" customHeight="1">
      <c r="A8" s="3"/>
      <c r="B8" s="43"/>
      <c r="C8" s="20"/>
      <c r="D8" s="20"/>
      <c r="E8" s="20"/>
      <c r="F8" s="21"/>
      <c r="G8" s="21"/>
      <c r="H8" s="21"/>
      <c r="I8" s="44"/>
    </row>
    <row r="9" spans="1:9" ht="12.95" customHeight="1">
      <c r="A9" s="3"/>
      <c r="B9" s="45" t="s">
        <v>309</v>
      </c>
      <c r="C9" s="18"/>
      <c r="D9" s="18"/>
      <c r="E9" s="18"/>
      <c r="F9" s="19" t="s">
        <v>128</v>
      </c>
      <c r="G9" s="19" t="s">
        <v>128</v>
      </c>
      <c r="H9" s="19"/>
      <c r="I9" s="42"/>
    </row>
    <row r="10" spans="1:9" ht="12.95" customHeight="1">
      <c r="A10" s="3"/>
      <c r="B10" s="43"/>
      <c r="C10" s="20"/>
      <c r="D10" s="20"/>
      <c r="E10" s="20"/>
      <c r="F10" s="21"/>
      <c r="G10" s="21"/>
      <c r="H10" s="21"/>
      <c r="I10" s="44"/>
    </row>
    <row r="11" spans="1:9" ht="12.95" customHeight="1">
      <c r="A11" s="3"/>
      <c r="B11" s="45" t="s">
        <v>310</v>
      </c>
      <c r="C11" s="22"/>
      <c r="D11" s="22"/>
      <c r="E11" s="22"/>
      <c r="F11" s="23" t="s">
        <v>128</v>
      </c>
      <c r="G11" s="23" t="s">
        <v>128</v>
      </c>
      <c r="H11" s="23"/>
      <c r="I11" s="42"/>
    </row>
    <row r="12" spans="1:9" ht="12.95" customHeight="1">
      <c r="A12" s="3"/>
      <c r="B12" s="43"/>
      <c r="C12" s="20"/>
      <c r="D12" s="20"/>
      <c r="E12" s="20"/>
      <c r="F12" s="21"/>
      <c r="G12" s="21"/>
      <c r="H12" s="21"/>
      <c r="I12" s="44"/>
    </row>
    <row r="13" spans="1:9" ht="12.95" customHeight="1">
      <c r="A13" s="3"/>
      <c r="B13" s="45" t="s">
        <v>311</v>
      </c>
      <c r="C13" s="24"/>
      <c r="D13" s="24"/>
      <c r="E13" s="24"/>
      <c r="F13" s="25" t="s">
        <v>128</v>
      </c>
      <c r="G13" s="25" t="s">
        <v>128</v>
      </c>
      <c r="H13" s="25"/>
      <c r="I13" s="42"/>
    </row>
    <row r="14" spans="1:9" ht="12.95" customHeight="1">
      <c r="A14" s="3"/>
      <c r="B14" s="43"/>
      <c r="C14" s="20"/>
      <c r="D14" s="20"/>
      <c r="E14" s="20"/>
      <c r="F14" s="21"/>
      <c r="G14" s="21"/>
      <c r="H14" s="21"/>
      <c r="I14" s="44"/>
    </row>
    <row r="15" spans="1:9" ht="12.95" customHeight="1">
      <c r="A15" s="3"/>
      <c r="B15" s="45" t="s">
        <v>129</v>
      </c>
      <c r="C15" s="24"/>
      <c r="D15" s="24"/>
      <c r="E15" s="24"/>
      <c r="F15" s="25" t="s">
        <v>128</v>
      </c>
      <c r="G15" s="25" t="s">
        <v>128</v>
      </c>
      <c r="H15" s="25"/>
      <c r="I15" s="42"/>
    </row>
    <row r="16" spans="1:9" ht="12.95" customHeight="1">
      <c r="A16" s="17"/>
      <c r="B16" s="43" t="s">
        <v>133</v>
      </c>
      <c r="C16" s="26"/>
      <c r="D16" s="26"/>
      <c r="E16" s="26"/>
      <c r="F16" s="26"/>
      <c r="G16" s="26"/>
      <c r="H16" s="27"/>
      <c r="I16" s="44"/>
    </row>
    <row r="17" spans="1:9" ht="12.95" customHeight="1">
      <c r="A17" s="3"/>
      <c r="B17" s="43" t="s">
        <v>269</v>
      </c>
      <c r="C17" s="26"/>
      <c r="D17" s="26"/>
      <c r="E17" s="26"/>
      <c r="F17" s="28"/>
      <c r="G17" s="27"/>
      <c r="H17" s="27"/>
      <c r="I17" s="44"/>
    </row>
    <row r="18" spans="1:9" ht="12.95" customHeight="1">
      <c r="A18" s="10" t="s">
        <v>296</v>
      </c>
      <c r="B18" s="46" t="s">
        <v>297</v>
      </c>
      <c r="C18" s="26" t="s">
        <v>298</v>
      </c>
      <c r="D18" s="26" t="s">
        <v>278</v>
      </c>
      <c r="E18" s="29">
        <v>1300000</v>
      </c>
      <c r="F18" s="30">
        <v>1306.94</v>
      </c>
      <c r="G18" s="31">
        <v>0.1134</v>
      </c>
      <c r="H18" s="32">
        <v>5.0999999999999997E-2</v>
      </c>
      <c r="I18" s="47" t="s">
        <v>274</v>
      </c>
    </row>
    <row r="19" spans="1:9" ht="12.95" customHeight="1">
      <c r="A19" s="10" t="s">
        <v>270</v>
      </c>
      <c r="B19" s="46" t="s">
        <v>271</v>
      </c>
      <c r="C19" s="26" t="s">
        <v>272</v>
      </c>
      <c r="D19" s="26" t="s">
        <v>273</v>
      </c>
      <c r="E19" s="29">
        <v>1200000</v>
      </c>
      <c r="F19" s="30">
        <v>1223.22</v>
      </c>
      <c r="G19" s="31">
        <v>0.1061</v>
      </c>
      <c r="H19" s="32">
        <v>4.8899999999999999E-2</v>
      </c>
      <c r="I19" s="47" t="s">
        <v>274</v>
      </c>
    </row>
    <row r="20" spans="1:9" ht="12.95" customHeight="1">
      <c r="A20" s="10" t="s">
        <v>649</v>
      </c>
      <c r="B20" s="46" t="s">
        <v>650</v>
      </c>
      <c r="C20" s="26" t="s">
        <v>651</v>
      </c>
      <c r="D20" s="26" t="s">
        <v>278</v>
      </c>
      <c r="E20" s="29">
        <v>1000000</v>
      </c>
      <c r="F20" s="30">
        <v>1010.16</v>
      </c>
      <c r="G20" s="31">
        <v>8.7599999999999997E-2</v>
      </c>
      <c r="H20" s="32">
        <v>4.1349999999999998E-2</v>
      </c>
      <c r="I20" s="47" t="s">
        <v>274</v>
      </c>
    </row>
    <row r="21" spans="1:9" ht="12.95" customHeight="1">
      <c r="A21" s="10" t="s">
        <v>299</v>
      </c>
      <c r="B21" s="46" t="s">
        <v>300</v>
      </c>
      <c r="C21" s="26" t="s">
        <v>301</v>
      </c>
      <c r="D21" s="26" t="s">
        <v>273</v>
      </c>
      <c r="E21" s="29">
        <v>300000</v>
      </c>
      <c r="F21" s="30">
        <v>299.64</v>
      </c>
      <c r="G21" s="31">
        <v>2.5999999999999999E-2</v>
      </c>
      <c r="H21" s="32">
        <v>4.9599999999999998E-2</v>
      </c>
      <c r="I21" s="47" t="s">
        <v>274</v>
      </c>
    </row>
    <row r="22" spans="1:9" ht="12.95" customHeight="1">
      <c r="A22" s="10" t="s">
        <v>302</v>
      </c>
      <c r="B22" s="46" t="s">
        <v>303</v>
      </c>
      <c r="C22" s="26" t="s">
        <v>304</v>
      </c>
      <c r="D22" s="26" t="s">
        <v>278</v>
      </c>
      <c r="E22" s="29">
        <v>300000</v>
      </c>
      <c r="F22" s="30">
        <v>297.05</v>
      </c>
      <c r="G22" s="31">
        <v>2.58E-2</v>
      </c>
      <c r="H22" s="32">
        <v>5.8599999999999999E-2</v>
      </c>
      <c r="I22" s="47" t="s">
        <v>274</v>
      </c>
    </row>
    <row r="23" spans="1:9" ht="12.95" customHeight="1">
      <c r="A23" s="3"/>
      <c r="B23" s="43" t="s">
        <v>126</v>
      </c>
      <c r="C23" s="26"/>
      <c r="D23" s="26"/>
      <c r="E23" s="26"/>
      <c r="F23" s="33">
        <v>4137.01</v>
      </c>
      <c r="G23" s="34">
        <v>0.3589</v>
      </c>
      <c r="H23" s="19"/>
      <c r="I23" s="42"/>
    </row>
    <row r="24" spans="1:9" ht="12.95" customHeight="1">
      <c r="A24" s="3"/>
      <c r="B24" s="45" t="s">
        <v>279</v>
      </c>
      <c r="C24" s="18"/>
      <c r="D24" s="18"/>
      <c r="E24" s="18"/>
      <c r="F24" s="19" t="s">
        <v>128</v>
      </c>
      <c r="G24" s="19" t="s">
        <v>128</v>
      </c>
      <c r="H24" s="19"/>
      <c r="I24" s="48"/>
    </row>
    <row r="25" spans="1:9" ht="12.95" customHeight="1">
      <c r="A25" s="3"/>
      <c r="B25" s="45" t="s">
        <v>126</v>
      </c>
      <c r="C25" s="18"/>
      <c r="D25" s="18"/>
      <c r="E25" s="18"/>
      <c r="F25" s="19" t="s">
        <v>128</v>
      </c>
      <c r="G25" s="19" t="s">
        <v>128</v>
      </c>
      <c r="H25" s="19"/>
      <c r="I25" s="48"/>
    </row>
    <row r="26" spans="1:9" ht="12.95" customHeight="1">
      <c r="A26" s="3"/>
      <c r="B26" s="45" t="s">
        <v>280</v>
      </c>
      <c r="C26" s="18"/>
      <c r="D26" s="18"/>
      <c r="E26" s="18"/>
      <c r="F26" s="19" t="s">
        <v>128</v>
      </c>
      <c r="G26" s="19" t="s">
        <v>128</v>
      </c>
      <c r="H26" s="19"/>
      <c r="I26" s="48"/>
    </row>
    <row r="27" spans="1:9" ht="12.95" customHeight="1">
      <c r="A27" s="3"/>
      <c r="B27" s="45" t="s">
        <v>126</v>
      </c>
      <c r="C27" s="18"/>
      <c r="D27" s="18"/>
      <c r="E27" s="18"/>
      <c r="F27" s="19" t="s">
        <v>128</v>
      </c>
      <c r="G27" s="19" t="s">
        <v>128</v>
      </c>
      <c r="H27" s="19"/>
      <c r="I27" s="48"/>
    </row>
    <row r="28" spans="1:9" ht="12.95" customHeight="1">
      <c r="A28" s="3"/>
      <c r="B28" s="45" t="s">
        <v>281</v>
      </c>
      <c r="C28" s="18"/>
      <c r="D28" s="18"/>
      <c r="E28" s="18"/>
      <c r="F28" s="19" t="s">
        <v>128</v>
      </c>
      <c r="G28" s="19" t="s">
        <v>128</v>
      </c>
      <c r="H28" s="19"/>
      <c r="I28" s="48"/>
    </row>
    <row r="29" spans="1:9" ht="12.95" customHeight="1">
      <c r="A29" s="3"/>
      <c r="B29" s="45" t="s">
        <v>126</v>
      </c>
      <c r="C29" s="18"/>
      <c r="D29" s="18"/>
      <c r="E29" s="18"/>
      <c r="F29" s="19" t="s">
        <v>128</v>
      </c>
      <c r="G29" s="19" t="s">
        <v>128</v>
      </c>
      <c r="H29" s="19"/>
      <c r="I29" s="48"/>
    </row>
    <row r="30" spans="1:9" ht="12.95" customHeight="1">
      <c r="A30" s="3"/>
      <c r="B30" s="45" t="s">
        <v>282</v>
      </c>
      <c r="C30" s="18"/>
      <c r="D30" s="18"/>
      <c r="E30" s="18"/>
      <c r="F30" s="19" t="s">
        <v>128</v>
      </c>
      <c r="G30" s="19" t="s">
        <v>128</v>
      </c>
      <c r="H30" s="19"/>
      <c r="I30" s="48"/>
    </row>
    <row r="31" spans="1:9" ht="12.95" customHeight="1">
      <c r="A31" s="3"/>
      <c r="B31" s="45" t="s">
        <v>126</v>
      </c>
      <c r="C31" s="18"/>
      <c r="D31" s="18"/>
      <c r="E31" s="18"/>
      <c r="F31" s="19" t="s">
        <v>128</v>
      </c>
      <c r="G31" s="19" t="s">
        <v>128</v>
      </c>
      <c r="H31" s="19"/>
      <c r="I31" s="48"/>
    </row>
    <row r="32" spans="1:9" ht="12.95" customHeight="1">
      <c r="A32" s="3"/>
      <c r="B32" s="45" t="s">
        <v>129</v>
      </c>
      <c r="C32" s="22"/>
      <c r="D32" s="18"/>
      <c r="E32" s="22"/>
      <c r="F32" s="33">
        <v>4137.01</v>
      </c>
      <c r="G32" s="34">
        <v>0.3589</v>
      </c>
      <c r="H32" s="19"/>
      <c r="I32" s="42"/>
    </row>
    <row r="33" spans="1:9" ht="12.95" customHeight="1">
      <c r="A33" s="3"/>
      <c r="B33" s="43" t="s">
        <v>139</v>
      </c>
      <c r="C33" s="26"/>
      <c r="D33" s="26"/>
      <c r="E33" s="26"/>
      <c r="F33" s="26"/>
      <c r="G33" s="26"/>
      <c r="H33" s="27"/>
      <c r="I33" s="44"/>
    </row>
    <row r="34" spans="1:9" ht="12.95" customHeight="1">
      <c r="A34" s="3"/>
      <c r="B34" s="43" t="s">
        <v>283</v>
      </c>
      <c r="C34" s="26"/>
      <c r="D34" s="26"/>
      <c r="E34" s="26"/>
      <c r="F34" s="28"/>
      <c r="G34" s="27"/>
      <c r="H34" s="27"/>
      <c r="I34" s="44"/>
    </row>
    <row r="35" spans="1:9" ht="12.95" customHeight="1">
      <c r="A35" s="10" t="s">
        <v>284</v>
      </c>
      <c r="B35" s="46" t="s">
        <v>285</v>
      </c>
      <c r="C35" s="26" t="s">
        <v>286</v>
      </c>
      <c r="D35" s="26" t="s">
        <v>287</v>
      </c>
      <c r="E35" s="29">
        <v>1500000</v>
      </c>
      <c r="F35" s="30">
        <v>1488.37</v>
      </c>
      <c r="G35" s="31">
        <v>0.12909999999999999</v>
      </c>
      <c r="H35" s="32">
        <v>3.6101000000000001E-2</v>
      </c>
      <c r="I35" s="47" t="s">
        <v>274</v>
      </c>
    </row>
    <row r="36" spans="1:9" ht="12.95" customHeight="1">
      <c r="A36" s="3"/>
      <c r="B36" s="43" t="s">
        <v>126</v>
      </c>
      <c r="C36" s="26"/>
      <c r="D36" s="26"/>
      <c r="E36" s="26"/>
      <c r="F36" s="33">
        <v>1488.37</v>
      </c>
      <c r="G36" s="34">
        <v>0.12909999999999999</v>
      </c>
      <c r="H36" s="19"/>
      <c r="I36" s="42"/>
    </row>
    <row r="37" spans="1:9" ht="12.95" customHeight="1">
      <c r="A37" s="3"/>
      <c r="B37" s="43" t="s">
        <v>288</v>
      </c>
      <c r="C37" s="26"/>
      <c r="D37" s="26"/>
      <c r="E37" s="26"/>
      <c r="F37" s="28"/>
      <c r="G37" s="27"/>
      <c r="H37" s="27"/>
      <c r="I37" s="44"/>
    </row>
    <row r="38" spans="1:9" ht="12.95" customHeight="1">
      <c r="A38" s="10" t="s">
        <v>336</v>
      </c>
      <c r="B38" s="46" t="s">
        <v>337</v>
      </c>
      <c r="C38" s="26" t="s">
        <v>338</v>
      </c>
      <c r="D38" s="26" t="s">
        <v>339</v>
      </c>
      <c r="E38" s="29">
        <v>650000</v>
      </c>
      <c r="F38" s="30">
        <v>647.13</v>
      </c>
      <c r="G38" s="31">
        <v>5.6099999999999997E-2</v>
      </c>
      <c r="H38" s="32">
        <v>3.6748999999999997E-2</v>
      </c>
      <c r="I38" s="47" t="s">
        <v>274</v>
      </c>
    </row>
    <row r="39" spans="1:9" ht="12.95" customHeight="1">
      <c r="A39" s="10" t="s">
        <v>652</v>
      </c>
      <c r="B39" s="46" t="s">
        <v>653</v>
      </c>
      <c r="C39" s="26" t="s">
        <v>654</v>
      </c>
      <c r="D39" s="26" t="s">
        <v>339</v>
      </c>
      <c r="E39" s="29">
        <v>500000</v>
      </c>
      <c r="F39" s="30">
        <v>497.55</v>
      </c>
      <c r="G39" s="31">
        <v>4.3200000000000002E-2</v>
      </c>
      <c r="H39" s="32">
        <v>3.9047999999999999E-2</v>
      </c>
      <c r="I39" s="47" t="s">
        <v>274</v>
      </c>
    </row>
    <row r="40" spans="1:9" ht="12.95" customHeight="1">
      <c r="A40" s="3"/>
      <c r="B40" s="43" t="s">
        <v>126</v>
      </c>
      <c r="C40" s="26"/>
      <c r="D40" s="26"/>
      <c r="E40" s="26"/>
      <c r="F40" s="33">
        <v>1144.68</v>
      </c>
      <c r="G40" s="34">
        <v>9.9299999999999999E-2</v>
      </c>
      <c r="H40" s="19"/>
      <c r="I40" s="42"/>
    </row>
    <row r="41" spans="1:9" ht="12.95" customHeight="1">
      <c r="A41" s="3"/>
      <c r="B41" s="45" t="s">
        <v>289</v>
      </c>
      <c r="C41" s="18"/>
      <c r="D41" s="18"/>
      <c r="E41" s="18"/>
      <c r="F41" s="19" t="s">
        <v>128</v>
      </c>
      <c r="G41" s="19" t="s">
        <v>128</v>
      </c>
      <c r="H41" s="19"/>
      <c r="I41" s="42"/>
    </row>
    <row r="42" spans="1:9" ht="12.95" customHeight="1">
      <c r="A42" s="3"/>
      <c r="B42" s="43" t="s">
        <v>126</v>
      </c>
      <c r="C42" s="20"/>
      <c r="D42" s="20"/>
      <c r="E42" s="20"/>
      <c r="F42" s="21"/>
      <c r="G42" s="21"/>
      <c r="H42" s="21"/>
      <c r="I42" s="44"/>
    </row>
    <row r="43" spans="1:9" ht="12.95" customHeight="1">
      <c r="A43" s="3"/>
      <c r="B43" s="45" t="s">
        <v>290</v>
      </c>
      <c r="C43" s="22"/>
      <c r="D43" s="22"/>
      <c r="E43" s="22"/>
      <c r="F43" s="23" t="s">
        <v>128</v>
      </c>
      <c r="G43" s="23" t="s">
        <v>128</v>
      </c>
      <c r="H43" s="23"/>
      <c r="I43" s="42"/>
    </row>
    <row r="44" spans="1:9" ht="12.95" customHeight="1">
      <c r="A44" s="3"/>
      <c r="B44" s="43" t="s">
        <v>126</v>
      </c>
      <c r="C44" s="20"/>
      <c r="D44" s="20"/>
      <c r="E44" s="20"/>
      <c r="F44" s="21"/>
      <c r="G44" s="21"/>
      <c r="H44" s="21"/>
      <c r="I44" s="44"/>
    </row>
    <row r="45" spans="1:9" ht="12.95" customHeight="1">
      <c r="A45" s="3"/>
      <c r="B45" s="45" t="s">
        <v>129</v>
      </c>
      <c r="C45" s="22"/>
      <c r="D45" s="18"/>
      <c r="E45" s="22"/>
      <c r="F45" s="33">
        <v>2633.05</v>
      </c>
      <c r="G45" s="34">
        <v>0.22839999999999999</v>
      </c>
      <c r="H45" s="19"/>
      <c r="I45" s="42"/>
    </row>
    <row r="46" spans="1:9" ht="12.95" customHeight="1">
      <c r="A46" s="3"/>
      <c r="B46" s="45" t="s">
        <v>144</v>
      </c>
      <c r="C46" s="18"/>
      <c r="D46" s="18"/>
      <c r="E46" s="18"/>
      <c r="F46" s="19" t="s">
        <v>128</v>
      </c>
      <c r="G46" s="19" t="s">
        <v>128</v>
      </c>
      <c r="H46" s="19"/>
      <c r="I46" s="42"/>
    </row>
    <row r="47" spans="1:9" ht="12.95" customHeight="1">
      <c r="A47" s="3"/>
      <c r="B47" s="43"/>
      <c r="C47" s="20"/>
      <c r="D47" s="20"/>
      <c r="E47" s="20"/>
      <c r="F47" s="21"/>
      <c r="G47" s="21"/>
      <c r="H47" s="21"/>
      <c r="I47" s="44"/>
    </row>
    <row r="48" spans="1:9" ht="12.95" customHeight="1">
      <c r="A48" s="3"/>
      <c r="B48" s="45" t="s">
        <v>145</v>
      </c>
      <c r="C48" s="18"/>
      <c r="D48" s="18"/>
      <c r="E48" s="18"/>
      <c r="F48" s="19" t="s">
        <v>128</v>
      </c>
      <c r="G48" s="19" t="s">
        <v>128</v>
      </c>
      <c r="H48" s="19"/>
      <c r="I48" s="42"/>
    </row>
    <row r="49" spans="1:9" ht="12.95" customHeight="1">
      <c r="A49" s="3"/>
      <c r="B49" s="43"/>
      <c r="C49" s="20"/>
      <c r="D49" s="20"/>
      <c r="E49" s="20"/>
      <c r="F49" s="21"/>
      <c r="G49" s="21"/>
      <c r="H49" s="21"/>
      <c r="I49" s="44"/>
    </row>
    <row r="50" spans="1:9" ht="12.95" customHeight="1">
      <c r="A50" s="3"/>
      <c r="B50" s="45" t="s">
        <v>146</v>
      </c>
      <c r="C50" s="18"/>
      <c r="D50" s="18"/>
      <c r="E50" s="18"/>
      <c r="F50" s="19" t="s">
        <v>128</v>
      </c>
      <c r="G50" s="19" t="s">
        <v>128</v>
      </c>
      <c r="H50" s="19"/>
      <c r="I50" s="42"/>
    </row>
    <row r="51" spans="1:9" ht="12.95" customHeight="1">
      <c r="A51" s="3"/>
      <c r="B51" s="43"/>
      <c r="C51" s="20"/>
      <c r="D51" s="20"/>
      <c r="E51" s="20"/>
      <c r="F51" s="21"/>
      <c r="G51" s="21"/>
      <c r="H51" s="21"/>
      <c r="I51" s="44"/>
    </row>
    <row r="52" spans="1:9" ht="12.95" customHeight="1">
      <c r="A52" s="3"/>
      <c r="B52" s="45" t="s">
        <v>147</v>
      </c>
      <c r="C52" s="18"/>
      <c r="D52" s="18"/>
      <c r="E52" s="18"/>
      <c r="F52" s="19" t="s">
        <v>128</v>
      </c>
      <c r="G52" s="19" t="s">
        <v>128</v>
      </c>
      <c r="H52" s="19"/>
      <c r="I52" s="42"/>
    </row>
    <row r="53" spans="1:9" ht="12.95" customHeight="1">
      <c r="A53" s="3"/>
      <c r="B53" s="43"/>
      <c r="C53" s="20"/>
      <c r="D53" s="20"/>
      <c r="E53" s="20"/>
      <c r="F53" s="21"/>
      <c r="G53" s="21"/>
      <c r="H53" s="21"/>
      <c r="I53" s="44"/>
    </row>
    <row r="54" spans="1:9" ht="12.95" customHeight="1">
      <c r="A54" s="3"/>
      <c r="B54" s="45" t="s">
        <v>148</v>
      </c>
      <c r="C54" s="18"/>
      <c r="D54" s="18"/>
      <c r="E54" s="18"/>
      <c r="F54" s="19" t="s">
        <v>128</v>
      </c>
      <c r="G54" s="19" t="s">
        <v>128</v>
      </c>
      <c r="H54" s="19"/>
      <c r="I54" s="42"/>
    </row>
    <row r="55" spans="1:9" ht="12.95" customHeight="1">
      <c r="A55" s="3"/>
      <c r="B55" s="43"/>
      <c r="C55" s="20"/>
      <c r="D55" s="20"/>
      <c r="E55" s="20"/>
      <c r="F55" s="21"/>
      <c r="G55" s="21"/>
      <c r="H55" s="21"/>
      <c r="I55" s="44"/>
    </row>
    <row r="56" spans="1:9" ht="12.95" customHeight="1">
      <c r="A56" s="3"/>
      <c r="B56" s="45" t="s">
        <v>129</v>
      </c>
      <c r="C56" s="22"/>
      <c r="D56" s="22"/>
      <c r="E56" s="22"/>
      <c r="F56" s="23" t="s">
        <v>128</v>
      </c>
      <c r="G56" s="23" t="s">
        <v>128</v>
      </c>
      <c r="H56" s="23"/>
      <c r="I56" s="42"/>
    </row>
    <row r="57" spans="1:9" ht="12.95" customHeight="1">
      <c r="A57" s="17"/>
      <c r="B57" s="45"/>
      <c r="C57" s="22"/>
      <c r="D57" s="22"/>
      <c r="E57" s="22"/>
      <c r="F57" s="23"/>
      <c r="G57" s="23"/>
      <c r="H57" s="23"/>
      <c r="I57" s="42"/>
    </row>
    <row r="58" spans="1:9" ht="12.95" customHeight="1">
      <c r="A58" s="3"/>
      <c r="B58" s="43" t="s">
        <v>130</v>
      </c>
      <c r="C58" s="26"/>
      <c r="D58" s="26"/>
      <c r="E58" s="26"/>
      <c r="F58" s="26"/>
      <c r="G58" s="26"/>
      <c r="H58" s="27"/>
      <c r="I58" s="44"/>
    </row>
    <row r="59" spans="1:9" ht="12.95" customHeight="1">
      <c r="A59" s="10" t="s">
        <v>131</v>
      </c>
      <c r="B59" s="46" t="s">
        <v>132</v>
      </c>
      <c r="C59" s="26"/>
      <c r="D59" s="26"/>
      <c r="E59" s="29"/>
      <c r="F59" s="30">
        <v>4621.13</v>
      </c>
      <c r="G59" s="31">
        <v>0.40079999999999999</v>
      </c>
      <c r="H59" s="32"/>
      <c r="I59" s="47"/>
    </row>
    <row r="60" spans="1:9" ht="12.95" customHeight="1">
      <c r="A60" s="3"/>
      <c r="B60" s="43" t="s">
        <v>126</v>
      </c>
      <c r="C60" s="26"/>
      <c r="D60" s="26"/>
      <c r="E60" s="26"/>
      <c r="F60" s="33">
        <v>4621.13</v>
      </c>
      <c r="G60" s="34">
        <v>0.40079999999999999</v>
      </c>
      <c r="H60" s="19"/>
      <c r="I60" s="42"/>
    </row>
    <row r="61" spans="1:9" ht="12.95" customHeight="1">
      <c r="A61" s="3"/>
      <c r="B61" s="45" t="s">
        <v>129</v>
      </c>
      <c r="C61" s="22"/>
      <c r="D61" s="18"/>
      <c r="E61" s="22"/>
      <c r="F61" s="33">
        <v>4621.13</v>
      </c>
      <c r="G61" s="34">
        <v>0.40079999999999999</v>
      </c>
      <c r="H61" s="19"/>
      <c r="I61" s="42"/>
    </row>
    <row r="62" spans="1:9" ht="12.95" customHeight="1">
      <c r="A62" s="3"/>
      <c r="B62" s="45" t="s">
        <v>149</v>
      </c>
      <c r="C62" s="35"/>
      <c r="D62" s="18"/>
      <c r="E62" s="22"/>
      <c r="F62" s="36">
        <v>137.38</v>
      </c>
      <c r="G62" s="34">
        <v>1.1900000000000001E-2</v>
      </c>
      <c r="H62" s="19"/>
      <c r="I62" s="42"/>
    </row>
    <row r="63" spans="1:9" ht="12.95" customHeight="1" thickBot="1">
      <c r="A63" s="3"/>
      <c r="B63" s="49" t="s">
        <v>150</v>
      </c>
      <c r="C63" s="50"/>
      <c r="D63" s="50"/>
      <c r="E63" s="50"/>
      <c r="F63" s="51">
        <v>11528.57</v>
      </c>
      <c r="G63" s="52">
        <v>1</v>
      </c>
      <c r="H63" s="53"/>
      <c r="I63" s="54"/>
    </row>
    <row r="64" spans="1:9" ht="12.95" customHeight="1">
      <c r="A64" s="3"/>
      <c r="B64" s="118"/>
      <c r="C64" s="118"/>
      <c r="D64" s="118"/>
      <c r="E64" s="118"/>
      <c r="F64" s="118"/>
      <c r="G64" s="118"/>
      <c r="H64" s="118"/>
      <c r="I64" s="118"/>
    </row>
    <row r="65" spans="1:9" ht="12.95" customHeight="1">
      <c r="A65" s="3"/>
      <c r="B65" s="118"/>
      <c r="C65" s="118"/>
      <c r="D65" s="118"/>
      <c r="E65" s="118"/>
      <c r="F65" s="118"/>
      <c r="G65" s="118"/>
      <c r="H65" s="118"/>
      <c r="I65" s="118"/>
    </row>
    <row r="66" spans="1:9" ht="12.95" customHeight="1">
      <c r="A66" s="3"/>
      <c r="B66" s="118" t="s">
        <v>151</v>
      </c>
      <c r="C66" s="118"/>
      <c r="D66" s="118"/>
      <c r="E66" s="118"/>
      <c r="F66" s="118"/>
      <c r="G66" s="118"/>
      <c r="H66" s="118"/>
      <c r="I66" s="118"/>
    </row>
    <row r="67" spans="1:9" ht="12.95" customHeight="1">
      <c r="A67" s="3"/>
      <c r="B67" s="117" t="s">
        <v>152</v>
      </c>
      <c r="C67" s="117"/>
      <c r="D67" s="117"/>
      <c r="E67" s="117"/>
      <c r="F67" s="117"/>
      <c r="G67" s="117"/>
      <c r="H67" s="117"/>
      <c r="I67" s="117"/>
    </row>
    <row r="68" spans="1:9" ht="12.95" customHeight="1">
      <c r="A68" s="3"/>
      <c r="B68" s="117" t="s">
        <v>153</v>
      </c>
      <c r="C68" s="117"/>
      <c r="D68" s="117"/>
      <c r="E68" s="117"/>
      <c r="F68" s="117"/>
      <c r="G68" s="117"/>
      <c r="H68" s="117"/>
      <c r="I68" s="117"/>
    </row>
    <row r="69" spans="1:9" ht="12.95" customHeight="1">
      <c r="A69" s="3"/>
      <c r="B69" s="117" t="s">
        <v>154</v>
      </c>
      <c r="C69" s="117"/>
      <c r="D69" s="117"/>
      <c r="E69" s="117"/>
      <c r="F69" s="117"/>
      <c r="G69" s="117"/>
      <c r="H69" s="117"/>
      <c r="I69" s="117"/>
    </row>
    <row r="70" spans="1:9" ht="12.95" customHeight="1">
      <c r="A70" s="3"/>
      <c r="B70" s="117" t="s">
        <v>155</v>
      </c>
      <c r="C70" s="117"/>
      <c r="D70" s="117"/>
      <c r="E70" s="117"/>
      <c r="F70" s="117"/>
      <c r="G70" s="117"/>
      <c r="H70" s="117"/>
      <c r="I70" s="117"/>
    </row>
    <row r="71" spans="1:9" ht="12.95" customHeight="1">
      <c r="A71" s="3"/>
      <c r="B71" s="117" t="s">
        <v>156</v>
      </c>
      <c r="C71" s="117"/>
      <c r="D71" s="117"/>
      <c r="E71" s="117"/>
      <c r="F71" s="117"/>
      <c r="G71" s="117"/>
      <c r="H71" s="117"/>
      <c r="I71" s="117"/>
    </row>
    <row r="73" spans="1:9">
      <c r="B73" s="111" t="s">
        <v>715</v>
      </c>
    </row>
    <row r="82" spans="2:2">
      <c r="B82" s="112" t="s">
        <v>716</v>
      </c>
    </row>
    <row r="83" spans="2:2">
      <c r="B83" s="113" t="s">
        <v>733</v>
      </c>
    </row>
    <row r="92" spans="2:2">
      <c r="B92" s="115" t="s">
        <v>734</v>
      </c>
    </row>
    <row r="93" spans="2:2">
      <c r="B93" s="114" t="s">
        <v>720</v>
      </c>
    </row>
  </sheetData>
  <mergeCells count="8">
    <mergeCell ref="B69:I69"/>
    <mergeCell ref="B70:I70"/>
    <mergeCell ref="B71:I71"/>
    <mergeCell ref="B64:I64"/>
    <mergeCell ref="B65:I65"/>
    <mergeCell ref="B66:I66"/>
    <mergeCell ref="B67:I67"/>
    <mergeCell ref="B68:I68"/>
  </mergeCells>
  <pageMargins left="0" right="0" top="0" bottom="0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3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7" t="s">
        <v>36</v>
      </c>
      <c r="C6" s="38" t="s">
        <v>37</v>
      </c>
      <c r="D6" s="39" t="s">
        <v>38</v>
      </c>
      <c r="E6" s="39" t="s">
        <v>39</v>
      </c>
      <c r="F6" s="39" t="s">
        <v>40</v>
      </c>
      <c r="G6" s="39" t="s">
        <v>41</v>
      </c>
      <c r="H6" s="39" t="s">
        <v>42</v>
      </c>
      <c r="I6" s="40" t="s">
        <v>43</v>
      </c>
    </row>
    <row r="7" spans="1:9" ht="12.95" customHeight="1">
      <c r="A7" s="3"/>
      <c r="B7" s="43" t="s">
        <v>44</v>
      </c>
      <c r="C7" s="26"/>
      <c r="D7" s="26"/>
      <c r="E7" s="26"/>
      <c r="F7" s="26"/>
      <c r="G7" s="26"/>
      <c r="H7" s="27"/>
      <c r="I7" s="44"/>
    </row>
    <row r="8" spans="1:9" ht="12.95" customHeight="1">
      <c r="A8" s="3"/>
      <c r="B8" s="43" t="s">
        <v>45</v>
      </c>
      <c r="C8" s="26"/>
      <c r="D8" s="26"/>
      <c r="E8" s="26"/>
      <c r="F8" s="28"/>
      <c r="G8" s="27"/>
      <c r="H8" s="27"/>
      <c r="I8" s="44"/>
    </row>
    <row r="9" spans="1:9" ht="12.95" customHeight="1">
      <c r="A9" s="10" t="s">
        <v>73</v>
      </c>
      <c r="B9" s="46" t="s">
        <v>74</v>
      </c>
      <c r="C9" s="26" t="s">
        <v>75</v>
      </c>
      <c r="D9" s="26" t="s">
        <v>57</v>
      </c>
      <c r="E9" s="29">
        <v>124640</v>
      </c>
      <c r="F9" s="30">
        <v>1054.08</v>
      </c>
      <c r="G9" s="31">
        <v>7.3400000000000007E-2</v>
      </c>
      <c r="H9" s="56"/>
      <c r="I9" s="47"/>
    </row>
    <row r="10" spans="1:9" ht="12.95" customHeight="1">
      <c r="A10" s="10" t="s">
        <v>161</v>
      </c>
      <c r="B10" s="46" t="s">
        <v>162</v>
      </c>
      <c r="C10" s="26" t="s">
        <v>163</v>
      </c>
      <c r="D10" s="26" t="s">
        <v>164</v>
      </c>
      <c r="E10" s="29">
        <v>26742</v>
      </c>
      <c r="F10" s="30">
        <v>999.71</v>
      </c>
      <c r="G10" s="31">
        <v>6.9599999999999995E-2</v>
      </c>
      <c r="H10" s="56"/>
      <c r="I10" s="47"/>
    </row>
    <row r="11" spans="1:9" ht="12.95" customHeight="1">
      <c r="A11" s="10" t="s">
        <v>106</v>
      </c>
      <c r="B11" s="46" t="s">
        <v>107</v>
      </c>
      <c r="C11" s="26" t="s">
        <v>108</v>
      </c>
      <c r="D11" s="26" t="s">
        <v>68</v>
      </c>
      <c r="E11" s="29">
        <v>453000</v>
      </c>
      <c r="F11" s="30">
        <v>987.77</v>
      </c>
      <c r="G11" s="31">
        <v>6.88E-2</v>
      </c>
      <c r="H11" s="56"/>
      <c r="I11" s="47"/>
    </row>
    <row r="12" spans="1:9" ht="12.95" customHeight="1">
      <c r="A12" s="10" t="s">
        <v>80</v>
      </c>
      <c r="B12" s="46" t="s">
        <v>81</v>
      </c>
      <c r="C12" s="26" t="s">
        <v>82</v>
      </c>
      <c r="D12" s="26" t="s">
        <v>57</v>
      </c>
      <c r="E12" s="29">
        <v>101920</v>
      </c>
      <c r="F12" s="30">
        <v>969</v>
      </c>
      <c r="G12" s="31">
        <v>6.7500000000000004E-2</v>
      </c>
      <c r="H12" s="56"/>
      <c r="I12" s="47"/>
    </row>
    <row r="13" spans="1:9" ht="12.95" customHeight="1">
      <c r="A13" s="10" t="s">
        <v>215</v>
      </c>
      <c r="B13" s="46" t="s">
        <v>216</v>
      </c>
      <c r="C13" s="26" t="s">
        <v>217</v>
      </c>
      <c r="D13" s="26" t="s">
        <v>197</v>
      </c>
      <c r="E13" s="29">
        <v>35202</v>
      </c>
      <c r="F13" s="30">
        <v>912.4</v>
      </c>
      <c r="G13" s="31">
        <v>6.3500000000000001E-2</v>
      </c>
      <c r="H13" s="56"/>
      <c r="I13" s="47"/>
    </row>
    <row r="14" spans="1:9" ht="12.95" customHeight="1">
      <c r="A14" s="10" t="s">
        <v>168</v>
      </c>
      <c r="B14" s="46" t="s">
        <v>169</v>
      </c>
      <c r="C14" s="26" t="s">
        <v>170</v>
      </c>
      <c r="D14" s="26" t="s">
        <v>98</v>
      </c>
      <c r="E14" s="29">
        <v>55962</v>
      </c>
      <c r="F14" s="30">
        <v>827.9</v>
      </c>
      <c r="G14" s="31">
        <v>5.7599999999999998E-2</v>
      </c>
      <c r="H14" s="56"/>
      <c r="I14" s="47"/>
    </row>
    <row r="15" spans="1:9" ht="12.95" customHeight="1">
      <c r="A15" s="10" t="s">
        <v>344</v>
      </c>
      <c r="B15" s="46" t="s">
        <v>345</v>
      </c>
      <c r="C15" s="26" t="s">
        <v>346</v>
      </c>
      <c r="D15" s="26" t="s">
        <v>57</v>
      </c>
      <c r="E15" s="29">
        <v>79000</v>
      </c>
      <c r="F15" s="30">
        <v>714.67</v>
      </c>
      <c r="G15" s="31">
        <v>4.9700000000000001E-2</v>
      </c>
      <c r="H15" s="56"/>
      <c r="I15" s="47"/>
    </row>
    <row r="16" spans="1:9" ht="12.95" customHeight="1">
      <c r="A16" s="10" t="s">
        <v>320</v>
      </c>
      <c r="B16" s="46" t="s">
        <v>321</v>
      </c>
      <c r="C16" s="26" t="s">
        <v>322</v>
      </c>
      <c r="D16" s="26" t="s">
        <v>90</v>
      </c>
      <c r="E16" s="29">
        <v>180375</v>
      </c>
      <c r="F16" s="30">
        <v>695.26</v>
      </c>
      <c r="G16" s="31">
        <v>4.8399999999999999E-2</v>
      </c>
      <c r="H16" s="56"/>
      <c r="I16" s="47"/>
    </row>
    <row r="17" spans="1:9" ht="12.95" customHeight="1">
      <c r="A17" s="10" t="s">
        <v>225</v>
      </c>
      <c r="B17" s="46" t="s">
        <v>226</v>
      </c>
      <c r="C17" s="26" t="s">
        <v>227</v>
      </c>
      <c r="D17" s="26" t="s">
        <v>90</v>
      </c>
      <c r="E17" s="29">
        <v>611200</v>
      </c>
      <c r="F17" s="30">
        <v>681.49</v>
      </c>
      <c r="G17" s="31">
        <v>4.7399999999999998E-2</v>
      </c>
      <c r="H17" s="56"/>
      <c r="I17" s="47"/>
    </row>
    <row r="18" spans="1:9" ht="12.95" customHeight="1">
      <c r="A18" s="10" t="s">
        <v>341</v>
      </c>
      <c r="B18" s="46" t="s">
        <v>342</v>
      </c>
      <c r="C18" s="26" t="s">
        <v>343</v>
      </c>
      <c r="D18" s="26" t="s">
        <v>57</v>
      </c>
      <c r="E18" s="29">
        <v>84787</v>
      </c>
      <c r="F18" s="30">
        <v>679.91</v>
      </c>
      <c r="G18" s="31">
        <v>4.7300000000000002E-2</v>
      </c>
      <c r="H18" s="56"/>
      <c r="I18" s="47"/>
    </row>
    <row r="19" spans="1:9" ht="12.95" customHeight="1">
      <c r="A19" s="10" t="s">
        <v>291</v>
      </c>
      <c r="B19" s="46" t="s">
        <v>292</v>
      </c>
      <c r="C19" s="26" t="s">
        <v>293</v>
      </c>
      <c r="D19" s="26" t="s">
        <v>72</v>
      </c>
      <c r="E19" s="29">
        <v>68150</v>
      </c>
      <c r="F19" s="30">
        <v>668.11</v>
      </c>
      <c r="G19" s="31">
        <v>4.65E-2</v>
      </c>
      <c r="H19" s="56"/>
      <c r="I19" s="47"/>
    </row>
    <row r="20" spans="1:9" ht="12.95" customHeight="1">
      <c r="A20" s="10" t="s">
        <v>323</v>
      </c>
      <c r="B20" s="46" t="s">
        <v>324</v>
      </c>
      <c r="C20" s="26" t="s">
        <v>325</v>
      </c>
      <c r="D20" s="26" t="s">
        <v>326</v>
      </c>
      <c r="E20" s="29">
        <v>468750</v>
      </c>
      <c r="F20" s="30">
        <v>583.13</v>
      </c>
      <c r="G20" s="31">
        <v>4.0599999999999997E-2</v>
      </c>
      <c r="H20" s="56"/>
      <c r="I20" s="47"/>
    </row>
    <row r="21" spans="1:9" ht="12.95" customHeight="1">
      <c r="A21" s="10" t="s">
        <v>347</v>
      </c>
      <c r="B21" s="46" t="s">
        <v>348</v>
      </c>
      <c r="C21" s="26" t="s">
        <v>349</v>
      </c>
      <c r="D21" s="26" t="s">
        <v>333</v>
      </c>
      <c r="E21" s="29">
        <v>76112</v>
      </c>
      <c r="F21" s="30">
        <v>484.95</v>
      </c>
      <c r="G21" s="31">
        <v>3.3799999999999997E-2</v>
      </c>
      <c r="H21" s="56"/>
      <c r="I21" s="47"/>
    </row>
    <row r="22" spans="1:9" ht="12.95" customHeight="1">
      <c r="A22" s="10" t="s">
        <v>469</v>
      </c>
      <c r="B22" s="46" t="s">
        <v>470</v>
      </c>
      <c r="C22" s="26" t="s">
        <v>471</v>
      </c>
      <c r="D22" s="26" t="s">
        <v>207</v>
      </c>
      <c r="E22" s="29">
        <v>26244</v>
      </c>
      <c r="F22" s="30">
        <v>462.35</v>
      </c>
      <c r="G22" s="31">
        <v>3.2199999999999999E-2</v>
      </c>
      <c r="H22" s="56"/>
      <c r="I22" s="47"/>
    </row>
    <row r="23" spans="1:9" ht="12.95" customHeight="1">
      <c r="A23" s="10" t="s">
        <v>418</v>
      </c>
      <c r="B23" s="46" t="s">
        <v>419</v>
      </c>
      <c r="C23" s="26" t="s">
        <v>420</v>
      </c>
      <c r="D23" s="26" t="s">
        <v>57</v>
      </c>
      <c r="E23" s="29">
        <v>419461</v>
      </c>
      <c r="F23" s="30">
        <v>446.73</v>
      </c>
      <c r="G23" s="31">
        <v>3.1099999999999999E-2</v>
      </c>
      <c r="H23" s="56"/>
      <c r="I23" s="47"/>
    </row>
    <row r="24" spans="1:9" ht="12.95" customHeight="1">
      <c r="A24" s="10" t="s">
        <v>655</v>
      </c>
      <c r="B24" s="46" t="s">
        <v>656</v>
      </c>
      <c r="C24" s="26" t="s">
        <v>657</v>
      </c>
      <c r="D24" s="26" t="s">
        <v>68</v>
      </c>
      <c r="E24" s="29">
        <v>75000</v>
      </c>
      <c r="F24" s="30">
        <v>435.04</v>
      </c>
      <c r="G24" s="31">
        <v>3.0300000000000001E-2</v>
      </c>
      <c r="H24" s="56"/>
      <c r="I24" s="47"/>
    </row>
    <row r="25" spans="1:9" ht="12.95" customHeight="1">
      <c r="A25" s="10" t="s">
        <v>387</v>
      </c>
      <c r="B25" s="46" t="s">
        <v>388</v>
      </c>
      <c r="C25" s="26" t="s">
        <v>389</v>
      </c>
      <c r="D25" s="26" t="s">
        <v>390</v>
      </c>
      <c r="E25" s="29">
        <v>175000</v>
      </c>
      <c r="F25" s="30">
        <v>360.59</v>
      </c>
      <c r="G25" s="31">
        <v>2.5100000000000001E-2</v>
      </c>
      <c r="H25" s="56"/>
      <c r="I25" s="47"/>
    </row>
    <row r="26" spans="1:9" ht="12.95" customHeight="1">
      <c r="A26" s="10" t="s">
        <v>381</v>
      </c>
      <c r="B26" s="46" t="s">
        <v>382</v>
      </c>
      <c r="C26" s="26" t="s">
        <v>383</v>
      </c>
      <c r="D26" s="26" t="s">
        <v>207</v>
      </c>
      <c r="E26" s="29">
        <v>7600</v>
      </c>
      <c r="F26" s="30">
        <v>150.13</v>
      </c>
      <c r="G26" s="31">
        <v>1.0500000000000001E-2</v>
      </c>
      <c r="H26" s="56"/>
      <c r="I26" s="47"/>
    </row>
    <row r="27" spans="1:9" ht="12.95" customHeight="1">
      <c r="A27" s="10" t="s">
        <v>658</v>
      </c>
      <c r="B27" s="46" t="s">
        <v>659</v>
      </c>
      <c r="C27" s="26" t="s">
        <v>660</v>
      </c>
      <c r="D27" s="26" t="s">
        <v>490</v>
      </c>
      <c r="E27" s="29">
        <v>62375</v>
      </c>
      <c r="F27" s="30">
        <v>134.97999999999999</v>
      </c>
      <c r="G27" s="31">
        <v>9.4000000000000004E-3</v>
      </c>
      <c r="H27" s="56"/>
      <c r="I27" s="47"/>
    </row>
    <row r="28" spans="1:9" ht="12.95" customHeight="1">
      <c r="A28" s="10" t="s">
        <v>353</v>
      </c>
      <c r="B28" s="46" t="s">
        <v>354</v>
      </c>
      <c r="C28" s="26" t="s">
        <v>355</v>
      </c>
      <c r="D28" s="26" t="s">
        <v>207</v>
      </c>
      <c r="E28" s="29">
        <v>40000</v>
      </c>
      <c r="F28" s="30">
        <v>88.66</v>
      </c>
      <c r="G28" s="31">
        <v>6.1999999999999998E-3</v>
      </c>
      <c r="H28" s="56"/>
      <c r="I28" s="47"/>
    </row>
    <row r="29" spans="1:9" ht="12.95" customHeight="1">
      <c r="A29" s="3"/>
      <c r="B29" s="43" t="s">
        <v>126</v>
      </c>
      <c r="C29" s="26"/>
      <c r="D29" s="26"/>
      <c r="E29" s="26"/>
      <c r="F29" s="33">
        <v>12336.86</v>
      </c>
      <c r="G29" s="34">
        <v>0.8589</v>
      </c>
      <c r="H29" s="19"/>
      <c r="I29" s="42"/>
    </row>
    <row r="30" spans="1:9" ht="12.95" customHeight="1">
      <c r="A30" s="3"/>
      <c r="B30" s="45" t="s">
        <v>127</v>
      </c>
      <c r="C30" s="18"/>
      <c r="D30" s="18"/>
      <c r="E30" s="18"/>
      <c r="F30" s="19" t="s">
        <v>128</v>
      </c>
      <c r="G30" s="19" t="s">
        <v>128</v>
      </c>
      <c r="H30" s="19"/>
      <c r="I30" s="42"/>
    </row>
    <row r="31" spans="1:9" ht="12.95" customHeight="1">
      <c r="A31" s="3"/>
      <c r="B31" s="45" t="s">
        <v>126</v>
      </c>
      <c r="C31" s="18"/>
      <c r="D31" s="18"/>
      <c r="E31" s="18"/>
      <c r="F31" s="19" t="s">
        <v>128</v>
      </c>
      <c r="G31" s="19" t="s">
        <v>128</v>
      </c>
      <c r="H31" s="19"/>
      <c r="I31" s="42"/>
    </row>
    <row r="32" spans="1:9" ht="12.95" customHeight="1">
      <c r="A32" s="3"/>
      <c r="B32" s="45" t="s">
        <v>129</v>
      </c>
      <c r="C32" s="22"/>
      <c r="D32" s="18"/>
      <c r="E32" s="22"/>
      <c r="F32" s="33">
        <v>12336.86</v>
      </c>
      <c r="G32" s="34">
        <v>0.8589</v>
      </c>
      <c r="H32" s="19"/>
      <c r="I32" s="42"/>
    </row>
    <row r="33" spans="1:9" ht="12.95" customHeight="1">
      <c r="A33" s="3"/>
      <c r="B33" s="41" t="s">
        <v>133</v>
      </c>
      <c r="C33" s="20"/>
      <c r="D33" s="20"/>
      <c r="E33" s="20"/>
      <c r="F33" s="21"/>
      <c r="G33" s="21"/>
      <c r="H33" s="21"/>
      <c r="I33" s="44"/>
    </row>
    <row r="34" spans="1:9" ht="12.95" customHeight="1">
      <c r="A34" s="3"/>
      <c r="B34" s="43"/>
      <c r="C34" s="20"/>
      <c r="D34" s="20"/>
      <c r="E34" s="20"/>
      <c r="F34" s="21"/>
      <c r="G34" s="21"/>
      <c r="H34" s="21"/>
      <c r="I34" s="44"/>
    </row>
    <row r="35" spans="1:9" ht="12.95" customHeight="1">
      <c r="A35" s="3"/>
      <c r="B35" s="45" t="s">
        <v>134</v>
      </c>
      <c r="C35" s="18"/>
      <c r="D35" s="18"/>
      <c r="E35" s="18"/>
      <c r="F35" s="19" t="s">
        <v>128</v>
      </c>
      <c r="G35" s="19" t="s">
        <v>128</v>
      </c>
      <c r="H35" s="19"/>
      <c r="I35" s="42"/>
    </row>
    <row r="36" spans="1:9" ht="12.95" customHeight="1">
      <c r="A36" s="3"/>
      <c r="B36" s="43"/>
      <c r="C36" s="20"/>
      <c r="D36" s="20"/>
      <c r="E36" s="20"/>
      <c r="F36" s="21"/>
      <c r="G36" s="21"/>
      <c r="H36" s="21"/>
      <c r="I36" s="44"/>
    </row>
    <row r="37" spans="1:9" ht="12.95" customHeight="1">
      <c r="A37" s="3"/>
      <c r="B37" s="45" t="s">
        <v>135</v>
      </c>
      <c r="C37" s="18"/>
      <c r="D37" s="18"/>
      <c r="E37" s="18"/>
      <c r="F37" s="19" t="s">
        <v>128</v>
      </c>
      <c r="G37" s="19" t="s">
        <v>128</v>
      </c>
      <c r="H37" s="19"/>
      <c r="I37" s="42"/>
    </row>
    <row r="38" spans="1:9" ht="12.95" customHeight="1">
      <c r="A38" s="3"/>
      <c r="B38" s="43"/>
      <c r="C38" s="20"/>
      <c r="D38" s="20"/>
      <c r="E38" s="20"/>
      <c r="F38" s="21"/>
      <c r="G38" s="21"/>
      <c r="H38" s="21"/>
      <c r="I38" s="44"/>
    </row>
    <row r="39" spans="1:9" ht="12.95" customHeight="1">
      <c r="A39" s="3"/>
      <c r="B39" s="45" t="s">
        <v>136</v>
      </c>
      <c r="C39" s="18"/>
      <c r="D39" s="18"/>
      <c r="E39" s="18"/>
      <c r="F39" s="19" t="s">
        <v>128</v>
      </c>
      <c r="G39" s="19" t="s">
        <v>128</v>
      </c>
      <c r="H39" s="19"/>
      <c r="I39" s="42"/>
    </row>
    <row r="40" spans="1:9" ht="12.95" customHeight="1">
      <c r="A40" s="3"/>
      <c r="B40" s="43"/>
      <c r="C40" s="20"/>
      <c r="D40" s="20"/>
      <c r="E40" s="20"/>
      <c r="F40" s="21"/>
      <c r="G40" s="21"/>
      <c r="H40" s="21"/>
      <c r="I40" s="44"/>
    </row>
    <row r="41" spans="1:9" ht="12.95" customHeight="1">
      <c r="A41" s="3"/>
      <c r="B41" s="45" t="s">
        <v>137</v>
      </c>
      <c r="C41" s="18"/>
      <c r="D41" s="18"/>
      <c r="E41" s="18"/>
      <c r="F41" s="19" t="s">
        <v>128</v>
      </c>
      <c r="G41" s="19" t="s">
        <v>128</v>
      </c>
      <c r="H41" s="19"/>
      <c r="I41" s="42"/>
    </row>
    <row r="42" spans="1:9" ht="12.95" customHeight="1">
      <c r="A42" s="3"/>
      <c r="B42" s="43"/>
      <c r="C42" s="20"/>
      <c r="D42" s="20"/>
      <c r="E42" s="20"/>
      <c r="F42" s="21"/>
      <c r="G42" s="21"/>
      <c r="H42" s="21"/>
      <c r="I42" s="44"/>
    </row>
    <row r="43" spans="1:9" ht="12.95" customHeight="1">
      <c r="A43" s="3"/>
      <c r="B43" s="45" t="s">
        <v>138</v>
      </c>
      <c r="C43" s="22"/>
      <c r="D43" s="22"/>
      <c r="E43" s="22"/>
      <c r="F43" s="23" t="s">
        <v>128</v>
      </c>
      <c r="G43" s="23" t="s">
        <v>128</v>
      </c>
      <c r="H43" s="23"/>
      <c r="I43" s="42"/>
    </row>
    <row r="44" spans="1:9" ht="12.95" customHeight="1">
      <c r="A44" s="3"/>
      <c r="B44" s="43"/>
      <c r="C44" s="20"/>
      <c r="D44" s="20"/>
      <c r="E44" s="20"/>
      <c r="F44" s="21"/>
      <c r="G44" s="21"/>
      <c r="H44" s="21"/>
      <c r="I44" s="44"/>
    </row>
    <row r="45" spans="1:9" ht="12.95" customHeight="1">
      <c r="A45" s="3"/>
      <c r="B45" s="45" t="s">
        <v>129</v>
      </c>
      <c r="C45" s="24"/>
      <c r="D45" s="24"/>
      <c r="E45" s="24"/>
      <c r="F45" s="25" t="s">
        <v>128</v>
      </c>
      <c r="G45" s="25" t="s">
        <v>128</v>
      </c>
      <c r="H45" s="25"/>
      <c r="I45" s="42"/>
    </row>
    <row r="46" spans="1:9" ht="12.95" customHeight="1">
      <c r="A46" s="3"/>
      <c r="B46" s="45" t="s">
        <v>139</v>
      </c>
      <c r="C46" s="18"/>
      <c r="D46" s="18"/>
      <c r="E46" s="18"/>
      <c r="F46" s="19" t="s">
        <v>128</v>
      </c>
      <c r="G46" s="19" t="s">
        <v>128</v>
      </c>
      <c r="H46" s="19"/>
      <c r="I46" s="42"/>
    </row>
    <row r="47" spans="1:9" ht="12.95" customHeight="1">
      <c r="A47" s="3"/>
      <c r="B47" s="43"/>
      <c r="C47" s="20"/>
      <c r="D47" s="20"/>
      <c r="E47" s="20"/>
      <c r="F47" s="21"/>
      <c r="G47" s="21"/>
      <c r="H47" s="21"/>
      <c r="I47" s="44"/>
    </row>
    <row r="48" spans="1:9" ht="12.95" customHeight="1">
      <c r="A48" s="3"/>
      <c r="B48" s="45" t="s">
        <v>140</v>
      </c>
      <c r="C48" s="18"/>
      <c r="D48" s="18"/>
      <c r="E48" s="18"/>
      <c r="F48" s="19" t="s">
        <v>128</v>
      </c>
      <c r="G48" s="19" t="s">
        <v>128</v>
      </c>
      <c r="H48" s="19"/>
      <c r="I48" s="42"/>
    </row>
    <row r="49" spans="1:9" ht="12.95" customHeight="1">
      <c r="A49" s="3"/>
      <c r="B49" s="43"/>
      <c r="C49" s="20"/>
      <c r="D49" s="20"/>
      <c r="E49" s="20"/>
      <c r="F49" s="21"/>
      <c r="G49" s="21"/>
      <c r="H49" s="21"/>
      <c r="I49" s="44"/>
    </row>
    <row r="50" spans="1:9" ht="12.95" customHeight="1">
      <c r="A50" s="3"/>
      <c r="B50" s="45" t="s">
        <v>141</v>
      </c>
      <c r="C50" s="18"/>
      <c r="D50" s="18"/>
      <c r="E50" s="18"/>
      <c r="F50" s="19" t="s">
        <v>128</v>
      </c>
      <c r="G50" s="19" t="s">
        <v>128</v>
      </c>
      <c r="H50" s="19"/>
      <c r="I50" s="42"/>
    </row>
    <row r="51" spans="1:9" ht="12.95" customHeight="1">
      <c r="A51" s="3"/>
      <c r="B51" s="43"/>
      <c r="C51" s="20"/>
      <c r="D51" s="20"/>
      <c r="E51" s="20"/>
      <c r="F51" s="21"/>
      <c r="G51" s="21"/>
      <c r="H51" s="21"/>
      <c r="I51" s="44"/>
    </row>
    <row r="52" spans="1:9" ht="12.95" customHeight="1">
      <c r="A52" s="3"/>
      <c r="B52" s="45" t="s">
        <v>142</v>
      </c>
      <c r="C52" s="18"/>
      <c r="D52" s="18"/>
      <c r="E52" s="18"/>
      <c r="F52" s="19" t="s">
        <v>128</v>
      </c>
      <c r="G52" s="19" t="s">
        <v>128</v>
      </c>
      <c r="H52" s="19"/>
      <c r="I52" s="42"/>
    </row>
    <row r="53" spans="1:9" ht="12.95" customHeight="1">
      <c r="A53" s="3"/>
      <c r="B53" s="43"/>
      <c r="C53" s="20"/>
      <c r="D53" s="20"/>
      <c r="E53" s="20"/>
      <c r="F53" s="21"/>
      <c r="G53" s="21"/>
      <c r="H53" s="21"/>
      <c r="I53" s="44"/>
    </row>
    <row r="54" spans="1:9" ht="12.95" customHeight="1">
      <c r="A54" s="3"/>
      <c r="B54" s="45" t="s">
        <v>143</v>
      </c>
      <c r="C54" s="22"/>
      <c r="D54" s="22"/>
      <c r="E54" s="22"/>
      <c r="F54" s="23" t="s">
        <v>128</v>
      </c>
      <c r="G54" s="23" t="s">
        <v>128</v>
      </c>
      <c r="H54" s="23"/>
      <c r="I54" s="42"/>
    </row>
    <row r="55" spans="1:9" ht="12.95" customHeight="1">
      <c r="A55" s="3"/>
      <c r="B55" s="43"/>
      <c r="C55" s="20"/>
      <c r="D55" s="20"/>
      <c r="E55" s="20"/>
      <c r="F55" s="21"/>
      <c r="G55" s="21"/>
      <c r="H55" s="21"/>
      <c r="I55" s="44"/>
    </row>
    <row r="56" spans="1:9" ht="12.95" customHeight="1">
      <c r="A56" s="3"/>
      <c r="B56" s="45" t="s">
        <v>129</v>
      </c>
      <c r="C56" s="24"/>
      <c r="D56" s="24"/>
      <c r="E56" s="24"/>
      <c r="F56" s="25" t="s">
        <v>128</v>
      </c>
      <c r="G56" s="25" t="s">
        <v>128</v>
      </c>
      <c r="H56" s="25"/>
      <c r="I56" s="42"/>
    </row>
    <row r="57" spans="1:9" ht="12.95" customHeight="1">
      <c r="A57" s="3"/>
      <c r="B57" s="45" t="s">
        <v>144</v>
      </c>
      <c r="C57" s="18"/>
      <c r="D57" s="18"/>
      <c r="E57" s="18"/>
      <c r="F57" s="19" t="s">
        <v>128</v>
      </c>
      <c r="G57" s="19" t="s">
        <v>128</v>
      </c>
      <c r="H57" s="19"/>
      <c r="I57" s="42"/>
    </row>
    <row r="58" spans="1:9" ht="12.95" customHeight="1">
      <c r="A58" s="3"/>
      <c r="B58" s="43"/>
      <c r="C58" s="20"/>
      <c r="D58" s="20"/>
      <c r="E58" s="20"/>
      <c r="F58" s="21"/>
      <c r="G58" s="21"/>
      <c r="H58" s="21"/>
      <c r="I58" s="44"/>
    </row>
    <row r="59" spans="1:9" ht="12.95" customHeight="1">
      <c r="A59" s="3"/>
      <c r="B59" s="45" t="s">
        <v>145</v>
      </c>
      <c r="C59" s="18"/>
      <c r="D59" s="18"/>
      <c r="E59" s="18"/>
      <c r="F59" s="19" t="s">
        <v>128</v>
      </c>
      <c r="G59" s="19" t="s">
        <v>128</v>
      </c>
      <c r="H59" s="19"/>
      <c r="I59" s="42"/>
    </row>
    <row r="60" spans="1:9" ht="12.95" customHeight="1">
      <c r="A60" s="3"/>
      <c r="B60" s="43"/>
      <c r="C60" s="20"/>
      <c r="D60" s="20"/>
      <c r="E60" s="20"/>
      <c r="F60" s="21"/>
      <c r="G60" s="21"/>
      <c r="H60" s="21"/>
      <c r="I60" s="44"/>
    </row>
    <row r="61" spans="1:9" ht="12.95" customHeight="1">
      <c r="A61" s="3"/>
      <c r="B61" s="45" t="s">
        <v>146</v>
      </c>
      <c r="C61" s="18"/>
      <c r="D61" s="18"/>
      <c r="E61" s="18"/>
      <c r="F61" s="19" t="s">
        <v>128</v>
      </c>
      <c r="G61" s="19" t="s">
        <v>128</v>
      </c>
      <c r="H61" s="19"/>
      <c r="I61" s="42"/>
    </row>
    <row r="62" spans="1:9" ht="12.95" customHeight="1">
      <c r="A62" s="3"/>
      <c r="B62" s="43"/>
      <c r="C62" s="20"/>
      <c r="D62" s="20"/>
      <c r="E62" s="20"/>
      <c r="F62" s="21"/>
      <c r="G62" s="21"/>
      <c r="H62" s="21"/>
      <c r="I62" s="44"/>
    </row>
    <row r="63" spans="1:9" ht="12.95" customHeight="1">
      <c r="A63" s="3"/>
      <c r="B63" s="45" t="s">
        <v>147</v>
      </c>
      <c r="C63" s="18"/>
      <c r="D63" s="18"/>
      <c r="E63" s="18"/>
      <c r="F63" s="19" t="s">
        <v>128</v>
      </c>
      <c r="G63" s="19" t="s">
        <v>128</v>
      </c>
      <c r="H63" s="19"/>
      <c r="I63" s="42"/>
    </row>
    <row r="64" spans="1:9" ht="12.95" customHeight="1">
      <c r="A64" s="3"/>
      <c r="B64" s="43"/>
      <c r="C64" s="20"/>
      <c r="D64" s="20"/>
      <c r="E64" s="20"/>
      <c r="F64" s="21"/>
      <c r="G64" s="21"/>
      <c r="H64" s="21"/>
      <c r="I64" s="44"/>
    </row>
    <row r="65" spans="1:9" ht="12.95" customHeight="1">
      <c r="A65" s="3"/>
      <c r="B65" s="45" t="s">
        <v>148</v>
      </c>
      <c r="C65" s="18"/>
      <c r="D65" s="18"/>
      <c r="E65" s="18"/>
      <c r="F65" s="19" t="s">
        <v>128</v>
      </c>
      <c r="G65" s="19" t="s">
        <v>128</v>
      </c>
      <c r="H65" s="19"/>
      <c r="I65" s="42"/>
    </row>
    <row r="66" spans="1:9" ht="12.95" customHeight="1">
      <c r="A66" s="3"/>
      <c r="B66" s="43"/>
      <c r="C66" s="20"/>
      <c r="D66" s="20"/>
      <c r="E66" s="20"/>
      <c r="F66" s="21"/>
      <c r="G66" s="21"/>
      <c r="H66" s="21"/>
      <c r="I66" s="44"/>
    </row>
    <row r="67" spans="1:9" ht="12.95" customHeight="1">
      <c r="A67" s="3"/>
      <c r="B67" s="45" t="s">
        <v>129</v>
      </c>
      <c r="C67" s="22"/>
      <c r="D67" s="22"/>
      <c r="E67" s="22"/>
      <c r="F67" s="23" t="s">
        <v>128</v>
      </c>
      <c r="G67" s="23" t="s">
        <v>128</v>
      </c>
      <c r="H67" s="23"/>
      <c r="I67" s="42"/>
    </row>
    <row r="68" spans="1:9" ht="12.95" customHeight="1">
      <c r="A68" s="17"/>
      <c r="B68" s="45"/>
      <c r="C68" s="22"/>
      <c r="D68" s="22"/>
      <c r="E68" s="22"/>
      <c r="F68" s="23"/>
      <c r="G68" s="23"/>
      <c r="H68" s="23"/>
      <c r="I68" s="42"/>
    </row>
    <row r="69" spans="1:9" ht="12.95" customHeight="1">
      <c r="A69" s="3"/>
      <c r="B69" s="43" t="s">
        <v>130</v>
      </c>
      <c r="C69" s="26"/>
      <c r="D69" s="26"/>
      <c r="E69" s="26"/>
      <c r="F69" s="26"/>
      <c r="G69" s="26"/>
      <c r="H69" s="27"/>
      <c r="I69" s="44"/>
    </row>
    <row r="70" spans="1:9" ht="12.95" customHeight="1">
      <c r="A70" s="10" t="s">
        <v>131</v>
      </c>
      <c r="B70" s="46" t="s">
        <v>132</v>
      </c>
      <c r="C70" s="26"/>
      <c r="D70" s="26"/>
      <c r="E70" s="29"/>
      <c r="F70" s="30">
        <v>1829.66</v>
      </c>
      <c r="G70" s="31">
        <v>0.12740000000000001</v>
      </c>
      <c r="H70" s="56"/>
      <c r="I70" s="47"/>
    </row>
    <row r="71" spans="1:9" ht="12.95" customHeight="1">
      <c r="A71" s="3"/>
      <c r="B71" s="43" t="s">
        <v>126</v>
      </c>
      <c r="C71" s="26"/>
      <c r="D71" s="26"/>
      <c r="E71" s="26"/>
      <c r="F71" s="33">
        <v>1829.66</v>
      </c>
      <c r="G71" s="34">
        <v>0.12740000000000001</v>
      </c>
      <c r="H71" s="19"/>
      <c r="I71" s="42"/>
    </row>
    <row r="72" spans="1:9" ht="12.95" customHeight="1">
      <c r="A72" s="3"/>
      <c r="B72" s="45" t="s">
        <v>129</v>
      </c>
      <c r="C72" s="22"/>
      <c r="D72" s="18"/>
      <c r="E72" s="22"/>
      <c r="F72" s="33">
        <v>1829.66</v>
      </c>
      <c r="G72" s="34">
        <v>0.12740000000000001</v>
      </c>
      <c r="H72" s="19"/>
      <c r="I72" s="42"/>
    </row>
    <row r="73" spans="1:9" ht="12.95" customHeight="1">
      <c r="A73" s="3"/>
      <c r="B73" s="45" t="s">
        <v>149</v>
      </c>
      <c r="C73" s="35"/>
      <c r="D73" s="18"/>
      <c r="E73" s="22"/>
      <c r="F73" s="36">
        <v>199.38</v>
      </c>
      <c r="G73" s="34">
        <v>1.37E-2</v>
      </c>
      <c r="H73" s="19"/>
      <c r="I73" s="42"/>
    </row>
    <row r="74" spans="1:9" ht="12.95" customHeight="1" thickBot="1">
      <c r="A74" s="3"/>
      <c r="B74" s="49" t="s">
        <v>150</v>
      </c>
      <c r="C74" s="50"/>
      <c r="D74" s="50"/>
      <c r="E74" s="50"/>
      <c r="F74" s="51">
        <v>14365.9</v>
      </c>
      <c r="G74" s="52">
        <v>1</v>
      </c>
      <c r="H74" s="53"/>
      <c r="I74" s="54"/>
    </row>
    <row r="75" spans="1:9" ht="12.95" customHeight="1">
      <c r="A75" s="3"/>
      <c r="B75" s="118"/>
      <c r="C75" s="118"/>
      <c r="D75" s="118"/>
      <c r="E75" s="118"/>
      <c r="F75" s="118"/>
      <c r="G75" s="118"/>
      <c r="H75" s="118"/>
      <c r="I75" s="118"/>
    </row>
    <row r="76" spans="1:9" ht="12.95" customHeight="1">
      <c r="A76" s="3"/>
      <c r="B76" s="118"/>
      <c r="C76" s="118"/>
      <c r="D76" s="118"/>
      <c r="E76" s="118"/>
      <c r="F76" s="118"/>
      <c r="G76" s="118"/>
      <c r="H76" s="118"/>
      <c r="I76" s="118"/>
    </row>
    <row r="77" spans="1:9" ht="12.95" customHeight="1">
      <c r="A77" s="3"/>
      <c r="B77" s="118" t="s">
        <v>151</v>
      </c>
      <c r="C77" s="118"/>
      <c r="D77" s="118"/>
      <c r="E77" s="118"/>
      <c r="F77" s="118"/>
      <c r="G77" s="118"/>
      <c r="H77" s="118"/>
      <c r="I77" s="118"/>
    </row>
    <row r="78" spans="1:9" ht="12.95" customHeight="1">
      <c r="A78" s="3"/>
      <c r="B78" s="117" t="s">
        <v>152</v>
      </c>
      <c r="C78" s="117"/>
      <c r="D78" s="117"/>
      <c r="E78" s="117"/>
      <c r="F78" s="117"/>
      <c r="G78" s="117"/>
      <c r="H78" s="117"/>
      <c r="I78" s="117"/>
    </row>
    <row r="79" spans="1:9" ht="12.95" customHeight="1">
      <c r="A79" s="3"/>
      <c r="B79" s="117" t="s">
        <v>153</v>
      </c>
      <c r="C79" s="117"/>
      <c r="D79" s="117"/>
      <c r="E79" s="117"/>
      <c r="F79" s="117"/>
      <c r="G79" s="117"/>
      <c r="H79" s="117"/>
      <c r="I79" s="117"/>
    </row>
    <row r="80" spans="1:9" ht="12.95" customHeight="1">
      <c r="A80" s="3"/>
      <c r="B80" s="117" t="s">
        <v>154</v>
      </c>
      <c r="C80" s="117"/>
      <c r="D80" s="117"/>
      <c r="E80" s="117"/>
      <c r="F80" s="117"/>
      <c r="G80" s="117"/>
      <c r="H80" s="117"/>
      <c r="I80" s="117"/>
    </row>
    <row r="81" spans="1:9" ht="12.95" customHeight="1">
      <c r="A81" s="3"/>
      <c r="B81" s="117" t="s">
        <v>155</v>
      </c>
      <c r="C81" s="117"/>
      <c r="D81" s="117"/>
      <c r="E81" s="117"/>
      <c r="F81" s="117"/>
      <c r="G81" s="117"/>
      <c r="H81" s="117"/>
      <c r="I81" s="117"/>
    </row>
    <row r="82" spans="1:9" ht="12.95" customHeight="1">
      <c r="A82" s="3"/>
      <c r="B82" s="117" t="s">
        <v>156</v>
      </c>
      <c r="C82" s="117"/>
      <c r="D82" s="117"/>
      <c r="E82" s="117"/>
      <c r="F82" s="117"/>
      <c r="G82" s="117"/>
      <c r="H82" s="117"/>
      <c r="I82" s="117"/>
    </row>
    <row r="84" spans="1:9">
      <c r="B84" s="95" t="s">
        <v>715</v>
      </c>
    </row>
    <row r="93" spans="1:9">
      <c r="B93" t="s">
        <v>716</v>
      </c>
    </row>
    <row r="94" spans="1:9" ht="15.75">
      <c r="B94" s="96" t="s">
        <v>735</v>
      </c>
    </row>
    <row r="103" spans="2:2">
      <c r="B103" s="115" t="s">
        <v>734</v>
      </c>
    </row>
  </sheetData>
  <mergeCells count="8">
    <mergeCell ref="B80:I80"/>
    <mergeCell ref="B81:I81"/>
    <mergeCell ref="B82:I82"/>
    <mergeCell ref="B75:I75"/>
    <mergeCell ref="B76:I76"/>
    <mergeCell ref="B77:I77"/>
    <mergeCell ref="B78:I78"/>
    <mergeCell ref="B79:I79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Index</vt:lpstr>
      <vt:lpstr>ITIAF</vt:lpstr>
      <vt:lpstr>ITIBAF</vt:lpstr>
      <vt:lpstr>ITIBFS</vt:lpstr>
      <vt:lpstr>ITIBPSU</vt:lpstr>
      <vt:lpstr>ITIDYBF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2022-01-07T12:34:32Z</dcterms:created>
  <dcterms:modified xsi:type="dcterms:W3CDTF">2022-01-07T14:04:37Z</dcterms:modified>
</cp:coreProperties>
</file>