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CD028A54-FC03-4EFB-8200-ECC72EA61E36}" xr6:coauthVersionLast="47" xr6:coauthVersionMax="47" xr10:uidLastSave="{00000000-0000-0000-0000-000000000000}"/>
  <bookViews>
    <workbookView xWindow="0" yWindow="820" windowWidth="19200" windowHeight="11180" xr2:uid="{A388EBD7-A104-47E7-B112-FCBD1D29853A}"/>
  </bookViews>
  <sheets>
    <sheet name="Contra Fund" sheetId="1" r:id="rId1"/>
    <sheet name="RCF" sheetId="2" r:id="rId2"/>
  </sheets>
  <definedNames>
    <definedName name="JR_PAGE_ANCHOR_0_18">'Contra Fund'!$A$1</definedName>
    <definedName name="JR_PAGE_ANCHOR_0_24">RCF!$A$1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F99" i="1"/>
</calcChain>
</file>

<file path=xl/sharedStrings.xml><?xml version="1.0" encoding="utf-8"?>
<sst xmlns="http://schemas.openxmlformats.org/spreadsheetml/2006/main" count="465" uniqueCount="369">
  <si>
    <t>RCF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</si>
  <si>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</si>
  <si>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</si>
  <si>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Contra Fund
(An open ended equity scheme following contrarian investment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</si>
  <si>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</si>
  <si>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</si>
  <si>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</si>
  <si>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</si>
  <si>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</si>
  <si>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</si>
  <si>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</si>
  <si>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</si>
  <si>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</si>
  <si>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</si>
  <si>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</si>
  <si>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</si>
  <si>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</si>
  <si>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</si>
  <si>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</si>
  <si>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</si>
  <si>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</si>
  <si>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</si>
  <si>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</si>
  <si>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</si>
  <si>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</si>
  <si>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</si>
  <si>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</si>
  <si>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</si>
  <si>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</si>
  <si>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</si>
  <si>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</si>
  <si>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</si>
  <si>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</si>
  <si>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</si>
  <si>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</si>
  <si>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</si>
  <si>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</si>
  <si>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</si>
  <si>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</si>
  <si>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</si>
  <si>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</si>
  <si>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</si>
  <si>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</si>
  <si>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CHOL02</t>
  </si>
  <si>
    <t>Cholamandalam Investment and Finance Company Limited</t>
  </si>
  <si>
    <t>INE121A01024</t>
  </si>
  <si>
    <t>Finance</t>
  </si>
  <si>
    <t>GLPH03</t>
  </si>
  <si>
    <t>Glenmark Pharmaceuticals Limited</t>
  </si>
  <si>
    <t>INE935A01035</t>
  </si>
  <si>
    <t>Pharmaceuticals &amp; Biotechnology</t>
  </si>
  <si>
    <t>APOL02</t>
  </si>
  <si>
    <t>Apollo Hospitals Enterprise Limited</t>
  </si>
  <si>
    <t>INE437A01024</t>
  </si>
  <si>
    <t>Healthcare Services</t>
  </si>
  <si>
    <t>FEBA02</t>
  </si>
  <si>
    <t>The Federal Bank  Limited</t>
  </si>
  <si>
    <t>INE171A01029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</si>
  <si>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</si>
  <si>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</si>
  <si>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</si>
  <si>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</si>
  <si>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</si>
  <si>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</si>
  <si>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</si>
  <si>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Industrial Products</t>
  </si>
  <si>
    <t>FSNE01</t>
  </si>
  <si>
    <t>FSN E-Commerce Ventures Limited</t>
  </si>
  <si>
    <t>INE388Y01029</t>
  </si>
  <si>
    <t>Retailing</t>
  </si>
  <si>
    <t>BSEL02</t>
  </si>
  <si>
    <t>BSE Limited</t>
  </si>
  <si>
    <t>INE118H01025</t>
  </si>
  <si>
    <t>Capital Markets</t>
  </si>
  <si>
    <t>NITL02</t>
  </si>
  <si>
    <t>Coforge Limited</t>
  </si>
  <si>
    <t>INE591G01025</t>
  </si>
  <si>
    <t>SSNL02</t>
  </si>
  <si>
    <t>Delhivery Limited</t>
  </si>
  <si>
    <t>INE148O01028</t>
  </si>
  <si>
    <t>Transport Services</t>
  </si>
  <si>
    <t>SHYA01</t>
  </si>
  <si>
    <t>Shyam Metalics and Energy Limited</t>
  </si>
  <si>
    <t>INE810G01011</t>
  </si>
  <si>
    <t>SAEL02</t>
  </si>
  <si>
    <t>TVS Motor Company Limited</t>
  </si>
  <si>
    <t>INE494B01023</t>
  </si>
  <si>
    <t>PREP01</t>
  </si>
  <si>
    <t>Prestige Estates Projects Limited</t>
  </si>
  <si>
    <t>INE811K01011</t>
  </si>
  <si>
    <t>Realty</t>
  </si>
  <si>
    <t>IIBL01</t>
  </si>
  <si>
    <t>IndusInd Bank Limited ^^^</t>
  </si>
  <si>
    <t>INE095A01012</t>
  </si>
  <si>
    <t>TMLC01</t>
  </si>
  <si>
    <t>Tata Motors Ltd</t>
  </si>
  <si>
    <t>INE1TAE01010</t>
  </si>
  <si>
    <t>Agricultural, Commercial &amp; Construction Vehicles</t>
  </si>
  <si>
    <t>KOMA03</t>
  </si>
  <si>
    <t>Kotak Mahindra Bank Ltd</t>
  </si>
  <si>
    <t>INE237A01036</t>
  </si>
  <si>
    <t>VNBL03</t>
  </si>
  <si>
    <t>Varun Beverages Ltd</t>
  </si>
  <si>
    <t>INE200M01039</t>
  </si>
  <si>
    <t>Beverages</t>
  </si>
  <si>
    <t>LUPL02</t>
  </si>
  <si>
    <t>Lupin Limited</t>
  </si>
  <si>
    <t>INE326A01037</t>
  </si>
  <si>
    <t>DIVI02</t>
  </si>
  <si>
    <t>Divi's Laboratories Limited</t>
  </si>
  <si>
    <t>INE361B01024</t>
  </si>
  <si>
    <t>BKBA02</t>
  </si>
  <si>
    <t>Bank of Baroda</t>
  </si>
  <si>
    <t>INE028A01039</t>
  </si>
  <si>
    <t>BLTE01</t>
  </si>
  <si>
    <t>Swiggy Limited</t>
  </si>
  <si>
    <t>INE00H001014</t>
  </si>
  <si>
    <t>MCEX02</t>
  </si>
  <si>
    <t>Multi Commodity Exchange of India Limited</t>
  </si>
  <si>
    <t>INE745G01043</t>
  </si>
  <si>
    <t>HPEC01</t>
  </si>
  <si>
    <t>Hindustan Petroleum Corporation Limited</t>
  </si>
  <si>
    <t>INE094A01015</t>
  </si>
  <si>
    <t>GHPL01</t>
  </si>
  <si>
    <t>Global Health Limited</t>
  </si>
  <si>
    <t>INE474Q01031</t>
  </si>
  <si>
    <t>LTIL01</t>
  </si>
  <si>
    <t>LTM Limited ‡</t>
  </si>
  <si>
    <t>INE214T01019</t>
  </si>
  <si>
    <t>RATN01</t>
  </si>
  <si>
    <t>RBL Bank Limited</t>
  </si>
  <si>
    <t>INE976G01028</t>
  </si>
  <si>
    <t>MOSU03</t>
  </si>
  <si>
    <t>Samvardhana Motherson International Limited</t>
  </si>
  <si>
    <t>INE775A01035</t>
  </si>
  <si>
    <t>Auto Components</t>
  </si>
  <si>
    <t>CRAF01</t>
  </si>
  <si>
    <t>Craftsman Automation Limited</t>
  </si>
  <si>
    <t>INE00LO01017</t>
  </si>
  <si>
    <t>ILOM01</t>
  </si>
  <si>
    <t>ICICI Lombard General Insurance Company Limited</t>
  </si>
  <si>
    <t>INE765G01017</t>
  </si>
  <si>
    <t>Insurance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</si>
  <si>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</si>
  <si>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</si>
  <si>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</si>
  <si>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</si>
  <si>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</si>
  <si>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</si>
  <si>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</si>
  <si>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SUVP01</t>
  </si>
  <si>
    <t>Cohance Lifesciences Limited</t>
  </si>
  <si>
    <t>INE03QK01018</t>
  </si>
  <si>
    <t>ENTE01</t>
  </si>
  <si>
    <t>Entero Healthcare Solutions Ltd</t>
  </si>
  <si>
    <t>INE010601016</t>
  </si>
  <si>
    <t>INAV01</t>
  </si>
  <si>
    <t>InterGlobe Aviation Limited</t>
  </si>
  <si>
    <t>INE646L01027</t>
  </si>
  <si>
    <t>GUAM02</t>
  </si>
  <si>
    <t>Ambuja Cements Limited</t>
  </si>
  <si>
    <t>INE079A01024</t>
  </si>
  <si>
    <t>MEES01</t>
  </si>
  <si>
    <t>Meesho Ltd</t>
  </si>
  <si>
    <t>INE0VDM01015</t>
  </si>
  <si>
    <t>BSLM02</t>
  </si>
  <si>
    <t>Aditya Birla Sun Life AMC Limited</t>
  </si>
  <si>
    <t>INE404A01024</t>
  </si>
  <si>
    <t>VOLT02</t>
  </si>
  <si>
    <t>Voltas Limited</t>
  </si>
  <si>
    <t>INE226A01021</t>
  </si>
  <si>
    <t>Consumer Durables</t>
  </si>
  <si>
    <t>ZMPL01</t>
  </si>
  <si>
    <t>Eternal Limited</t>
  </si>
  <si>
    <t>INE758T01015</t>
  </si>
  <si>
    <t>CENT02</t>
  </si>
  <si>
    <t>Aditya Birla Real Estate Limited</t>
  </si>
  <si>
    <t>INE055A01016</t>
  </si>
  <si>
    <t>TIIN01</t>
  </si>
  <si>
    <t>Timken India Limited</t>
  </si>
  <si>
    <t>INE325A01013</t>
  </si>
  <si>
    <t>JUFL02</t>
  </si>
  <si>
    <t>Jubilant Foodworks Limited ‡</t>
  </si>
  <si>
    <t>INE797F01020</t>
  </si>
  <si>
    <t>Leisure Services</t>
  </si>
  <si>
    <t>SLIF01</t>
  </si>
  <si>
    <t>SBI Life Insurance Company Limited</t>
  </si>
  <si>
    <t>INE123W01016</t>
  </si>
  <si>
    <t>HINI02</t>
  </si>
  <si>
    <t>Hindalco Industries Limited</t>
  </si>
  <si>
    <t>INE038A01020</t>
  </si>
  <si>
    <t>Non - Ferrous Metals</t>
  </si>
  <si>
    <t>AAHF01</t>
  </si>
  <si>
    <t>Aadhar Housing Finance Limited</t>
  </si>
  <si>
    <t>INE883F01010</t>
  </si>
  <si>
    <t>TAHO01</t>
  </si>
  <si>
    <t>Honeywell Automation India Limited</t>
  </si>
  <si>
    <t>INE671A01010</t>
  </si>
  <si>
    <t>Industrial Manufacturing</t>
  </si>
  <si>
    <t>JYCN01</t>
  </si>
  <si>
    <t>Jyoti CNC Automation Ltd</t>
  </si>
  <si>
    <t>INE980O01024</t>
  </si>
  <si>
    <t>SHTR02</t>
  </si>
  <si>
    <t>Shriram Finance Limited</t>
  </si>
  <si>
    <t>INE721A01047</t>
  </si>
  <si>
    <t>KALJ01</t>
  </si>
  <si>
    <t>Kalyan Jewellers India Limited</t>
  </si>
  <si>
    <t>INE303R01014</t>
  </si>
  <si>
    <t>ZLSP01</t>
  </si>
  <si>
    <t>Black Buck Ltd</t>
  </si>
  <si>
    <t>INE0UIZ01018</t>
  </si>
  <si>
    <t>BFLS01</t>
  </si>
  <si>
    <t>MphasiS Limited</t>
  </si>
  <si>
    <t>INE356A01018</t>
  </si>
  <si>
    <t>JBCH03</t>
  </si>
  <si>
    <t>J B Chemicals and Pharma Ltd</t>
  </si>
  <si>
    <t>INE572A01036</t>
  </si>
  <si>
    <t>BRIT03</t>
  </si>
  <si>
    <t>Britannia Industries Limited</t>
  </si>
  <si>
    <t>INE216A01030</t>
  </si>
  <si>
    <t>Food Products</t>
  </si>
  <si>
    <t>MEDP01</t>
  </si>
  <si>
    <t>MedPlus Health Services Limited</t>
  </si>
  <si>
    <t>INE804L01022</t>
  </si>
  <si>
    <t>CGCE01</t>
  </si>
  <si>
    <t>Crompton Greaves Consumer Electricals Limited</t>
  </si>
  <si>
    <t>INE299U01018</t>
  </si>
  <si>
    <t>SOSO03</t>
  </si>
  <si>
    <t>Sonata Software Limited</t>
  </si>
  <si>
    <t>INE269A01021</t>
  </si>
  <si>
    <t>VMAR01</t>
  </si>
  <si>
    <t>V-Mart Retail Limited</t>
  </si>
  <si>
    <t>INE665J01013</t>
  </si>
  <si>
    <t>AFCI01</t>
  </si>
  <si>
    <t>Afcons Infrastructure Limited</t>
  </si>
  <si>
    <t>INE101I01011</t>
  </si>
  <si>
    <t>WOPA02</t>
  </si>
  <si>
    <t>Wockhardt Limited</t>
  </si>
  <si>
    <t>INE049B01025</t>
  </si>
  <si>
    <t>OCPL02</t>
  </si>
  <si>
    <t>Orchid Pharma Limited</t>
  </si>
  <si>
    <t>INE191A01027</t>
  </si>
  <si>
    <t>KNRC02</t>
  </si>
  <si>
    <t>KNR Constructions Limited</t>
  </si>
  <si>
    <t>INE634I01029</t>
  </si>
  <si>
    <t>APLI04</t>
  </si>
  <si>
    <t>Hexaware Technologies Limited</t>
  </si>
  <si>
    <t>INE093A01041</t>
  </si>
  <si>
    <t>Sub Total</t>
  </si>
  <si>
    <t>(b) Unlisted</t>
  </si>
  <si>
    <t>Nil</t>
  </si>
  <si>
    <t>Total</t>
  </si>
  <si>
    <t>Derivatives</t>
  </si>
  <si>
    <t>Index / Stock Futures</t>
  </si>
  <si>
    <t>FSNEMAY26</t>
  </si>
  <si>
    <t>FSN E-Commerce Ventures Limited May 2026 Future</t>
  </si>
  <si>
    <t>JUFLMAY26</t>
  </si>
  <si>
    <t>Jubilant Foodworks Limited May 2026 Future</t>
  </si>
  <si>
    <t>BFLSMAY26</t>
  </si>
  <si>
    <t>Mphasis Limited May 2026 Future</t>
  </si>
  <si>
    <t>LUPLMAY26</t>
  </si>
  <si>
    <t>Lupin Limited May 2026 Future</t>
  </si>
  <si>
    <t>CGCEMAY26</t>
  </si>
  <si>
    <t>Crompton Greaves Consumer Electricals Limited May 2026 Future</t>
  </si>
  <si>
    <t>Money Market Instruments</t>
  </si>
  <si>
    <t>TREPS / Reverse Repo</t>
  </si>
  <si>
    <t>TRP_040526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</si>
  <si>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</si>
  <si>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</si>
  <si>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</si>
  <si>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</si>
  <si>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</si>
  <si>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</si>
  <si>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</si>
  <si>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</si>
  <si>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</si>
  <si>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</si>
  <si>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</si>
  <si>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^^ Awaiting listing</t>
  </si>
  <si>
    <t>‡ Includes shares lent under Securities Lending &amp; Borrowing Scheme of BSE</t>
  </si>
  <si>
    <t>Name of the Security</t>
  </si>
  <si>
    <t>Shares</t>
  </si>
  <si>
    <t>Jubilant Foodworks Limited</t>
  </si>
  <si>
    <t>LTM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</si>
  <si>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</si>
  <si>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</si>
  <si>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</si>
  <si>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</si>
  <si>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</si>
  <si>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</si>
  <si>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</si>
  <si>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</si>
  <si>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</si>
  <si>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</si>
  <si>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</si>
  <si>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/>
  </si>
  <si>
    <t>(4)  IDCW /  Bonus declared during the month ended As on April 30, 2026: Nil</t>
  </si>
  <si>
    <t>(5)  Total outstanding exposure in derivative instruments As on April 30, 2026 is ` 31,458.4 Lakhs, for details on derivative positions during the month ended April 30, 2026, please refer to Derivative Disclosure table.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</si>
  <si>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</si>
  <si>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0.57 times. ¥</t>
  </si>
  <si>
    <t>(8)  Investment in Repo of Corporate Debt securities : Nil</t>
  </si>
  <si>
    <t>(9)  Deviation from the valuation prices given by valuation agencies during the month ended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</si>
  <si>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</si>
  <si>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</si>
  <si>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A.</t>
  </si>
  <si>
    <t>Hedging Positions through Futures as on April 30, 2026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</si>
  <si>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</si>
  <si>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</si>
  <si>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</si>
  <si>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</si>
  <si>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</si>
  <si>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Mphasis Limited</t>
  </si>
  <si>
    <t>Long</t>
  </si>
  <si>
    <t>Total %age of existing assets hedged through futures : 1.62%</t>
  </si>
  <si>
    <t>Details of hedging transactions through futures which have been squared off  / expired during the period ended April 30, 2026 are as follows:</t>
  </si>
  <si>
    <t>Total Number of contracts where futures were bought : Nil</t>
  </si>
  <si>
    <t>Total Number of contracts where futures were sold : 5,820</t>
  </si>
  <si>
    <t>Gross Notional Value of contracts where futures were bought : Nil</t>
  </si>
  <si>
    <t>Gross Notional Value of contracts where futures were sold : 3,900,048,715</t>
  </si>
  <si>
    <t>Net Profit/(Loss) value on all contracts combined : 309,544,974</t>
  </si>
  <si>
    <t>B.</t>
  </si>
  <si>
    <t>Other than Hedging Positions through Futures as on April 30, 2026</t>
  </si>
  <si>
    <t>Total exposure due to futures (non hedging positions) as a %age of net assets : Nil</t>
  </si>
  <si>
    <t>Details of non-hedging transactions through futures which have been squared off  / expired during the period ended April 30, 2026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</si>
  <si>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</si>
  <si>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</si>
  <si>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</si>
  <si>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</si>
  <si>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</si>
  <si>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</si>
  <si>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</si>
  <si>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</si>
  <si>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</si>
  <si>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</si>
  <si>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</si>
  <si>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April 30, 2026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</si>
  <si>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</si>
  <si>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</si>
  <si>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</si>
  <si>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</si>
  <si>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</si>
  <si>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</si>
  <si>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April 30, 2026 are as follows:
Total Number of contracts entered into : Nil
Gross Notional Value of contracts : Nil
Net Profit/(Loss) on all contracts (premium paid treated as loss) : Nil</t>
  </si>
  <si>
    <t>E.</t>
  </si>
  <si>
    <t>Hedging Positions through swaps as on April 30, 2026 -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</si>
  <si>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</si>
  <si>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</si>
  <si>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</si>
  <si>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</si>
  <si>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</si>
  <si>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</si>
  <si>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</si>
  <si>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</si>
  <si>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</si>
  <si>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</si>
  <si>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</si>
  <si>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</si>
  <si>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Information Technology</t>
  </si>
  <si>
    <t>Consumer Services</t>
  </si>
  <si>
    <t>Automobile and Auto Components</t>
  </si>
  <si>
    <t>Oil Gas &amp; Consumable Fuels</t>
  </si>
  <si>
    <t>Cholamandalam Investment and Finance Company Ltd</t>
  </si>
  <si>
    <t>Services</t>
  </si>
  <si>
    <t>Telecommunication</t>
  </si>
  <si>
    <t>Construction Materials</t>
  </si>
  <si>
    <t>Fast Moving Consumer Goods</t>
  </si>
  <si>
    <t>Metals &amp; Mining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</si>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</sst>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00"/>
    <numFmt numFmtId="168" formatCode="#,##0.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SansSerif"/>
      <family val="2"/>
    </font>
    <font>
      <b/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/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168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4" fillId="0" borderId="10" xfId="0" applyNumberFormat="1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2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4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1</xdr:col>
      <xdr:colOff>2857500</xdr:colOff>
      <xdr:row>198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42E9A-DD54-4CE1-9142-F0695A63F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4474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8</xdr:col>
      <xdr:colOff>228600</xdr:colOff>
      <xdr:row>198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A8674-358B-4509-8B03-FF55C7BE82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344741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806A-1603-4097-BA91-79B91D2AFB69}">
  <sheetPr codeName="Sheet14">
    <outlinePr summaryBelow="0"/>
  </sheetPr>
  <dimension ref="A1:H18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91" t="s">
        <v>1</v>
      </c>
      <c r="C1" s="91"/>
      <c r="D1" s="91"/>
      <c r="E1" s="91"/>
      <c r="F1" s="91"/>
      <c r="G1" s="91"/>
      <c r="H1" s="91"/>
    </row>
    <row r="2" spans="1:8" ht="20" customHeight="1">
      <c r="A2" s="2"/>
      <c r="B2" s="91" t="s">
        <v>2</v>
      </c>
      <c r="C2" s="91"/>
      <c r="D2" s="91"/>
      <c r="E2" s="91"/>
      <c r="F2" s="91"/>
      <c r="G2" s="91"/>
      <c r="H2" s="91"/>
    </row>
    <row r="3" spans="1:8" ht="72" customHeight="1">
      <c r="A3" s="2"/>
      <c r="B3" s="91" t="s">
        <v>3</v>
      </c>
      <c r="C3" s="91"/>
      <c r="D3" s="91"/>
      <c r="E3" s="91"/>
      <c r="F3" s="91"/>
      <c r="G3" s="91"/>
      <c r="H3" s="91"/>
    </row>
    <row r="4" spans="1:8" ht="13" customHeight="1" thickBot="1">
      <c r="A4" s="2"/>
      <c r="B4" s="92"/>
      <c r="C4" s="92"/>
      <c r="D4" s="92"/>
      <c r="E4" s="92"/>
      <c r="F4" s="92"/>
      <c r="G4" s="92"/>
      <c r="H4" s="9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2535263</v>
      </c>
      <c r="F8" s="14">
        <v>101765.46</v>
      </c>
      <c r="G8" s="14">
        <v>5.24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7748712</v>
      </c>
      <c r="F9" s="14">
        <v>97897.23</v>
      </c>
      <c r="G9" s="14">
        <v>5.04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5786546</v>
      </c>
      <c r="F10" s="14">
        <v>73390.759999999995</v>
      </c>
      <c r="G10" s="14">
        <v>3.78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9181959</v>
      </c>
      <c r="F11" s="14">
        <v>70857.179999999993</v>
      </c>
      <c r="G11" s="14">
        <v>3.65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4878249</v>
      </c>
      <c r="F12" s="14">
        <v>69797.990000000005</v>
      </c>
      <c r="G12" s="14">
        <v>3.6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2222444</v>
      </c>
      <c r="F13" s="14">
        <v>68840.2</v>
      </c>
      <c r="G13" s="14">
        <v>3.55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5290988</v>
      </c>
      <c r="F14" s="14">
        <v>62528.9</v>
      </c>
      <c r="G14" s="14">
        <v>3.22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2628845</v>
      </c>
      <c r="F15" s="14">
        <v>49601.05</v>
      </c>
      <c r="G15" s="14">
        <v>2.56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2912482</v>
      </c>
      <c r="F16" s="14">
        <v>45519.18</v>
      </c>
      <c r="G16" s="14">
        <v>2.35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1701870</v>
      </c>
      <c r="F17" s="14">
        <v>40952.1</v>
      </c>
      <c r="G17" s="14">
        <v>2.11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514459</v>
      </c>
      <c r="F18" s="14">
        <v>39286.660000000003</v>
      </c>
      <c r="G18" s="14">
        <v>2.02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20</v>
      </c>
      <c r="E19" s="13">
        <v>13519245</v>
      </c>
      <c r="F19" s="14">
        <v>38793.47</v>
      </c>
      <c r="G19" s="14">
        <v>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8805427</v>
      </c>
      <c r="F20" s="14">
        <v>37977.81</v>
      </c>
      <c r="G20" s="14">
        <v>1.96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724423</v>
      </c>
      <c r="F21" s="14">
        <v>35188.85</v>
      </c>
      <c r="G21" s="14">
        <v>1.81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13222007</v>
      </c>
      <c r="F22" s="14">
        <v>35006.589999999997</v>
      </c>
      <c r="G22" s="14">
        <v>1.8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926753</v>
      </c>
      <c r="F23" s="14">
        <v>33738.44</v>
      </c>
      <c r="G23" s="14">
        <v>1.74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38</v>
      </c>
      <c r="E24" s="13">
        <v>2758558</v>
      </c>
      <c r="F24" s="14">
        <v>32989.599999999999</v>
      </c>
      <c r="G24" s="14">
        <v>1.7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6686880</v>
      </c>
      <c r="F25" s="14">
        <v>31231.07</v>
      </c>
      <c r="G25" s="14">
        <v>1.61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65</v>
      </c>
      <c r="E26" s="13">
        <v>3518720</v>
      </c>
      <c r="F26" s="14">
        <v>30744.82</v>
      </c>
      <c r="G26" s="14">
        <v>1.58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34</v>
      </c>
      <c r="E27" s="13">
        <v>871427</v>
      </c>
      <c r="F27" s="14">
        <v>30438.07</v>
      </c>
      <c r="G27" s="14">
        <v>1.57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2146905</v>
      </c>
      <c r="F28" s="14">
        <v>30365.82</v>
      </c>
      <c r="G28" s="14">
        <v>1.56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20</v>
      </c>
      <c r="E29" s="13">
        <v>3211331</v>
      </c>
      <c r="F29" s="14">
        <v>29417.4</v>
      </c>
      <c r="G29" s="14">
        <v>1.52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6964331</v>
      </c>
      <c r="F30" s="14">
        <v>28546.79</v>
      </c>
      <c r="G30" s="14">
        <v>1.47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20</v>
      </c>
      <c r="E31" s="13">
        <v>7253647</v>
      </c>
      <c r="F31" s="14">
        <v>27803.23</v>
      </c>
      <c r="G31" s="14">
        <v>1.43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5385676</v>
      </c>
      <c r="F32" s="14">
        <v>27666.22</v>
      </c>
      <c r="G32" s="14">
        <v>1.43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50</v>
      </c>
      <c r="E33" s="13">
        <v>1160552</v>
      </c>
      <c r="F33" s="14">
        <v>26753.040000000001</v>
      </c>
      <c r="G33" s="14">
        <v>1.38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50</v>
      </c>
      <c r="E34" s="13">
        <v>391743</v>
      </c>
      <c r="F34" s="14">
        <v>25473.09</v>
      </c>
      <c r="G34" s="14">
        <v>1.31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20</v>
      </c>
      <c r="E35" s="13">
        <v>9316469</v>
      </c>
      <c r="F35" s="14">
        <v>24545.17</v>
      </c>
      <c r="G35" s="14">
        <v>1.26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69</v>
      </c>
      <c r="E36" s="13">
        <v>9039612</v>
      </c>
      <c r="F36" s="14">
        <v>24434.07</v>
      </c>
      <c r="G36" s="14">
        <v>1.26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73</v>
      </c>
      <c r="E37" s="13">
        <v>818135</v>
      </c>
      <c r="F37" s="14">
        <v>24310.880000000001</v>
      </c>
      <c r="G37" s="14">
        <v>1.25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30</v>
      </c>
      <c r="E38" s="13">
        <v>6392739</v>
      </c>
      <c r="F38" s="14">
        <v>23944</v>
      </c>
      <c r="G38" s="14">
        <v>1.23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54</v>
      </c>
      <c r="E39" s="13">
        <v>2102004</v>
      </c>
      <c r="F39" s="14">
        <v>23484.639999999999</v>
      </c>
      <c r="G39" s="14">
        <v>1.21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38</v>
      </c>
      <c r="E40" s="13">
        <v>547713</v>
      </c>
      <c r="F40" s="14">
        <v>23385.15</v>
      </c>
      <c r="G40" s="14">
        <v>1.21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20</v>
      </c>
      <c r="E41" s="13">
        <v>6762732</v>
      </c>
      <c r="F41" s="14">
        <v>22759.97</v>
      </c>
      <c r="G41" s="14">
        <v>1.17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17560989</v>
      </c>
      <c r="F42" s="14">
        <v>21285.67</v>
      </c>
      <c r="G42" s="14">
        <v>1.1000000000000001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135</v>
      </c>
      <c r="E43" s="13">
        <v>270195</v>
      </c>
      <c r="F43" s="14">
        <v>20772.59</v>
      </c>
      <c r="G43" s="14">
        <v>1.07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1175814</v>
      </c>
      <c r="F44" s="14">
        <v>20731.95</v>
      </c>
      <c r="G44" s="14">
        <v>1.07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38</v>
      </c>
      <c r="E45" s="13">
        <v>1357148</v>
      </c>
      <c r="F45" s="14">
        <v>19997.580000000002</v>
      </c>
      <c r="G45" s="14">
        <v>1.03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170427</v>
      </c>
      <c r="F46" s="14">
        <v>19745.669999999998</v>
      </c>
      <c r="G46" s="14">
        <v>1.02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50</v>
      </c>
      <c r="E47" s="13">
        <v>4013973</v>
      </c>
      <c r="F47" s="14">
        <v>19397.52</v>
      </c>
      <c r="G47" s="14">
        <v>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69</v>
      </c>
      <c r="E48" s="13">
        <v>1577379</v>
      </c>
      <c r="F48" s="14">
        <v>19187.240000000002</v>
      </c>
      <c r="G48" s="14">
        <v>0.99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80</v>
      </c>
      <c r="E49" s="13">
        <v>438015</v>
      </c>
      <c r="F49" s="14">
        <v>18814.060000000001</v>
      </c>
      <c r="G49" s="14">
        <v>0.97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149</v>
      </c>
      <c r="E50" s="13">
        <v>4127441</v>
      </c>
      <c r="F50" s="14">
        <v>18334.09</v>
      </c>
      <c r="G50" s="14">
        <v>0.94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69</v>
      </c>
      <c r="E51" s="13">
        <v>9369720</v>
      </c>
      <c r="F51" s="14">
        <v>18095.740000000002</v>
      </c>
      <c r="G51" s="14">
        <v>0.93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73</v>
      </c>
      <c r="E52" s="13">
        <v>1682367</v>
      </c>
      <c r="F52" s="14">
        <v>17079.39</v>
      </c>
      <c r="G52" s="14">
        <v>0.88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1177941</v>
      </c>
      <c r="F53" s="14">
        <v>16849.27</v>
      </c>
      <c r="G53" s="14">
        <v>0.87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69</v>
      </c>
      <c r="E54" s="13">
        <v>6706728</v>
      </c>
      <c r="F54" s="14">
        <v>16567.63</v>
      </c>
      <c r="G54" s="14">
        <v>0.85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90</v>
      </c>
      <c r="E55" s="13">
        <v>1107972</v>
      </c>
      <c r="F55" s="14">
        <v>16466.68</v>
      </c>
      <c r="G55" s="14">
        <v>0.85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65</v>
      </c>
      <c r="E56" s="13">
        <v>480033</v>
      </c>
      <c r="F56" s="14">
        <v>16459.37</v>
      </c>
      <c r="G56" s="14">
        <v>0.85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3395320</v>
      </c>
      <c r="F57" s="14">
        <v>16250</v>
      </c>
      <c r="G57" s="14">
        <v>0.84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142</v>
      </c>
      <c r="E58" s="13">
        <v>856436</v>
      </c>
      <c r="F58" s="14">
        <v>15578.57</v>
      </c>
      <c r="G58" s="14">
        <v>0.8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191</v>
      </c>
      <c r="E59" s="13">
        <v>1489485</v>
      </c>
      <c r="F59" s="14">
        <v>15460.85</v>
      </c>
      <c r="G59" s="14">
        <v>0.8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46</v>
      </c>
      <c r="E60" s="13">
        <v>3115367</v>
      </c>
      <c r="F60" s="14">
        <v>15221.68</v>
      </c>
      <c r="G60" s="14">
        <v>0.78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48973</v>
      </c>
      <c r="F61" s="14">
        <v>15196.32</v>
      </c>
      <c r="G61" s="14">
        <v>0.78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198</v>
      </c>
      <c r="E62" s="13">
        <v>2006690</v>
      </c>
      <c r="F62" s="14">
        <v>15049.17</v>
      </c>
      <c r="G62" s="14">
        <v>0.78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46</v>
      </c>
      <c r="E63" s="13">
        <v>1463768</v>
      </c>
      <c r="F63" s="14">
        <v>13720.63</v>
      </c>
      <c r="G63" s="14">
        <v>0.71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171</v>
      </c>
      <c r="E64" s="13">
        <v>3136552</v>
      </c>
      <c r="F64" s="14">
        <v>12946.12</v>
      </c>
      <c r="G64" s="14">
        <v>0.67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80</v>
      </c>
      <c r="E65" s="13">
        <v>2283692</v>
      </c>
      <c r="F65" s="14">
        <v>12515.77</v>
      </c>
      <c r="G65" s="14">
        <v>0.64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38</v>
      </c>
      <c r="E66" s="13">
        <v>544536</v>
      </c>
      <c r="F66" s="14">
        <v>12397.45</v>
      </c>
      <c r="G66" s="14">
        <v>0.64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50</v>
      </c>
      <c r="E67" s="13">
        <v>598684</v>
      </c>
      <c r="F67" s="14">
        <v>12233.51</v>
      </c>
      <c r="G67" s="14">
        <v>0.63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220</v>
      </c>
      <c r="E68" s="13">
        <v>174964</v>
      </c>
      <c r="F68" s="14">
        <v>10018.44</v>
      </c>
      <c r="G68" s="14">
        <v>0.52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69</v>
      </c>
      <c r="E69" s="13">
        <v>1094617</v>
      </c>
      <c r="F69" s="14">
        <v>9546.7000000000007</v>
      </c>
      <c r="G69" s="14">
        <v>0.49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171</v>
      </c>
      <c r="E70" s="13">
        <v>3358145</v>
      </c>
      <c r="F70" s="14">
        <v>9146.24</v>
      </c>
      <c r="G70" s="14">
        <v>0.47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38</v>
      </c>
      <c r="E71" s="13">
        <v>3091799</v>
      </c>
      <c r="F71" s="14">
        <v>7885.01</v>
      </c>
      <c r="G71" s="14">
        <v>0.41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69</v>
      </c>
      <c r="E72" s="13">
        <v>1235108</v>
      </c>
      <c r="F72" s="14">
        <v>7613.82</v>
      </c>
      <c r="G72" s="14">
        <v>0.39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16</v>
      </c>
      <c r="E73" s="13">
        <v>2182960</v>
      </c>
      <c r="F73" s="14">
        <v>7415.52</v>
      </c>
      <c r="G73" s="14">
        <v>0.38</v>
      </c>
      <c r="H73" s="15"/>
    </row>
    <row r="74" spans="1:8" ht="13" customHeight="1">
      <c r="A74" s="1" t="s">
        <v>236</v>
      </c>
      <c r="B74" s="11" t="s">
        <v>237</v>
      </c>
      <c r="C74" s="12" t="s">
        <v>238</v>
      </c>
      <c r="D74" s="8" t="s">
        <v>50</v>
      </c>
      <c r="E74" s="13">
        <v>466063</v>
      </c>
      <c r="F74" s="14">
        <v>6504.38</v>
      </c>
      <c r="G74" s="14">
        <v>0.34</v>
      </c>
      <c r="H74" s="15"/>
    </row>
    <row r="75" spans="1:8" ht="13" customHeight="1">
      <c r="A75" s="1" t="s">
        <v>239</v>
      </c>
      <c r="B75" s="11" t="s">
        <v>240</v>
      </c>
      <c r="C75" s="12" t="s">
        <v>241</v>
      </c>
      <c r="D75" s="8" t="s">
        <v>50</v>
      </c>
      <c r="E75" s="13">
        <v>990763</v>
      </c>
      <c r="F75" s="14">
        <v>6199.7</v>
      </c>
      <c r="G75" s="14">
        <v>0.32</v>
      </c>
      <c r="H75" s="15"/>
    </row>
    <row r="76" spans="1:8" ht="13" customHeight="1">
      <c r="A76" s="1" t="s">
        <v>242</v>
      </c>
      <c r="B76" s="11" t="s">
        <v>243</v>
      </c>
      <c r="C76" s="12" t="s">
        <v>244</v>
      </c>
      <c r="D76" s="8" t="s">
        <v>16</v>
      </c>
      <c r="E76" s="13">
        <v>3009216</v>
      </c>
      <c r="F76" s="14">
        <v>3765.43</v>
      </c>
      <c r="G76" s="14">
        <v>0.19</v>
      </c>
      <c r="H76" s="15"/>
    </row>
    <row r="77" spans="1:8" ht="13" customHeight="1">
      <c r="A77" s="1" t="s">
        <v>245</v>
      </c>
      <c r="B77" s="11" t="s">
        <v>246</v>
      </c>
      <c r="C77" s="12" t="s">
        <v>247</v>
      </c>
      <c r="D77" s="8" t="s">
        <v>38</v>
      </c>
      <c r="E77" s="13">
        <v>261561</v>
      </c>
      <c r="F77" s="14">
        <v>1170.8800000000001</v>
      </c>
      <c r="G77" s="14">
        <v>0.06</v>
      </c>
      <c r="H77" s="15"/>
    </row>
    <row r="78" spans="1:8" ht="13" customHeight="1">
      <c r="A78" s="2"/>
      <c r="B78" s="7" t="s">
        <v>248</v>
      </c>
      <c r="C78" s="8"/>
      <c r="D78" s="8"/>
      <c r="E78" s="8"/>
      <c r="F78" s="16">
        <v>1895055.5399999991</v>
      </c>
      <c r="G78" s="16">
        <v>97.639999999999944</v>
      </c>
      <c r="H78" s="17"/>
    </row>
    <row r="79" spans="1:8" ht="13" customHeight="1">
      <c r="A79" s="2"/>
      <c r="B79" s="18" t="s">
        <v>249</v>
      </c>
      <c r="C79" s="19"/>
      <c r="D79" s="19"/>
      <c r="E79" s="20"/>
      <c r="F79" s="21" t="s">
        <v>250</v>
      </c>
      <c r="G79" s="21" t="s">
        <v>250</v>
      </c>
      <c r="H79" s="22" t="s">
        <v>250</v>
      </c>
    </row>
    <row r="80" spans="1:8" ht="13" customHeight="1">
      <c r="A80" s="2"/>
      <c r="B80" s="23" t="s">
        <v>248</v>
      </c>
      <c r="C80" s="24"/>
      <c r="D80" s="24"/>
      <c r="E80" s="21"/>
      <c r="F80" s="21" t="s">
        <v>250</v>
      </c>
      <c r="G80" s="21" t="s">
        <v>250</v>
      </c>
      <c r="H80" s="22" t="s">
        <v>250</v>
      </c>
    </row>
    <row r="81" spans="1:8" ht="13" customHeight="1">
      <c r="A81" s="2"/>
      <c r="B81" s="18" t="s">
        <v>251</v>
      </c>
      <c r="C81" s="19"/>
      <c r="D81" s="19"/>
      <c r="E81" s="25"/>
      <c r="F81" s="16">
        <v>1895055.5399999991</v>
      </c>
      <c r="G81" s="16">
        <v>97.639999999999944</v>
      </c>
      <c r="H81" s="22"/>
    </row>
    <row r="82" spans="1:8" ht="13" customHeight="1">
      <c r="A82" s="2"/>
      <c r="B82" s="7" t="s">
        <v>252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253</v>
      </c>
      <c r="C83" s="10"/>
      <c r="D83" s="10"/>
      <c r="E83" s="8"/>
      <c r="F83" s="8"/>
      <c r="G83" s="8"/>
      <c r="H83" s="9"/>
    </row>
    <row r="84" spans="1:8" ht="13" customHeight="1">
      <c r="A84" s="1" t="s">
        <v>254</v>
      </c>
      <c r="B84" s="11" t="s">
        <v>255</v>
      </c>
      <c r="C84" s="12"/>
      <c r="D84" s="8" t="s">
        <v>69</v>
      </c>
      <c r="E84" s="13">
        <v>4390625</v>
      </c>
      <c r="F84" s="14">
        <v>11693.99</v>
      </c>
      <c r="G84" s="14">
        <v>0.6</v>
      </c>
      <c r="H84" s="15">
        <v>0</v>
      </c>
    </row>
    <row r="85" spans="1:8" ht="13" customHeight="1">
      <c r="A85" s="1" t="s">
        <v>256</v>
      </c>
      <c r="B85" s="11" t="s">
        <v>257</v>
      </c>
      <c r="C85" s="12"/>
      <c r="D85" s="8" t="s">
        <v>184</v>
      </c>
      <c r="E85" s="13">
        <v>2277500</v>
      </c>
      <c r="F85" s="14">
        <v>10863.68</v>
      </c>
      <c r="G85" s="14">
        <v>0.56000000000000005</v>
      </c>
      <c r="H85" s="15">
        <v>0</v>
      </c>
    </row>
    <row r="86" spans="1:8" ht="13" customHeight="1">
      <c r="A86" s="1" t="s">
        <v>258</v>
      </c>
      <c r="B86" s="11" t="s">
        <v>259</v>
      </c>
      <c r="C86" s="12"/>
      <c r="D86" s="8" t="s">
        <v>38</v>
      </c>
      <c r="E86" s="13">
        <v>220000</v>
      </c>
      <c r="F86" s="14">
        <v>5035.3599999999997</v>
      </c>
      <c r="G86" s="14">
        <v>0.26</v>
      </c>
      <c r="H86" s="15">
        <v>0</v>
      </c>
    </row>
    <row r="87" spans="1:8" ht="13" customHeight="1">
      <c r="A87" s="1" t="s">
        <v>260</v>
      </c>
      <c r="B87" s="11" t="s">
        <v>261</v>
      </c>
      <c r="C87" s="12"/>
      <c r="D87" s="8" t="s">
        <v>50</v>
      </c>
      <c r="E87" s="13">
        <v>140250</v>
      </c>
      <c r="F87" s="14">
        <v>3240.9</v>
      </c>
      <c r="G87" s="14">
        <v>0.17</v>
      </c>
      <c r="H87" s="15">
        <v>0</v>
      </c>
    </row>
    <row r="88" spans="1:8" ht="13" customHeight="1">
      <c r="A88" s="1" t="s">
        <v>262</v>
      </c>
      <c r="B88" s="11" t="s">
        <v>263</v>
      </c>
      <c r="C88" s="12"/>
      <c r="D88" s="8" t="s">
        <v>171</v>
      </c>
      <c r="E88" s="13">
        <v>228600</v>
      </c>
      <c r="F88" s="14">
        <v>624.47</v>
      </c>
      <c r="G88" s="14">
        <v>0.03</v>
      </c>
      <c r="H88" s="15">
        <v>0</v>
      </c>
    </row>
    <row r="89" spans="1:8" ht="13" customHeight="1">
      <c r="A89" s="2"/>
      <c r="B89" s="7" t="s">
        <v>248</v>
      </c>
      <c r="C89" s="8"/>
      <c r="D89" s="8"/>
      <c r="E89" s="8"/>
      <c r="F89" s="16">
        <v>31458.400000000001</v>
      </c>
      <c r="G89" s="16">
        <v>1.62</v>
      </c>
      <c r="H89" s="17"/>
    </row>
    <row r="90" spans="1:8" ht="13" customHeight="1">
      <c r="A90" s="2"/>
      <c r="B90" s="18" t="s">
        <v>251</v>
      </c>
      <c r="C90" s="19"/>
      <c r="D90" s="19"/>
      <c r="E90" s="25"/>
      <c r="F90" s="16">
        <v>31458.400000000001</v>
      </c>
      <c r="G90" s="16">
        <v>1.62</v>
      </c>
      <c r="H90" s="22"/>
    </row>
    <row r="91" spans="1:8" ht="13" customHeight="1">
      <c r="A91" s="2"/>
      <c r="B91" s="7" t="s">
        <v>264</v>
      </c>
      <c r="C91" s="8"/>
      <c r="D91" s="8"/>
      <c r="E91" s="8"/>
      <c r="F91" s="8"/>
      <c r="G91" s="8"/>
      <c r="H91" s="9"/>
    </row>
    <row r="92" spans="1:8" ht="13" customHeight="1">
      <c r="A92" s="2"/>
      <c r="B92" s="7" t="s">
        <v>265</v>
      </c>
      <c r="C92" s="10"/>
      <c r="D92" s="10"/>
      <c r="E92" s="8"/>
      <c r="F92" s="8"/>
      <c r="G92" s="8"/>
      <c r="H92" s="9"/>
    </row>
    <row r="93" spans="1:8" ht="13" customHeight="1">
      <c r="A93" s="1" t="s">
        <v>266</v>
      </c>
      <c r="B93" s="11" t="s">
        <v>267</v>
      </c>
      <c r="C93" s="12"/>
      <c r="D93" s="8"/>
      <c r="E93" s="13"/>
      <c r="F93" s="14">
        <v>36067.230000000003</v>
      </c>
      <c r="G93" s="14">
        <v>1.86</v>
      </c>
      <c r="H93" s="15">
        <v>5.2528119238007417E-2</v>
      </c>
    </row>
    <row r="94" spans="1:8" ht="13" customHeight="1">
      <c r="A94" s="2"/>
      <c r="B94" s="7" t="s">
        <v>248</v>
      </c>
      <c r="C94" s="8"/>
      <c r="D94" s="8"/>
      <c r="E94" s="8"/>
      <c r="F94" s="16">
        <v>36067.230000000003</v>
      </c>
      <c r="G94" s="16">
        <v>1.86</v>
      </c>
      <c r="H94" s="17"/>
    </row>
    <row r="95" spans="1:8" ht="13" customHeight="1">
      <c r="A95" s="2"/>
      <c r="B95" s="18" t="s">
        <v>251</v>
      </c>
      <c r="C95" s="19"/>
      <c r="D95" s="19"/>
      <c r="E95" s="25"/>
      <c r="F95" s="16">
        <v>36067.230000000003</v>
      </c>
      <c r="G95" s="16">
        <v>1.86</v>
      </c>
      <c r="H95" s="22"/>
    </row>
    <row r="96" spans="1:8" s="27" customFormat="1" ht="13" customHeight="1">
      <c r="A96" s="26"/>
      <c r="B96" s="7" t="s">
        <v>268</v>
      </c>
      <c r="C96" s="8"/>
      <c r="D96" s="8"/>
      <c r="E96" s="8"/>
      <c r="F96" s="8"/>
      <c r="G96" s="8"/>
      <c r="H96" s="9"/>
    </row>
    <row r="97" spans="1:8" ht="13" customHeight="1">
      <c r="B97" s="7" t="s">
        <v>269</v>
      </c>
      <c r="C97" s="8"/>
      <c r="D97" s="8"/>
      <c r="E97" s="8"/>
      <c r="F97" s="28"/>
      <c r="G97" s="29"/>
      <c r="H97" s="17"/>
    </row>
    <row r="98" spans="1:8" ht="13" customHeight="1">
      <c r="A98" s="1" t="s">
        <v>270</v>
      </c>
      <c r="B98" s="11" t="s">
        <v>271</v>
      </c>
      <c r="C98" s="12" t="s">
        <v>272</v>
      </c>
      <c r="D98" s="8" t="s">
        <v>34</v>
      </c>
      <c r="E98" s="13">
        <v>3485708</v>
      </c>
      <c r="F98" s="14">
        <v>355.54</v>
      </c>
      <c r="G98" s="14">
        <v>0.02</v>
      </c>
      <c r="H98" s="15"/>
    </row>
    <row r="99" spans="1:8" ht="13" customHeight="1">
      <c r="A99" s="2"/>
      <c r="B99" s="7" t="s">
        <v>248</v>
      </c>
      <c r="C99" s="8"/>
      <c r="D99" s="8"/>
      <c r="E99" s="8"/>
      <c r="F99" s="16">
        <f>F98</f>
        <v>355.54</v>
      </c>
      <c r="G99" s="16">
        <f>G98</f>
        <v>0.02</v>
      </c>
      <c r="H99" s="17"/>
    </row>
    <row r="100" spans="1:8" s="27" customFormat="1" ht="13" customHeight="1">
      <c r="A100" s="26"/>
      <c r="B100" s="18" t="s">
        <v>251</v>
      </c>
      <c r="C100" s="19"/>
      <c r="D100" s="19"/>
      <c r="E100" s="25"/>
      <c r="F100" s="16">
        <v>355.54</v>
      </c>
      <c r="G100" s="16">
        <v>0.02</v>
      </c>
      <c r="H100" s="22"/>
    </row>
    <row r="101" spans="1:8" ht="13" customHeight="1">
      <c r="A101" s="2"/>
      <c r="B101" s="18" t="s">
        <v>273</v>
      </c>
      <c r="C101" s="19"/>
      <c r="D101" s="19"/>
      <c r="E101" s="8"/>
      <c r="F101" s="16">
        <v>-22377.24</v>
      </c>
      <c r="G101" s="16">
        <v>-1.1399999999999999</v>
      </c>
      <c r="H101" s="22"/>
    </row>
    <row r="102" spans="1:8" ht="13" customHeight="1" thickBot="1">
      <c r="A102" s="2"/>
      <c r="B102" s="30" t="s">
        <v>274</v>
      </c>
      <c r="C102" s="31"/>
      <c r="D102" s="31"/>
      <c r="E102" s="31"/>
      <c r="F102" s="32">
        <v>1940559.47</v>
      </c>
      <c r="G102" s="33">
        <v>100</v>
      </c>
      <c r="H102" s="34"/>
    </row>
    <row r="103" spans="1:8" ht="13" customHeight="1">
      <c r="A103" s="2"/>
      <c r="B103" s="86"/>
      <c r="C103" s="86"/>
      <c r="D103" s="86"/>
      <c r="E103" s="86"/>
      <c r="F103" s="2"/>
      <c r="G103" s="2"/>
      <c r="H103" s="2"/>
    </row>
    <row r="104" spans="1:8" ht="13" customHeight="1">
      <c r="A104" s="2"/>
      <c r="B104" s="86" t="s">
        <v>275</v>
      </c>
      <c r="C104" s="86"/>
      <c r="D104" s="86"/>
      <c r="E104" s="86"/>
      <c r="F104" s="36"/>
      <c r="G104" s="37"/>
      <c r="H104" s="2"/>
    </row>
    <row r="105" spans="1:8" ht="13" customHeight="1">
      <c r="A105" s="2"/>
      <c r="B105" s="86" t="s">
        <v>276</v>
      </c>
      <c r="C105" s="86"/>
      <c r="D105" s="86"/>
      <c r="E105" s="86"/>
      <c r="F105" s="2"/>
      <c r="G105" s="2"/>
      <c r="H105" s="2"/>
    </row>
    <row r="106" spans="1:8" ht="13" customHeight="1">
      <c r="A106" s="2"/>
      <c r="B106" s="86" t="s">
        <v>277</v>
      </c>
      <c r="C106" s="86"/>
      <c r="D106" s="86"/>
      <c r="E106" s="86"/>
      <c r="F106" s="2"/>
      <c r="G106" s="2"/>
      <c r="H106" s="2"/>
    </row>
    <row r="107" spans="1:8" ht="13" customHeight="1">
      <c r="A107" s="2"/>
      <c r="B107" s="38" t="s">
        <v>278</v>
      </c>
      <c r="C107" s="35"/>
      <c r="D107" s="35"/>
      <c r="E107" s="35"/>
      <c r="F107" s="2"/>
      <c r="G107" s="2"/>
      <c r="H107" s="2"/>
    </row>
    <row r="108" spans="1:8" ht="13" customHeight="1">
      <c r="A108" s="2"/>
      <c r="B108" s="38"/>
      <c r="C108" s="35"/>
      <c r="D108" s="35"/>
      <c r="E108" s="35"/>
      <c r="F108" s="2"/>
      <c r="G108" s="2"/>
      <c r="H108" s="2"/>
    </row>
    <row r="109" spans="1:8" ht="13" customHeight="1">
      <c r="A109" s="2"/>
      <c r="B109" s="87" t="s">
        <v>279</v>
      </c>
      <c r="C109" s="87"/>
      <c r="D109" s="87"/>
      <c r="E109" s="87"/>
      <c r="F109" s="2"/>
      <c r="G109" s="2"/>
      <c r="H109" s="2"/>
    </row>
    <row r="110" spans="1:8" ht="13" customHeight="1">
      <c r="A110" s="2"/>
      <c r="B110" s="39" t="s">
        <v>280</v>
      </c>
      <c r="C110" s="39" t="s">
        <v>281</v>
      </c>
      <c r="D110" s="2"/>
      <c r="E110" s="2"/>
      <c r="F110" s="2"/>
      <c r="G110" s="2"/>
      <c r="H110" s="2"/>
    </row>
    <row r="111" spans="1:8" ht="13" customHeight="1">
      <c r="A111" s="2"/>
      <c r="B111" s="19" t="s">
        <v>282</v>
      </c>
      <c r="C111" s="40">
        <v>127614</v>
      </c>
      <c r="D111" s="26"/>
      <c r="E111" s="2"/>
      <c r="F111" s="2"/>
      <c r="G111" s="2"/>
      <c r="H111" s="2"/>
    </row>
    <row r="112" spans="1:8" ht="13" customHeight="1">
      <c r="A112" s="2"/>
      <c r="B112" s="19" t="s">
        <v>283</v>
      </c>
      <c r="C112" s="40">
        <v>18550</v>
      </c>
      <c r="D112" s="26"/>
      <c r="E112" s="2"/>
      <c r="F112" s="2"/>
      <c r="G112" s="2"/>
      <c r="H112" s="2"/>
    </row>
    <row r="113" spans="1:8" ht="13" customHeight="1">
      <c r="A113" s="2"/>
      <c r="B113" s="3"/>
      <c r="C113" s="41"/>
      <c r="D113" s="26"/>
      <c r="E113" s="2"/>
      <c r="F113" s="2"/>
      <c r="G113" s="2"/>
      <c r="H113" s="2"/>
    </row>
    <row r="114" spans="1:8" ht="13" customHeight="1">
      <c r="A114" s="2"/>
      <c r="B114" s="3"/>
      <c r="C114" s="3"/>
      <c r="D114" s="3"/>
      <c r="E114" s="3"/>
      <c r="F114" s="2"/>
      <c r="G114" s="2"/>
      <c r="H114" s="2"/>
    </row>
    <row r="115" spans="1:8" ht="13" customHeight="1">
      <c r="A115" s="2"/>
      <c r="B115" s="35" t="s">
        <v>284</v>
      </c>
      <c r="C115" s="3"/>
      <c r="D115" s="3"/>
      <c r="E115" s="3"/>
      <c r="F115" s="2"/>
      <c r="G115" s="2"/>
      <c r="H115" s="2"/>
    </row>
    <row r="116" spans="1:8" ht="13" customHeight="1">
      <c r="A116" s="2"/>
      <c r="B116" s="3" t="s">
        <v>285</v>
      </c>
      <c r="C116" s="3"/>
      <c r="D116" s="3"/>
      <c r="E116" s="3"/>
      <c r="F116" s="2"/>
      <c r="G116" s="2"/>
      <c r="H116" s="2"/>
    </row>
    <row r="117" spans="1:8" ht="13" customHeight="1">
      <c r="A117" s="2"/>
      <c r="B117" s="3" t="s">
        <v>286</v>
      </c>
      <c r="C117" s="3"/>
      <c r="D117" s="3"/>
      <c r="E117" s="3"/>
      <c r="F117" s="2"/>
      <c r="G117" s="2"/>
      <c r="H117" s="2"/>
    </row>
    <row r="118" spans="1:8" ht="13" customHeight="1">
      <c r="A118" s="2"/>
      <c r="B118" s="3" t="s">
        <v>287</v>
      </c>
      <c r="C118" s="3"/>
      <c r="D118" s="3"/>
      <c r="E118" s="3"/>
      <c r="F118" s="2"/>
      <c r="G118" s="2"/>
      <c r="H118" s="2"/>
    </row>
    <row r="119" spans="1:8" ht="13" customHeight="1">
      <c r="A119" s="2"/>
      <c r="B119" s="35" t="s">
        <v>288</v>
      </c>
      <c r="C119" s="42" t="s">
        <v>289</v>
      </c>
      <c r="D119" s="42" t="s">
        <v>290</v>
      </c>
      <c r="E119" s="3"/>
      <c r="F119" s="2"/>
      <c r="G119" s="2"/>
      <c r="H119" s="2"/>
    </row>
    <row r="120" spans="1:8" ht="13" customHeight="1">
      <c r="A120" s="2"/>
      <c r="B120" s="3" t="s">
        <v>291</v>
      </c>
      <c r="C120" s="43">
        <v>127.69</v>
      </c>
      <c r="D120" s="43">
        <v>116.54</v>
      </c>
      <c r="E120" s="3"/>
      <c r="F120" s="2"/>
      <c r="G120" s="2"/>
      <c r="H120" s="2"/>
    </row>
    <row r="121" spans="1:8" ht="13" customHeight="1">
      <c r="A121" s="2"/>
      <c r="B121" s="3" t="s">
        <v>292</v>
      </c>
      <c r="C121" s="43">
        <v>46.78</v>
      </c>
      <c r="D121" s="43">
        <v>42.69</v>
      </c>
      <c r="E121" s="3"/>
      <c r="F121" s="2"/>
      <c r="G121" s="2"/>
      <c r="H121" s="2"/>
    </row>
    <row r="122" spans="1:8" ht="13" customHeight="1">
      <c r="A122" s="2"/>
      <c r="B122" s="3" t="s">
        <v>293</v>
      </c>
      <c r="C122" s="43">
        <v>150.96</v>
      </c>
      <c r="D122" s="43">
        <v>137.65</v>
      </c>
      <c r="E122" s="3"/>
      <c r="F122" s="2"/>
      <c r="G122" s="2"/>
      <c r="H122" s="2"/>
    </row>
    <row r="123" spans="1:8" ht="13" customHeight="1">
      <c r="A123" s="2"/>
      <c r="B123" s="3" t="s">
        <v>294</v>
      </c>
      <c r="C123" s="43">
        <v>62.86</v>
      </c>
      <c r="D123" s="43">
        <v>57.32</v>
      </c>
      <c r="E123" s="3"/>
      <c r="F123" s="2"/>
      <c r="G123" s="2"/>
      <c r="H123" s="2"/>
    </row>
    <row r="124" spans="1:8" ht="13" customHeight="1">
      <c r="A124" s="2"/>
      <c r="B124" s="3" t="s">
        <v>295</v>
      </c>
      <c r="C124" s="3"/>
      <c r="D124" s="3"/>
      <c r="E124" s="3"/>
      <c r="F124" s="2"/>
      <c r="G124" s="2"/>
      <c r="H124" s="2"/>
    </row>
    <row r="125" spans="1:8" ht="13" customHeight="1">
      <c r="A125" s="2"/>
      <c r="B125" s="27" t="s">
        <v>296</v>
      </c>
      <c r="C125" s="3"/>
      <c r="D125" s="3"/>
      <c r="E125" s="3"/>
      <c r="F125" s="2"/>
      <c r="G125" s="2"/>
      <c r="H125" s="2"/>
    </row>
    <row r="126" spans="1:8" ht="13" customHeight="1">
      <c r="A126" s="2"/>
      <c r="B126" s="44" t="s">
        <v>297</v>
      </c>
      <c r="C126" s="3"/>
      <c r="D126" s="3"/>
      <c r="E126" s="3"/>
      <c r="F126" s="2"/>
      <c r="G126" s="2"/>
      <c r="H126" s="2"/>
    </row>
    <row r="127" spans="1:8" ht="13" customHeight="1">
      <c r="A127" s="2"/>
      <c r="B127" s="44" t="s">
        <v>298</v>
      </c>
      <c r="C127" s="3"/>
      <c r="D127" s="3"/>
      <c r="E127" s="3"/>
      <c r="F127" s="2"/>
      <c r="G127" s="2"/>
      <c r="H127" s="2"/>
    </row>
    <row r="128" spans="1:8" ht="13" customHeight="1">
      <c r="A128" s="2"/>
      <c r="B128" s="3" t="s">
        <v>299</v>
      </c>
      <c r="C128" s="3"/>
      <c r="D128" s="3"/>
      <c r="E128" s="3"/>
      <c r="F128" s="2"/>
      <c r="G128" s="2"/>
      <c r="H128" s="2"/>
    </row>
    <row r="129" spans="1:8" ht="13" customHeight="1">
      <c r="A129" s="2"/>
      <c r="B129" s="3" t="s">
        <v>300</v>
      </c>
      <c r="C129" s="3"/>
      <c r="D129" s="3"/>
      <c r="E129" s="3"/>
      <c r="F129" s="2"/>
      <c r="G129" s="2"/>
      <c r="H129" s="2"/>
    </row>
    <row r="130" spans="1:8" ht="13" customHeight="1">
      <c r="A130" s="2"/>
      <c r="B130" s="44" t="s">
        <v>301</v>
      </c>
      <c r="C130" s="3"/>
      <c r="D130" s="3"/>
      <c r="E130" s="3"/>
      <c r="F130" s="2"/>
      <c r="G130" s="2"/>
      <c r="H130" s="2"/>
    </row>
    <row r="131" spans="1:8" ht="13" customHeight="1">
      <c r="A131" s="2"/>
      <c r="B131" s="3"/>
      <c r="C131" s="3"/>
      <c r="D131" s="3"/>
      <c r="E131" s="3"/>
      <c r="F131" s="2"/>
      <c r="G131" s="2"/>
      <c r="H131" s="2"/>
    </row>
    <row r="132" spans="1:8" ht="13" customHeight="1">
      <c r="A132" s="2"/>
      <c r="B132" s="44" t="s">
        <v>302</v>
      </c>
      <c r="C132" s="3"/>
      <c r="D132" s="3"/>
      <c r="E132" s="3"/>
      <c r="F132" s="2"/>
      <c r="G132" s="2"/>
      <c r="H132" s="2"/>
    </row>
    <row r="133" spans="1:8" ht="13" customHeight="1">
      <c r="A133" s="2"/>
      <c r="B133" s="3" t="s">
        <v>303</v>
      </c>
      <c r="C133" s="3"/>
      <c r="D133" s="3"/>
      <c r="E133" s="3"/>
      <c r="F133" s="2"/>
      <c r="G133" s="2"/>
      <c r="H133" s="2"/>
    </row>
    <row r="134" spans="1:8" ht="13" customHeight="1">
      <c r="A134" s="2"/>
      <c r="B134" s="3"/>
      <c r="C134" s="3"/>
      <c r="D134" s="3"/>
      <c r="E134" s="3"/>
      <c r="F134" s="2"/>
      <c r="G134" s="2"/>
      <c r="H134" s="2"/>
    </row>
    <row r="136" spans="1:8">
      <c r="A136" s="45" t="s">
        <v>304</v>
      </c>
      <c r="B136" s="45" t="s">
        <v>305</v>
      </c>
    </row>
    <row r="137" spans="1:8" ht="43.5">
      <c r="A137" s="46"/>
      <c r="B137" s="47" t="s">
        <v>306</v>
      </c>
      <c r="C137" s="48" t="s">
        <v>307</v>
      </c>
      <c r="D137" s="48" t="s">
        <v>308</v>
      </c>
      <c r="E137" s="48" t="s">
        <v>309</v>
      </c>
      <c r="F137" s="48" t="s">
        <v>310</v>
      </c>
    </row>
    <row r="138" spans="1:8">
      <c r="B138" s="49" t="s">
        <v>311</v>
      </c>
      <c r="C138" s="50" t="s">
        <v>312</v>
      </c>
      <c r="D138" s="51">
        <v>2280.81</v>
      </c>
      <c r="E138" s="51">
        <v>2288.8000000000002</v>
      </c>
      <c r="F138" s="51">
        <v>1007.73</v>
      </c>
    </row>
    <row r="139" spans="1:8">
      <c r="B139" s="49" t="s">
        <v>225</v>
      </c>
      <c r="C139" s="50" t="s">
        <v>312</v>
      </c>
      <c r="D139" s="51">
        <v>269.55</v>
      </c>
      <c r="E139" s="51">
        <v>273.17</v>
      </c>
      <c r="F139" s="51">
        <v>215.38</v>
      </c>
    </row>
    <row r="140" spans="1:8">
      <c r="B140" s="49" t="s">
        <v>67</v>
      </c>
      <c r="C140" s="50" t="s">
        <v>312</v>
      </c>
      <c r="D140" s="51">
        <v>270.37</v>
      </c>
      <c r="E140" s="51">
        <v>266.33999999999997</v>
      </c>
      <c r="F140" s="51">
        <v>2260.8200000000002</v>
      </c>
    </row>
    <row r="141" spans="1:8">
      <c r="B141" s="49" t="s">
        <v>282</v>
      </c>
      <c r="C141" s="50" t="s">
        <v>312</v>
      </c>
      <c r="D141" s="51">
        <v>479.49</v>
      </c>
      <c r="E141" s="51">
        <v>477</v>
      </c>
      <c r="F141" s="51">
        <v>2238.67</v>
      </c>
    </row>
    <row r="142" spans="1:8">
      <c r="B142" s="49" t="s">
        <v>106</v>
      </c>
      <c r="C142" s="50" t="s">
        <v>312</v>
      </c>
      <c r="D142" s="51">
        <v>2296.1799999999998</v>
      </c>
      <c r="E142" s="51">
        <v>2310.8000000000002</v>
      </c>
      <c r="F142" s="51">
        <v>575.55999999999995</v>
      </c>
    </row>
    <row r="143" spans="1:8">
      <c r="B143" s="49"/>
      <c r="C143" s="50"/>
      <c r="D143" s="51"/>
      <c r="E143" s="51"/>
      <c r="F143" s="51"/>
    </row>
    <row r="144" spans="1:8">
      <c r="B144" s="52"/>
      <c r="C144" s="53"/>
      <c r="D144" s="54"/>
      <c r="E144" s="54"/>
      <c r="F144" s="55"/>
    </row>
    <row r="145" spans="1:6">
      <c r="B145" s="56" t="s">
        <v>313</v>
      </c>
      <c r="C145" s="53"/>
      <c r="D145" s="54"/>
      <c r="E145" s="54"/>
      <c r="F145" s="55"/>
    </row>
    <row r="146" spans="1:6">
      <c r="B146" s="68" t="s">
        <v>314</v>
      </c>
      <c r="C146" s="69"/>
      <c r="D146" s="69"/>
      <c r="E146" s="69"/>
      <c r="F146" s="70"/>
    </row>
    <row r="147" spans="1:6">
      <c r="B147" s="57" t="s">
        <v>315</v>
      </c>
      <c r="F147" s="58"/>
    </row>
    <row r="148" spans="1:6">
      <c r="B148" s="57" t="s">
        <v>316</v>
      </c>
      <c r="F148" s="58"/>
    </row>
    <row r="149" spans="1:6">
      <c r="B149" s="57" t="s">
        <v>317</v>
      </c>
      <c r="F149" s="58"/>
    </row>
    <row r="150" spans="1:6">
      <c r="B150" s="57" t="s">
        <v>318</v>
      </c>
      <c r="F150" s="58"/>
    </row>
    <row r="151" spans="1:6">
      <c r="B151" s="59" t="s">
        <v>319</v>
      </c>
      <c r="C151" s="60"/>
      <c r="D151" s="60"/>
      <c r="E151" s="60"/>
      <c r="F151" s="61"/>
    </row>
    <row r="153" spans="1:6">
      <c r="A153" s="45" t="s">
        <v>320</v>
      </c>
      <c r="B153" s="45" t="s">
        <v>321</v>
      </c>
    </row>
    <row r="154" spans="1:6" ht="43.5">
      <c r="B154" s="47" t="s">
        <v>306</v>
      </c>
      <c r="C154" s="48" t="s">
        <v>307</v>
      </c>
      <c r="D154" s="48" t="s">
        <v>308</v>
      </c>
      <c r="E154" s="48" t="s">
        <v>309</v>
      </c>
      <c r="F154" s="48" t="s">
        <v>310</v>
      </c>
    </row>
    <row r="155" spans="1:6">
      <c r="B155" s="88" t="s">
        <v>250</v>
      </c>
      <c r="C155" s="89"/>
      <c r="D155" s="89"/>
      <c r="E155" s="89"/>
      <c r="F155" s="90"/>
    </row>
    <row r="156" spans="1:6">
      <c r="B156" s="71"/>
      <c r="C156" s="72"/>
      <c r="D156" s="72"/>
      <c r="E156" s="72"/>
      <c r="F156" s="73"/>
    </row>
    <row r="157" spans="1:6">
      <c r="A157" s="45"/>
      <c r="B157" s="56" t="s">
        <v>322</v>
      </c>
      <c r="C157" s="62"/>
      <c r="D157" s="62"/>
      <c r="E157" s="62"/>
      <c r="F157" s="63"/>
    </row>
    <row r="158" spans="1:6">
      <c r="A158" s="64"/>
      <c r="B158" s="68" t="s">
        <v>323</v>
      </c>
      <c r="C158" s="69"/>
      <c r="D158" s="69"/>
      <c r="E158" s="69"/>
      <c r="F158" s="70"/>
    </row>
    <row r="159" spans="1:6">
      <c r="B159" s="57" t="s">
        <v>324</v>
      </c>
      <c r="F159" s="58"/>
    </row>
    <row r="160" spans="1:6">
      <c r="B160" s="57" t="s">
        <v>325</v>
      </c>
      <c r="F160" s="58"/>
    </row>
    <row r="161" spans="1:6">
      <c r="B161" s="57" t="s">
        <v>326</v>
      </c>
      <c r="F161" s="58"/>
    </row>
    <row r="162" spans="1:6">
      <c r="B162" s="57" t="s">
        <v>327</v>
      </c>
      <c r="F162" s="58"/>
    </row>
    <row r="163" spans="1:6">
      <c r="B163" s="57" t="s">
        <v>328</v>
      </c>
      <c r="C163" s="60"/>
      <c r="D163" s="60"/>
      <c r="E163" s="60"/>
      <c r="F163" s="61"/>
    </row>
    <row r="164" spans="1:6">
      <c r="B164" s="53"/>
    </row>
    <row r="165" spans="1:6">
      <c r="A165" s="45" t="s">
        <v>329</v>
      </c>
      <c r="B165" s="45" t="s">
        <v>330</v>
      </c>
      <c r="C165" s="45"/>
      <c r="D165" s="45"/>
      <c r="E165" s="45"/>
      <c r="F165" s="45"/>
    </row>
    <row r="166" spans="1:6" ht="29">
      <c r="B166" s="47" t="s">
        <v>306</v>
      </c>
      <c r="C166" s="47" t="s">
        <v>331</v>
      </c>
      <c r="D166" s="47" t="s">
        <v>332</v>
      </c>
      <c r="E166" s="47" t="s">
        <v>333</v>
      </c>
      <c r="F166" s="64"/>
    </row>
    <row r="167" spans="1:6">
      <c r="B167" s="71" t="s">
        <v>250</v>
      </c>
      <c r="C167" s="72"/>
      <c r="D167" s="72"/>
      <c r="E167" s="73"/>
    </row>
    <row r="168" spans="1:6">
      <c r="A168" s="45"/>
      <c r="B168" s="67" t="s">
        <v>334</v>
      </c>
      <c r="C168" s="67"/>
      <c r="D168" s="67"/>
      <c r="E168" s="67"/>
    </row>
    <row r="169" spans="1:6">
      <c r="A169" s="64"/>
      <c r="B169" s="74" t="s">
        <v>335</v>
      </c>
      <c r="C169" s="75"/>
      <c r="D169" s="75"/>
      <c r="E169" s="76"/>
    </row>
    <row r="170" spans="1:6">
      <c r="B170" s="77"/>
      <c r="C170" s="78"/>
      <c r="D170" s="78"/>
      <c r="E170" s="79"/>
    </row>
    <row r="171" spans="1:6">
      <c r="B171" s="77"/>
      <c r="C171" s="78"/>
      <c r="D171" s="78"/>
      <c r="E171" s="79"/>
    </row>
    <row r="172" spans="1:6">
      <c r="B172" s="77"/>
      <c r="C172" s="78"/>
      <c r="D172" s="78"/>
      <c r="E172" s="79"/>
    </row>
    <row r="173" spans="1:6">
      <c r="B173" s="80"/>
      <c r="C173" s="81"/>
      <c r="D173" s="81"/>
      <c r="E173" s="82"/>
    </row>
    <row r="174" spans="1:6">
      <c r="B174" s="65"/>
      <c r="C174" s="65"/>
      <c r="D174" s="65"/>
      <c r="E174" s="65"/>
    </row>
    <row r="175" spans="1:6">
      <c r="A175" s="45" t="s">
        <v>336</v>
      </c>
      <c r="B175" s="45" t="s">
        <v>337</v>
      </c>
      <c r="C175" s="45"/>
      <c r="D175" s="45"/>
      <c r="E175" s="45"/>
      <c r="F175" s="45"/>
    </row>
    <row r="176" spans="1:6" ht="43.5">
      <c r="A176" s="64"/>
      <c r="B176" s="47" t="s">
        <v>306</v>
      </c>
      <c r="C176" s="47" t="s">
        <v>338</v>
      </c>
      <c r="D176" s="47" t="s">
        <v>339</v>
      </c>
      <c r="E176" s="47" t="s">
        <v>332</v>
      </c>
      <c r="F176" s="47" t="s">
        <v>340</v>
      </c>
    </row>
    <row r="177" spans="1:6">
      <c r="B177" s="71" t="s">
        <v>250</v>
      </c>
      <c r="C177" s="72"/>
      <c r="D177" s="72"/>
      <c r="E177" s="72"/>
      <c r="F177" s="73"/>
    </row>
    <row r="178" spans="1:6">
      <c r="B178" s="83" t="s">
        <v>341</v>
      </c>
      <c r="C178" s="84"/>
      <c r="D178" s="84"/>
      <c r="E178" s="84"/>
      <c r="F178" s="85"/>
    </row>
    <row r="179" spans="1:6">
      <c r="B179" s="66" t="s">
        <v>342</v>
      </c>
      <c r="C179" s="66"/>
      <c r="D179" s="66"/>
      <c r="E179" s="66"/>
      <c r="F179" s="67"/>
    </row>
    <row r="180" spans="1:6">
      <c r="B180" s="66"/>
      <c r="C180" s="66"/>
      <c r="D180" s="66"/>
      <c r="E180" s="66"/>
      <c r="F180" s="67"/>
    </row>
    <row r="181" spans="1:6">
      <c r="B181" s="66"/>
      <c r="C181" s="66"/>
      <c r="D181" s="66"/>
      <c r="E181" s="66"/>
      <c r="F181" s="67"/>
    </row>
    <row r="182" spans="1:6">
      <c r="B182" s="66"/>
      <c r="C182" s="66"/>
      <c r="D182" s="66"/>
      <c r="E182" s="66"/>
      <c r="F182" s="67"/>
    </row>
    <row r="183" spans="1:6">
      <c r="B183" s="66"/>
      <c r="C183" s="66"/>
      <c r="D183" s="66"/>
      <c r="E183" s="66"/>
      <c r="F183" s="67"/>
    </row>
    <row r="185" spans="1:6">
      <c r="A185" s="45" t="s">
        <v>343</v>
      </c>
      <c r="B185" s="45" t="s">
        <v>344</v>
      </c>
    </row>
    <row r="186" spans="1:6">
      <c r="F186" s="45" t="s">
        <v>345</v>
      </c>
    </row>
    <row r="187" spans="1:6">
      <c r="B187" s="45" t="s">
        <v>346</v>
      </c>
      <c r="F187" s="45" t="s">
        <v>347</v>
      </c>
    </row>
  </sheetData>
  <mergeCells count="19">
    <mergeCell ref="B156:F156"/>
    <mergeCell ref="B1:H1"/>
    <mergeCell ref="B2:H2"/>
    <mergeCell ref="B3:H3"/>
    <mergeCell ref="B4:H4"/>
    <mergeCell ref="B103:E103"/>
    <mergeCell ref="B104:E104"/>
    <mergeCell ref="B105:E105"/>
    <mergeCell ref="B106:E106"/>
    <mergeCell ref="B109:E109"/>
    <mergeCell ref="B146:F146"/>
    <mergeCell ref="B155:F155"/>
    <mergeCell ref="B179:F183"/>
    <mergeCell ref="B158:F158"/>
    <mergeCell ref="B167:E167"/>
    <mergeCell ref="B168:E168"/>
    <mergeCell ref="B169:E173"/>
    <mergeCell ref="B177:F177"/>
    <mergeCell ref="B178:F178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FA6B-278F-4268-AF2F-EA0DB6738E52}">
  <sheetPr codeName="Sheet24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6" t="s">
        <v>348</v>
      </c>
      <c r="B1" s="86"/>
      <c r="C1" s="86"/>
      <c r="D1" s="9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4" t="s">
        <v>349</v>
      </c>
      <c r="B3" s="94"/>
      <c r="C3" s="2"/>
      <c r="D3" s="2"/>
      <c r="E3" s="94" t="s">
        <v>350</v>
      </c>
      <c r="F3" s="94"/>
    </row>
    <row r="4" spans="1:6" ht="13" customHeight="1">
      <c r="A4" s="95" t="s">
        <v>351</v>
      </c>
      <c r="B4" s="95" t="s">
        <v>9</v>
      </c>
      <c r="C4" s="2"/>
      <c r="D4" s="2"/>
      <c r="E4" s="95" t="s">
        <v>352</v>
      </c>
      <c r="F4" s="95" t="s">
        <v>353</v>
      </c>
    </row>
    <row r="5" spans="1:6" ht="13" customHeight="1">
      <c r="A5" s="19" t="s">
        <v>14</v>
      </c>
      <c r="B5" s="96">
        <v>5.2400000000000002E-2</v>
      </c>
      <c r="C5" s="2"/>
      <c r="D5" s="2"/>
      <c r="E5" s="19" t="s">
        <v>354</v>
      </c>
      <c r="F5" s="96">
        <v>0.2944</v>
      </c>
    </row>
    <row r="6" spans="1:6" ht="13" customHeight="1">
      <c r="A6" s="19" t="s">
        <v>18</v>
      </c>
      <c r="B6" s="96">
        <v>5.04E-2</v>
      </c>
      <c r="C6" s="2"/>
      <c r="D6" s="2"/>
      <c r="E6" s="19" t="s">
        <v>355</v>
      </c>
      <c r="F6" s="96">
        <v>0.1032</v>
      </c>
    </row>
    <row r="7" spans="1:6" ht="13" customHeight="1">
      <c r="A7" s="19" t="s">
        <v>22</v>
      </c>
      <c r="B7" s="96">
        <v>3.78E-2</v>
      </c>
      <c r="C7" s="2"/>
      <c r="D7" s="2"/>
      <c r="E7" s="19" t="s">
        <v>356</v>
      </c>
      <c r="F7" s="96">
        <v>9.2299999999999993E-2</v>
      </c>
    </row>
    <row r="8" spans="1:6" ht="13" customHeight="1">
      <c r="A8" s="19" t="s">
        <v>25</v>
      </c>
      <c r="B8" s="96">
        <v>3.6499999999999998E-2</v>
      </c>
      <c r="C8" s="2"/>
      <c r="D8" s="2"/>
      <c r="E8" s="19" t="s">
        <v>357</v>
      </c>
      <c r="F8" s="96">
        <v>8.2600000000000007E-2</v>
      </c>
    </row>
    <row r="9" spans="1:6" ht="13" customHeight="1">
      <c r="A9" s="19" t="s">
        <v>28</v>
      </c>
      <c r="B9" s="96">
        <v>3.5999999999999997E-2</v>
      </c>
      <c r="C9" s="2"/>
      <c r="D9" s="2"/>
      <c r="E9" s="19" t="s">
        <v>358</v>
      </c>
      <c r="F9" s="96">
        <v>7.5600000000000001E-2</v>
      </c>
    </row>
    <row r="10" spans="1:6" ht="13" customHeight="1">
      <c r="A10" s="19" t="s">
        <v>32</v>
      </c>
      <c r="B10" s="96">
        <v>3.5499999999999997E-2</v>
      </c>
      <c r="C10" s="2"/>
      <c r="D10" s="2"/>
      <c r="E10" s="19" t="s">
        <v>359</v>
      </c>
      <c r="F10" s="96">
        <v>7.2800000000000004E-2</v>
      </c>
    </row>
    <row r="11" spans="1:6" ht="13" customHeight="1">
      <c r="A11" s="19" t="s">
        <v>36</v>
      </c>
      <c r="B11" s="96">
        <v>3.2199999999999999E-2</v>
      </c>
      <c r="C11" s="2"/>
      <c r="D11" s="2"/>
      <c r="E11" s="19" t="s">
        <v>16</v>
      </c>
      <c r="F11" s="96">
        <v>5.8200000000000002E-2</v>
      </c>
    </row>
    <row r="12" spans="1:6" ht="13" customHeight="1">
      <c r="A12" s="19" t="s">
        <v>40</v>
      </c>
      <c r="B12" s="96">
        <v>2.5600000000000001E-2</v>
      </c>
      <c r="C12" s="2"/>
      <c r="D12" s="2"/>
      <c r="E12" s="19" t="s">
        <v>360</v>
      </c>
      <c r="F12" s="96">
        <v>4.8300000000000003E-2</v>
      </c>
    </row>
    <row r="13" spans="1:6" ht="13" customHeight="1">
      <c r="A13" s="19" t="s">
        <v>361</v>
      </c>
      <c r="B13" s="96">
        <v>2.35E-2</v>
      </c>
      <c r="C13" s="2"/>
      <c r="D13" s="2"/>
      <c r="E13" s="19" t="s">
        <v>362</v>
      </c>
      <c r="F13" s="96">
        <v>3.2199999999999999E-2</v>
      </c>
    </row>
    <row r="14" spans="1:6" ht="13" customHeight="1">
      <c r="A14" s="19" t="s">
        <v>48</v>
      </c>
      <c r="B14" s="96">
        <v>2.1100000000000001E-2</v>
      </c>
      <c r="C14" s="2"/>
      <c r="D14" s="2"/>
      <c r="E14" s="19" t="s">
        <v>363</v>
      </c>
      <c r="F14" s="96">
        <v>2.5600000000000001E-2</v>
      </c>
    </row>
    <row r="15" spans="1:6" ht="13" customHeight="1">
      <c r="A15" s="2"/>
      <c r="B15" s="2"/>
      <c r="C15" s="2"/>
      <c r="D15" s="2"/>
      <c r="E15" s="19" t="s">
        <v>90</v>
      </c>
      <c r="F15" s="96">
        <v>2.41E-2</v>
      </c>
    </row>
    <row r="16" spans="1:6" ht="13" customHeight="1">
      <c r="A16" s="2"/>
      <c r="B16" s="2"/>
      <c r="C16" s="2"/>
      <c r="D16" s="2"/>
      <c r="E16" s="19" t="s">
        <v>171</v>
      </c>
      <c r="F16" s="96">
        <v>2.01E-2</v>
      </c>
    </row>
    <row r="17" spans="1:6" ht="13" customHeight="1">
      <c r="A17" s="2"/>
      <c r="B17" s="2"/>
      <c r="C17" s="2"/>
      <c r="D17" s="2"/>
      <c r="E17" s="19" t="s">
        <v>364</v>
      </c>
      <c r="F17" s="96">
        <v>1.9599999999999999E-2</v>
      </c>
    </row>
    <row r="18" spans="1:6" ht="13" customHeight="1">
      <c r="A18" s="2"/>
      <c r="B18" s="2"/>
      <c r="C18" s="2"/>
      <c r="D18" s="2"/>
      <c r="E18" s="19" t="s">
        <v>365</v>
      </c>
      <c r="F18" s="96">
        <v>1.9400000000000001E-2</v>
      </c>
    </row>
    <row r="19" spans="1:6" ht="13" customHeight="1">
      <c r="A19" s="2"/>
      <c r="B19" s="2"/>
      <c r="C19" s="2"/>
      <c r="D19" s="2"/>
      <c r="E19" s="19" t="s">
        <v>268</v>
      </c>
      <c r="F19" s="96">
        <v>1.8599999999999998E-2</v>
      </c>
    </row>
    <row r="20" spans="1:6" ht="13" customHeight="1">
      <c r="A20" s="2"/>
      <c r="B20" s="2"/>
      <c r="C20" s="2"/>
      <c r="D20" s="2"/>
      <c r="E20" s="19" t="s">
        <v>366</v>
      </c>
      <c r="F20" s="96">
        <v>8.0000000000000002E-3</v>
      </c>
    </row>
    <row r="21" spans="1:6" ht="13" customHeight="1">
      <c r="A21" s="2"/>
      <c r="B21" s="2"/>
      <c r="C21" s="2"/>
      <c r="D21" s="2"/>
      <c r="E21" s="19" t="s">
        <v>367</v>
      </c>
      <c r="F21" s="96">
        <v>4.8999999999999998E-3</v>
      </c>
    </row>
    <row r="22" spans="1:6" ht="13" customHeight="1">
      <c r="A22" s="2"/>
      <c r="B22" s="2"/>
      <c r="C22" s="2"/>
      <c r="D22" s="2"/>
      <c r="E22" s="95" t="s">
        <v>368</v>
      </c>
      <c r="F22" s="9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JR_PAGE_ANCHOR_0_18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2026-05-09T13:42:21Z</dcterms:created>
  <dcterms:modified xsi:type="dcterms:W3CDTF">2026-05-09T15:24:58Z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2026-05-09T13:42:25Z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6427b581-61c4-415d-9bc1-dbbdc66f4412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