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8D00BE8-BFC2-4658-9C18-D233C965B8FD}" xr6:coauthVersionLast="47" xr6:coauthVersionMax="47" xr10:uidLastSave="{00000000-0000-0000-0000-000000000000}"/>
  <bookViews>
    <workbookView xWindow="-120" yWindow="-120" windowWidth="29040" windowHeight="15720" xr2:uid="{C6F6634C-AC19-4A48-8A34-A11152B7316A}"/>
  </bookViews>
  <sheets>
    <sheet name="Contra Fund" sheetId="1" r:id="rId1"/>
    <sheet name="RC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4">RCF!$A$1</definedName>
    <definedName name="JR_PAGE_ANCHOR_0_25">'Contra Fund'!$A$1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 l="1"/>
  <c r="F109" i="1"/>
  <c r="F110" i="1" s="1"/>
  <c r="G82" i="1"/>
  <c r="F82" i="1"/>
</calcChain>
</file>

<file path=xl/sharedStrings.xml><?xml version="1.0" encoding="utf-8"?>
<sst xmlns="http://schemas.openxmlformats.org/spreadsheetml/2006/main" count="492" uniqueCount="379">
  <si>
    <t>RCF</t>
  </si>
  <si>
    <t>INVESCO MUTUAL FUND</t>
  </si>
  <si>
    <t>Monthly Portfolio Statement as on October 31, 2025</t>
  </si>
  <si>
    <t>Invesco India Contra Fund
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</si>
  <si>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</si>
  <si>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</si>
  <si>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</si>
  <si>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</si>
  <si>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</si>
  <si>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</si>
  <si>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</si>
  <si>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</si>
  <si>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</si>
  <si>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</si>
  <si>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</si>
  <si>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</si>
  <si>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</si>
  <si>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</si>
  <si>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</si>
  <si>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</si>
  <si>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</si>
  <si>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</si>
  <si>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</si>
  <si>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</si>
  <si>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</si>
  <si>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</si>
  <si>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</si>
  <si>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</si>
  <si>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</si>
  <si>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</si>
  <si>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</si>
  <si>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</si>
  <si>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</si>
  <si>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</si>
  <si>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</si>
  <si>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</si>
  <si>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</si>
  <si>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</si>
  <si>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</si>
  <si>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</si>
  <si>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</si>
  <si>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</si>
  <si>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</si>
  <si>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</si>
  <si>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Limited ‡</t>
  </si>
  <si>
    <t>INE121A01024</t>
  </si>
  <si>
    <t>Finance</t>
  </si>
  <si>
    <t>NITL02</t>
  </si>
  <si>
    <t>Coforge Limited</t>
  </si>
  <si>
    <t>INE591G01025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</si>
  <si>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</si>
  <si>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</si>
  <si>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</si>
  <si>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</si>
  <si>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</si>
  <si>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</si>
  <si>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</si>
  <si>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</si>
  <si>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PREP01</t>
  </si>
  <si>
    <t>Prestige Estates Projects Limited</t>
  </si>
  <si>
    <t>INE811K01011</t>
  </si>
  <si>
    <t>Realty</t>
  </si>
  <si>
    <t>KOMA02</t>
  </si>
  <si>
    <t>Kotak Mahindra Bank Limited</t>
  </si>
  <si>
    <t>INE237A01028</t>
  </si>
  <si>
    <t>FEBA02</t>
  </si>
  <si>
    <t>The Federal Bank  Limited</t>
  </si>
  <si>
    <t>INE171A01029</t>
  </si>
  <si>
    <t>GLPH03</t>
  </si>
  <si>
    <t>Glenmark Pharmaceuticals Limited</t>
  </si>
  <si>
    <t>INE935A01035</t>
  </si>
  <si>
    <t>Pharmaceuticals &amp; Biotechnology</t>
  </si>
  <si>
    <t>LTIL01</t>
  </si>
  <si>
    <t>LTIMindtree Limited</t>
  </si>
  <si>
    <t>INE214T01019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</si>
  <si>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</si>
  <si>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</si>
  <si>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</si>
  <si>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</si>
  <si>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</si>
  <si>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</si>
  <si>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</si>
  <si>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HPEC01</t>
  </si>
  <si>
    <t>Hindustan Petroleum Corporation Limited</t>
  </si>
  <si>
    <t>INE094A01015</t>
  </si>
  <si>
    <t>KEII02</t>
  </si>
  <si>
    <t>KEI Industries Limited</t>
  </si>
  <si>
    <t>INE878B01027</t>
  </si>
  <si>
    <t>Industrial Products</t>
  </si>
  <si>
    <t>AVSP01</t>
  </si>
  <si>
    <t>Avenue Supermarts Limited ‡</t>
  </si>
  <si>
    <t>INE192R01011</t>
  </si>
  <si>
    <t>FSNE01</t>
  </si>
  <si>
    <t>FSN E-Commerce Ventures Limited ‡</t>
  </si>
  <si>
    <t>INE388Y01029</t>
  </si>
  <si>
    <t>MKIP01</t>
  </si>
  <si>
    <t>Mankind Pharma Limited</t>
  </si>
  <si>
    <t>INE634S01028</t>
  </si>
  <si>
    <t>BSEL02</t>
  </si>
  <si>
    <t>BSE Limited</t>
  </si>
  <si>
    <t>INE118H01025</t>
  </si>
  <si>
    <t>Capital Markets</t>
  </si>
  <si>
    <t>ILOM01</t>
  </si>
  <si>
    <t>ICICI Lombard General Insurance Company Limited</t>
  </si>
  <si>
    <t>INE765G01017</t>
  </si>
  <si>
    <t>Insurance</t>
  </si>
  <si>
    <t>GHPL01</t>
  </si>
  <si>
    <t>Global Health Limited</t>
  </si>
  <si>
    <t>INE474Q01031</t>
  </si>
  <si>
    <t>SUVP01</t>
  </si>
  <si>
    <t>Cohance Lifesciences Limited</t>
  </si>
  <si>
    <t>INE03QK01018</t>
  </si>
  <si>
    <t>LUPL02</t>
  </si>
  <si>
    <t>Lupin Limited</t>
  </si>
  <si>
    <t>INE326A01037</t>
  </si>
  <si>
    <t>VNBL03</t>
  </si>
  <si>
    <t>Varun Beverages Ltd</t>
  </si>
  <si>
    <t>INE200M01039</t>
  </si>
  <si>
    <t>Beverages</t>
  </si>
  <si>
    <t>SHYA01</t>
  </si>
  <si>
    <t>Shyam Metalics and Energy Limited</t>
  </si>
  <si>
    <t>INE810G01011</t>
  </si>
  <si>
    <t>MCEX01</t>
  </si>
  <si>
    <t>Multi Commodity Exchange of India Limited</t>
  </si>
  <si>
    <t>INE745G01035</t>
  </si>
  <si>
    <t>GUAM02</t>
  </si>
  <si>
    <t>Ambuja Cements Limited</t>
  </si>
  <si>
    <t>INE079A01024</t>
  </si>
  <si>
    <t>Cement &amp; Cement Products</t>
  </si>
  <si>
    <t>DIVI02</t>
  </si>
  <si>
    <t>Divi's Laboratories Limited</t>
  </si>
  <si>
    <t>INE361B01024</t>
  </si>
  <si>
    <t>BKBA02</t>
  </si>
  <si>
    <t>Bank of Baroda</t>
  </si>
  <si>
    <t>INE028A01039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</si>
  <si>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</si>
  <si>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</si>
  <si>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</si>
  <si>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</si>
  <si>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</si>
  <si>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</si>
  <si>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</si>
  <si>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KALJ01</t>
  </si>
  <si>
    <t>Kalyan Jewellers India Limited</t>
  </si>
  <si>
    <t>INE303R01014</t>
  </si>
  <si>
    <t>Consumer Durables</t>
  </si>
  <si>
    <t>VOLT02</t>
  </si>
  <si>
    <t>Voltas Limited ‡</t>
  </si>
  <si>
    <t>INE226A01021</t>
  </si>
  <si>
    <t>CENT02</t>
  </si>
  <si>
    <t>Aditya Birla Real Estate Limited</t>
  </si>
  <si>
    <t>INE055A01016</t>
  </si>
  <si>
    <t>Paper, Forest &amp; Jute Products</t>
  </si>
  <si>
    <t>CRAF01</t>
  </si>
  <si>
    <t>Craftsman Automation Limited</t>
  </si>
  <si>
    <t>INE00LO01017</t>
  </si>
  <si>
    <t>TAHO01</t>
  </si>
  <si>
    <t>Honeywell Automation India Limited</t>
  </si>
  <si>
    <t>INE671A01010</t>
  </si>
  <si>
    <t>Industrial Manufacturing</t>
  </si>
  <si>
    <t>ENTE01</t>
  </si>
  <si>
    <t>Entero Healthcare Solutions Ltd</t>
  </si>
  <si>
    <t>INE010601016</t>
  </si>
  <si>
    <t>SUZE02</t>
  </si>
  <si>
    <t>Suzlon Energy Limited</t>
  </si>
  <si>
    <t>INE040H01021</t>
  </si>
  <si>
    <t>Electrical Equipment</t>
  </si>
  <si>
    <t>SLIF01</t>
  </si>
  <si>
    <t>SBI Life Insurance Company Limited</t>
  </si>
  <si>
    <t>INE123W01016</t>
  </si>
  <si>
    <t>AAHF01</t>
  </si>
  <si>
    <t>Aadhar Housing Finance Limited</t>
  </si>
  <si>
    <t>INE883F01010</t>
  </si>
  <si>
    <t>ZLSP01</t>
  </si>
  <si>
    <t>Black Buck Ltd</t>
  </si>
  <si>
    <t>INE0UIZ01018</t>
  </si>
  <si>
    <t>Transport Services</t>
  </si>
  <si>
    <t>DEVY01</t>
  </si>
  <si>
    <t>Devyani International Limited</t>
  </si>
  <si>
    <t>INE872J01023</t>
  </si>
  <si>
    <t>Leisure Services</t>
  </si>
  <si>
    <t>TIIN01</t>
  </si>
  <si>
    <t>Timken India Limited</t>
  </si>
  <si>
    <t>INE325A01013</t>
  </si>
  <si>
    <t>HDBF01</t>
  </si>
  <si>
    <t>HDB Financial Services Limited</t>
  </si>
  <si>
    <t>INE756I01012</t>
  </si>
  <si>
    <t>JYCN01</t>
  </si>
  <si>
    <t>Jyoti CNC Automation Ltd</t>
  </si>
  <si>
    <t>INE980O01024</t>
  </si>
  <si>
    <t>SSNL02</t>
  </si>
  <si>
    <t>Delhivery Limited</t>
  </si>
  <si>
    <t>INE148O01028</t>
  </si>
  <si>
    <t>SHTR02</t>
  </si>
  <si>
    <t>Shriram Finance Limited</t>
  </si>
  <si>
    <t>INE721A01047</t>
  </si>
  <si>
    <t>BFLS01</t>
  </si>
  <si>
    <t>MphasiS Limited</t>
  </si>
  <si>
    <t>INE356A01018</t>
  </si>
  <si>
    <t>VMAR01</t>
  </si>
  <si>
    <t>V-Mart Retail Limited</t>
  </si>
  <si>
    <t>INE665J01013</t>
  </si>
  <si>
    <t>JBCH03</t>
  </si>
  <si>
    <t>J B Chemicals and Pharma Ltd</t>
  </si>
  <si>
    <t>INE572A01036</t>
  </si>
  <si>
    <t>KELV01</t>
  </si>
  <si>
    <t>Whirlpool of India Limited</t>
  </si>
  <si>
    <t>INE716A01013</t>
  </si>
  <si>
    <t>SOSO03</t>
  </si>
  <si>
    <t>Sonata Software Limited</t>
  </si>
  <si>
    <t>INE269A01021</t>
  </si>
  <si>
    <t>AFCI01</t>
  </si>
  <si>
    <t>Afcons Infrastructure Limited</t>
  </si>
  <si>
    <t>INE101I01011</t>
  </si>
  <si>
    <t>CGCE01</t>
  </si>
  <si>
    <t>Crompton Greaves Consumer Electricals Limited</t>
  </si>
  <si>
    <t>INE299U01018</t>
  </si>
  <si>
    <t>HLEL02</t>
  </si>
  <si>
    <t>Hindustan Unilever Limited</t>
  </si>
  <si>
    <t>INE030A01027</t>
  </si>
  <si>
    <t>Diversified FMCG</t>
  </si>
  <si>
    <t>JUFL02</t>
  </si>
  <si>
    <t>Jubilant Foodworks Limited</t>
  </si>
  <si>
    <t>INE797F01020</t>
  </si>
  <si>
    <t>MEDP01</t>
  </si>
  <si>
    <t>MedPlus Health Services Limited</t>
  </si>
  <si>
    <t>INE804L01022</t>
  </si>
  <si>
    <t>BRIT03</t>
  </si>
  <si>
    <t>Britannia Industries Limited</t>
  </si>
  <si>
    <t>INE216A01030</t>
  </si>
  <si>
    <t>Food Products</t>
  </si>
  <si>
    <t>DENI02</t>
  </si>
  <si>
    <t>Deepak Nitrite Limited</t>
  </si>
  <si>
    <t>INE288B01029</t>
  </si>
  <si>
    <t>Chemicals &amp; Petrochemicals</t>
  </si>
  <si>
    <t>OCPL02</t>
  </si>
  <si>
    <t>Orchid Pharma Limited</t>
  </si>
  <si>
    <t>INE191A01027</t>
  </si>
  <si>
    <t>ASPA02</t>
  </si>
  <si>
    <t>Asian Paints Limited</t>
  </si>
  <si>
    <t>INE021A01026</t>
  </si>
  <si>
    <t>BLTE01</t>
  </si>
  <si>
    <t>Swiggy Limited</t>
  </si>
  <si>
    <t>INE00H001014</t>
  </si>
  <si>
    <t>WOPA02</t>
  </si>
  <si>
    <t>Wockhardt Limited</t>
  </si>
  <si>
    <t>INE049B01025</t>
  </si>
  <si>
    <t>BALI02</t>
  </si>
  <si>
    <t>Balkrishna Industries Limited</t>
  </si>
  <si>
    <t>INE787D01026</t>
  </si>
  <si>
    <t>TCAL01</t>
  </si>
  <si>
    <t>Tata Capital Limited</t>
  </si>
  <si>
    <t>INE976I01016</t>
  </si>
  <si>
    <t>Sub Total</t>
  </si>
  <si>
    <t>(b) Unlisted</t>
  </si>
  <si>
    <t>Nil</t>
  </si>
  <si>
    <t>Total</t>
  </si>
  <si>
    <t>Derivatives</t>
  </si>
  <si>
    <t>Index / Stock Futures</t>
  </si>
  <si>
    <t>JUFLNOV25</t>
  </si>
  <si>
    <t>Jubilant Foodworks Limited November 2025 Future</t>
  </si>
  <si>
    <t>FSNENOV25</t>
  </si>
  <si>
    <t>FSN E-Commerce Ventures Limited November 2025 Future</t>
  </si>
  <si>
    <t>HLELNOV25</t>
  </si>
  <si>
    <t>Hindustan Unilever Limited November 2025 Future</t>
  </si>
  <si>
    <t>ASPANOV25</t>
  </si>
  <si>
    <t>Asian Paints Limited November 2025 Future</t>
  </si>
  <si>
    <t>BFLSNOV25</t>
  </si>
  <si>
    <t>Mphasis Limited November 2025 Future</t>
  </si>
  <si>
    <t>LUPLNOV25</t>
  </si>
  <si>
    <t>Lupin Limited November 2025 Future</t>
  </si>
  <si>
    <t>HPECNOV25</t>
  </si>
  <si>
    <t>Hindustan Petroleum Corporation Limited November 2025 Future</t>
  </si>
  <si>
    <t>VOLTNOV25</t>
  </si>
  <si>
    <t>Voltas Limited November 2025 Future</t>
  </si>
  <si>
    <t>LARSNOV25</t>
  </si>
  <si>
    <t>Larsen &amp; Toubro Limited November 2025 Future</t>
  </si>
  <si>
    <t>CGCENOV25</t>
  </si>
  <si>
    <t>Crompton Greaves Consumer Electricals Limited November 2025 Future</t>
  </si>
  <si>
    <t>GLPHNOV25</t>
  </si>
  <si>
    <t>Glenmark Pharmaceuticals Limited November 2025 Future</t>
  </si>
  <si>
    <t>Money Market Instruments</t>
  </si>
  <si>
    <t>TREPS / Reverse Repo</t>
  </si>
  <si>
    <t>TRP_031125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</si>
  <si>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</si>
  <si>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</si>
  <si>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</si>
  <si>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</si>
  <si>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</si>
  <si>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</si>
  <si>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</si>
  <si>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</si>
  <si>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</si>
  <si>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</si>
  <si>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</si>
  <si>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</si>
  <si>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</si>
  <si>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</si>
  <si>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</si>
  <si>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Voltas Limited</t>
  </si>
  <si>
    <t>FSN E-Commerce Ventures Limited</t>
  </si>
  <si>
    <t xml:space="preserve">Avenue Supermarts Limited </t>
  </si>
  <si>
    <t xml:space="preserve">Cholamandalam Investment and Finance Company Ltd 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</si>
  <si>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</si>
  <si>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</si>
  <si>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</si>
  <si>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</si>
  <si>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</si>
  <si>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</si>
  <si>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October 31, 2025:` 55,690.99 Lakhs. for details on derivative positions during the month ended October 31, 2025, please 
       refer to Derivative Disclosure table.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</si>
  <si>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</si>
  <si>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</si>
  <si>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A.</t>
  </si>
  <si>
    <t>Hedging Positions through Futures as on October 31,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</si>
  <si>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</si>
  <si>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</si>
  <si>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</si>
  <si>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</si>
  <si>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</si>
  <si>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</si>
  <si>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</si>
  <si>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2.76%</t>
  </si>
  <si>
    <t>Details of hedging transactions through futures which have been squared off  / expired during the period ended October 31, 2025 are as follows:</t>
  </si>
  <si>
    <t>Total Number of contracts where futures were bought : Nil</t>
  </si>
  <si>
    <t>Total Number of contracts where futures were sold : 7,901</t>
  </si>
  <si>
    <t>Gross Notional Value of contracts where futures were bought : Nil</t>
  </si>
  <si>
    <t>Gross Notional Value of contracts where futures were sold : 5,709,207,784</t>
  </si>
  <si>
    <t>Net Profit/(Loss) value on all contracts combined : 117,774,887</t>
  </si>
  <si>
    <t>B.</t>
  </si>
  <si>
    <t>Other than Hedging Positions through Futures as on October 31, 2025</t>
  </si>
  <si>
    <t>Total exposure due to futures (non hedging positions) as a %age of net assets : Nil</t>
  </si>
  <si>
    <t>Details of non-hedging transactions through futures which have been squared off  / expired during the period ended October 31,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</si>
  <si>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</si>
  <si>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</si>
  <si>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</si>
  <si>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</si>
  <si>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</si>
  <si>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</si>
  <si>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</si>
  <si>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</si>
  <si>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</si>
  <si>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</si>
  <si>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</si>
  <si>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October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</si>
  <si>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</si>
  <si>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</si>
  <si>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</si>
  <si>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</si>
  <si>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</si>
  <si>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</si>
  <si>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October 31, 2025 are as follows:
Total Number of contracts entered into : Nil
Gross Notional Value of contracts : Nil
Net Profit/(Loss) on all contracts (premium paid treated as loss) : Nil</t>
  </si>
  <si>
    <t>E.</t>
  </si>
  <si>
    <t>Hedging Positions through swaps as on October 31,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</si>
  <si>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</si>
  <si>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</si>
  <si>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</si>
  <si>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</si>
  <si>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</si>
  <si>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</si>
  <si>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</si>
  <si>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</si>
  <si>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</si>
  <si>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</si>
  <si>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</si>
  <si>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Information Technology</t>
  </si>
  <si>
    <t>Consumer Services</t>
  </si>
  <si>
    <t>Capital Goods</t>
  </si>
  <si>
    <t>Automobile and Auto Components</t>
  </si>
  <si>
    <t>Clearing Corporation of India Ltd</t>
  </si>
  <si>
    <t>Cholamandalam Investment and Finance Company Ltd</t>
  </si>
  <si>
    <t>Oil Gas &amp; Consumable Fuels</t>
  </si>
  <si>
    <t>Fast Moving Consumer Goods</t>
  </si>
  <si>
    <t>Telecommunication</t>
  </si>
  <si>
    <t>Services</t>
  </si>
  <si>
    <t>Construction Materials</t>
  </si>
  <si>
    <t>Forest Materials</t>
  </si>
  <si>
    <t>Cash &amp; Cash Equivalent: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</si>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</sst>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#,##0.000;\(#,##0.0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164" fontId="9" fillId="0" borderId="18" xfId="0" applyNumberFormat="1" applyFont="1" applyBorder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/>
    <xf numFmtId="0" fontId="2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5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35B2CEE5-B362-4292-B475-97BD97BD7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1</xdr:col>
      <xdr:colOff>2857500</xdr:colOff>
      <xdr:row>201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87EF-0F36-4951-8149-BCB27A474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351853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7</xdr:col>
      <xdr:colOff>406400</xdr:colOff>
      <xdr:row>201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A12CFF-0409-4AF1-AA9D-1B121420C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351853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AAB0-65F7-4E60-870E-2B903B565394}">
  <sheetPr codeName="Sheet14">
    <outlinePr summaryBelow="0"/>
  </sheetPr>
  <dimension ref="A1:H190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.100000000000001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75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2.95" customHeight="1" thickBot="1">
      <c r="A4" s="2"/>
      <c r="B4" s="88"/>
      <c r="C4" s="88"/>
      <c r="D4" s="88"/>
      <c r="E4" s="88"/>
      <c r="F4" s="88"/>
      <c r="G4" s="88"/>
      <c r="H4" s="8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14891768</v>
      </c>
      <c r="F8" s="14">
        <v>147026.43</v>
      </c>
      <c r="G8" s="14">
        <v>7.29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9076843</v>
      </c>
      <c r="F9" s="14">
        <v>122110.77</v>
      </c>
      <c r="G9" s="14">
        <v>6.05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6341218</v>
      </c>
      <c r="F10" s="14">
        <v>93995.87</v>
      </c>
      <c r="G10" s="14">
        <v>4.66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2222444</v>
      </c>
      <c r="F11" s="14">
        <v>77501.070000000007</v>
      </c>
      <c r="G11" s="14">
        <v>3.84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1900679</v>
      </c>
      <c r="F12" s="14">
        <v>76614.47</v>
      </c>
      <c r="G12" s="14">
        <v>3.8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5201150</v>
      </c>
      <c r="F13" s="14">
        <v>64119.78</v>
      </c>
      <c r="G13" s="14">
        <v>3.18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17860293</v>
      </c>
      <c r="F14" s="14">
        <v>56751.08</v>
      </c>
      <c r="G14" s="14">
        <v>2.81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54678.04</v>
      </c>
      <c r="G15" s="14">
        <v>2.71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2912482</v>
      </c>
      <c r="F16" s="14">
        <v>49418.99</v>
      </c>
      <c r="G16" s="14">
        <v>2.4500000000000002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2498445</v>
      </c>
      <c r="F17" s="14">
        <v>44424.85</v>
      </c>
      <c r="G17" s="14">
        <v>2.2000000000000002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2628845</v>
      </c>
      <c r="F18" s="14">
        <v>41184.800000000003</v>
      </c>
      <c r="G18" s="14">
        <v>2.04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8805427</v>
      </c>
      <c r="F19" s="14">
        <v>37519.919999999998</v>
      </c>
      <c r="G19" s="14">
        <v>1.86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1995932</v>
      </c>
      <c r="F20" s="14">
        <v>34823.03</v>
      </c>
      <c r="G20" s="14">
        <v>1.73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1636532</v>
      </c>
      <c r="F21" s="14">
        <v>34403.18</v>
      </c>
      <c r="G21" s="14">
        <v>1.71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14499174</v>
      </c>
      <c r="F22" s="14">
        <v>34306.5</v>
      </c>
      <c r="G22" s="14">
        <v>1.7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1662235</v>
      </c>
      <c r="F23" s="14">
        <v>31436.19</v>
      </c>
      <c r="G23" s="14">
        <v>1.56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547713</v>
      </c>
      <c r="F24" s="14">
        <v>31134.75</v>
      </c>
      <c r="G24" s="14">
        <v>1.54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2057710</v>
      </c>
      <c r="F25" s="14">
        <v>30585.8</v>
      </c>
      <c r="G25" s="14">
        <v>1.52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27</v>
      </c>
      <c r="E26" s="13">
        <v>871427</v>
      </c>
      <c r="F26" s="14">
        <v>30575.759999999998</v>
      </c>
      <c r="G26" s="14">
        <v>1.52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78</v>
      </c>
      <c r="E27" s="13">
        <v>6392739</v>
      </c>
      <c r="F27" s="14">
        <v>30429.439999999999</v>
      </c>
      <c r="G27" s="14">
        <v>1.51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724423</v>
      </c>
      <c r="F28" s="14">
        <v>29208.74</v>
      </c>
      <c r="G28" s="14">
        <v>1.45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38</v>
      </c>
      <c r="E29" s="13">
        <v>692795</v>
      </c>
      <c r="F29" s="14">
        <v>28775.24</v>
      </c>
      <c r="G29" s="14">
        <v>1.43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38</v>
      </c>
      <c r="E30" s="13">
        <v>11328363</v>
      </c>
      <c r="F30" s="14">
        <v>28087.54</v>
      </c>
      <c r="G30" s="14">
        <v>1.39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71</v>
      </c>
      <c r="E31" s="13">
        <v>1103081</v>
      </c>
      <c r="F31" s="14">
        <v>26297.45</v>
      </c>
      <c r="G31" s="14">
        <v>1.3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1038635</v>
      </c>
      <c r="F32" s="14">
        <v>25747.759999999998</v>
      </c>
      <c r="G32" s="14">
        <v>1.28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1275814</v>
      </c>
      <c r="F33" s="14">
        <v>25435.9</v>
      </c>
      <c r="G33" s="14">
        <v>1.26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42</v>
      </c>
      <c r="E34" s="13">
        <v>1937567</v>
      </c>
      <c r="F34" s="14">
        <v>25411.19</v>
      </c>
      <c r="G34" s="14">
        <v>1.26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71</v>
      </c>
      <c r="E35" s="13">
        <v>3323946</v>
      </c>
      <c r="F35" s="14">
        <v>25042.61</v>
      </c>
      <c r="G35" s="14">
        <v>1.24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71</v>
      </c>
      <c r="E36" s="13">
        <v>1270258</v>
      </c>
      <c r="F36" s="14">
        <v>24941.52</v>
      </c>
      <c r="G36" s="14">
        <v>1.24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5128275</v>
      </c>
      <c r="F37" s="14">
        <v>24084.94</v>
      </c>
      <c r="G37" s="14">
        <v>1.19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88</v>
      </c>
      <c r="E38" s="13">
        <v>2738799</v>
      </c>
      <c r="F38" s="14">
        <v>24042.55</v>
      </c>
      <c r="G38" s="14">
        <v>1.19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101</v>
      </c>
      <c r="E39" s="13">
        <v>252959</v>
      </c>
      <c r="F39" s="14">
        <v>23382.27</v>
      </c>
      <c r="G39" s="14">
        <v>1.1599999999999999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4127441</v>
      </c>
      <c r="F40" s="14">
        <v>23336.55</v>
      </c>
      <c r="G40" s="14">
        <v>1.1599999999999999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71</v>
      </c>
      <c r="E41" s="13">
        <v>326135</v>
      </c>
      <c r="F41" s="14">
        <v>21974.98</v>
      </c>
      <c r="G41" s="14">
        <v>1.0900000000000001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16</v>
      </c>
      <c r="E42" s="13">
        <v>7294435</v>
      </c>
      <c r="F42" s="14">
        <v>20307.71</v>
      </c>
      <c r="G42" s="14">
        <v>1.01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16</v>
      </c>
      <c r="E43" s="13">
        <v>2512769</v>
      </c>
      <c r="F43" s="14">
        <v>19971.490000000002</v>
      </c>
      <c r="G43" s="14">
        <v>0.99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17560989</v>
      </c>
      <c r="F44" s="14">
        <v>18507.53</v>
      </c>
      <c r="G44" s="14">
        <v>0.92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3578375</v>
      </c>
      <c r="F45" s="14">
        <v>18238.98</v>
      </c>
      <c r="G45" s="14">
        <v>0.9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145</v>
      </c>
      <c r="E46" s="13">
        <v>1316816</v>
      </c>
      <c r="F46" s="14">
        <v>18219.47</v>
      </c>
      <c r="G46" s="14">
        <v>0.9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969327</v>
      </c>
      <c r="F47" s="14">
        <v>18191.36</v>
      </c>
      <c r="G47" s="14">
        <v>0.9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141</v>
      </c>
      <c r="E48" s="13">
        <v>270195</v>
      </c>
      <c r="F48" s="14">
        <v>18049.03</v>
      </c>
      <c r="G48" s="14">
        <v>0.89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48973</v>
      </c>
      <c r="F49" s="14">
        <v>17872.7</v>
      </c>
      <c r="G49" s="14">
        <v>0.89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38</v>
      </c>
      <c r="E50" s="13">
        <v>1577379</v>
      </c>
      <c r="F50" s="14">
        <v>17436.349999999999</v>
      </c>
      <c r="G50" s="14">
        <v>0.86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28264022</v>
      </c>
      <c r="F51" s="14">
        <v>16760.57</v>
      </c>
      <c r="G51" s="14">
        <v>0.83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105</v>
      </c>
      <c r="E52" s="13">
        <v>856436</v>
      </c>
      <c r="F52" s="14">
        <v>16749.32</v>
      </c>
      <c r="G52" s="14">
        <v>0.83</v>
      </c>
      <c r="H52" s="15"/>
    </row>
    <row r="53" spans="1:8" ht="12.95" customHeight="1">
      <c r="A53" s="1" t="s">
        <v>170</v>
      </c>
      <c r="B53" s="11" t="s">
        <v>171</v>
      </c>
      <c r="C53" s="12" t="s">
        <v>172</v>
      </c>
      <c r="D53" s="8" t="s">
        <v>46</v>
      </c>
      <c r="E53" s="13">
        <v>3115367</v>
      </c>
      <c r="F53" s="14">
        <v>15883.7</v>
      </c>
      <c r="G53" s="14">
        <v>0.79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2283692</v>
      </c>
      <c r="F54" s="14">
        <v>15629.59</v>
      </c>
      <c r="G54" s="14">
        <v>0.77</v>
      </c>
      <c r="H54" s="15"/>
    </row>
    <row r="55" spans="1:8" ht="12.95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9417175</v>
      </c>
      <c r="F55" s="14">
        <v>15236.99</v>
      </c>
      <c r="G55" s="14">
        <v>0.76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88</v>
      </c>
      <c r="E56" s="13">
        <v>480033</v>
      </c>
      <c r="F56" s="14">
        <v>15092.24</v>
      </c>
      <c r="G56" s="14">
        <v>0.75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46</v>
      </c>
      <c r="E57" s="13">
        <v>1767425</v>
      </c>
      <c r="F57" s="14">
        <v>12925.18</v>
      </c>
      <c r="G57" s="14">
        <v>0.64</v>
      </c>
      <c r="H57" s="15"/>
    </row>
    <row r="58" spans="1:8" ht="12.95" customHeight="1">
      <c r="A58" s="1" t="s">
        <v>187</v>
      </c>
      <c r="B58" s="11" t="s">
        <v>188</v>
      </c>
      <c r="C58" s="12" t="s">
        <v>189</v>
      </c>
      <c r="D58" s="8" t="s">
        <v>159</v>
      </c>
      <c r="E58" s="13">
        <v>1403614</v>
      </c>
      <c r="F58" s="14">
        <v>12127.22</v>
      </c>
      <c r="G58" s="14">
        <v>0.6</v>
      </c>
      <c r="H58" s="15"/>
    </row>
    <row r="59" spans="1:8" ht="12.95" customHeight="1">
      <c r="A59" s="1" t="s">
        <v>190</v>
      </c>
      <c r="B59" s="11" t="s">
        <v>191</v>
      </c>
      <c r="C59" s="12" t="s">
        <v>192</v>
      </c>
      <c r="D59" s="8" t="s">
        <v>176</v>
      </c>
      <c r="E59" s="13">
        <v>2534333</v>
      </c>
      <c r="F59" s="14">
        <v>11808.72</v>
      </c>
      <c r="G59" s="14">
        <v>0.59</v>
      </c>
      <c r="H59" s="15"/>
    </row>
    <row r="60" spans="1:8" ht="12.95" customHeight="1">
      <c r="A60" s="1" t="s">
        <v>193</v>
      </c>
      <c r="B60" s="11" t="s">
        <v>194</v>
      </c>
      <c r="C60" s="12" t="s">
        <v>195</v>
      </c>
      <c r="D60" s="8" t="s">
        <v>46</v>
      </c>
      <c r="E60" s="13">
        <v>1463768</v>
      </c>
      <c r="F60" s="14">
        <v>10962.16</v>
      </c>
      <c r="G60" s="14">
        <v>0.54</v>
      </c>
      <c r="H60" s="15"/>
    </row>
    <row r="61" spans="1:8" ht="12.95" customHeight="1">
      <c r="A61" s="1" t="s">
        <v>196</v>
      </c>
      <c r="B61" s="11" t="s">
        <v>197</v>
      </c>
      <c r="C61" s="12" t="s">
        <v>198</v>
      </c>
      <c r="D61" s="8" t="s">
        <v>23</v>
      </c>
      <c r="E61" s="13">
        <v>390536</v>
      </c>
      <c r="F61" s="14">
        <v>10795.98</v>
      </c>
      <c r="G61" s="14">
        <v>0.54</v>
      </c>
      <c r="H61" s="15"/>
    </row>
    <row r="62" spans="1:8" ht="12.95" customHeight="1">
      <c r="A62" s="1" t="s">
        <v>199</v>
      </c>
      <c r="B62" s="11" t="s">
        <v>200</v>
      </c>
      <c r="C62" s="12" t="s">
        <v>201</v>
      </c>
      <c r="D62" s="8" t="s">
        <v>38</v>
      </c>
      <c r="E62" s="13">
        <v>1235108</v>
      </c>
      <c r="F62" s="14">
        <v>10244.6</v>
      </c>
      <c r="G62" s="14">
        <v>0.51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71</v>
      </c>
      <c r="E63" s="13">
        <v>598684</v>
      </c>
      <c r="F63" s="14">
        <v>10071.66</v>
      </c>
      <c r="G63" s="14">
        <v>0.5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145</v>
      </c>
      <c r="E64" s="13">
        <v>713410</v>
      </c>
      <c r="F64" s="14">
        <v>9981.32</v>
      </c>
      <c r="G64" s="14">
        <v>0.49</v>
      </c>
      <c r="H64" s="15"/>
    </row>
    <row r="65" spans="1:8" ht="12.95" customHeight="1">
      <c r="A65" s="1" t="s">
        <v>208</v>
      </c>
      <c r="B65" s="11" t="s">
        <v>209</v>
      </c>
      <c r="C65" s="12" t="s">
        <v>210</v>
      </c>
      <c r="D65" s="8" t="s">
        <v>23</v>
      </c>
      <c r="E65" s="13">
        <v>2691799</v>
      </c>
      <c r="F65" s="14">
        <v>9955.6200000000008</v>
      </c>
      <c r="G65" s="14">
        <v>0.49</v>
      </c>
      <c r="H65" s="15"/>
    </row>
    <row r="66" spans="1:8" ht="12.95" customHeight="1">
      <c r="A66" s="1" t="s">
        <v>211</v>
      </c>
      <c r="B66" s="11" t="s">
        <v>212</v>
      </c>
      <c r="C66" s="12" t="s">
        <v>213</v>
      </c>
      <c r="D66" s="8" t="s">
        <v>31</v>
      </c>
      <c r="E66" s="13">
        <v>2182960</v>
      </c>
      <c r="F66" s="14">
        <v>9780.75</v>
      </c>
      <c r="G66" s="14">
        <v>0.48</v>
      </c>
      <c r="H66" s="15"/>
    </row>
    <row r="67" spans="1:8" ht="12.95" customHeight="1">
      <c r="A67" s="1" t="s">
        <v>214</v>
      </c>
      <c r="B67" s="11" t="s">
        <v>215</v>
      </c>
      <c r="C67" s="12" t="s">
        <v>216</v>
      </c>
      <c r="D67" s="8" t="s">
        <v>145</v>
      </c>
      <c r="E67" s="13">
        <v>3358145</v>
      </c>
      <c r="F67" s="14">
        <v>9493.48</v>
      </c>
      <c r="G67" s="14">
        <v>0.47</v>
      </c>
      <c r="H67" s="15"/>
    </row>
    <row r="68" spans="1:8" ht="12.95" customHeight="1">
      <c r="A68" s="1" t="s">
        <v>217</v>
      </c>
      <c r="B68" s="11" t="s">
        <v>218</v>
      </c>
      <c r="C68" s="12" t="s">
        <v>219</v>
      </c>
      <c r="D68" s="8" t="s">
        <v>220</v>
      </c>
      <c r="E68" s="13">
        <v>381126</v>
      </c>
      <c r="F68" s="14">
        <v>9396.66</v>
      </c>
      <c r="G68" s="14">
        <v>0.47</v>
      </c>
      <c r="H68" s="15"/>
    </row>
    <row r="69" spans="1:8" ht="12.95" customHeight="1">
      <c r="A69" s="1" t="s">
        <v>221</v>
      </c>
      <c r="B69" s="11" t="s">
        <v>222</v>
      </c>
      <c r="C69" s="12" t="s">
        <v>223</v>
      </c>
      <c r="D69" s="8" t="s">
        <v>180</v>
      </c>
      <c r="E69" s="13">
        <v>1464024</v>
      </c>
      <c r="F69" s="14">
        <v>8752.67</v>
      </c>
      <c r="G69" s="14">
        <v>0.43</v>
      </c>
      <c r="H69" s="15"/>
    </row>
    <row r="70" spans="1:8" ht="12.95" customHeight="1">
      <c r="A70" s="1" t="s">
        <v>224</v>
      </c>
      <c r="B70" s="11" t="s">
        <v>225</v>
      </c>
      <c r="C70" s="12" t="s">
        <v>226</v>
      </c>
      <c r="D70" s="8" t="s">
        <v>38</v>
      </c>
      <c r="E70" s="13">
        <v>1094617</v>
      </c>
      <c r="F70" s="14">
        <v>8350.2900000000009</v>
      </c>
      <c r="G70" s="14">
        <v>0.41</v>
      </c>
      <c r="H70" s="15"/>
    </row>
    <row r="71" spans="1:8" ht="12.95" customHeight="1">
      <c r="A71" s="1" t="s">
        <v>227</v>
      </c>
      <c r="B71" s="11" t="s">
        <v>228</v>
      </c>
      <c r="C71" s="12" t="s">
        <v>229</v>
      </c>
      <c r="D71" s="8" t="s">
        <v>230</v>
      </c>
      <c r="E71" s="13">
        <v>143022</v>
      </c>
      <c r="F71" s="14">
        <v>8347.48</v>
      </c>
      <c r="G71" s="14">
        <v>0.41</v>
      </c>
      <c r="H71" s="15"/>
    </row>
    <row r="72" spans="1:8" ht="12.95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417600</v>
      </c>
      <c r="F72" s="14">
        <v>7217.8</v>
      </c>
      <c r="G72" s="14">
        <v>0.36</v>
      </c>
      <c r="H72" s="15"/>
    </row>
    <row r="73" spans="1:8" ht="12.95" customHeight="1">
      <c r="A73" s="1" t="s">
        <v>235</v>
      </c>
      <c r="B73" s="11" t="s">
        <v>236</v>
      </c>
      <c r="C73" s="12" t="s">
        <v>237</v>
      </c>
      <c r="D73" s="8" t="s">
        <v>71</v>
      </c>
      <c r="E73" s="13">
        <v>990763</v>
      </c>
      <c r="F73" s="14">
        <v>7195.91</v>
      </c>
      <c r="G73" s="14">
        <v>0.36</v>
      </c>
      <c r="H73" s="15"/>
    </row>
    <row r="74" spans="1:8" ht="12.95" customHeight="1">
      <c r="A74" s="1" t="s">
        <v>238</v>
      </c>
      <c r="B74" s="11" t="s">
        <v>239</v>
      </c>
      <c r="C74" s="12" t="s">
        <v>240</v>
      </c>
      <c r="D74" s="8" t="s">
        <v>145</v>
      </c>
      <c r="E74" s="13">
        <v>282626</v>
      </c>
      <c r="F74" s="14">
        <v>7096.17</v>
      </c>
      <c r="G74" s="14">
        <v>0.35</v>
      </c>
      <c r="H74" s="15"/>
    </row>
    <row r="75" spans="1:8" ht="12.95" customHeight="1">
      <c r="A75" s="1" t="s">
        <v>241</v>
      </c>
      <c r="B75" s="11" t="s">
        <v>242</v>
      </c>
      <c r="C75" s="12" t="s">
        <v>243</v>
      </c>
      <c r="D75" s="8" t="s">
        <v>38</v>
      </c>
      <c r="E75" s="13">
        <v>1543690</v>
      </c>
      <c r="F75" s="14">
        <v>6328.36</v>
      </c>
      <c r="G75" s="14">
        <v>0.31</v>
      </c>
      <c r="H75" s="15"/>
    </row>
    <row r="76" spans="1:8" ht="12.95" customHeight="1">
      <c r="A76" s="1" t="s">
        <v>244</v>
      </c>
      <c r="B76" s="11" t="s">
        <v>245</v>
      </c>
      <c r="C76" s="12" t="s">
        <v>246</v>
      </c>
      <c r="D76" s="8" t="s">
        <v>71</v>
      </c>
      <c r="E76" s="13">
        <v>466063</v>
      </c>
      <c r="F76" s="14">
        <v>5972.6</v>
      </c>
      <c r="G76" s="14">
        <v>0.3</v>
      </c>
      <c r="H76" s="15"/>
    </row>
    <row r="77" spans="1:8" ht="12.95" customHeight="1">
      <c r="A77" s="1" t="s">
        <v>247</v>
      </c>
      <c r="B77" s="11" t="s">
        <v>248</v>
      </c>
      <c r="C77" s="12" t="s">
        <v>249</v>
      </c>
      <c r="D77" s="8" t="s">
        <v>141</v>
      </c>
      <c r="E77" s="13">
        <v>241724</v>
      </c>
      <c r="F77" s="14">
        <v>5510.82</v>
      </c>
      <c r="G77" s="14">
        <v>0.27</v>
      </c>
      <c r="H77" s="15"/>
    </row>
    <row r="78" spans="1:8" ht="12.95" customHeight="1">
      <c r="A78" s="1" t="s">
        <v>250</v>
      </c>
      <c r="B78" s="11" t="s">
        <v>251</v>
      </c>
      <c r="C78" s="12" t="s">
        <v>252</v>
      </c>
      <c r="D78" s="8" t="s">
        <v>46</v>
      </c>
      <c r="E78" s="13">
        <v>766820</v>
      </c>
      <c r="F78" s="14">
        <v>2509.8000000000002</v>
      </c>
      <c r="G78" s="14">
        <v>0.12</v>
      </c>
      <c r="H78" s="15"/>
    </row>
    <row r="79" spans="1:8" ht="12.95" customHeight="1">
      <c r="A79" s="2"/>
      <c r="B79" s="7" t="s">
        <v>253</v>
      </c>
      <c r="C79" s="8"/>
      <c r="D79" s="8"/>
      <c r="E79" s="8"/>
      <c r="F79" s="16">
        <v>1935782.24</v>
      </c>
      <c r="G79" s="16">
        <v>95.95</v>
      </c>
      <c r="H79" s="17"/>
    </row>
    <row r="80" spans="1:8" ht="12.95" customHeight="1">
      <c r="A80" s="2"/>
      <c r="B80" s="18" t="s">
        <v>254</v>
      </c>
      <c r="C80" s="19"/>
      <c r="D80" s="19"/>
      <c r="E80" s="20"/>
      <c r="F80" s="21" t="s">
        <v>255</v>
      </c>
      <c r="G80" s="21" t="s">
        <v>255</v>
      </c>
      <c r="H80" s="22" t="s">
        <v>255</v>
      </c>
    </row>
    <row r="81" spans="1:8" ht="12.95" customHeight="1">
      <c r="A81" s="2"/>
      <c r="B81" s="23" t="s">
        <v>253</v>
      </c>
      <c r="C81" s="24"/>
      <c r="D81" s="24"/>
      <c r="E81" s="21"/>
      <c r="F81" s="21" t="s">
        <v>255</v>
      </c>
      <c r="G81" s="21" t="s">
        <v>255</v>
      </c>
      <c r="H81" s="22" t="s">
        <v>255</v>
      </c>
    </row>
    <row r="82" spans="1:8" ht="12.95" customHeight="1">
      <c r="A82" s="2"/>
      <c r="B82" s="18" t="s">
        <v>256</v>
      </c>
      <c r="C82" s="19"/>
      <c r="D82" s="19"/>
      <c r="E82" s="25"/>
      <c r="F82" s="16">
        <f>F79</f>
        <v>1935782.24</v>
      </c>
      <c r="G82" s="16">
        <f>G79</f>
        <v>95.95</v>
      </c>
      <c r="H82" s="22"/>
    </row>
    <row r="83" spans="1:8" ht="12.95" customHeight="1">
      <c r="A83" s="2"/>
      <c r="B83" s="7" t="s">
        <v>257</v>
      </c>
      <c r="C83" s="8"/>
      <c r="D83" s="8"/>
      <c r="E83" s="8"/>
      <c r="F83" s="8"/>
      <c r="G83" s="8"/>
      <c r="H83" s="9"/>
    </row>
    <row r="84" spans="1:8" ht="12.95" customHeight="1">
      <c r="A84" s="2"/>
      <c r="B84" s="7" t="s">
        <v>258</v>
      </c>
      <c r="C84" s="10"/>
      <c r="D84" s="10"/>
      <c r="E84" s="8"/>
      <c r="F84" s="8"/>
      <c r="G84" s="8"/>
      <c r="H84" s="9"/>
    </row>
    <row r="85" spans="1:8" ht="12.95" customHeight="1">
      <c r="A85" s="1" t="s">
        <v>259</v>
      </c>
      <c r="B85" s="11" t="s">
        <v>260</v>
      </c>
      <c r="C85" s="12"/>
      <c r="D85" s="8" t="s">
        <v>180</v>
      </c>
      <c r="E85" s="13">
        <v>2277500</v>
      </c>
      <c r="F85" s="14">
        <v>13685.5</v>
      </c>
      <c r="G85" s="14">
        <v>0.68</v>
      </c>
      <c r="H85" s="15"/>
    </row>
    <row r="86" spans="1:8" ht="12.95" customHeight="1">
      <c r="A86" s="1" t="s">
        <v>261</v>
      </c>
      <c r="B86" s="11" t="s">
        <v>262</v>
      </c>
      <c r="C86" s="12"/>
      <c r="D86" s="8" t="s">
        <v>38</v>
      </c>
      <c r="E86" s="13">
        <v>4390625</v>
      </c>
      <c r="F86" s="14">
        <v>10928.27</v>
      </c>
      <c r="G86" s="14">
        <v>0.54</v>
      </c>
      <c r="H86" s="15"/>
    </row>
    <row r="87" spans="1:8" ht="12.95" customHeight="1">
      <c r="A87" s="1" t="s">
        <v>263</v>
      </c>
      <c r="B87" s="11" t="s">
        <v>264</v>
      </c>
      <c r="C87" s="12"/>
      <c r="D87" s="8" t="s">
        <v>220</v>
      </c>
      <c r="E87" s="13">
        <v>381000</v>
      </c>
      <c r="F87" s="14">
        <v>9381.74</v>
      </c>
      <c r="G87" s="14">
        <v>0.47</v>
      </c>
      <c r="H87" s="15"/>
    </row>
    <row r="88" spans="1:8" ht="12.95" customHeight="1">
      <c r="A88" s="1" t="s">
        <v>265</v>
      </c>
      <c r="B88" s="11" t="s">
        <v>266</v>
      </c>
      <c r="C88" s="12"/>
      <c r="D88" s="8" t="s">
        <v>145</v>
      </c>
      <c r="E88" s="13">
        <v>334000</v>
      </c>
      <c r="F88" s="14">
        <v>8426.82</v>
      </c>
      <c r="G88" s="14">
        <v>0.42</v>
      </c>
      <c r="H88" s="15"/>
    </row>
    <row r="89" spans="1:8" ht="12.95" customHeight="1">
      <c r="A89" s="1" t="s">
        <v>267</v>
      </c>
      <c r="B89" s="11" t="s">
        <v>268</v>
      </c>
      <c r="C89" s="12"/>
      <c r="D89" s="8" t="s">
        <v>23</v>
      </c>
      <c r="E89" s="13">
        <v>220000</v>
      </c>
      <c r="F89" s="14">
        <v>6119.08</v>
      </c>
      <c r="G89" s="14">
        <v>0.3</v>
      </c>
      <c r="H89" s="15"/>
    </row>
    <row r="90" spans="1:8" ht="12.95" customHeight="1">
      <c r="A90" s="1" t="s">
        <v>269</v>
      </c>
      <c r="B90" s="11" t="s">
        <v>270</v>
      </c>
      <c r="C90" s="12"/>
      <c r="D90" s="8" t="s">
        <v>71</v>
      </c>
      <c r="E90" s="13">
        <v>140250</v>
      </c>
      <c r="F90" s="14">
        <v>2773.3</v>
      </c>
      <c r="G90" s="14">
        <v>0.14000000000000001</v>
      </c>
      <c r="H90" s="15"/>
    </row>
    <row r="91" spans="1:8" ht="12.95" customHeight="1">
      <c r="A91" s="1" t="s">
        <v>271</v>
      </c>
      <c r="B91" s="11" t="s">
        <v>272</v>
      </c>
      <c r="C91" s="12"/>
      <c r="D91" s="8" t="s">
        <v>78</v>
      </c>
      <c r="E91" s="13">
        <v>259200</v>
      </c>
      <c r="F91" s="14">
        <v>1228.3499999999999</v>
      </c>
      <c r="G91" s="14">
        <v>0.06</v>
      </c>
      <c r="H91" s="15"/>
    </row>
    <row r="92" spans="1:8" ht="12.95" customHeight="1">
      <c r="A92" s="1" t="s">
        <v>273</v>
      </c>
      <c r="B92" s="11" t="s">
        <v>274</v>
      </c>
      <c r="C92" s="12"/>
      <c r="D92" s="8" t="s">
        <v>145</v>
      </c>
      <c r="E92" s="13">
        <v>89625</v>
      </c>
      <c r="F92" s="14">
        <v>1226.25</v>
      </c>
      <c r="G92" s="14">
        <v>0.06</v>
      </c>
      <c r="H92" s="15"/>
    </row>
    <row r="93" spans="1:8" ht="12.95" customHeight="1">
      <c r="A93" s="1" t="s">
        <v>275</v>
      </c>
      <c r="B93" s="11" t="s">
        <v>276</v>
      </c>
      <c r="C93" s="12"/>
      <c r="D93" s="8" t="s">
        <v>31</v>
      </c>
      <c r="E93" s="13">
        <v>24675</v>
      </c>
      <c r="F93" s="14">
        <v>1000.35</v>
      </c>
      <c r="G93" s="14">
        <v>0.05</v>
      </c>
      <c r="H93" s="15"/>
    </row>
    <row r="94" spans="1:8" ht="12.95" customHeight="1">
      <c r="A94" s="1" t="s">
        <v>277</v>
      </c>
      <c r="B94" s="11" t="s">
        <v>278</v>
      </c>
      <c r="C94" s="12"/>
      <c r="D94" s="8" t="s">
        <v>145</v>
      </c>
      <c r="E94" s="13">
        <v>228600</v>
      </c>
      <c r="F94" s="14">
        <v>650.14</v>
      </c>
      <c r="G94" s="14">
        <v>0.03</v>
      </c>
      <c r="H94" s="15"/>
    </row>
    <row r="95" spans="1:8" ht="12.95" customHeight="1">
      <c r="A95" s="1" t="s">
        <v>279</v>
      </c>
      <c r="B95" s="11" t="s">
        <v>280</v>
      </c>
      <c r="C95" s="12"/>
      <c r="D95" s="8" t="s">
        <v>71</v>
      </c>
      <c r="E95" s="13">
        <v>14250</v>
      </c>
      <c r="F95" s="14">
        <v>271.19</v>
      </c>
      <c r="G95" s="14">
        <v>0.01</v>
      </c>
      <c r="H95" s="15"/>
    </row>
    <row r="96" spans="1:8" ht="12.95" customHeight="1">
      <c r="A96" s="2"/>
      <c r="B96" s="7" t="s">
        <v>253</v>
      </c>
      <c r="C96" s="8"/>
      <c r="D96" s="8"/>
      <c r="E96" s="8"/>
      <c r="F96" s="16">
        <v>55690.99</v>
      </c>
      <c r="G96" s="16">
        <v>2.76</v>
      </c>
      <c r="H96" s="17"/>
    </row>
    <row r="97" spans="1:8" ht="12.95" customHeight="1">
      <c r="A97" s="2"/>
      <c r="B97" s="18" t="s">
        <v>256</v>
      </c>
      <c r="C97" s="19"/>
      <c r="D97" s="19"/>
      <c r="E97" s="25"/>
      <c r="F97" s="16">
        <v>55690.99</v>
      </c>
      <c r="G97" s="16">
        <v>2.76</v>
      </c>
      <c r="H97" s="22"/>
    </row>
    <row r="98" spans="1:8" ht="12.95" customHeight="1">
      <c r="A98" s="2"/>
      <c r="B98" s="7" t="s">
        <v>281</v>
      </c>
      <c r="C98" s="8"/>
      <c r="D98" s="8"/>
      <c r="E98" s="8"/>
      <c r="F98" s="8"/>
      <c r="G98" s="8"/>
      <c r="H98" s="9"/>
    </row>
    <row r="99" spans="1:8" ht="12.95" customHeight="1">
      <c r="A99" s="2"/>
      <c r="B99" s="7" t="s">
        <v>282</v>
      </c>
      <c r="C99" s="10"/>
      <c r="D99" s="10"/>
      <c r="E99" s="8"/>
      <c r="F99" s="8"/>
      <c r="G99" s="8"/>
      <c r="H99" s="9"/>
    </row>
    <row r="100" spans="1:8" ht="12.95" customHeight="1">
      <c r="A100" s="1" t="s">
        <v>283</v>
      </c>
      <c r="B100" s="11" t="s">
        <v>284</v>
      </c>
      <c r="C100" s="12"/>
      <c r="D100" s="8"/>
      <c r="E100" s="13"/>
      <c r="F100" s="14">
        <v>58897.21</v>
      </c>
      <c r="G100" s="14">
        <v>2.92</v>
      </c>
      <c r="H100" s="15">
        <v>5.5745598146315987E-2</v>
      </c>
    </row>
    <row r="101" spans="1:8" ht="12.95" customHeight="1">
      <c r="A101" s="2"/>
      <c r="B101" s="7" t="s">
        <v>253</v>
      </c>
      <c r="C101" s="8"/>
      <c r="D101" s="8"/>
      <c r="E101" s="8"/>
      <c r="F101" s="16">
        <v>58897.21</v>
      </c>
      <c r="G101" s="16">
        <v>2.92</v>
      </c>
      <c r="H101" s="17"/>
    </row>
    <row r="102" spans="1:8" ht="12.95" customHeight="1">
      <c r="A102" s="2"/>
      <c r="B102" s="18" t="s">
        <v>256</v>
      </c>
      <c r="C102" s="19"/>
      <c r="D102" s="19"/>
      <c r="E102" s="25"/>
      <c r="F102" s="16">
        <v>58897.21</v>
      </c>
      <c r="G102" s="16">
        <v>2.92</v>
      </c>
      <c r="H102" s="22"/>
    </row>
    <row r="103" spans="1:8" ht="12.95" customHeight="1">
      <c r="A103" s="2"/>
      <c r="B103" s="7" t="s">
        <v>285</v>
      </c>
      <c r="C103" s="8"/>
      <c r="D103" s="8"/>
      <c r="E103" s="8"/>
      <c r="F103" s="8"/>
      <c r="G103" s="8"/>
      <c r="H103" s="9"/>
    </row>
    <row r="104" spans="1:8" ht="12.95" customHeight="1">
      <c r="A104" s="2"/>
      <c r="B104" s="7" t="s">
        <v>286</v>
      </c>
      <c r="C104" s="10"/>
      <c r="D104" s="10"/>
      <c r="E104" s="8"/>
      <c r="F104" s="8"/>
      <c r="G104" s="8"/>
      <c r="H104" s="9"/>
    </row>
    <row r="105" spans="1:8" ht="12.95" customHeight="1">
      <c r="A105" s="1" t="s">
        <v>287</v>
      </c>
      <c r="B105" s="11" t="s">
        <v>288</v>
      </c>
      <c r="C105" s="12" t="s">
        <v>289</v>
      </c>
      <c r="D105" s="8"/>
      <c r="E105" s="26">
        <v>136321.26699999999</v>
      </c>
      <c r="F105" s="14">
        <v>5030.03</v>
      </c>
      <c r="G105" s="14">
        <v>0.25</v>
      </c>
      <c r="H105" s="15"/>
    </row>
    <row r="106" spans="1:8" ht="12.95" customHeight="1">
      <c r="A106" s="2"/>
      <c r="B106" s="7" t="s">
        <v>253</v>
      </c>
      <c r="C106" s="8"/>
      <c r="D106" s="8"/>
      <c r="E106" s="8"/>
      <c r="F106" s="16">
        <v>5030.03</v>
      </c>
      <c r="G106" s="16">
        <v>0.25</v>
      </c>
      <c r="H106" s="17"/>
    </row>
    <row r="107" spans="1:8" ht="12.95" customHeight="1">
      <c r="A107" s="2"/>
      <c r="B107" s="7" t="s">
        <v>290</v>
      </c>
      <c r="C107" s="8"/>
      <c r="D107" s="8"/>
      <c r="E107" s="8"/>
      <c r="F107" s="27"/>
      <c r="G107" s="28"/>
      <c r="H107" s="17"/>
    </row>
    <row r="108" spans="1:8" ht="12.95" customHeight="1">
      <c r="A108" s="1" t="s">
        <v>291</v>
      </c>
      <c r="B108" s="11" t="s">
        <v>292</v>
      </c>
      <c r="C108" s="12" t="s">
        <v>293</v>
      </c>
      <c r="D108" s="8" t="s">
        <v>27</v>
      </c>
      <c r="E108" s="13">
        <v>3485708</v>
      </c>
      <c r="F108" s="14">
        <v>351.76</v>
      </c>
      <c r="G108" s="14">
        <v>0.02</v>
      </c>
      <c r="H108" s="15"/>
    </row>
    <row r="109" spans="1:8" ht="12.95" customHeight="1">
      <c r="A109" s="2"/>
      <c r="B109" s="7" t="s">
        <v>253</v>
      </c>
      <c r="C109" s="8"/>
      <c r="D109" s="8"/>
      <c r="E109" s="8"/>
      <c r="F109" s="16">
        <f>F108</f>
        <v>351.76</v>
      </c>
      <c r="G109" s="16">
        <v>0.02</v>
      </c>
      <c r="H109" s="17"/>
    </row>
    <row r="110" spans="1:8" ht="12.95" customHeight="1">
      <c r="A110" s="2"/>
      <c r="B110" s="18" t="s">
        <v>256</v>
      </c>
      <c r="C110" s="19"/>
      <c r="D110" s="19"/>
      <c r="E110" s="25"/>
      <c r="F110" s="16">
        <f>F106+F109</f>
        <v>5381.79</v>
      </c>
      <c r="G110" s="16">
        <f>G106+G109</f>
        <v>0.27</v>
      </c>
      <c r="H110" s="22"/>
    </row>
    <row r="111" spans="1:8" ht="12.95" customHeight="1">
      <c r="A111" s="2"/>
      <c r="B111" s="18" t="s">
        <v>294</v>
      </c>
      <c r="C111" s="19"/>
      <c r="D111" s="19"/>
      <c r="E111" s="8"/>
      <c r="F111" s="16">
        <v>-38448.769999999997</v>
      </c>
      <c r="G111" s="16">
        <v>-1.9</v>
      </c>
      <c r="H111" s="22"/>
    </row>
    <row r="112" spans="1:8" ht="12.95" customHeight="1" thickBot="1">
      <c r="A112" s="2"/>
      <c r="B112" s="29" t="s">
        <v>295</v>
      </c>
      <c r="C112" s="30"/>
      <c r="D112" s="30"/>
      <c r="E112" s="30"/>
      <c r="F112" s="31">
        <v>2017303.46</v>
      </c>
      <c r="G112" s="32">
        <v>100</v>
      </c>
      <c r="H112" s="33"/>
    </row>
    <row r="113" spans="1:8" ht="12.95" customHeight="1">
      <c r="A113" s="2"/>
      <c r="B113" s="87"/>
      <c r="C113" s="87"/>
      <c r="D113" s="87"/>
      <c r="E113" s="87"/>
      <c r="F113" s="2"/>
      <c r="G113" s="2"/>
      <c r="H113" s="2"/>
    </row>
    <row r="114" spans="1:8" ht="12.95" customHeight="1">
      <c r="A114" s="2"/>
      <c r="B114" s="91" t="s">
        <v>296</v>
      </c>
      <c r="C114" s="91"/>
      <c r="D114" s="91"/>
      <c r="E114" s="91"/>
      <c r="F114" s="34"/>
      <c r="G114" s="34"/>
      <c r="H114" s="2"/>
    </row>
    <row r="115" spans="1:8" ht="12.95" customHeight="1">
      <c r="A115" s="2"/>
      <c r="B115" s="35" t="s">
        <v>297</v>
      </c>
      <c r="C115" s="36" t="s">
        <v>298</v>
      </c>
      <c r="F115" s="34"/>
      <c r="G115" s="34"/>
      <c r="H115" s="2"/>
    </row>
    <row r="116" spans="1:8" ht="12.95" customHeight="1">
      <c r="A116" s="2"/>
      <c r="B116" s="37" t="s">
        <v>299</v>
      </c>
      <c r="C116" s="38">
        <v>261875</v>
      </c>
      <c r="F116" s="2"/>
      <c r="G116" s="2"/>
      <c r="H116" s="2"/>
    </row>
    <row r="117" spans="1:8" ht="12.95" customHeight="1">
      <c r="A117" s="2"/>
      <c r="B117" s="37" t="s">
        <v>300</v>
      </c>
      <c r="C117" s="38">
        <v>870280</v>
      </c>
      <c r="F117" s="2"/>
      <c r="G117" s="2"/>
      <c r="H117" s="2"/>
    </row>
    <row r="118" spans="1:8" ht="12.95" customHeight="1">
      <c r="A118" s="2"/>
      <c r="B118" s="37" t="s">
        <v>301</v>
      </c>
      <c r="C118" s="38">
        <v>136000</v>
      </c>
      <c r="F118" s="2"/>
      <c r="G118" s="2"/>
      <c r="H118" s="2"/>
    </row>
    <row r="119" spans="1:8" ht="12.95" customHeight="1">
      <c r="A119" s="2"/>
      <c r="B119" s="37" t="s">
        <v>302</v>
      </c>
      <c r="C119" s="39">
        <v>279278</v>
      </c>
      <c r="F119" s="2"/>
      <c r="G119" s="2"/>
      <c r="H119" s="2"/>
    </row>
    <row r="120" spans="1:8" ht="12.95" customHeight="1">
      <c r="A120" s="2"/>
      <c r="B120" s="87"/>
      <c r="C120" s="87"/>
      <c r="D120" s="87"/>
      <c r="E120" s="87"/>
      <c r="F120" s="2"/>
      <c r="G120" s="2"/>
      <c r="H120" s="2"/>
    </row>
    <row r="121" spans="1:8" ht="12.95" customHeight="1">
      <c r="A121" s="2"/>
      <c r="B121" s="89" t="s">
        <v>303</v>
      </c>
      <c r="C121" s="89"/>
      <c r="D121" s="89"/>
      <c r="E121" s="89"/>
      <c r="F121" s="2"/>
      <c r="G121" s="2"/>
      <c r="H121" s="2"/>
    </row>
    <row r="122" spans="1:8" ht="12.95" customHeight="1">
      <c r="A122" s="2"/>
      <c r="B122" s="87" t="s">
        <v>304</v>
      </c>
      <c r="C122" s="87"/>
      <c r="D122" s="87"/>
      <c r="E122" s="87"/>
      <c r="F122" s="2"/>
      <c r="G122" s="2"/>
      <c r="H122" s="2"/>
    </row>
    <row r="123" spans="1:8" ht="12.95" customHeight="1">
      <c r="A123" s="2"/>
      <c r="B123" s="87" t="s">
        <v>305</v>
      </c>
      <c r="C123" s="87"/>
      <c r="D123" s="87"/>
      <c r="E123" s="87"/>
      <c r="F123" s="2"/>
      <c r="G123" s="2"/>
      <c r="H123" s="2"/>
    </row>
    <row r="124" spans="1:8" ht="12.95" customHeight="1">
      <c r="A124" s="2"/>
      <c r="B124" s="87"/>
      <c r="C124" s="87"/>
      <c r="D124" s="87"/>
      <c r="E124" s="87"/>
      <c r="F124" s="2"/>
      <c r="G124" s="2"/>
      <c r="H124" s="2"/>
    </row>
    <row r="125" spans="1:8" ht="12.95" customHeight="1">
      <c r="A125" s="2"/>
      <c r="B125" s="88"/>
      <c r="C125" s="88"/>
      <c r="D125" s="88"/>
      <c r="E125" s="88"/>
      <c r="F125" s="2"/>
      <c r="G125" s="2"/>
      <c r="H125" s="2"/>
    </row>
    <row r="126" spans="1:8" ht="12.95" customHeight="1">
      <c r="A126" s="2"/>
      <c r="B126" s="87" t="s">
        <v>306</v>
      </c>
      <c r="C126" s="87"/>
      <c r="D126" s="87"/>
      <c r="E126" s="87"/>
      <c r="F126" s="2"/>
      <c r="G126" s="2"/>
      <c r="H126" s="2"/>
    </row>
    <row r="127" spans="1:8" ht="12.95" customHeight="1">
      <c r="A127" s="2"/>
      <c r="B127" s="88" t="s">
        <v>307</v>
      </c>
      <c r="C127" s="88"/>
      <c r="D127" s="88"/>
      <c r="E127" s="88"/>
      <c r="F127" s="2"/>
      <c r="G127" s="2"/>
      <c r="H127" s="2"/>
    </row>
    <row r="128" spans="1:8" ht="12.95" customHeight="1">
      <c r="A128" s="2"/>
      <c r="B128" s="88" t="s">
        <v>308</v>
      </c>
      <c r="C128" s="88"/>
      <c r="D128" s="88"/>
      <c r="E128" s="88"/>
      <c r="F128" s="2"/>
      <c r="G128" s="2"/>
      <c r="H128" s="2"/>
    </row>
    <row r="129" spans="1:6">
      <c r="B129" s="88" t="s">
        <v>309</v>
      </c>
      <c r="C129" s="88"/>
      <c r="D129" s="88"/>
      <c r="E129" s="88"/>
    </row>
    <row r="130" spans="1:6">
      <c r="B130" s="88" t="s">
        <v>310</v>
      </c>
      <c r="C130" s="88"/>
      <c r="D130" s="88"/>
      <c r="E130" s="88"/>
    </row>
    <row r="131" spans="1:6">
      <c r="A131" s="40"/>
      <c r="B131" s="88" t="s">
        <v>311</v>
      </c>
      <c r="C131" s="88"/>
      <c r="D131" s="88"/>
      <c r="E131" s="88"/>
      <c r="F131" s="41"/>
    </row>
    <row r="132" spans="1:6">
      <c r="F132" s="42"/>
    </row>
    <row r="133" spans="1:6">
      <c r="A133" s="43" t="s">
        <v>312</v>
      </c>
      <c r="B133" s="43" t="s">
        <v>313</v>
      </c>
    </row>
    <row r="134" spans="1:6" ht="45">
      <c r="A134" s="40"/>
      <c r="B134" s="44" t="s">
        <v>314</v>
      </c>
      <c r="C134" s="45" t="s">
        <v>315</v>
      </c>
      <c r="D134" s="45" t="s">
        <v>316</v>
      </c>
      <c r="E134" s="45" t="s">
        <v>317</v>
      </c>
      <c r="F134" s="45" t="s">
        <v>318</v>
      </c>
    </row>
    <row r="135" spans="1:6">
      <c r="B135" s="46" t="s">
        <v>239</v>
      </c>
      <c r="C135" s="47" t="s">
        <v>319</v>
      </c>
      <c r="D135" s="48">
        <v>2537.39</v>
      </c>
      <c r="E135" s="49">
        <v>2523</v>
      </c>
      <c r="F135" s="48">
        <v>1493.2</v>
      </c>
    </row>
    <row r="136" spans="1:6">
      <c r="B136" s="46" t="s">
        <v>320</v>
      </c>
      <c r="C136" s="47" t="s">
        <v>319</v>
      </c>
      <c r="D136" s="48">
        <v>2915.38</v>
      </c>
      <c r="E136" s="49">
        <v>2781.4</v>
      </c>
      <c r="F136" s="48">
        <v>1243.17</v>
      </c>
    </row>
    <row r="137" spans="1:6">
      <c r="B137" s="46" t="s">
        <v>215</v>
      </c>
      <c r="C137" s="47" t="s">
        <v>319</v>
      </c>
      <c r="D137" s="48">
        <v>293.98</v>
      </c>
      <c r="E137" s="49">
        <v>284.39999999999998</v>
      </c>
      <c r="F137" s="48">
        <v>127.06</v>
      </c>
    </row>
    <row r="138" spans="1:6">
      <c r="B138" s="46" t="s">
        <v>300</v>
      </c>
      <c r="C138" s="47" t="s">
        <v>319</v>
      </c>
      <c r="D138" s="48">
        <v>258.52999999999997</v>
      </c>
      <c r="E138" s="49">
        <v>248.9</v>
      </c>
      <c r="F138" s="48">
        <v>2188.79</v>
      </c>
    </row>
    <row r="139" spans="1:6">
      <c r="B139" s="46" t="s">
        <v>69</v>
      </c>
      <c r="C139" s="47" t="s">
        <v>319</v>
      </c>
      <c r="D139" s="48">
        <v>1834.66</v>
      </c>
      <c r="E139" s="49">
        <v>1903.1</v>
      </c>
      <c r="F139" s="48">
        <v>54.7</v>
      </c>
    </row>
    <row r="140" spans="1:6">
      <c r="B140" s="46" t="s">
        <v>218</v>
      </c>
      <c r="C140" s="47" t="s">
        <v>319</v>
      </c>
      <c r="D140" s="48">
        <v>2509.59</v>
      </c>
      <c r="E140" s="49">
        <v>2462.4</v>
      </c>
      <c r="F140" s="48">
        <v>1670.59</v>
      </c>
    </row>
    <row r="141" spans="1:6">
      <c r="B141" s="46" t="s">
        <v>83</v>
      </c>
      <c r="C141" s="47" t="s">
        <v>319</v>
      </c>
      <c r="D141" s="48">
        <v>450.98</v>
      </c>
      <c r="E141" s="49">
        <v>473.9</v>
      </c>
      <c r="F141" s="48">
        <v>266.92</v>
      </c>
    </row>
    <row r="142" spans="1:6">
      <c r="B142" s="46" t="s">
        <v>222</v>
      </c>
      <c r="C142" s="47" t="s">
        <v>319</v>
      </c>
      <c r="D142" s="48">
        <v>595.37</v>
      </c>
      <c r="E142" s="49">
        <v>600.9</v>
      </c>
      <c r="F142" s="48">
        <v>2525.33</v>
      </c>
    </row>
    <row r="143" spans="1:6">
      <c r="B143" s="46" t="s">
        <v>29</v>
      </c>
      <c r="C143" s="47" t="s">
        <v>319</v>
      </c>
      <c r="D143" s="48">
        <v>3947</v>
      </c>
      <c r="E143" s="49">
        <v>4054.1</v>
      </c>
      <c r="F143" s="48">
        <v>177.13</v>
      </c>
    </row>
    <row r="144" spans="1:6">
      <c r="B144" s="46" t="s">
        <v>113</v>
      </c>
      <c r="C144" s="47" t="s">
        <v>319</v>
      </c>
      <c r="D144" s="48">
        <v>1920.18</v>
      </c>
      <c r="E144" s="49">
        <v>1977.4</v>
      </c>
      <c r="F144" s="48">
        <v>490.55</v>
      </c>
    </row>
    <row r="145" spans="1:6">
      <c r="B145" s="46" t="s">
        <v>299</v>
      </c>
      <c r="C145" s="47" t="s">
        <v>319</v>
      </c>
      <c r="D145" s="48">
        <v>1380.25</v>
      </c>
      <c r="E145" s="49">
        <v>1368.2</v>
      </c>
      <c r="F145" s="48">
        <v>249.37</v>
      </c>
    </row>
    <row r="146" spans="1:6">
      <c r="B146" s="50"/>
      <c r="C146" s="51"/>
      <c r="D146" s="52"/>
      <c r="E146" s="52"/>
      <c r="F146" s="53"/>
    </row>
    <row r="147" spans="1:6">
      <c r="B147" s="54" t="s">
        <v>321</v>
      </c>
      <c r="C147" s="51"/>
      <c r="D147" s="52"/>
      <c r="E147" s="52"/>
      <c r="F147" s="53"/>
    </row>
    <row r="148" spans="1:6">
      <c r="B148" s="81" t="s">
        <v>322</v>
      </c>
      <c r="C148" s="82"/>
      <c r="D148" s="82"/>
      <c r="E148" s="82"/>
      <c r="F148" s="83"/>
    </row>
    <row r="149" spans="1:6">
      <c r="B149" s="55" t="s">
        <v>323</v>
      </c>
      <c r="F149" s="56"/>
    </row>
    <row r="150" spans="1:6">
      <c r="B150" s="55" t="s">
        <v>324</v>
      </c>
      <c r="F150" s="56"/>
    </row>
    <row r="151" spans="1:6">
      <c r="B151" s="55" t="s">
        <v>325</v>
      </c>
      <c r="F151" s="56"/>
    </row>
    <row r="152" spans="1:6" ht="14.45" customHeight="1">
      <c r="B152" s="55" t="s">
        <v>326</v>
      </c>
      <c r="F152" s="56"/>
    </row>
    <row r="153" spans="1:6">
      <c r="B153" s="57" t="s">
        <v>327</v>
      </c>
      <c r="C153" s="58"/>
      <c r="D153" s="58"/>
      <c r="E153" s="58"/>
      <c r="F153" s="59"/>
    </row>
    <row r="155" spans="1:6">
      <c r="A155" s="43" t="s">
        <v>328</v>
      </c>
      <c r="B155" s="43" t="s">
        <v>329</v>
      </c>
    </row>
    <row r="156" spans="1:6" ht="45">
      <c r="B156" s="44" t="s">
        <v>314</v>
      </c>
      <c r="C156" s="45" t="s">
        <v>315</v>
      </c>
      <c r="D156" s="45" t="s">
        <v>316</v>
      </c>
      <c r="E156" s="45" t="s">
        <v>317</v>
      </c>
      <c r="F156" s="45" t="s">
        <v>318</v>
      </c>
    </row>
    <row r="157" spans="1:6">
      <c r="B157" s="84" t="s">
        <v>255</v>
      </c>
      <c r="C157" s="85"/>
      <c r="D157" s="85"/>
      <c r="E157" s="85"/>
      <c r="F157" s="86"/>
    </row>
    <row r="158" spans="1:6">
      <c r="B158" s="73"/>
      <c r="C158" s="74"/>
      <c r="D158" s="74"/>
      <c r="E158" s="74"/>
      <c r="F158" s="75"/>
    </row>
    <row r="159" spans="1:6">
      <c r="A159" s="43"/>
      <c r="B159" s="54" t="s">
        <v>330</v>
      </c>
      <c r="C159" s="60"/>
      <c r="D159" s="60"/>
      <c r="E159" s="60"/>
      <c r="F159" s="61"/>
    </row>
    <row r="160" spans="1:6">
      <c r="A160" s="62"/>
      <c r="B160" s="81" t="s">
        <v>331</v>
      </c>
      <c r="C160" s="82"/>
      <c r="D160" s="82"/>
      <c r="E160" s="82"/>
      <c r="F160" s="83"/>
    </row>
    <row r="161" spans="1:6">
      <c r="B161" s="55" t="s">
        <v>332</v>
      </c>
      <c r="F161" s="56"/>
    </row>
    <row r="162" spans="1:6">
      <c r="B162" s="55" t="s">
        <v>333</v>
      </c>
      <c r="F162" s="56"/>
    </row>
    <row r="163" spans="1:6">
      <c r="B163" s="55" t="s">
        <v>334</v>
      </c>
      <c r="F163" s="56"/>
    </row>
    <row r="164" spans="1:6" ht="14.45" customHeight="1">
      <c r="B164" s="55" t="s">
        <v>335</v>
      </c>
      <c r="F164" s="56"/>
    </row>
    <row r="165" spans="1:6">
      <c r="B165" s="55" t="s">
        <v>336</v>
      </c>
      <c r="C165" s="58"/>
      <c r="D165" s="58"/>
      <c r="E165" s="58"/>
      <c r="F165" s="59"/>
    </row>
    <row r="166" spans="1:6">
      <c r="B166" s="51"/>
    </row>
    <row r="167" spans="1:6">
      <c r="A167" s="43" t="s">
        <v>337</v>
      </c>
      <c r="B167" s="43" t="s">
        <v>338</v>
      </c>
      <c r="C167" s="43"/>
      <c r="D167" s="43"/>
      <c r="E167" s="43"/>
      <c r="F167" s="43"/>
    </row>
    <row r="168" spans="1:6" ht="30">
      <c r="B168" s="44" t="s">
        <v>314</v>
      </c>
      <c r="C168" s="44" t="s">
        <v>339</v>
      </c>
      <c r="D168" s="44" t="s">
        <v>340</v>
      </c>
      <c r="E168" s="44" t="s">
        <v>341</v>
      </c>
      <c r="F168" s="62"/>
    </row>
    <row r="169" spans="1:6">
      <c r="B169" s="73" t="s">
        <v>255</v>
      </c>
      <c r="C169" s="74"/>
      <c r="D169" s="74"/>
      <c r="E169" s="75"/>
    </row>
    <row r="170" spans="1:6">
      <c r="A170" s="43"/>
      <c r="B170" s="80" t="s">
        <v>342</v>
      </c>
      <c r="C170" s="80"/>
      <c r="D170" s="80"/>
      <c r="E170" s="80"/>
    </row>
    <row r="171" spans="1:6">
      <c r="A171" s="62"/>
      <c r="B171" s="64" t="s">
        <v>343</v>
      </c>
      <c r="C171" s="65"/>
      <c r="D171" s="65"/>
      <c r="E171" s="66"/>
    </row>
    <row r="172" spans="1:6">
      <c r="B172" s="67"/>
      <c r="C172" s="68"/>
      <c r="D172" s="68"/>
      <c r="E172" s="69"/>
    </row>
    <row r="173" spans="1:6">
      <c r="B173" s="67"/>
      <c r="C173" s="68"/>
      <c r="D173" s="68"/>
      <c r="E173" s="69"/>
    </row>
    <row r="174" spans="1:6">
      <c r="B174" s="67"/>
      <c r="C174" s="68"/>
      <c r="D174" s="68"/>
      <c r="E174" s="69"/>
    </row>
    <row r="175" spans="1:6">
      <c r="B175" s="70"/>
      <c r="C175" s="71"/>
      <c r="D175" s="71"/>
      <c r="E175" s="72"/>
    </row>
    <row r="176" spans="1:6">
      <c r="B176" s="63"/>
      <c r="C176" s="63"/>
      <c r="D176" s="63"/>
      <c r="E176" s="63"/>
    </row>
    <row r="177" spans="1:6">
      <c r="A177" s="43" t="s">
        <v>344</v>
      </c>
      <c r="B177" s="43" t="s">
        <v>345</v>
      </c>
      <c r="C177" s="43"/>
      <c r="D177" s="43"/>
      <c r="E177" s="43"/>
      <c r="F177" s="43"/>
    </row>
    <row r="178" spans="1:6" ht="45">
      <c r="A178" s="62"/>
      <c r="B178" s="44" t="s">
        <v>314</v>
      </c>
      <c r="C178" s="44" t="s">
        <v>346</v>
      </c>
      <c r="D178" s="44" t="s">
        <v>347</v>
      </c>
      <c r="E178" s="44" t="s">
        <v>340</v>
      </c>
      <c r="F178" s="44" t="s">
        <v>348</v>
      </c>
    </row>
    <row r="179" spans="1:6">
      <c r="B179" s="73" t="s">
        <v>255</v>
      </c>
      <c r="C179" s="74"/>
      <c r="D179" s="74"/>
      <c r="E179" s="74"/>
      <c r="F179" s="75"/>
    </row>
    <row r="180" spans="1:6">
      <c r="B180" s="76" t="s">
        <v>349</v>
      </c>
      <c r="C180" s="77"/>
      <c r="D180" s="77"/>
      <c r="E180" s="77"/>
      <c r="F180" s="78"/>
    </row>
    <row r="181" spans="1:6">
      <c r="B181" s="79" t="s">
        <v>350</v>
      </c>
      <c r="C181" s="79"/>
      <c r="D181" s="79"/>
      <c r="E181" s="79"/>
      <c r="F181" s="80"/>
    </row>
    <row r="182" spans="1:6">
      <c r="B182" s="79"/>
      <c r="C182" s="79"/>
      <c r="D182" s="79"/>
      <c r="E182" s="79"/>
      <c r="F182" s="80"/>
    </row>
    <row r="183" spans="1:6">
      <c r="B183" s="79"/>
      <c r="C183" s="79"/>
      <c r="D183" s="79"/>
      <c r="E183" s="79"/>
      <c r="F183" s="80"/>
    </row>
    <row r="184" spans="1:6">
      <c r="B184" s="79"/>
      <c r="C184" s="79"/>
      <c r="D184" s="79"/>
      <c r="E184" s="79"/>
      <c r="F184" s="80"/>
    </row>
    <row r="185" spans="1:6" ht="14.45" customHeight="1">
      <c r="B185" s="79"/>
      <c r="C185" s="79"/>
      <c r="D185" s="79"/>
      <c r="E185" s="79"/>
      <c r="F185" s="80"/>
    </row>
    <row r="187" spans="1:6">
      <c r="A187" s="43" t="s">
        <v>351</v>
      </c>
      <c r="B187" s="43" t="s">
        <v>352</v>
      </c>
    </row>
    <row r="188" spans="1:6">
      <c r="B188" s="63"/>
      <c r="C188" s="63"/>
      <c r="D188" s="63"/>
      <c r="E188" s="63"/>
    </row>
    <row r="189" spans="1:6">
      <c r="F189" s="43" t="s">
        <v>353</v>
      </c>
    </row>
    <row r="190" spans="1:6">
      <c r="B190" s="43" t="s">
        <v>354</v>
      </c>
      <c r="F190" s="43" t="s">
        <v>355</v>
      </c>
    </row>
  </sheetData>
  <mergeCells count="28">
    <mergeCell ref="B114:E114"/>
    <mergeCell ref="B1:H1"/>
    <mergeCell ref="B2:H2"/>
    <mergeCell ref="B3:H3"/>
    <mergeCell ref="B4:H4"/>
    <mergeCell ref="B113:E113"/>
    <mergeCell ref="B131:E131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71:E175"/>
    <mergeCell ref="B179:F179"/>
    <mergeCell ref="B180:F180"/>
    <mergeCell ref="B181:F185"/>
    <mergeCell ref="B148:F148"/>
    <mergeCell ref="B157:F157"/>
    <mergeCell ref="B158:F158"/>
    <mergeCell ref="B160:F160"/>
    <mergeCell ref="B169:E169"/>
    <mergeCell ref="B170:E17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ACC4-2EB8-478D-895B-97AD68182204}">
  <sheetPr codeName="Sheet24">
    <outlinePr summaryBelow="0"/>
  </sheetPr>
  <dimension ref="A1:F23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87" t="s">
        <v>356</v>
      </c>
      <c r="B1" s="87"/>
      <c r="C1" s="87"/>
      <c r="D1" s="9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93" t="s">
        <v>357</v>
      </c>
      <c r="B3" s="93"/>
      <c r="C3" s="2"/>
      <c r="D3" s="2"/>
      <c r="E3" s="93" t="s">
        <v>358</v>
      </c>
      <c r="F3" s="93"/>
    </row>
    <row r="4" spans="1:6" ht="12.95" customHeight="1">
      <c r="A4" s="94" t="s">
        <v>359</v>
      </c>
      <c r="B4" s="94" t="s">
        <v>9</v>
      </c>
      <c r="C4" s="2"/>
      <c r="D4" s="2"/>
      <c r="E4" s="94" t="s">
        <v>360</v>
      </c>
      <c r="F4" s="94" t="s">
        <v>361</v>
      </c>
    </row>
    <row r="5" spans="1:6" ht="12.95" customHeight="1">
      <c r="A5" s="19" t="s">
        <v>14</v>
      </c>
      <c r="B5" s="95">
        <v>7.2900000000000006E-2</v>
      </c>
      <c r="C5" s="2"/>
      <c r="D5" s="2"/>
      <c r="E5" s="19" t="s">
        <v>362</v>
      </c>
      <c r="F5" s="95">
        <v>0.30990000000000001</v>
      </c>
    </row>
    <row r="6" spans="1:6" ht="12.95" customHeight="1">
      <c r="A6" s="19" t="s">
        <v>18</v>
      </c>
      <c r="B6" s="95">
        <v>6.0499999999999998E-2</v>
      </c>
      <c r="C6" s="2"/>
      <c r="D6" s="2"/>
      <c r="E6" s="19" t="s">
        <v>363</v>
      </c>
      <c r="F6" s="95">
        <v>0.11550000000000001</v>
      </c>
    </row>
    <row r="7" spans="1:6" ht="12.95" customHeight="1">
      <c r="A7" s="19" t="s">
        <v>21</v>
      </c>
      <c r="B7" s="95">
        <v>4.6600000000000003E-2</v>
      </c>
      <c r="C7" s="2"/>
      <c r="D7" s="2"/>
      <c r="E7" s="19" t="s">
        <v>364</v>
      </c>
      <c r="F7" s="95">
        <v>9.4299999999999995E-2</v>
      </c>
    </row>
    <row r="8" spans="1:6" ht="12.95" customHeight="1">
      <c r="A8" s="19" t="s">
        <v>25</v>
      </c>
      <c r="B8" s="95">
        <v>3.8399999999999997E-2</v>
      </c>
      <c r="C8" s="2"/>
      <c r="D8" s="2"/>
      <c r="E8" s="19" t="s">
        <v>365</v>
      </c>
      <c r="F8" s="95">
        <v>8.9200000000000002E-2</v>
      </c>
    </row>
    <row r="9" spans="1:6" ht="12.95" customHeight="1">
      <c r="A9" s="19" t="s">
        <v>29</v>
      </c>
      <c r="B9" s="95">
        <v>3.7999999999999999E-2</v>
      </c>
      <c r="C9" s="2"/>
      <c r="D9" s="2"/>
      <c r="E9" s="19" t="s">
        <v>366</v>
      </c>
      <c r="F9" s="95">
        <v>7.5700000000000003E-2</v>
      </c>
    </row>
    <row r="10" spans="1:6" ht="12.95" customHeight="1">
      <c r="A10" s="19" t="s">
        <v>33</v>
      </c>
      <c r="B10" s="95">
        <v>3.1800000000000002E-2</v>
      </c>
      <c r="C10" s="2"/>
      <c r="D10" s="2"/>
      <c r="E10" s="19" t="s">
        <v>367</v>
      </c>
      <c r="F10" s="95">
        <v>7.4399999999999994E-2</v>
      </c>
    </row>
    <row r="11" spans="1:6" ht="12.95" customHeight="1">
      <c r="A11" s="19" t="s">
        <v>368</v>
      </c>
      <c r="B11" s="95">
        <v>2.92E-2</v>
      </c>
      <c r="C11" s="2"/>
      <c r="D11" s="2"/>
      <c r="E11" s="19" t="s">
        <v>31</v>
      </c>
      <c r="F11" s="95">
        <v>4.2799999999999998E-2</v>
      </c>
    </row>
    <row r="12" spans="1:6" ht="12.95" customHeight="1">
      <c r="A12" s="19" t="s">
        <v>36</v>
      </c>
      <c r="B12" s="95">
        <v>2.81E-2</v>
      </c>
      <c r="C12" s="2"/>
      <c r="D12" s="2"/>
      <c r="E12" s="19" t="s">
        <v>285</v>
      </c>
      <c r="F12" s="95">
        <v>3.1699999999999999E-2</v>
      </c>
    </row>
    <row r="13" spans="1:6" ht="12.95" customHeight="1">
      <c r="A13" s="19" t="s">
        <v>40</v>
      </c>
      <c r="B13" s="95">
        <v>2.7099999999999999E-2</v>
      </c>
      <c r="C13" s="2"/>
      <c r="D13" s="2"/>
      <c r="E13" s="19" t="s">
        <v>145</v>
      </c>
      <c r="F13" s="95">
        <v>3.1199999999999999E-2</v>
      </c>
    </row>
    <row r="14" spans="1:6" ht="12.95" customHeight="1">
      <c r="A14" s="19" t="s">
        <v>369</v>
      </c>
      <c r="B14" s="95">
        <v>2.4500000000000001E-2</v>
      </c>
      <c r="C14" s="2"/>
      <c r="D14" s="2"/>
      <c r="E14" s="19" t="s">
        <v>370</v>
      </c>
      <c r="F14" s="95">
        <v>3.0200000000000001E-2</v>
      </c>
    </row>
    <row r="15" spans="1:6" ht="12.95" customHeight="1">
      <c r="A15" s="2"/>
      <c r="B15" s="2"/>
      <c r="C15" s="2"/>
      <c r="D15" s="2"/>
      <c r="E15" s="19" t="s">
        <v>371</v>
      </c>
      <c r="F15" s="95">
        <v>2.07E-2</v>
      </c>
    </row>
    <row r="16" spans="1:6" ht="12.95" customHeight="1">
      <c r="A16" s="2"/>
      <c r="B16" s="2"/>
      <c r="C16" s="2"/>
      <c r="D16" s="2"/>
      <c r="E16" s="19" t="s">
        <v>372</v>
      </c>
      <c r="F16" s="95">
        <v>2.0400000000000001E-2</v>
      </c>
    </row>
    <row r="17" spans="1:6" ht="12.95" customHeight="1">
      <c r="A17" s="2"/>
      <c r="B17" s="2"/>
      <c r="C17" s="2"/>
      <c r="D17" s="2"/>
      <c r="E17" s="19" t="s">
        <v>61</v>
      </c>
      <c r="F17" s="95">
        <v>1.7299999999999999E-2</v>
      </c>
    </row>
    <row r="18" spans="1:6" ht="12.95" customHeight="1">
      <c r="A18" s="2"/>
      <c r="B18" s="2"/>
      <c r="C18" s="2"/>
      <c r="D18" s="2"/>
      <c r="E18" s="19" t="s">
        <v>373</v>
      </c>
      <c r="F18" s="95">
        <v>1.3599999999999999E-2</v>
      </c>
    </row>
    <row r="19" spans="1:6" ht="12.95" customHeight="1">
      <c r="A19" s="2"/>
      <c r="B19" s="2"/>
      <c r="C19" s="2"/>
      <c r="D19" s="2"/>
      <c r="E19" s="19" t="s">
        <v>374</v>
      </c>
      <c r="F19" s="95">
        <v>1.1599999999999999E-2</v>
      </c>
    </row>
    <row r="20" spans="1:6" ht="12.95" customHeight="1">
      <c r="A20" s="2"/>
      <c r="B20" s="2"/>
      <c r="C20" s="2"/>
      <c r="D20" s="2"/>
      <c r="E20" s="19" t="s">
        <v>375</v>
      </c>
      <c r="F20" s="95">
        <v>8.9999999999999993E-3</v>
      </c>
    </row>
    <row r="21" spans="1:6" ht="12.95" customHeight="1">
      <c r="A21" s="2"/>
      <c r="B21" s="2"/>
      <c r="C21" s="2"/>
      <c r="D21" s="2"/>
      <c r="E21" s="19" t="s">
        <v>376</v>
      </c>
      <c r="F21" s="95">
        <v>8.6999999999999994E-3</v>
      </c>
    </row>
    <row r="22" spans="1:6" ht="12.95" customHeight="1">
      <c r="A22" s="2"/>
      <c r="B22" s="2"/>
      <c r="C22" s="2"/>
      <c r="D22" s="2"/>
      <c r="E22" s="19" t="s">
        <v>377</v>
      </c>
      <c r="F22" s="95">
        <v>3.5999999999999999E-3</v>
      </c>
    </row>
    <row r="23" spans="1:6" ht="12.95" customHeight="1">
      <c r="A23" s="2"/>
      <c r="B23" s="2"/>
      <c r="C23" s="2"/>
      <c r="D23" s="2"/>
      <c r="E23" s="94" t="s">
        <v>378</v>
      </c>
      <c r="F23" s="9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2025-11-07T11:29:58Z</dcterms:created>
  <dcterms:modified xsi:type="dcterms:W3CDTF">2025-11-07T11:33:28Z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2025-11-07T11:30:00Z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b3ba815d-e1fa-4e51-9e38-0a88252b039c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