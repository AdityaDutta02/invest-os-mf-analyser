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 Fund" sheetId="1" state="visible" r:id="rId1"/>
    <sheet name="R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3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theme="1"/>
      <sz val="9"/>
    </font>
    <font>
      <name val="SansSerif"/>
      <family val="2"/>
      <b val="1"/>
      <color rgb="FF000000"/>
      <sz val="10"/>
    </font>
    <font>
      <name val="SansSerif"/>
      <family val="2"/>
      <color rgb="FF000000"/>
      <sz val="10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6" fillId="0" borderId="0" applyAlignment="1" applyProtection="1" pivotButton="0" quotePrefix="0" xfId="0">
      <alignment wrapText="1"/>
      <protection locked="0" hidden="0"/>
    </xf>
    <xf numFmtId="165" fontId="5" fillId="0" borderId="5" applyAlignment="1" pivotButton="0" quotePrefix="0" xfId="0">
      <alignment horizontal="right" vertical="top" wrapText="1"/>
    </xf>
    <xf numFmtId="0" fontId="5" fillId="0" borderId="5" applyAlignment="1" pivotButton="0" quotePrefix="0" xfId="0">
      <alignment horizontal="righ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7" fillId="0" borderId="10" applyAlignment="1" pivotButton="0" quotePrefix="0" xfId="0">
      <alignment horizontal="left" vertical="top" wrapText="1"/>
    </xf>
    <xf numFmtId="0" fontId="8" fillId="0" borderId="10" applyAlignment="1" pivotButton="0" quotePrefix="0" xfId="0">
      <alignment horizontal="left" vertical="top" wrapText="1"/>
    </xf>
    <xf numFmtId="3" fontId="8" fillId="0" borderId="1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left" vertical="top" wrapText="1"/>
    </xf>
    <xf numFmtId="3" fontId="8" fillId="0" borderId="0" applyAlignment="1" pivotButton="0" quotePrefix="0" xfId="0">
      <alignment horizontal="right" vertical="top" wrapText="1"/>
    </xf>
    <xf numFmtId="2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9" fillId="0" borderId="0" pivotButton="0" quotePrefix="0" xfId="0"/>
    <xf numFmtId="0" fontId="3" fillId="0" borderId="0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8" applyAlignment="1" pivotButton="0" quotePrefix="0" xfId="0">
      <alignment vertical="center" wrapText="1"/>
    </xf>
    <xf numFmtId="0" fontId="4" fillId="0" borderId="18" applyAlignment="1" pivotButton="0" quotePrefix="0" xfId="0">
      <alignment horizontal="left" vertical="top" wrapText="1"/>
    </xf>
    <xf numFmtId="0" fontId="3" fillId="0" borderId="18" pivotButton="0" quotePrefix="0" xfId="0"/>
    <xf numFmtId="4" fontId="3" fillId="0" borderId="18" pivotButton="0" quotePrefix="0" xfId="0"/>
    <xf numFmtId="0" fontId="4" fillId="0" borderId="19" applyAlignment="1" pivotButton="0" quotePrefix="0" xfId="0">
      <alignment horizontal="left" vertical="top" wrapText="1"/>
    </xf>
    <xf numFmtId="0" fontId="3" fillId="0" borderId="20" pivotButton="0" quotePrefix="0" xfId="0"/>
    <xf numFmtId="4" fontId="3" fillId="0" borderId="20" pivotButton="0" quotePrefix="0" xfId="0"/>
    <xf numFmtId="4" fontId="3" fillId="0" borderId="21" pivotButton="0" quotePrefix="0" xfId="0"/>
    <xf numFmtId="0" fontId="3" fillId="0" borderId="19" pivotButton="0" quotePrefix="0" xfId="0"/>
    <xf numFmtId="0" fontId="3" fillId="0" borderId="22" applyAlignment="1" pivotButton="0" quotePrefix="0" xfId="0">
      <alignment horizontal="left" wrapText="1"/>
    </xf>
    <xf numFmtId="0" fontId="0" fillId="0" borderId="20" pivotButton="0" quotePrefix="0" xfId="0"/>
    <xf numFmtId="0" fontId="0" fillId="0" borderId="21" pivotButton="0" quotePrefix="0" xfId="0"/>
    <xf numFmtId="0" fontId="3" fillId="0" borderId="23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18" applyAlignment="1" pivotButton="0" quotePrefix="0" xfId="0">
      <alignment horizontal="center" wrapText="1"/>
    </xf>
    <xf numFmtId="0" fontId="0" fillId="0" borderId="28" pivotButton="0" quotePrefix="0" xfId="0"/>
    <xf numFmtId="0" fontId="0" fillId="0" borderId="29" pivotButton="0" quotePrefix="0" xfId="0"/>
    <xf numFmtId="0" fontId="3" fillId="0" borderId="18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3" fillId="0" borderId="0" applyAlignment="1" pivotButton="0" quotePrefix="0" xfId="0">
      <alignment vertical="center"/>
    </xf>
    <xf numFmtId="0" fontId="3" fillId="0" borderId="18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3" fillId="0" borderId="0" applyAlignment="1" pivotButton="0" quotePrefix="0" xfId="0">
      <alignment horizontal="left" vertical="top" wrapText="1"/>
    </xf>
    <xf numFmtId="0" fontId="10" fillId="0" borderId="30" applyAlignment="1" pivotButton="0" quotePrefix="0" xfId="0">
      <alignment horizontal="left" vertical="top" wrapText="1"/>
    </xf>
    <xf numFmtId="0" fontId="11" fillId="0" borderId="30" applyAlignment="1" pivotButton="0" quotePrefix="0" xfId="0">
      <alignment horizontal="left" vertical="top" wrapText="1"/>
    </xf>
    <xf numFmtId="0" fontId="12" fillId="0" borderId="30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10" fillId="0" borderId="31" applyAlignment="1" pivotButton="0" quotePrefix="0" xfId="0">
      <alignment horizontal="left" vertical="top" wrapText="1"/>
    </xf>
    <xf numFmtId="0" fontId="0" fillId="0" borderId="32" pivotButton="0" quotePrefix="0" xfId="0"/>
    <xf numFmtId="0" fontId="12" fillId="0" borderId="31" applyAlignment="1" pivotButton="0" quotePrefix="0" xfId="0">
      <alignment horizontal="left" vertical="top" wrapText="1"/>
    </xf>
    <xf numFmtId="166" fontId="12" fillId="0" borderId="31" applyAlignment="1" pivotButton="0" quotePrefix="0" xfId="0">
      <alignment horizontal="right" vertical="top" wrapText="1"/>
    </xf>
    <xf numFmtId="166" fontId="11" fillId="0" borderId="3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190</row>
      <rowOff>0</rowOff>
    </from>
    <to>
      <col>1</col>
      <colOff>2857500</colOff>
      <row>200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333438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190</row>
      <rowOff>0</rowOff>
    </from>
    <to>
      <col>7</col>
      <colOff>641350</colOff>
      <row>200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333438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RCF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Contra Fund
(An open ended equity scheme following contrarian investment strategy)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IBCL05</t>
        </is>
      </c>
      <c r="B8" s="12" t="inlineStr">
        <is>
          <t>ICICI Bank Limited</t>
        </is>
      </c>
      <c r="C8" s="13" t="inlineStr">
        <is>
          <t>INE090A01021</t>
        </is>
      </c>
      <c r="D8" s="9" t="inlineStr">
        <is>
          <t>Banks</t>
        </is>
      </c>
      <c r="E8" s="14" t="n">
        <v>9166642</v>
      </c>
      <c r="F8" s="15" t="n">
        <v>115169.69</v>
      </c>
      <c r="G8" s="15" t="n">
        <v>5.9</v>
      </c>
      <c r="H8" s="16" t="n"/>
    </row>
    <row r="9" ht="13" customHeight="1">
      <c r="A9" s="1" t="inlineStr">
        <is>
          <t>LARS02</t>
        </is>
      </c>
      <c r="B9" s="12" t="inlineStr">
        <is>
          <t>Larsen &amp; Toubro Limited</t>
        </is>
      </c>
      <c r="C9" s="13" t="inlineStr">
        <is>
          <t>INE018A01030</t>
        </is>
      </c>
      <c r="D9" s="9" t="inlineStr">
        <is>
          <t>Construction</t>
        </is>
      </c>
      <c r="E9" s="14" t="n">
        <v>2535263</v>
      </c>
      <c r="F9" s="15" t="n">
        <v>103350</v>
      </c>
      <c r="G9" s="15" t="n">
        <v>5.3</v>
      </c>
      <c r="H9" s="16" t="n"/>
    </row>
    <row r="10" ht="13" customHeight="1">
      <c r="A10" s="1" t="inlineStr">
        <is>
          <t>UTIB02</t>
        </is>
      </c>
      <c r="B10" s="12" t="inlineStr">
        <is>
          <t>Axis Bank Limited</t>
        </is>
      </c>
      <c r="C10" s="13" t="inlineStr">
        <is>
          <t>INE238A01034</t>
        </is>
      </c>
      <c r="D10" s="9" t="inlineStr">
        <is>
          <t>Banks</t>
        </is>
      </c>
      <c r="E10" s="14" t="n">
        <v>5786546</v>
      </c>
      <c r="F10" s="15" t="n">
        <v>74449.7</v>
      </c>
      <c r="G10" s="15" t="n">
        <v>3.81</v>
      </c>
      <c r="H10" s="16" t="n"/>
    </row>
    <row r="11" ht="13" customHeight="1">
      <c r="A11" s="1" t="inlineStr">
        <is>
          <t>MAHI02</t>
        </is>
      </c>
      <c r="B11" s="12" t="inlineStr">
        <is>
          <t>Mahindra &amp; Mahindra Limited</t>
        </is>
      </c>
      <c r="C11" s="13" t="inlineStr">
        <is>
          <t>INE101A01026</t>
        </is>
      </c>
      <c r="D11" s="9" t="inlineStr">
        <is>
          <t>Automobiles</t>
        </is>
      </c>
      <c r="E11" s="14" t="n">
        <v>2222444</v>
      </c>
      <c r="F11" s="15" t="n">
        <v>67686.75</v>
      </c>
      <c r="G11" s="15" t="n">
        <v>3.47</v>
      </c>
      <c r="H11" s="16" t="n"/>
    </row>
    <row r="12" ht="13" customHeight="1">
      <c r="A12" s="1" t="inlineStr">
        <is>
          <t>RIND01</t>
        </is>
      </c>
      <c r="B12" s="12" t="inlineStr">
        <is>
          <t>Reliance Industries Limited</t>
        </is>
      </c>
      <c r="C12" s="13" t="inlineStr">
        <is>
          <t>INE002A01018</t>
        </is>
      </c>
      <c r="D12" s="9" t="inlineStr">
        <is>
          <t>Petroleum Products</t>
        </is>
      </c>
      <c r="E12" s="14" t="n">
        <v>4878249</v>
      </c>
      <c r="F12" s="15" t="n">
        <v>64451.43</v>
      </c>
      <c r="G12" s="15" t="n">
        <v>3.3</v>
      </c>
      <c r="H12" s="16" t="n"/>
    </row>
    <row r="13" ht="13" customHeight="1">
      <c r="A13" s="1" t="inlineStr">
        <is>
          <t>INFS02</t>
        </is>
      </c>
      <c r="B13" s="12" t="inlineStr">
        <is>
          <t>Infosys Limited</t>
        </is>
      </c>
      <c r="C13" s="13" t="inlineStr">
        <is>
          <t>INE009A01021</t>
        </is>
      </c>
      <c r="D13" s="9" t="inlineStr">
        <is>
          <t>IT - Software</t>
        </is>
      </c>
      <c r="E13" s="14" t="n">
        <v>5290988</v>
      </c>
      <c r="F13" s="15" t="n">
        <v>61423.08</v>
      </c>
      <c r="G13" s="15" t="n">
        <v>3.15</v>
      </c>
      <c r="H13" s="16" t="n"/>
    </row>
    <row r="14" ht="13" customHeight="1">
      <c r="A14" s="1" t="inlineStr">
        <is>
          <t>SBAI02</t>
        </is>
      </c>
      <c r="B14" s="12" t="inlineStr">
        <is>
          <t>State Bank of India</t>
        </is>
      </c>
      <c r="C14" s="13" t="inlineStr">
        <is>
          <t>INE062A01020</t>
        </is>
      </c>
      <c r="D14" s="9" t="inlineStr">
        <is>
          <t>Banks</t>
        </is>
      </c>
      <c r="E14" s="14" t="n">
        <v>5094371</v>
      </c>
      <c r="F14" s="15" t="n">
        <v>49130.11</v>
      </c>
      <c r="G14" s="15" t="n">
        <v>2.52</v>
      </c>
      <c r="H14" s="16" t="n"/>
    </row>
    <row r="15" ht="13" customHeight="1">
      <c r="A15" s="1" t="inlineStr">
        <is>
          <t>BTVL02</t>
        </is>
      </c>
      <c r="B15" s="12" t="inlineStr">
        <is>
          <t>Bharti Airtel Limited</t>
        </is>
      </c>
      <c r="C15" s="13" t="inlineStr">
        <is>
          <t>INE397D01024</t>
        </is>
      </c>
      <c r="D15" s="9" t="inlineStr">
        <is>
          <t>Telecom - Services</t>
        </is>
      </c>
      <c r="E15" s="14" t="n">
        <v>2628845</v>
      </c>
      <c r="F15" s="15" t="n">
        <v>48081.58</v>
      </c>
      <c r="G15" s="15" t="n">
        <v>2.46</v>
      </c>
      <c r="H15" s="16" t="n"/>
    </row>
    <row r="16" ht="13" customHeight="1">
      <c r="A16" s="1" t="inlineStr">
        <is>
          <t>CHOL02</t>
        </is>
      </c>
      <c r="B16" s="12" t="inlineStr">
        <is>
          <t>Cholamandalam Investment and Finance Company Limited</t>
        </is>
      </c>
      <c r="C16" s="13" t="inlineStr">
        <is>
          <t>INE121A01024</t>
        </is>
      </c>
      <c r="D16" s="9" t="inlineStr">
        <is>
          <t>Finance</t>
        </is>
      </c>
      <c r="E16" s="14" t="n">
        <v>2912482</v>
      </c>
      <c r="F16" s="15" t="n">
        <v>44785.24</v>
      </c>
      <c r="G16" s="15" t="n">
        <v>2.29</v>
      </c>
      <c r="H16" s="16" t="n"/>
    </row>
    <row r="17" ht="13" customHeight="1">
      <c r="A17" s="1" t="inlineStr">
        <is>
          <t>APOL02</t>
        </is>
      </c>
      <c r="B17" s="12" t="inlineStr">
        <is>
          <t>Apollo Hospitals Enterprise Limited</t>
        </is>
      </c>
      <c r="C17" s="13" t="inlineStr">
        <is>
          <t>INE437A01024</t>
        </is>
      </c>
      <c r="D17" s="9" t="inlineStr">
        <is>
          <t>Healthcare Services</t>
        </is>
      </c>
      <c r="E17" s="14" t="n">
        <v>514459</v>
      </c>
      <c r="F17" s="15" t="n">
        <v>42064.74</v>
      </c>
      <c r="G17" s="15" t="n">
        <v>2.16</v>
      </c>
      <c r="H17" s="16" t="n"/>
    </row>
    <row r="18" ht="13" customHeight="1">
      <c r="A18" s="1" t="inlineStr">
        <is>
          <t>NITL02</t>
        </is>
      </c>
      <c r="B18" s="12" t="inlineStr">
        <is>
          <t>Coforge Limited</t>
        </is>
      </c>
      <c r="C18" s="13" t="inlineStr">
        <is>
          <t>INE591G01025</t>
        </is>
      </c>
      <c r="D18" s="9" t="inlineStr">
        <is>
          <t>IT - Software</t>
        </is>
      </c>
      <c r="E18" s="14" t="n">
        <v>2758558</v>
      </c>
      <c r="F18" s="15" t="n">
        <v>39221.18</v>
      </c>
      <c r="G18" s="15" t="n">
        <v>2.01</v>
      </c>
      <c r="H18" s="16" t="n"/>
    </row>
    <row r="19" ht="13" customHeight="1">
      <c r="A19" s="1" t="inlineStr">
        <is>
          <t>FEBA02</t>
        </is>
      </c>
      <c r="B19" s="12" t="inlineStr">
        <is>
          <t>The Federal Bank  Limited</t>
        </is>
      </c>
      <c r="C19" s="13" t="inlineStr">
        <is>
          <t>INE171A01029</t>
        </is>
      </c>
      <c r="D19" s="9" t="inlineStr">
        <is>
          <t>Banks</t>
        </is>
      </c>
      <c r="E19" s="14" t="n">
        <v>13519245</v>
      </c>
      <c r="F19" s="15" t="n">
        <v>39063.86</v>
      </c>
      <c r="G19" s="15" t="n">
        <v>2</v>
      </c>
      <c r="H19" s="16" t="n"/>
    </row>
    <row r="20" ht="13" customHeight="1">
      <c r="A20" s="1" t="inlineStr">
        <is>
          <t>GLPH03</t>
        </is>
      </c>
      <c r="B20" s="12" t="inlineStr">
        <is>
          <t>Glenmark Pharmaceuticals Limited</t>
        </is>
      </c>
      <c r="C20" s="13" t="inlineStr">
        <is>
          <t>INE935A01035</t>
        </is>
      </c>
      <c r="D20" s="9" t="inlineStr">
        <is>
          <t>Pharmaceuticals &amp; Biotechnology</t>
        </is>
      </c>
      <c r="E20" s="14" t="n">
        <v>1701870</v>
      </c>
      <c r="F20" s="15" t="n">
        <v>38715.84</v>
      </c>
      <c r="G20" s="15" t="n">
        <v>1.98</v>
      </c>
      <c r="H20" s="16" t="n"/>
    </row>
    <row r="21" ht="13" customHeight="1">
      <c r="A21" s="1" t="inlineStr">
        <is>
          <t>BSEL02</t>
        </is>
      </c>
      <c r="B21" s="12" t="inlineStr">
        <is>
          <t>BSE Limited</t>
        </is>
      </c>
      <c r="C21" s="13" t="inlineStr">
        <is>
          <t>INE118H01025</t>
        </is>
      </c>
      <c r="D21" s="9" t="inlineStr">
        <is>
          <t>Capital Markets</t>
        </is>
      </c>
      <c r="E21" s="14" t="n">
        <v>926753</v>
      </c>
      <c r="F21" s="15" t="n">
        <v>38424.11</v>
      </c>
      <c r="G21" s="15" t="n">
        <v>1.97</v>
      </c>
      <c r="H21" s="16" t="n"/>
    </row>
    <row r="22" ht="13" customHeight="1">
      <c r="A22" s="1" t="inlineStr">
        <is>
          <t>KEII02</t>
        </is>
      </c>
      <c r="B22" s="12" t="inlineStr">
        <is>
          <t>KEI Industries Limited</t>
        </is>
      </c>
      <c r="C22" s="13" t="inlineStr">
        <is>
          <t>INE878B01027</t>
        </is>
      </c>
      <c r="D22" s="9" t="inlineStr">
        <is>
          <t>Industrial Products</t>
        </is>
      </c>
      <c r="E22" s="14" t="n">
        <v>724423</v>
      </c>
      <c r="F22" s="15" t="n">
        <v>38158.98</v>
      </c>
      <c r="G22" s="15" t="n">
        <v>1.96</v>
      </c>
      <c r="H22" s="16" t="n"/>
    </row>
    <row r="23" ht="13" customHeight="1">
      <c r="A23" s="1" t="inlineStr">
        <is>
          <t>BHEL02</t>
        </is>
      </c>
      <c r="B23" s="12" t="inlineStr">
        <is>
          <t>Bharat Electronics Limited</t>
        </is>
      </c>
      <c r="C23" s="13" t="inlineStr">
        <is>
          <t>INE263A01024</t>
        </is>
      </c>
      <c r="D23" s="9" t="inlineStr">
        <is>
          <t>Aerospace &amp; Defense</t>
        </is>
      </c>
      <c r="E23" s="14" t="n">
        <v>8805427</v>
      </c>
      <c r="F23" s="15" t="n">
        <v>36168.29</v>
      </c>
      <c r="G23" s="15" t="n">
        <v>1.85</v>
      </c>
      <c r="H23" s="16" t="n"/>
    </row>
    <row r="24" ht="13" customHeight="1">
      <c r="A24" s="1" t="inlineStr">
        <is>
          <t>FSNE01</t>
        </is>
      </c>
      <c r="B24" s="12" t="inlineStr">
        <is>
          <t>FSN E-Commerce Ventures Limited</t>
        </is>
      </c>
      <c r="C24" s="13" t="inlineStr">
        <is>
          <t>INE388Y01029</t>
        </is>
      </c>
      <c r="D24" s="9" t="inlineStr">
        <is>
          <t>Retailing</t>
        </is>
      </c>
      <c r="E24" s="14" t="n">
        <v>13222007</v>
      </c>
      <c r="F24" s="15" t="n">
        <v>34681.32</v>
      </c>
      <c r="G24" s="15" t="n">
        <v>1.78</v>
      </c>
      <c r="H24" s="16" t="n"/>
    </row>
    <row r="25" ht="13" customHeight="1">
      <c r="A25" s="1" t="inlineStr">
        <is>
          <t>SHYA01</t>
        </is>
      </c>
      <c r="B25" s="12" t="inlineStr">
        <is>
          <t>Shyam Metalics and Energy Limited</t>
        </is>
      </c>
      <c r="C25" s="13" t="inlineStr">
        <is>
          <t>INE810G01011</t>
        </is>
      </c>
      <c r="D25" s="9" t="inlineStr">
        <is>
          <t>Industrial Products</t>
        </is>
      </c>
      <c r="E25" s="14" t="n">
        <v>3518720</v>
      </c>
      <c r="F25" s="15" t="n">
        <v>34249.46</v>
      </c>
      <c r="G25" s="15" t="n">
        <v>1.75</v>
      </c>
      <c r="H25" s="16" t="n"/>
    </row>
    <row r="26" ht="13" customHeight="1">
      <c r="A26" s="1" t="inlineStr">
        <is>
          <t>PREP01</t>
        </is>
      </c>
      <c r="B26" s="12" t="inlineStr">
        <is>
          <t>Prestige Estates Projects Limited</t>
        </is>
      </c>
      <c r="C26" s="13" t="inlineStr">
        <is>
          <t>INE811K01011</t>
        </is>
      </c>
      <c r="D26" s="9" t="inlineStr">
        <is>
          <t>Realty</t>
        </is>
      </c>
      <c r="E26" s="14" t="n">
        <v>2434913</v>
      </c>
      <c r="F26" s="15" t="n">
        <v>33338.83</v>
      </c>
      <c r="G26" s="15" t="n">
        <v>1.71</v>
      </c>
      <c r="H26" s="16" t="n"/>
    </row>
    <row r="27" ht="13" customHeight="1">
      <c r="A27" s="1" t="inlineStr">
        <is>
          <t>SSNL02</t>
        </is>
      </c>
      <c r="B27" s="12" t="inlineStr">
        <is>
          <t>Delhivery Limited</t>
        </is>
      </c>
      <c r="C27" s="13" t="inlineStr">
        <is>
          <t>INE148O01028</t>
        </is>
      </c>
      <c r="D27" s="9" t="inlineStr">
        <is>
          <t>Transport Services</t>
        </is>
      </c>
      <c r="E27" s="14" t="n">
        <v>6686880</v>
      </c>
      <c r="F27" s="15" t="n">
        <v>30248.1</v>
      </c>
      <c r="G27" s="15" t="n">
        <v>1.55</v>
      </c>
      <c r="H27" s="16" t="n"/>
    </row>
    <row r="28" ht="13" customHeight="1">
      <c r="A28" s="1" t="inlineStr">
        <is>
          <t>IIBL01</t>
        </is>
      </c>
      <c r="B28" s="12" t="inlineStr">
        <is>
          <t>IndusInd Bank Limited ^^^</t>
        </is>
      </c>
      <c r="C28" s="13" t="inlineStr">
        <is>
          <t>INE095A01012</t>
        </is>
      </c>
      <c r="D28" s="9" t="inlineStr">
        <is>
          <t>Banks</t>
        </is>
      </c>
      <c r="E28" s="14" t="n">
        <v>3211331</v>
      </c>
      <c r="F28" s="15" t="n">
        <v>29362.8</v>
      </c>
      <c r="G28" s="15" t="n">
        <v>1.5</v>
      </c>
      <c r="H28" s="16" t="n"/>
    </row>
    <row r="29" ht="13" customHeight="1">
      <c r="A29" s="1" t="inlineStr">
        <is>
          <t>SAEL02</t>
        </is>
      </c>
      <c r="B29" s="12" t="inlineStr">
        <is>
          <t>TVS Motor Company Limited</t>
        </is>
      </c>
      <c r="C29" s="13" t="inlineStr">
        <is>
          <t>INE494B01023</t>
        </is>
      </c>
      <c r="D29" s="9" t="inlineStr">
        <is>
          <t>Automobiles</t>
        </is>
      </c>
      <c r="E29" s="14" t="n">
        <v>871427</v>
      </c>
      <c r="F29" s="15" t="n">
        <v>29242.48</v>
      </c>
      <c r="G29" s="15" t="n">
        <v>1.5</v>
      </c>
      <c r="H29" s="16" t="n"/>
    </row>
    <row r="30" ht="13" customHeight="1">
      <c r="A30" s="1" t="inlineStr">
        <is>
          <t>VNBL03</t>
        </is>
      </c>
      <c r="B30" s="12" t="inlineStr">
        <is>
          <t>Varun Beverages Ltd</t>
        </is>
      </c>
      <c r="C30" s="13" t="inlineStr">
        <is>
          <t>INE200M01039</t>
        </is>
      </c>
      <c r="D30" s="9" t="inlineStr">
        <is>
          <t>Beverages</t>
        </is>
      </c>
      <c r="E30" s="14" t="n">
        <v>5385676</v>
      </c>
      <c r="F30" s="15" t="n">
        <v>28436.37</v>
      </c>
      <c r="G30" s="15" t="n">
        <v>1.46</v>
      </c>
      <c r="H30" s="16" t="n"/>
    </row>
    <row r="31" ht="13" customHeight="1">
      <c r="A31" s="1" t="inlineStr">
        <is>
          <t>KOMA03</t>
        </is>
      </c>
      <c r="B31" s="12" t="inlineStr">
        <is>
          <t>Kotak Mahindra Bank Ltd</t>
        </is>
      </c>
      <c r="C31" s="13" t="inlineStr">
        <is>
          <t>INE237A01036</t>
        </is>
      </c>
      <c r="D31" s="9" t="inlineStr">
        <is>
          <t>Banks</t>
        </is>
      </c>
      <c r="E31" s="14" t="n">
        <v>7253647</v>
      </c>
      <c r="F31" s="15" t="n">
        <v>27868.51</v>
      </c>
      <c r="G31" s="15" t="n">
        <v>1.43</v>
      </c>
      <c r="H31" s="16" t="n"/>
    </row>
    <row r="32" ht="13" customHeight="1">
      <c r="A32" s="1" t="inlineStr">
        <is>
          <t>TMLC01</t>
        </is>
      </c>
      <c r="B32" s="12" t="inlineStr">
        <is>
          <t>Tata Motors Ltd</t>
        </is>
      </c>
      <c r="C32" s="13" t="inlineStr">
        <is>
          <t>INE1TAE01010</t>
        </is>
      </c>
      <c r="D32" s="9" t="inlineStr">
        <is>
          <t>Agricultural, Commercial &amp; Construction Vehicles</t>
        </is>
      </c>
      <c r="E32" s="14" t="n">
        <v>6964331</v>
      </c>
      <c r="F32" s="15" t="n">
        <v>26429.64</v>
      </c>
      <c r="G32" s="15" t="n">
        <v>1.35</v>
      </c>
      <c r="H32" s="16" t="n"/>
    </row>
    <row r="33" ht="13" customHeight="1">
      <c r="A33" s="1" t="inlineStr">
        <is>
          <t>LUPL02</t>
        </is>
      </c>
      <c r="B33" s="12" t="inlineStr">
        <is>
          <t>Lupin Limited</t>
        </is>
      </c>
      <c r="C33" s="13" t="inlineStr">
        <is>
          <t>INE326A01037</t>
        </is>
      </c>
      <c r="D33" s="9" t="inlineStr">
        <is>
          <t>Pharmaceuticals &amp; Biotechnology</t>
        </is>
      </c>
      <c r="E33" s="14" t="n">
        <v>1160552</v>
      </c>
      <c r="F33" s="15" t="n">
        <v>26317.84</v>
      </c>
      <c r="G33" s="15" t="n">
        <v>1.35</v>
      </c>
      <c r="H33" s="16" t="n"/>
    </row>
    <row r="34" ht="13" customHeight="1">
      <c r="A34" s="1" t="inlineStr">
        <is>
          <t>DIVI02</t>
        </is>
      </c>
      <c r="B34" s="12" t="inlineStr">
        <is>
          <t>Divi's Laboratories Limited</t>
        </is>
      </c>
      <c r="C34" s="13" t="inlineStr">
        <is>
          <t>INE361B01024</t>
        </is>
      </c>
      <c r="D34" s="9" t="inlineStr">
        <is>
          <t>Pharmaceuticals &amp; Biotechnology</t>
        </is>
      </c>
      <c r="E34" s="14" t="n">
        <v>391743</v>
      </c>
      <c r="F34" s="15" t="n">
        <v>26117.51</v>
      </c>
      <c r="G34" s="15" t="n">
        <v>1.34</v>
      </c>
      <c r="H34" s="16" t="n"/>
    </row>
    <row r="35" ht="13" customHeight="1">
      <c r="A35" s="1" t="inlineStr">
        <is>
          <t>MOSU03</t>
        </is>
      </c>
      <c r="B35" s="12" t="inlineStr">
        <is>
          <t>Samvardhana Motherson International Limited</t>
        </is>
      </c>
      <c r="C35" s="13" t="inlineStr">
        <is>
          <t>INE775A01035</t>
        </is>
      </c>
      <c r="D35" s="9" t="inlineStr">
        <is>
          <t>Auto Components</t>
        </is>
      </c>
      <c r="E35" s="14" t="n">
        <v>17560989</v>
      </c>
      <c r="F35" s="15" t="n">
        <v>25593.39</v>
      </c>
      <c r="G35" s="15" t="n">
        <v>1.31</v>
      </c>
      <c r="H35" s="16" t="n"/>
    </row>
    <row r="36" ht="13" customHeight="1">
      <c r="A36" s="1" t="inlineStr">
        <is>
          <t>HPEC01</t>
        </is>
      </c>
      <c r="B36" s="12" t="inlineStr">
        <is>
          <t>Hindustan Petroleum Corporation Limited</t>
        </is>
      </c>
      <c r="C36" s="13" t="inlineStr">
        <is>
          <t>INE094A01015</t>
        </is>
      </c>
      <c r="D36" s="9" t="inlineStr">
        <is>
          <t>Petroleum Products</t>
        </is>
      </c>
      <c r="E36" s="14" t="n">
        <v>6392739</v>
      </c>
      <c r="F36" s="15" t="n">
        <v>25177.8</v>
      </c>
      <c r="G36" s="15" t="n">
        <v>1.29</v>
      </c>
      <c r="H36" s="16" t="n"/>
    </row>
    <row r="37" ht="13" customHeight="1">
      <c r="A37" s="1" t="inlineStr">
        <is>
          <t>BKBA02</t>
        </is>
      </c>
      <c r="B37" s="12" t="inlineStr">
        <is>
          <t>Bank of Baroda</t>
        </is>
      </c>
      <c r="C37" s="13" t="inlineStr">
        <is>
          <t>INE028A01039</t>
        </is>
      </c>
      <c r="D37" s="9" t="inlineStr">
        <is>
          <t>Banks</t>
        </is>
      </c>
      <c r="E37" s="14" t="n">
        <v>9316469</v>
      </c>
      <c r="F37" s="15" t="n">
        <v>25014.72</v>
      </c>
      <c r="G37" s="15" t="n">
        <v>1.28</v>
      </c>
      <c r="H37" s="16" t="n"/>
    </row>
    <row r="38" ht="13" customHeight="1">
      <c r="A38" s="1" t="inlineStr">
        <is>
          <t>GHPL01</t>
        </is>
      </c>
      <c r="B38" s="12" t="inlineStr">
        <is>
          <t>Global Health Limited</t>
        </is>
      </c>
      <c r="C38" s="13" t="inlineStr">
        <is>
          <t>INE474Q01031</t>
        </is>
      </c>
      <c r="D38" s="9" t="inlineStr">
        <is>
          <t>Healthcare Services</t>
        </is>
      </c>
      <c r="E38" s="14" t="n">
        <v>2102004</v>
      </c>
      <c r="F38" s="15" t="n">
        <v>24992.83</v>
      </c>
      <c r="G38" s="15" t="n">
        <v>1.28</v>
      </c>
      <c r="H38" s="16" t="n"/>
    </row>
    <row r="39" ht="13" customHeight="1">
      <c r="A39" s="1" t="inlineStr">
        <is>
          <t>MCEX02</t>
        </is>
      </c>
      <c r="B39" s="12" t="inlineStr">
        <is>
          <t>Multi Commodity Exchange of India Limited</t>
        </is>
      </c>
      <c r="C39" s="13" t="inlineStr">
        <is>
          <t>INE745G01043</t>
        </is>
      </c>
      <c r="D39" s="9" t="inlineStr">
        <is>
          <t>Capital Markets</t>
        </is>
      </c>
      <c r="E39" s="14" t="n">
        <v>818135</v>
      </c>
      <c r="F39" s="15" t="n">
        <v>24171.8</v>
      </c>
      <c r="G39" s="15" t="n">
        <v>1.24</v>
      </c>
      <c r="H39" s="16" t="n"/>
    </row>
    <row r="40" ht="13" customHeight="1">
      <c r="A40" s="1" t="inlineStr">
        <is>
          <t>RATN01</t>
        </is>
      </c>
      <c r="B40" s="12" t="inlineStr">
        <is>
          <t>RBL Bank Limited</t>
        </is>
      </c>
      <c r="C40" s="13" t="inlineStr">
        <is>
          <t>INE976G01028</t>
        </is>
      </c>
      <c r="D40" s="9" t="inlineStr">
        <is>
          <t>Banks</t>
        </is>
      </c>
      <c r="E40" s="14" t="n">
        <v>6762732</v>
      </c>
      <c r="F40" s="15" t="n">
        <v>23331.43</v>
      </c>
      <c r="G40" s="15" t="n">
        <v>1.2</v>
      </c>
      <c r="H40" s="16" t="n"/>
    </row>
    <row r="41" ht="13" customHeight="1">
      <c r="A41" s="1" t="inlineStr">
        <is>
          <t>CRAF01</t>
        </is>
      </c>
      <c r="B41" s="12" t="inlineStr">
        <is>
          <t>Craftsman Automation Limited</t>
        </is>
      </c>
      <c r="C41" s="13" t="inlineStr">
        <is>
          <t>INE00LO01017</t>
        </is>
      </c>
      <c r="D41" s="9" t="inlineStr">
        <is>
          <t>Auto Components</t>
        </is>
      </c>
      <c r="E41" s="14" t="n">
        <v>249584</v>
      </c>
      <c r="F41" s="15" t="n">
        <v>22647.25</v>
      </c>
      <c r="G41" s="15" t="n">
        <v>1.16</v>
      </c>
      <c r="H41" s="16" t="n"/>
    </row>
    <row r="42" ht="13" customHeight="1">
      <c r="A42" s="1" t="inlineStr">
        <is>
          <t>LTIL01</t>
        </is>
      </c>
      <c r="B42" s="12" t="inlineStr">
        <is>
          <t>LTM Limited ‡</t>
        </is>
      </c>
      <c r="C42" s="13" t="inlineStr">
        <is>
          <t>INE214T01019</t>
        </is>
      </c>
      <c r="D42" s="9" t="inlineStr">
        <is>
          <t>IT - Software</t>
        </is>
      </c>
      <c r="E42" s="14" t="n">
        <v>547713</v>
      </c>
      <c r="F42" s="15" t="n">
        <v>22245.91</v>
      </c>
      <c r="G42" s="15" t="n">
        <v>1.14</v>
      </c>
      <c r="H42" s="16" t="n"/>
    </row>
    <row r="43" ht="13" customHeight="1">
      <c r="A43" s="1" t="inlineStr">
        <is>
          <t>MEES01</t>
        </is>
      </c>
      <c r="B43" s="12" t="inlineStr">
        <is>
          <t>Meesho Ltd</t>
        </is>
      </c>
      <c r="C43" s="13" t="inlineStr">
        <is>
          <t>INE0VDM01015</t>
        </is>
      </c>
      <c r="D43" s="9" t="inlineStr">
        <is>
          <t>Retailing</t>
        </is>
      </c>
      <c r="E43" s="14" t="n">
        <v>11711368</v>
      </c>
      <c r="F43" s="15" t="n">
        <v>21466.94</v>
      </c>
      <c r="G43" s="15" t="n">
        <v>1.1</v>
      </c>
      <c r="H43" s="16" t="n"/>
    </row>
    <row r="44" ht="13" customHeight="1">
      <c r="A44" s="1" t="inlineStr">
        <is>
          <t>ILOM01</t>
        </is>
      </c>
      <c r="B44" s="12" t="inlineStr">
        <is>
          <t>ICICI Lombard General Insurance Company Limited</t>
        </is>
      </c>
      <c r="C44" s="13" t="inlineStr">
        <is>
          <t>INE765G01017</t>
        </is>
      </c>
      <c r="D44" s="9" t="inlineStr">
        <is>
          <t>Insurance</t>
        </is>
      </c>
      <c r="E44" s="14" t="n">
        <v>1175814</v>
      </c>
      <c r="F44" s="15" t="n">
        <v>21072.94</v>
      </c>
      <c r="G44" s="15" t="n">
        <v>1.08</v>
      </c>
      <c r="H44" s="16" t="n"/>
    </row>
    <row r="45" ht="13" customHeight="1">
      <c r="A45" s="1" t="inlineStr">
        <is>
          <t>TEMA02</t>
        </is>
      </c>
      <c r="B45" s="12" t="inlineStr">
        <is>
          <t>Tech Mahindra Limited</t>
        </is>
      </c>
      <c r="C45" s="13" t="inlineStr">
        <is>
          <t>INE669C01036</t>
        </is>
      </c>
      <c r="D45" s="9" t="inlineStr">
        <is>
          <t>IT - Software</t>
        </is>
      </c>
      <c r="E45" s="14" t="n">
        <v>1357148</v>
      </c>
      <c r="F45" s="15" t="n">
        <v>20138.72</v>
      </c>
      <c r="G45" s="15" t="n">
        <v>1.03</v>
      </c>
      <c r="H45" s="16" t="n"/>
    </row>
    <row r="46" ht="13" customHeight="1">
      <c r="A46" s="1" t="inlineStr">
        <is>
          <t>ULCC01</t>
        </is>
      </c>
      <c r="B46" s="12" t="inlineStr">
        <is>
          <t>UltraTech Cement Limited</t>
        </is>
      </c>
      <c r="C46" s="13" t="inlineStr">
        <is>
          <t>INE481G01011</t>
        </is>
      </c>
      <c r="D46" s="9" t="inlineStr">
        <is>
          <t>Cement &amp; Cement Products</t>
        </is>
      </c>
      <c r="E46" s="14" t="n">
        <v>170427</v>
      </c>
      <c r="F46" s="15" t="n">
        <v>19568.43</v>
      </c>
      <c r="G46" s="15" t="n">
        <v>1</v>
      </c>
      <c r="H46" s="16" t="n"/>
    </row>
    <row r="47" ht="13" customHeight="1">
      <c r="A47" s="1" t="inlineStr">
        <is>
          <t>BSLM02</t>
        </is>
      </c>
      <c r="B47" s="12" t="inlineStr">
        <is>
          <t>Aditya Birla Sun Life AMC Limited</t>
        </is>
      </c>
      <c r="C47" s="13" t="inlineStr">
        <is>
          <t>INE404A01024</t>
        </is>
      </c>
      <c r="D47" s="9" t="inlineStr">
        <is>
          <t>Capital Markets</t>
        </is>
      </c>
      <c r="E47" s="14" t="n">
        <v>1827728</v>
      </c>
      <c r="F47" s="15" t="n">
        <v>19447.03</v>
      </c>
      <c r="G47" s="15" t="n">
        <v>1</v>
      </c>
      <c r="H47" s="16" t="n"/>
    </row>
    <row r="48" ht="13" customHeight="1">
      <c r="A48" s="1" t="inlineStr">
        <is>
          <t>INAV01</t>
        </is>
      </c>
      <c r="B48" s="12" t="inlineStr">
        <is>
          <t>InterGlobe Aviation Limited</t>
        </is>
      </c>
      <c r="C48" s="13" t="inlineStr">
        <is>
          <t>INE646L01027</t>
        </is>
      </c>
      <c r="D48" s="9" t="inlineStr">
        <is>
          <t>Transport Services</t>
        </is>
      </c>
      <c r="E48" s="14" t="n">
        <v>438015</v>
      </c>
      <c r="F48" s="15" t="n">
        <v>19294.56</v>
      </c>
      <c r="G48" s="15" t="n">
        <v>0.99</v>
      </c>
      <c r="H48" s="16" t="n"/>
    </row>
    <row r="49" ht="13" customHeight="1">
      <c r="A49" s="1" t="inlineStr">
        <is>
          <t>BLTE01</t>
        </is>
      </c>
      <c r="B49" s="12" t="inlineStr">
        <is>
          <t>Swiggy Limited</t>
        </is>
      </c>
      <c r="C49" s="13" t="inlineStr">
        <is>
          <t>INE00H001014</t>
        </is>
      </c>
      <c r="D49" s="9" t="inlineStr">
        <is>
          <t>Retailing</t>
        </is>
      </c>
      <c r="E49" s="14" t="n">
        <v>7472537</v>
      </c>
      <c r="F49" s="15" t="n">
        <v>19271.67</v>
      </c>
      <c r="G49" s="15" t="n">
        <v>0.99</v>
      </c>
      <c r="H49" s="16" t="n"/>
    </row>
    <row r="50" ht="13" customHeight="1">
      <c r="A50" s="1" t="inlineStr">
        <is>
          <t>ENTE01</t>
        </is>
      </c>
      <c r="B50" s="12" t="inlineStr">
        <is>
          <t>Entero Healthcare Solutions Ltd</t>
        </is>
      </c>
      <c r="C50" s="13" t="inlineStr">
        <is>
          <t>INE010601016</t>
        </is>
      </c>
      <c r="D50" s="9" t="inlineStr">
        <is>
          <t>Retailing</t>
        </is>
      </c>
      <c r="E50" s="14" t="n">
        <v>1577379</v>
      </c>
      <c r="F50" s="15" t="n">
        <v>18862.3</v>
      </c>
      <c r="G50" s="15" t="n">
        <v>0.97</v>
      </c>
      <c r="H50" s="16" t="n"/>
    </row>
    <row r="51" ht="13" customHeight="1">
      <c r="A51" s="1" t="inlineStr">
        <is>
          <t>GUAM02</t>
        </is>
      </c>
      <c r="B51" s="12" t="inlineStr">
        <is>
          <t>Ambuja Cements Limited</t>
        </is>
      </c>
      <c r="C51" s="13" t="inlineStr">
        <is>
          <t>INE079A01024</t>
        </is>
      </c>
      <c r="D51" s="9" t="inlineStr">
        <is>
          <t>Cement &amp; Cement Products</t>
        </is>
      </c>
      <c r="E51" s="14" t="n">
        <v>4127441</v>
      </c>
      <c r="F51" s="15" t="n">
        <v>18484.74</v>
      </c>
      <c r="G51" s="15" t="n">
        <v>0.95</v>
      </c>
      <c r="H51" s="16" t="n"/>
    </row>
    <row r="52" ht="13" customHeight="1">
      <c r="A52" s="1" t="inlineStr">
        <is>
          <t>TIIN01</t>
        </is>
      </c>
      <c r="B52" s="12" t="inlineStr">
        <is>
          <t>Timken India Limited</t>
        </is>
      </c>
      <c r="C52" s="13" t="inlineStr">
        <is>
          <t>INE325A01013</t>
        </is>
      </c>
      <c r="D52" s="9" t="inlineStr">
        <is>
          <t>Industrial Products</t>
        </is>
      </c>
      <c r="E52" s="14" t="n">
        <v>480033</v>
      </c>
      <c r="F52" s="15" t="n">
        <v>17427.12</v>
      </c>
      <c r="G52" s="15" t="n">
        <v>0.89</v>
      </c>
      <c r="H52" s="16" t="n"/>
    </row>
    <row r="53" ht="13" customHeight="1">
      <c r="A53" s="1" t="inlineStr">
        <is>
          <t>TAHO01</t>
        </is>
      </c>
      <c r="B53" s="12" t="inlineStr">
        <is>
          <t>Honeywell Automation India Limited</t>
        </is>
      </c>
      <c r="C53" s="13" t="inlineStr">
        <is>
          <t>INE671A01010</t>
        </is>
      </c>
      <c r="D53" s="9" t="inlineStr">
        <is>
          <t>Industrial Manufacturing</t>
        </is>
      </c>
      <c r="E53" s="14" t="n">
        <v>48973</v>
      </c>
      <c r="F53" s="15" t="n">
        <v>17395.21</v>
      </c>
      <c r="G53" s="15" t="n">
        <v>0.89</v>
      </c>
      <c r="H53" s="16" t="n"/>
    </row>
    <row r="54" ht="13" customHeight="1">
      <c r="A54" s="1" t="inlineStr">
        <is>
          <t>SUVP01</t>
        </is>
      </c>
      <c r="B54" s="12" t="inlineStr">
        <is>
          <t>Cohance Lifesciences Limited</t>
        </is>
      </c>
      <c r="C54" s="13" t="inlineStr">
        <is>
          <t>INE03QK01018</t>
        </is>
      </c>
      <c r="D54" s="9" t="inlineStr">
        <is>
          <t>Pharmaceuticals &amp; Biotechnology</t>
        </is>
      </c>
      <c r="E54" s="14" t="n">
        <v>4013973</v>
      </c>
      <c r="F54" s="15" t="n">
        <v>17320.29</v>
      </c>
      <c r="G54" s="15" t="n">
        <v>0.89</v>
      </c>
      <c r="H54" s="16" t="n"/>
    </row>
    <row r="55" ht="13" customHeight="1">
      <c r="A55" s="1" t="inlineStr">
        <is>
          <t>HINI02</t>
        </is>
      </c>
      <c r="B55" s="12" t="inlineStr">
        <is>
          <t>Hindalco Industries Limited</t>
        </is>
      </c>
      <c r="C55" s="13" t="inlineStr">
        <is>
          <t>INE038A01020</t>
        </is>
      </c>
      <c r="D55" s="9" t="inlineStr">
        <is>
          <t>Non - Ferrous Metals</t>
        </is>
      </c>
      <c r="E55" s="14" t="n">
        <v>1489485</v>
      </c>
      <c r="F55" s="15" t="n">
        <v>16782.03</v>
      </c>
      <c r="G55" s="15" t="n">
        <v>0.86</v>
      </c>
      <c r="H55" s="16" t="n"/>
    </row>
    <row r="56" ht="13" customHeight="1">
      <c r="A56" s="1" t="inlineStr">
        <is>
          <t>JUFL02</t>
        </is>
      </c>
      <c r="B56" s="12" t="inlineStr">
        <is>
          <t>Jubilant Foodworks Limited ‡</t>
        </is>
      </c>
      <c r="C56" s="13" t="inlineStr">
        <is>
          <t>INE797F01020</t>
        </is>
      </c>
      <c r="D56" s="9" t="inlineStr">
        <is>
          <t>Leisure Services</t>
        </is>
      </c>
      <c r="E56" s="14" t="n">
        <v>3787334</v>
      </c>
      <c r="F56" s="15" t="n">
        <v>16190.85</v>
      </c>
      <c r="G56" s="15" t="n">
        <v>0.83</v>
      </c>
      <c r="H56" s="16" t="n"/>
    </row>
    <row r="57" ht="13" customHeight="1">
      <c r="A57" s="1" t="inlineStr">
        <is>
          <t>SLIF01</t>
        </is>
      </c>
      <c r="B57" s="12" t="inlineStr">
        <is>
          <t>SBI Life Insurance Company Limited</t>
        </is>
      </c>
      <c r="C57" s="13" t="inlineStr">
        <is>
          <t>INE123W01016</t>
        </is>
      </c>
      <c r="D57" s="9" t="inlineStr">
        <is>
          <t>Insurance</t>
        </is>
      </c>
      <c r="E57" s="14" t="n">
        <v>856436</v>
      </c>
      <c r="F57" s="15" t="n">
        <v>15673.64</v>
      </c>
      <c r="G57" s="15" t="n">
        <v>0.8</v>
      </c>
      <c r="H57" s="16" t="n"/>
    </row>
    <row r="58" ht="13" customHeight="1">
      <c r="A58" s="1" t="inlineStr">
        <is>
          <t>AAHF01</t>
        </is>
      </c>
      <c r="B58" s="12" t="inlineStr">
        <is>
          <t>Aadhar Housing Finance Limited</t>
        </is>
      </c>
      <c r="C58" s="13" t="inlineStr">
        <is>
          <t>INE883F01010</t>
        </is>
      </c>
      <c r="D58" s="9" t="inlineStr">
        <is>
          <t>Finance</t>
        </is>
      </c>
      <c r="E58" s="14" t="n">
        <v>3115367</v>
      </c>
      <c r="F58" s="15" t="n">
        <v>14866.53</v>
      </c>
      <c r="G58" s="15" t="n">
        <v>0.76</v>
      </c>
      <c r="H58" s="16" t="n"/>
    </row>
    <row r="59" ht="13" customHeight="1">
      <c r="A59" s="1" t="inlineStr">
        <is>
          <t>CENT02</t>
        </is>
      </c>
      <c r="B59" s="12" t="inlineStr">
        <is>
          <t>Aditya Birla Real Estate Limited</t>
        </is>
      </c>
      <c r="C59" s="13" t="inlineStr">
        <is>
          <t>INE055A01016</t>
        </is>
      </c>
      <c r="D59" s="9" t="inlineStr">
        <is>
          <t>Realty</t>
        </is>
      </c>
      <c r="E59" s="14" t="n">
        <v>1190100</v>
      </c>
      <c r="F59" s="15" t="n">
        <v>14802.46</v>
      </c>
      <c r="G59" s="15" t="n">
        <v>0.76</v>
      </c>
      <c r="H59" s="16" t="n"/>
    </row>
    <row r="60" ht="13" customHeight="1">
      <c r="A60" s="1" t="inlineStr">
        <is>
          <t>VOLT02</t>
        </is>
      </c>
      <c r="B60" s="12" t="inlineStr">
        <is>
          <t>Voltas Limited</t>
        </is>
      </c>
      <c r="C60" s="13" t="inlineStr">
        <is>
          <t>INE226A01021</t>
        </is>
      </c>
      <c r="D60" s="9" t="inlineStr">
        <is>
          <t>Consumer Durables</t>
        </is>
      </c>
      <c r="E60" s="14" t="n">
        <v>1177941</v>
      </c>
      <c r="F60" s="15" t="n">
        <v>14673.61</v>
      </c>
      <c r="G60" s="15" t="n">
        <v>0.75</v>
      </c>
      <c r="H60" s="16" t="n"/>
    </row>
    <row r="61" ht="13" customHeight="1">
      <c r="A61" s="1" t="inlineStr">
        <is>
          <t>SHTR02</t>
        </is>
      </c>
      <c r="B61" s="12" t="inlineStr">
        <is>
          <t>Shriram Finance Limited</t>
        </is>
      </c>
      <c r="C61" s="13" t="inlineStr">
        <is>
          <t>INE721A01047</t>
        </is>
      </c>
      <c r="D61" s="9" t="inlineStr">
        <is>
          <t>Finance</t>
        </is>
      </c>
      <c r="E61" s="14" t="n">
        <v>1463768</v>
      </c>
      <c r="F61" s="15" t="n">
        <v>13864.08</v>
      </c>
      <c r="G61" s="15" t="n">
        <v>0.71</v>
      </c>
      <c r="H61" s="16" t="n"/>
    </row>
    <row r="62" ht="13" customHeight="1">
      <c r="A62" s="1" t="inlineStr">
        <is>
          <t>JBCH03</t>
        </is>
      </c>
      <c r="B62" s="12" t="inlineStr">
        <is>
          <t>J B Chemicals and Pharma Ltd</t>
        </is>
      </c>
      <c r="C62" s="13" t="inlineStr">
        <is>
          <t>INE572A01036</t>
        </is>
      </c>
      <c r="D62" s="9" t="inlineStr">
        <is>
          <t>Pharmaceuticals &amp; Biotechnology</t>
        </is>
      </c>
      <c r="E62" s="14" t="n">
        <v>598684</v>
      </c>
      <c r="F62" s="15" t="n">
        <v>12975.88</v>
      </c>
      <c r="G62" s="15" t="n">
        <v>0.66</v>
      </c>
      <c r="H62" s="16" t="n"/>
    </row>
    <row r="63" ht="13" customHeight="1">
      <c r="A63" s="1" t="inlineStr">
        <is>
          <t>BFLS01</t>
        </is>
      </c>
      <c r="B63" s="12" t="inlineStr">
        <is>
          <t>MphasiS Limited</t>
        </is>
      </c>
      <c r="C63" s="13" t="inlineStr">
        <is>
          <t>INE356A01018</t>
        </is>
      </c>
      <c r="D63" s="9" t="inlineStr">
        <is>
          <t>IT - Software</t>
        </is>
      </c>
      <c r="E63" s="14" t="n">
        <v>544536</v>
      </c>
      <c r="F63" s="15" t="n">
        <v>12368.59</v>
      </c>
      <c r="G63" s="15" t="n">
        <v>0.63</v>
      </c>
      <c r="H63" s="16" t="n"/>
    </row>
    <row r="64" ht="13" customHeight="1">
      <c r="A64" s="1" t="inlineStr">
        <is>
          <t>JYCN01</t>
        </is>
      </c>
      <c r="B64" s="12" t="inlineStr">
        <is>
          <t>Jyoti CNC Automation Ltd</t>
        </is>
      </c>
      <c r="C64" s="13" t="inlineStr">
        <is>
          <t>INE980O01024</t>
        </is>
      </c>
      <c r="D64" s="9" t="inlineStr">
        <is>
          <t>Industrial Manufacturing</t>
        </is>
      </c>
      <c r="E64" s="14" t="n">
        <v>2006690</v>
      </c>
      <c r="F64" s="15" t="n">
        <v>11959.87</v>
      </c>
      <c r="G64" s="15" t="n">
        <v>0.61</v>
      </c>
      <c r="H64" s="16" t="n"/>
    </row>
    <row r="65" ht="13" customHeight="1">
      <c r="A65" s="1" t="inlineStr">
        <is>
          <t>ZLSP01</t>
        </is>
      </c>
      <c r="B65" s="12" t="inlineStr">
        <is>
          <t>Black Buck Ltd</t>
        </is>
      </c>
      <c r="C65" s="13" t="inlineStr">
        <is>
          <t>INE0UIZ01018</t>
        </is>
      </c>
      <c r="D65" s="9" t="inlineStr">
        <is>
          <t>Transport Services</t>
        </is>
      </c>
      <c r="E65" s="14" t="n">
        <v>2283692</v>
      </c>
      <c r="F65" s="15" t="n">
        <v>11659.39</v>
      </c>
      <c r="G65" s="15" t="n">
        <v>0.6</v>
      </c>
      <c r="H65" s="16" t="n"/>
    </row>
    <row r="66" ht="13" customHeight="1">
      <c r="A66" s="1" t="inlineStr">
        <is>
          <t>KNRC02</t>
        </is>
      </c>
      <c r="B66" s="12" t="inlineStr">
        <is>
          <t>KNR Constructions Limited</t>
        </is>
      </c>
      <c r="C66" s="13" t="inlineStr">
        <is>
          <t>INE634I01029</t>
        </is>
      </c>
      <c r="D66" s="9" t="inlineStr">
        <is>
          <t>Construction</t>
        </is>
      </c>
      <c r="E66" s="14" t="n">
        <v>7792479</v>
      </c>
      <c r="F66" s="15" t="n">
        <v>9869.950000000001</v>
      </c>
      <c r="G66" s="15" t="n">
        <v>0.51</v>
      </c>
      <c r="H66" s="16" t="n"/>
    </row>
    <row r="67" ht="13" customHeight="1">
      <c r="A67" s="1" t="inlineStr">
        <is>
          <t>MEDP01</t>
        </is>
      </c>
      <c r="B67" s="12" t="inlineStr">
        <is>
          <t>MedPlus Health Services Limited</t>
        </is>
      </c>
      <c r="C67" s="13" t="inlineStr">
        <is>
          <t>INE804L01022</t>
        </is>
      </c>
      <c r="D67" s="9" t="inlineStr">
        <is>
          <t>Retailing</t>
        </is>
      </c>
      <c r="E67" s="14" t="n">
        <v>1094617</v>
      </c>
      <c r="F67" s="15" t="n">
        <v>9799.01</v>
      </c>
      <c r="G67" s="15" t="n">
        <v>0.5</v>
      </c>
      <c r="H67" s="16" t="n"/>
    </row>
    <row r="68" ht="13" customHeight="1">
      <c r="A68" s="1" t="inlineStr">
        <is>
          <t>WOPA02</t>
        </is>
      </c>
      <c r="B68" s="12" t="inlineStr">
        <is>
          <t>Wockhardt Limited</t>
        </is>
      </c>
      <c r="C68" s="13" t="inlineStr">
        <is>
          <t>INE049B01025</t>
        </is>
      </c>
      <c r="D68" s="9" t="inlineStr">
        <is>
          <t>Pharmaceuticals &amp; Biotechnology</t>
        </is>
      </c>
      <c r="E68" s="14" t="n">
        <v>466063</v>
      </c>
      <c r="F68" s="15" t="n">
        <v>9467.6</v>
      </c>
      <c r="G68" s="15" t="n">
        <v>0.49</v>
      </c>
      <c r="H68" s="16" t="n"/>
    </row>
    <row r="69" ht="13" customHeight="1">
      <c r="A69" s="1" t="inlineStr">
        <is>
          <t>CGCE01</t>
        </is>
      </c>
      <c r="B69" s="12" t="inlineStr">
        <is>
          <t>Crompton Greaves Consumer Electricals Limited</t>
        </is>
      </c>
      <c r="C69" s="13" t="inlineStr">
        <is>
          <t>INE299U01018</t>
        </is>
      </c>
      <c r="D69" s="9" t="inlineStr">
        <is>
          <t>Consumer Durables</t>
        </is>
      </c>
      <c r="E69" s="14" t="n">
        <v>3358145</v>
      </c>
      <c r="F69" s="15" t="n">
        <v>9441.42</v>
      </c>
      <c r="G69" s="15" t="n">
        <v>0.48</v>
      </c>
      <c r="H69" s="16" t="n"/>
    </row>
    <row r="70" ht="13" customHeight="1">
      <c r="A70" s="1" t="inlineStr">
        <is>
          <t>BRIT03</t>
        </is>
      </c>
      <c r="B70" s="12" t="inlineStr">
        <is>
          <t>Britannia Industries Limited</t>
        </is>
      </c>
      <c r="C70" s="13" t="inlineStr">
        <is>
          <t>INE216A01030</t>
        </is>
      </c>
      <c r="D70" s="9" t="inlineStr">
        <is>
          <t>Food Products</t>
        </is>
      </c>
      <c r="E70" s="14" t="n">
        <v>174964</v>
      </c>
      <c r="F70" s="15" t="n">
        <v>9106</v>
      </c>
      <c r="G70" s="15" t="n">
        <v>0.47</v>
      </c>
      <c r="H70" s="16" t="n"/>
    </row>
    <row r="71" ht="13" customHeight="1">
      <c r="A71" s="1" t="inlineStr">
        <is>
          <t>KALJ01</t>
        </is>
      </c>
      <c r="B71" s="12" t="inlineStr">
        <is>
          <t>Kalyan Jewellers India Limited</t>
        </is>
      </c>
      <c r="C71" s="13" t="inlineStr">
        <is>
          <t>INE303R01014</t>
        </is>
      </c>
      <c r="D71" s="9" t="inlineStr">
        <is>
          <t>Consumer Durables</t>
        </is>
      </c>
      <c r="E71" s="14" t="n">
        <v>2384760</v>
      </c>
      <c r="F71" s="15" t="n">
        <v>8467.09</v>
      </c>
      <c r="G71" s="15" t="n">
        <v>0.43</v>
      </c>
      <c r="H71" s="16" t="n"/>
    </row>
    <row r="72" ht="13" customHeight="1">
      <c r="A72" s="1" t="inlineStr">
        <is>
          <t>VMAR01</t>
        </is>
      </c>
      <c r="B72" s="12" t="inlineStr">
        <is>
          <t>V-Mart Retail Limited</t>
        </is>
      </c>
      <c r="C72" s="13" t="inlineStr">
        <is>
          <t>INE665J01013</t>
        </is>
      </c>
      <c r="D72" s="9" t="inlineStr">
        <is>
          <t>Retailing</t>
        </is>
      </c>
      <c r="E72" s="14" t="n">
        <v>1235108</v>
      </c>
      <c r="F72" s="15" t="n">
        <v>8235.08</v>
      </c>
      <c r="G72" s="15" t="n">
        <v>0.42</v>
      </c>
      <c r="H72" s="16" t="n"/>
    </row>
    <row r="73" ht="13" customHeight="1">
      <c r="A73" s="1" t="inlineStr">
        <is>
          <t>SOSO03</t>
        </is>
      </c>
      <c r="B73" s="12" t="inlineStr">
        <is>
          <t>Sonata Software Limited</t>
        </is>
      </c>
      <c r="C73" s="13" t="inlineStr">
        <is>
          <t>INE269A01021</t>
        </is>
      </c>
      <c r="D73" s="9" t="inlineStr">
        <is>
          <t>IT - Software</t>
        </is>
      </c>
      <c r="E73" s="14" t="n">
        <v>3091799</v>
      </c>
      <c r="F73" s="15" t="n">
        <v>8196.360000000001</v>
      </c>
      <c r="G73" s="15" t="n">
        <v>0.42</v>
      </c>
      <c r="H73" s="16" t="n"/>
    </row>
    <row r="74" ht="13" customHeight="1">
      <c r="A74" s="1" t="inlineStr">
        <is>
          <t>OCPL02</t>
        </is>
      </c>
      <c r="B74" s="12" t="inlineStr">
        <is>
          <t>Orchid Pharma Limited</t>
        </is>
      </c>
      <c r="C74" s="13" t="inlineStr">
        <is>
          <t>INE191A01027</t>
        </is>
      </c>
      <c r="D74" s="9" t="inlineStr">
        <is>
          <t>Pharmaceuticals &amp; Biotechnology</t>
        </is>
      </c>
      <c r="E74" s="14" t="n">
        <v>990763</v>
      </c>
      <c r="F74" s="15" t="n">
        <v>7851.8</v>
      </c>
      <c r="G74" s="15" t="n">
        <v>0.4</v>
      </c>
      <c r="H74" s="16" t="n"/>
    </row>
    <row r="75" ht="13" customHeight="1">
      <c r="A75" s="1" t="inlineStr">
        <is>
          <t>AFCI01</t>
        </is>
      </c>
      <c r="B75" s="12" t="inlineStr">
        <is>
          <t>Afcons Infrastructure Limited</t>
        </is>
      </c>
      <c r="C75" s="13" t="inlineStr">
        <is>
          <t>INE101I01011</t>
        </is>
      </c>
      <c r="D75" s="9" t="inlineStr">
        <is>
          <t>Construction</t>
        </is>
      </c>
      <c r="E75" s="14" t="n">
        <v>2182960</v>
      </c>
      <c r="F75" s="15" t="n">
        <v>7401.33</v>
      </c>
      <c r="G75" s="15" t="n">
        <v>0.38</v>
      </c>
      <c r="H75" s="16" t="n"/>
    </row>
    <row r="76" ht="13" customHeight="1">
      <c r="A76" s="1" t="inlineStr">
        <is>
          <t>APLI04</t>
        </is>
      </c>
      <c r="B76" s="12" t="inlineStr">
        <is>
          <t>Hexaware Technologies Limited</t>
        </is>
      </c>
      <c r="C76" s="13" t="inlineStr">
        <is>
          <t>INE093A01041</t>
        </is>
      </c>
      <c r="D76" s="9" t="inlineStr">
        <is>
          <t>IT - Software</t>
        </is>
      </c>
      <c r="E76" s="14" t="n">
        <v>261561</v>
      </c>
      <c r="F76" s="15" t="n">
        <v>1328.73</v>
      </c>
      <c r="G76" s="15" t="n">
        <v>0.07000000000000001</v>
      </c>
      <c r="H76" s="16" t="n"/>
    </row>
    <row r="77" ht="13" customHeight="1">
      <c r="A77" s="3" t="n"/>
      <c r="B77" s="8" t="inlineStr">
        <is>
          <t>Sub Total</t>
        </is>
      </c>
      <c r="C77" s="9" t="n"/>
      <c r="D77" s="9" t="n"/>
      <c r="E77" s="9" t="n"/>
      <c r="F77" s="17">
        <f>SUM(F8:F76)</f>
        <v/>
      </c>
      <c r="G77" s="17">
        <f>SUM(G8:G76)</f>
        <v/>
      </c>
      <c r="H77" s="18" t="n"/>
    </row>
    <row r="78" ht="13" customHeight="1">
      <c r="A78" s="3" t="n"/>
      <c r="B78" s="19" t="inlineStr">
        <is>
          <t>(b) Unlisted</t>
        </is>
      </c>
      <c r="C78" s="20" t="n"/>
      <c r="D78" s="20" t="n"/>
      <c r="E78" s="21" t="n"/>
      <c r="F78" s="22" t="inlineStr">
        <is>
          <t>Nil</t>
        </is>
      </c>
      <c r="G78" s="22" t="inlineStr">
        <is>
          <t>Nil</t>
        </is>
      </c>
      <c r="H78" s="23" t="inlineStr">
        <is>
          <t>Nil</t>
        </is>
      </c>
    </row>
    <row r="79" ht="13" customHeight="1">
      <c r="A79" s="3" t="n"/>
      <c r="B79" s="24" t="inlineStr">
        <is>
          <t>Sub Total</t>
        </is>
      </c>
      <c r="C79" s="25" t="n"/>
      <c r="D79" s="25" t="n"/>
      <c r="E79" s="22" t="n"/>
      <c r="F79" s="22" t="inlineStr">
        <is>
          <t>Nil</t>
        </is>
      </c>
      <c r="G79" s="22" t="inlineStr">
        <is>
          <t>Nil</t>
        </is>
      </c>
      <c r="H79" s="23" t="inlineStr">
        <is>
          <t>Nil</t>
        </is>
      </c>
    </row>
    <row r="80" ht="13" customHeight="1">
      <c r="A80" s="3" t="n"/>
      <c r="B80" s="19" t="inlineStr">
        <is>
          <t>Total</t>
        </is>
      </c>
      <c r="C80" s="20" t="n"/>
      <c r="D80" s="20" t="n"/>
      <c r="E80" s="26" t="n"/>
      <c r="F80" s="17" t="n">
        <v>1894543.82</v>
      </c>
      <c r="G80" s="17" t="n">
        <v>97.06999999999998</v>
      </c>
      <c r="H80" s="23" t="n"/>
    </row>
    <row r="81" ht="13" customHeight="1">
      <c r="A81" s="3" t="n"/>
      <c r="B81" s="8" t="inlineStr">
        <is>
          <t>Derivatives</t>
        </is>
      </c>
      <c r="C81" s="9" t="n"/>
      <c r="D81" s="9" t="n"/>
      <c r="E81" s="9" t="n"/>
      <c r="F81" s="9" t="n"/>
      <c r="G81" s="9" t="n"/>
      <c r="H81" s="10" t="n"/>
    </row>
    <row r="82" ht="13" customHeight="1">
      <c r="A82" s="3" t="n"/>
      <c r="B82" s="8" t="inlineStr">
        <is>
          <t>Index / Stock Futures</t>
        </is>
      </c>
      <c r="C82" s="11" t="n"/>
      <c r="D82" s="11" t="n"/>
      <c r="E82" s="9" t="n"/>
      <c r="F82" s="9" t="n"/>
      <c r="G82" s="9" t="n"/>
      <c r="H82" s="10" t="n"/>
    </row>
    <row r="83" ht="13" customHeight="1">
      <c r="A83" s="1" t="inlineStr">
        <is>
          <t>FSNEJUN26</t>
        </is>
      </c>
      <c r="B83" s="12" t="inlineStr">
        <is>
          <t>FSN E-Commerce Ventures Limited June 2026 Future</t>
        </is>
      </c>
      <c r="C83" s="13" t="n"/>
      <c r="D83" s="9" t="inlineStr">
        <is>
          <t>Retailing</t>
        </is>
      </c>
      <c r="E83" s="14" t="n">
        <v>4390625</v>
      </c>
      <c r="F83" s="15" t="n">
        <v>11615.4</v>
      </c>
      <c r="G83" s="15" t="n">
        <v>0.6</v>
      </c>
      <c r="H83" s="16" t="n">
        <v>0</v>
      </c>
    </row>
    <row r="84" ht="13" customHeight="1">
      <c r="A84" s="1" t="inlineStr">
        <is>
          <t>JUFLJUN26</t>
        </is>
      </c>
      <c r="B84" s="12" t="inlineStr">
        <is>
          <t>Jubilant Foodworks Limited June 2026 Future</t>
        </is>
      </c>
      <c r="C84" s="13" t="n"/>
      <c r="D84" s="9" t="inlineStr">
        <is>
          <t>Leisure Services</t>
        </is>
      </c>
      <c r="E84" s="14" t="n">
        <v>2277500</v>
      </c>
      <c r="F84" s="15" t="n">
        <v>9852.469999999999</v>
      </c>
      <c r="G84" s="15" t="n">
        <v>0.5</v>
      </c>
      <c r="H84" s="16" t="n">
        <v>0</v>
      </c>
    </row>
    <row r="85" ht="13" customHeight="1">
      <c r="A85" s="1" t="inlineStr">
        <is>
          <t>BFLSJUN26</t>
        </is>
      </c>
      <c r="B85" s="12" t="inlineStr">
        <is>
          <t>Mphasis Limited June 2026 Future</t>
        </is>
      </c>
      <c r="C85" s="13" t="n"/>
      <c r="D85" s="9" t="inlineStr">
        <is>
          <t>IT - Software</t>
        </is>
      </c>
      <c r="E85" s="14" t="n">
        <v>220000</v>
      </c>
      <c r="F85" s="15" t="n">
        <v>5027.88</v>
      </c>
      <c r="G85" s="15" t="n">
        <v>0.26</v>
      </c>
      <c r="H85" s="16" t="n">
        <v>0</v>
      </c>
    </row>
    <row r="86" ht="13" customHeight="1">
      <c r="A86" s="1" t="inlineStr">
        <is>
          <t>LUPLJUN26</t>
        </is>
      </c>
      <c r="B86" s="12" t="inlineStr">
        <is>
          <t>Lupin Limited June 2026 Future</t>
        </is>
      </c>
      <c r="C86" s="13" t="n"/>
      <c r="D86" s="9" t="inlineStr">
        <is>
          <t>Pharmaceuticals &amp; Biotechnology</t>
        </is>
      </c>
      <c r="E86" s="14" t="n">
        <v>140250</v>
      </c>
      <c r="F86" s="15" t="n">
        <v>3201.07</v>
      </c>
      <c r="G86" s="15" t="n">
        <v>0.16</v>
      </c>
      <c r="H86" s="16" t="n">
        <v>0</v>
      </c>
    </row>
    <row r="87" ht="13" customHeight="1">
      <c r="A87" s="1" t="inlineStr">
        <is>
          <t>CGCEJUN26</t>
        </is>
      </c>
      <c r="B87" s="12" t="inlineStr">
        <is>
          <t>Crompton Greaves Consumer Electricals Limited June 2026 Future</t>
        </is>
      </c>
      <c r="C87" s="13" t="n"/>
      <c r="D87" s="9" t="inlineStr">
        <is>
          <t>Consumer Durables</t>
        </is>
      </c>
      <c r="E87" s="14" t="n">
        <v>228600</v>
      </c>
      <c r="F87" s="15" t="n">
        <v>652.3099999999999</v>
      </c>
      <c r="G87" s="15" t="n">
        <v>0.03</v>
      </c>
      <c r="H87" s="16" t="n">
        <v>0</v>
      </c>
    </row>
    <row r="88" ht="13" customHeight="1">
      <c r="A88" s="3" t="n"/>
      <c r="B88" s="8" t="inlineStr">
        <is>
          <t>Sub Total</t>
        </is>
      </c>
      <c r="C88" s="9" t="n"/>
      <c r="D88" s="9" t="n"/>
      <c r="E88" s="9" t="n"/>
      <c r="F88" s="17" t="n">
        <v>30349.13</v>
      </c>
      <c r="G88" s="17" t="n">
        <v>1.55</v>
      </c>
      <c r="H88" s="18" t="n"/>
    </row>
    <row r="89" ht="13" customHeight="1">
      <c r="A89" s="3" t="n"/>
      <c r="B89" s="19" t="inlineStr">
        <is>
          <t>Total</t>
        </is>
      </c>
      <c r="C89" s="20" t="n"/>
      <c r="D89" s="20" t="n"/>
      <c r="E89" s="26" t="n"/>
      <c r="F89" s="17" t="n">
        <v>30349.13</v>
      </c>
      <c r="G89" s="17" t="n">
        <v>1.55</v>
      </c>
      <c r="H89" s="23" t="n"/>
    </row>
    <row r="90" ht="13" customHeight="1">
      <c r="A90" s="3" t="n"/>
      <c r="B90" s="8" t="inlineStr">
        <is>
          <t>Money Market Instruments</t>
        </is>
      </c>
      <c r="C90" s="9" t="n"/>
      <c r="D90" s="9" t="n"/>
      <c r="E90" s="9" t="n"/>
      <c r="F90" s="9" t="n"/>
      <c r="G90" s="9" t="n"/>
      <c r="H90" s="10" t="n"/>
    </row>
    <row r="91" ht="13" customHeight="1">
      <c r="A91" s="3" t="n"/>
      <c r="B91" s="8" t="inlineStr">
        <is>
          <t>TREPS / Reverse Repo</t>
        </is>
      </c>
      <c r="C91" s="11" t="n"/>
      <c r="D91" s="11" t="n"/>
      <c r="E91" s="9" t="n"/>
      <c r="F91" s="9" t="n"/>
      <c r="G91" s="9" t="n"/>
      <c r="H91" s="10" t="n"/>
    </row>
    <row r="92" ht="13" customHeight="1">
      <c r="A92" s="1" t="inlineStr">
        <is>
          <t>TRP_010626</t>
        </is>
      </c>
      <c r="B92" s="12" t="inlineStr">
        <is>
          <t>Triparty Repo</t>
        </is>
      </c>
      <c r="C92" s="13" t="n"/>
      <c r="D92" s="9" t="n"/>
      <c r="E92" s="14" t="n"/>
      <c r="F92" s="15" t="n">
        <v>40994.5</v>
      </c>
      <c r="G92" s="15" t="n">
        <v>2.1</v>
      </c>
      <c r="H92" s="16" t="n">
        <v>0.05339237155</v>
      </c>
    </row>
    <row r="93" ht="13" customHeight="1">
      <c r="A93" s="3" t="n"/>
      <c r="B93" s="8" t="inlineStr">
        <is>
          <t>Sub Total</t>
        </is>
      </c>
      <c r="C93" s="9" t="n"/>
      <c r="D93" s="9" t="n"/>
      <c r="E93" s="9" t="n"/>
      <c r="F93" s="17" t="n">
        <v>40994.5</v>
      </c>
      <c r="G93" s="17" t="n">
        <v>2.1</v>
      </c>
      <c r="H93" s="18" t="n"/>
    </row>
    <row r="94" ht="13" customHeight="1">
      <c r="A94" s="3" t="n"/>
      <c r="B94" s="19" t="inlineStr">
        <is>
          <t>Total</t>
        </is>
      </c>
      <c r="C94" s="20" t="n"/>
      <c r="D94" s="20" t="n"/>
      <c r="E94" s="26" t="n"/>
      <c r="F94" s="17" t="n">
        <v>40994.5</v>
      </c>
      <c r="G94" s="17" t="n">
        <v>2.1</v>
      </c>
      <c r="H94" s="23" t="n"/>
    </row>
    <row r="95" ht="13" customHeight="1">
      <c r="A95" s="27" t="n"/>
      <c r="B95" s="8" t="inlineStr">
        <is>
          <t>Others</t>
        </is>
      </c>
      <c r="C95" s="9" t="n"/>
      <c r="D95" s="9" t="n"/>
      <c r="E95" s="9" t="n"/>
      <c r="F95" s="9" t="n"/>
      <c r="G95" s="9" t="n"/>
      <c r="H95" s="10" t="n"/>
    </row>
    <row r="96" ht="13" customHeight="1">
      <c r="B96" s="8" t="inlineStr">
        <is>
          <t>Preference Shares</t>
        </is>
      </c>
      <c r="C96" s="9" t="n"/>
      <c r="D96" s="9" t="n"/>
      <c r="E96" s="9" t="n"/>
      <c r="F96" s="28" t="n"/>
      <c r="G96" s="29" t="n"/>
      <c r="H96" s="18" t="n"/>
    </row>
    <row r="97" ht="13" customHeight="1">
      <c r="A97" s="1" t="inlineStr">
        <is>
          <t>SAEL21PS</t>
        </is>
      </c>
      <c r="B97" s="12" t="inlineStr">
        <is>
          <t>TVS Motor Company Limited ^^</t>
        </is>
      </c>
      <c r="C97" s="13" t="inlineStr">
        <is>
          <t>INE494B04019</t>
        </is>
      </c>
      <c r="D97" s="9" t="inlineStr">
        <is>
          <t>Automobiles</t>
        </is>
      </c>
      <c r="E97" s="14" t="n">
        <v>3485708</v>
      </c>
      <c r="F97" s="15" t="n">
        <v>360.77</v>
      </c>
      <c r="G97" s="15" t="n">
        <v>0.02</v>
      </c>
      <c r="H97" s="16" t="n"/>
    </row>
    <row r="98" ht="13" customHeight="1">
      <c r="A98" s="3" t="n"/>
      <c r="B98" s="8" t="inlineStr">
        <is>
          <t>Sub Total</t>
        </is>
      </c>
      <c r="C98" s="9" t="n"/>
      <c r="D98" s="9" t="n"/>
      <c r="E98" s="9" t="n"/>
      <c r="F98" s="17">
        <f>F97</f>
        <v/>
      </c>
      <c r="G98" s="17">
        <f>G97</f>
        <v/>
      </c>
      <c r="H98" s="18" t="n"/>
    </row>
    <row r="99" ht="13" customHeight="1">
      <c r="A99" s="27" t="n"/>
      <c r="B99" s="19" t="inlineStr">
        <is>
          <t>Total</t>
        </is>
      </c>
      <c r="C99" s="20" t="n"/>
      <c r="D99" s="20" t="n"/>
      <c r="E99" s="26" t="n"/>
      <c r="F99" s="17">
        <f>F98</f>
        <v/>
      </c>
      <c r="G99" s="17">
        <f>G98</f>
        <v/>
      </c>
      <c r="H99" s="23" t="n"/>
    </row>
    <row r="100" ht="13" customHeight="1">
      <c r="A100" s="3" t="n"/>
      <c r="B100" s="19" t="inlineStr">
        <is>
          <t>Net Receivables / (Payables)</t>
        </is>
      </c>
      <c r="C100" s="20" t="n"/>
      <c r="D100" s="20" t="n"/>
      <c r="E100" s="9" t="n"/>
      <c r="F100" s="17" t="n">
        <v>-14514.38</v>
      </c>
      <c r="G100" s="17" t="n">
        <v>-0.74</v>
      </c>
      <c r="H100" s="23" t="n"/>
    </row>
    <row r="101" ht="13" customHeight="1">
      <c r="A101" s="3" t="n"/>
      <c r="B101" s="30" t="inlineStr">
        <is>
          <t>GRAND TOTAL</t>
        </is>
      </c>
      <c r="C101" s="31" t="n"/>
      <c r="D101" s="31" t="n"/>
      <c r="E101" s="31" t="n"/>
      <c r="F101" s="32" t="n">
        <v>1951733.84</v>
      </c>
      <c r="G101" s="33" t="n">
        <v>100</v>
      </c>
      <c r="H101" s="34" t="n"/>
    </row>
    <row r="102" ht="13" customHeight="1">
      <c r="A102" s="3" t="n"/>
      <c r="B102" s="35" t="n"/>
      <c r="F102" s="3" t="n"/>
      <c r="G102" s="3" t="n"/>
      <c r="H102" s="3" t="n"/>
    </row>
    <row r="103" ht="13" customHeight="1">
      <c r="A103" s="3" t="n"/>
      <c r="B103" s="35" t="inlineStr">
        <is>
          <t>YTM - Yield To Maturity</t>
        </is>
      </c>
      <c r="F103" s="3" t="n"/>
      <c r="G103" s="3" t="n"/>
      <c r="H103" s="3" t="n"/>
    </row>
    <row r="104" ht="13" customHeight="1">
      <c r="A104" s="3" t="n"/>
      <c r="B104" s="35" t="inlineStr">
        <is>
          <t>*  Industry Classification is as recommended by AMFI</t>
        </is>
      </c>
      <c r="F104" s="3" t="n"/>
      <c r="G104" s="3" t="n"/>
      <c r="H104" s="3" t="n"/>
    </row>
    <row r="105" ht="13" customHeight="1">
      <c r="A105" s="3" t="n"/>
      <c r="B105" s="35" t="inlineStr">
        <is>
          <t>^^^ Associate Company / Group co.</t>
        </is>
      </c>
      <c r="F105" s="3" t="n"/>
      <c r="G105" s="3" t="n"/>
      <c r="H105" s="3" t="n"/>
    </row>
    <row r="106" ht="13" customHeight="1">
      <c r="A106" s="3" t="n"/>
      <c r="B106" s="35" t="inlineStr">
        <is>
          <t>^^ Awaiting listing</t>
        </is>
      </c>
      <c r="F106" s="3" t="n"/>
      <c r="G106" s="3" t="n"/>
      <c r="H106" s="3" t="n"/>
    </row>
    <row r="107" ht="13" customHeight="1">
      <c r="A107" s="3" t="n"/>
      <c r="B107" s="35" t="n"/>
      <c r="C107" s="35" t="n"/>
      <c r="D107" s="35" t="n"/>
      <c r="E107" s="35" t="n"/>
      <c r="F107" s="3" t="n"/>
      <c r="G107" s="3" t="n"/>
      <c r="H107" s="3" t="n"/>
    </row>
    <row r="108" ht="13" customHeight="1">
      <c r="A108" s="3" t="n"/>
      <c r="B108" s="36" t="inlineStr">
        <is>
          <t>‡ Includes shares lent under Securities Lending &amp; Borrowing Scheme of BSE</t>
        </is>
      </c>
      <c r="F108" s="3" t="n"/>
      <c r="G108" s="3" t="n"/>
      <c r="H108" s="3" t="n"/>
    </row>
    <row r="109" ht="13" customHeight="1">
      <c r="A109" s="3" t="n"/>
      <c r="B109" s="37" t="inlineStr">
        <is>
          <t>Name of the Security</t>
        </is>
      </c>
      <c r="C109" s="37" t="inlineStr">
        <is>
          <t>Shares</t>
        </is>
      </c>
      <c r="D109" s="3" t="n"/>
      <c r="E109" s="3" t="n"/>
      <c r="F109" s="3" t="n"/>
      <c r="G109" s="3" t="n"/>
      <c r="H109" s="3" t="n"/>
    </row>
    <row r="110" ht="13" customHeight="1">
      <c r="A110" s="3" t="n"/>
      <c r="B110" s="38" t="inlineStr">
        <is>
          <t>Jubilant Foodworks Limited</t>
        </is>
      </c>
      <c r="C110" s="39" t="n">
        <v>127614</v>
      </c>
      <c r="D110" s="3" t="n"/>
      <c r="E110" s="3" t="n"/>
      <c r="F110" s="3" t="n"/>
      <c r="G110" s="3" t="n"/>
      <c r="H110" s="3" t="n"/>
    </row>
    <row r="111" ht="13" customHeight="1">
      <c r="A111" s="3" t="n"/>
      <c r="B111" s="38" t="inlineStr">
        <is>
          <t>LTM Limited</t>
        </is>
      </c>
      <c r="C111" s="39" t="n">
        <v>18550</v>
      </c>
      <c r="D111" s="3" t="n"/>
      <c r="E111" s="3" t="n"/>
      <c r="F111" s="3" t="n"/>
      <c r="G111" s="3" t="n"/>
      <c r="H111" s="3" t="n"/>
    </row>
    <row r="112" ht="13" customHeight="1">
      <c r="A112" s="3" t="n"/>
      <c r="B112" s="40" t="n"/>
      <c r="C112" s="41" t="n"/>
      <c r="D112" s="3" t="n"/>
      <c r="E112" s="3" t="n"/>
      <c r="F112" s="3" t="n"/>
      <c r="G112" s="3" t="n"/>
      <c r="H112" s="3" t="n"/>
    </row>
    <row r="113" ht="13" customHeight="1">
      <c r="A113" s="3" t="n"/>
      <c r="B113" s="4" t="inlineStr">
        <is>
          <t>Notes :</t>
        </is>
      </c>
      <c r="C113" s="4" t="n"/>
      <c r="D113" s="4" t="n"/>
      <c r="E113" s="4" t="n"/>
      <c r="F113" s="3" t="n"/>
      <c r="G113" s="3" t="n"/>
      <c r="H113" s="3" t="n"/>
    </row>
    <row r="114" ht="13" customHeight="1">
      <c r="A114" s="3" t="n"/>
      <c r="B114" s="4" t="inlineStr">
        <is>
          <t>(1)  Details of security in default beyond it's maturity date: Nil</t>
        </is>
      </c>
      <c r="C114" s="4" t="n"/>
      <c r="D114" s="4" t="n"/>
      <c r="E114" s="4" t="n"/>
      <c r="F114" s="3" t="n"/>
      <c r="G114" s="3" t="n"/>
      <c r="H114" s="3" t="n"/>
    </row>
    <row r="115" ht="13" customHeight="1">
      <c r="A115" s="3" t="n"/>
      <c r="B115" s="4" t="inlineStr">
        <is>
          <t>(2)  Total Value and percentage of illiquid equity shares: Nil</t>
        </is>
      </c>
      <c r="C115" s="4" t="n"/>
      <c r="D115" s="4" t="n"/>
      <c r="E115" s="4" t="n"/>
      <c r="F115" s="3" t="n"/>
      <c r="G115" s="3" t="n"/>
      <c r="H115" s="3" t="n"/>
    </row>
    <row r="116" ht="13" customHeight="1">
      <c r="A116" s="3" t="n"/>
      <c r="B116" s="4" t="inlineStr">
        <is>
          <t>(3)  Net Assets Value per unit (in `) are as follows:</t>
        </is>
      </c>
      <c r="C116" s="4" t="n"/>
      <c r="D116" s="4" t="n"/>
      <c r="E116" s="4" t="n"/>
      <c r="F116" s="3" t="n"/>
      <c r="G116" s="3" t="n"/>
      <c r="H116" s="3" t="n"/>
    </row>
    <row r="117" ht="13" customHeight="1">
      <c r="A117" s="3" t="n"/>
      <c r="B117" s="4" t="inlineStr">
        <is>
          <t xml:space="preserve">       Plan / Option</t>
        </is>
      </c>
      <c r="C117" s="4" t="inlineStr">
        <is>
          <t>As on May 31, 2026</t>
        </is>
      </c>
      <c r="D117" s="4" t="inlineStr">
        <is>
          <t>As on April 30, 2026</t>
        </is>
      </c>
      <c r="E117" s="4" t="n"/>
      <c r="F117" s="3" t="n"/>
      <c r="G117" s="3" t="n"/>
      <c r="H117" s="3" t="n"/>
    </row>
    <row r="118" ht="13" customHeight="1">
      <c r="A118" s="3" t="n"/>
      <c r="B118" s="4" t="inlineStr">
        <is>
          <t xml:space="preserve">       Growth Option</t>
        </is>
      </c>
      <c r="C118" s="42" t="n">
        <v>128.12</v>
      </c>
      <c r="D118" s="42" t="n">
        <v>127.69</v>
      </c>
      <c r="E118" s="4" t="n"/>
      <c r="F118" s="3" t="n"/>
      <c r="G118" s="3" t="n"/>
      <c r="H118" s="3" t="n"/>
    </row>
    <row r="119" ht="13" customHeight="1">
      <c r="A119" s="3" t="n"/>
      <c r="B119" s="4" t="inlineStr">
        <is>
          <t xml:space="preserve">       IDCW Option</t>
        </is>
      </c>
      <c r="C119" s="42" t="n">
        <v>46.94</v>
      </c>
      <c r="D119" s="42" t="n">
        <v>46.78</v>
      </c>
      <c r="E119" s="4" t="n"/>
      <c r="F119" s="3" t="n"/>
      <c r="G119" s="3" t="n"/>
      <c r="H119" s="3" t="n"/>
    </row>
    <row r="120" ht="13" customHeight="1">
      <c r="A120" s="3" t="n"/>
      <c r="B120" s="4" t="inlineStr">
        <is>
          <t xml:space="preserve">       Direct Plan - Growth Option</t>
        </is>
      </c>
      <c r="C120" s="42" t="n">
        <v>151.6</v>
      </c>
      <c r="D120" s="42" t="n">
        <v>150.96</v>
      </c>
      <c r="E120" s="4" t="n"/>
      <c r="F120" s="3" t="n"/>
      <c r="G120" s="3" t="n"/>
      <c r="H120" s="3" t="n"/>
    </row>
    <row r="121" ht="13" customHeight="1">
      <c r="A121" s="3" t="n"/>
      <c r="B121" s="4" t="inlineStr">
        <is>
          <t xml:space="preserve">       Direct Plan - IDCW Option</t>
        </is>
      </c>
      <c r="C121" s="42" t="n">
        <v>63.13</v>
      </c>
      <c r="D121" s="42" t="n">
        <v>62.86</v>
      </c>
      <c r="E121" s="4" t="n"/>
      <c r="F121" s="3" t="n"/>
      <c r="G121" s="3" t="n"/>
      <c r="H121" s="3" t="n"/>
    </row>
    <row r="122" ht="13" customHeight="1">
      <c r="A122" s="3" t="n"/>
      <c r="B122" s="4" t="inlineStr"/>
      <c r="C122" s="4" t="n"/>
      <c r="D122" s="4" t="n"/>
      <c r="E122" s="4" t="n"/>
      <c r="F122" s="3" t="n"/>
      <c r="G122" s="3" t="n"/>
      <c r="H122" s="3" t="n"/>
    </row>
    <row r="123" ht="13" customHeight="1">
      <c r="A123" s="3" t="n"/>
      <c r="B123" t="inlineStr">
        <is>
          <t>(4)  IDCW /  Bonus declared during the month ended As on May 31, 2026: Nil</t>
        </is>
      </c>
      <c r="C123" s="4" t="n"/>
      <c r="D123" s="4" t="n"/>
      <c r="E123" s="4" t="n"/>
      <c r="F123" s="3" t="n"/>
      <c r="G123" s="3" t="n"/>
      <c r="H123" s="3" t="n"/>
    </row>
    <row r="124" ht="13" customHeight="1">
      <c r="A124" s="3" t="n"/>
      <c r="B124" s="43" t="inlineStr">
        <is>
          <t>(5)  Total outstanding exposure in derivative instruments as on May 31, 2026 30349.13 Lakhs for details on derivative positions during the month ended May 31, 2026 , please refer to Derivative Disclosure table.</t>
        </is>
      </c>
      <c r="C124" s="4" t="n"/>
      <c r="D124" s="4" t="n"/>
      <c r="E124" s="4" t="n"/>
      <c r="F124" s="3" t="n"/>
      <c r="G124" s="3" t="n"/>
      <c r="H124" s="3" t="n"/>
    </row>
    <row r="125" ht="13" customHeight="1">
      <c r="A125" s="3" t="n"/>
      <c r="B125" s="43" t="inlineStr">
        <is>
          <t>(6)  Total investments in Foreign Securities / American Depository Receipts / Global Depository Receipts / Overseas ETFs As on May 31, 2026 and its percentage to NAV : Nil</t>
        </is>
      </c>
      <c r="C125" s="4" t="n"/>
      <c r="D125" s="4" t="n"/>
      <c r="E125" s="4" t="n"/>
      <c r="F125" s="3" t="n"/>
      <c r="G125" s="3" t="n"/>
      <c r="H125" s="3" t="n"/>
    </row>
    <row r="126" ht="13" customHeight="1">
      <c r="A126" s="3" t="n"/>
      <c r="B126" s="4" t="inlineStr">
        <is>
          <t>(7)  During the period, the portfolio turnover ratio was 0.59 times. ¥</t>
        </is>
      </c>
      <c r="C126" s="4" t="n"/>
      <c r="D126" s="4" t="n"/>
      <c r="E126" s="4" t="n"/>
      <c r="F126" s="3" t="n"/>
      <c r="G126" s="3" t="n"/>
      <c r="H126" s="3" t="n"/>
    </row>
    <row r="127" ht="13" customHeight="1">
      <c r="A127" s="3" t="n"/>
      <c r="B127" s="4" t="inlineStr">
        <is>
          <t>(8)  Investment in Repo of Corporate Debt securities : Nil</t>
        </is>
      </c>
      <c r="C127" s="4" t="n"/>
      <c r="D127" s="4" t="n"/>
      <c r="E127" s="4" t="n"/>
      <c r="F127" s="3" t="n"/>
      <c r="G127" s="3" t="n"/>
      <c r="H127" s="3" t="n"/>
    </row>
    <row r="128" ht="13" customHeight="1">
      <c r="A128" s="3" t="n"/>
      <c r="B128" s="43" t="inlineStr">
        <is>
          <t>(9)  Deviation from the valuation prices given by valuation agencies during the month ended May 31, 2026: Nil</t>
        </is>
      </c>
      <c r="C128" s="4" t="n"/>
      <c r="D128" s="4" t="n"/>
      <c r="E128" s="4" t="n"/>
      <c r="F128" s="3" t="n"/>
      <c r="G128" s="3" t="n"/>
      <c r="H128" s="3" t="n"/>
    </row>
    <row r="129" ht="13" customHeight="1">
      <c r="A129" s="3" t="n"/>
      <c r="B129" s="4" t="n"/>
      <c r="C129" s="4" t="n"/>
      <c r="D129" s="4" t="n"/>
      <c r="E129" s="4" t="n"/>
      <c r="F129" s="3" t="n"/>
      <c r="G129" s="3" t="n"/>
      <c r="H129" s="3" t="n"/>
    </row>
    <row r="130" ht="13" customHeight="1">
      <c r="A130" s="3" t="n"/>
      <c r="B130" s="43" t="inlineStr">
        <is>
          <t>¥ Portfolio Turnover Ratio: Lower of purchases or sales of securities during the year ended May 31, 2026 / average net assets during the year ended May 31, 2026.</t>
        </is>
      </c>
      <c r="C130" s="4" t="n"/>
      <c r="D130" s="4" t="n"/>
      <c r="E130" s="4" t="n"/>
      <c r="F130" s="3" t="n"/>
      <c r="G130" s="3" t="n"/>
      <c r="H130" s="3" t="n"/>
    </row>
    <row r="131" ht="13" customHeight="1">
      <c r="A131" s="3" t="n"/>
      <c r="B131" s="4" t="inlineStr">
        <is>
          <t>The Face value per unit is ` 10.</t>
        </is>
      </c>
      <c r="C131" s="4" t="n"/>
      <c r="D131" s="4" t="n"/>
      <c r="E131" s="4" t="n"/>
      <c r="F131" s="3" t="n"/>
      <c r="G131" s="3" t="n"/>
      <c r="H131" s="3" t="n"/>
    </row>
    <row r="132" ht="13" customHeight="1">
      <c r="A132" s="3" t="n"/>
      <c r="B132" s="43" t="inlineStr">
        <is>
          <t>In line with SEBI clarification, NAV as on May 29, 2026 were disclosed, due to non-business day on 30th &amp; 31st May</t>
        </is>
      </c>
      <c r="C132" s="4" t="n"/>
      <c r="D132" s="4" t="n"/>
      <c r="E132" s="4" t="n"/>
      <c r="F132" s="3" t="n"/>
      <c r="G132" s="3" t="n"/>
      <c r="H132" s="3" t="n"/>
    </row>
    <row r="133" ht="13" customHeight="1">
      <c r="A133" s="3" t="n"/>
      <c r="B133" s="4" t="n"/>
      <c r="C133" s="4" t="n"/>
      <c r="D133" s="4" t="n"/>
      <c r="E133" s="4" t="n"/>
      <c r="F133" s="3" t="n"/>
      <c r="G133" s="3" t="n"/>
      <c r="H133" s="3" t="n"/>
    </row>
    <row r="134" ht="13" customHeight="1">
      <c r="A134" s="3" t="n"/>
      <c r="B134" s="4" t="n"/>
      <c r="C134" s="4" t="n"/>
      <c r="D134" s="4" t="n"/>
      <c r="E134" s="4" t="n"/>
      <c r="F134" s="3" t="n"/>
      <c r="G134" s="3" t="n"/>
      <c r="H134" s="3" t="n"/>
    </row>
    <row r="135" ht="13" customHeight="1">
      <c r="A135" s="3" t="n"/>
      <c r="B135" s="4" t="n"/>
      <c r="C135" s="4" t="n"/>
      <c r="D135" s="4" t="n"/>
      <c r="E135" s="4" t="n"/>
      <c r="F135" s="3" t="n"/>
      <c r="G135" s="3" t="n"/>
      <c r="H135" s="3" t="n"/>
    </row>
    <row r="136" ht="13" customHeight="1">
      <c r="A136" s="3" t="n"/>
      <c r="B136" s="4" t="n"/>
      <c r="C136" s="4" t="n"/>
      <c r="D136" s="4" t="n"/>
      <c r="E136" s="4" t="n"/>
      <c r="F136" s="3" t="n"/>
      <c r="G136" s="3" t="n"/>
      <c r="H136" s="3" t="n"/>
    </row>
    <row r="137" ht="13" customHeight="1">
      <c r="A137" s="3" t="n"/>
      <c r="B137" s="4" t="n"/>
      <c r="C137" s="4" t="n"/>
      <c r="D137" s="4" t="n"/>
      <c r="E137" s="4" t="n"/>
      <c r="F137" s="3" t="n"/>
      <c r="G137" s="3" t="n"/>
      <c r="H137" s="3" t="n"/>
    </row>
    <row r="138"/>
    <row r="139">
      <c r="A139" s="44" t="inlineStr">
        <is>
          <t>A.</t>
        </is>
      </c>
      <c r="B139" s="44" t="inlineStr">
        <is>
          <t>Hedging Positions through Futures as on May 31, 2026</t>
        </is>
      </c>
    </row>
    <row r="140" ht="29" customHeight="1">
      <c r="A140" s="45" t="n"/>
      <c r="B140" s="46" t="inlineStr">
        <is>
          <t>Underlying</t>
        </is>
      </c>
      <c r="C140" s="47" t="inlineStr">
        <is>
          <t>Long / Short</t>
        </is>
      </c>
      <c r="D140" s="47" t="inlineStr">
        <is>
          <t>Futures Price when purchased</t>
        </is>
      </c>
      <c r="E140" s="47" t="inlineStr">
        <is>
          <t>Current price of the contract</t>
        </is>
      </c>
      <c r="F140" s="47" t="inlineStr">
        <is>
          <t>Margin maintained in ` Lakhs</t>
        </is>
      </c>
    </row>
    <row r="141">
      <c r="B141" s="48" t="inlineStr">
        <is>
          <t>Mphasis Limited</t>
        </is>
      </c>
      <c r="C141" s="49" t="inlineStr">
        <is>
          <t>Long</t>
        </is>
      </c>
      <c r="D141" s="50" t="n">
        <v>2281.81</v>
      </c>
      <c r="E141" s="50" t="n">
        <v>2285.4</v>
      </c>
      <c r="F141" s="50" t="n">
        <v>1006.7</v>
      </c>
    </row>
    <row r="142">
      <c r="B142" s="48" t="inlineStr">
        <is>
          <t>Crompton Greaves Consumer Electricals Limited</t>
        </is>
      </c>
      <c r="C142" s="49" t="inlineStr">
        <is>
          <t>Long</t>
        </is>
      </c>
      <c r="D142" s="50" t="n">
        <v>292.64</v>
      </c>
      <c r="E142" s="50" t="n">
        <v>285.35</v>
      </c>
      <c r="F142" s="50" t="n">
        <v>127.92</v>
      </c>
    </row>
    <row r="143">
      <c r="B143" s="48" t="inlineStr">
        <is>
          <t>FSN E-Commerce Ventures Limited</t>
        </is>
      </c>
      <c r="C143" s="49" t="inlineStr">
        <is>
          <t>Long</t>
        </is>
      </c>
      <c r="D143" s="50" t="n">
        <v>270.44</v>
      </c>
      <c r="E143" s="50" t="n">
        <v>264.55</v>
      </c>
      <c r="F143" s="50" t="n">
        <v>2212.4</v>
      </c>
    </row>
    <row r="144">
      <c r="B144" s="48" t="inlineStr">
        <is>
          <t>Jubilant Foodworks Limited</t>
        </is>
      </c>
      <c r="C144" s="49" t="inlineStr">
        <is>
          <t>Long</t>
        </is>
      </c>
      <c r="D144" s="50" t="n">
        <v>438.4</v>
      </c>
      <c r="E144" s="50" t="n">
        <v>432.6</v>
      </c>
      <c r="F144" s="50" t="n">
        <v>2093.96</v>
      </c>
    </row>
    <row r="145">
      <c r="B145" s="48" t="inlineStr">
        <is>
          <t>Lupin Limited</t>
        </is>
      </c>
      <c r="C145" s="49" t="inlineStr">
        <is>
          <t>Long</t>
        </is>
      </c>
      <c r="D145" s="50" t="n">
        <v>2278.4</v>
      </c>
      <c r="E145" s="50" t="n">
        <v>2282.4</v>
      </c>
      <c r="F145" s="50" t="n">
        <v>569.49</v>
      </c>
    </row>
    <row r="146">
      <c r="B146" s="51" t="n"/>
      <c r="C146" s="52" t="n"/>
      <c r="D146" s="53" t="n"/>
      <c r="E146" s="53" t="n"/>
      <c r="F146" s="54" t="n"/>
    </row>
    <row r="147">
      <c r="B147" s="55" t="inlineStr">
        <is>
          <t>Total %age of existing assets hedged through futures : 1.55%</t>
        </is>
      </c>
      <c r="C147" s="52" t="n"/>
      <c r="D147" s="53" t="n"/>
      <c r="E147" s="53" t="n"/>
      <c r="F147" s="54" t="n"/>
    </row>
    <row r="148">
      <c r="B148" s="56" t="inlineStr">
        <is>
          <t>Details of hedging transactions through futures which have been squared off  / expired during the period ended May 31, 2026 are as follows:</t>
        </is>
      </c>
      <c r="C148" s="57" t="n"/>
      <c r="D148" s="57" t="n"/>
      <c r="E148" s="57" t="n"/>
      <c r="F148" s="58" t="n"/>
    </row>
    <row r="149">
      <c r="B149" s="59" t="inlineStr">
        <is>
          <t>Total Number of contracts where futures were bought : Nil</t>
        </is>
      </c>
      <c r="F149" s="60" t="n"/>
    </row>
    <row r="150">
      <c r="B150" s="59" t="inlineStr">
        <is>
          <t>Total Number of contracts where futures were sold : 4,484</t>
        </is>
      </c>
      <c r="F150" s="60" t="n"/>
    </row>
    <row r="151">
      <c r="B151" s="59" t="inlineStr">
        <is>
          <t>Gross Notional Value of contracts where futures were bought : Nil</t>
        </is>
      </c>
      <c r="F151" s="60" t="n"/>
    </row>
    <row r="152">
      <c r="B152" s="59" t="inlineStr">
        <is>
          <t>Gross Notional Value of contracts where futures were sold : 3,053,634,233</t>
        </is>
      </c>
      <c r="F152" s="60" t="n"/>
    </row>
    <row r="153">
      <c r="B153" s="61" t="inlineStr">
        <is>
          <t>Net Profit/(Loss) value on all contracts combined : (110,929,473)</t>
        </is>
      </c>
      <c r="C153" s="62" t="n"/>
      <c r="D153" s="62" t="n"/>
      <c r="E153" s="62" t="n"/>
      <c r="F153" s="63" t="n"/>
    </row>
    <row r="154"/>
    <row r="155">
      <c r="A155" s="44" t="inlineStr">
        <is>
          <t>B.</t>
        </is>
      </c>
      <c r="B155" s="44" t="inlineStr">
        <is>
          <t>Other than Hedging Positions through Futures as on May 31, 2026</t>
        </is>
      </c>
    </row>
    <row r="156" ht="29" customHeight="1">
      <c r="B156" s="46" t="inlineStr">
        <is>
          <t>Underlying</t>
        </is>
      </c>
      <c r="C156" s="47" t="inlineStr">
        <is>
          <t>Long / Short</t>
        </is>
      </c>
      <c r="D156" s="47" t="inlineStr">
        <is>
          <t>Futures Price when purchased</t>
        </is>
      </c>
      <c r="E156" s="47" t="inlineStr">
        <is>
          <t>Current price of the contract</t>
        </is>
      </c>
      <c r="F156" s="47" t="inlineStr">
        <is>
          <t>Margin maintained in ` Lakhs</t>
        </is>
      </c>
    </row>
    <row r="157">
      <c r="B157" s="64" t="inlineStr">
        <is>
          <t>Nil</t>
        </is>
      </c>
      <c r="C157" s="65" t="n"/>
      <c r="D157" s="65" t="n"/>
      <c r="E157" s="65" t="n"/>
      <c r="F157" s="66" t="n"/>
    </row>
    <row r="158">
      <c r="B158" s="67" t="n"/>
      <c r="C158" s="65" t="n"/>
      <c r="D158" s="65" t="n"/>
      <c r="E158" s="65" t="n"/>
      <c r="F158" s="66" t="n"/>
    </row>
    <row r="159">
      <c r="A159" s="44" t="n"/>
      <c r="B159" s="55" t="inlineStr">
        <is>
          <t>Total exposure due to futures (non hedging positions) as a %age of net assets : Nil</t>
        </is>
      </c>
      <c r="C159" s="68" t="n"/>
      <c r="D159" s="68" t="n"/>
      <c r="E159" s="68" t="n"/>
      <c r="F159" s="69" t="n"/>
    </row>
    <row r="160">
      <c r="A160" s="70" t="n"/>
      <c r="B160" s="56" t="inlineStr">
        <is>
          <t>Details of non-hedging transactions through futures which have been squared off  / expired during the period ended May 31, 2026 are as follows:</t>
        </is>
      </c>
      <c r="C160" s="57" t="n"/>
      <c r="D160" s="57" t="n"/>
      <c r="E160" s="57" t="n"/>
      <c r="F160" s="58" t="n"/>
    </row>
    <row r="161">
      <c r="B161" s="59" t="inlineStr">
        <is>
          <t xml:space="preserve">Total Number of contracts where futures were bought : </t>
        </is>
      </c>
      <c r="F161" s="60" t="n"/>
    </row>
    <row r="162">
      <c r="B162" s="59" t="inlineStr">
        <is>
          <t xml:space="preserve">Total Number of contracts where futures were sold : </t>
        </is>
      </c>
      <c r="F162" s="60" t="n"/>
    </row>
    <row r="163">
      <c r="B163" s="59" t="inlineStr">
        <is>
          <t xml:space="preserve">Gross Notional Value of contracts where futures were bought : </t>
        </is>
      </c>
      <c r="F163" s="60" t="n"/>
    </row>
    <row r="164">
      <c r="B164" s="59" t="inlineStr">
        <is>
          <t xml:space="preserve">Gross Notional Value of contracts where futures were sold : </t>
        </is>
      </c>
      <c r="F164" s="60" t="n"/>
    </row>
    <row r="165">
      <c r="B165" s="59" t="inlineStr">
        <is>
          <t xml:space="preserve">Net Profit/(Loss) value on all contracts combined : </t>
        </is>
      </c>
      <c r="C165" s="62" t="n"/>
      <c r="D165" s="62" t="n"/>
      <c r="E165" s="62" t="n"/>
      <c r="F165" s="63" t="n"/>
    </row>
    <row r="166">
      <c r="B166" s="52" t="n"/>
    </row>
    <row r="167">
      <c r="A167" s="44" t="inlineStr">
        <is>
          <t>C.</t>
        </is>
      </c>
      <c r="B167" s="44" t="inlineStr">
        <is>
          <t>Hedging Positions through Put Options as on May 31, 2026</t>
        </is>
      </c>
      <c r="C167" s="44" t="n"/>
      <c r="D167" s="44" t="n"/>
      <c r="E167" s="44" t="n"/>
      <c r="F167" s="44" t="n"/>
    </row>
    <row r="168" ht="29" customHeight="1">
      <c r="B168" s="46" t="inlineStr">
        <is>
          <t>Underlying</t>
        </is>
      </c>
      <c r="C168" s="46" t="inlineStr">
        <is>
          <t>Number of Contracts</t>
        </is>
      </c>
      <c r="D168" s="46" t="inlineStr">
        <is>
          <t>Option Price when purchased</t>
        </is>
      </c>
      <c r="E168" s="46" t="inlineStr">
        <is>
          <t>Current Option Price</t>
        </is>
      </c>
      <c r="F168" s="70" t="n"/>
    </row>
    <row r="169">
      <c r="B169" s="67" t="inlineStr">
        <is>
          <t>Nil</t>
        </is>
      </c>
      <c r="C169" s="65" t="n"/>
      <c r="D169" s="65" t="n"/>
      <c r="E169" s="66" t="n"/>
    </row>
    <row r="170">
      <c r="A170" s="44" t="n"/>
      <c r="B170" s="49" t="inlineStr">
        <is>
          <t>Total % age of existing assets hedged through Put options : Nil</t>
        </is>
      </c>
      <c r="C170" s="65" t="n"/>
      <c r="D170" s="65" t="n"/>
      <c r="E170" s="66" t="n"/>
    </row>
    <row r="171">
      <c r="A171" s="70" t="n"/>
      <c r="B171" s="71" t="inlineStr">
        <is>
          <t>Details of hedging transactions through Put options which have been squared off / expired during the period ended May 31, 2026 are as follows:
Total Number of contracts entered into : Nil
Gross Notional value of contracts : Nil
Net Profit/(Loss) on all contracts (premium paid treated as loss) : Nil</t>
        </is>
      </c>
      <c r="C171" s="57" t="n"/>
      <c r="D171" s="57" t="n"/>
      <c r="E171" s="58" t="n"/>
    </row>
    <row r="172">
      <c r="B172" s="72" t="n"/>
      <c r="E172" s="73" t="n"/>
    </row>
    <row r="173">
      <c r="B173" s="72" t="n"/>
      <c r="E173" s="73" t="n"/>
    </row>
    <row r="174">
      <c r="B174" s="72" t="n"/>
      <c r="E174" s="73" t="n"/>
    </row>
    <row r="175">
      <c r="B175" s="74" t="n"/>
      <c r="C175" s="75" t="n"/>
      <c r="D175" s="75" t="n"/>
      <c r="E175" s="76" t="n"/>
    </row>
    <row r="176">
      <c r="B176" s="77" t="n"/>
      <c r="C176" s="77" t="n"/>
      <c r="D176" s="77" t="n"/>
      <c r="E176" s="77" t="n"/>
    </row>
    <row r="177">
      <c r="A177" s="44" t="inlineStr">
        <is>
          <t>D.</t>
        </is>
      </c>
      <c r="B177" s="44" t="inlineStr">
        <is>
          <t>Other than Hedging Positions through Options as on May 31, 2026</t>
        </is>
      </c>
      <c r="C177" s="44" t="n"/>
      <c r="D177" s="44" t="n"/>
      <c r="E177" s="44" t="n"/>
      <c r="F177" s="44" t="n"/>
    </row>
    <row r="178" ht="29" customHeight="1">
      <c r="A178" s="70" t="n"/>
      <c r="B178" s="46" t="inlineStr">
        <is>
          <t>Underlying</t>
        </is>
      </c>
      <c r="C178" s="46" t="inlineStr">
        <is>
          <t>Call / put</t>
        </is>
      </c>
      <c r="D178" s="46" t="inlineStr">
        <is>
          <t>Number of contracts</t>
        </is>
      </c>
      <c r="E178" s="46" t="inlineStr">
        <is>
          <t>Option Price when purchased</t>
        </is>
      </c>
      <c r="F178" s="46" t="inlineStr">
        <is>
          <t>Current Price</t>
        </is>
      </c>
    </row>
    <row r="179">
      <c r="B179" s="67" t="inlineStr">
        <is>
          <t>Nil</t>
        </is>
      </c>
      <c r="C179" s="65" t="n"/>
      <c r="D179" s="65" t="n"/>
      <c r="E179" s="65" t="n"/>
      <c r="F179" s="66" t="n"/>
    </row>
    <row r="180">
      <c r="B180" s="49" t="inlineStr">
        <is>
          <t>Total Exposure through options as a %age of net assets : Nil</t>
        </is>
      </c>
      <c r="C180" s="65" t="n"/>
      <c r="D180" s="65" t="n"/>
      <c r="E180" s="65" t="n"/>
      <c r="F180" s="66" t="n"/>
    </row>
    <row r="181">
      <c r="B181" s="71" t="inlineStr">
        <is>
          <t>Details of non-hedging transactions through options which have been squared off  / expired during the period ended May 31, 2026 are as follows:
Total Number of contracts entered into : Nil
Gross Notional Value of contracts : Nil
Net Profit/(Loss) on all contracts (premium paid treated as loss) : Nil</t>
        </is>
      </c>
      <c r="C181" s="57" t="n"/>
      <c r="D181" s="57" t="n"/>
      <c r="E181" s="57" t="n"/>
      <c r="F181" s="58" t="n"/>
    </row>
    <row r="182">
      <c r="B182" s="72" t="n"/>
      <c r="F182" s="73" t="n"/>
    </row>
    <row r="183">
      <c r="B183" s="72" t="n"/>
      <c r="F183" s="73" t="n"/>
    </row>
    <row r="184">
      <c r="B184" s="72" t="n"/>
      <c r="F184" s="73" t="n"/>
    </row>
    <row r="185">
      <c r="B185" s="74" t="n"/>
      <c r="C185" s="75" t="n"/>
      <c r="D185" s="75" t="n"/>
      <c r="E185" s="75" t="n"/>
      <c r="F185" s="76" t="n"/>
    </row>
    <row r="186"/>
    <row r="187">
      <c r="A187" s="44" t="inlineStr">
        <is>
          <t>E.</t>
        </is>
      </c>
      <c r="B187" s="44" t="inlineStr">
        <is>
          <t>Hedging Positions through swaps as on May 31, 2026 - Nil</t>
        </is>
      </c>
    </row>
    <row r="188">
      <c r="F188" s="44" t="inlineStr">
        <is>
          <t>BENCHMARK NAME - BSE 500 TRI</t>
        </is>
      </c>
    </row>
    <row r="189">
      <c r="B189" s="44" t="inlineStr">
        <is>
          <t>SCHEME RISK-O-METER</t>
        </is>
      </c>
      <c r="F189" s="44" t="inlineStr">
        <is>
          <t>BENCHMARK RISK-O-METER</t>
        </is>
      </c>
    </row>
  </sheetData>
  <mergeCells count="20">
    <mergeCell ref="B108:E108"/>
    <mergeCell ref="B171:E175"/>
    <mergeCell ref="B104:E104"/>
    <mergeCell ref="B169:E169"/>
    <mergeCell ref="B180:F180"/>
    <mergeCell ref="B106:E106"/>
    <mergeCell ref="B4:H4"/>
    <mergeCell ref="B3:H3"/>
    <mergeCell ref="B179:F179"/>
    <mergeCell ref="B157:F157"/>
    <mergeCell ref="B148:F148"/>
    <mergeCell ref="B102:E102"/>
    <mergeCell ref="B105:E105"/>
    <mergeCell ref="B2:H2"/>
    <mergeCell ref="B181:F185"/>
    <mergeCell ref="B158:F158"/>
    <mergeCell ref="B170:E170"/>
    <mergeCell ref="B1:H1"/>
    <mergeCell ref="B160:F160"/>
    <mergeCell ref="B103:E10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78" t="inlineStr">
        <is>
          <t>Scheme Name: Invesco India Contra Fund (An open ended equity scheme following contrarian investment strategy)</t>
        </is>
      </c>
      <c r="D1" s="79" t="n"/>
      <c r="E1" s="80" t="n"/>
      <c r="F1" s="81" t="n"/>
    </row>
    <row r="2" ht="13" customHeight="1">
      <c r="A2" s="80" t="n"/>
      <c r="B2" s="81" t="n"/>
      <c r="C2" s="81" t="n"/>
      <c r="D2" s="81" t="n"/>
      <c r="E2" s="80" t="n"/>
      <c r="F2" s="81" t="n"/>
    </row>
    <row r="3" ht="13" customHeight="1">
      <c r="A3" s="82" t="inlineStr">
        <is>
          <t>Top 10 holdings by issuer</t>
        </is>
      </c>
      <c r="B3" s="83" t="n"/>
      <c r="C3" s="81" t="n"/>
      <c r="D3" s="81" t="n"/>
      <c r="E3" s="82" t="inlineStr">
        <is>
          <t>Fund allocation towards various sectors</t>
        </is>
      </c>
      <c r="F3" s="83" t="n"/>
    </row>
    <row r="4" ht="13" customHeight="1">
      <c r="A4" s="82" t="inlineStr">
        <is>
          <t>Issuer Name</t>
        </is>
      </c>
      <c r="B4" s="82" t="inlineStr">
        <is>
          <t>% to Net Assets</t>
        </is>
      </c>
      <c r="C4" s="81" t="n"/>
      <c r="D4" s="81" t="n"/>
      <c r="E4" s="82" t="inlineStr">
        <is>
          <t>Sectors</t>
        </is>
      </c>
      <c r="F4" s="82" t="inlineStr">
        <is>
          <t>% Exposure</t>
        </is>
      </c>
    </row>
    <row r="5" ht="13" customHeight="1">
      <c r="A5" s="84" t="inlineStr">
        <is>
          <t>ICICI Bank Limited</t>
        </is>
      </c>
      <c r="B5" s="85" t="n">
        <v>0.059</v>
      </c>
      <c r="C5" s="81" t="n"/>
      <c r="D5" s="81" t="n"/>
      <c r="E5" s="84" t="inlineStr">
        <is>
          <t>Financial Services</t>
        </is>
      </c>
      <c r="F5" s="85" t="n">
        <v>0.295</v>
      </c>
    </row>
    <row r="6" ht="13" customHeight="1">
      <c r="A6" s="84" t="inlineStr">
        <is>
          <t>Larsen &amp; Toubro Limited</t>
        </is>
      </c>
      <c r="B6" s="85" t="n">
        <v>0.053</v>
      </c>
      <c r="C6" s="81" t="n"/>
      <c r="D6" s="81" t="n"/>
      <c r="E6" s="84" t="inlineStr">
        <is>
          <t>Healthcare</t>
        </is>
      </c>
      <c r="F6" s="85" t="n">
        <v>0.1055</v>
      </c>
    </row>
    <row r="7" ht="13" customHeight="1">
      <c r="A7" s="84" t="inlineStr">
        <is>
          <t>Axis Bank Limited</t>
        </is>
      </c>
      <c r="B7" s="85" t="n">
        <v>0.0381</v>
      </c>
      <c r="C7" s="81" t="n"/>
      <c r="D7" s="81" t="n"/>
      <c r="E7" s="84" t="inlineStr">
        <is>
          <t>Capital Goods</t>
        </is>
      </c>
      <c r="F7" s="85" t="n">
        <v>0.0931</v>
      </c>
    </row>
    <row r="8" ht="13" customHeight="1">
      <c r="A8" s="84" t="inlineStr">
        <is>
          <t>Mahindra &amp; Mahindra Limited</t>
        </is>
      </c>
      <c r="B8" s="85" t="n">
        <v>0.0347</v>
      </c>
      <c r="C8" s="81" t="n"/>
      <c r="D8" s="81" t="n"/>
      <c r="E8" s="84" t="inlineStr">
        <is>
          <t>Information Technology</t>
        </is>
      </c>
      <c r="F8" s="85" t="n">
        <v>0.08450000000000001</v>
      </c>
    </row>
    <row r="9" ht="13" customHeight="1">
      <c r="A9" s="84" t="inlineStr">
        <is>
          <t>Reliance Industries Limited</t>
        </is>
      </c>
      <c r="B9" s="85" t="n">
        <v>0.033</v>
      </c>
      <c r="C9" s="81" t="n"/>
      <c r="D9" s="81" t="n"/>
      <c r="E9" s="84" t="inlineStr">
        <is>
          <t>Automobile and Auto Components</t>
        </is>
      </c>
      <c r="F9" s="85" t="n">
        <v>0.07439999999999999</v>
      </c>
    </row>
    <row r="10" ht="13" customHeight="1">
      <c r="A10" s="84" t="inlineStr">
        <is>
          <t>Infosys Limited</t>
        </is>
      </c>
      <c r="B10" s="85" t="n">
        <v>0.0315</v>
      </c>
      <c r="C10" s="81" t="n"/>
      <c r="D10" s="81" t="n"/>
      <c r="E10" s="84" t="inlineStr">
        <is>
          <t>Consumer Services</t>
        </is>
      </c>
      <c r="F10" s="85" t="n">
        <v>0.0658</v>
      </c>
    </row>
    <row r="11" ht="13" customHeight="1">
      <c r="A11" s="84" t="inlineStr">
        <is>
          <t>State Bank of India</t>
        </is>
      </c>
      <c r="B11" s="85" t="n">
        <v>0.0252</v>
      </c>
      <c r="C11" s="81" t="n"/>
      <c r="D11" s="81" t="n"/>
      <c r="E11" s="84" t="inlineStr">
        <is>
          <t>Construction</t>
        </is>
      </c>
      <c r="F11" s="85" t="n">
        <v>0.0618</v>
      </c>
    </row>
    <row r="12" ht="13" customHeight="1">
      <c r="A12" s="84" t="inlineStr">
        <is>
          <t>Bharti Airtel Limited</t>
        </is>
      </c>
      <c r="B12" s="85" t="n">
        <v>0.0246</v>
      </c>
      <c r="C12" s="81" t="n"/>
      <c r="D12" s="81" t="n"/>
      <c r="E12" s="84" t="inlineStr">
        <is>
          <t>Oil Gas &amp; Consumable Fuels</t>
        </is>
      </c>
      <c r="F12" s="85" t="n">
        <v>0.0459</v>
      </c>
    </row>
    <row r="13" ht="13" customHeight="1">
      <c r="A13" s="84" t="inlineStr">
        <is>
          <t>Cholamandalam Investment and Finance Company Ltd</t>
        </is>
      </c>
      <c r="B13" s="85" t="n">
        <v>0.0229</v>
      </c>
      <c r="C13" s="81" t="n"/>
      <c r="D13" s="81" t="n"/>
      <c r="E13" s="84" t="inlineStr">
        <is>
          <t>Services</t>
        </is>
      </c>
      <c r="F13" s="85" t="n">
        <v>0.0314</v>
      </c>
    </row>
    <row r="14" ht="13" customHeight="1">
      <c r="A14" s="84" t="inlineStr">
        <is>
          <t>Apollo Hospitals Enterprise Limited</t>
        </is>
      </c>
      <c r="B14" s="85" t="n">
        <v>0.0216</v>
      </c>
      <c r="C14" s="81" t="n"/>
      <c r="D14" s="81" t="n"/>
      <c r="E14" s="84" t="inlineStr">
        <is>
          <t>Realty</t>
        </is>
      </c>
      <c r="F14" s="85" t="n">
        <v>0.0247</v>
      </c>
    </row>
    <row r="15" ht="13" customHeight="1">
      <c r="A15" s="81" t="n"/>
      <c r="B15" s="81" t="n"/>
      <c r="C15" s="81" t="n"/>
      <c r="D15" s="81" t="n"/>
      <c r="E15" s="84" t="inlineStr">
        <is>
          <t>Telecommunication</t>
        </is>
      </c>
      <c r="F15" s="85" t="n">
        <v>0.0246</v>
      </c>
    </row>
    <row r="16" ht="13" customHeight="1">
      <c r="A16" s="81" t="n"/>
      <c r="B16" s="81" t="n"/>
      <c r="C16" s="81" t="n"/>
      <c r="D16" s="81" t="n"/>
      <c r="E16" s="84" t="inlineStr">
        <is>
          <t>Others</t>
        </is>
      </c>
      <c r="F16" s="85" t="n">
        <v>0.021</v>
      </c>
    </row>
    <row r="17" ht="13" customHeight="1">
      <c r="A17" s="81" t="n"/>
      <c r="B17" s="81" t="n"/>
      <c r="C17" s="81" t="n"/>
      <c r="D17" s="81" t="n"/>
      <c r="E17" s="84" t="inlineStr">
        <is>
          <t>Construction Materials</t>
        </is>
      </c>
      <c r="F17" s="85" t="n">
        <v>0.0195</v>
      </c>
    </row>
    <row r="18" ht="13" customHeight="1">
      <c r="A18" s="81" t="n"/>
      <c r="B18" s="81" t="n"/>
      <c r="C18" s="81" t="n"/>
      <c r="D18" s="81" t="n"/>
      <c r="E18" s="84" t="inlineStr">
        <is>
          <t>Fast Moving Consumer Goods</t>
        </is>
      </c>
      <c r="F18" s="85" t="n">
        <v>0.0192</v>
      </c>
    </row>
    <row r="19" ht="13" customHeight="1">
      <c r="A19" s="81" t="n"/>
      <c r="B19" s="81" t="n"/>
      <c r="C19" s="81" t="n"/>
      <c r="D19" s="81" t="n"/>
      <c r="E19" s="84" t="inlineStr">
        <is>
          <t>Consumer Durables</t>
        </is>
      </c>
      <c r="F19" s="85" t="n">
        <v>0.0167</v>
      </c>
    </row>
    <row r="20" ht="13" customHeight="1">
      <c r="A20" s="81" t="n"/>
      <c r="B20" s="81" t="n"/>
      <c r="C20" s="81" t="n"/>
      <c r="D20" s="81" t="n"/>
      <c r="E20" s="84" t="inlineStr">
        <is>
          <t>Metals &amp; Mining</t>
        </is>
      </c>
      <c r="F20" s="85" t="n">
        <v>0.0086</v>
      </c>
    </row>
    <row r="21" ht="13" customHeight="1">
      <c r="A21" s="81" t="n"/>
      <c r="B21" s="81" t="n"/>
      <c r="C21" s="81" t="n"/>
      <c r="D21" s="81" t="n"/>
      <c r="E21" s="84" t="inlineStr">
        <is>
          <t>Cash &amp; Cash Equivalent:</t>
        </is>
      </c>
      <c r="F21" s="85" t="n">
        <v>0.0083</v>
      </c>
    </row>
    <row r="22" ht="13" customHeight="1">
      <c r="A22" s="81" t="n"/>
      <c r="B22" s="81" t="n"/>
      <c r="C22" s="81" t="n"/>
      <c r="D22" s="81" t="n"/>
      <c r="E22" s="82" t="inlineStr">
        <is>
          <t>Grand Total</t>
        </is>
      </c>
      <c r="F22" s="86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2026-06-10T05:27:53Z</dcterms:created>
  <dcterms:modified xsi:type="dcterms:W3CDTF">2026-06-10T05:27:54Z</dcterms:modified>
</cp:coreProperties>
</file>