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xi Cap" sheetId="1" state="visible" r:id="rId1"/>
    <sheet name="IFC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2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SansSerif"/>
      <family val="2"/>
      <b val="1"/>
      <color rgb="FF000000"/>
      <sz val="10"/>
    </font>
    <font>
      <name val="SansSerif"/>
      <family val="2"/>
      <color rgb="FF000000"/>
      <sz val="10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167" fontId="4" fillId="0" borderId="5" applyAlignment="1" pivotButton="0" quotePrefix="0" xfId="0">
      <alignment horizontal="right" vertical="top" wrapText="1"/>
    </xf>
    <xf numFmtId="0" fontId="4" fillId="0" borderId="5" applyAlignment="1" pivotButton="0" quotePrefix="0" xfId="0">
      <alignment horizontal="right" vertical="top" wrapText="1"/>
    </xf>
    <xf numFmtId="0" fontId="5" fillId="0" borderId="8" applyAlignment="1" pivotButton="0" quotePrefix="0" xfId="0">
      <alignment horizontal="right" vertical="top" wrapText="1"/>
    </xf>
    <xf numFmtId="165" fontId="5" fillId="0" borderId="5" applyAlignment="1" pivotButton="0" quotePrefix="0" xfId="0">
      <alignment horizontal="right" vertical="top" wrapText="1"/>
    </xf>
    <xf numFmtId="0" fontId="5" fillId="0" borderId="5" applyAlignment="1" pivotButton="0" quotePrefix="0" xfId="0">
      <alignment horizontal="righ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4" fontId="3" fillId="0" borderId="0" applyAlignment="1" applyProtection="1" pivotButton="0" quotePrefix="0" xfId="0">
      <alignment wrapText="1"/>
      <protection locked="0" hidden="0"/>
    </xf>
    <xf numFmtId="0" fontId="6" fillId="0" borderId="0" applyAlignment="1" pivotButton="0" quotePrefix="0" xfId="0">
      <alignment horizontal="left" vertical="top" wrapText="1"/>
    </xf>
    <xf numFmtId="0" fontId="6" fillId="0" borderId="10" applyAlignment="1" pivotButton="0" quotePrefix="0" xfId="0">
      <alignment horizontal="left" vertical="top" wrapText="1"/>
    </xf>
    <xf numFmtId="0" fontId="7" fillId="0" borderId="10" applyAlignment="1" pivotButton="0" quotePrefix="0" xfId="0">
      <alignment horizontal="left" vertical="top" wrapText="1"/>
    </xf>
    <xf numFmtId="3" fontId="7" fillId="0" borderId="1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left" vertical="top" wrapText="1"/>
    </xf>
    <xf numFmtId="3" fontId="7" fillId="0" borderId="0" applyAlignment="1" pivotButton="0" quotePrefix="0" xfId="0">
      <alignment horizontal="right" vertical="top" wrapText="1"/>
    </xf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2" fontId="3" fillId="0" borderId="0" pivotButton="0" quotePrefix="0" xfId="0"/>
    <xf numFmtId="0" fontId="9" fillId="0" borderId="18" applyAlignment="1" pivotButton="0" quotePrefix="0" xfId="0">
      <alignment horizontal="left" vertical="top" wrapText="1"/>
    </xf>
    <xf numFmtId="0" fontId="10" fillId="0" borderId="18" applyAlignment="1" pivotButton="0" quotePrefix="0" xfId="0">
      <alignment horizontal="left" vertical="top" wrapText="1"/>
    </xf>
    <xf numFmtId="0" fontId="11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9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11" fillId="0" borderId="19" applyAlignment="1" pivotButton="0" quotePrefix="0" xfId="0">
      <alignment horizontal="left" vertical="top" wrapText="1"/>
    </xf>
    <xf numFmtId="166" fontId="11" fillId="0" borderId="19" applyAlignment="1" pivotButton="0" quotePrefix="0" xfId="0">
      <alignment horizontal="right" vertical="top" wrapText="1"/>
    </xf>
    <xf numFmtId="166" fontId="10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133</row>
      <rowOff>0</rowOff>
    </from>
    <to>
      <col>1</col>
      <colOff>2857500</colOff>
      <row>143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231203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133</row>
      <rowOff>0</rowOff>
    </from>
    <to>
      <col>7</col>
      <colOff>641350</colOff>
      <row>143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231203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</cols>
  <sheetData>
    <row r="1" ht="20" customHeight="1">
      <c r="A1" s="1" t="inlineStr">
        <is>
          <t>IFCF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Flexi Cap Fund
(An open ended dynamic equity scheme investing across large cap, mid cap, small cap stocks)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IBCL05</t>
        </is>
      </c>
      <c r="B8" s="12" t="inlineStr">
        <is>
          <t>ICICI Bank Limited</t>
        </is>
      </c>
      <c r="C8" s="13" t="inlineStr">
        <is>
          <t>INE090A01021</t>
        </is>
      </c>
      <c r="D8" s="9" t="inlineStr">
        <is>
          <t>Banks</t>
        </is>
      </c>
      <c r="E8" s="14" t="n">
        <v>2337744</v>
      </c>
      <c r="F8" s="15" t="n">
        <v>29371.42</v>
      </c>
      <c r="G8" s="15" t="n">
        <v>5.93</v>
      </c>
      <c r="H8" s="16" t="n"/>
    </row>
    <row r="9" ht="13" customHeight="1">
      <c r="A9" s="1" t="inlineStr">
        <is>
          <t>LARS02</t>
        </is>
      </c>
      <c r="B9" s="12" t="inlineStr">
        <is>
          <t>Larsen &amp; Toubro Limited</t>
        </is>
      </c>
      <c r="C9" s="13" t="inlineStr">
        <is>
          <t>INE018A01030</t>
        </is>
      </c>
      <c r="D9" s="9" t="inlineStr">
        <is>
          <t>Construction</t>
        </is>
      </c>
      <c r="E9" s="14" t="n">
        <v>552962</v>
      </c>
      <c r="F9" s="15" t="n">
        <v>22541.5</v>
      </c>
      <c r="G9" s="15" t="n">
        <v>4.55</v>
      </c>
      <c r="H9" s="16" t="n"/>
    </row>
    <row r="10" ht="13" customHeight="1">
      <c r="A10" s="1" t="inlineStr">
        <is>
          <t>INAV01</t>
        </is>
      </c>
      <c r="B10" s="12" t="inlineStr">
        <is>
          <t>InterGlobe Aviation Limited</t>
        </is>
      </c>
      <c r="C10" s="13" t="inlineStr">
        <is>
          <t>INE646L01027</t>
        </is>
      </c>
      <c r="D10" s="9" t="inlineStr">
        <is>
          <t>Transport Services</t>
        </is>
      </c>
      <c r="E10" s="14" t="n">
        <v>352812</v>
      </c>
      <c r="F10" s="15" t="n">
        <v>15541.37</v>
      </c>
      <c r="G10" s="15" t="n">
        <v>3.14</v>
      </c>
      <c r="H10" s="16" t="n"/>
    </row>
    <row r="11" ht="13" customHeight="1">
      <c r="A11" s="1" t="inlineStr">
        <is>
          <t>HDFB03</t>
        </is>
      </c>
      <c r="B11" s="12" t="inlineStr">
        <is>
          <t>HDFC Bank Limited</t>
        </is>
      </c>
      <c r="C11" s="13" t="inlineStr">
        <is>
          <t>INE040A01034</t>
        </is>
      </c>
      <c r="D11" s="9" t="inlineStr">
        <is>
          <t>Banks</t>
        </is>
      </c>
      <c r="E11" s="14" t="n">
        <v>1924364</v>
      </c>
      <c r="F11" s="15" t="n">
        <v>14327.85</v>
      </c>
      <c r="G11" s="15" t="n">
        <v>2.89</v>
      </c>
      <c r="H11" s="16" t="n"/>
    </row>
    <row r="12" ht="13" customHeight="1">
      <c r="A12" s="1" t="inlineStr">
        <is>
          <t>CHOL02</t>
        </is>
      </c>
      <c r="B12" s="12" t="inlineStr">
        <is>
          <t>Cholamandalam Investment and Finance Company Limited</t>
        </is>
      </c>
      <c r="C12" s="13" t="inlineStr">
        <is>
          <t>INE121A01024</t>
        </is>
      </c>
      <c r="D12" s="9" t="inlineStr">
        <is>
          <t>Finance</t>
        </is>
      </c>
      <c r="E12" s="14" t="n">
        <v>902264</v>
      </c>
      <c r="F12" s="15" t="n">
        <v>13874.11</v>
      </c>
      <c r="G12" s="15" t="n">
        <v>2.8</v>
      </c>
      <c r="H12" s="16" t="n"/>
    </row>
    <row r="13" ht="13" customHeight="1">
      <c r="A13" s="1" t="inlineStr">
        <is>
          <t>BSEL02</t>
        </is>
      </c>
      <c r="B13" s="12" t="inlineStr">
        <is>
          <t>BSE Limited</t>
        </is>
      </c>
      <c r="C13" s="13" t="inlineStr">
        <is>
          <t>INE118H01025</t>
        </is>
      </c>
      <c r="D13" s="9" t="inlineStr">
        <is>
          <t>Capital Markets</t>
        </is>
      </c>
      <c r="E13" s="14" t="n">
        <v>331725</v>
      </c>
      <c r="F13" s="15" t="n">
        <v>13753.65</v>
      </c>
      <c r="G13" s="15" t="n">
        <v>2.78</v>
      </c>
      <c r="H13" s="16" t="n"/>
    </row>
    <row r="14" ht="13" customHeight="1">
      <c r="A14" s="1" t="inlineStr">
        <is>
          <t>SAPH01</t>
        </is>
      </c>
      <c r="B14" s="12" t="inlineStr">
        <is>
          <t>Sai Life Sciences Limited</t>
        </is>
      </c>
      <c r="C14" s="13" t="inlineStr">
        <is>
          <t>INE570L01029</t>
        </is>
      </c>
      <c r="D14" s="9" t="inlineStr">
        <is>
          <t>Pharmaceuticals &amp; Biotechnology</t>
        </is>
      </c>
      <c r="E14" s="14" t="n">
        <v>1161101</v>
      </c>
      <c r="F14" s="15" t="n">
        <v>13468.77</v>
      </c>
      <c r="G14" s="15" t="n">
        <v>2.72</v>
      </c>
      <c r="H14" s="16" t="n"/>
    </row>
    <row r="15" ht="13" customHeight="1">
      <c r="A15" s="1" t="inlineStr">
        <is>
          <t>MAHE01</t>
        </is>
      </c>
      <c r="B15" s="12" t="inlineStr">
        <is>
          <t>Max Healthcare Institute Limited</t>
        </is>
      </c>
      <c r="C15" s="13" t="inlineStr">
        <is>
          <t>INE027H01010</t>
        </is>
      </c>
      <c r="D15" s="9" t="inlineStr">
        <is>
          <t>Healthcare Services</t>
        </is>
      </c>
      <c r="E15" s="14" t="n">
        <v>1318733</v>
      </c>
      <c r="F15" s="15" t="n">
        <v>12727.09</v>
      </c>
      <c r="G15" s="15" t="n">
        <v>2.57</v>
      </c>
      <c r="H15" s="16" t="n"/>
    </row>
    <row r="16" ht="13" customHeight="1">
      <c r="A16" s="1" t="inlineStr">
        <is>
          <t>TWAT02</t>
        </is>
      </c>
      <c r="B16" s="12" t="inlineStr">
        <is>
          <t>Titan Company Limited</t>
        </is>
      </c>
      <c r="C16" s="13" t="inlineStr">
        <is>
          <t>INE280A01028</t>
        </is>
      </c>
      <c r="D16" s="9" t="inlineStr">
        <is>
          <t>Consumer Durables</t>
        </is>
      </c>
      <c r="E16" s="14" t="n">
        <v>308068</v>
      </c>
      <c r="F16" s="15" t="n">
        <v>12553.46</v>
      </c>
      <c r="G16" s="15" t="n">
        <v>2.53</v>
      </c>
      <c r="H16" s="16" t="n"/>
    </row>
    <row r="17" ht="13" customHeight="1">
      <c r="A17" s="1" t="inlineStr">
        <is>
          <t>BAFL03</t>
        </is>
      </c>
      <c r="B17" s="12" t="inlineStr">
        <is>
          <t>Bajaj Finance Ltd</t>
        </is>
      </c>
      <c r="C17" s="13" t="inlineStr">
        <is>
          <t>INE296A01032</t>
        </is>
      </c>
      <c r="D17" s="9" t="inlineStr">
        <is>
          <t>Finance</t>
        </is>
      </c>
      <c r="E17" s="14" t="n">
        <v>1317378</v>
      </c>
      <c r="F17" s="15" t="n">
        <v>11965.09</v>
      </c>
      <c r="G17" s="15" t="n">
        <v>2.41</v>
      </c>
      <c r="H17" s="16" t="n"/>
    </row>
    <row r="18" ht="13" customHeight="1">
      <c r="A18" s="1" t="inlineStr">
        <is>
          <t>MCEX02</t>
        </is>
      </c>
      <c r="B18" s="12" t="inlineStr">
        <is>
          <t>Multi Commodity Exchange of India Limited</t>
        </is>
      </c>
      <c r="C18" s="13" t="inlineStr">
        <is>
          <t>INE745G01043</t>
        </is>
      </c>
      <c r="D18" s="9" t="inlineStr">
        <is>
          <t>Capital Markets</t>
        </is>
      </c>
      <c r="E18" s="14" t="n">
        <v>386215</v>
      </c>
      <c r="F18" s="15" t="n">
        <v>11410.72</v>
      </c>
      <c r="G18" s="15" t="n">
        <v>2.3</v>
      </c>
      <c r="H18" s="16" t="n"/>
    </row>
    <row r="19" ht="13" customHeight="1">
      <c r="A19" s="1" t="inlineStr">
        <is>
          <t>LAKM02</t>
        </is>
      </c>
      <c r="B19" s="12" t="inlineStr">
        <is>
          <t>Trent Limited</t>
        </is>
      </c>
      <c r="C19" s="13" t="inlineStr">
        <is>
          <t>INE849A01020</t>
        </is>
      </c>
      <c r="D19" s="9" t="inlineStr">
        <is>
          <t>Retailing</t>
        </is>
      </c>
      <c r="E19" s="14" t="n">
        <v>258082</v>
      </c>
      <c r="F19" s="15" t="n">
        <v>10901.38</v>
      </c>
      <c r="G19" s="15" t="n">
        <v>2.2</v>
      </c>
      <c r="H19" s="16" t="n"/>
    </row>
    <row r="20" ht="13" customHeight="1">
      <c r="A20" s="1" t="inlineStr">
        <is>
          <t>ESMC02</t>
        </is>
      </c>
      <c r="B20" s="12" t="inlineStr">
        <is>
          <t>PB Fintech Limited</t>
        </is>
      </c>
      <c r="C20" s="13" t="inlineStr">
        <is>
          <t>INE417T01026</t>
        </is>
      </c>
      <c r="D20" s="9" t="inlineStr">
        <is>
          <t>Financial Technology (Fintech)</t>
        </is>
      </c>
      <c r="E20" s="14" t="n">
        <v>628512</v>
      </c>
      <c r="F20" s="15" t="n">
        <v>10700.42</v>
      </c>
      <c r="G20" s="15" t="n">
        <v>2.16</v>
      </c>
      <c r="H20" s="16" t="n"/>
    </row>
    <row r="21" ht="13" customHeight="1">
      <c r="A21" s="1" t="inlineStr">
        <is>
          <t>ADTH01</t>
        </is>
      </c>
      <c r="B21" s="12" t="inlineStr">
        <is>
          <t>Aditya Infotech Limited</t>
        </is>
      </c>
      <c r="C21" s="13" t="inlineStr">
        <is>
          <t>INE819V01029</t>
        </is>
      </c>
      <c r="D21" s="9" t="inlineStr">
        <is>
          <t>Industrial Manufacturing</t>
        </is>
      </c>
      <c r="E21" s="14" t="n">
        <v>360574</v>
      </c>
      <c r="F21" s="15" t="n">
        <v>10469.27</v>
      </c>
      <c r="G21" s="15" t="n">
        <v>2.11</v>
      </c>
      <c r="H21" s="16" t="n"/>
    </row>
    <row r="22" ht="13" customHeight="1">
      <c r="A22" s="1" t="inlineStr">
        <is>
          <t>AFPL02</t>
        </is>
      </c>
      <c r="B22" s="12" t="inlineStr">
        <is>
          <t>AU Small Finance Bank Limited</t>
        </is>
      </c>
      <c r="C22" s="13" t="inlineStr">
        <is>
          <t>INE949L01017</t>
        </is>
      </c>
      <c r="D22" s="9" t="inlineStr">
        <is>
          <t>Banks</t>
        </is>
      </c>
      <c r="E22" s="14" t="n">
        <v>1002154</v>
      </c>
      <c r="F22" s="15" t="n">
        <v>9868.209999999999</v>
      </c>
      <c r="G22" s="15" t="n">
        <v>1.99</v>
      </c>
      <c r="H22" s="16" t="n"/>
    </row>
    <row r="23" ht="13" customHeight="1">
      <c r="A23" s="1" t="inlineStr">
        <is>
          <t>TMLC01</t>
        </is>
      </c>
      <c r="B23" s="12" t="inlineStr">
        <is>
          <t>Tata Motors Ltd</t>
        </is>
      </c>
      <c r="C23" s="13" t="inlineStr">
        <is>
          <t>INE1TAE01010</t>
        </is>
      </c>
      <c r="D23" s="9" t="inlineStr">
        <is>
          <t>Agricultural, Commercial &amp; Construction Vehicles</t>
        </is>
      </c>
      <c r="E23" s="14" t="n">
        <v>2508296</v>
      </c>
      <c r="F23" s="15" t="n">
        <v>9518.98</v>
      </c>
      <c r="G23" s="15" t="n">
        <v>1.92</v>
      </c>
      <c r="H23" s="16" t="n"/>
    </row>
    <row r="24" ht="13" customHeight="1">
      <c r="A24" s="1" t="inlineStr">
        <is>
          <t>HDAM01</t>
        </is>
      </c>
      <c r="B24" s="12" t="inlineStr">
        <is>
          <t>HDFC Asset Management Company Limited</t>
        </is>
      </c>
      <c r="C24" s="13" t="inlineStr">
        <is>
          <t>INE127D01025</t>
        </is>
      </c>
      <c r="D24" s="9" t="inlineStr">
        <is>
          <t>Capital Markets</t>
        </is>
      </c>
      <c r="E24" s="14" t="n">
        <v>352354</v>
      </c>
      <c r="F24" s="15" t="n">
        <v>9423</v>
      </c>
      <c r="G24" s="15" t="n">
        <v>1.9</v>
      </c>
      <c r="H24" s="16" t="n"/>
    </row>
    <row r="25" ht="13" customHeight="1">
      <c r="A25" s="1" t="inlineStr">
        <is>
          <t>MAHI02</t>
        </is>
      </c>
      <c r="B25" s="12" t="inlineStr">
        <is>
          <t>Mahindra &amp; Mahindra Limited</t>
        </is>
      </c>
      <c r="C25" s="13" t="inlineStr">
        <is>
          <t>INE101A01026</t>
        </is>
      </c>
      <c r="D25" s="9" t="inlineStr">
        <is>
          <t>Automobiles</t>
        </is>
      </c>
      <c r="E25" s="14" t="n">
        <v>295910</v>
      </c>
      <c r="F25" s="15" t="n">
        <v>9012.23</v>
      </c>
      <c r="G25" s="15" t="n">
        <v>1.82</v>
      </c>
      <c r="H25" s="16" t="n"/>
    </row>
    <row r="26" ht="13" customHeight="1">
      <c r="A26" s="1" t="inlineStr">
        <is>
          <t>KIMS02</t>
        </is>
      </c>
      <c r="B26" s="12" t="inlineStr">
        <is>
          <t>Krishna Institute Of Medical Sciences Limited</t>
        </is>
      </c>
      <c r="C26" s="13" t="inlineStr">
        <is>
          <t>INE967H01025</t>
        </is>
      </c>
      <c r="D26" s="9" t="inlineStr">
        <is>
          <t>Healthcare Services</t>
        </is>
      </c>
      <c r="E26" s="14" t="n">
        <v>1177513</v>
      </c>
      <c r="F26" s="15" t="n">
        <v>8935.559999999999</v>
      </c>
      <c r="G26" s="15" t="n">
        <v>1.8</v>
      </c>
      <c r="H26" s="16" t="n"/>
    </row>
    <row r="27" ht="13" customHeight="1">
      <c r="A27" s="1" t="inlineStr">
        <is>
          <t>ZMPL01</t>
        </is>
      </c>
      <c r="B27" s="12" t="inlineStr">
        <is>
          <t>Eternal Limited</t>
        </is>
      </c>
      <c r="C27" s="13" t="inlineStr">
        <is>
          <t>INE758T01015</t>
        </is>
      </c>
      <c r="D27" s="9" t="inlineStr">
        <is>
          <t>Retailing</t>
        </is>
      </c>
      <c r="E27" s="14" t="n">
        <v>3548967</v>
      </c>
      <c r="F27" s="15" t="n">
        <v>8893</v>
      </c>
      <c r="G27" s="15" t="n">
        <v>1.79</v>
      </c>
      <c r="H27" s="16" t="n"/>
    </row>
    <row r="28" ht="13" customHeight="1">
      <c r="A28" s="1" t="inlineStr">
        <is>
          <t>LTFL01</t>
        </is>
      </c>
      <c r="B28" s="12" t="inlineStr">
        <is>
          <t>L&amp;T Finance Limited</t>
        </is>
      </c>
      <c r="C28" s="13" t="inlineStr">
        <is>
          <t>INE498L01015</t>
        </is>
      </c>
      <c r="D28" s="9" t="inlineStr">
        <is>
          <t>Finance</t>
        </is>
      </c>
      <c r="E28" s="14" t="n">
        <v>3099803</v>
      </c>
      <c r="F28" s="15" t="n">
        <v>8884.040000000001</v>
      </c>
      <c r="G28" s="15" t="n">
        <v>1.79</v>
      </c>
      <c r="H28" s="16" t="n"/>
    </row>
    <row r="29" ht="13" customHeight="1">
      <c r="A29" s="1" t="inlineStr">
        <is>
          <t>SAEL02</t>
        </is>
      </c>
      <c r="B29" s="12" t="inlineStr">
        <is>
          <t>TVS Motor Company Limited</t>
        </is>
      </c>
      <c r="C29" s="13" t="inlineStr">
        <is>
          <t>INE494B01023</t>
        </is>
      </c>
      <c r="D29" s="9" t="inlineStr">
        <is>
          <t>Automobiles</t>
        </is>
      </c>
      <c r="E29" s="14" t="n">
        <v>255471</v>
      </c>
      <c r="F29" s="15" t="n">
        <v>8572.84</v>
      </c>
      <c r="G29" s="15" t="n">
        <v>1.73</v>
      </c>
      <c r="H29" s="16" t="n"/>
    </row>
    <row r="30" ht="13" customHeight="1">
      <c r="A30" s="1" t="inlineStr">
        <is>
          <t>BTVL02</t>
        </is>
      </c>
      <c r="B30" s="12" t="inlineStr">
        <is>
          <t>Bharti Airtel Limited</t>
        </is>
      </c>
      <c r="C30" s="13" t="inlineStr">
        <is>
          <t>INE397D01024</t>
        </is>
      </c>
      <c r="D30" s="9" t="inlineStr">
        <is>
          <t>Telecom - Services</t>
        </is>
      </c>
      <c r="E30" s="14" t="n">
        <v>449483</v>
      </c>
      <c r="F30" s="15" t="n">
        <v>8221.040000000001</v>
      </c>
      <c r="G30" s="15" t="n">
        <v>1.66</v>
      </c>
      <c r="H30" s="16" t="n"/>
    </row>
    <row r="31" ht="13" customHeight="1">
      <c r="A31" s="1" t="inlineStr">
        <is>
          <t>NITL02</t>
        </is>
      </c>
      <c r="B31" s="12" t="inlineStr">
        <is>
          <t>Coforge Limited</t>
        </is>
      </c>
      <c r="C31" s="13" t="inlineStr">
        <is>
          <t>INE591G01025</t>
        </is>
      </c>
      <c r="D31" s="9" t="inlineStr">
        <is>
          <t>IT - Software</t>
        </is>
      </c>
      <c r="E31" s="14" t="n">
        <v>574283</v>
      </c>
      <c r="F31" s="15" t="n">
        <v>8165.16</v>
      </c>
      <c r="G31" s="15" t="n">
        <v>1.65</v>
      </c>
      <c r="H31" s="16" t="n"/>
    </row>
    <row r="32" ht="13" customHeight="1">
      <c r="A32" s="1" t="inlineStr">
        <is>
          <t>PSYL02</t>
        </is>
      </c>
      <c r="B32" s="12" t="inlineStr">
        <is>
          <t>Persistent Systems Ltd ‡</t>
        </is>
      </c>
      <c r="C32" s="13" t="inlineStr">
        <is>
          <t>INE262H01021</t>
        </is>
      </c>
      <c r="D32" s="9" t="inlineStr">
        <is>
          <t>IT - Software</t>
        </is>
      </c>
      <c r="E32" s="14" t="n">
        <v>151417</v>
      </c>
      <c r="F32" s="15" t="n">
        <v>7865.05</v>
      </c>
      <c r="G32" s="15" t="n">
        <v>1.59</v>
      </c>
      <c r="H32" s="16" t="n"/>
    </row>
    <row r="33" ht="13" customHeight="1">
      <c r="A33" s="1" t="inlineStr">
        <is>
          <t>PREP01</t>
        </is>
      </c>
      <c r="B33" s="12" t="inlineStr">
        <is>
          <t>Prestige Estates Projects Limited</t>
        </is>
      </c>
      <c r="C33" s="13" t="inlineStr">
        <is>
          <t>INE811K01011</t>
        </is>
      </c>
      <c r="D33" s="9" t="inlineStr">
        <is>
          <t>Realty</t>
        </is>
      </c>
      <c r="E33" s="14" t="n">
        <v>573179</v>
      </c>
      <c r="F33" s="15" t="n">
        <v>7847.97</v>
      </c>
      <c r="G33" s="15" t="n">
        <v>1.58</v>
      </c>
      <c r="H33" s="16" t="n"/>
    </row>
    <row r="34" ht="13" customHeight="1">
      <c r="A34" s="1" t="inlineStr">
        <is>
          <t>BELR01</t>
        </is>
      </c>
      <c r="B34" s="12" t="inlineStr">
        <is>
          <t>Belrise Industries Ltd.</t>
        </is>
      </c>
      <c r="C34" s="13" t="inlineStr">
        <is>
          <t>INE894V01022</t>
        </is>
      </c>
      <c r="D34" s="9" t="inlineStr">
        <is>
          <t>Auto Components</t>
        </is>
      </c>
      <c r="E34" s="14" t="n">
        <v>3400000</v>
      </c>
      <c r="F34" s="15" t="n">
        <v>7359.64</v>
      </c>
      <c r="G34" s="15" t="n">
        <v>1.48</v>
      </c>
      <c r="H34" s="16" t="n"/>
    </row>
    <row r="35" ht="13" customHeight="1">
      <c r="A35" s="1" t="inlineStr">
        <is>
          <t>KEII02</t>
        </is>
      </c>
      <c r="B35" s="12" t="inlineStr">
        <is>
          <t>KEI Industries Limited</t>
        </is>
      </c>
      <c r="C35" s="13" t="inlineStr">
        <is>
          <t>INE878B01027</t>
        </is>
      </c>
      <c r="D35" s="9" t="inlineStr">
        <is>
          <t>Industrial Products</t>
        </is>
      </c>
      <c r="E35" s="14" t="n">
        <v>139506</v>
      </c>
      <c r="F35" s="15" t="n">
        <v>7348.48</v>
      </c>
      <c r="G35" s="15" t="n">
        <v>1.48</v>
      </c>
      <c r="H35" s="16" t="n"/>
    </row>
    <row r="36" ht="13" customHeight="1">
      <c r="A36" s="1" t="inlineStr">
        <is>
          <t>PHMI02</t>
        </is>
      </c>
      <c r="B36" s="12" t="inlineStr">
        <is>
          <t>The Phoenix Mills Limited</t>
        </is>
      </c>
      <c r="C36" s="13" t="inlineStr">
        <is>
          <t>INE211B01039</t>
        </is>
      </c>
      <c r="D36" s="9" t="inlineStr">
        <is>
          <t>Realty</t>
        </is>
      </c>
      <c r="E36" s="14" t="n">
        <v>408662</v>
      </c>
      <c r="F36" s="15" t="n">
        <v>7238.22</v>
      </c>
      <c r="G36" s="15" t="n">
        <v>1.46</v>
      </c>
      <c r="H36" s="16" t="n"/>
    </row>
    <row r="37" ht="13" customHeight="1">
      <c r="A37" s="1" t="inlineStr">
        <is>
          <t>HALT02</t>
        </is>
      </c>
      <c r="B37" s="12" t="inlineStr">
        <is>
          <t>Hindustan Aeronautics Limited</t>
        </is>
      </c>
      <c r="C37" s="13" t="inlineStr">
        <is>
          <t>INE066F01020</t>
        </is>
      </c>
      <c r="D37" s="9" t="inlineStr">
        <is>
          <t>Aerospace &amp; Defense</t>
        </is>
      </c>
      <c r="E37" s="14" t="n">
        <v>167764</v>
      </c>
      <c r="F37" s="15" t="n">
        <v>7220.23</v>
      </c>
      <c r="G37" s="15" t="n">
        <v>1.46</v>
      </c>
      <c r="H37" s="16" t="n"/>
    </row>
    <row r="38" ht="13" customHeight="1">
      <c r="A38" s="1" t="inlineStr">
        <is>
          <t>GHPL01</t>
        </is>
      </c>
      <c r="B38" s="12" t="inlineStr">
        <is>
          <t>Global Health Limited</t>
        </is>
      </c>
      <c r="C38" s="13" t="inlineStr">
        <is>
          <t>INE474Q01031</t>
        </is>
      </c>
      <c r="D38" s="9" t="inlineStr">
        <is>
          <t>Healthcare Services</t>
        </is>
      </c>
      <c r="E38" s="14" t="n">
        <v>596672</v>
      </c>
      <c r="F38" s="15" t="n">
        <v>7094.43</v>
      </c>
      <c r="G38" s="15" t="n">
        <v>1.43</v>
      </c>
      <c r="H38" s="16" t="n"/>
    </row>
    <row r="39" ht="13" customHeight="1">
      <c r="A39" s="1" t="inlineStr">
        <is>
          <t>APOL02</t>
        </is>
      </c>
      <c r="B39" s="12" t="inlineStr">
        <is>
          <t>Apollo Hospitals Enterprise Limited</t>
        </is>
      </c>
      <c r="C39" s="13" t="inlineStr">
        <is>
          <t>INE437A01024</t>
        </is>
      </c>
      <c r="D39" s="9" t="inlineStr">
        <is>
          <t>Healthcare Services</t>
        </is>
      </c>
      <c r="E39" s="14" t="n">
        <v>84494</v>
      </c>
      <c r="F39" s="15" t="n">
        <v>6908.65</v>
      </c>
      <c r="G39" s="15" t="n">
        <v>1.39</v>
      </c>
      <c r="H39" s="16" t="n"/>
    </row>
    <row r="40" ht="13" customHeight="1">
      <c r="A40" s="1" t="inlineStr">
        <is>
          <t>JKCE01</t>
        </is>
      </c>
      <c r="B40" s="12" t="inlineStr">
        <is>
          <t>JK Cement Limited</t>
        </is>
      </c>
      <c r="C40" s="13" t="inlineStr">
        <is>
          <t>INE823G01014</t>
        </is>
      </c>
      <c r="D40" s="9" t="inlineStr">
        <is>
          <t>Cement &amp; Cement Products</t>
        </is>
      </c>
      <c r="E40" s="14" t="n">
        <v>127957</v>
      </c>
      <c r="F40" s="15" t="n">
        <v>6616.66</v>
      </c>
      <c r="G40" s="15" t="n">
        <v>1.34</v>
      </c>
      <c r="H40" s="16" t="n"/>
    </row>
    <row r="41" ht="13" customHeight="1">
      <c r="A41" s="1" t="inlineStr">
        <is>
          <t>VMML01</t>
        </is>
      </c>
      <c r="B41" s="12" t="inlineStr">
        <is>
          <t>Vishal Mega Mart Limited</t>
        </is>
      </c>
      <c r="C41" s="13" t="inlineStr">
        <is>
          <t>INE01EA01019</t>
        </is>
      </c>
      <c r="D41" s="9" t="inlineStr">
        <is>
          <t>Retailing</t>
        </is>
      </c>
      <c r="E41" s="14" t="n">
        <v>5406363</v>
      </c>
      <c r="F41" s="15" t="n">
        <v>6583.33</v>
      </c>
      <c r="G41" s="15" t="n">
        <v>1.33</v>
      </c>
      <c r="H41" s="16" t="n"/>
    </row>
    <row r="42" ht="13" customHeight="1">
      <c r="A42" s="1" t="inlineStr">
        <is>
          <t>AENP01</t>
        </is>
      </c>
      <c r="B42" s="12" t="inlineStr">
        <is>
          <t>Ather Energy Limited</t>
        </is>
      </c>
      <c r="C42" s="13" t="inlineStr">
        <is>
          <t>INE0LEZ01016</t>
        </is>
      </c>
      <c r="D42" s="9" t="inlineStr">
        <is>
          <t>Automobiles</t>
        </is>
      </c>
      <c r="E42" s="14" t="n">
        <v>670955</v>
      </c>
      <c r="F42" s="15" t="n">
        <v>6468.68</v>
      </c>
      <c r="G42" s="15" t="n">
        <v>1.31</v>
      </c>
      <c r="H42" s="16" t="n"/>
    </row>
    <row r="43" ht="13" customHeight="1">
      <c r="A43" s="1" t="inlineStr">
        <is>
          <t>EDEL02</t>
        </is>
      </c>
      <c r="B43" s="12" t="inlineStr">
        <is>
          <t>Nuvama Wealth Management Ltd</t>
        </is>
      </c>
      <c r="C43" s="13" t="inlineStr">
        <is>
          <t>INE531F01023</t>
        </is>
      </c>
      <c r="D43" s="9" t="inlineStr">
        <is>
          <t>Capital Markets</t>
        </is>
      </c>
      <c r="E43" s="14" t="n">
        <v>396687</v>
      </c>
      <c r="F43" s="15" t="n">
        <v>6166.9</v>
      </c>
      <c r="G43" s="15" t="n">
        <v>1.24</v>
      </c>
      <c r="H43" s="16" t="n"/>
    </row>
    <row r="44" ht="13" customHeight="1">
      <c r="A44" s="1" t="inlineStr">
        <is>
          <t>BHEL02</t>
        </is>
      </c>
      <c r="B44" s="12" t="inlineStr">
        <is>
          <t>Bharat Electronics Limited</t>
        </is>
      </c>
      <c r="C44" s="13" t="inlineStr">
        <is>
          <t>INE263A01024</t>
        </is>
      </c>
      <c r="D44" s="9" t="inlineStr">
        <is>
          <t>Aerospace &amp; Defense</t>
        </is>
      </c>
      <c r="E44" s="14" t="n">
        <v>1408281</v>
      </c>
      <c r="F44" s="15" t="n">
        <v>5784.51</v>
      </c>
      <c r="G44" s="15" t="n">
        <v>1.17</v>
      </c>
      <c r="H44" s="16" t="n"/>
    </row>
    <row r="45" ht="13" customHeight="1">
      <c r="A45" s="1" t="inlineStr">
        <is>
          <t>POCA01</t>
        </is>
      </c>
      <c r="B45" s="12" t="inlineStr">
        <is>
          <t>Polycab India Limited</t>
        </is>
      </c>
      <c r="C45" s="13" t="inlineStr">
        <is>
          <t>INE455K01017</t>
        </is>
      </c>
      <c r="D45" s="9" t="inlineStr">
        <is>
          <t>Industrial Products</t>
        </is>
      </c>
      <c r="E45" s="14" t="n">
        <v>60465</v>
      </c>
      <c r="F45" s="15" t="n">
        <v>5730.57</v>
      </c>
      <c r="G45" s="15" t="n">
        <v>1.16</v>
      </c>
      <c r="H45" s="16" t="n"/>
    </row>
    <row r="46" ht="13" customHeight="1">
      <c r="A46" s="1" t="inlineStr">
        <is>
          <t>DIXO02</t>
        </is>
      </c>
      <c r="B46" s="12" t="inlineStr">
        <is>
          <t>Dixon Technologies (India) Limited</t>
        </is>
      </c>
      <c r="C46" s="13" t="inlineStr">
        <is>
          <t>INE935N01020</t>
        </is>
      </c>
      <c r="D46" s="9" t="inlineStr">
        <is>
          <t>Consumer Durables</t>
        </is>
      </c>
      <c r="E46" s="14" t="n">
        <v>48195</v>
      </c>
      <c r="F46" s="15" t="n">
        <v>5553.99</v>
      </c>
      <c r="G46" s="15" t="n">
        <v>1.12</v>
      </c>
      <c r="H46" s="16" t="n"/>
    </row>
    <row r="47" ht="13" customHeight="1">
      <c r="A47" s="1" t="inlineStr">
        <is>
          <t>APLI04</t>
        </is>
      </c>
      <c r="B47" s="12" t="inlineStr">
        <is>
          <t>Hexaware Technologies Limited</t>
        </is>
      </c>
      <c r="C47" s="13" t="inlineStr">
        <is>
          <t>INE093A01041</t>
        </is>
      </c>
      <c r="D47" s="9" t="inlineStr">
        <is>
          <t>IT - Software</t>
        </is>
      </c>
      <c r="E47" s="14" t="n">
        <v>1058032</v>
      </c>
      <c r="F47" s="15" t="n">
        <v>5374.8</v>
      </c>
      <c r="G47" s="15" t="n">
        <v>1.08</v>
      </c>
      <c r="H47" s="16" t="n"/>
    </row>
    <row r="48" ht="13" customHeight="1">
      <c r="A48" s="1" t="inlineStr">
        <is>
          <t>DRAH01</t>
        </is>
      </c>
      <c r="B48" s="12" t="inlineStr">
        <is>
          <t>Dr Agarwals Health Care Limited</t>
        </is>
      </c>
      <c r="C48" s="13" t="inlineStr">
        <is>
          <t>INE943P01029</t>
        </is>
      </c>
      <c r="D48" s="9" t="inlineStr">
        <is>
          <t>Healthcare Services</t>
        </is>
      </c>
      <c r="E48" s="14" t="n">
        <v>991325</v>
      </c>
      <c r="F48" s="15" t="n">
        <v>4799</v>
      </c>
      <c r="G48" s="15" t="n">
        <v>0.97</v>
      </c>
      <c r="H48" s="16" t="n"/>
    </row>
    <row r="49" ht="13" customHeight="1">
      <c r="A49" s="1" t="inlineStr">
        <is>
          <t>KNMA02</t>
        </is>
      </c>
      <c r="B49" s="12" t="inlineStr">
        <is>
          <t>Knowledge Marine &amp; Engineering Works Limited</t>
        </is>
      </c>
      <c r="C49" s="13" t="inlineStr">
        <is>
          <t>INE0CJD01029</t>
        </is>
      </c>
      <c r="D49" s="9" t="inlineStr">
        <is>
          <t>Engineering Services</t>
        </is>
      </c>
      <c r="E49" s="14" t="n">
        <v>250000</v>
      </c>
      <c r="F49" s="15" t="n">
        <v>4795.75</v>
      </c>
      <c r="G49" s="15" t="n">
        <v>0.97</v>
      </c>
      <c r="H49" s="16" t="n"/>
    </row>
    <row r="50" ht="13" customHeight="1">
      <c r="A50" s="1" t="inlineStr">
        <is>
          <t>FSNE01</t>
        </is>
      </c>
      <c r="B50" s="12" t="inlineStr">
        <is>
          <t>FSN E-Commerce Ventures Limited</t>
        </is>
      </c>
      <c r="C50" s="13" t="inlineStr">
        <is>
          <t>INE388Y01029</t>
        </is>
      </c>
      <c r="D50" s="9" t="inlineStr">
        <is>
          <t>Retailing</t>
        </is>
      </c>
      <c r="E50" s="14" t="n">
        <v>1820288</v>
      </c>
      <c r="F50" s="15" t="n">
        <v>4774.62</v>
      </c>
      <c r="G50" s="15" t="n">
        <v>0.96</v>
      </c>
      <c r="H50" s="16" t="n"/>
    </row>
    <row r="51" ht="13" customHeight="1">
      <c r="A51" s="1" t="inlineStr">
        <is>
          <t>HFFC02</t>
        </is>
      </c>
      <c r="B51" s="12" t="inlineStr">
        <is>
          <t>Home First Finance Company India Limited</t>
        </is>
      </c>
      <c r="C51" s="13" t="inlineStr">
        <is>
          <t>INE481N01025</t>
        </is>
      </c>
      <c r="D51" s="9" t="inlineStr">
        <is>
          <t>Finance</t>
        </is>
      </c>
      <c r="E51" s="14" t="n">
        <v>420562</v>
      </c>
      <c r="F51" s="15" t="n">
        <v>4479.83</v>
      </c>
      <c r="G51" s="15" t="n">
        <v>0.9</v>
      </c>
      <c r="H51" s="16" t="n"/>
    </row>
    <row r="52" ht="13" customHeight="1">
      <c r="A52" s="1" t="inlineStr">
        <is>
          <t>TEMA02</t>
        </is>
      </c>
      <c r="B52" s="12" t="inlineStr">
        <is>
          <t>Tech Mahindra Limited</t>
        </is>
      </c>
      <c r="C52" s="13" t="inlineStr">
        <is>
          <t>INE669C01036</t>
        </is>
      </c>
      <c r="D52" s="9" t="inlineStr">
        <is>
          <t>IT - Software</t>
        </is>
      </c>
      <c r="E52" s="14" t="n">
        <v>300777</v>
      </c>
      <c r="F52" s="15" t="n">
        <v>4463.23</v>
      </c>
      <c r="G52" s="15" t="n">
        <v>0.9</v>
      </c>
      <c r="H52" s="16" t="n"/>
    </row>
    <row r="53" ht="13" customHeight="1">
      <c r="A53" s="1" t="inlineStr">
        <is>
          <t>ARWL01</t>
        </is>
      </c>
      <c r="B53" s="12" t="inlineStr">
        <is>
          <t>Anand Rathi Wealth Limited</t>
        </is>
      </c>
      <c r="C53" s="13" t="inlineStr">
        <is>
          <t>INE463V01026</t>
        </is>
      </c>
      <c r="D53" s="9" t="inlineStr">
        <is>
          <t>Capital Markets</t>
        </is>
      </c>
      <c r="E53" s="14" t="n">
        <v>125000</v>
      </c>
      <c r="F53" s="15" t="n">
        <v>4313.38</v>
      </c>
      <c r="G53" s="15" t="n">
        <v>0.87</v>
      </c>
      <c r="H53" s="16" t="n"/>
    </row>
    <row r="54" ht="13" customHeight="1">
      <c r="A54" s="1" t="inlineStr">
        <is>
          <t>BLUS03</t>
        </is>
      </c>
      <c r="B54" s="12" t="inlineStr">
        <is>
          <t>Blue Star Limited</t>
        </is>
      </c>
      <c r="C54" s="13" t="inlineStr">
        <is>
          <t>INE472A01039</t>
        </is>
      </c>
      <c r="D54" s="9" t="inlineStr">
        <is>
          <t>Consumer Durables</t>
        </is>
      </c>
      <c r="E54" s="14" t="n">
        <v>265409</v>
      </c>
      <c r="F54" s="15" t="n">
        <v>4217.35</v>
      </c>
      <c r="G54" s="15" t="n">
        <v>0.85</v>
      </c>
      <c r="H54" s="16" t="n"/>
    </row>
    <row r="55" ht="13" customHeight="1">
      <c r="A55" s="1" t="inlineStr">
        <is>
          <t>MEES01</t>
        </is>
      </c>
      <c r="B55" s="12" t="inlineStr">
        <is>
          <t>Meesho Ltd</t>
        </is>
      </c>
      <c r="C55" s="13" t="inlineStr">
        <is>
          <t>INE0VDM01015</t>
        </is>
      </c>
      <c r="D55" s="9" t="inlineStr">
        <is>
          <t>Retailing</t>
        </is>
      </c>
      <c r="E55" s="14" t="n">
        <v>2015721</v>
      </c>
      <c r="F55" s="15" t="n">
        <v>3694.82</v>
      </c>
      <c r="G55" s="15" t="n">
        <v>0.75</v>
      </c>
      <c r="H55" s="16" t="n"/>
    </row>
    <row r="56" ht="13" customHeight="1">
      <c r="A56" s="1" t="inlineStr">
        <is>
          <t>MIIL02</t>
        </is>
      </c>
      <c r="B56" s="12" t="inlineStr">
        <is>
          <t>UNO Minda Limited</t>
        </is>
      </c>
      <c r="C56" s="13" t="inlineStr">
        <is>
          <t>INE405E01023</t>
        </is>
      </c>
      <c r="D56" s="9" t="inlineStr">
        <is>
          <t>Auto Components</t>
        </is>
      </c>
      <c r="E56" s="14" t="n">
        <v>331289</v>
      </c>
      <c r="F56" s="15" t="n">
        <v>3649.81</v>
      </c>
      <c r="G56" s="15" t="n">
        <v>0.74</v>
      </c>
      <c r="H56" s="16" t="n"/>
    </row>
    <row r="57" ht="13" customHeight="1">
      <c r="A57" s="1" t="inlineStr">
        <is>
          <t>TARL02</t>
        </is>
      </c>
      <c r="B57" s="12" t="inlineStr">
        <is>
          <t>Transformers And Rectifiers (India) Limited</t>
        </is>
      </c>
      <c r="C57" s="13" t="inlineStr">
        <is>
          <t>INE763I01026</t>
        </is>
      </c>
      <c r="D57" s="9" t="inlineStr">
        <is>
          <t>Electrical Equipment</t>
        </is>
      </c>
      <c r="E57" s="14" t="n">
        <v>1137111</v>
      </c>
      <c r="F57" s="15" t="n">
        <v>3645.01</v>
      </c>
      <c r="G57" s="15" t="n">
        <v>0.74</v>
      </c>
      <c r="H57" s="16" t="n"/>
    </row>
    <row r="58" ht="13" customHeight="1">
      <c r="A58" s="1" t="inlineStr">
        <is>
          <t>HCLT02</t>
        </is>
      </c>
      <c r="B58" s="12" t="inlineStr">
        <is>
          <t>HCL Technologies Limited</t>
        </is>
      </c>
      <c r="C58" s="13" t="inlineStr">
        <is>
          <t>INE860A01027</t>
        </is>
      </c>
      <c r="D58" s="9" t="inlineStr">
        <is>
          <t>IT - Software</t>
        </is>
      </c>
      <c r="E58" s="14" t="n">
        <v>299383</v>
      </c>
      <c r="F58" s="15" t="n">
        <v>3544.1</v>
      </c>
      <c r="G58" s="15" t="n">
        <v>0.72</v>
      </c>
      <c r="H58" s="16" t="n"/>
    </row>
    <row r="59" ht="13" customHeight="1">
      <c r="A59" s="1" t="inlineStr">
        <is>
          <t>MEST01</t>
        </is>
      </c>
      <c r="B59" s="12" t="inlineStr">
        <is>
          <t>Max Estates Limited</t>
        </is>
      </c>
      <c r="C59" s="13" t="inlineStr">
        <is>
          <t>INE03EI01018</t>
        </is>
      </c>
      <c r="D59" s="9" t="inlineStr">
        <is>
          <t>Realty</t>
        </is>
      </c>
      <c r="E59" s="14" t="n">
        <v>768956</v>
      </c>
      <c r="F59" s="15" t="n">
        <v>3414.16</v>
      </c>
      <c r="G59" s="15" t="n">
        <v>0.6899999999999999</v>
      </c>
      <c r="H59" s="16" t="n"/>
    </row>
    <row r="60" ht="13" customHeight="1">
      <c r="A60" s="1" t="inlineStr">
        <is>
          <t>FRAN01</t>
        </is>
      </c>
      <c r="B60" s="12" t="inlineStr">
        <is>
          <t>Fractal Analytics Ltd</t>
        </is>
      </c>
      <c r="C60" s="13" t="inlineStr">
        <is>
          <t>INE212S01015</t>
        </is>
      </c>
      <c r="D60" s="9" t="inlineStr">
        <is>
          <t>IT - Software</t>
        </is>
      </c>
      <c r="E60" s="14" t="n">
        <v>335827</v>
      </c>
      <c r="F60" s="15" t="n">
        <v>3366.33</v>
      </c>
      <c r="G60" s="15" t="n">
        <v>0.68</v>
      </c>
      <c r="H60" s="16" t="n"/>
    </row>
    <row r="61" ht="13" customHeight="1">
      <c r="A61" s="1" t="inlineStr">
        <is>
          <t>JUFL02</t>
        </is>
      </c>
      <c r="B61" s="12" t="inlineStr">
        <is>
          <t>Jubilant Foodworks Limited ‡</t>
        </is>
      </c>
      <c r="C61" s="13" t="inlineStr">
        <is>
          <t>INE797F01020</t>
        </is>
      </c>
      <c r="D61" s="9" t="inlineStr">
        <is>
          <t>Leisure Services</t>
        </is>
      </c>
      <c r="E61" s="14" t="n">
        <v>781050</v>
      </c>
      <c r="F61" s="15" t="n">
        <v>3338.99</v>
      </c>
      <c r="G61" s="15" t="n">
        <v>0.67</v>
      </c>
      <c r="H61" s="16" t="n"/>
    </row>
    <row r="62" ht="13" customHeight="1">
      <c r="A62" s="1" t="inlineStr">
        <is>
          <t>FUJI02</t>
        </is>
      </c>
      <c r="B62" s="12" t="inlineStr">
        <is>
          <t>Zensar Technologies Limited</t>
        </is>
      </c>
      <c r="C62" s="13" t="inlineStr">
        <is>
          <t>INE520A01027</t>
        </is>
      </c>
      <c r="D62" s="9" t="inlineStr">
        <is>
          <t>IT - Software</t>
        </is>
      </c>
      <c r="E62" s="14" t="n">
        <v>631077</v>
      </c>
      <c r="F62" s="15" t="n">
        <v>3118.47</v>
      </c>
      <c r="G62" s="15" t="n">
        <v>0.63</v>
      </c>
      <c r="H62" s="16" t="n"/>
    </row>
    <row r="63" ht="13" customHeight="1">
      <c r="A63" s="1" t="inlineStr">
        <is>
          <t>SAFI02</t>
        </is>
      </c>
      <c r="B63" s="12" t="inlineStr">
        <is>
          <t>Safari Industries (India) Limited</t>
        </is>
      </c>
      <c r="C63" s="13" t="inlineStr">
        <is>
          <t>INE429E01023</t>
        </is>
      </c>
      <c r="D63" s="9" t="inlineStr">
        <is>
          <t>Consumer Durables</t>
        </is>
      </c>
      <c r="E63" s="14" t="n">
        <v>198418</v>
      </c>
      <c r="F63" s="15" t="n">
        <v>2983.61</v>
      </c>
      <c r="G63" s="15" t="n">
        <v>0.6</v>
      </c>
      <c r="H63" s="16" t="n"/>
    </row>
    <row r="64" ht="13" customHeight="1">
      <c r="A64" s="1" t="inlineStr">
        <is>
          <t>SUVP01</t>
        </is>
      </c>
      <c r="B64" s="12" t="inlineStr">
        <is>
          <t>Cohance Lifesciences Limited</t>
        </is>
      </c>
      <c r="C64" s="13" t="inlineStr">
        <is>
          <t>INE03QK01018</t>
        </is>
      </c>
      <c r="D64" s="9" t="inlineStr">
        <is>
          <t>Pharmaceuticals &amp; Biotechnology</t>
        </is>
      </c>
      <c r="E64" s="14" t="n">
        <v>687265</v>
      </c>
      <c r="F64" s="15" t="n">
        <v>2965.55</v>
      </c>
      <c r="G64" s="15" t="n">
        <v>0.6</v>
      </c>
      <c r="H64" s="16" t="n"/>
    </row>
    <row r="65" ht="13" customHeight="1">
      <c r="A65" s="1" t="inlineStr">
        <is>
          <t>BWIN01</t>
        </is>
      </c>
      <c r="B65" s="12" t="inlineStr">
        <is>
          <t>Bansal Wire Industries Limited</t>
        </is>
      </c>
      <c r="C65" s="13" t="inlineStr">
        <is>
          <t>INE0B9K01025</t>
        </is>
      </c>
      <c r="D65" s="9" t="inlineStr">
        <is>
          <t>Industrial Products</t>
        </is>
      </c>
      <c r="E65" s="14" t="n">
        <v>923248</v>
      </c>
      <c r="F65" s="15" t="n">
        <v>2938.24</v>
      </c>
      <c r="G65" s="15" t="n">
        <v>0.59</v>
      </c>
      <c r="H65" s="16" t="n"/>
    </row>
    <row r="66" ht="13" customHeight="1">
      <c r="A66" s="1" t="inlineStr">
        <is>
          <t>SBFC01</t>
        </is>
      </c>
      <c r="B66" s="12" t="inlineStr">
        <is>
          <t>SBFC Finance Limited</t>
        </is>
      </c>
      <c r="C66" s="13" t="inlineStr">
        <is>
          <t>INE423Y01016</t>
        </is>
      </c>
      <c r="D66" s="9" t="inlineStr">
        <is>
          <t>Finance</t>
        </is>
      </c>
      <c r="E66" s="14" t="n">
        <v>3111243</v>
      </c>
      <c r="F66" s="15" t="n">
        <v>2933.9</v>
      </c>
      <c r="G66" s="15" t="n">
        <v>0.59</v>
      </c>
      <c r="H66" s="16" t="n"/>
    </row>
    <row r="67" ht="13" customHeight="1">
      <c r="A67" s="1" t="inlineStr">
        <is>
          <t>ETHO01</t>
        </is>
      </c>
      <c r="B67" s="12" t="inlineStr">
        <is>
          <t>Ethos Ltd.</t>
        </is>
      </c>
      <c r="C67" s="13" t="inlineStr">
        <is>
          <t>INE04TZ01018</t>
        </is>
      </c>
      <c r="D67" s="9" t="inlineStr">
        <is>
          <t>Consumer Durables</t>
        </is>
      </c>
      <c r="E67" s="14" t="n">
        <v>122543</v>
      </c>
      <c r="F67" s="15" t="n">
        <v>2918.36</v>
      </c>
      <c r="G67" s="15" t="n">
        <v>0.59</v>
      </c>
      <c r="H67" s="16" t="n"/>
    </row>
    <row r="68" ht="13" customHeight="1">
      <c r="A68" s="1" t="inlineStr">
        <is>
          <t>RATN01</t>
        </is>
      </c>
      <c r="B68" s="12" t="inlineStr">
        <is>
          <t>RBL Bank Limited</t>
        </is>
      </c>
      <c r="C68" s="13" t="inlineStr">
        <is>
          <t>INE976G01028</t>
        </is>
      </c>
      <c r="D68" s="9" t="inlineStr">
        <is>
          <t>Banks</t>
        </is>
      </c>
      <c r="E68" s="14" t="n">
        <v>733767</v>
      </c>
      <c r="F68" s="15" t="n">
        <v>2531.5</v>
      </c>
      <c r="G68" s="15" t="n">
        <v>0.51</v>
      </c>
      <c r="H68" s="16" t="n"/>
    </row>
    <row r="69" ht="13" customHeight="1">
      <c r="A69" s="1" t="inlineStr">
        <is>
          <t>SHYA01</t>
        </is>
      </c>
      <c r="B69" s="12" t="inlineStr">
        <is>
          <t>Shyam Metalics and Energy Limited</t>
        </is>
      </c>
      <c r="C69" s="13" t="inlineStr">
        <is>
          <t>INE810G01011</t>
        </is>
      </c>
      <c r="D69" s="9" t="inlineStr">
        <is>
          <t>Industrial Products</t>
        </is>
      </c>
      <c r="E69" s="14" t="n">
        <v>257658</v>
      </c>
      <c r="F69" s="15" t="n">
        <v>2507.91</v>
      </c>
      <c r="G69" s="15" t="n">
        <v>0.51</v>
      </c>
      <c r="H69" s="16" t="n"/>
    </row>
    <row r="70" ht="13" customHeight="1">
      <c r="A70" s="1" t="inlineStr">
        <is>
          <t>MEBR01</t>
        </is>
      </c>
      <c r="B70" s="12" t="inlineStr">
        <is>
          <t>Metro Brands Limited</t>
        </is>
      </c>
      <c r="C70" s="13" t="inlineStr">
        <is>
          <t>INE317I01021</t>
        </is>
      </c>
      <c r="D70" s="9" t="inlineStr">
        <is>
          <t>Consumer Durables</t>
        </is>
      </c>
      <c r="E70" s="14" t="n">
        <v>191149</v>
      </c>
      <c r="F70" s="15" t="n">
        <v>1957.94</v>
      </c>
      <c r="G70" s="15" t="n">
        <v>0.4</v>
      </c>
      <c r="H70" s="16" t="n"/>
    </row>
    <row r="71" ht="13" customHeight="1">
      <c r="A71" s="1" t="inlineStr">
        <is>
          <t>CONB01</t>
        </is>
      </c>
      <c r="B71" s="12" t="inlineStr">
        <is>
          <t>Concord Biotech Limited</t>
        </is>
      </c>
      <c r="C71" s="13" t="inlineStr">
        <is>
          <t>INE338H01029</t>
        </is>
      </c>
      <c r="D71" s="9" t="inlineStr">
        <is>
          <t>Pharmaceuticals &amp; Biotechnology</t>
        </is>
      </c>
      <c r="E71" s="14" t="n">
        <v>178114</v>
      </c>
      <c r="F71" s="15" t="n">
        <v>1872.33</v>
      </c>
      <c r="G71" s="15" t="n">
        <v>0.38</v>
      </c>
      <c r="H71" s="16" t="n"/>
    </row>
    <row r="72" ht="13" customHeight="1">
      <c r="A72" s="1" t="inlineStr">
        <is>
          <t>DCIL01</t>
        </is>
      </c>
      <c r="B72" s="12" t="inlineStr">
        <is>
          <t>Dredging Corporation of India Limited</t>
        </is>
      </c>
      <c r="C72" s="13" t="inlineStr">
        <is>
          <t>INE506A01018</t>
        </is>
      </c>
      <c r="D72" s="9" t="inlineStr">
        <is>
          <t>Engineering Services</t>
        </is>
      </c>
      <c r="E72" s="14" t="n">
        <v>121027</v>
      </c>
      <c r="F72" s="15" t="n">
        <v>1405.18</v>
      </c>
      <c r="G72" s="15" t="n">
        <v>0.28</v>
      </c>
      <c r="H72" s="16" t="n"/>
    </row>
    <row r="73" ht="13" customHeight="1">
      <c r="A73" s="1" t="inlineStr">
        <is>
          <t>BBGV02</t>
        </is>
      </c>
      <c r="B73" s="12" t="inlineStr">
        <is>
          <t>Billionbrains Garage Ventures Ltd</t>
        </is>
      </c>
      <c r="C73" s="13" t="inlineStr">
        <is>
          <t>INE0HOQ01053</t>
        </is>
      </c>
      <c r="D73" s="9" t="inlineStr">
        <is>
          <t>Capital Markets</t>
        </is>
      </c>
      <c r="E73" s="14" t="n">
        <v>652622</v>
      </c>
      <c r="F73" s="15" t="n">
        <v>1206.63</v>
      </c>
      <c r="G73" s="15" t="n">
        <v>0.24</v>
      </c>
      <c r="H73" s="16" t="n"/>
    </row>
    <row r="74" ht="13" customHeight="1">
      <c r="A74" s="3" t="n"/>
      <c r="B74" s="8" t="inlineStr">
        <is>
          <t>Sub Total</t>
        </is>
      </c>
      <c r="C74" s="9" t="n"/>
      <c r="D74" s="9" t="n"/>
      <c r="E74" s="9" t="n"/>
      <c r="F74" s="17">
        <f>SUM(F8:F73)</f>
        <v/>
      </c>
      <c r="G74" s="17">
        <f>SUM(G8:G73)</f>
        <v/>
      </c>
      <c r="H74" s="18" t="n"/>
    </row>
    <row r="75" ht="13" customHeight="1">
      <c r="A75" s="3" t="n"/>
      <c r="B75" s="19" t="inlineStr">
        <is>
          <t>(b) Unlisted</t>
        </is>
      </c>
      <c r="C75" s="20" t="n"/>
      <c r="D75" s="20" t="n"/>
      <c r="E75" s="21" t="n"/>
      <c r="F75" s="22" t="inlineStr">
        <is>
          <t>Nil</t>
        </is>
      </c>
      <c r="G75" s="22" t="inlineStr">
        <is>
          <t>Nil</t>
        </is>
      </c>
      <c r="H75" s="23" t="inlineStr">
        <is>
          <t>Nil</t>
        </is>
      </c>
    </row>
    <row r="76" ht="13" customHeight="1">
      <c r="A76" s="3" t="n"/>
      <c r="B76" s="24" t="inlineStr">
        <is>
          <t>Sub Total</t>
        </is>
      </c>
      <c r="C76" s="25" t="n"/>
      <c r="D76" s="25" t="n"/>
      <c r="E76" s="22" t="n"/>
      <c r="F76" s="22" t="inlineStr">
        <is>
          <t>Nil</t>
        </is>
      </c>
      <c r="G76" s="22" t="inlineStr">
        <is>
          <t>Nil</t>
        </is>
      </c>
      <c r="H76" s="23" t="inlineStr">
        <is>
          <t>Nil</t>
        </is>
      </c>
    </row>
    <row r="77" ht="13" customHeight="1">
      <c r="A77" s="3" t="n"/>
      <c r="B77" s="19" t="inlineStr">
        <is>
          <t>Total</t>
        </is>
      </c>
      <c r="C77" s="20" t="n"/>
      <c r="D77" s="20" t="n"/>
      <c r="E77" s="26" t="n"/>
      <c r="F77" s="17" t="n">
        <v>486098.2699999998</v>
      </c>
      <c r="G77" s="17" t="n">
        <v>98.08999999999999</v>
      </c>
      <c r="H77" s="23" t="n"/>
    </row>
    <row r="78" ht="13" customHeight="1">
      <c r="A78" s="3" t="n"/>
      <c r="B78" s="8" t="inlineStr">
        <is>
          <t>InvITs Instruments</t>
        </is>
      </c>
      <c r="C78" s="9" t="n"/>
      <c r="D78" s="9" t="n"/>
      <c r="E78" s="9" t="n"/>
      <c r="F78" s="9" t="n"/>
      <c r="G78" s="9" t="n"/>
      <c r="H78" s="10" t="n"/>
    </row>
    <row r="79" ht="13" customHeight="1">
      <c r="A79" s="3" t="n"/>
      <c r="B79" s="8" t="inlineStr">
        <is>
          <t>(a) Listed / awaiting listing on Stock Exchanges</t>
        </is>
      </c>
      <c r="C79" s="11" t="n"/>
      <c r="D79" s="11" t="n"/>
      <c r="E79" s="9" t="n"/>
      <c r="F79" s="9" t="n"/>
      <c r="G79" s="9" t="n"/>
      <c r="H79" s="10" t="n"/>
    </row>
    <row r="80" ht="13" customHeight="1">
      <c r="A80" s="1" t="inlineStr">
        <is>
          <t>CUBE01</t>
        </is>
      </c>
      <c r="B80" s="12" t="inlineStr">
        <is>
          <t>Cube Highways Trust- InvIT Fund</t>
        </is>
      </c>
      <c r="C80" s="13" t="inlineStr">
        <is>
          <t>INE0NR623014</t>
        </is>
      </c>
      <c r="D80" s="9" t="n"/>
      <c r="E80" s="14" t="n">
        <v>1325000</v>
      </c>
      <c r="F80" s="15" t="n">
        <v>1961.13</v>
      </c>
      <c r="G80" s="15" t="n">
        <v>0.4</v>
      </c>
      <c r="H80" s="16" t="n"/>
    </row>
    <row r="81" ht="13" customHeight="1">
      <c r="A81" s="3" t="n"/>
      <c r="B81" s="8" t="inlineStr">
        <is>
          <t>Sub Total</t>
        </is>
      </c>
      <c r="C81" s="9" t="n"/>
      <c r="D81" s="9" t="n"/>
      <c r="E81" s="9" t="n"/>
      <c r="F81" s="17" t="n">
        <v>1961.13</v>
      </c>
      <c r="G81" s="17" t="n">
        <v>0.4</v>
      </c>
      <c r="H81" s="18" t="n"/>
    </row>
    <row r="82" ht="13" customHeight="1">
      <c r="A82" s="3" t="n"/>
      <c r="B82" s="19" t="inlineStr">
        <is>
          <t>(b) Unlisted</t>
        </is>
      </c>
      <c r="C82" s="20" t="n"/>
      <c r="D82" s="20" t="n"/>
      <c r="E82" s="21" t="n"/>
      <c r="F82" s="22" t="inlineStr">
        <is>
          <t>Nil</t>
        </is>
      </c>
      <c r="G82" s="22" t="inlineStr">
        <is>
          <t>Nil</t>
        </is>
      </c>
      <c r="H82" s="23" t="inlineStr">
        <is>
          <t>Nil</t>
        </is>
      </c>
    </row>
    <row r="83" ht="13" customHeight="1">
      <c r="A83" s="3" t="n"/>
      <c r="B83" s="24" t="inlineStr">
        <is>
          <t>Sub Total</t>
        </is>
      </c>
      <c r="C83" s="25" t="n"/>
      <c r="D83" s="25" t="n"/>
      <c r="E83" s="22" t="n"/>
      <c r="F83" s="22" t="inlineStr">
        <is>
          <t>Nil</t>
        </is>
      </c>
      <c r="G83" s="22" t="inlineStr">
        <is>
          <t>Nil</t>
        </is>
      </c>
      <c r="H83" s="23" t="inlineStr">
        <is>
          <t>Nil</t>
        </is>
      </c>
    </row>
    <row r="84" ht="13" customHeight="1">
      <c r="A84" s="3" t="n"/>
      <c r="B84" s="19" t="inlineStr">
        <is>
          <t>Total</t>
        </is>
      </c>
      <c r="C84" s="20" t="n"/>
      <c r="D84" s="20" t="n"/>
      <c r="E84" s="26" t="n"/>
      <c r="F84" s="17" t="n">
        <v>1961.13</v>
      </c>
      <c r="G84" s="17" t="n">
        <v>0.4</v>
      </c>
      <c r="H84" s="23" t="n"/>
    </row>
    <row r="85" ht="13" customHeight="1">
      <c r="A85" s="3" t="n"/>
      <c r="B85" s="8" t="inlineStr">
        <is>
          <t>Money Market Instruments</t>
        </is>
      </c>
      <c r="C85" s="9" t="n"/>
      <c r="D85" s="9" t="n"/>
      <c r="E85" s="9" t="n"/>
      <c r="F85" s="9" t="n"/>
      <c r="G85" s="9" t="n"/>
      <c r="H85" s="10" t="n"/>
    </row>
    <row r="86" ht="13" customHeight="1">
      <c r="A86" s="3" t="n"/>
      <c r="B86" s="8" t="inlineStr">
        <is>
          <t>TREPS / Reverse Repo</t>
        </is>
      </c>
      <c r="C86" s="11" t="n"/>
      <c r="D86" s="11" t="n"/>
      <c r="E86" s="9" t="n"/>
      <c r="F86" s="9" t="n"/>
      <c r="G86" s="9" t="n"/>
      <c r="H86" s="10" t="n"/>
    </row>
    <row r="87" ht="13" customHeight="1">
      <c r="A87" s="1" t="inlineStr">
        <is>
          <t>TRP_010626</t>
        </is>
      </c>
      <c r="B87" s="12" t="inlineStr">
        <is>
          <t>Triparty Repo</t>
        </is>
      </c>
      <c r="C87" s="13" t="n"/>
      <c r="D87" s="9" t="n"/>
      <c r="E87" s="14" t="n"/>
      <c r="F87" s="15" t="n">
        <v>7536</v>
      </c>
      <c r="G87" s="15" t="n">
        <v>1.52</v>
      </c>
      <c r="H87" s="16" t="n">
        <v>0.05339237155</v>
      </c>
    </row>
    <row r="88" ht="13" customHeight="1">
      <c r="A88" s="3" t="n"/>
      <c r="B88" s="8" t="inlineStr">
        <is>
          <t>Sub Total</t>
        </is>
      </c>
      <c r="C88" s="9" t="n"/>
      <c r="D88" s="9" t="n"/>
      <c r="E88" s="9" t="n"/>
      <c r="F88" s="17" t="n">
        <v>7536</v>
      </c>
      <c r="G88" s="17" t="n">
        <v>1.52</v>
      </c>
      <c r="H88" s="18" t="n"/>
    </row>
    <row r="89" ht="13" customHeight="1">
      <c r="A89" s="3" t="n"/>
      <c r="B89" s="19" t="inlineStr">
        <is>
          <t>Total</t>
        </is>
      </c>
      <c r="C89" s="20" t="n"/>
      <c r="D89" s="20" t="n"/>
      <c r="E89" s="26" t="n"/>
      <c r="F89" s="17" t="n">
        <v>7536</v>
      </c>
      <c r="G89" s="17" t="n">
        <v>1.52</v>
      </c>
      <c r="H89" s="23" t="n"/>
    </row>
    <row r="90" ht="13" customHeight="1">
      <c r="A90" s="3" t="n"/>
      <c r="B90" s="8" t="inlineStr">
        <is>
          <t>Others</t>
        </is>
      </c>
      <c r="C90" s="9" t="n"/>
      <c r="D90" s="9" t="n"/>
      <c r="E90" s="9" t="n"/>
      <c r="F90" s="9" t="n"/>
      <c r="G90" s="9" t="n"/>
      <c r="H90" s="10" t="n"/>
    </row>
    <row r="91" ht="13" customHeight="1">
      <c r="A91" s="3" t="n"/>
      <c r="B91" s="8" t="inlineStr">
        <is>
          <t>Mutual Fund Units</t>
        </is>
      </c>
      <c r="C91" s="11" t="n"/>
      <c r="D91" s="11" t="n"/>
      <c r="E91" s="9" t="n"/>
      <c r="F91" s="9" t="n"/>
      <c r="G91" s="9" t="n"/>
      <c r="H91" s="10" t="n"/>
    </row>
    <row r="92" ht="13" customHeight="1">
      <c r="A92" s="1" t="inlineStr">
        <is>
          <t>120537</t>
        </is>
      </c>
      <c r="B92" s="12" t="inlineStr">
        <is>
          <t>Invesco India Liquid Fund - Direct Plan - Growth</t>
        </is>
      </c>
      <c r="C92" s="13" t="inlineStr">
        <is>
          <t>INF205K01MF9</t>
        </is>
      </c>
      <c r="D92" s="9" t="n"/>
      <c r="E92" s="27" t="n">
        <v>0.002</v>
      </c>
      <c r="F92" s="15" t="n">
        <v>0</v>
      </c>
      <c r="G92" s="28" t="inlineStr">
        <is>
          <t>$0.00</t>
        </is>
      </c>
      <c r="H92" s="16" t="n"/>
    </row>
    <row r="93" ht="13" customHeight="1">
      <c r="A93" s="3" t="n"/>
      <c r="B93" s="8" t="inlineStr">
        <is>
          <t>Sub Total</t>
        </is>
      </c>
      <c r="C93" s="9" t="n"/>
      <c r="D93" s="9" t="n"/>
      <c r="E93" s="9" t="n"/>
      <c r="F93" s="17" t="n">
        <v>0</v>
      </c>
      <c r="G93" s="29" t="inlineStr">
        <is>
          <t>$0.00</t>
        </is>
      </c>
      <c r="H93" s="18" t="n"/>
    </row>
    <row r="94" ht="13" customHeight="1">
      <c r="B94" s="8" t="inlineStr">
        <is>
          <t>Preference Shares</t>
        </is>
      </c>
      <c r="C94" s="9" t="n"/>
      <c r="D94" s="9" t="n"/>
      <c r="E94" s="9" t="n"/>
      <c r="F94" s="30" t="n"/>
      <c r="G94" s="31" t="n"/>
      <c r="H94" s="18" t="n"/>
    </row>
    <row r="95" ht="13" customHeight="1">
      <c r="A95" s="1" t="inlineStr">
        <is>
          <t>SAEL21PS</t>
        </is>
      </c>
      <c r="B95" s="12" t="inlineStr">
        <is>
          <t>TVS Motor Company Limited^^</t>
        </is>
      </c>
      <c r="C95" s="13" t="inlineStr">
        <is>
          <t>INE494B04019</t>
        </is>
      </c>
      <c r="D95" s="9" t="inlineStr">
        <is>
          <t>Automobiles</t>
        </is>
      </c>
      <c r="E95" s="14" t="n">
        <v>1037764</v>
      </c>
      <c r="F95" s="15" t="n">
        <v>107.41</v>
      </c>
      <c r="G95" s="15" t="n">
        <v>0.02</v>
      </c>
      <c r="H95" s="16" t="n"/>
    </row>
    <row r="96" ht="13" customHeight="1">
      <c r="A96" s="3" t="n"/>
      <c r="B96" s="8" t="inlineStr">
        <is>
          <t>Sub Total</t>
        </is>
      </c>
      <c r="C96" s="9" t="n"/>
      <c r="D96" s="9" t="n"/>
      <c r="E96" s="9" t="n"/>
      <c r="F96" s="17">
        <f>F95</f>
        <v/>
      </c>
      <c r="G96" s="17">
        <f>G95</f>
        <v/>
      </c>
      <c r="H96" s="18" t="n"/>
    </row>
    <row r="97" ht="13" customHeight="1">
      <c r="A97" s="3" t="n"/>
      <c r="B97" s="19" t="inlineStr">
        <is>
          <t>Total</t>
        </is>
      </c>
      <c r="C97" s="20" t="n"/>
      <c r="D97" s="20" t="n"/>
      <c r="E97" s="26" t="n"/>
      <c r="F97" s="17">
        <f>F93+F96</f>
        <v/>
      </c>
      <c r="G97" s="17">
        <f>G96</f>
        <v/>
      </c>
      <c r="H97" s="23" t="n"/>
    </row>
    <row r="98" ht="13" customHeight="1">
      <c r="A98" s="3" t="n"/>
      <c r="B98" s="19" t="inlineStr">
        <is>
          <t>Net Receivables / (Payables)</t>
        </is>
      </c>
      <c r="C98" s="20" t="n"/>
      <c r="D98" s="20" t="n"/>
      <c r="E98" s="9" t="n"/>
      <c r="F98" s="17" t="n">
        <v>-95.84999999999999</v>
      </c>
      <c r="G98" s="17" t="n">
        <v>-0.03</v>
      </c>
      <c r="H98" s="23" t="n"/>
    </row>
    <row r="99" ht="13" customHeight="1">
      <c r="A99" s="3" t="n"/>
      <c r="B99" s="32" t="inlineStr">
        <is>
          <t>GRAND TOTAL</t>
        </is>
      </c>
      <c r="C99" s="33" t="n"/>
      <c r="D99" s="33" t="n"/>
      <c r="E99" s="33" t="n"/>
      <c r="F99" s="34" t="n">
        <v>495606.96</v>
      </c>
      <c r="G99" s="35" t="n">
        <v>100</v>
      </c>
      <c r="H99" s="36" t="n"/>
    </row>
    <row r="100" ht="13" customHeight="1">
      <c r="A100" s="3" t="n"/>
      <c r="B100" s="37" t="n"/>
      <c r="F100" s="3" t="n"/>
      <c r="G100" s="3" t="n"/>
      <c r="H100" s="3" t="n"/>
    </row>
    <row r="101" ht="13" customHeight="1">
      <c r="A101" s="3" t="n"/>
      <c r="B101" s="37" t="inlineStr">
        <is>
          <t>YTM - Yield To Maturity</t>
        </is>
      </c>
      <c r="F101" s="38" t="n"/>
      <c r="G101" s="38" t="n"/>
      <c r="H101" s="3" t="n"/>
    </row>
    <row r="102" ht="13" customHeight="1">
      <c r="A102" s="3" t="n"/>
      <c r="B102" s="37" t="inlineStr">
        <is>
          <t>*  Industry Classification is as recommended by AMFI</t>
        </is>
      </c>
      <c r="F102" s="3" t="n"/>
      <c r="G102" s="3" t="n"/>
      <c r="H102" s="3" t="n"/>
    </row>
    <row r="103" ht="13" customHeight="1">
      <c r="A103" s="3" t="n"/>
      <c r="B103" s="37" t="inlineStr">
        <is>
          <t>$ Less than 0.005%</t>
        </is>
      </c>
      <c r="F103" s="3" t="n"/>
      <c r="G103" s="3" t="n"/>
      <c r="H103" s="3" t="n"/>
    </row>
    <row r="104" ht="13" customHeight="1">
      <c r="A104" s="3" t="n"/>
      <c r="B104" s="37" t="inlineStr">
        <is>
          <t>^^ Awaiting listing</t>
        </is>
      </c>
      <c r="F104" s="3" t="n"/>
      <c r="G104" s="3" t="n"/>
      <c r="H104" s="3" t="n"/>
    </row>
    <row r="105" ht="13" customHeight="1">
      <c r="A105" s="3" t="n"/>
      <c r="B105" s="37" t="n"/>
      <c r="C105" s="37" t="n"/>
      <c r="D105" s="37" t="n"/>
      <c r="E105" s="37" t="n"/>
      <c r="F105" s="3" t="n"/>
      <c r="G105" s="3" t="n"/>
      <c r="H105" s="3" t="n"/>
    </row>
    <row r="106" ht="13" customHeight="1">
      <c r="A106" s="3" t="n"/>
      <c r="B106" s="39" t="inlineStr">
        <is>
          <t>‡ Includes shares lent under Securities Lending &amp; Borrowing Scheme of BSE</t>
        </is>
      </c>
      <c r="F106" s="3" t="n"/>
      <c r="G106" s="3" t="n"/>
      <c r="H106" s="3" t="n"/>
    </row>
    <row r="107" ht="13" customHeight="1">
      <c r="A107" s="3" t="n"/>
      <c r="B107" s="40" t="inlineStr">
        <is>
          <t>Name of the Security</t>
        </is>
      </c>
      <c r="C107" s="40" t="inlineStr">
        <is>
          <t>Shares</t>
        </is>
      </c>
      <c r="D107" s="3" t="n"/>
      <c r="E107" s="3" t="n"/>
      <c r="F107" s="3" t="n"/>
      <c r="G107" s="3" t="n"/>
      <c r="H107" s="3" t="n"/>
    </row>
    <row r="108" ht="13" customHeight="1">
      <c r="A108" s="3" t="n"/>
      <c r="B108" s="41" t="inlineStr">
        <is>
          <t>Jubilant Foodworks Limited</t>
        </is>
      </c>
      <c r="C108" s="42" t="n">
        <v>29356</v>
      </c>
      <c r="D108" s="3" t="n"/>
      <c r="E108" s="3" t="n"/>
      <c r="F108" s="3" t="n"/>
      <c r="G108" s="3" t="n"/>
      <c r="H108" s="3" t="n"/>
    </row>
    <row r="109" ht="13" customHeight="1">
      <c r="A109" s="3" t="n"/>
      <c r="B109" s="41" t="inlineStr">
        <is>
          <t>Persistent Systems Limited</t>
        </is>
      </c>
      <c r="C109" s="42" t="n">
        <v>21140</v>
      </c>
      <c r="D109" s="3" t="n"/>
      <c r="E109" s="3" t="n"/>
      <c r="F109" s="3" t="n"/>
      <c r="G109" s="3" t="n"/>
      <c r="H109" s="3" t="n"/>
    </row>
    <row r="110" ht="13" customHeight="1">
      <c r="A110" s="3" t="n"/>
      <c r="B110" s="43" t="n"/>
      <c r="C110" s="44" t="n"/>
      <c r="D110" s="3" t="n"/>
      <c r="E110" s="3" t="n"/>
      <c r="F110" s="3" t="n"/>
      <c r="G110" s="3" t="n"/>
      <c r="H110" s="3" t="n"/>
    </row>
    <row r="111">
      <c r="B111" t="inlineStr">
        <is>
          <t>Notes :</t>
        </is>
      </c>
    </row>
    <row r="112">
      <c r="B112" t="inlineStr">
        <is>
          <t>(1)  Details of security in default beyond it's maturity date: Nil</t>
        </is>
      </c>
    </row>
    <row r="113">
      <c r="B113" t="inlineStr">
        <is>
          <t>(2)  Total Value and percentage of illiquid equity shares: Nil</t>
        </is>
      </c>
    </row>
    <row r="114">
      <c r="B114" t="inlineStr">
        <is>
          <t>(3)  Net Assets Value per unit (in `) are as follows:</t>
        </is>
      </c>
    </row>
    <row r="115">
      <c r="B115" s="45" t="inlineStr">
        <is>
          <t xml:space="preserve">       Plan / Option</t>
        </is>
      </c>
      <c r="C115" s="45" t="inlineStr">
        <is>
          <t>As on May 31, 2026</t>
        </is>
      </c>
      <c r="D115" s="46" t="inlineStr">
        <is>
          <t>As on April 30, 2026</t>
        </is>
      </c>
    </row>
    <row r="116">
      <c r="B116" t="inlineStr">
        <is>
          <t xml:space="preserve">       Growth Option</t>
        </is>
      </c>
      <c r="C116" s="47" t="n">
        <v>17.97</v>
      </c>
      <c r="D116" s="47" t="n">
        <v>17.71</v>
      </c>
    </row>
    <row r="117">
      <c r="B117" t="inlineStr">
        <is>
          <t xml:space="preserve">       IDCW Option</t>
        </is>
      </c>
      <c r="C117" s="47" t="n">
        <v>15.98</v>
      </c>
      <c r="D117" s="47" t="n">
        <v>15.74</v>
      </c>
    </row>
    <row r="118">
      <c r="B118" t="inlineStr">
        <is>
          <t xml:space="preserve">       Direct Plan - Growth Option</t>
        </is>
      </c>
      <c r="C118" s="47" t="n">
        <v>19.18</v>
      </c>
      <c r="D118" s="47" t="n">
        <v>18.88</v>
      </c>
    </row>
    <row r="119">
      <c r="B119" t="inlineStr">
        <is>
          <t xml:space="preserve">       Direct Plan - IDCW Option</t>
        </is>
      </c>
      <c r="C119" s="47" t="n">
        <v>17.16</v>
      </c>
      <c r="D119" s="47" t="n">
        <v>16.89</v>
      </c>
    </row>
    <row r="120"/>
    <row r="121">
      <c r="B121" t="inlineStr">
        <is>
          <t>(4)  IDCW /  Bonus declared during the month ended As on May 31, 2026: Nil</t>
        </is>
      </c>
    </row>
    <row r="122">
      <c r="B122" t="inlineStr">
        <is>
          <t>(5)  Total outstanding exposure in derivative instruments As on May 31, 2026: Nil</t>
        </is>
      </c>
    </row>
    <row r="123">
      <c r="B123" t="inlineStr">
        <is>
          <t>(6)  Total investments in Foreign Securities / American Depository Receipts / Global Depository Receipts / Overseas ETFs As on As on May 31, 2026 and its percentage to NAV : Nil</t>
        </is>
      </c>
    </row>
    <row r="124">
      <c r="B124" t="inlineStr">
        <is>
          <t>(7)  During the period, the portfolio turnover ratio was 0.32 times. ¥</t>
        </is>
      </c>
    </row>
    <row r="125">
      <c r="B125" t="inlineStr">
        <is>
          <t>(8)  Investment in Repo of Corporate Debt securities : Nil</t>
        </is>
      </c>
    </row>
    <row r="126">
      <c r="B126" t="inlineStr">
        <is>
          <t>(9)  Deviation from the valuation prices given by valuation agencies during the month ended  As on May 31, 2026: Nil</t>
        </is>
      </c>
    </row>
    <row r="127"/>
    <row r="128">
      <c r="B128" t="inlineStr">
        <is>
          <t>¥ Portfolio Turnover Ratio: Lower of purchases or sales of securities during the year ended As on May 31, 2026 / average net assets during the year ended As on May 31, 2026.</t>
        </is>
      </c>
    </row>
    <row r="129">
      <c r="B129" t="inlineStr">
        <is>
          <t>The Face value per unit is ` 10.</t>
        </is>
      </c>
    </row>
    <row r="130">
      <c r="B130" t="inlineStr">
        <is>
          <t>In line with SEBI clarification, NAV as on May 29, 2026 were disclosed, due to non-business day on 30th &amp; 31st May</t>
        </is>
      </c>
    </row>
    <row r="131">
      <c r="F131" s="45" t="inlineStr">
        <is>
          <t>BENCHMARK NAME - BSE 500 TRI</t>
        </is>
      </c>
    </row>
    <row r="132">
      <c r="B132" s="45" t="inlineStr">
        <is>
          <t>SCHEME RISK-O-METER</t>
        </is>
      </c>
      <c r="F132" s="45" t="inlineStr">
        <is>
          <t>BENCHMARK RISK-O-METER</t>
        </is>
      </c>
    </row>
  </sheetData>
  <mergeCells count="10">
    <mergeCell ref="B102:E102"/>
    <mergeCell ref="B106:E106"/>
    <mergeCell ref="B1:H1"/>
    <mergeCell ref="B4:H4"/>
    <mergeCell ref="B100:E100"/>
    <mergeCell ref="B2:H2"/>
    <mergeCell ref="B104:E104"/>
    <mergeCell ref="B103:E103"/>
    <mergeCell ref="B3:H3"/>
    <mergeCell ref="B101:E10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48" t="inlineStr">
        <is>
          <t>Scheme Name: Invesco India Flexi Cap Fund (An open ended dynamic equity scheme investing across large cap, mid cap, small cap stocks)</t>
        </is>
      </c>
      <c r="D1" s="49" t="n"/>
      <c r="E1" s="50" t="n"/>
      <c r="F1" s="51" t="n"/>
    </row>
    <row r="2" ht="13" customHeight="1">
      <c r="A2" s="50" t="n"/>
      <c r="B2" s="51" t="n"/>
      <c r="C2" s="51" t="n"/>
      <c r="D2" s="51" t="n"/>
      <c r="E2" s="50" t="n"/>
      <c r="F2" s="51" t="n"/>
    </row>
    <row r="3" ht="13" customHeight="1">
      <c r="A3" s="52" t="inlineStr">
        <is>
          <t>Top 10 holdings by issuer</t>
        </is>
      </c>
      <c r="B3" s="53" t="n"/>
      <c r="C3" s="51" t="n"/>
      <c r="D3" s="51" t="n"/>
      <c r="E3" s="52" t="inlineStr">
        <is>
          <t>Fund allocation towards various sectors</t>
        </is>
      </c>
      <c r="F3" s="53" t="n"/>
    </row>
    <row r="4" ht="13" customHeight="1">
      <c r="A4" s="52" t="inlineStr">
        <is>
          <t>Issuer Name</t>
        </is>
      </c>
      <c r="B4" s="52" t="inlineStr">
        <is>
          <t>% to Net Assets</t>
        </is>
      </c>
      <c r="C4" s="51" t="n"/>
      <c r="D4" s="51" t="n"/>
      <c r="E4" s="52" t="inlineStr">
        <is>
          <t>Sectors</t>
        </is>
      </c>
      <c r="F4" s="52" t="inlineStr">
        <is>
          <t>% Exposure</t>
        </is>
      </c>
    </row>
    <row r="5" ht="13" customHeight="1">
      <c r="A5" s="54" t="inlineStr">
        <is>
          <t>ICICI Bank Limited</t>
        </is>
      </c>
      <c r="B5" s="55" t="n">
        <v>0.0593</v>
      </c>
      <c r="C5" s="51" t="n"/>
      <c r="D5" s="51" t="n"/>
      <c r="E5" s="54" t="inlineStr">
        <is>
          <t>Financial Services</t>
        </is>
      </c>
      <c r="F5" s="55" t="n">
        <v>0.3132</v>
      </c>
    </row>
    <row r="6" ht="13" customHeight="1">
      <c r="A6" s="54" t="inlineStr">
        <is>
          <t>Larsen &amp; Toubro Limited</t>
        </is>
      </c>
      <c r="B6" s="55" t="n">
        <v>0.0455</v>
      </c>
      <c r="C6" s="51" t="n"/>
      <c r="D6" s="51" t="n"/>
      <c r="E6" s="54" t="inlineStr">
        <is>
          <t>Healthcare</t>
        </is>
      </c>
      <c r="F6" s="55" t="n">
        <v>0.1186</v>
      </c>
    </row>
    <row r="7" ht="13" customHeight="1">
      <c r="A7" s="54" t="inlineStr">
        <is>
          <t>InterGlobe Aviation Limited</t>
        </is>
      </c>
      <c r="B7" s="55" t="n">
        <v>0.0314</v>
      </c>
      <c r="C7" s="51" t="n"/>
      <c r="D7" s="51" t="n"/>
      <c r="E7" s="54" t="inlineStr">
        <is>
          <t>Capital Goods</t>
        </is>
      </c>
      <c r="F7" s="55" t="n">
        <v>0.1113</v>
      </c>
    </row>
    <row r="8" ht="13" customHeight="1">
      <c r="A8" s="54" t="inlineStr">
        <is>
          <t>HDFC Bank Limited</t>
        </is>
      </c>
      <c r="B8" s="55" t="n">
        <v>0.0289</v>
      </c>
      <c r="C8" s="51" t="n"/>
      <c r="D8" s="51" t="n"/>
      <c r="E8" s="54" t="inlineStr">
        <is>
          <t>Consumer Services</t>
        </is>
      </c>
      <c r="F8" s="55" t="n">
        <v>0.077</v>
      </c>
    </row>
    <row r="9" ht="13" customHeight="1">
      <c r="A9" s="54" t="inlineStr">
        <is>
          <t>Cholamandalam Investment and Finance Company Ltd</t>
        </is>
      </c>
      <c r="B9" s="55" t="n">
        <v>0.028</v>
      </c>
      <c r="C9" s="51" t="n"/>
      <c r="D9" s="51" t="n"/>
      <c r="E9" s="54" t="inlineStr">
        <is>
          <t>Information Technology</t>
        </is>
      </c>
      <c r="F9" s="55" t="n">
        <v>0.07240000000000001</v>
      </c>
    </row>
    <row r="10" ht="13" customHeight="1">
      <c r="A10" s="54" t="inlineStr">
        <is>
          <t>BSE Limited</t>
        </is>
      </c>
      <c r="B10" s="55" t="n">
        <v>0.0278</v>
      </c>
      <c r="C10" s="51" t="n"/>
      <c r="D10" s="51" t="n"/>
      <c r="E10" s="54" t="inlineStr">
        <is>
          <t>Automobile and Auto Components</t>
        </is>
      </c>
      <c r="F10" s="55" t="n">
        <v>0.0707</v>
      </c>
    </row>
    <row r="11" ht="13" customHeight="1">
      <c r="A11" s="54" t="inlineStr">
        <is>
          <t>Sai Life Sciences Limited</t>
        </is>
      </c>
      <c r="B11" s="55" t="n">
        <v>0.0272</v>
      </c>
      <c r="C11" s="51" t="n"/>
      <c r="D11" s="51" t="n"/>
      <c r="E11" s="54" t="inlineStr">
        <is>
          <t>Consumer Durables</t>
        </is>
      </c>
      <c r="F11" s="55" t="n">
        <v>0.0609</v>
      </c>
    </row>
    <row r="12" ht="13" customHeight="1">
      <c r="A12" s="54" t="inlineStr">
        <is>
          <t>Max Healthcare Institute Limited</t>
        </is>
      </c>
      <c r="B12" s="55" t="n">
        <v>0.0257</v>
      </c>
      <c r="C12" s="51" t="n"/>
      <c r="D12" s="51" t="n"/>
      <c r="E12" s="54" t="inlineStr">
        <is>
          <t>Services</t>
        </is>
      </c>
      <c r="F12" s="55" t="n">
        <v>0.0478</v>
      </c>
    </row>
    <row r="13" ht="13" customHeight="1">
      <c r="A13" s="54" t="inlineStr">
        <is>
          <t>Titan Company Limited</t>
        </is>
      </c>
      <c r="B13" s="55" t="n">
        <v>0.0253</v>
      </c>
      <c r="C13" s="51" t="n"/>
      <c r="D13" s="51" t="n"/>
      <c r="E13" s="54" t="inlineStr">
        <is>
          <t>Construction</t>
        </is>
      </c>
      <c r="F13" s="55" t="n">
        <v>0.0455</v>
      </c>
    </row>
    <row r="14" ht="13" customHeight="1">
      <c r="A14" s="54" t="inlineStr">
        <is>
          <t>Bajaj Finance Limited</t>
        </is>
      </c>
      <c r="B14" s="55" t="n">
        <v>0.0241</v>
      </c>
      <c r="C14" s="51" t="n"/>
      <c r="D14" s="51" t="n"/>
      <c r="E14" s="54" t="inlineStr">
        <is>
          <t>Realty</t>
        </is>
      </c>
      <c r="F14" s="55" t="n">
        <v>0.0373</v>
      </c>
    </row>
    <row r="15" ht="13" customHeight="1">
      <c r="A15" s="51" t="n"/>
      <c r="B15" s="51" t="n"/>
      <c r="C15" s="51" t="n"/>
      <c r="D15" s="51" t="n"/>
      <c r="E15" s="54" t="inlineStr">
        <is>
          <t>Telecommunication</t>
        </is>
      </c>
      <c r="F15" s="55" t="n">
        <v>0.0166</v>
      </c>
    </row>
    <row r="16" ht="13" customHeight="1">
      <c r="A16" s="51" t="n"/>
      <c r="B16" s="51" t="n"/>
      <c r="C16" s="51" t="n"/>
      <c r="D16" s="51" t="n"/>
      <c r="E16" s="54" t="inlineStr">
        <is>
          <t>Others</t>
        </is>
      </c>
      <c r="F16" s="55" t="n">
        <v>0.0152</v>
      </c>
    </row>
    <row r="17" ht="13" customHeight="1">
      <c r="A17" s="51" t="n"/>
      <c r="B17" s="51" t="n"/>
      <c r="C17" s="51" t="n"/>
      <c r="D17" s="51" t="n"/>
      <c r="E17" s="54" t="inlineStr">
        <is>
          <t>Construction Materials</t>
        </is>
      </c>
      <c r="F17" s="55" t="n">
        <v>0.0134</v>
      </c>
    </row>
    <row r="18" ht="13" customHeight="1">
      <c r="A18" s="51" t="n"/>
      <c r="B18" s="51" t="n"/>
      <c r="C18" s="51" t="n"/>
      <c r="D18" s="51" t="n"/>
      <c r="E18" s="54" t="inlineStr">
        <is>
          <t>Cash &amp; Cash Equivalent:</t>
        </is>
      </c>
      <c r="F18" s="55" t="n">
        <v>0</v>
      </c>
    </row>
    <row r="19" ht="13" customHeight="1">
      <c r="A19" s="51" t="n"/>
      <c r="B19" s="51" t="n"/>
      <c r="C19" s="51" t="n"/>
      <c r="D19" s="51" t="n"/>
      <c r="E19" s="52" t="inlineStr">
        <is>
          <t>Grand Total</t>
        </is>
      </c>
      <c r="F19" s="56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2026-06-10T05:27:34Z</dcterms:created>
  <dcterms:modified xsi:type="dcterms:W3CDTF">2026-06-10T05:27:34Z</dcterms:modified>
</cp:coreProperties>
</file>