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7DE0F9D-B9E4-4523-8A5E-99FC699E52A1}" xr6:coauthVersionLast="47" xr6:coauthVersionMax="47" xr10:uidLastSave="{00000000-0000-0000-0000-000000000000}"/>
  <bookViews>
    <workbookView xWindow="-120" yWindow="-120" windowWidth="29040" windowHeight="15720" xr2:uid="{B61701D6-BB0C-4BF8-BE6F-7904FFB5370C}"/>
  </bookViews>
  <sheets>
    <sheet name="Flexi Cap" sheetId="1" r:id="rId1"/>
    <sheet name="IFCF" sheetId="2" r:id="rId2"/>
  </sheets>
  <definedNames>
    <definedName name="_xlnm._FilterDatabase" localSheetId="0" hidden="1">'Flexi Cap'!$B$5:$H$101</definedName>
    <definedName name="JR_PAGE_ANCHOR_0_20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F86" i="1"/>
</calcChain>
</file>

<file path=xl/sharedStrings.xml><?xml version="1.0" encoding="utf-8"?>
<sst xmlns="http://schemas.openxmlformats.org/spreadsheetml/2006/main" count="328" uniqueCount="265">
  <si>
    <t>IFCF</t>
  </si>
  <si>
    <t>INVESCO MUTUAL FUND</t>
  </si>
  <si>
    <t>Monthly Portfolio Statement as on August 31, 2025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</si>
  <si>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</si>
  <si>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</si>
  <si>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</si>
  <si>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</si>
  <si>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</si>
  <si>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</si>
  <si>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</si>
  <si>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</si>
  <si>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</si>
  <si>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</si>
  <si>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</si>
  <si>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</si>
  <si>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</si>
  <si>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</si>
  <si>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</si>
  <si>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</si>
  <si>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</si>
  <si>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</si>
  <si>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</si>
  <si>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</si>
  <si>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</si>
  <si>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</si>
  <si>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</si>
  <si>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</si>
  <si>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</si>
  <si>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</si>
  <si>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</si>
  <si>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</si>
  <si>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</si>
  <si>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</si>
  <si>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</si>
  <si>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</si>
  <si>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</si>
  <si>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</si>
  <si>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</si>
  <si>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Automobiles</t>
  </si>
  <si>
    <t>CHOL02</t>
  </si>
  <si>
    <t>Cholamandalam Investment and Finance Company Limited</t>
  </si>
  <si>
    <t>INE121A01024</t>
  </si>
  <si>
    <t>Finance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</si>
  <si>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</si>
  <si>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</si>
  <si>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</si>
  <si>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</si>
  <si>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</si>
  <si>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</si>
  <si>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</si>
  <si>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</si>
  <si>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</si>
  <si>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</si>
  <si>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</si>
  <si>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BAFL03</t>
  </si>
  <si>
    <t>Bajaj Finance Ltd</t>
  </si>
  <si>
    <t>INE296A01032</t>
  </si>
  <si>
    <t>NITL02</t>
  </si>
  <si>
    <t>Coforge Limited</t>
  </si>
  <si>
    <t>INE591G01025</t>
  </si>
  <si>
    <t>IT - Software</t>
  </si>
  <si>
    <t>JKCE01</t>
  </si>
  <si>
    <t>JK Cement Limited</t>
  </si>
  <si>
    <t>INE823G01014</t>
  </si>
  <si>
    <t>Cement &amp; Cement Products</t>
  </si>
  <si>
    <t>SAPH01</t>
  </si>
  <si>
    <t>Sai Life Sciences Limited</t>
  </si>
  <si>
    <t>INE570L01029</t>
  </si>
  <si>
    <t>Pharmaceuticals &amp; Biotechnology</t>
  </si>
  <si>
    <t>HDAM01</t>
  </si>
  <si>
    <t>HDFC Asset Management Company Limited</t>
  </si>
  <si>
    <t>INE127D01025</t>
  </si>
  <si>
    <t>Capital Markets</t>
  </si>
  <si>
    <t>BTVL03</t>
  </si>
  <si>
    <t>Bharti Airtel Ltd Partly Paid 1.25 FV</t>
  </si>
  <si>
    <t>IN9397D01014</t>
  </si>
  <si>
    <t>Telecom - Services</t>
  </si>
  <si>
    <t>BSEL02</t>
  </si>
  <si>
    <t>BSE Limited</t>
  </si>
  <si>
    <t>INE118H01025</t>
  </si>
  <si>
    <t>MIIL02</t>
  </si>
  <si>
    <t>UNO Minda Limited</t>
  </si>
  <si>
    <t>INE405E01023</t>
  </si>
  <si>
    <t>Auto Components</t>
  </si>
  <si>
    <t>LTFL01</t>
  </si>
  <si>
    <t>L&amp;T Finance Limited</t>
  </si>
  <si>
    <t>INE498L01015</t>
  </si>
  <si>
    <t>GHPL01</t>
  </si>
  <si>
    <t>Global Health Limited</t>
  </si>
  <si>
    <t>INE474Q01031</t>
  </si>
  <si>
    <t>GLPH03</t>
  </si>
  <si>
    <t>Glenmark Pharmaceuticals Limited</t>
  </si>
  <si>
    <t>INE935A01035</t>
  </si>
  <si>
    <t>BLTE01</t>
  </si>
  <si>
    <t>Swiggy Limited</t>
  </si>
  <si>
    <t>INE00H001014</t>
  </si>
  <si>
    <t>APOL02</t>
  </si>
  <si>
    <t>Apollo Hospitals Enterprise Limited</t>
  </si>
  <si>
    <t>INE437A01024</t>
  </si>
  <si>
    <t>APLI04</t>
  </si>
  <si>
    <t>Hexaware Technologies Limited</t>
  </si>
  <si>
    <t>INE093A01041</t>
  </si>
  <si>
    <t>KIMS02</t>
  </si>
  <si>
    <t>Krishna Institute Of Medical Sciences Limited</t>
  </si>
  <si>
    <t>INE967H01025</t>
  </si>
  <si>
    <t>MCEX01</t>
  </si>
  <si>
    <t>Multi Commodity Exchange of India Limited</t>
  </si>
  <si>
    <t>INE745G01035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</si>
  <si>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</si>
  <si>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</si>
  <si>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</si>
  <si>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</si>
  <si>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</si>
  <si>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</si>
  <si>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</si>
  <si>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HALT02</t>
  </si>
  <si>
    <t>Hindustan Aeronautics Limited</t>
  </si>
  <si>
    <t>INE066F01020</t>
  </si>
  <si>
    <t>Aerospace &amp; Defense</t>
  </si>
  <si>
    <t>VMML01</t>
  </si>
  <si>
    <t>Vishal Mega Mart Limited</t>
  </si>
  <si>
    <t>INE01EA01019</t>
  </si>
  <si>
    <t>HYUN01</t>
  </si>
  <si>
    <t>Hyundai Motor India Ltd</t>
  </si>
  <si>
    <t>INE0V6F01027</t>
  </si>
  <si>
    <t>MAUD01</t>
  </si>
  <si>
    <t>Maruti Suzuki India Limited</t>
  </si>
  <si>
    <t>INE585B01010</t>
  </si>
  <si>
    <t>BHEL02</t>
  </si>
  <si>
    <t>Bharat Electronics Limited</t>
  </si>
  <si>
    <t>INE263A01024</t>
  </si>
  <si>
    <t>PSYL02</t>
  </si>
  <si>
    <t>Persistent Systems Ltd</t>
  </si>
  <si>
    <t>INE262H01021</t>
  </si>
  <si>
    <t>JUFL02</t>
  </si>
  <si>
    <t>Jubilant Foodworks Limited</t>
  </si>
  <si>
    <t>INE797F01020</t>
  </si>
  <si>
    <t>Leisure Services</t>
  </si>
  <si>
    <t>ABBP01</t>
  </si>
  <si>
    <t>Hitachi Energy India Limited</t>
  </si>
  <si>
    <t>INE07Y701011</t>
  </si>
  <si>
    <t>Electrical Equipment</t>
  </si>
  <si>
    <t>HFFC02</t>
  </si>
  <si>
    <t>Home First Finance Company India Limited</t>
  </si>
  <si>
    <t>INE481N01025</t>
  </si>
  <si>
    <t>PREP01</t>
  </si>
  <si>
    <t>Prestige Estates Projects Limited</t>
  </si>
  <si>
    <t>INE811K01011</t>
  </si>
  <si>
    <t>Realty</t>
  </si>
  <si>
    <t>KAYN01</t>
  </si>
  <si>
    <t>Kaynes Technology India Limited</t>
  </si>
  <si>
    <t>INE918Z01012</t>
  </si>
  <si>
    <t>Industrial Manufacturing</t>
  </si>
  <si>
    <t>SAFI02</t>
  </si>
  <si>
    <t>Safari Industries (India) Limited</t>
  </si>
  <si>
    <t>INE429E01023</t>
  </si>
  <si>
    <t>TIIN01</t>
  </si>
  <si>
    <t>Timken India Limited</t>
  </si>
  <si>
    <t>INE325A01013</t>
  </si>
  <si>
    <t>Industrial Products</t>
  </si>
  <si>
    <t>BLUS03</t>
  </si>
  <si>
    <t>Blue Star Limited</t>
  </si>
  <si>
    <t>INE472A01039</t>
  </si>
  <si>
    <t>KEII02</t>
  </si>
  <si>
    <t>KEI Industries Limited</t>
  </si>
  <si>
    <t>INE878B01027</t>
  </si>
  <si>
    <t>DRAH01</t>
  </si>
  <si>
    <t>Dr Agarwals Health Care Limited</t>
  </si>
  <si>
    <t>INE943P01029</t>
  </si>
  <si>
    <t>VNBL03</t>
  </si>
  <si>
    <t>Varun Beverages Ltd</t>
  </si>
  <si>
    <t>INE200M01039</t>
  </si>
  <si>
    <t>Beverages</t>
  </si>
  <si>
    <t>HDBF01</t>
  </si>
  <si>
    <t>HDB Financial Services Limited</t>
  </si>
  <si>
    <t>INE756I01012</t>
  </si>
  <si>
    <t>BWIN01</t>
  </si>
  <si>
    <t>Bansal Wire Industries Limited</t>
  </si>
  <si>
    <t>INE0B9K01025</t>
  </si>
  <si>
    <t>AWFI01</t>
  </si>
  <si>
    <t>Awfis Space Solutions Limited</t>
  </si>
  <si>
    <t>INE108V01019</t>
  </si>
  <si>
    <t>Commercial Services &amp; Supplies</t>
  </si>
  <si>
    <t>MEST01</t>
  </si>
  <si>
    <t>Max Estates Limited</t>
  </si>
  <si>
    <t>INE03EI01018</t>
  </si>
  <si>
    <t>ETHO01</t>
  </si>
  <si>
    <t>Ethos Ltd.</t>
  </si>
  <si>
    <t>INE04TZ01018</t>
  </si>
  <si>
    <t>SOSO03</t>
  </si>
  <si>
    <t>Sonata Software Limited</t>
  </si>
  <si>
    <t>INE269A01021</t>
  </si>
  <si>
    <t>CONB01</t>
  </si>
  <si>
    <t>Concord Biotech Limited</t>
  </si>
  <si>
    <t>INE338H01029</t>
  </si>
  <si>
    <t>MEBR01</t>
  </si>
  <si>
    <t>Metro Brands Limited</t>
  </si>
  <si>
    <t>INE317I01021</t>
  </si>
  <si>
    <t>SUVP01</t>
  </si>
  <si>
    <t>Cohance Lifesciences Limited</t>
  </si>
  <si>
    <t>INE03QK01018</t>
  </si>
  <si>
    <t>FUJI02</t>
  </si>
  <si>
    <t>Zensar Technologies Limited</t>
  </si>
  <si>
    <t>INE520A01027</t>
  </si>
  <si>
    <t>SBFC01</t>
  </si>
  <si>
    <t>SBFC Finance Limited</t>
  </si>
  <si>
    <t>INE423Y01016</t>
  </si>
  <si>
    <t>Sub Total</t>
  </si>
  <si>
    <t>(b) Unlisted</t>
  </si>
  <si>
    <t>Nil</t>
  </si>
  <si>
    <t>Total</t>
  </si>
  <si>
    <t>InvITs Instruments
(a) Listed / awaiting listing on Stock Exchange</t>
  </si>
  <si>
    <t>(a) Listed / awaiting listing on Stock Exchange</t>
  </si>
  <si>
    <t>GOI5228</t>
  </si>
  <si>
    <t>Cube Highways Trust- InvIT Fund</t>
  </si>
  <si>
    <t>INE0NR623014</t>
  </si>
  <si>
    <t>Transport Infrastructure</t>
  </si>
  <si>
    <t>OPAL47</t>
  </si>
  <si>
    <t>CENT241</t>
  </si>
  <si>
    <t>Money Market Instruments</t>
  </si>
  <si>
    <t>TREPS / Reverse Repo</t>
  </si>
  <si>
    <t>TRP_010925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</si>
  <si>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</si>
  <si>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</si>
  <si>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</si>
  <si>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</si>
  <si>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</si>
  <si>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</si>
  <si>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</si>
  <si>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</si>
  <si>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</si>
  <si>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</si>
  <si>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</si>
  <si>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</si>
  <si>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</si>
  <si>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</si>
  <si>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</si>
  <si>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</si>
  <si>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</si>
  <si>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</si>
  <si>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</si>
  <si>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</si>
  <si>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</si>
  <si>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</si>
  <si>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</si>
  <si>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</si>
  <si>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</si>
  <si>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</si>
  <si>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</si>
  <si>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</si>
  <si>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</si>
  <si>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</si>
  <si>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Clearing Corporation of India Ltd</t>
  </si>
  <si>
    <t>Healthcare</t>
  </si>
  <si>
    <t>Consumer Services</t>
  </si>
  <si>
    <t>Automobile and Auto Components</t>
  </si>
  <si>
    <t>Capital Goods</t>
  </si>
  <si>
    <t>Information Technology</t>
  </si>
  <si>
    <t>Services</t>
  </si>
  <si>
    <t>Cholamandalam Investment and Finance Company Ltd</t>
  </si>
  <si>
    <t>Construction Materials</t>
  </si>
  <si>
    <t>Telecommunication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</si>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</sst>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#,##0.000;\(#,##0.000\)"/>
    <numFmt numFmtId="169" formatCode="_-* #,##0.00_-;\-* #,##0.0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166" fontId="5" fillId="0" borderId="15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left" vertical="top" wrapText="1"/>
    </xf>
    <xf numFmtId="166" fontId="6" fillId="0" borderId="18" xfId="0" applyNumberFormat="1" applyFont="1" applyBorder="1" applyAlignment="1">
      <alignment horizontal="right" vertical="top" wrapText="1"/>
    </xf>
    <xf numFmtId="168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166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164" fontId="6" fillId="0" borderId="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6" fillId="0" borderId="20" xfId="0" applyNumberFormat="1" applyFont="1" applyBorder="1" applyAlignment="1">
      <alignment horizontal="right" vertical="top" wrapText="1"/>
    </xf>
    <xf numFmtId="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169" fontId="0" fillId="0" borderId="0" xfId="0" applyNumberFormat="1" applyAlignment="1" applyProtection="1">
      <alignment wrapText="1"/>
      <protection locked="0"/>
    </xf>
    <xf numFmtId="164" fontId="0" fillId="0" borderId="0" xfId="1" applyFont="1" applyFill="1" applyBorder="1" applyAlignment="1" applyProtection="1">
      <alignment wrapText="1"/>
      <protection locked="0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167" fontId="8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FC1228E4-A32E-4A6A-93C2-29CB044C1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104</xdr:row>
      <xdr:rowOff>55282</xdr:rowOff>
    </xdr:from>
    <xdr:to>
      <xdr:col>1</xdr:col>
      <xdr:colOff>2860862</xdr:colOff>
      <xdr:row>114</xdr:row>
      <xdr:rowOff>92634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681DE-098B-4A62-BC07-A9EA3F3A97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8400432"/>
          <a:ext cx="2857500" cy="1878852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104</xdr:row>
      <xdr:rowOff>55282</xdr:rowOff>
    </xdr:from>
    <xdr:to>
      <xdr:col>7</xdr:col>
      <xdr:colOff>995083</xdr:colOff>
      <xdr:row>114</xdr:row>
      <xdr:rowOff>92634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965FC-31BC-4358-83D9-5B466286B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8400432"/>
          <a:ext cx="2859742" cy="1878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7014-CEDF-4815-AEF5-478CDE83B576}">
  <sheetPr codeName="Sheet7">
    <outlinePr summaryBelow="0"/>
  </sheetPr>
  <dimension ref="A1:J103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.100000000000001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72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2.95" customHeight="1" thickBot="1">
      <c r="A4" s="2"/>
      <c r="B4" s="47"/>
      <c r="C4" s="47"/>
      <c r="D4" s="47"/>
      <c r="E4" s="47"/>
      <c r="F4" s="47"/>
      <c r="G4" s="47"/>
      <c r="H4" s="4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1715267</v>
      </c>
      <c r="F8" s="14">
        <v>23976</v>
      </c>
      <c r="G8" s="14">
        <v>6.54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1725246</v>
      </c>
      <c r="F9" s="14">
        <v>16417.439999999999</v>
      </c>
      <c r="G9" s="14">
        <v>4.4800000000000004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279494</v>
      </c>
      <c r="F10" s="14">
        <v>14807.59</v>
      </c>
      <c r="G10" s="14">
        <v>4.04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4708101</v>
      </c>
      <c r="F11" s="14">
        <v>14781.08</v>
      </c>
      <c r="G11" s="14">
        <v>4.03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243970</v>
      </c>
      <c r="F12" s="14">
        <v>13774.55</v>
      </c>
      <c r="G12" s="14">
        <v>3.76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310070</v>
      </c>
      <c r="F13" s="14">
        <v>11165.62</v>
      </c>
      <c r="G13" s="14">
        <v>3.05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313288</v>
      </c>
      <c r="F14" s="14">
        <v>10265.19</v>
      </c>
      <c r="G14" s="14">
        <v>2.8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693825</v>
      </c>
      <c r="F15" s="14">
        <v>9857.17</v>
      </c>
      <c r="G15" s="14">
        <v>2.69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55577</v>
      </c>
      <c r="F16" s="14">
        <v>9275.7999999999993</v>
      </c>
      <c r="G16" s="14">
        <v>2.5299999999999998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780948</v>
      </c>
      <c r="F17" s="14">
        <v>9014.48</v>
      </c>
      <c r="G17" s="14">
        <v>2.46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38</v>
      </c>
      <c r="E18" s="13">
        <v>274996</v>
      </c>
      <c r="F18" s="14">
        <v>8798.5</v>
      </c>
      <c r="G18" s="14">
        <v>2.4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42</v>
      </c>
      <c r="E19" s="13">
        <v>939999</v>
      </c>
      <c r="F19" s="14">
        <v>8251.7800000000007</v>
      </c>
      <c r="G19" s="14">
        <v>2.25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431978</v>
      </c>
      <c r="F20" s="14">
        <v>7448.6</v>
      </c>
      <c r="G20" s="14">
        <v>2.0299999999999998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103181</v>
      </c>
      <c r="F21" s="14">
        <v>7167.47</v>
      </c>
      <c r="G21" s="14">
        <v>1.95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857651</v>
      </c>
      <c r="F22" s="14">
        <v>7073.05</v>
      </c>
      <c r="G22" s="14">
        <v>1.93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125703</v>
      </c>
      <c r="F23" s="14">
        <v>6867.15</v>
      </c>
      <c r="G23" s="14">
        <v>1.87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449483</v>
      </c>
      <c r="F24" s="14">
        <v>6494.8</v>
      </c>
      <c r="G24" s="14">
        <v>1.77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72</v>
      </c>
      <c r="E25" s="13">
        <v>293806</v>
      </c>
      <c r="F25" s="14">
        <v>6158.76</v>
      </c>
      <c r="G25" s="14">
        <v>1.68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462790</v>
      </c>
      <c r="F26" s="14">
        <v>5919.08</v>
      </c>
      <c r="G26" s="14">
        <v>1.61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42</v>
      </c>
      <c r="E27" s="13">
        <v>2651770</v>
      </c>
      <c r="F27" s="14">
        <v>5758.58</v>
      </c>
      <c r="G27" s="14">
        <v>1.57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50</v>
      </c>
      <c r="E28" s="13">
        <v>408290</v>
      </c>
      <c r="F28" s="14">
        <v>5609.9</v>
      </c>
      <c r="G28" s="14">
        <v>1.53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68</v>
      </c>
      <c r="E29" s="13">
        <v>285596</v>
      </c>
      <c r="F29" s="14">
        <v>5494.58</v>
      </c>
      <c r="G29" s="14">
        <v>1.5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23</v>
      </c>
      <c r="E30" s="13">
        <v>1340172</v>
      </c>
      <c r="F30" s="14">
        <v>5491.35</v>
      </c>
      <c r="G30" s="14">
        <v>1.5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50</v>
      </c>
      <c r="E31" s="13">
        <v>72118</v>
      </c>
      <c r="F31" s="14">
        <v>5488.18</v>
      </c>
      <c r="G31" s="14">
        <v>1.5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60</v>
      </c>
      <c r="E32" s="13">
        <v>722220</v>
      </c>
      <c r="F32" s="14">
        <v>5472.62</v>
      </c>
      <c r="G32" s="14">
        <v>1.49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50</v>
      </c>
      <c r="E33" s="13">
        <v>744807</v>
      </c>
      <c r="F33" s="14">
        <v>5391.66</v>
      </c>
      <c r="G33" s="14">
        <v>1.47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72</v>
      </c>
      <c r="E34" s="13">
        <v>72784</v>
      </c>
      <c r="F34" s="14">
        <v>5378.74</v>
      </c>
      <c r="G34" s="14">
        <v>1.47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295143</v>
      </c>
      <c r="F35" s="14">
        <v>5226.3900000000003</v>
      </c>
      <c r="G35" s="14">
        <v>1.43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68</v>
      </c>
      <c r="E36" s="13">
        <v>209025</v>
      </c>
      <c r="F36" s="14">
        <v>5165.84</v>
      </c>
      <c r="G36" s="14">
        <v>1.41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116286</v>
      </c>
      <c r="F37" s="14">
        <v>5038.21</v>
      </c>
      <c r="G37" s="14">
        <v>1.37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23</v>
      </c>
      <c r="E38" s="13">
        <v>3160865</v>
      </c>
      <c r="F38" s="14">
        <v>4722.6499999999996</v>
      </c>
      <c r="G38" s="14">
        <v>1.29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38</v>
      </c>
      <c r="E39" s="13">
        <v>190802</v>
      </c>
      <c r="F39" s="14">
        <v>4694.49</v>
      </c>
      <c r="G39" s="14">
        <v>1.28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38</v>
      </c>
      <c r="E40" s="13">
        <v>31659</v>
      </c>
      <c r="F40" s="14">
        <v>4682.68</v>
      </c>
      <c r="G40" s="14">
        <v>1.28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118</v>
      </c>
      <c r="E41" s="13">
        <v>1248015</v>
      </c>
      <c r="F41" s="14">
        <v>4610.17</v>
      </c>
      <c r="G41" s="14">
        <v>1.26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60</v>
      </c>
      <c r="E42" s="13">
        <v>82468</v>
      </c>
      <c r="F42" s="14">
        <v>4375.34</v>
      </c>
      <c r="G42" s="14">
        <v>1.19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695042</v>
      </c>
      <c r="F43" s="14">
        <v>4363.13</v>
      </c>
      <c r="G43" s="14">
        <v>1.19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22758</v>
      </c>
      <c r="F44" s="14">
        <v>4349.05</v>
      </c>
      <c r="G44" s="14">
        <v>1.19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42</v>
      </c>
      <c r="E45" s="13">
        <v>337386</v>
      </c>
      <c r="F45" s="14">
        <v>4111.3900000000003</v>
      </c>
      <c r="G45" s="14">
        <v>1.1200000000000001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261772</v>
      </c>
      <c r="F46" s="14">
        <v>4088.36</v>
      </c>
      <c r="G46" s="14">
        <v>1.1200000000000001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63142</v>
      </c>
      <c r="F47" s="14">
        <v>3866.18</v>
      </c>
      <c r="G47" s="14">
        <v>1.05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46</v>
      </c>
      <c r="E48" s="13">
        <v>172113</v>
      </c>
      <c r="F48" s="14">
        <v>3688.55</v>
      </c>
      <c r="G48" s="14">
        <v>1.01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125585</v>
      </c>
      <c r="F49" s="14">
        <v>3627.15</v>
      </c>
      <c r="G49" s="14">
        <v>0.99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46</v>
      </c>
      <c r="E50" s="13">
        <v>191453</v>
      </c>
      <c r="F50" s="14">
        <v>3602.57</v>
      </c>
      <c r="G50" s="14">
        <v>0.98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159</v>
      </c>
      <c r="E51" s="13">
        <v>93446</v>
      </c>
      <c r="F51" s="14">
        <v>3560.85</v>
      </c>
      <c r="G51" s="14">
        <v>0.97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50</v>
      </c>
      <c r="E52" s="13">
        <v>796065</v>
      </c>
      <c r="F52" s="14">
        <v>3442.58</v>
      </c>
      <c r="G52" s="14">
        <v>0.94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704839</v>
      </c>
      <c r="F53" s="14">
        <v>3433.62</v>
      </c>
      <c r="G53" s="14">
        <v>0.94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42</v>
      </c>
      <c r="E54" s="13">
        <v>423345</v>
      </c>
      <c r="F54" s="14">
        <v>3294.47</v>
      </c>
      <c r="G54" s="14">
        <v>0.9</v>
      </c>
      <c r="H54" s="15"/>
    </row>
    <row r="55" spans="1:8" ht="12.95" customHeight="1">
      <c r="A55" s="1" t="s">
        <v>176</v>
      </c>
      <c r="B55" s="11" t="s">
        <v>177</v>
      </c>
      <c r="C55" s="12" t="s">
        <v>178</v>
      </c>
      <c r="D55" s="8" t="s">
        <v>159</v>
      </c>
      <c r="E55" s="13">
        <v>909201</v>
      </c>
      <c r="F55" s="14">
        <v>3242.21</v>
      </c>
      <c r="G55" s="14">
        <v>0.88</v>
      </c>
      <c r="H55" s="15"/>
    </row>
    <row r="56" spans="1:8" ht="12.9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514712</v>
      </c>
      <c r="F56" s="14">
        <v>2916.62</v>
      </c>
      <c r="G56" s="14">
        <v>0.8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148</v>
      </c>
      <c r="E57" s="13">
        <v>631630</v>
      </c>
      <c r="F57" s="14">
        <v>2802.23</v>
      </c>
      <c r="G57" s="14">
        <v>0.76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46</v>
      </c>
      <c r="E58" s="13">
        <v>122543</v>
      </c>
      <c r="F58" s="14">
        <v>2771.8</v>
      </c>
      <c r="G58" s="14">
        <v>0.76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60</v>
      </c>
      <c r="E59" s="13">
        <v>746731</v>
      </c>
      <c r="F59" s="14">
        <v>2619.91</v>
      </c>
      <c r="G59" s="14">
        <v>0.71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68</v>
      </c>
      <c r="E60" s="13">
        <v>150109</v>
      </c>
      <c r="F60" s="14">
        <v>2524.38</v>
      </c>
      <c r="G60" s="14">
        <v>0.69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46</v>
      </c>
      <c r="E61" s="13">
        <v>191550</v>
      </c>
      <c r="F61" s="14">
        <v>2185.1999999999998</v>
      </c>
      <c r="G61" s="14">
        <v>0.6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68</v>
      </c>
      <c r="E62" s="13">
        <v>241290</v>
      </c>
      <c r="F62" s="14">
        <v>2124.8000000000002</v>
      </c>
      <c r="G62" s="14">
        <v>0.57999999999999996</v>
      </c>
      <c r="H62" s="15"/>
    </row>
    <row r="63" spans="1:8" ht="12.95" customHeight="1">
      <c r="A63" s="1" t="s">
        <v>201</v>
      </c>
      <c r="B63" s="11" t="s">
        <v>202</v>
      </c>
      <c r="C63" s="12" t="s">
        <v>203</v>
      </c>
      <c r="D63" s="8" t="s">
        <v>60</v>
      </c>
      <c r="E63" s="13">
        <v>257852</v>
      </c>
      <c r="F63" s="14">
        <v>1980.56</v>
      </c>
      <c r="G63" s="14">
        <v>0.54</v>
      </c>
      <c r="H63" s="15"/>
    </row>
    <row r="64" spans="1:8" ht="12.95" customHeight="1">
      <c r="A64" s="1" t="s">
        <v>204</v>
      </c>
      <c r="B64" s="11" t="s">
        <v>205</v>
      </c>
      <c r="C64" s="12" t="s">
        <v>206</v>
      </c>
      <c r="D64" s="8" t="s">
        <v>42</v>
      </c>
      <c r="E64" s="13">
        <v>1390402</v>
      </c>
      <c r="F64" s="14">
        <v>1468.26</v>
      </c>
      <c r="G64" s="14">
        <v>0.4</v>
      </c>
      <c r="H64" s="15"/>
    </row>
    <row r="65" spans="1:10" ht="12.95" customHeight="1">
      <c r="A65" s="2"/>
      <c r="B65" s="7" t="s">
        <v>207</v>
      </c>
      <c r="C65" s="8"/>
      <c r="D65" s="8"/>
      <c r="E65" s="8"/>
      <c r="F65" s="16">
        <v>350179.36</v>
      </c>
      <c r="G65" s="16">
        <v>95.53</v>
      </c>
      <c r="H65" s="17"/>
    </row>
    <row r="66" spans="1:10" ht="12.95" customHeight="1">
      <c r="A66" s="2"/>
      <c r="B66" s="18" t="s">
        <v>208</v>
      </c>
      <c r="C66" s="19"/>
      <c r="D66" s="19"/>
      <c r="E66" s="20"/>
      <c r="F66" s="21" t="s">
        <v>209</v>
      </c>
      <c r="G66" s="21" t="s">
        <v>209</v>
      </c>
      <c r="H66" s="22" t="s">
        <v>209</v>
      </c>
    </row>
    <row r="67" spans="1:10" ht="12.95" customHeight="1">
      <c r="A67" s="2"/>
      <c r="B67" s="23" t="s">
        <v>207</v>
      </c>
      <c r="C67" s="24"/>
      <c r="D67" s="24"/>
      <c r="E67" s="21"/>
      <c r="F67" s="21" t="s">
        <v>209</v>
      </c>
      <c r="G67" s="21" t="s">
        <v>209</v>
      </c>
      <c r="H67" s="22" t="s">
        <v>209</v>
      </c>
    </row>
    <row r="68" spans="1:10" ht="12.95" customHeight="1">
      <c r="A68" s="2"/>
      <c r="B68" s="18" t="s">
        <v>210</v>
      </c>
      <c r="C68" s="19"/>
      <c r="D68" s="19"/>
      <c r="E68" s="25"/>
      <c r="F68" s="16">
        <v>350179.36</v>
      </c>
      <c r="G68" s="16">
        <v>95.53</v>
      </c>
      <c r="H68" s="22"/>
    </row>
    <row r="69" spans="1:10" ht="12.95" customHeight="1">
      <c r="A69" s="2"/>
      <c r="B69" s="7" t="s">
        <v>211</v>
      </c>
      <c r="C69" s="10"/>
      <c r="D69" s="10"/>
      <c r="E69" s="8"/>
      <c r="F69" s="8"/>
      <c r="G69" s="8"/>
      <c r="H69" s="9"/>
    </row>
    <row r="70" spans="1:10" ht="12.95" customHeight="1">
      <c r="A70" s="2"/>
      <c r="B70" s="7" t="s">
        <v>212</v>
      </c>
      <c r="C70" s="10"/>
      <c r="D70" s="10"/>
      <c r="E70" s="8"/>
      <c r="F70" s="8"/>
      <c r="G70" s="8"/>
      <c r="H70" s="9"/>
    </row>
    <row r="71" spans="1:10" ht="12.95" customHeight="1">
      <c r="A71" s="1" t="s">
        <v>213</v>
      </c>
      <c r="B71" s="11" t="s">
        <v>214</v>
      </c>
      <c r="C71" s="26" t="s">
        <v>215</v>
      </c>
      <c r="D71" s="8" t="s">
        <v>216</v>
      </c>
      <c r="E71" s="27">
        <v>1325000</v>
      </c>
      <c r="F71" s="14">
        <v>1749</v>
      </c>
      <c r="G71" s="14">
        <v>0.48</v>
      </c>
      <c r="H71" s="15"/>
      <c r="J71" s="28"/>
    </row>
    <row r="72" spans="1:10" ht="12.95" customHeight="1">
      <c r="A72" s="1" t="s">
        <v>217</v>
      </c>
      <c r="B72" s="23" t="s">
        <v>207</v>
      </c>
      <c r="C72" s="24"/>
      <c r="D72" s="24"/>
      <c r="E72" s="8"/>
      <c r="F72" s="16">
        <v>1749</v>
      </c>
      <c r="G72" s="16">
        <v>0.48</v>
      </c>
      <c r="H72" s="29"/>
    </row>
    <row r="73" spans="1:10" ht="12.95" customHeight="1">
      <c r="A73" s="1" t="s">
        <v>218</v>
      </c>
      <c r="B73" s="18" t="s">
        <v>210</v>
      </c>
      <c r="C73" s="19"/>
      <c r="D73" s="19"/>
      <c r="E73" s="30"/>
      <c r="F73" s="31">
        <v>1749</v>
      </c>
      <c r="G73" s="31">
        <v>0.48</v>
      </c>
      <c r="H73" s="29"/>
      <c r="J73" s="28"/>
    </row>
    <row r="74" spans="1:10" ht="12.95" customHeight="1">
      <c r="A74" s="2"/>
      <c r="B74" s="7" t="s">
        <v>219</v>
      </c>
      <c r="C74" s="8"/>
      <c r="D74" s="8"/>
      <c r="E74" s="8"/>
      <c r="F74" s="8"/>
      <c r="G74" s="8"/>
      <c r="H74" s="9"/>
    </row>
    <row r="75" spans="1:10" ht="12.95" customHeight="1">
      <c r="A75" s="2"/>
      <c r="B75" s="7" t="s">
        <v>220</v>
      </c>
      <c r="C75" s="10"/>
      <c r="D75" s="10"/>
      <c r="E75" s="8"/>
      <c r="F75" s="8"/>
      <c r="G75" s="8"/>
      <c r="H75" s="9"/>
    </row>
    <row r="76" spans="1:10" ht="12.95" customHeight="1">
      <c r="A76" s="1" t="s">
        <v>221</v>
      </c>
      <c r="B76" s="11" t="s">
        <v>222</v>
      </c>
      <c r="C76" s="12"/>
      <c r="D76" s="8"/>
      <c r="E76" s="13"/>
      <c r="F76" s="14">
        <v>18209.900000000001</v>
      </c>
      <c r="G76" s="14">
        <v>4.97</v>
      </c>
      <c r="H76" s="15">
        <v>5.3822618949999998E-2</v>
      </c>
    </row>
    <row r="77" spans="1:10" ht="12.95" customHeight="1">
      <c r="A77" s="2"/>
      <c r="B77" s="7" t="s">
        <v>207</v>
      </c>
      <c r="C77" s="8"/>
      <c r="D77" s="8"/>
      <c r="E77" s="8"/>
      <c r="F77" s="16">
        <v>18209.900000000001</v>
      </c>
      <c r="G77" s="16">
        <v>4.97</v>
      </c>
      <c r="H77" s="17"/>
    </row>
    <row r="78" spans="1:10" ht="12.95" customHeight="1">
      <c r="A78" s="2"/>
      <c r="B78" s="18" t="s">
        <v>210</v>
      </c>
      <c r="C78" s="19"/>
      <c r="D78" s="19"/>
      <c r="E78" s="25"/>
      <c r="F78" s="16">
        <v>18209.900000000001</v>
      </c>
      <c r="G78" s="16">
        <v>4.97</v>
      </c>
      <c r="H78" s="22"/>
    </row>
    <row r="79" spans="1:10" ht="12.95" customHeight="1">
      <c r="A79" s="2"/>
      <c r="B79" s="7" t="s">
        <v>223</v>
      </c>
      <c r="C79" s="8"/>
      <c r="D79" s="8"/>
      <c r="E79" s="8"/>
      <c r="F79" s="8"/>
      <c r="G79" s="8"/>
      <c r="H79" s="9"/>
    </row>
    <row r="80" spans="1:10" ht="12.95" customHeight="1">
      <c r="A80" s="2"/>
      <c r="B80" s="7" t="s">
        <v>224</v>
      </c>
      <c r="C80" s="10"/>
      <c r="D80" s="10"/>
      <c r="E80" s="8"/>
      <c r="F80" s="8"/>
      <c r="G80" s="8"/>
      <c r="H80" s="9"/>
    </row>
    <row r="81" spans="1:8" ht="12.95" customHeight="1">
      <c r="A81" s="1" t="s">
        <v>225</v>
      </c>
      <c r="B81" s="11" t="s">
        <v>226</v>
      </c>
      <c r="C81" s="12" t="s">
        <v>227</v>
      </c>
      <c r="D81" s="8"/>
      <c r="E81" s="32">
        <v>5.0000000000000001E-3</v>
      </c>
      <c r="F81" s="14">
        <v>0</v>
      </c>
      <c r="G81" s="33" t="s">
        <v>228</v>
      </c>
      <c r="H81" s="15"/>
    </row>
    <row r="82" spans="1:8" ht="12.95" customHeight="1">
      <c r="A82" s="2"/>
      <c r="B82" s="7" t="s">
        <v>207</v>
      </c>
      <c r="C82" s="8"/>
      <c r="D82" s="8"/>
      <c r="E82" s="8"/>
      <c r="F82" s="16">
        <v>0</v>
      </c>
      <c r="G82" s="34" t="s">
        <v>228</v>
      </c>
      <c r="H82" s="17"/>
    </row>
    <row r="83" spans="1:8" ht="12.95" customHeight="1">
      <c r="A83" s="2"/>
      <c r="B83" s="7" t="s">
        <v>229</v>
      </c>
      <c r="C83" s="8"/>
      <c r="D83" s="8"/>
      <c r="E83" s="8"/>
      <c r="F83" s="35"/>
      <c r="G83" s="36"/>
      <c r="H83" s="17"/>
    </row>
    <row r="84" spans="1:8" ht="12.95" customHeight="1">
      <c r="A84" s="1" t="s">
        <v>230</v>
      </c>
      <c r="B84" s="11" t="s">
        <v>36</v>
      </c>
      <c r="C84" s="12"/>
      <c r="D84" s="8" t="s">
        <v>38</v>
      </c>
      <c r="E84" s="13">
        <v>1037764</v>
      </c>
      <c r="F84" s="14">
        <v>103.78</v>
      </c>
      <c r="G84" s="14">
        <v>0.03</v>
      </c>
      <c r="H84" s="15"/>
    </row>
    <row r="85" spans="1:8" ht="12.95" customHeight="1">
      <c r="A85" s="2"/>
      <c r="B85" s="7" t="s">
        <v>207</v>
      </c>
      <c r="C85" s="8"/>
      <c r="D85" s="8"/>
      <c r="E85" s="8"/>
      <c r="F85" s="16">
        <v>103.78</v>
      </c>
      <c r="G85" s="16">
        <v>0.03</v>
      </c>
      <c r="H85" s="17"/>
    </row>
    <row r="86" spans="1:8" ht="12.95" customHeight="1">
      <c r="A86" s="2"/>
      <c r="B86" s="18" t="s">
        <v>210</v>
      </c>
      <c r="C86" s="19"/>
      <c r="D86" s="19"/>
      <c r="E86" s="25"/>
      <c r="F86" s="16">
        <f>F81+F85</f>
        <v>103.78</v>
      </c>
      <c r="G86" s="16">
        <f>G85</f>
        <v>0.03</v>
      </c>
      <c r="H86" s="22"/>
    </row>
    <row r="87" spans="1:8" ht="12.95" customHeight="1">
      <c r="A87" s="2"/>
      <c r="B87" s="18" t="s">
        <v>231</v>
      </c>
      <c r="C87" s="19"/>
      <c r="D87" s="19"/>
      <c r="E87" s="8"/>
      <c r="F87" s="37">
        <v>-3594.67</v>
      </c>
      <c r="G87" s="16">
        <v>-1.01</v>
      </c>
      <c r="H87" s="22"/>
    </row>
    <row r="88" spans="1:8" ht="12.95" customHeight="1" thickBot="1">
      <c r="A88" s="2"/>
      <c r="B88" s="38" t="s">
        <v>232</v>
      </c>
      <c r="C88" s="39"/>
      <c r="D88" s="39"/>
      <c r="E88" s="39"/>
      <c r="F88" s="40">
        <v>366647.37</v>
      </c>
      <c r="G88" s="41">
        <v>100</v>
      </c>
      <c r="H88" s="42"/>
    </row>
    <row r="89" spans="1:8" ht="12.95" customHeight="1">
      <c r="A89" s="2"/>
      <c r="B89" s="51"/>
      <c r="C89" s="51"/>
      <c r="D89" s="51"/>
      <c r="E89" s="51"/>
      <c r="F89" s="2"/>
      <c r="G89" s="2"/>
      <c r="H89" s="2"/>
    </row>
    <row r="90" spans="1:8" ht="12.95" customHeight="1">
      <c r="A90" s="2"/>
      <c r="B90" s="51"/>
      <c r="C90" s="51"/>
      <c r="D90" s="51"/>
      <c r="E90" s="51"/>
      <c r="F90" s="43"/>
      <c r="G90" s="43"/>
      <c r="H90" s="2"/>
    </row>
    <row r="91" spans="1:8" ht="12.95" customHeight="1">
      <c r="A91" s="2"/>
      <c r="B91" s="48" t="s">
        <v>233</v>
      </c>
      <c r="C91" s="48"/>
      <c r="D91" s="48"/>
      <c r="E91" s="48"/>
      <c r="F91" s="44"/>
      <c r="G91" s="45"/>
      <c r="H91" s="2"/>
    </row>
    <row r="92" spans="1:8" ht="12.95" customHeight="1">
      <c r="A92" s="2"/>
      <c r="B92" s="49" t="s">
        <v>234</v>
      </c>
      <c r="C92" s="50"/>
      <c r="D92" s="50"/>
      <c r="E92" s="50"/>
      <c r="F92" s="2"/>
      <c r="G92" s="2"/>
      <c r="H92" s="2"/>
    </row>
    <row r="93" spans="1:8" ht="12.95" customHeight="1">
      <c r="A93" s="2"/>
      <c r="B93" s="51" t="s">
        <v>235</v>
      </c>
      <c r="C93" s="51"/>
      <c r="D93" s="51"/>
      <c r="E93" s="51"/>
      <c r="F93" s="2"/>
      <c r="G93" s="2"/>
      <c r="H93" s="2"/>
    </row>
    <row r="94" spans="1:8" ht="12.95" customHeight="1">
      <c r="A94" s="2"/>
      <c r="B94" s="51"/>
      <c r="C94" s="51"/>
      <c r="D94" s="51"/>
      <c r="E94" s="51"/>
      <c r="F94" s="2"/>
      <c r="G94" s="2"/>
      <c r="H94" s="2"/>
    </row>
    <row r="95" spans="1:8" ht="12.95" customHeight="1">
      <c r="A95" s="2"/>
      <c r="B95" s="47"/>
      <c r="C95" s="47"/>
      <c r="D95" s="47"/>
      <c r="E95" s="47"/>
      <c r="F95" s="2"/>
      <c r="G95" s="2"/>
      <c r="H95" s="2"/>
    </row>
    <row r="96" spans="1:8" ht="12.95" customHeight="1">
      <c r="A96" s="2"/>
      <c r="B96" s="51" t="s">
        <v>236</v>
      </c>
      <c r="C96" s="51"/>
      <c r="D96" s="51"/>
      <c r="E96" s="51"/>
      <c r="F96" s="2"/>
      <c r="G96" s="2"/>
      <c r="H96" s="2"/>
    </row>
    <row r="97" spans="1:8" ht="12.95" customHeight="1">
      <c r="A97" s="2"/>
      <c r="B97" s="47" t="s">
        <v>237</v>
      </c>
      <c r="C97" s="47"/>
      <c r="D97" s="47"/>
      <c r="E97" s="47"/>
      <c r="F97" s="2"/>
      <c r="G97" s="2"/>
      <c r="H97" s="2"/>
    </row>
    <row r="98" spans="1:8" ht="12.95" customHeight="1">
      <c r="A98" s="2"/>
      <c r="B98" s="47" t="s">
        <v>238</v>
      </c>
      <c r="C98" s="47"/>
      <c r="D98" s="47"/>
      <c r="E98" s="47"/>
      <c r="F98" s="2"/>
      <c r="G98" s="2"/>
      <c r="H98" s="2"/>
    </row>
    <row r="99" spans="1:8" ht="12.95" customHeight="1">
      <c r="A99" s="2"/>
      <c r="B99" s="47" t="s">
        <v>239</v>
      </c>
      <c r="C99" s="47"/>
      <c r="D99" s="47"/>
      <c r="E99" s="47"/>
      <c r="F99" s="2"/>
      <c r="G99" s="2"/>
      <c r="H99" s="2"/>
    </row>
    <row r="100" spans="1:8" ht="12.95" customHeight="1">
      <c r="A100" s="2"/>
      <c r="B100" s="47" t="s">
        <v>240</v>
      </c>
      <c r="C100" s="47"/>
      <c r="D100" s="47"/>
      <c r="E100" s="47"/>
      <c r="F100" s="2"/>
      <c r="G100" s="2"/>
      <c r="H100" s="2"/>
    </row>
    <row r="101" spans="1:8" ht="12.95" customHeight="1">
      <c r="A101" s="2"/>
      <c r="B101" s="47" t="s">
        <v>241</v>
      </c>
      <c r="C101" s="47"/>
      <c r="D101" s="47"/>
      <c r="E101" s="47"/>
      <c r="F101" s="2"/>
      <c r="G101" s="2"/>
      <c r="H101" s="2"/>
    </row>
    <row r="102" spans="1:8">
      <c r="F102" s="46" t="s">
        <v>242</v>
      </c>
    </row>
    <row r="103" spans="1:8">
      <c r="B103" s="46" t="s">
        <v>243</v>
      </c>
      <c r="F103" s="46" t="s">
        <v>244</v>
      </c>
    </row>
  </sheetData>
  <mergeCells count="17">
    <mergeCell ref="B96:E96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77C9-0C0A-4370-BF90-E3E8DFBEB647}">
  <sheetPr codeName="Sheet8">
    <outlinePr summaryBelow="0"/>
  </sheetPr>
  <dimension ref="A1:F20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51" t="s">
        <v>245</v>
      </c>
      <c r="B1" s="51"/>
      <c r="C1" s="51"/>
      <c r="D1" s="53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54" t="s">
        <v>246</v>
      </c>
      <c r="B3" s="54"/>
      <c r="C3" s="2"/>
      <c r="D3" s="2"/>
      <c r="E3" s="54" t="s">
        <v>247</v>
      </c>
      <c r="F3" s="54"/>
    </row>
    <row r="4" spans="1:6" ht="12.95" customHeight="1">
      <c r="A4" s="55" t="s">
        <v>248</v>
      </c>
      <c r="B4" s="55" t="s">
        <v>9</v>
      </c>
      <c r="C4" s="2"/>
      <c r="D4" s="2"/>
      <c r="E4" s="55" t="s">
        <v>249</v>
      </c>
      <c r="F4" s="55" t="s">
        <v>250</v>
      </c>
    </row>
    <row r="5" spans="1:6" ht="12.95" customHeight="1">
      <c r="A5" s="19" t="s">
        <v>14</v>
      </c>
      <c r="B5" s="56">
        <v>6.54E-2</v>
      </c>
      <c r="C5" s="2"/>
      <c r="D5" s="2"/>
      <c r="E5" s="19" t="s">
        <v>251</v>
      </c>
      <c r="F5" s="56">
        <v>0.26390000000000002</v>
      </c>
    </row>
    <row r="6" spans="1:6" ht="12.95" customHeight="1">
      <c r="A6" s="19" t="s">
        <v>252</v>
      </c>
      <c r="B6" s="56">
        <v>4.9700000000000001E-2</v>
      </c>
      <c r="C6" s="2"/>
      <c r="D6" s="2"/>
      <c r="E6" s="19" t="s">
        <v>253</v>
      </c>
      <c r="F6" s="56">
        <v>0.14000000000000001</v>
      </c>
    </row>
    <row r="7" spans="1:6" ht="12.95" customHeight="1">
      <c r="A7" s="19" t="s">
        <v>18</v>
      </c>
      <c r="B7" s="56">
        <v>4.48E-2</v>
      </c>
      <c r="C7" s="2"/>
      <c r="D7" s="2"/>
      <c r="E7" s="19" t="s">
        <v>254</v>
      </c>
      <c r="F7" s="56">
        <v>0.1205</v>
      </c>
    </row>
    <row r="8" spans="1:6" ht="12.95" customHeight="1">
      <c r="A8" s="19" t="s">
        <v>21</v>
      </c>
      <c r="B8" s="56">
        <v>4.0399999999999998E-2</v>
      </c>
      <c r="C8" s="2"/>
      <c r="D8" s="2"/>
      <c r="E8" s="19" t="s">
        <v>255</v>
      </c>
      <c r="F8" s="56">
        <v>9.3700000000000006E-2</v>
      </c>
    </row>
    <row r="9" spans="1:6" ht="12.95" customHeight="1">
      <c r="A9" s="19" t="s">
        <v>25</v>
      </c>
      <c r="B9" s="56">
        <v>4.0300000000000002E-2</v>
      </c>
      <c r="C9" s="2"/>
      <c r="D9" s="2"/>
      <c r="E9" s="19" t="s">
        <v>256</v>
      </c>
      <c r="F9" s="56">
        <v>7.7200000000000005E-2</v>
      </c>
    </row>
    <row r="10" spans="1:6" ht="12.95" customHeight="1">
      <c r="A10" s="19" t="s">
        <v>28</v>
      </c>
      <c r="B10" s="56">
        <v>3.7600000000000001E-2</v>
      </c>
      <c r="C10" s="2"/>
      <c r="D10" s="2"/>
      <c r="E10" s="19" t="s">
        <v>257</v>
      </c>
      <c r="F10" s="56">
        <v>5.9700000000000003E-2</v>
      </c>
    </row>
    <row r="11" spans="1:6" ht="12.95" customHeight="1">
      <c r="A11" s="19" t="s">
        <v>32</v>
      </c>
      <c r="B11" s="56">
        <v>3.0499999999999999E-2</v>
      </c>
      <c r="C11" s="2"/>
      <c r="D11" s="2"/>
      <c r="E11" s="19" t="s">
        <v>46</v>
      </c>
      <c r="F11" s="56">
        <v>5.8700000000000002E-2</v>
      </c>
    </row>
    <row r="12" spans="1:6" ht="12.95" customHeight="1">
      <c r="A12" s="19" t="s">
        <v>36</v>
      </c>
      <c r="B12" s="56">
        <v>2.8000000000000001E-2</v>
      </c>
      <c r="C12" s="2"/>
      <c r="D12" s="2"/>
      <c r="E12" s="19" t="s">
        <v>258</v>
      </c>
      <c r="F12" s="56">
        <v>5.0299999999999997E-2</v>
      </c>
    </row>
    <row r="13" spans="1:6" ht="12.95" customHeight="1">
      <c r="A13" s="19" t="s">
        <v>259</v>
      </c>
      <c r="B13" s="56">
        <v>2.69E-2</v>
      </c>
      <c r="C13" s="2"/>
      <c r="D13" s="2"/>
      <c r="E13" s="19" t="s">
        <v>223</v>
      </c>
      <c r="F13" s="56">
        <v>4.9700000000000001E-2</v>
      </c>
    </row>
    <row r="14" spans="1:6" ht="12.95" customHeight="1">
      <c r="A14" s="19" t="s">
        <v>44</v>
      </c>
      <c r="B14" s="56">
        <v>2.53E-2</v>
      </c>
      <c r="C14" s="2"/>
      <c r="D14" s="2"/>
      <c r="E14" s="19" t="s">
        <v>34</v>
      </c>
      <c r="F14" s="56">
        <v>3.0499999999999999E-2</v>
      </c>
    </row>
    <row r="15" spans="1:6" ht="12.95" customHeight="1">
      <c r="A15" s="2"/>
      <c r="B15" s="2"/>
      <c r="C15" s="2"/>
      <c r="D15" s="2"/>
      <c r="E15" s="19" t="s">
        <v>260</v>
      </c>
      <c r="F15" s="56">
        <v>1.95E-2</v>
      </c>
    </row>
    <row r="16" spans="1:6" ht="12.95" customHeight="1">
      <c r="A16" s="2"/>
      <c r="B16" s="2"/>
      <c r="C16" s="2"/>
      <c r="D16" s="2"/>
      <c r="E16" s="19" t="s">
        <v>148</v>
      </c>
      <c r="F16" s="56">
        <v>1.8800000000000001E-2</v>
      </c>
    </row>
    <row r="17" spans="1:6" ht="12.95" customHeight="1">
      <c r="A17" s="2"/>
      <c r="B17" s="2"/>
      <c r="C17" s="2"/>
      <c r="D17" s="2"/>
      <c r="E17" s="19" t="s">
        <v>261</v>
      </c>
      <c r="F17" s="56">
        <v>1.77E-2</v>
      </c>
    </row>
    <row r="18" spans="1:6" ht="12.95" customHeight="1">
      <c r="A18" s="2"/>
      <c r="B18" s="2"/>
      <c r="C18" s="2"/>
      <c r="D18" s="2"/>
      <c r="E18" s="19" t="s">
        <v>262</v>
      </c>
      <c r="F18" s="56">
        <v>9.4000000000000004E-3</v>
      </c>
    </row>
    <row r="19" spans="1:6" ht="12.95" customHeight="1">
      <c r="A19" s="2"/>
      <c r="B19" s="2"/>
      <c r="C19" s="2"/>
      <c r="D19" s="2"/>
      <c r="E19" s="19" t="s">
        <v>263</v>
      </c>
      <c r="F19" s="56">
        <v>-9.4999999999999998E-3</v>
      </c>
    </row>
    <row r="20" spans="1:6" ht="12.95" customHeight="1">
      <c r="A20" s="2"/>
      <c r="B20" s="2"/>
      <c r="C20" s="2"/>
      <c r="D20" s="2"/>
      <c r="E20" s="55" t="s">
        <v>264</v>
      </c>
      <c r="F20" s="5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2025-09-09T08:59:16Z</dcterms:created>
  <dcterms:modified xsi:type="dcterms:W3CDTF">2025-09-09T09:32:28Z</dcterms:modified>
</cp:coreProperties>
</file>