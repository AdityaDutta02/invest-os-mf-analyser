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ED23F9E0-D2D0-444A-BE2C-1FCBC075798F}" xr6:coauthVersionLast="46" xr6:coauthVersionMax="46" xr10:uidLastSave="{00000000-0000-0000-0000-000000000000}"/>
  <bookViews>
    <workbookView xWindow="-110" yWindow="-110" windowWidth="19420" windowHeight="10420" xr2:uid="{440E03DA-20E8-46C3-B709-A95BB05316E8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'[15]RGOLDETF (2)'!$A$1</definedName>
    <definedName name="JR_PAGE_ANCHOR_0_23">'[16]RGOLDFOF (2)'!$A$1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>[21]RLF!$A$1</definedName>
    <definedName name="JR_PAGE_ANCHOR_0_29" localSheetId="1">RMCF!$A$1</definedName>
    <definedName name="JR_PAGE_ANCHOR_0_29">Midcap!$A$1</definedName>
    <definedName name="JR_PAGE_ANCHOR_0_3">[22]IESGEF!$A$1</definedName>
    <definedName name="JR_PAGE_ANCHOR_0_4">[23]IFEF!$A$1</definedName>
    <definedName name="JR_PAGE_ANCHOR_0_5">[24]IFMP31D!$A$1</definedName>
    <definedName name="JR_PAGE_ANCHOR_0_6">[25]IFMP33B!$A$1</definedName>
    <definedName name="JR_PAGE_ANCHOR_0_7">[26]IFMP33D!$A$1</definedName>
    <definedName name="JR_PAGE_ANCHOR_0_8">[27]IGCTFOF!$A$1</definedName>
    <definedName name="JR_PAGE_ANCHOR_0_9">[28]IMDF!$A$1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6" i="1" l="1"/>
</calcChain>
</file>

<file path=xl/sharedStrings.xml><?xml version="1.0" encoding="utf-8"?>
<sst xmlns="http://schemas.openxmlformats.org/spreadsheetml/2006/main" count="308" uniqueCount="248">
  <si>
    <t>RMCF</t>
  </si>
  <si>
    <t>INVESCO MUTUAL FUND</t>
  </si>
  <si>
    <t>Monthly Portfolio Statement as on December 31, 2021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</si>
  <si>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</si>
  <si>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</si>
  <si>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</si>
  <si>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</si>
  <si>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</si>
  <si>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</si>
  <si>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</si>
  <si>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</si>
  <si>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</si>
  <si>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</si>
  <si>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MIIL02</t>
  </si>
  <si>
    <t>Minda Industries Limited</t>
  </si>
  <si>
    <t>INE405E01023</t>
  </si>
  <si>
    <t>Auto Ancillaries</t>
  </si>
  <si>
    <t>PSYL01</t>
  </si>
  <si>
    <t>Persistent Systems Limited</t>
  </si>
  <si>
    <t>INE262H01013</t>
  </si>
  <si>
    <t>Software</t>
  </si>
  <si>
    <t>BFLS01</t>
  </si>
  <si>
    <t>MphasiS Limited</t>
  </si>
  <si>
    <t>INE356A01018</t>
  </si>
  <si>
    <t>VOLT02</t>
  </si>
  <si>
    <t>Voltas Limited</t>
  </si>
  <si>
    <t>INE226A01021</t>
  </si>
  <si>
    <t>Consumer Durables</t>
  </si>
  <si>
    <t>SUFA02</t>
  </si>
  <si>
    <t>Sundram Fasteners Limited</t>
  </si>
  <si>
    <t>INE387A01021</t>
  </si>
  <si>
    <t>BHEL02</t>
  </si>
  <si>
    <t>Bharat Electronics Limited</t>
  </si>
  <si>
    <t>INE263A01024</t>
  </si>
  <si>
    <t>Aerospace &amp; Defense</t>
  </si>
  <si>
    <t>CRAF01</t>
  </si>
  <si>
    <t>Craftsman Automation Limited</t>
  </si>
  <si>
    <t>INE00LO01017</t>
  </si>
  <si>
    <t>TPOW02</t>
  </si>
  <si>
    <t>Tata Power Company Limited</t>
  </si>
  <si>
    <t>INE245A01021</t>
  </si>
  <si>
    <t>Power</t>
  </si>
  <si>
    <t>ASHL02</t>
  </si>
  <si>
    <t>Ashok Leyland Limited</t>
  </si>
  <si>
    <t>INE208A01029</t>
  </si>
  <si>
    <t>Auto</t>
  </si>
  <si>
    <t>KEII02</t>
  </si>
  <si>
    <t>KEI Industries Limited</t>
  </si>
  <si>
    <t>INE878B01027</t>
  </si>
  <si>
    <t>Industrial Products</t>
  </si>
  <si>
    <t>BALI02</t>
  </si>
  <si>
    <t>Balkrishna Industries Limited</t>
  </si>
  <si>
    <t>INE787D01026</t>
  </si>
  <si>
    <t>KIMS01</t>
  </si>
  <si>
    <t>Krishna Institute Of Medical Sciences Limited</t>
  </si>
  <si>
    <t>INE967H01017</t>
  </si>
  <si>
    <t>Healthcare Services</t>
  </si>
  <si>
    <t>GGLT02</t>
  </si>
  <si>
    <t>Gujarat Gas Limited</t>
  </si>
  <si>
    <t>INE844O01030</t>
  </si>
  <si>
    <t>Gas</t>
  </si>
  <si>
    <t>MTAR01</t>
  </si>
  <si>
    <t>MTAR Technologies Limited</t>
  </si>
  <si>
    <t>INE864I01014</t>
  </si>
  <si>
    <t>JBCH02</t>
  </si>
  <si>
    <t>JB Chemicals &amp; Pharmaceuticals Limited</t>
  </si>
  <si>
    <t>INE572A01028</t>
  </si>
  <si>
    <t>Pharmaceuticals</t>
  </si>
  <si>
    <t>VORL03</t>
  </si>
  <si>
    <t>Vinati Organics Limited</t>
  </si>
  <si>
    <t>INE410B01037</t>
  </si>
  <si>
    <t>Chemicals</t>
  </si>
  <si>
    <t>ENDT01</t>
  </si>
  <si>
    <t>Endurance Technologies Limited</t>
  </si>
  <si>
    <t>INE913H01037</t>
  </si>
  <si>
    <t>CHOL02</t>
  </si>
  <si>
    <t>Cholamandalam Investment and Finance Company Limited</t>
  </si>
  <si>
    <t>INE121A01024</t>
  </si>
  <si>
    <t>Finance</t>
  </si>
  <si>
    <t>GLAN02</t>
  </si>
  <si>
    <t>Gland Pharma Limited</t>
  </si>
  <si>
    <t>INE068V01023</t>
  </si>
  <si>
    <t>LTTS01</t>
  </si>
  <si>
    <t>L&amp;T Technology Services Limited</t>
  </si>
  <si>
    <t>INE010V01017</t>
  </si>
  <si>
    <t>SHTR01</t>
  </si>
  <si>
    <t>Shriram Transport Finance Company Limited</t>
  </si>
  <si>
    <t>INE721A01013</t>
  </si>
  <si>
    <t>IBCL05</t>
  </si>
  <si>
    <t>ICICI Bank Limited</t>
  </si>
  <si>
    <t>INE090A01021</t>
  </si>
  <si>
    <t>Banks</t>
  </si>
  <si>
    <t>CGCE01</t>
  </si>
  <si>
    <t>Crompton Greaves Consumer Electricals Limited</t>
  </si>
  <si>
    <t>INE299U01018</t>
  </si>
  <si>
    <t>KEIN02</t>
  </si>
  <si>
    <t>KEC International Limited</t>
  </si>
  <si>
    <t>INE389H01022</t>
  </si>
  <si>
    <t>UTIB02</t>
  </si>
  <si>
    <t>Axis Bank Limited</t>
  </si>
  <si>
    <t>INE238A01034</t>
  </si>
  <si>
    <t>INBK01</t>
  </si>
  <si>
    <t>Indian Bank</t>
  </si>
  <si>
    <t>INE562A01011</t>
  </si>
  <si>
    <t>UBBL02</t>
  </si>
  <si>
    <t>United Breweries Limited</t>
  </si>
  <si>
    <t>INE686F01025</t>
  </si>
  <si>
    <t>Consumer Non Durables</t>
  </si>
  <si>
    <t>JSPL03</t>
  </si>
  <si>
    <t>Jindal Steel &amp; Power Limited</t>
  </si>
  <si>
    <t>INE749A01030</t>
  </si>
  <si>
    <t>Ferrous Metals</t>
  </si>
  <si>
    <t>LAKM02</t>
  </si>
  <si>
    <t>Trent Limited</t>
  </si>
  <si>
    <t>INE849A01020</t>
  </si>
  <si>
    <t>Retailing</t>
  </si>
  <si>
    <t>AIEL02</t>
  </si>
  <si>
    <t>AIA Engineering Limited</t>
  </si>
  <si>
    <t>INE212H01026</t>
  </si>
  <si>
    <t>MCEL03</t>
  </si>
  <si>
    <t>The Ramco Cements Limited</t>
  </si>
  <si>
    <t>INE331A01037</t>
  </si>
  <si>
    <t>Cement &amp; Cement Products</t>
  </si>
  <si>
    <t>KACE03</t>
  </si>
  <si>
    <t>Kajaria Ceramics Limited</t>
  </si>
  <si>
    <t>INE217B01036</t>
  </si>
  <si>
    <t>PNCI02</t>
  </si>
  <si>
    <t>PNC Infratech Limited</t>
  </si>
  <si>
    <t>INE195J01029</t>
  </si>
  <si>
    <t>Construction</t>
  </si>
  <si>
    <t>CANH02</t>
  </si>
  <si>
    <t>Can Fin Homes Limited</t>
  </si>
  <si>
    <t>INE477A01020</t>
  </si>
  <si>
    <t>SLIF01</t>
  </si>
  <si>
    <t>SBI Life Insurance Company Limited</t>
  </si>
  <si>
    <t>INE123W01016</t>
  </si>
  <si>
    <t>Insurance</t>
  </si>
  <si>
    <t>ATUL01</t>
  </si>
  <si>
    <t>Atul Limited</t>
  </si>
  <si>
    <t>INE100A01010</t>
  </si>
  <si>
    <t>AJPH03</t>
  </si>
  <si>
    <t>Ajanta Pharma Limited</t>
  </si>
  <si>
    <t>INE031B01049</t>
  </si>
  <si>
    <t>BAYE02</t>
  </si>
  <si>
    <t>Bayer Cropscience Limited</t>
  </si>
  <si>
    <t>INE462A01022</t>
  </si>
  <si>
    <t>Pesticides</t>
  </si>
  <si>
    <t>IGAS02</t>
  </si>
  <si>
    <t>Indraprastha Gas Limited</t>
  </si>
  <si>
    <t>INE203G01027</t>
  </si>
  <si>
    <t>SONB01</t>
  </si>
  <si>
    <t>Sona BLW Precision Forgings Limited</t>
  </si>
  <si>
    <t>INE073K01018</t>
  </si>
  <si>
    <t>HPEC01</t>
  </si>
  <si>
    <t>Hindustan Petroleum Corporation Limited</t>
  </si>
  <si>
    <t>INE094A01015</t>
  </si>
  <si>
    <t>Petroleum Products</t>
  </si>
  <si>
    <t>BHFO02</t>
  </si>
  <si>
    <t>Bharat Forge Limited</t>
  </si>
  <si>
    <t>INE465A01025</t>
  </si>
  <si>
    <t>APOL02</t>
  </si>
  <si>
    <t>Apollo Hospitals Enterprise Limited</t>
  </si>
  <si>
    <t>INE437A01024</t>
  </si>
  <si>
    <t>RATM02</t>
  </si>
  <si>
    <t>Ratnamani Metals &amp; Tubes Limited</t>
  </si>
  <si>
    <t>INE703B01027</t>
  </si>
  <si>
    <t>IBHF01</t>
  </si>
  <si>
    <t>Indiabulls Housing Finance Limited</t>
  </si>
  <si>
    <t>INE148I01020</t>
  </si>
  <si>
    <t>Sub Total</t>
  </si>
  <si>
    <t>(b)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</si>
  <si>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</si>
  <si>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</si>
  <si>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</si>
  <si>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</si>
  <si>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</si>
  <si>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</si>
  <si>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</si>
  <si>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</si>
  <si>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</si>
  <si>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</si>
  <si>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</si>
  <si>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</si>
  <si>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</si>
  <si>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</si>
  <si>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</si>
  <si>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(6)  Deviation from the valuation prices given by valuation agencies during the month ended December 31, 2021: Nil</t>
  </si>
  <si>
    <t>A.</t>
  </si>
  <si>
    <t>Hedging Positions through Futures as on December 31, 2021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</si>
  <si>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</si>
  <si>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</si>
  <si>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</si>
  <si>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</si>
  <si>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</si>
  <si>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</si>
  <si>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December 31, 2021 are as follows:</t>
  </si>
  <si>
    <t>Total Number of contracts where futures were bought : 177</t>
  </si>
  <si>
    <t>Total Number of contracts where futures were sold : 177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</si>
  <si>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67,088,310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</si>
  <si>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67,704,989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</si>
  <si>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592,391</t>
    </r>
  </si>
  <si>
    <t>B.</t>
  </si>
  <si>
    <t>Other than Hedging Positions through Futures as on December 31, 2021</t>
  </si>
  <si>
    <t>Details of non-hedging transactions through futures which have been squared off  / expired during the period ended December 31, 2021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</si>
  <si>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</si>
  <si>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</si>
  <si>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</si>
  <si>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</si>
  <si>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</si>
  <si>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</si>
  <si>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December 31, 2021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</si>
  <si>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</si>
  <si>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</si>
  <si>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</si>
  <si>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</si>
  <si>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December 31, 2021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</si>
  <si>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</si>
  <si>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December 31, 2021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</si>
  <si>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</si>
  <si>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</si>
  <si>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</si>
  <si>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</si>
  <si>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December 31, 2021 are as follows:
Total Number of contracts entered into : Nil
Gross Notional Value of contracts : Nil
Net Profit/(Loss) on all contracts (premium paid treated as loss) : Nil</t>
  </si>
  <si>
    <t>E.</t>
  </si>
  <si>
    <t>Hedging Positions through swaps as on December 31, 2021 -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</si>
  <si>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</si>
  <si>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</si>
  <si>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</si>
  <si>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</si>
  <si>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</si>
  <si>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Fertilisers &amp; Pesticides</t>
  </si>
  <si>
    <t>Consumer Services</t>
  </si>
  <si>
    <t>Others</t>
  </si>
  <si>
    <t>Metals</t>
  </si>
  <si>
    <t>Clearing Corporation of India Ltd</t>
  </si>
  <si>
    <t>Oil &amp; Gas</t>
  </si>
  <si>
    <t>Pharma</t>
  </si>
  <si>
    <t>Consumer Goods</t>
  </si>
  <si>
    <t>IT</t>
  </si>
  <si>
    <t>Industrial Manufacturing</t>
  </si>
  <si>
    <t>Financial Services</t>
  </si>
  <si>
    <t>Automobile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</si>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</sst>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99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6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14" fontId="0" fillId="0" borderId="0" xfId="0" applyNumberFormat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0" fontId="0" fillId="0" borderId="22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A5DF04D8-10BC-421E-AB8C-EFB7AAA8A334}"/>
    <cellStyle name="Normal 6" xfId="1" xr:uid="{F5F3D6D3-4035-4528-9B00-273CB1C0AF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1</xdr:col>
      <xdr:colOff>2857500</xdr:colOff>
      <xdr:row>139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B085CF-0BF4-4C74-9605-F1BBE3DD04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9682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7</xdr:col>
      <xdr:colOff>609600</xdr:colOff>
      <xdr:row>139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4B20D3-1CE1-4D20-BB78-4430468B55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249682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5610-6F39-4DC8-883F-549923685D3B}">
  <sheetPr codeName="Sheet10">
    <outlinePr summaryBelow="0"/>
  </sheetPr>
  <dimension ref="A1:H128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93" t="s">
        <v>1</v>
      </c>
      <c r="C1" s="93"/>
      <c r="D1" s="93"/>
      <c r="E1" s="93"/>
      <c r="F1" s="93"/>
      <c r="G1" s="93"/>
      <c r="H1" s="93"/>
    </row>
    <row r="2" spans="1:8" ht="20.149999999999999" customHeight="1">
      <c r="A2" s="2"/>
      <c r="B2" s="93" t="s">
        <v>2</v>
      </c>
      <c r="C2" s="93"/>
      <c r="D2" s="93"/>
      <c r="E2" s="93"/>
      <c r="F2" s="93"/>
      <c r="G2" s="93"/>
      <c r="H2" s="93"/>
    </row>
    <row r="3" spans="1:8" ht="40.5" customHeight="1">
      <c r="A3" s="2"/>
      <c r="B3" s="93" t="s">
        <v>3</v>
      </c>
      <c r="C3" s="93"/>
      <c r="D3" s="93"/>
      <c r="E3" s="93"/>
      <c r="F3" s="93"/>
      <c r="G3" s="93"/>
      <c r="H3" s="93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719747</v>
      </c>
      <c r="F8" s="15">
        <v>8815.82</v>
      </c>
      <c r="G8" s="15">
        <v>4.0199999999999996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172811</v>
      </c>
      <c r="F9" s="15">
        <v>8475.26</v>
      </c>
      <c r="G9" s="15">
        <v>3.86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212729</v>
      </c>
      <c r="F10" s="15">
        <v>7225.77</v>
      </c>
      <c r="G10" s="15">
        <v>3.29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560198</v>
      </c>
      <c r="F11" s="15">
        <v>6829.65</v>
      </c>
      <c r="G11" s="15">
        <v>3.11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739179</v>
      </c>
      <c r="F12" s="15">
        <v>6747.23</v>
      </c>
      <c r="G12" s="15">
        <v>3.07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3204884</v>
      </c>
      <c r="F13" s="15">
        <v>6728.65</v>
      </c>
      <c r="G13" s="15">
        <v>3.07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16</v>
      </c>
      <c r="E14" s="14">
        <v>276811</v>
      </c>
      <c r="F14" s="15">
        <v>6258.56</v>
      </c>
      <c r="G14" s="15">
        <v>2.85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2790412</v>
      </c>
      <c r="F15" s="15">
        <v>6165.42</v>
      </c>
      <c r="G15" s="15">
        <v>2.81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4767661</v>
      </c>
      <c r="F16" s="15">
        <v>5838</v>
      </c>
      <c r="G16" s="15">
        <v>2.66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485298</v>
      </c>
      <c r="F17" s="15">
        <v>5668.52</v>
      </c>
      <c r="G17" s="15">
        <v>2.58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16</v>
      </c>
      <c r="E18" s="14">
        <v>243885</v>
      </c>
      <c r="F18" s="15">
        <v>5666.42</v>
      </c>
      <c r="G18" s="15">
        <v>2.58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386362</v>
      </c>
      <c r="F19" s="15">
        <v>5508.17</v>
      </c>
      <c r="G19" s="15">
        <v>2.5099999999999998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866692</v>
      </c>
      <c r="F20" s="15">
        <v>5502.19</v>
      </c>
      <c r="G20" s="15">
        <v>2.5099999999999998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34</v>
      </c>
      <c r="E21" s="14">
        <v>221473</v>
      </c>
      <c r="F21" s="15">
        <v>5454.99</v>
      </c>
      <c r="G21" s="15">
        <v>2.4900000000000002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304037</v>
      </c>
      <c r="F22" s="15">
        <v>5410.95</v>
      </c>
      <c r="G22" s="15">
        <v>2.4700000000000002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266806</v>
      </c>
      <c r="F23" s="15">
        <v>5304.37</v>
      </c>
      <c r="G23" s="15">
        <v>2.42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16</v>
      </c>
      <c r="E24" s="14">
        <v>308580</v>
      </c>
      <c r="F24" s="15">
        <v>5226.57</v>
      </c>
      <c r="G24" s="15">
        <v>2.38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976778</v>
      </c>
      <c r="F25" s="15">
        <v>5083.1499999999996</v>
      </c>
      <c r="G25" s="15">
        <v>2.3199999999999998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67</v>
      </c>
      <c r="E26" s="14">
        <v>130989</v>
      </c>
      <c r="F26" s="15">
        <v>5062.1400000000003</v>
      </c>
      <c r="G26" s="15">
        <v>2.31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20</v>
      </c>
      <c r="E27" s="14">
        <v>87573</v>
      </c>
      <c r="F27" s="15">
        <v>4903.17</v>
      </c>
      <c r="G27" s="15">
        <v>2.23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78</v>
      </c>
      <c r="E28" s="14">
        <v>392564</v>
      </c>
      <c r="F28" s="15">
        <v>4777.5</v>
      </c>
      <c r="G28" s="15">
        <v>2.1800000000000002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632110</v>
      </c>
      <c r="F29" s="15">
        <v>4678.5600000000004</v>
      </c>
      <c r="G29" s="15">
        <v>2.13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27</v>
      </c>
      <c r="E30" s="14">
        <v>1047412</v>
      </c>
      <c r="F30" s="15">
        <v>4581.8999999999996</v>
      </c>
      <c r="G30" s="15">
        <v>2.09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41</v>
      </c>
      <c r="E31" s="14">
        <v>947652</v>
      </c>
      <c r="F31" s="15">
        <v>4540.2</v>
      </c>
      <c r="G31" s="15">
        <v>2.0699999999999998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91</v>
      </c>
      <c r="E32" s="14">
        <v>639706</v>
      </c>
      <c r="F32" s="15">
        <v>4340.7299999999996</v>
      </c>
      <c r="G32" s="15">
        <v>1.98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91</v>
      </c>
      <c r="E33" s="14">
        <v>3092077</v>
      </c>
      <c r="F33" s="15">
        <v>4316.54</v>
      </c>
      <c r="G33" s="15">
        <v>1.97</v>
      </c>
      <c r="H33" s="16"/>
    </row>
    <row r="34" spans="1:8" ht="13" customHeight="1">
      <c r="A34" s="11" t="s">
        <v>104</v>
      </c>
      <c r="B34" s="12" t="s">
        <v>105</v>
      </c>
      <c r="C34" s="13" t="s">
        <v>106</v>
      </c>
      <c r="D34" s="8" t="s">
        <v>107</v>
      </c>
      <c r="E34" s="14">
        <v>268724</v>
      </c>
      <c r="F34" s="15">
        <v>4262.1000000000004</v>
      </c>
      <c r="G34" s="15">
        <v>1.94</v>
      </c>
      <c r="H34" s="16"/>
    </row>
    <row r="35" spans="1:8" ht="13" customHeight="1">
      <c r="A35" s="11" t="s">
        <v>108</v>
      </c>
      <c r="B35" s="12" t="s">
        <v>109</v>
      </c>
      <c r="C35" s="13" t="s">
        <v>110</v>
      </c>
      <c r="D35" s="8" t="s">
        <v>111</v>
      </c>
      <c r="E35" s="14">
        <v>1089956</v>
      </c>
      <c r="F35" s="15">
        <v>4111.8599999999997</v>
      </c>
      <c r="G35" s="15">
        <v>1.87</v>
      </c>
      <c r="H35" s="16"/>
    </row>
    <row r="36" spans="1:8" ht="13" customHeight="1">
      <c r="A36" s="11" t="s">
        <v>112</v>
      </c>
      <c r="B36" s="12" t="s">
        <v>113</v>
      </c>
      <c r="C36" s="13" t="s">
        <v>114</v>
      </c>
      <c r="D36" s="8" t="s">
        <v>115</v>
      </c>
      <c r="E36" s="14">
        <v>382539</v>
      </c>
      <c r="F36" s="15">
        <v>4074.04</v>
      </c>
      <c r="G36" s="15">
        <v>1.86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49</v>
      </c>
      <c r="E37" s="14">
        <v>214207</v>
      </c>
      <c r="F37" s="15">
        <v>4010.92</v>
      </c>
      <c r="G37" s="15">
        <v>1.83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122</v>
      </c>
      <c r="E38" s="14">
        <v>390770</v>
      </c>
      <c r="F38" s="15">
        <v>3923.72</v>
      </c>
      <c r="G38" s="15">
        <v>1.79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27</v>
      </c>
      <c r="E39" s="14">
        <v>303959</v>
      </c>
      <c r="F39" s="15">
        <v>3920.92</v>
      </c>
      <c r="G39" s="15">
        <v>1.79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129</v>
      </c>
      <c r="E40" s="14">
        <v>1446165</v>
      </c>
      <c r="F40" s="15">
        <v>3808.48</v>
      </c>
      <c r="G40" s="15">
        <v>1.74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78</v>
      </c>
      <c r="E41" s="14">
        <v>648014</v>
      </c>
      <c r="F41" s="15">
        <v>3583.19</v>
      </c>
      <c r="G41" s="15">
        <v>1.63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293698</v>
      </c>
      <c r="F42" s="15">
        <v>3512.63</v>
      </c>
      <c r="G42" s="15">
        <v>1.6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71</v>
      </c>
      <c r="E43" s="14">
        <v>38131</v>
      </c>
      <c r="F43" s="15">
        <v>3446.7</v>
      </c>
      <c r="G43" s="15">
        <v>1.57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67</v>
      </c>
      <c r="E44" s="14">
        <v>153913</v>
      </c>
      <c r="F44" s="15">
        <v>3440.8</v>
      </c>
      <c r="G44" s="15">
        <v>1.57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146</v>
      </c>
      <c r="E45" s="14">
        <v>68453</v>
      </c>
      <c r="F45" s="15">
        <v>3398.83</v>
      </c>
      <c r="G45" s="15">
        <v>1.55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60</v>
      </c>
      <c r="E46" s="14">
        <v>675961</v>
      </c>
      <c r="F46" s="15">
        <v>3179.72</v>
      </c>
      <c r="G46" s="15">
        <v>1.45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16</v>
      </c>
      <c r="E47" s="14">
        <v>422947</v>
      </c>
      <c r="F47" s="15">
        <v>3144.82</v>
      </c>
      <c r="G47" s="15">
        <v>1.43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156</v>
      </c>
      <c r="E48" s="14">
        <v>933725</v>
      </c>
      <c r="F48" s="15">
        <v>2729.75</v>
      </c>
      <c r="G48" s="15">
        <v>1.24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49</v>
      </c>
      <c r="E49" s="14">
        <v>369498</v>
      </c>
      <c r="F49" s="15">
        <v>2578.54</v>
      </c>
      <c r="G49" s="15">
        <v>1.17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56</v>
      </c>
      <c r="E50" s="14">
        <v>49992</v>
      </c>
      <c r="F50" s="15">
        <v>2506.3000000000002</v>
      </c>
      <c r="G50" s="15">
        <v>1.1399999999999999</v>
      </c>
      <c r="H50" s="16"/>
    </row>
    <row r="51" spans="1:8" ht="13" customHeight="1">
      <c r="A51" s="11" t="s">
        <v>163</v>
      </c>
      <c r="B51" s="12" t="s">
        <v>164</v>
      </c>
      <c r="C51" s="13" t="s">
        <v>165</v>
      </c>
      <c r="D51" s="8" t="s">
        <v>111</v>
      </c>
      <c r="E51" s="14">
        <v>106918</v>
      </c>
      <c r="F51" s="15">
        <v>2078.9699999999998</v>
      </c>
      <c r="G51" s="15">
        <v>0.95</v>
      </c>
      <c r="H51" s="16"/>
    </row>
    <row r="52" spans="1:8" ht="13" customHeight="1">
      <c r="A52" s="11" t="s">
        <v>166</v>
      </c>
      <c r="B52" s="12" t="s">
        <v>167</v>
      </c>
      <c r="C52" s="13" t="s">
        <v>168</v>
      </c>
      <c r="D52" s="8" t="s">
        <v>78</v>
      </c>
      <c r="E52" s="14">
        <v>913476</v>
      </c>
      <c r="F52" s="15">
        <v>1991.38</v>
      </c>
      <c r="G52" s="15">
        <v>0.91</v>
      </c>
      <c r="H52" s="16"/>
    </row>
    <row r="53" spans="1:8" ht="13" customHeight="1">
      <c r="A53" s="2"/>
      <c r="B53" s="7" t="s">
        <v>169</v>
      </c>
      <c r="C53" s="8"/>
      <c r="D53" s="8"/>
      <c r="E53" s="8"/>
      <c r="F53" s="17">
        <v>212814.1</v>
      </c>
      <c r="G53" s="17">
        <v>96.99</v>
      </c>
      <c r="H53" s="18"/>
    </row>
    <row r="54" spans="1:8" ht="13" customHeight="1">
      <c r="A54" s="2"/>
      <c r="B54" s="19" t="s">
        <v>170</v>
      </c>
      <c r="C54" s="20"/>
      <c r="D54" s="20"/>
      <c r="E54" s="21"/>
      <c r="F54" s="22" t="s">
        <v>171</v>
      </c>
      <c r="G54" s="22" t="s">
        <v>171</v>
      </c>
      <c r="H54" s="23" t="s">
        <v>171</v>
      </c>
    </row>
    <row r="55" spans="1:8" ht="13" customHeight="1">
      <c r="A55" s="2"/>
      <c r="B55" s="24" t="s">
        <v>169</v>
      </c>
      <c r="C55" s="25"/>
      <c r="D55" s="25"/>
      <c r="E55" s="22"/>
      <c r="F55" s="22" t="s">
        <v>171</v>
      </c>
      <c r="G55" s="22" t="s">
        <v>171</v>
      </c>
      <c r="H55" s="23" t="s">
        <v>171</v>
      </c>
    </row>
    <row r="56" spans="1:8" ht="13" customHeight="1">
      <c r="A56" s="2"/>
      <c r="B56" s="19" t="s">
        <v>172</v>
      </c>
      <c r="C56" s="20"/>
      <c r="D56" s="20"/>
      <c r="E56" s="26"/>
      <c r="F56" s="17">
        <v>212814.1</v>
      </c>
      <c r="G56" s="17">
        <v>96.99</v>
      </c>
      <c r="H56" s="23"/>
    </row>
    <row r="57" spans="1:8" ht="13" customHeight="1">
      <c r="A57" s="2"/>
      <c r="B57" s="7" t="s">
        <v>173</v>
      </c>
      <c r="C57" s="8"/>
      <c r="D57" s="8"/>
      <c r="E57" s="8"/>
      <c r="F57" s="8"/>
      <c r="G57" s="8"/>
      <c r="H57" s="9"/>
    </row>
    <row r="58" spans="1:8" ht="13" customHeight="1">
      <c r="A58" s="2"/>
      <c r="B58" s="7" t="s">
        <v>174</v>
      </c>
      <c r="C58" s="10"/>
      <c r="D58" s="10"/>
      <c r="E58" s="8"/>
      <c r="F58" s="8"/>
      <c r="G58" s="8"/>
      <c r="H58" s="9"/>
    </row>
    <row r="59" spans="1:8" ht="13" customHeight="1">
      <c r="A59" s="11" t="s">
        <v>175</v>
      </c>
      <c r="B59" s="12" t="s">
        <v>176</v>
      </c>
      <c r="C59" s="13"/>
      <c r="D59" s="8"/>
      <c r="E59" s="14"/>
      <c r="F59" s="15">
        <v>5979.07</v>
      </c>
      <c r="G59" s="15">
        <v>2.72</v>
      </c>
      <c r="H59" s="16">
        <v>3.4500000000000003E-2</v>
      </c>
    </row>
    <row r="60" spans="1:8" ht="13" customHeight="1">
      <c r="A60" s="2"/>
      <c r="B60" s="7" t="s">
        <v>169</v>
      </c>
      <c r="C60" s="8"/>
      <c r="D60" s="8"/>
      <c r="E60" s="8"/>
      <c r="F60" s="17">
        <v>5979.07</v>
      </c>
      <c r="G60" s="17">
        <v>2.72</v>
      </c>
      <c r="H60" s="18"/>
    </row>
    <row r="61" spans="1:8" ht="13" customHeight="1">
      <c r="A61" s="2"/>
      <c r="B61" s="19" t="s">
        <v>172</v>
      </c>
      <c r="C61" s="20"/>
      <c r="D61" s="20"/>
      <c r="E61" s="26"/>
      <c r="F61" s="17">
        <v>5979.07</v>
      </c>
      <c r="G61" s="17">
        <v>2.72</v>
      </c>
      <c r="H61" s="23"/>
    </row>
    <row r="62" spans="1:8" ht="13" customHeight="1">
      <c r="A62" s="2"/>
      <c r="B62" s="19" t="s">
        <v>177</v>
      </c>
      <c r="C62" s="20"/>
      <c r="D62" s="20"/>
      <c r="E62" s="8"/>
      <c r="F62" s="17">
        <v>689.51</v>
      </c>
      <c r="G62" s="17">
        <v>0.28999999999999998</v>
      </c>
      <c r="H62" s="23"/>
    </row>
    <row r="63" spans="1:8" ht="13" customHeight="1" thickBot="1">
      <c r="A63" s="2"/>
      <c r="B63" s="27" t="s">
        <v>178</v>
      </c>
      <c r="C63" s="28"/>
      <c r="D63" s="28"/>
      <c r="E63" s="28"/>
      <c r="F63" s="29">
        <v>219482.68</v>
      </c>
      <c r="G63" s="30">
        <v>100</v>
      </c>
      <c r="H63" s="31"/>
    </row>
    <row r="64" spans="1:8" ht="13" customHeight="1">
      <c r="A64" s="2"/>
      <c r="B64" s="87"/>
      <c r="C64" s="87"/>
      <c r="D64" s="87"/>
      <c r="E64" s="87"/>
      <c r="F64" s="2"/>
      <c r="G64" s="2"/>
      <c r="H64" s="2"/>
    </row>
    <row r="65" spans="1:8" ht="13" customHeight="1">
      <c r="A65" s="2"/>
      <c r="B65" s="87"/>
      <c r="C65" s="87"/>
      <c r="D65" s="87"/>
      <c r="E65" s="87"/>
      <c r="F65" s="2"/>
      <c r="G65" s="2"/>
      <c r="H65" s="2"/>
    </row>
    <row r="66" spans="1:8" ht="13" customHeight="1">
      <c r="A66" s="2"/>
      <c r="B66" s="87"/>
      <c r="C66" s="87"/>
      <c r="D66" s="87"/>
      <c r="E66" s="87"/>
      <c r="F66" s="2"/>
      <c r="G66" s="2"/>
      <c r="H66" s="2"/>
    </row>
    <row r="67" spans="1:8" ht="13" customHeight="1">
      <c r="A67" s="2"/>
      <c r="B67" s="86"/>
      <c r="C67" s="86"/>
      <c r="D67" s="86"/>
      <c r="E67" s="86"/>
      <c r="F67" s="2"/>
      <c r="G67" s="2"/>
      <c r="H67" s="2"/>
    </row>
    <row r="68" spans="1:8" ht="13" customHeight="1">
      <c r="A68" s="2"/>
      <c r="B68" s="87" t="s">
        <v>179</v>
      </c>
      <c r="C68" s="87"/>
      <c r="D68" s="87"/>
      <c r="E68" s="87"/>
      <c r="F68" s="2"/>
      <c r="G68" s="2"/>
      <c r="H68" s="2"/>
    </row>
    <row r="69" spans="1:8" ht="13" customHeight="1">
      <c r="A69" s="2"/>
      <c r="B69" s="88"/>
      <c r="C69" s="88"/>
      <c r="D69" s="88"/>
      <c r="E69" s="88"/>
      <c r="F69" s="2"/>
      <c r="G69" s="2"/>
      <c r="H69" s="2"/>
    </row>
    <row r="71" spans="1:8">
      <c r="B71" s="89" t="s">
        <v>180</v>
      </c>
      <c r="C71" s="89"/>
      <c r="D71" s="89"/>
      <c r="E71" s="89"/>
    </row>
    <row r="72" spans="1:8">
      <c r="B72" s="90" t="s">
        <v>181</v>
      </c>
      <c r="C72" s="90"/>
      <c r="D72" s="33"/>
      <c r="E72" s="33"/>
    </row>
    <row r="73" spans="1:8">
      <c r="B73" s="34" t="s">
        <v>182</v>
      </c>
      <c r="C73" s="35"/>
      <c r="D73" s="33"/>
      <c r="E73" s="33"/>
    </row>
    <row r="74" spans="1:8">
      <c r="B74" s="34" t="s">
        <v>183</v>
      </c>
      <c r="C74" s="35"/>
      <c r="D74" s="33"/>
      <c r="E74" s="33"/>
    </row>
    <row r="75" spans="1:8">
      <c r="B75" s="36" t="s">
        <v>184</v>
      </c>
      <c r="C75" s="37"/>
      <c r="D75" s="33"/>
      <c r="E75" s="33"/>
    </row>
    <row r="76" spans="1:8">
      <c r="B76" s="38" t="s">
        <v>185</v>
      </c>
      <c r="C76" s="37"/>
      <c r="D76" s="33"/>
      <c r="E76" s="33"/>
    </row>
    <row r="77" spans="1:8">
      <c r="B77" s="34" t="s">
        <v>186</v>
      </c>
      <c r="C77" s="37"/>
      <c r="D77" s="33"/>
      <c r="E77" s="33"/>
    </row>
    <row r="78" spans="1:8" ht="15" thickBot="1">
      <c r="B78" s="34"/>
      <c r="C78" s="37"/>
      <c r="D78" s="33"/>
      <c r="E78" s="33"/>
    </row>
    <row r="79" spans="1:8" s="39" customFormat="1" ht="41.25" customHeight="1" thickBot="1">
      <c r="B79" s="91" t="s">
        <v>3</v>
      </c>
      <c r="C79" s="92"/>
      <c r="D79" s="92"/>
      <c r="E79" s="92"/>
      <c r="F79" s="92"/>
    </row>
    <row r="81" spans="1:8">
      <c r="A81" s="40" t="s">
        <v>187</v>
      </c>
      <c r="B81" s="40" t="s">
        <v>188</v>
      </c>
    </row>
    <row r="82" spans="1:8" s="41" customFormat="1" ht="45.75" customHeight="1">
      <c r="B82" s="42" t="s">
        <v>189</v>
      </c>
      <c r="C82" s="42" t="s">
        <v>190</v>
      </c>
      <c r="D82" s="42" t="s">
        <v>191</v>
      </c>
      <c r="E82" s="42" t="s">
        <v>192</v>
      </c>
      <c r="F82" s="42" t="s">
        <v>193</v>
      </c>
    </row>
    <row r="83" spans="1:8" s="41" customFormat="1">
      <c r="B83" s="80" t="s">
        <v>171</v>
      </c>
      <c r="C83" s="81"/>
      <c r="D83" s="81"/>
      <c r="E83" s="81"/>
      <c r="F83" s="82"/>
    </row>
    <row r="84" spans="1:8" s="43" customFormat="1">
      <c r="B84" s="44"/>
      <c r="C84" s="44"/>
      <c r="D84" s="45"/>
      <c r="E84" s="46"/>
      <c r="F84" s="47"/>
      <c r="G84"/>
    </row>
    <row r="85" spans="1:8">
      <c r="B85" s="48" t="s">
        <v>194</v>
      </c>
      <c r="C85" s="49"/>
      <c r="D85" s="49"/>
      <c r="E85" s="49"/>
      <c r="F85" s="50"/>
      <c r="H85" s="51"/>
    </row>
    <row r="86" spans="1:8" ht="34.5" customHeight="1">
      <c r="B86" s="83" t="s">
        <v>195</v>
      </c>
      <c r="C86" s="84"/>
      <c r="D86" s="84"/>
      <c r="E86" s="84"/>
      <c r="F86" s="85"/>
      <c r="H86" s="51"/>
    </row>
    <row r="87" spans="1:8">
      <c r="B87" s="52" t="s">
        <v>196</v>
      </c>
      <c r="F87" s="53"/>
    </row>
    <row r="88" spans="1:8">
      <c r="B88" s="52" t="s">
        <v>197</v>
      </c>
      <c r="F88" s="53"/>
    </row>
    <row r="89" spans="1:8">
      <c r="B89" s="52" t="s">
        <v>198</v>
      </c>
      <c r="F89" s="53"/>
    </row>
    <row r="90" spans="1:8">
      <c r="B90" s="52" t="s">
        <v>199</v>
      </c>
      <c r="F90" s="53"/>
    </row>
    <row r="91" spans="1:8">
      <c r="B91" s="54" t="s">
        <v>200</v>
      </c>
      <c r="C91" s="55"/>
      <c r="D91" s="55"/>
      <c r="E91" s="55"/>
      <c r="F91" s="56"/>
      <c r="G91" s="57"/>
      <c r="H91" s="58"/>
    </row>
    <row r="93" spans="1:8">
      <c r="A93" s="40" t="s">
        <v>201</v>
      </c>
      <c r="B93" s="40" t="s">
        <v>202</v>
      </c>
    </row>
    <row r="94" spans="1:8" s="59" customFormat="1" ht="29">
      <c r="B94" s="42" t="s">
        <v>189</v>
      </c>
      <c r="C94" s="42" t="s">
        <v>190</v>
      </c>
      <c r="D94" s="42" t="s">
        <v>191</v>
      </c>
      <c r="E94" s="42" t="s">
        <v>192</v>
      </c>
      <c r="F94" s="42" t="s">
        <v>193</v>
      </c>
    </row>
    <row r="95" spans="1:8">
      <c r="B95" s="72" t="s">
        <v>171</v>
      </c>
      <c r="C95" s="73"/>
      <c r="D95" s="73"/>
      <c r="E95" s="73"/>
      <c r="F95" s="74"/>
    </row>
    <row r="96" spans="1:8">
      <c r="B96" s="48" t="str">
        <f>+"Total exposure due to futures (non hedging positions) as a %age of net assets : Nil"</f>
        <v>Total exposure due to futures (non hedging positions) as a %age of net assets : Nil</v>
      </c>
      <c r="C96" s="49"/>
      <c r="D96" s="49"/>
      <c r="E96" s="49"/>
      <c r="F96" s="50"/>
    </row>
    <row r="97" spans="1:6" ht="34.5" customHeight="1">
      <c r="B97" s="83" t="s">
        <v>203</v>
      </c>
      <c r="C97" s="84"/>
      <c r="D97" s="84"/>
      <c r="E97" s="84"/>
      <c r="F97" s="85"/>
    </row>
    <row r="98" spans="1:6">
      <c r="B98" s="52" t="s">
        <v>204</v>
      </c>
      <c r="F98" s="53"/>
    </row>
    <row r="99" spans="1:6">
      <c r="B99" s="52" t="s">
        <v>205</v>
      </c>
      <c r="F99" s="53"/>
    </row>
    <row r="100" spans="1:6">
      <c r="B100" s="52" t="s">
        <v>206</v>
      </c>
      <c r="F100" s="53"/>
    </row>
    <row r="101" spans="1:6">
      <c r="B101" s="52" t="s">
        <v>207</v>
      </c>
      <c r="F101" s="53"/>
    </row>
    <row r="102" spans="1:6">
      <c r="B102" s="52" t="s">
        <v>208</v>
      </c>
      <c r="C102" s="55"/>
      <c r="D102" s="55"/>
      <c r="E102" s="55"/>
      <c r="F102" s="56"/>
    </row>
    <row r="103" spans="1:6">
      <c r="B103" s="60"/>
    </row>
    <row r="104" spans="1:6" s="40" customFormat="1">
      <c r="A104" s="40" t="s">
        <v>209</v>
      </c>
      <c r="B104" s="40" t="s">
        <v>210</v>
      </c>
    </row>
    <row r="105" spans="1:6" s="59" customFormat="1" ht="29">
      <c r="B105" s="61" t="s">
        <v>189</v>
      </c>
      <c r="C105" s="61" t="s">
        <v>211</v>
      </c>
      <c r="D105" s="61" t="s">
        <v>212</v>
      </c>
      <c r="E105" s="61" t="s">
        <v>213</v>
      </c>
    </row>
    <row r="106" spans="1:6">
      <c r="B106" s="72" t="s">
        <v>171</v>
      </c>
      <c r="C106" s="73"/>
      <c r="D106" s="73"/>
      <c r="E106" s="74"/>
    </row>
    <row r="107" spans="1:6">
      <c r="B107" s="79" t="s">
        <v>214</v>
      </c>
      <c r="C107" s="79"/>
      <c r="D107" s="79"/>
      <c r="E107" s="79"/>
    </row>
    <row r="108" spans="1:6" ht="15" customHeight="1">
      <c r="B108" s="63" t="s">
        <v>215</v>
      </c>
      <c r="C108" s="64"/>
      <c r="D108" s="64"/>
      <c r="E108" s="65"/>
    </row>
    <row r="109" spans="1:6">
      <c r="B109" s="66"/>
      <c r="C109" s="67"/>
      <c r="D109" s="67"/>
      <c r="E109" s="68"/>
    </row>
    <row r="110" spans="1:6">
      <c r="B110" s="66"/>
      <c r="C110" s="67"/>
      <c r="D110" s="67"/>
      <c r="E110" s="68"/>
    </row>
    <row r="111" spans="1:6">
      <c r="B111" s="66"/>
      <c r="C111" s="67"/>
      <c r="D111" s="67"/>
      <c r="E111" s="68"/>
    </row>
    <row r="112" spans="1:6">
      <c r="B112" s="69"/>
      <c r="C112" s="70"/>
      <c r="D112" s="70"/>
      <c r="E112" s="71"/>
    </row>
    <row r="113" spans="1:6">
      <c r="B113" s="62"/>
      <c r="C113" s="62"/>
      <c r="D113" s="62"/>
      <c r="E113" s="62"/>
    </row>
    <row r="114" spans="1:6" s="40" customFormat="1">
      <c r="A114" s="40" t="s">
        <v>216</v>
      </c>
      <c r="B114" s="40" t="s">
        <v>217</v>
      </c>
    </row>
    <row r="115" spans="1:6" s="59" customFormat="1" ht="29">
      <c r="B115" s="61" t="s">
        <v>189</v>
      </c>
      <c r="C115" s="61" t="s">
        <v>218</v>
      </c>
      <c r="D115" s="61" t="s">
        <v>219</v>
      </c>
      <c r="E115" s="61" t="s">
        <v>212</v>
      </c>
      <c r="F115" s="61" t="s">
        <v>220</v>
      </c>
    </row>
    <row r="116" spans="1:6">
      <c r="B116" s="72" t="s">
        <v>171</v>
      </c>
      <c r="C116" s="73"/>
      <c r="D116" s="73"/>
      <c r="E116" s="73"/>
      <c r="F116" s="74"/>
    </row>
    <row r="117" spans="1:6">
      <c r="B117" s="75" t="s">
        <v>221</v>
      </c>
      <c r="C117" s="76"/>
      <c r="D117" s="76"/>
      <c r="E117" s="76"/>
      <c r="F117" s="77"/>
    </row>
    <row r="118" spans="1:6" ht="15" customHeight="1">
      <c r="B118" s="78" t="s">
        <v>222</v>
      </c>
      <c r="C118" s="78"/>
      <c r="D118" s="78"/>
      <c r="E118" s="78"/>
      <c r="F118" s="79"/>
    </row>
    <row r="119" spans="1:6">
      <c r="B119" s="78"/>
      <c r="C119" s="78"/>
      <c r="D119" s="78"/>
      <c r="E119" s="78"/>
      <c r="F119" s="79"/>
    </row>
    <row r="120" spans="1:6">
      <c r="B120" s="78"/>
      <c r="C120" s="78"/>
      <c r="D120" s="78"/>
      <c r="E120" s="78"/>
      <c r="F120" s="79"/>
    </row>
    <row r="121" spans="1:6">
      <c r="B121" s="78"/>
      <c r="C121" s="78"/>
      <c r="D121" s="78"/>
      <c r="E121" s="78"/>
      <c r="F121" s="79"/>
    </row>
    <row r="122" spans="1:6">
      <c r="B122" s="78"/>
      <c r="C122" s="78"/>
      <c r="D122" s="78"/>
      <c r="E122" s="78"/>
      <c r="F122" s="79"/>
    </row>
    <row r="124" spans="1:6" s="40" customFormat="1">
      <c r="A124" s="40" t="s">
        <v>223</v>
      </c>
      <c r="B124" s="40" t="s">
        <v>224</v>
      </c>
    </row>
    <row r="125" spans="1:6">
      <c r="B125" s="34"/>
      <c r="C125" s="37"/>
      <c r="D125" s="33"/>
      <c r="E125" s="33"/>
    </row>
    <row r="126" spans="1:6">
      <c r="B126" s="34"/>
      <c r="C126" s="37"/>
      <c r="D126" s="33"/>
      <c r="E126" s="33"/>
    </row>
    <row r="127" spans="1:6">
      <c r="F127" s="40" t="s">
        <v>225</v>
      </c>
    </row>
    <row r="128" spans="1:6">
      <c r="B128" s="40" t="s">
        <v>226</v>
      </c>
      <c r="F128" s="40" t="s">
        <v>227</v>
      </c>
    </row>
  </sheetData>
  <mergeCells count="22">
    <mergeCell ref="B79:F79"/>
    <mergeCell ref="B1:H1"/>
    <mergeCell ref="B2:H2"/>
    <mergeCell ref="B3:H3"/>
    <mergeCell ref="B64:E64"/>
    <mergeCell ref="B65:E65"/>
    <mergeCell ref="B66:E66"/>
    <mergeCell ref="B67:E67"/>
    <mergeCell ref="B68:E68"/>
    <mergeCell ref="B69:E69"/>
    <mergeCell ref="B71:E71"/>
    <mergeCell ref="B72:C72"/>
    <mergeCell ref="B108:E112"/>
    <mergeCell ref="B116:F116"/>
    <mergeCell ref="B117:F117"/>
    <mergeCell ref="B118:F122"/>
    <mergeCell ref="B83:F83"/>
    <mergeCell ref="B86:F86"/>
    <mergeCell ref="B95:F95"/>
    <mergeCell ref="B97:F97"/>
    <mergeCell ref="B106:E106"/>
    <mergeCell ref="B107:E107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F2DB-C340-47C3-A069-10326DD791E3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87" t="s">
        <v>247</v>
      </c>
      <c r="B1" s="87"/>
      <c r="C1" s="87"/>
      <c r="D1" s="98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97" t="s">
        <v>246</v>
      </c>
      <c r="B3" s="97"/>
      <c r="C3" s="2"/>
      <c r="D3" s="2"/>
      <c r="E3" s="97" t="s">
        <v>245</v>
      </c>
      <c r="F3" s="97"/>
    </row>
    <row r="4" spans="1:6" ht="13" customHeight="1">
      <c r="A4" s="95" t="s">
        <v>244</v>
      </c>
      <c r="B4" s="95" t="s">
        <v>9</v>
      </c>
      <c r="C4" s="2"/>
      <c r="D4" s="2"/>
      <c r="E4" s="95" t="s">
        <v>243</v>
      </c>
      <c r="F4" s="95" t="s">
        <v>242</v>
      </c>
    </row>
    <row r="5" spans="1:6" ht="13" customHeight="1">
      <c r="A5" s="20" t="s">
        <v>14</v>
      </c>
      <c r="B5" s="96">
        <v>4.02E-2</v>
      </c>
      <c r="C5" s="2"/>
      <c r="D5" s="2"/>
      <c r="E5" s="20" t="s">
        <v>241</v>
      </c>
      <c r="F5" s="96">
        <v>0.19</v>
      </c>
    </row>
    <row r="6" spans="1:6" ht="13" customHeight="1">
      <c r="A6" s="20" t="s">
        <v>18</v>
      </c>
      <c r="B6" s="96">
        <v>3.8600000000000002E-2</v>
      </c>
      <c r="C6" s="2"/>
      <c r="D6" s="2"/>
      <c r="E6" s="20" t="s">
        <v>240</v>
      </c>
      <c r="F6" s="96">
        <v>0.14710000000000001</v>
      </c>
    </row>
    <row r="7" spans="1:6" ht="13" customHeight="1">
      <c r="A7" s="20" t="s">
        <v>22</v>
      </c>
      <c r="B7" s="96">
        <v>3.2899999999999999E-2</v>
      </c>
      <c r="C7" s="2"/>
      <c r="D7" s="2"/>
      <c r="E7" s="20" t="s">
        <v>239</v>
      </c>
      <c r="F7" s="96">
        <v>0.1114</v>
      </c>
    </row>
    <row r="8" spans="1:6" ht="13" customHeight="1">
      <c r="A8" s="20" t="s">
        <v>25</v>
      </c>
      <c r="B8" s="96">
        <v>3.1099999999999999E-2</v>
      </c>
      <c r="C8" s="2"/>
      <c r="D8" s="2"/>
      <c r="E8" s="20" t="s">
        <v>238</v>
      </c>
      <c r="F8" s="96">
        <v>9.3899999999999997E-2</v>
      </c>
    </row>
    <row r="9" spans="1:6" ht="13" customHeight="1">
      <c r="A9" s="20" t="s">
        <v>32</v>
      </c>
      <c r="B9" s="96">
        <v>3.0700000000000002E-2</v>
      </c>
      <c r="C9" s="2"/>
      <c r="D9" s="2"/>
      <c r="E9" s="20" t="s">
        <v>237</v>
      </c>
      <c r="F9" s="96">
        <v>8.9300000000000004E-2</v>
      </c>
    </row>
    <row r="10" spans="1:6" ht="13" customHeight="1">
      <c r="A10" s="20" t="s">
        <v>29</v>
      </c>
      <c r="B10" s="96">
        <v>3.0700000000000002E-2</v>
      </c>
      <c r="C10" s="2"/>
      <c r="D10" s="2"/>
      <c r="E10" s="20" t="s">
        <v>236</v>
      </c>
      <c r="F10" s="96">
        <v>6.3399999999999998E-2</v>
      </c>
    </row>
    <row r="11" spans="1:6" ht="13" customHeight="1">
      <c r="A11" s="20" t="s">
        <v>36</v>
      </c>
      <c r="B11" s="96">
        <v>2.8500000000000001E-2</v>
      </c>
      <c r="C11" s="2"/>
      <c r="D11" s="2"/>
      <c r="E11" s="20" t="s">
        <v>235</v>
      </c>
      <c r="F11" s="96">
        <v>5.1999999999999998E-2</v>
      </c>
    </row>
    <row r="12" spans="1:6" ht="13" customHeight="1">
      <c r="A12" s="20" t="s">
        <v>39</v>
      </c>
      <c r="B12" s="96">
        <v>2.81E-2</v>
      </c>
      <c r="C12" s="2"/>
      <c r="D12" s="2"/>
      <c r="E12" s="20" t="s">
        <v>41</v>
      </c>
      <c r="F12" s="96">
        <v>4.8800000000000003E-2</v>
      </c>
    </row>
    <row r="13" spans="1:6" ht="13" customHeight="1">
      <c r="A13" s="20" t="s">
        <v>234</v>
      </c>
      <c r="B13" s="96">
        <v>2.7199999999999998E-2</v>
      </c>
      <c r="C13" s="2"/>
      <c r="D13" s="2"/>
      <c r="E13" s="20" t="s">
        <v>71</v>
      </c>
      <c r="F13" s="96">
        <v>3.9899999999999998E-2</v>
      </c>
    </row>
    <row r="14" spans="1:6" ht="13" customHeight="1">
      <c r="A14" s="20" t="s">
        <v>43</v>
      </c>
      <c r="B14" s="96">
        <v>2.6599999999999999E-2</v>
      </c>
      <c r="C14" s="2"/>
      <c r="D14" s="2"/>
      <c r="E14" s="20" t="s">
        <v>56</v>
      </c>
      <c r="F14" s="96">
        <v>3.6499999999999998E-2</v>
      </c>
    </row>
    <row r="15" spans="1:6" ht="13" customHeight="1">
      <c r="A15" s="2"/>
      <c r="B15" s="2"/>
      <c r="C15" s="2"/>
      <c r="D15" s="2"/>
      <c r="E15" s="20" t="s">
        <v>233</v>
      </c>
      <c r="F15" s="96">
        <v>2.8199999999999999E-2</v>
      </c>
    </row>
    <row r="16" spans="1:6" ht="13" customHeight="1">
      <c r="A16" s="2"/>
      <c r="B16" s="2"/>
      <c r="C16" s="2"/>
      <c r="D16" s="2"/>
      <c r="E16" s="20" t="s">
        <v>232</v>
      </c>
      <c r="F16" s="96">
        <v>2.7199999999999998E-2</v>
      </c>
    </row>
    <row r="17" spans="1:6" ht="13" customHeight="1">
      <c r="A17" s="2"/>
      <c r="B17" s="2"/>
      <c r="C17" s="2"/>
      <c r="D17" s="2"/>
      <c r="E17" s="20" t="s">
        <v>231</v>
      </c>
      <c r="F17" s="96">
        <v>1.8599999999999998E-2</v>
      </c>
    </row>
    <row r="18" spans="1:6" ht="13" customHeight="1">
      <c r="A18" s="2"/>
      <c r="B18" s="2"/>
      <c r="C18" s="2"/>
      <c r="D18" s="2"/>
      <c r="E18" s="20" t="s">
        <v>122</v>
      </c>
      <c r="F18" s="96">
        <v>1.7899999999999999E-2</v>
      </c>
    </row>
    <row r="19" spans="1:6" ht="13" customHeight="1">
      <c r="A19" s="2"/>
      <c r="B19" s="2"/>
      <c r="C19" s="2"/>
      <c r="D19" s="2"/>
      <c r="E19" s="20" t="s">
        <v>129</v>
      </c>
      <c r="F19" s="96">
        <v>1.7399999999999999E-2</v>
      </c>
    </row>
    <row r="20" spans="1:6" ht="13" customHeight="1">
      <c r="A20" s="2"/>
      <c r="B20" s="2"/>
      <c r="C20" s="2"/>
      <c r="D20" s="2"/>
      <c r="E20" s="20" t="s">
        <v>230</v>
      </c>
      <c r="F20" s="96">
        <v>1.55E-2</v>
      </c>
    </row>
    <row r="21" spans="1:6" ht="13" customHeight="1">
      <c r="A21" s="2"/>
      <c r="B21" s="2"/>
      <c r="C21" s="2"/>
      <c r="D21" s="2"/>
      <c r="E21" s="20" t="s">
        <v>229</v>
      </c>
      <c r="F21" s="96">
        <v>3.0999999999999999E-3</v>
      </c>
    </row>
    <row r="22" spans="1:6" ht="13" customHeight="1">
      <c r="A22" s="2"/>
      <c r="B22" s="2"/>
      <c r="C22" s="2"/>
      <c r="D22" s="2"/>
      <c r="E22" s="95" t="s">
        <v>228</v>
      </c>
      <c r="F22" s="9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RMCF!JR_PAGE_ANCHOR_0_29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2022-01-07T04:38:34Z</dcterms:created>
  <dcterms:modified xsi:type="dcterms:W3CDTF">2022-01-07T05:07:32Z</dcterms:modified>
</cp:coreProperties>
</file>