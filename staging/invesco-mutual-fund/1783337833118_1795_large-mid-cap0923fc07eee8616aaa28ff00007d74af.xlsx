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08B7A2BA-BDEE-4C21-B7C1-69152C6A9D29}" xr6:coauthVersionLast="47" xr6:coauthVersionMax="47" xr10:uidLastSave="{00000000-0000-0000-0000-000000000000}"/>
  <bookViews>
    <workbookView xWindow="-110" yWindow="-110" windowWidth="19420" windowHeight="11500" xr2:uid="{6327C9BE-C994-4ED5-AA7F-18D0C35BFE62}"/>
  </bookViews>
  <sheets>
    <sheet name="Large &amp; Mid Cap" sheetId="1" r:id="rId1"/>
    <sheet name="RG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 localSheetId="1">RGF!$A$1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3" i="1" s="1"/>
  <c r="F62" i="1"/>
  <c r="F63" i="1" s="1"/>
</calcChain>
</file>

<file path=xl/sharedStrings.xml><?xml version="1.0" encoding="utf-8"?>
<sst xmlns="http://schemas.openxmlformats.org/spreadsheetml/2006/main" count="262" uniqueCount="216">
  <si>
    <t>RGF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</si>
  <si>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</si>
  <si>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</si>
  <si>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Large &amp; Mid Cap Fund
(Large &amp; Mid Cap Fund - An open ended equity scheme investing in both large cap and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</si>
  <si>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</si>
  <si>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</si>
  <si>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</si>
  <si>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</si>
  <si>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</si>
  <si>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</si>
  <si>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</si>
  <si>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</si>
  <si>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</si>
  <si>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</si>
  <si>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</si>
  <si>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</si>
  <si>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</si>
  <si>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</si>
  <si>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</si>
  <si>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</si>
  <si>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</si>
  <si>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</si>
  <si>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</si>
  <si>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</si>
  <si>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Retailing</t>
  </si>
  <si>
    <t>BSEL02</t>
  </si>
  <si>
    <t>BSE Limited</t>
  </si>
  <si>
    <t>INE118H01025</t>
  </si>
  <si>
    <t>Capital Markets</t>
  </si>
  <si>
    <t>SAPH01</t>
  </si>
  <si>
    <t>Sai Life Sciences Limited</t>
  </si>
  <si>
    <t>INE570L01029</t>
  </si>
  <si>
    <t>Pharmaceuticals &amp; Biotechnology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</si>
  <si>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</si>
  <si>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</si>
  <si>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</si>
  <si>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</si>
  <si>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</si>
  <si>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</si>
  <si>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</si>
  <si>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GLPH03</t>
  </si>
  <si>
    <t>Glenmark Pharmaceuticals Limited</t>
  </si>
  <si>
    <t>INE935A01035</t>
  </si>
  <si>
    <t>FEBA02</t>
  </si>
  <si>
    <t>The Federal Bank  Limited</t>
  </si>
  <si>
    <t>INE171A01029</t>
  </si>
  <si>
    <t>ASEA02</t>
  </si>
  <si>
    <t>ABB India Limited</t>
  </si>
  <si>
    <t>INE117A01022</t>
  </si>
  <si>
    <t>Electrical Equipment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</si>
  <si>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</si>
  <si>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</si>
  <si>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</si>
  <si>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</si>
  <si>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</si>
  <si>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</si>
  <si>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</si>
  <si>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</si>
  <si>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BLTE01</t>
  </si>
  <si>
    <t>Swiggy Limited</t>
  </si>
  <si>
    <t>INE00H001014</t>
  </si>
  <si>
    <t>AMBE01</t>
  </si>
  <si>
    <t>Amber Enterprises India Limited ‡</t>
  </si>
  <si>
    <t>INE371P01015</t>
  </si>
  <si>
    <t>Consumer Durables</t>
  </si>
  <si>
    <t>AFPL02</t>
  </si>
  <si>
    <t>AU Small Finance Bank Limited</t>
  </si>
  <si>
    <t>INE949L01017</t>
  </si>
  <si>
    <t>IIBL01</t>
  </si>
  <si>
    <t>IndusInd Bank Limited ^^^</t>
  </si>
  <si>
    <t>INE095A01012</t>
  </si>
  <si>
    <t>CHOL02</t>
  </si>
  <si>
    <t>Cholamandalam Investment and Finance Company Limited</t>
  </si>
  <si>
    <t>INE121A01024</t>
  </si>
  <si>
    <t>JKCE01</t>
  </si>
  <si>
    <t>JK Cement Limited</t>
  </si>
  <si>
    <t>INE823G01014</t>
  </si>
  <si>
    <t>Cement &amp; Cement Products</t>
  </si>
  <si>
    <t>ADTH01</t>
  </si>
  <si>
    <t>Aditya Infotech Limited</t>
  </si>
  <si>
    <t>INE819V01029</t>
  </si>
  <si>
    <t>Industrial Manufacturing</t>
  </si>
  <si>
    <t>BTVL02</t>
  </si>
  <si>
    <t>Bharti Airtel Limited</t>
  </si>
  <si>
    <t>INE397D01024</t>
  </si>
  <si>
    <t>Telecom - Services</t>
  </si>
  <si>
    <t>APLI04</t>
  </si>
  <si>
    <t>Hexaware Technologies Limited</t>
  </si>
  <si>
    <t>INE093A01041</t>
  </si>
  <si>
    <t>IT - Software</t>
  </si>
  <si>
    <t>MAXI02</t>
  </si>
  <si>
    <t>Max Financial Services Limited</t>
  </si>
  <si>
    <t>INE180A01020</t>
  </si>
  <si>
    <t>Insurance</t>
  </si>
  <si>
    <t>GHPL01</t>
  </si>
  <si>
    <t>Global Health Limited</t>
  </si>
  <si>
    <t>INE474Q01031</t>
  </si>
  <si>
    <t>KIMS02</t>
  </si>
  <si>
    <t>Krishna Institute Of Medical Sciences Limited</t>
  </si>
  <si>
    <t>INE967H01025</t>
  </si>
  <si>
    <t>HDAM01</t>
  </si>
  <si>
    <t>HDFC Asset Management Company Limited</t>
  </si>
  <si>
    <t>INE127D01025</t>
  </si>
  <si>
    <t>ULCC01</t>
  </si>
  <si>
    <t>UltraTech Cement Limited</t>
  </si>
  <si>
    <t>INE481G01011</t>
  </si>
  <si>
    <t>SRFL01</t>
  </si>
  <si>
    <t>SRF Limited</t>
  </si>
  <si>
    <t>INE647A01010</t>
  </si>
  <si>
    <t>Chemicals &amp; Petrochemicals</t>
  </si>
  <si>
    <t>TIIN01</t>
  </si>
  <si>
    <t>Timken India Limited</t>
  </si>
  <si>
    <t>INE325A01013</t>
  </si>
  <si>
    <t>Industrial Products</t>
  </si>
  <si>
    <t>PHMI02</t>
  </si>
  <si>
    <t>The Phoenix Mills Limited</t>
  </si>
  <si>
    <t>INE211B01039</t>
  </si>
  <si>
    <t>GODI01</t>
  </si>
  <si>
    <t>Go Digit General Insurance Ltd</t>
  </si>
  <si>
    <t>INE03JT01014</t>
  </si>
  <si>
    <t>ETHO01</t>
  </si>
  <si>
    <t>Ethos Ltd.</t>
  </si>
  <si>
    <t>INE04TZ01018</t>
  </si>
  <si>
    <t>SAEL02</t>
  </si>
  <si>
    <t>TVS Motor Company Limited</t>
  </si>
  <si>
    <t>INE494B01023</t>
  </si>
  <si>
    <t>Automobiles</t>
  </si>
  <si>
    <t>CARU03</t>
  </si>
  <si>
    <t>Carborundum Universal Limited</t>
  </si>
  <si>
    <t>INE120A01034</t>
  </si>
  <si>
    <t>SOSO03</t>
  </si>
  <si>
    <t>Sonata Software Limited</t>
  </si>
  <si>
    <t>INE269A01021</t>
  </si>
  <si>
    <t>SODL01</t>
  </si>
  <si>
    <t>Sobha Limited</t>
  </si>
  <si>
    <t>INE671H01015</t>
  </si>
  <si>
    <t>MEST01</t>
  </si>
  <si>
    <t>Max Estates Limited</t>
  </si>
  <si>
    <t>INE03EI01018</t>
  </si>
  <si>
    <t>CRAF01</t>
  </si>
  <si>
    <t>Craftsman Automation Limited</t>
  </si>
  <si>
    <t>INE00LO01017</t>
  </si>
  <si>
    <t>Auto Components</t>
  </si>
  <si>
    <t>GRIN02</t>
  </si>
  <si>
    <t>Grindwell Norton Limited</t>
  </si>
  <si>
    <t>INE536A01023</t>
  </si>
  <si>
    <t>BWIN01</t>
  </si>
  <si>
    <t>Bansal Wire Industries Limited</t>
  </si>
  <si>
    <t>INE0B9K01025</t>
  </si>
  <si>
    <t>CORE01</t>
  </si>
  <si>
    <t>Corona Remedies Limited</t>
  </si>
  <si>
    <t>INE02ZQ01018</t>
  </si>
  <si>
    <t>SAFI02</t>
  </si>
  <si>
    <t>Safari Industries (India) Limited</t>
  </si>
  <si>
    <t>INE429E01023</t>
  </si>
  <si>
    <t>WIML01</t>
  </si>
  <si>
    <t>Wework India Management Limited</t>
  </si>
  <si>
    <t>INE085001019</t>
  </si>
  <si>
    <t>Commercial Services &amp; Supplies</t>
  </si>
  <si>
    <t>ILOM01</t>
  </si>
  <si>
    <t>ICICI Lombard General Insurance Company Limited</t>
  </si>
  <si>
    <t>INE765G01017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</si>
  <si>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</si>
  <si>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</si>
  <si>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</si>
  <si>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</si>
  <si>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</si>
  <si>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</si>
  <si>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</si>
  <si>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</si>
  <si>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</si>
  <si>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</si>
  <si>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</si>
  <si>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</si>
  <si>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</si>
  <si>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</si>
  <si>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</si>
  <si>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</si>
  <si>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</si>
  <si>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</si>
  <si>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</si>
  <si>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</si>
  <si>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</si>
  <si>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</si>
  <si>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</si>
  <si>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</si>
  <si>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</si>
  <si>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</si>
  <si>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</si>
  <si>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</si>
  <si>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</si>
  <si>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</si>
  <si>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</si>
  <si>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</si>
  <si>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</si>
  <si>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</si>
  <si>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</si>
  <si>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</si>
  <si>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</si>
  <si>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</si>
  <si>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</si>
  <si>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</si>
  <si>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</si>
  <si>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</si>
  <si>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</si>
  <si>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</si>
  <si>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</si>
  <si>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Construction Materials</t>
  </si>
  <si>
    <t>The Federal Bank Limited</t>
  </si>
  <si>
    <t>Information Technology</t>
  </si>
  <si>
    <t>Telecommunication</t>
  </si>
  <si>
    <t>Automobile and Auto Components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</si>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</sst>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0" fontId="8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86</xdr:row>
      <xdr:rowOff>177800</xdr:rowOff>
    </xdr:from>
    <xdr:to>
      <xdr:col>1</xdr:col>
      <xdr:colOff>2724150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A8068-6DB0-4A40-B427-6E1354BFE7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554480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86</xdr:row>
      <xdr:rowOff>177800</xdr:rowOff>
    </xdr:from>
    <xdr:to>
      <xdr:col>7</xdr:col>
      <xdr:colOff>508000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47B52C-E1B4-4AE6-93AA-071FBB562A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15544800"/>
          <a:ext cx="285750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9721-F1A9-4928-B0CD-9D913A16F542}">
  <sheetPr codeName="Sheet18">
    <outlinePr summaryBelow="0"/>
  </sheetPr>
  <dimension ref="A1:H84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5.453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25.453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25.453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25.453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25.453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25.453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25.453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25.453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25.453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25.453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25.453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25.453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25.453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25.453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25.453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25.453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25.453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25.453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25.453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25.453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25.453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25.453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25.453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25.453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25.453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25.453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25.453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25.453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25.453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25.453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25.453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25.453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25.453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25.453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25.453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25.453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25.453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25.453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25.453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25.453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25.453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25.453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25.453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25.453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25.453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25.453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25.453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25.453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25.453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25.453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25.453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25.453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25.453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25.453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25.453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25.453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25.453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25.453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25.453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25.453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25.453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25.453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25.453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25.453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8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40"/>
      <c r="C4" s="40"/>
      <c r="D4" s="40"/>
      <c r="E4" s="40"/>
      <c r="F4" s="40"/>
      <c r="G4" s="40"/>
      <c r="H4" s="40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6175405</v>
      </c>
      <c r="F8" s="16">
        <v>59425.919999999998</v>
      </c>
      <c r="G8" s="16">
        <v>7.04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1233441</v>
      </c>
      <c r="F9" s="16">
        <v>48640.75</v>
      </c>
      <c r="G9" s="16">
        <v>5.77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24</v>
      </c>
      <c r="E10" s="15">
        <v>18980746</v>
      </c>
      <c r="F10" s="16">
        <v>43462.11</v>
      </c>
      <c r="G10" s="16">
        <v>5.15</v>
      </c>
      <c r="H10" s="17"/>
    </row>
    <row r="11" spans="1:8" s="8" customFormat="1" ht="13" customHeight="1">
      <c r="A11" s="1" t="s">
        <v>25</v>
      </c>
      <c r="B11" s="13" t="s">
        <v>26</v>
      </c>
      <c r="C11" s="14" t="s">
        <v>27</v>
      </c>
      <c r="D11" s="10" t="s">
        <v>28</v>
      </c>
      <c r="E11" s="15">
        <v>1580775</v>
      </c>
      <c r="F11" s="16">
        <v>42420.1</v>
      </c>
      <c r="G11" s="16">
        <v>5.03</v>
      </c>
      <c r="H11" s="17"/>
    </row>
    <row r="12" spans="1:8" s="8" customFormat="1" ht="13" customHeight="1">
      <c r="A12" s="1" t="s">
        <v>29</v>
      </c>
      <c r="B12" s="13" t="s">
        <v>30</v>
      </c>
      <c r="C12" s="14" t="s">
        <v>31</v>
      </c>
      <c r="D12" s="10" t="s">
        <v>32</v>
      </c>
      <c r="E12" s="15">
        <v>4283799</v>
      </c>
      <c r="F12" s="16">
        <v>41638.53</v>
      </c>
      <c r="G12" s="16">
        <v>4.9400000000000004</v>
      </c>
      <c r="H12" s="17"/>
    </row>
    <row r="13" spans="1:8" s="8" customFormat="1" ht="13" customHeight="1">
      <c r="A13" s="1" t="s">
        <v>33</v>
      </c>
      <c r="B13" s="13" t="s">
        <v>34</v>
      </c>
      <c r="C13" s="14" t="s">
        <v>35</v>
      </c>
      <c r="D13" s="10" t="s">
        <v>36</v>
      </c>
      <c r="E13" s="15">
        <v>3131658</v>
      </c>
      <c r="F13" s="16">
        <v>37764.660000000003</v>
      </c>
      <c r="G13" s="16">
        <v>4.4800000000000004</v>
      </c>
      <c r="H13" s="17"/>
    </row>
    <row r="14" spans="1:8" s="8" customFormat="1" ht="13" customHeight="1">
      <c r="A14" s="1" t="s">
        <v>37</v>
      </c>
      <c r="B14" s="13" t="s">
        <v>38</v>
      </c>
      <c r="C14" s="14" t="s">
        <v>39</v>
      </c>
      <c r="D14" s="10" t="s">
        <v>24</v>
      </c>
      <c r="E14" s="15">
        <v>1089122</v>
      </c>
      <c r="F14" s="16">
        <v>35895.279999999999</v>
      </c>
      <c r="G14" s="16">
        <v>4.26</v>
      </c>
      <c r="H14" s="17"/>
    </row>
    <row r="15" spans="1:8" s="8" customFormat="1" ht="13" customHeight="1">
      <c r="A15" s="1" t="s">
        <v>40</v>
      </c>
      <c r="B15" s="13" t="s">
        <v>41</v>
      </c>
      <c r="C15" s="14" t="s">
        <v>42</v>
      </c>
      <c r="D15" s="10" t="s">
        <v>32</v>
      </c>
      <c r="E15" s="15">
        <v>1342939</v>
      </c>
      <c r="F15" s="16">
        <v>28627.43</v>
      </c>
      <c r="G15" s="16">
        <v>3.39</v>
      </c>
      <c r="H15" s="17"/>
    </row>
    <row r="16" spans="1:8" s="8" customFormat="1" ht="13" customHeight="1">
      <c r="A16" s="1" t="s">
        <v>43</v>
      </c>
      <c r="B16" s="13" t="s">
        <v>44</v>
      </c>
      <c r="C16" s="14" t="s">
        <v>45</v>
      </c>
      <c r="D16" s="10" t="s">
        <v>36</v>
      </c>
      <c r="E16" s="15">
        <v>10987013</v>
      </c>
      <c r="F16" s="16">
        <v>28500.31</v>
      </c>
      <c r="G16" s="16">
        <v>3.38</v>
      </c>
      <c r="H16" s="17"/>
    </row>
    <row r="17" spans="1:8" s="8" customFormat="1" ht="13" customHeight="1">
      <c r="A17" s="1" t="s">
        <v>46</v>
      </c>
      <c r="B17" s="13" t="s">
        <v>47</v>
      </c>
      <c r="C17" s="14" t="s">
        <v>48</v>
      </c>
      <c r="D17" s="10" t="s">
        <v>49</v>
      </c>
      <c r="E17" s="15">
        <v>465045</v>
      </c>
      <c r="F17" s="16">
        <v>27630.65</v>
      </c>
      <c r="G17" s="16">
        <v>3.28</v>
      </c>
      <c r="H17" s="17"/>
    </row>
    <row r="18" spans="1:8" s="8" customFormat="1" ht="13" customHeight="1">
      <c r="A18" s="1" t="s">
        <v>50</v>
      </c>
      <c r="B18" s="13" t="s">
        <v>51</v>
      </c>
      <c r="C18" s="14" t="s">
        <v>52</v>
      </c>
      <c r="D18" s="10" t="s">
        <v>53</v>
      </c>
      <c r="E18" s="15">
        <v>11339315</v>
      </c>
      <c r="F18" s="16">
        <v>27237.03</v>
      </c>
      <c r="G18" s="16">
        <v>3.23</v>
      </c>
      <c r="H18" s="17"/>
    </row>
    <row r="19" spans="1:8" s="8" customFormat="1" ht="13" customHeight="1">
      <c r="A19" s="1" t="s">
        <v>54</v>
      </c>
      <c r="B19" s="13" t="s">
        <v>55</v>
      </c>
      <c r="C19" s="14" t="s">
        <v>56</v>
      </c>
      <c r="D19" s="10" t="s">
        <v>57</v>
      </c>
      <c r="E19" s="15">
        <v>2415711</v>
      </c>
      <c r="F19" s="16">
        <v>27212.98</v>
      </c>
      <c r="G19" s="16">
        <v>3.23</v>
      </c>
      <c r="H19" s="17"/>
    </row>
    <row r="20" spans="1:8" s="8" customFormat="1" ht="13" customHeight="1">
      <c r="A20" s="1" t="s">
        <v>58</v>
      </c>
      <c r="B20" s="13" t="s">
        <v>59</v>
      </c>
      <c r="C20" s="14" t="s">
        <v>60</v>
      </c>
      <c r="D20" s="10" t="s">
        <v>24</v>
      </c>
      <c r="E20" s="15">
        <v>9993386</v>
      </c>
      <c r="F20" s="16">
        <v>25987.8</v>
      </c>
      <c r="G20" s="16">
        <v>3.08</v>
      </c>
      <c r="H20" s="17"/>
    </row>
    <row r="21" spans="1:8" s="8" customFormat="1" ht="13" customHeight="1">
      <c r="A21" s="1" t="s">
        <v>61</v>
      </c>
      <c r="B21" s="13" t="s">
        <v>62</v>
      </c>
      <c r="C21" s="14" t="s">
        <v>63</v>
      </c>
      <c r="D21" s="10" t="s">
        <v>64</v>
      </c>
      <c r="E21" s="15">
        <v>376065</v>
      </c>
      <c r="F21" s="16">
        <v>24628.5</v>
      </c>
      <c r="G21" s="16">
        <v>2.92</v>
      </c>
      <c r="H21" s="17"/>
    </row>
    <row r="22" spans="1:8" s="8" customFormat="1" ht="13" customHeight="1">
      <c r="A22" s="1" t="s">
        <v>65</v>
      </c>
      <c r="B22" s="13" t="s">
        <v>66</v>
      </c>
      <c r="C22" s="14" t="s">
        <v>67</v>
      </c>
      <c r="D22" s="10" t="s">
        <v>36</v>
      </c>
      <c r="E22" s="15">
        <v>2885189</v>
      </c>
      <c r="F22" s="16">
        <v>24313.49</v>
      </c>
      <c r="G22" s="16">
        <v>2.88</v>
      </c>
      <c r="H22" s="17"/>
    </row>
    <row r="23" spans="1:8" s="8" customFormat="1" ht="13" customHeight="1">
      <c r="A23" s="1" t="s">
        <v>68</v>
      </c>
      <c r="B23" s="13" t="s">
        <v>69</v>
      </c>
      <c r="C23" s="14" t="s">
        <v>70</v>
      </c>
      <c r="D23" s="10" t="s">
        <v>36</v>
      </c>
      <c r="E23" s="15">
        <v>2943272</v>
      </c>
      <c r="F23" s="16">
        <v>22146.65</v>
      </c>
      <c r="G23" s="16">
        <v>2.63</v>
      </c>
      <c r="H23" s="17"/>
    </row>
    <row r="24" spans="1:8" s="8" customFormat="1" ht="13" customHeight="1">
      <c r="A24" s="1" t="s">
        <v>71</v>
      </c>
      <c r="B24" s="13" t="s">
        <v>72</v>
      </c>
      <c r="C24" s="14" t="s">
        <v>73</v>
      </c>
      <c r="D24" s="10" t="s">
        <v>53</v>
      </c>
      <c r="E24" s="15">
        <v>1632560</v>
      </c>
      <c r="F24" s="16">
        <v>22116.29</v>
      </c>
      <c r="G24" s="16">
        <v>2.62</v>
      </c>
      <c r="H24" s="17"/>
    </row>
    <row r="25" spans="1:8" s="8" customFormat="1" ht="13" customHeight="1">
      <c r="A25" s="1" t="s">
        <v>74</v>
      </c>
      <c r="B25" s="13" t="s">
        <v>75</v>
      </c>
      <c r="C25" s="14" t="s">
        <v>76</v>
      </c>
      <c r="D25" s="10" t="s">
        <v>77</v>
      </c>
      <c r="E25" s="15">
        <v>411308</v>
      </c>
      <c r="F25" s="16">
        <v>20894.45</v>
      </c>
      <c r="G25" s="16">
        <v>2.48</v>
      </c>
      <c r="H25" s="17"/>
    </row>
    <row r="26" spans="1:8" s="8" customFormat="1" ht="13" customHeight="1">
      <c r="A26" s="1" t="s">
        <v>78</v>
      </c>
      <c r="B26" s="13" t="s">
        <v>79</v>
      </c>
      <c r="C26" s="14" t="s">
        <v>80</v>
      </c>
      <c r="D26" s="10" t="s">
        <v>81</v>
      </c>
      <c r="E26" s="15">
        <v>1028145</v>
      </c>
      <c r="F26" s="16">
        <v>18489.13</v>
      </c>
      <c r="G26" s="16">
        <v>2.19</v>
      </c>
      <c r="H26" s="17"/>
    </row>
    <row r="27" spans="1:8" s="8" customFormat="1" ht="13" customHeight="1">
      <c r="A27" s="1" t="s">
        <v>82</v>
      </c>
      <c r="B27" s="13" t="s">
        <v>83</v>
      </c>
      <c r="C27" s="14" t="s">
        <v>84</v>
      </c>
      <c r="D27" s="10" t="s">
        <v>85</v>
      </c>
      <c r="E27" s="15">
        <v>949730</v>
      </c>
      <c r="F27" s="16">
        <v>16927.990000000002</v>
      </c>
      <c r="G27" s="16">
        <v>2.0099999999999998</v>
      </c>
      <c r="H27" s="17"/>
    </row>
    <row r="28" spans="1:8" s="8" customFormat="1" ht="13" customHeight="1">
      <c r="A28" s="1" t="s">
        <v>86</v>
      </c>
      <c r="B28" s="13" t="s">
        <v>87</v>
      </c>
      <c r="C28" s="14" t="s">
        <v>88</v>
      </c>
      <c r="D28" s="10" t="s">
        <v>89</v>
      </c>
      <c r="E28" s="15">
        <v>3688812</v>
      </c>
      <c r="F28" s="16">
        <v>15677.45</v>
      </c>
      <c r="G28" s="16">
        <v>1.86</v>
      </c>
      <c r="H28" s="17"/>
    </row>
    <row r="29" spans="1:8" s="8" customFormat="1" ht="13" customHeight="1">
      <c r="A29" s="1" t="s">
        <v>90</v>
      </c>
      <c r="B29" s="13" t="s">
        <v>91</v>
      </c>
      <c r="C29" s="14" t="s">
        <v>92</v>
      </c>
      <c r="D29" s="10" t="s">
        <v>93</v>
      </c>
      <c r="E29" s="15">
        <v>1030734</v>
      </c>
      <c r="F29" s="16">
        <v>15365.15</v>
      </c>
      <c r="G29" s="16">
        <v>1.82</v>
      </c>
      <c r="H29" s="17"/>
    </row>
    <row r="30" spans="1:8" s="8" customFormat="1" ht="13" customHeight="1">
      <c r="A30" s="1" t="s">
        <v>94</v>
      </c>
      <c r="B30" s="13" t="s">
        <v>95</v>
      </c>
      <c r="C30" s="14" t="s">
        <v>96</v>
      </c>
      <c r="D30" s="10" t="s">
        <v>16</v>
      </c>
      <c r="E30" s="15">
        <v>1597479</v>
      </c>
      <c r="F30" s="16">
        <v>15353.37</v>
      </c>
      <c r="G30" s="16">
        <v>1.82</v>
      </c>
      <c r="H30" s="17"/>
    </row>
    <row r="31" spans="1:8" s="8" customFormat="1" ht="13" customHeight="1">
      <c r="A31" s="1" t="s">
        <v>97</v>
      </c>
      <c r="B31" s="13" t="s">
        <v>98</v>
      </c>
      <c r="C31" s="14" t="s">
        <v>99</v>
      </c>
      <c r="D31" s="10" t="s">
        <v>16</v>
      </c>
      <c r="E31" s="15">
        <v>2439026</v>
      </c>
      <c r="F31" s="16">
        <v>15158.55</v>
      </c>
      <c r="G31" s="16">
        <v>1.8</v>
      </c>
      <c r="H31" s="17"/>
    </row>
    <row r="32" spans="1:8" s="8" customFormat="1" ht="13" customHeight="1">
      <c r="A32" s="1" t="s">
        <v>100</v>
      </c>
      <c r="B32" s="13" t="s">
        <v>101</v>
      </c>
      <c r="C32" s="14" t="s">
        <v>102</v>
      </c>
      <c r="D32" s="10" t="s">
        <v>28</v>
      </c>
      <c r="E32" s="15">
        <v>683906</v>
      </c>
      <c r="F32" s="16">
        <v>15158.09</v>
      </c>
      <c r="G32" s="16">
        <v>1.8</v>
      </c>
      <c r="H32" s="17"/>
    </row>
    <row r="33" spans="1:8" s="8" customFormat="1" ht="13" customHeight="1">
      <c r="A33" s="1" t="s">
        <v>103</v>
      </c>
      <c r="B33" s="13" t="s">
        <v>104</v>
      </c>
      <c r="C33" s="14" t="s">
        <v>105</v>
      </c>
      <c r="D33" s="10" t="s">
        <v>77</v>
      </c>
      <c r="E33" s="15">
        <v>136154</v>
      </c>
      <c r="F33" s="16">
        <v>14629.75</v>
      </c>
      <c r="G33" s="16">
        <v>1.73</v>
      </c>
      <c r="H33" s="17"/>
    </row>
    <row r="34" spans="1:8" s="8" customFormat="1" ht="13" customHeight="1">
      <c r="A34" s="1" t="s">
        <v>106</v>
      </c>
      <c r="B34" s="13" t="s">
        <v>107</v>
      </c>
      <c r="C34" s="14" t="s">
        <v>108</v>
      </c>
      <c r="D34" s="10" t="s">
        <v>109</v>
      </c>
      <c r="E34" s="15">
        <v>517490</v>
      </c>
      <c r="F34" s="16">
        <v>12616.41</v>
      </c>
      <c r="G34" s="16">
        <v>1.5</v>
      </c>
      <c r="H34" s="17"/>
    </row>
    <row r="35" spans="1:8" s="8" customFormat="1" ht="13" customHeight="1">
      <c r="A35" s="1" t="s">
        <v>110</v>
      </c>
      <c r="B35" s="13" t="s">
        <v>111</v>
      </c>
      <c r="C35" s="14" t="s">
        <v>112</v>
      </c>
      <c r="D35" s="10" t="s">
        <v>113</v>
      </c>
      <c r="E35" s="15">
        <v>366420</v>
      </c>
      <c r="F35" s="16">
        <v>11818.14</v>
      </c>
      <c r="G35" s="16">
        <v>1.4</v>
      </c>
      <c r="H35" s="17"/>
    </row>
    <row r="36" spans="1:8" s="8" customFormat="1" ht="13" customHeight="1">
      <c r="A36" s="1" t="s">
        <v>114</v>
      </c>
      <c r="B36" s="13" t="s">
        <v>115</v>
      </c>
      <c r="C36" s="14" t="s">
        <v>116</v>
      </c>
      <c r="D36" s="10" t="s">
        <v>57</v>
      </c>
      <c r="E36" s="15">
        <v>774088</v>
      </c>
      <c r="F36" s="16">
        <v>11660.09</v>
      </c>
      <c r="G36" s="16">
        <v>1.38</v>
      </c>
      <c r="H36" s="17"/>
    </row>
    <row r="37" spans="1:8" s="8" customFormat="1" ht="13" customHeight="1">
      <c r="A37" s="1" t="s">
        <v>117</v>
      </c>
      <c r="B37" s="13" t="s">
        <v>118</v>
      </c>
      <c r="C37" s="14" t="s">
        <v>119</v>
      </c>
      <c r="D37" s="10" t="s">
        <v>93</v>
      </c>
      <c r="E37" s="15">
        <v>3189500</v>
      </c>
      <c r="F37" s="16">
        <v>10386.61</v>
      </c>
      <c r="G37" s="16">
        <v>1.23</v>
      </c>
      <c r="H37" s="17"/>
    </row>
    <row r="38" spans="1:8" s="8" customFormat="1" ht="13" customHeight="1">
      <c r="A38" s="1" t="s">
        <v>120</v>
      </c>
      <c r="B38" s="13" t="s">
        <v>121</v>
      </c>
      <c r="C38" s="14" t="s">
        <v>122</v>
      </c>
      <c r="D38" s="10" t="s">
        <v>64</v>
      </c>
      <c r="E38" s="15">
        <v>455674</v>
      </c>
      <c r="F38" s="16">
        <v>9948.73</v>
      </c>
      <c r="G38" s="16">
        <v>1.18</v>
      </c>
      <c r="H38" s="17"/>
    </row>
    <row r="39" spans="1:8" s="8" customFormat="1" ht="13" customHeight="1">
      <c r="A39" s="1" t="s">
        <v>123</v>
      </c>
      <c r="B39" s="13" t="s">
        <v>124</v>
      </c>
      <c r="C39" s="14" t="s">
        <v>125</v>
      </c>
      <c r="D39" s="10" t="s">
        <v>126</v>
      </c>
      <c r="E39" s="15">
        <v>249589</v>
      </c>
      <c r="F39" s="16">
        <v>8395.67</v>
      </c>
      <c r="G39" s="16">
        <v>1</v>
      </c>
      <c r="H39" s="17"/>
    </row>
    <row r="40" spans="1:8" s="8" customFormat="1" ht="13" customHeight="1">
      <c r="A40" s="1" t="s">
        <v>127</v>
      </c>
      <c r="B40" s="13" t="s">
        <v>128</v>
      </c>
      <c r="C40" s="14" t="s">
        <v>129</v>
      </c>
      <c r="D40" s="10" t="s">
        <v>113</v>
      </c>
      <c r="E40" s="15">
        <v>1001110</v>
      </c>
      <c r="F40" s="16">
        <v>7765.61</v>
      </c>
      <c r="G40" s="16">
        <v>0.92</v>
      </c>
      <c r="H40" s="17"/>
    </row>
    <row r="41" spans="1:8" s="8" customFormat="1" ht="13" customHeight="1">
      <c r="A41" s="1" t="s">
        <v>130</v>
      </c>
      <c r="B41" s="13" t="s">
        <v>131</v>
      </c>
      <c r="C41" s="14" t="s">
        <v>132</v>
      </c>
      <c r="D41" s="10" t="s">
        <v>89</v>
      </c>
      <c r="E41" s="15">
        <v>3293854</v>
      </c>
      <c r="F41" s="16">
        <v>6903.92</v>
      </c>
      <c r="G41" s="16">
        <v>0.82</v>
      </c>
      <c r="H41" s="17"/>
    </row>
    <row r="42" spans="1:8" s="8" customFormat="1" ht="13" customHeight="1">
      <c r="A42" s="1" t="s">
        <v>133</v>
      </c>
      <c r="B42" s="13" t="s">
        <v>134</v>
      </c>
      <c r="C42" s="14" t="s">
        <v>135</v>
      </c>
      <c r="D42" s="10" t="s">
        <v>57</v>
      </c>
      <c r="E42" s="15">
        <v>497233</v>
      </c>
      <c r="F42" s="16">
        <v>5904.14</v>
      </c>
      <c r="G42" s="16">
        <v>0.7</v>
      </c>
      <c r="H42" s="17"/>
    </row>
    <row r="43" spans="1:8" s="8" customFormat="1" ht="13" customHeight="1">
      <c r="A43" s="1" t="s">
        <v>136</v>
      </c>
      <c r="B43" s="13" t="s">
        <v>137</v>
      </c>
      <c r="C43" s="14" t="s">
        <v>138</v>
      </c>
      <c r="D43" s="10" t="s">
        <v>57</v>
      </c>
      <c r="E43" s="15">
        <v>1609854</v>
      </c>
      <c r="F43" s="16">
        <v>4970.42</v>
      </c>
      <c r="G43" s="16">
        <v>0.59</v>
      </c>
      <c r="H43" s="17"/>
    </row>
    <row r="44" spans="1:8" s="8" customFormat="1" ht="13" customHeight="1">
      <c r="A44" s="1" t="s">
        <v>139</v>
      </c>
      <c r="B44" s="13" t="s">
        <v>140</v>
      </c>
      <c r="C44" s="14" t="s">
        <v>141</v>
      </c>
      <c r="D44" s="10" t="s">
        <v>142</v>
      </c>
      <c r="E44" s="15">
        <v>70000</v>
      </c>
      <c r="F44" s="16">
        <v>4883.8999999999996</v>
      </c>
      <c r="G44" s="16">
        <v>0.57999999999999996</v>
      </c>
      <c r="H44" s="17"/>
    </row>
    <row r="45" spans="1:8" s="8" customFormat="1" ht="13" customHeight="1">
      <c r="A45" s="1" t="s">
        <v>143</v>
      </c>
      <c r="B45" s="13" t="s">
        <v>144</v>
      </c>
      <c r="C45" s="14" t="s">
        <v>145</v>
      </c>
      <c r="D45" s="10" t="s">
        <v>113</v>
      </c>
      <c r="E45" s="15">
        <v>306542</v>
      </c>
      <c r="F45" s="16">
        <v>4147.82</v>
      </c>
      <c r="G45" s="16">
        <v>0.49</v>
      </c>
      <c r="H45" s="17"/>
    </row>
    <row r="46" spans="1:8" s="8" customFormat="1" ht="13" customHeight="1">
      <c r="A46" s="1" t="s">
        <v>146</v>
      </c>
      <c r="B46" s="13" t="s">
        <v>147</v>
      </c>
      <c r="C46" s="14" t="s">
        <v>148</v>
      </c>
      <c r="D46" s="10" t="s">
        <v>113</v>
      </c>
      <c r="E46" s="15">
        <v>1842705</v>
      </c>
      <c r="F46" s="16">
        <v>4145.16</v>
      </c>
      <c r="G46" s="16">
        <v>0.49</v>
      </c>
      <c r="H46" s="17"/>
    </row>
    <row r="47" spans="1:8" s="8" customFormat="1" ht="13" customHeight="1">
      <c r="A47" s="1" t="s">
        <v>149</v>
      </c>
      <c r="B47" s="13" t="s">
        <v>150</v>
      </c>
      <c r="C47" s="14" t="s">
        <v>151</v>
      </c>
      <c r="D47" s="10" t="s">
        <v>32</v>
      </c>
      <c r="E47" s="15">
        <v>250208</v>
      </c>
      <c r="F47" s="16">
        <v>3893.24</v>
      </c>
      <c r="G47" s="16">
        <v>0.46</v>
      </c>
      <c r="H47" s="17"/>
    </row>
    <row r="48" spans="1:8" s="8" customFormat="1" ht="13" customHeight="1">
      <c r="A48" s="1" t="s">
        <v>152</v>
      </c>
      <c r="B48" s="13" t="s">
        <v>153</v>
      </c>
      <c r="C48" s="14" t="s">
        <v>154</v>
      </c>
      <c r="D48" s="10" t="s">
        <v>64</v>
      </c>
      <c r="E48" s="15">
        <v>217362</v>
      </c>
      <c r="F48" s="16">
        <v>3110.45</v>
      </c>
      <c r="G48" s="16">
        <v>0.37</v>
      </c>
      <c r="H48" s="17"/>
    </row>
    <row r="49" spans="1:8" s="8" customFormat="1" ht="13" customHeight="1">
      <c r="A49" s="1" t="s">
        <v>155</v>
      </c>
      <c r="B49" s="13" t="s">
        <v>156</v>
      </c>
      <c r="C49" s="14" t="s">
        <v>157</v>
      </c>
      <c r="D49" s="10" t="s">
        <v>158</v>
      </c>
      <c r="E49" s="15">
        <v>669835</v>
      </c>
      <c r="F49" s="16">
        <v>3050.09</v>
      </c>
      <c r="G49" s="16">
        <v>0.36</v>
      </c>
      <c r="H49" s="17"/>
    </row>
    <row r="50" spans="1:8" s="8" customFormat="1" ht="13" customHeight="1">
      <c r="A50" s="1" t="s">
        <v>159</v>
      </c>
      <c r="B50" s="13" t="s">
        <v>160</v>
      </c>
      <c r="C50" s="14" t="s">
        <v>161</v>
      </c>
      <c r="D50" s="10" t="s">
        <v>93</v>
      </c>
      <c r="E50" s="15">
        <v>124759</v>
      </c>
      <c r="F50" s="16">
        <v>2134.13</v>
      </c>
      <c r="G50" s="16">
        <v>0.25</v>
      </c>
      <c r="H50" s="17"/>
    </row>
    <row r="51" spans="1:8" s="8" customFormat="1" ht="13" customHeight="1">
      <c r="A51" s="1" t="s">
        <v>162</v>
      </c>
      <c r="B51" s="13" t="s">
        <v>163</v>
      </c>
      <c r="C51" s="14" t="s">
        <v>164</v>
      </c>
      <c r="D51" s="10" t="s">
        <v>24</v>
      </c>
      <c r="E51" s="15">
        <v>650000</v>
      </c>
      <c r="F51" s="16">
        <v>1527.5</v>
      </c>
      <c r="G51" s="16">
        <v>0.18</v>
      </c>
      <c r="H51" s="17"/>
    </row>
    <row r="52" spans="1:8" s="8" customFormat="1" ht="13" customHeight="1">
      <c r="A52" s="4"/>
      <c r="B52" s="9" t="s">
        <v>165</v>
      </c>
      <c r="C52" s="10"/>
      <c r="D52" s="10"/>
      <c r="E52" s="10"/>
      <c r="F52" s="18">
        <v>832564.44</v>
      </c>
      <c r="G52" s="18">
        <v>98.72</v>
      </c>
      <c r="H52" s="19"/>
    </row>
    <row r="53" spans="1:8" s="8" customFormat="1" ht="13" customHeight="1">
      <c r="A53" s="4"/>
      <c r="B53" s="20" t="s">
        <v>166</v>
      </c>
      <c r="C53" s="21"/>
      <c r="D53" s="21"/>
      <c r="E53" s="22"/>
      <c r="F53" s="23" t="s">
        <v>167</v>
      </c>
      <c r="G53" s="23" t="s">
        <v>167</v>
      </c>
      <c r="H53" s="24" t="s">
        <v>167</v>
      </c>
    </row>
    <row r="54" spans="1:8" s="8" customFormat="1" ht="13" customHeight="1">
      <c r="A54" s="4"/>
      <c r="B54" s="25" t="s">
        <v>165</v>
      </c>
      <c r="C54" s="26"/>
      <c r="D54" s="26"/>
      <c r="E54" s="23"/>
      <c r="F54" s="23" t="s">
        <v>167</v>
      </c>
      <c r="G54" s="23" t="s">
        <v>167</v>
      </c>
      <c r="H54" s="24" t="s">
        <v>167</v>
      </c>
    </row>
    <row r="55" spans="1:8" s="8" customFormat="1" ht="13" customHeight="1">
      <c r="A55" s="4"/>
      <c r="B55" s="20" t="s">
        <v>168</v>
      </c>
      <c r="C55" s="21"/>
      <c r="D55" s="21"/>
      <c r="E55" s="27"/>
      <c r="F55" s="18">
        <v>832564.44</v>
      </c>
      <c r="G55" s="18">
        <v>98.72</v>
      </c>
      <c r="H55" s="24"/>
    </row>
    <row r="56" spans="1:8" s="8" customFormat="1" ht="13" customHeight="1">
      <c r="A56" s="4"/>
      <c r="B56" s="9" t="s">
        <v>169</v>
      </c>
      <c r="C56" s="10"/>
      <c r="D56" s="10"/>
      <c r="E56" s="10"/>
      <c r="F56" s="10"/>
      <c r="G56" s="10"/>
      <c r="H56" s="11"/>
    </row>
    <row r="57" spans="1:8" s="8" customFormat="1" ht="13" customHeight="1">
      <c r="A57" s="4"/>
      <c r="B57" s="9" t="s">
        <v>170</v>
      </c>
      <c r="C57" s="12"/>
      <c r="D57" s="12"/>
      <c r="E57" s="10"/>
      <c r="F57" s="10"/>
      <c r="G57" s="10"/>
      <c r="H57" s="11"/>
    </row>
    <row r="58" spans="1:8" s="8" customFormat="1" ht="13" customHeight="1">
      <c r="A58" s="1" t="s">
        <v>171</v>
      </c>
      <c r="B58" s="13" t="s">
        <v>172</v>
      </c>
      <c r="C58" s="14"/>
      <c r="D58" s="10"/>
      <c r="E58" s="15"/>
      <c r="F58" s="16">
        <v>11931.71</v>
      </c>
      <c r="G58" s="16">
        <v>1.41</v>
      </c>
      <c r="H58" s="17">
        <v>6.3946758703722129E-2</v>
      </c>
    </row>
    <row r="59" spans="1:8" s="8" customFormat="1" ht="13" customHeight="1">
      <c r="A59" s="4"/>
      <c r="B59" s="9" t="s">
        <v>165</v>
      </c>
      <c r="C59" s="10"/>
      <c r="D59" s="10"/>
      <c r="E59" s="10"/>
      <c r="F59" s="18">
        <v>11931.71</v>
      </c>
      <c r="G59" s="18">
        <v>1.41</v>
      </c>
      <c r="H59" s="19"/>
    </row>
    <row r="60" spans="1:8" ht="13" customHeight="1">
      <c r="B60" s="9" t="s">
        <v>173</v>
      </c>
      <c r="C60" s="10"/>
      <c r="D60" s="10"/>
      <c r="E60" s="10"/>
      <c r="F60" s="28"/>
      <c r="G60" s="29"/>
      <c r="H60" s="19"/>
    </row>
    <row r="61" spans="1:8" ht="13" customHeight="1">
      <c r="A61" s="1" t="s">
        <v>174</v>
      </c>
      <c r="B61" s="13" t="s">
        <v>175</v>
      </c>
      <c r="C61" s="14" t="s">
        <v>176</v>
      </c>
      <c r="D61" s="10" t="s">
        <v>126</v>
      </c>
      <c r="E61" s="15">
        <v>1682880</v>
      </c>
      <c r="F61" s="16">
        <v>172.5</v>
      </c>
      <c r="G61" s="16">
        <v>0.02</v>
      </c>
      <c r="H61" s="17"/>
    </row>
    <row r="62" spans="1:8" ht="13" customHeight="1">
      <c r="A62" s="2"/>
      <c r="B62" s="9" t="s">
        <v>165</v>
      </c>
      <c r="C62" s="10"/>
      <c r="D62" s="10"/>
      <c r="E62" s="10"/>
      <c r="F62" s="18">
        <f>F61</f>
        <v>172.5</v>
      </c>
      <c r="G62" s="18">
        <f>G61</f>
        <v>0.02</v>
      </c>
      <c r="H62" s="19"/>
    </row>
    <row r="63" spans="1:8" s="8" customFormat="1" ht="13" customHeight="1">
      <c r="A63" s="4"/>
      <c r="B63" s="20" t="s">
        <v>168</v>
      </c>
      <c r="C63" s="21"/>
      <c r="D63" s="21"/>
      <c r="E63" s="27"/>
      <c r="F63" s="18">
        <f>F59+F62</f>
        <v>12104.21</v>
      </c>
      <c r="G63" s="18">
        <f>G59+G62</f>
        <v>1.43</v>
      </c>
      <c r="H63" s="24"/>
    </row>
    <row r="64" spans="1:8" s="8" customFormat="1" ht="13" customHeight="1">
      <c r="A64" s="4"/>
      <c r="B64" s="20" t="s">
        <v>177</v>
      </c>
      <c r="C64" s="21"/>
      <c r="D64" s="21"/>
      <c r="E64" s="10"/>
      <c r="F64" s="18">
        <v>-1067.1300000000001</v>
      </c>
      <c r="G64" s="18">
        <v>-0.15</v>
      </c>
      <c r="H64" s="24"/>
    </row>
    <row r="65" spans="1:8" s="8" customFormat="1" ht="13" customHeight="1" thickBot="1">
      <c r="A65" s="4"/>
      <c r="B65" s="30" t="s">
        <v>178</v>
      </c>
      <c r="C65" s="31"/>
      <c r="D65" s="31"/>
      <c r="E65" s="31"/>
      <c r="F65" s="32">
        <v>843601.52</v>
      </c>
      <c r="G65" s="33">
        <v>100</v>
      </c>
      <c r="H65" s="34"/>
    </row>
    <row r="66" spans="1:8" s="8" customFormat="1" ht="13" customHeight="1">
      <c r="A66" s="4"/>
      <c r="B66" s="41"/>
      <c r="C66" s="41"/>
      <c r="D66" s="41"/>
      <c r="E66" s="41"/>
      <c r="F66" s="4"/>
      <c r="G66" s="4"/>
      <c r="H66" s="4"/>
    </row>
    <row r="67" spans="1:8" s="8" customFormat="1" ht="13" customHeight="1">
      <c r="A67" s="4"/>
      <c r="B67" s="41" t="s">
        <v>179</v>
      </c>
      <c r="C67" s="41"/>
      <c r="D67" s="41"/>
      <c r="E67" s="41"/>
      <c r="F67" s="4"/>
      <c r="G67" s="4"/>
      <c r="H67" s="4"/>
    </row>
    <row r="68" spans="1:8" s="8" customFormat="1" ht="13" customHeight="1">
      <c r="A68" s="4"/>
      <c r="B68" s="41" t="s">
        <v>180</v>
      </c>
      <c r="C68" s="41"/>
      <c r="D68" s="41"/>
      <c r="E68" s="41"/>
      <c r="F68" s="4"/>
      <c r="G68" s="4"/>
      <c r="H68" s="4"/>
    </row>
    <row r="69" spans="1:8" s="8" customFormat="1" ht="13" customHeight="1">
      <c r="A69" s="4"/>
      <c r="B69" s="41" t="s">
        <v>181</v>
      </c>
      <c r="C69" s="41"/>
      <c r="D69" s="41"/>
      <c r="E69" s="41"/>
      <c r="F69" s="4"/>
      <c r="G69" s="4"/>
      <c r="H69" s="4"/>
    </row>
    <row r="70" spans="1:8" s="8" customFormat="1" ht="13" customHeight="1">
      <c r="A70" s="4"/>
      <c r="B70" s="35" t="s">
        <v>182</v>
      </c>
      <c r="C70" s="35"/>
      <c r="D70" s="35"/>
      <c r="E70" s="35"/>
      <c r="F70" s="4"/>
      <c r="G70" s="4"/>
      <c r="H70" s="4"/>
    </row>
    <row r="71" spans="1:8" s="8" customFormat="1" ht="13" customHeight="1">
      <c r="A71" s="4"/>
      <c r="B71" s="35"/>
      <c r="C71" s="35"/>
      <c r="D71" s="35"/>
      <c r="E71" s="35"/>
      <c r="F71" s="4"/>
      <c r="G71" s="4"/>
      <c r="H71" s="4"/>
    </row>
    <row r="72" spans="1:8" s="8" customFormat="1" ht="13" customHeight="1">
      <c r="A72" s="4"/>
      <c r="B72" s="41" t="s">
        <v>183</v>
      </c>
      <c r="C72" s="41"/>
      <c r="D72" s="41"/>
      <c r="E72" s="41"/>
      <c r="F72" s="4"/>
      <c r="G72" s="4"/>
      <c r="H72" s="4"/>
    </row>
    <row r="73" spans="1:8" s="8" customFormat="1" ht="13" customHeight="1">
      <c r="A73" s="4"/>
      <c r="B73" s="36" t="s">
        <v>184</v>
      </c>
      <c r="C73" s="36" t="s">
        <v>185</v>
      </c>
      <c r="D73" s="4"/>
      <c r="E73" s="4"/>
      <c r="F73" s="4"/>
      <c r="G73" s="4"/>
      <c r="H73" s="4"/>
    </row>
    <row r="74" spans="1:8" s="8" customFormat="1" ht="13" customHeight="1">
      <c r="A74" s="4"/>
      <c r="B74" s="21" t="s">
        <v>186</v>
      </c>
      <c r="C74" s="37">
        <v>8540</v>
      </c>
      <c r="D74" s="4"/>
      <c r="E74" s="4"/>
      <c r="F74" s="4"/>
      <c r="G74" s="4"/>
      <c r="H74" s="4"/>
    </row>
    <row r="75" spans="1:8" s="8" customFormat="1" ht="13" customHeight="1">
      <c r="A75" s="4"/>
      <c r="B75" s="41"/>
      <c r="C75" s="41"/>
      <c r="D75" s="41"/>
      <c r="E75" s="41"/>
      <c r="F75" s="4"/>
      <c r="G75" s="4"/>
      <c r="H75" s="4"/>
    </row>
    <row r="76" spans="1:8" s="8" customFormat="1">
      <c r="B76" s="41" t="s">
        <v>187</v>
      </c>
      <c r="C76" s="41"/>
      <c r="D76" s="41"/>
      <c r="E76" s="41"/>
      <c r="F76" s="2"/>
      <c r="G76" s="2"/>
      <c r="H76" s="2"/>
    </row>
    <row r="77" spans="1:8" s="8" customFormat="1">
      <c r="B77" s="40" t="s">
        <v>188</v>
      </c>
      <c r="C77" s="40"/>
      <c r="D77" s="40"/>
      <c r="E77" s="40"/>
      <c r="F77" s="2"/>
      <c r="G77" s="2"/>
      <c r="H77" s="2"/>
    </row>
    <row r="78" spans="1:8" s="8" customFormat="1">
      <c r="B78" s="40" t="s">
        <v>189</v>
      </c>
      <c r="C78" s="40"/>
      <c r="D78" s="40"/>
      <c r="E78" s="40"/>
      <c r="F78" s="2"/>
      <c r="G78" s="2"/>
      <c r="H78" s="2"/>
    </row>
    <row r="79" spans="1:8" s="8" customFormat="1" ht="11.5">
      <c r="B79" s="40" t="s">
        <v>190</v>
      </c>
      <c r="C79" s="40"/>
      <c r="D79" s="40"/>
      <c r="E79" s="40"/>
      <c r="F79" s="40"/>
      <c r="G79" s="40"/>
      <c r="H79" s="40"/>
    </row>
    <row r="80" spans="1:8" s="38" customFormat="1" ht="11.5">
      <c r="B80" s="40" t="s">
        <v>191</v>
      </c>
      <c r="C80" s="40"/>
      <c r="D80" s="40"/>
      <c r="E80" s="40"/>
      <c r="F80" s="40"/>
      <c r="G80" s="40"/>
      <c r="H80" s="40"/>
    </row>
    <row r="81" spans="2:8" s="8" customFormat="1">
      <c r="B81" s="40" t="s">
        <v>192</v>
      </c>
      <c r="C81" s="40"/>
      <c r="D81" s="40"/>
      <c r="E81" s="40"/>
      <c r="F81" s="2"/>
      <c r="G81" s="2"/>
      <c r="H81" s="2"/>
    </row>
    <row r="82" spans="2:8" s="8" customFormat="1" ht="11.5"/>
    <row r="83" spans="2:8">
      <c r="F83" s="39" t="s">
        <v>193</v>
      </c>
    </row>
    <row r="84" spans="2:8">
      <c r="B84" s="39" t="s">
        <v>194</v>
      </c>
      <c r="F84" s="39" t="s">
        <v>195</v>
      </c>
    </row>
  </sheetData>
  <mergeCells count="16">
    <mergeCell ref="B67:E67"/>
    <mergeCell ref="B1:H1"/>
    <mergeCell ref="B2:H2"/>
    <mergeCell ref="B3:H3"/>
    <mergeCell ref="B4:H4"/>
    <mergeCell ref="B66:E66"/>
    <mergeCell ref="B78:E78"/>
    <mergeCell ref="B79:H79"/>
    <mergeCell ref="B80:H80"/>
    <mergeCell ref="B81:E81"/>
    <mergeCell ref="B68:E68"/>
    <mergeCell ref="B69:E69"/>
    <mergeCell ref="B72:E72"/>
    <mergeCell ref="B75:E75"/>
    <mergeCell ref="B76:E76"/>
    <mergeCell ref="B77:E7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E768-6577-4D4B-AF53-7202E41E0C6D}">
  <sheetPr codeName="Sheet27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196</v>
      </c>
      <c r="B1" s="41"/>
      <c r="C1" s="41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197</v>
      </c>
      <c r="B3" s="44"/>
      <c r="C3" s="2"/>
      <c r="D3" s="2"/>
      <c r="E3" s="44" t="s">
        <v>198</v>
      </c>
      <c r="F3" s="44"/>
    </row>
    <row r="4" spans="1:6" ht="13" customHeight="1">
      <c r="A4" s="36" t="s">
        <v>199</v>
      </c>
      <c r="B4" s="36" t="s">
        <v>9</v>
      </c>
      <c r="C4" s="2"/>
      <c r="D4" s="2"/>
      <c r="E4" s="36" t="s">
        <v>200</v>
      </c>
      <c r="F4" s="36" t="s">
        <v>201</v>
      </c>
    </row>
    <row r="5" spans="1:6" ht="13" customHeight="1">
      <c r="A5" s="21" t="s">
        <v>14</v>
      </c>
      <c r="B5" s="45">
        <v>7.0400000000000004E-2</v>
      </c>
      <c r="C5" s="2"/>
      <c r="D5" s="2"/>
      <c r="E5" s="21" t="s">
        <v>202</v>
      </c>
      <c r="F5" s="45">
        <v>0.29339999999999999</v>
      </c>
    </row>
    <row r="6" spans="1:6" ht="13" customHeight="1">
      <c r="A6" s="21" t="s">
        <v>18</v>
      </c>
      <c r="B6" s="45">
        <v>5.7700000000000001E-2</v>
      </c>
      <c r="C6" s="2"/>
      <c r="D6" s="2"/>
      <c r="E6" s="21" t="s">
        <v>203</v>
      </c>
      <c r="F6" s="45">
        <v>0.19450000000000001</v>
      </c>
    </row>
    <row r="7" spans="1:6" ht="13" customHeight="1">
      <c r="A7" s="21" t="s">
        <v>22</v>
      </c>
      <c r="B7" s="45">
        <v>5.1499999999999997E-2</v>
      </c>
      <c r="C7" s="2"/>
      <c r="D7" s="2"/>
      <c r="E7" s="21" t="s">
        <v>204</v>
      </c>
      <c r="F7" s="45">
        <v>0.12670000000000001</v>
      </c>
    </row>
    <row r="8" spans="1:6" ht="13" customHeight="1">
      <c r="A8" s="21" t="s">
        <v>26</v>
      </c>
      <c r="B8" s="45">
        <v>5.0299999999999997E-2</v>
      </c>
      <c r="C8" s="2"/>
      <c r="D8" s="2"/>
      <c r="E8" s="21" t="s">
        <v>205</v>
      </c>
      <c r="F8" s="45">
        <v>8.77E-2</v>
      </c>
    </row>
    <row r="9" spans="1:6" ht="13" customHeight="1">
      <c r="A9" s="21" t="s">
        <v>30</v>
      </c>
      <c r="B9" s="45">
        <v>4.9399999999999999E-2</v>
      </c>
      <c r="C9" s="2"/>
      <c r="D9" s="2"/>
      <c r="E9" s="21" t="s">
        <v>206</v>
      </c>
      <c r="F9" s="45">
        <v>6.13E-2</v>
      </c>
    </row>
    <row r="10" spans="1:6" ht="13" customHeight="1">
      <c r="A10" s="21" t="s">
        <v>34</v>
      </c>
      <c r="B10" s="45">
        <v>4.48E-2</v>
      </c>
      <c r="C10" s="2"/>
      <c r="D10" s="2"/>
      <c r="E10" s="21" t="s">
        <v>57</v>
      </c>
      <c r="F10" s="45">
        <v>5.8999999999999997E-2</v>
      </c>
    </row>
    <row r="11" spans="1:6" ht="13" customHeight="1">
      <c r="A11" s="21" t="s">
        <v>38</v>
      </c>
      <c r="B11" s="45">
        <v>4.2599999999999999E-2</v>
      </c>
      <c r="C11" s="2"/>
      <c r="D11" s="2"/>
      <c r="E11" s="21" t="s">
        <v>64</v>
      </c>
      <c r="F11" s="45">
        <v>4.4699999999999997E-2</v>
      </c>
    </row>
    <row r="12" spans="1:6" ht="13" customHeight="1">
      <c r="A12" s="21" t="s">
        <v>41</v>
      </c>
      <c r="B12" s="45">
        <v>3.39E-2</v>
      </c>
      <c r="C12" s="2"/>
      <c r="D12" s="2"/>
      <c r="E12" s="21" t="s">
        <v>207</v>
      </c>
      <c r="F12" s="45">
        <v>4.2099999999999999E-2</v>
      </c>
    </row>
    <row r="13" spans="1:6" ht="13" customHeight="1">
      <c r="A13" s="21" t="s">
        <v>208</v>
      </c>
      <c r="B13" s="45">
        <v>3.3799999999999997E-2</v>
      </c>
      <c r="C13" s="2"/>
      <c r="D13" s="2"/>
      <c r="E13" s="21" t="s">
        <v>209</v>
      </c>
      <c r="F13" s="45">
        <v>2.6800000000000001E-2</v>
      </c>
    </row>
    <row r="14" spans="1:6" ht="13" customHeight="1">
      <c r="A14" s="21" t="s">
        <v>47</v>
      </c>
      <c r="B14" s="45">
        <v>3.2800000000000003E-2</v>
      </c>
      <c r="C14" s="2"/>
      <c r="D14" s="2"/>
      <c r="E14" s="21" t="s">
        <v>210</v>
      </c>
      <c r="F14" s="45">
        <v>2.01E-2</v>
      </c>
    </row>
    <row r="15" spans="1:6" ht="13" customHeight="1">
      <c r="A15" s="2"/>
      <c r="B15" s="2"/>
      <c r="C15" s="2"/>
      <c r="D15" s="2"/>
      <c r="E15" s="21" t="s">
        <v>211</v>
      </c>
      <c r="F15" s="45">
        <v>1.5699999999999999E-2</v>
      </c>
    </row>
    <row r="16" spans="1:6" ht="13" customHeight="1">
      <c r="A16" s="2"/>
      <c r="B16" s="2"/>
      <c r="C16" s="2"/>
      <c r="D16" s="2"/>
      <c r="E16" s="21" t="s">
        <v>212</v>
      </c>
      <c r="F16" s="45">
        <v>1.4999999999999999E-2</v>
      </c>
    </row>
    <row r="17" spans="1:6" ht="13" customHeight="1">
      <c r="A17" s="2"/>
      <c r="B17" s="2"/>
      <c r="C17" s="2"/>
      <c r="D17" s="2"/>
      <c r="E17" s="21" t="s">
        <v>213</v>
      </c>
      <c r="F17" s="45">
        <v>1.41E-2</v>
      </c>
    </row>
    <row r="18" spans="1:6" ht="13" customHeight="1">
      <c r="A18" s="2"/>
      <c r="B18" s="2"/>
      <c r="C18" s="2"/>
      <c r="D18" s="2"/>
      <c r="E18" s="21" t="s">
        <v>214</v>
      </c>
      <c r="F18" s="45">
        <v>-1.1000000000000001E-3</v>
      </c>
    </row>
    <row r="19" spans="1:6" ht="13" customHeight="1">
      <c r="A19" s="2"/>
      <c r="B19" s="2"/>
      <c r="C19" s="2"/>
      <c r="D19" s="2"/>
      <c r="E19" s="36" t="s">
        <v>215</v>
      </c>
      <c r="F19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Large &amp; Mid Cap</vt:lpstr>
      <vt:lpstr>RGF</vt:lpstr>
      <vt:lpstr>RGF!JR_PAGE_ANCHOR_0_27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2026-04-10T07:05:06Z</dcterms:created>
  <dcterms:modified xsi:type="dcterms:W3CDTF">2026-04-10T07:11:19Z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2026-04-10T07:05:17Z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aa91c262-3d28-46f2-ab95-7ce445fa299f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