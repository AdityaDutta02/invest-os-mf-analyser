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FAD78703-2B0E-4E09-BE87-25BAFEC7D366}" xr6:coauthVersionLast="47" xr6:coauthVersionMax="47" xr10:uidLastSave="{00000000-0000-0000-0000-000000000000}"/>
  <bookViews>
    <workbookView xWindow="-110" yWindow="-110" windowWidth="19420" windowHeight="11500" xr2:uid="{D8734CC5-552F-4CB5-BE22-DD7CA83F9EEC}"/>
  </bookViews>
  <sheets>
    <sheet name="Large &amp; Mid Cap" sheetId="1" r:id="rId1"/>
    <sheet name="RGF" sheetId="2" r:id="rId2"/>
  </sheets>
  <definedNames>
    <definedName name="JR_PAGE_ANCHOR_0_20">'Large &amp; Mid Cap'!$A$1</definedName>
    <definedName name="JR_PAGE_ANCHOR_0_27">RGF!$A$1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F64" i="1" s="1"/>
  <c r="G54" i="1"/>
  <c r="F54" i="1"/>
</calcChain>
</file>

<file path=xl/sharedStrings.xml><?xml version="1.0" encoding="utf-8"?>
<sst xmlns="http://schemas.openxmlformats.org/spreadsheetml/2006/main" count="260" uniqueCount="212">
  <si>
    <t>RGF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</si>
  <si>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</si>
  <si>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</si>
  <si>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Large &amp; Mid Cap Fund
(Large &amp; Mid Cap Fund - An open ended equity scheme investing in both large cap and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</si>
  <si>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</si>
  <si>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</si>
  <si>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</si>
  <si>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</si>
  <si>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</si>
  <si>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</si>
  <si>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</si>
  <si>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</si>
  <si>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</si>
  <si>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</si>
  <si>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</si>
  <si>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</si>
  <si>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</si>
  <si>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</si>
  <si>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</si>
  <si>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</si>
  <si>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</si>
  <si>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</si>
  <si>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</si>
  <si>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</si>
  <si>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Capital Markets</t>
  </si>
  <si>
    <t>SAPH01</t>
  </si>
  <si>
    <t>Sai Life Sciences Limited</t>
  </si>
  <si>
    <t>INE570L01029</t>
  </si>
  <si>
    <t>Pharmaceuticals &amp; Biotechnology</t>
  </si>
  <si>
    <t>LAKM02</t>
  </si>
  <si>
    <t>Trent Limited</t>
  </si>
  <si>
    <t>INE849A01020</t>
  </si>
  <si>
    <t>Retailing</t>
  </si>
  <si>
    <t>ZMPL01</t>
  </si>
  <si>
    <t>Eternal Limited</t>
  </si>
  <si>
    <t>INE758T01015</t>
  </si>
  <si>
    <t>IBCL05</t>
  </si>
  <si>
    <t>ICICI Bank Limited</t>
  </si>
  <si>
    <t>INE090A01021</t>
  </si>
  <si>
    <t>Banks</t>
  </si>
  <si>
    <t>BLTE01</t>
  </si>
  <si>
    <t>Swiggy Limited</t>
  </si>
  <si>
    <t>INE00H001014</t>
  </si>
  <si>
    <t>FEBA02</t>
  </si>
  <si>
    <t>The Federal Bank  Limited</t>
  </si>
  <si>
    <t>INE171A01029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</si>
  <si>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</si>
  <si>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</si>
  <si>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</si>
  <si>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</si>
  <si>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</si>
  <si>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</si>
  <si>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</si>
  <si>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</si>
  <si>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AMBE01</t>
  </si>
  <si>
    <t>Amber Enterprises India Limited ‡</t>
  </si>
  <si>
    <t>INE371P01015</t>
  </si>
  <si>
    <t>Consumer Durables</t>
  </si>
  <si>
    <t>GLPH03</t>
  </si>
  <si>
    <t>Glenmark Pharmaceuticals Limited</t>
  </si>
  <si>
    <t>INE935A01035</t>
  </si>
  <si>
    <t>CHOL02</t>
  </si>
  <si>
    <t>Cholamandalam Investment and Finance Company Limited</t>
  </si>
  <si>
    <t>INE121A01024</t>
  </si>
  <si>
    <t>IIBL01</t>
  </si>
  <si>
    <t>IndusInd Bank Limited ^^^</t>
  </si>
  <si>
    <t>INE095A01012</t>
  </si>
  <si>
    <t>AFPL02</t>
  </si>
  <si>
    <t>AU Small Finance Bank Limited</t>
  </si>
  <si>
    <t>INE949L01017</t>
  </si>
  <si>
    <t>ASEA02</t>
  </si>
  <si>
    <t>ABB India Limited</t>
  </si>
  <si>
    <t>INE117A01022</t>
  </si>
  <si>
    <t>Electrical Equipment</t>
  </si>
  <si>
    <t>JKCE01</t>
  </si>
  <si>
    <t>JK Cement Limited</t>
  </si>
  <si>
    <t>INE823G01014</t>
  </si>
  <si>
    <t>Cement &amp; Cement Products</t>
  </si>
  <si>
    <t>MAXI02</t>
  </si>
  <si>
    <t>Max Financial Services Limited</t>
  </si>
  <si>
    <t>INE180A01020</t>
  </si>
  <si>
    <t>Insurance</t>
  </si>
  <si>
    <t>HDAM01</t>
  </si>
  <si>
    <t>HDFC Asset Management Company Limited</t>
  </si>
  <si>
    <t>INE127D01025</t>
  </si>
  <si>
    <t>GHPL01</t>
  </si>
  <si>
    <t>Global Health Limited</t>
  </si>
  <si>
    <t>INE474Q01031</t>
  </si>
  <si>
    <t>KIMS02</t>
  </si>
  <si>
    <t>Krishna Institute Of Medical Sciences Limited</t>
  </si>
  <si>
    <t>INE967H01025</t>
  </si>
  <si>
    <t>APLI04</t>
  </si>
  <si>
    <t>Hexaware Technologies Limited</t>
  </si>
  <si>
    <t>INE093A01041</t>
  </si>
  <si>
    <t>IT - Software</t>
  </si>
  <si>
    <t>ADTH01</t>
  </si>
  <si>
    <t>Aditya Infotech Limited</t>
  </si>
  <si>
    <t>INE819V01029</t>
  </si>
  <si>
    <t>Industrial Manufacturing</t>
  </si>
  <si>
    <t>APOL02</t>
  </si>
  <si>
    <t>Apollo Hospitals Enterprise Limited</t>
  </si>
  <si>
    <t>INE437A01024</t>
  </si>
  <si>
    <t>BTVL03</t>
  </si>
  <si>
    <t>Bharti Airtel Ltd Partly Paid 1.25 FV</t>
  </si>
  <si>
    <t>IN9397D01014</t>
  </si>
  <si>
    <t>Telecom - Services</t>
  </si>
  <si>
    <t>SAEL02</t>
  </si>
  <si>
    <t>TVS Motor Company Limited</t>
  </si>
  <si>
    <t>INE494B01023</t>
  </si>
  <si>
    <t>Automobiles</t>
  </si>
  <si>
    <t>ULCC01</t>
  </si>
  <si>
    <t>UltraTech Cement Limited</t>
  </si>
  <si>
    <t>INE481G01011</t>
  </si>
  <si>
    <t>PHMI02</t>
  </si>
  <si>
    <t>The Phoenix Mills Limited</t>
  </si>
  <si>
    <t>INE211B01039</t>
  </si>
  <si>
    <t>TIIN01</t>
  </si>
  <si>
    <t>Timken India Limited</t>
  </si>
  <si>
    <t>INE325A01013</t>
  </si>
  <si>
    <t>Industrial Products</t>
  </si>
  <si>
    <t>ETHO01</t>
  </si>
  <si>
    <t>Ethos Ltd.</t>
  </si>
  <si>
    <t>INE04TZ01018</t>
  </si>
  <si>
    <t>GODI01</t>
  </si>
  <si>
    <t>Go Digit General Insurance Ltd</t>
  </si>
  <si>
    <t>INE03JT01014</t>
  </si>
  <si>
    <t>SOSO03</t>
  </si>
  <si>
    <t>Sonata Software Limited</t>
  </si>
  <si>
    <t>INE269A01021</t>
  </si>
  <si>
    <t>CARU03</t>
  </si>
  <si>
    <t>Carborundum Universal Limited</t>
  </si>
  <si>
    <t>INE120A01034</t>
  </si>
  <si>
    <t>SODL01</t>
  </si>
  <si>
    <t>Sobha Limited</t>
  </si>
  <si>
    <t>INE671H01015</t>
  </si>
  <si>
    <t>MEST01</t>
  </si>
  <si>
    <t>Max Estates Limited</t>
  </si>
  <si>
    <t>INE03EI01018</t>
  </si>
  <si>
    <t>CRAF01</t>
  </si>
  <si>
    <t>Craftsman Automation Limited</t>
  </si>
  <si>
    <t>INE00LO01017</t>
  </si>
  <si>
    <t>Auto Components</t>
  </si>
  <si>
    <t>GRIN02</t>
  </si>
  <si>
    <t>Grindwell Norton Limited</t>
  </si>
  <si>
    <t>INE536A01023</t>
  </si>
  <si>
    <t>BWIN01</t>
  </si>
  <si>
    <t>Bansal Wire Industries Limited</t>
  </si>
  <si>
    <t>INE0B9K01025</t>
  </si>
  <si>
    <t>CORE01</t>
  </si>
  <si>
    <t>Corona Remedies Limited</t>
  </si>
  <si>
    <t>INE02ZQ01018</t>
  </si>
  <si>
    <t>SAFI02</t>
  </si>
  <si>
    <t>Safari Industries (India) Limited</t>
  </si>
  <si>
    <t>INE429E01023</t>
  </si>
  <si>
    <t>WIML01</t>
  </si>
  <si>
    <t>Wework India Management Limited</t>
  </si>
  <si>
    <t>INE085001019</t>
  </si>
  <si>
    <t>Commercial Services &amp; Supplies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</si>
  <si>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</si>
  <si>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</si>
  <si>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</si>
  <si>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</si>
  <si>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</si>
  <si>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</si>
  <si>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</si>
  <si>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</si>
  <si>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</si>
  <si>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</si>
  <si>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</si>
  <si>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</si>
  <si>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</si>
  <si>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</si>
  <si>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</si>
  <si>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</si>
  <si>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</si>
  <si>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</si>
  <si>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</si>
  <si>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</si>
  <si>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</si>
  <si>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</si>
  <si>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</si>
  <si>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</si>
  <si>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</si>
  <si>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</si>
  <si>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</si>
  <si>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</si>
  <si>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</si>
  <si>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</si>
  <si>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</si>
  <si>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</si>
  <si>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</si>
  <si>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</si>
  <si>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</si>
  <si>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</si>
  <si>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</si>
  <si>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</si>
  <si>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</si>
  <si>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</si>
  <si>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</si>
  <si>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</si>
  <si>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</si>
  <si>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</si>
  <si>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</si>
  <si>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</si>
  <si>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</si>
  <si>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Construction Materials</t>
  </si>
  <si>
    <t>The Federal Bank Limited</t>
  </si>
  <si>
    <t>Information Technology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</si>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</sst>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CDD14-40B4-490A-8B1F-37CAA6FCF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716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8</xdr:col>
      <xdr:colOff>127000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B3C97-BDF2-49CA-8178-6B8128E5D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57162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A8D7-BCEB-46EF-9B9A-E5FCC92A70F3}">
  <sheetPr codeName="Sheet18">
    <outlinePr summaryBelow="0"/>
  </sheetPr>
  <dimension ref="A1:H86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88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2"/>
      <c r="B4" s="42"/>
      <c r="C4" s="42"/>
      <c r="D4" s="42"/>
      <c r="E4" s="42"/>
      <c r="F4" s="42"/>
      <c r="G4" s="42"/>
      <c r="H4" s="4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6175405</v>
      </c>
      <c r="F8" s="14">
        <v>67432.33</v>
      </c>
      <c r="G8" s="14">
        <v>7.18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1158441</v>
      </c>
      <c r="F9" s="14">
        <v>55920.26</v>
      </c>
      <c r="G9" s="14">
        <v>5.95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1580775</v>
      </c>
      <c r="F10" s="14">
        <v>42793.16</v>
      </c>
      <c r="G10" s="14">
        <v>4.5599999999999996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4283799</v>
      </c>
      <c r="F11" s="14">
        <v>42763.02</v>
      </c>
      <c r="G11" s="14">
        <v>4.55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1089122</v>
      </c>
      <c r="F12" s="14">
        <v>42470.31</v>
      </c>
      <c r="G12" s="14">
        <v>4.5199999999999996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32</v>
      </c>
      <c r="E13" s="13">
        <v>16475309</v>
      </c>
      <c r="F13" s="14">
        <v>40578.69</v>
      </c>
      <c r="G13" s="14">
        <v>4.32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2718707</v>
      </c>
      <c r="F14" s="14">
        <v>37488.25</v>
      </c>
      <c r="G14" s="14">
        <v>3.99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32</v>
      </c>
      <c r="E15" s="13">
        <v>11008816</v>
      </c>
      <c r="F15" s="14">
        <v>33219.1</v>
      </c>
      <c r="G15" s="14">
        <v>3.54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39</v>
      </c>
      <c r="E16" s="13">
        <v>10987013</v>
      </c>
      <c r="F16" s="14">
        <v>32944.559999999998</v>
      </c>
      <c r="G16" s="14">
        <v>3.51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11339315</v>
      </c>
      <c r="F17" s="14">
        <v>32197.98</v>
      </c>
      <c r="G17" s="14">
        <v>3.43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2242393</v>
      </c>
      <c r="F18" s="14">
        <v>31236.53</v>
      </c>
      <c r="G18" s="14">
        <v>3.33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376065</v>
      </c>
      <c r="F19" s="14">
        <v>29987.42</v>
      </c>
      <c r="G19" s="14">
        <v>3.19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28</v>
      </c>
      <c r="E20" s="13">
        <v>1342939</v>
      </c>
      <c r="F20" s="14">
        <v>28694.58</v>
      </c>
      <c r="G20" s="14">
        <v>3.06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49</v>
      </c>
      <c r="E21" s="13">
        <v>1632560</v>
      </c>
      <c r="F21" s="14">
        <v>28256.35</v>
      </c>
      <c r="G21" s="14">
        <v>3.01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39</v>
      </c>
      <c r="E22" s="13">
        <v>2943272</v>
      </c>
      <c r="F22" s="14">
        <v>28159.75</v>
      </c>
      <c r="G22" s="14">
        <v>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39</v>
      </c>
      <c r="E23" s="13">
        <v>2885189</v>
      </c>
      <c r="F23" s="14">
        <v>27650.21</v>
      </c>
      <c r="G23" s="14">
        <v>2.94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452752</v>
      </c>
      <c r="F24" s="14">
        <v>27495.63</v>
      </c>
      <c r="G24" s="14">
        <v>2.93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411308</v>
      </c>
      <c r="F25" s="14">
        <v>23263.58</v>
      </c>
      <c r="G25" s="14">
        <v>2.48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1030734</v>
      </c>
      <c r="F26" s="14">
        <v>18691.330000000002</v>
      </c>
      <c r="G26" s="14">
        <v>1.99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24</v>
      </c>
      <c r="E27" s="13">
        <v>683906</v>
      </c>
      <c r="F27" s="14">
        <v>18455.89</v>
      </c>
      <c r="G27" s="14">
        <v>1.97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16</v>
      </c>
      <c r="E28" s="13">
        <v>1597479</v>
      </c>
      <c r="F28" s="14">
        <v>18192.09</v>
      </c>
      <c r="G28" s="14">
        <v>1.94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16</v>
      </c>
      <c r="E29" s="13">
        <v>2439026</v>
      </c>
      <c r="F29" s="14">
        <v>18171.96</v>
      </c>
      <c r="G29" s="14">
        <v>1.93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3688812</v>
      </c>
      <c r="F30" s="14">
        <v>17466.52</v>
      </c>
      <c r="G30" s="14">
        <v>1.86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1028145</v>
      </c>
      <c r="F31" s="14">
        <v>17365.37</v>
      </c>
      <c r="G31" s="14">
        <v>1.85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16</v>
      </c>
      <c r="E32" s="13">
        <v>194337</v>
      </c>
      <c r="F32" s="14">
        <v>15200.07</v>
      </c>
      <c r="G32" s="14">
        <v>1.62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949730</v>
      </c>
      <c r="F33" s="14">
        <v>14037.48</v>
      </c>
      <c r="G33" s="14">
        <v>1.49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358987</v>
      </c>
      <c r="F34" s="14">
        <v>13891.72</v>
      </c>
      <c r="G34" s="14">
        <v>1.48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77</v>
      </c>
      <c r="E35" s="13">
        <v>106452</v>
      </c>
      <c r="F35" s="14">
        <v>13494.92</v>
      </c>
      <c r="G35" s="14">
        <v>1.44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53</v>
      </c>
      <c r="E36" s="13">
        <v>774088</v>
      </c>
      <c r="F36" s="14">
        <v>12839.02</v>
      </c>
      <c r="G36" s="14">
        <v>1.37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366420</v>
      </c>
      <c r="F37" s="14">
        <v>12725.4</v>
      </c>
      <c r="G37" s="14">
        <v>1.35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57</v>
      </c>
      <c r="E38" s="13">
        <v>455674</v>
      </c>
      <c r="F38" s="14">
        <v>11085.18</v>
      </c>
      <c r="G38" s="14">
        <v>1.18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81</v>
      </c>
      <c r="E39" s="13">
        <v>3189500</v>
      </c>
      <c r="F39" s="14">
        <v>10708.75</v>
      </c>
      <c r="G39" s="14">
        <v>1.1399999999999999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94</v>
      </c>
      <c r="E40" s="13">
        <v>3293854</v>
      </c>
      <c r="F40" s="14">
        <v>8834.1200000000008</v>
      </c>
      <c r="G40" s="14">
        <v>0.94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119</v>
      </c>
      <c r="E41" s="13">
        <v>1001110</v>
      </c>
      <c r="F41" s="14">
        <v>8241.64</v>
      </c>
      <c r="G41" s="14">
        <v>0.88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53</v>
      </c>
      <c r="E42" s="13">
        <v>497233</v>
      </c>
      <c r="F42" s="14">
        <v>6936.9</v>
      </c>
      <c r="G42" s="14">
        <v>0.74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53</v>
      </c>
      <c r="E43" s="13">
        <v>1609854</v>
      </c>
      <c r="F43" s="14">
        <v>6485.3</v>
      </c>
      <c r="G43" s="14">
        <v>0.69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70000</v>
      </c>
      <c r="F44" s="14">
        <v>5268.2</v>
      </c>
      <c r="G44" s="14">
        <v>0.56000000000000005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119</v>
      </c>
      <c r="E45" s="13">
        <v>306542</v>
      </c>
      <c r="F45" s="14">
        <v>5095.95</v>
      </c>
      <c r="G45" s="14">
        <v>0.54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119</v>
      </c>
      <c r="E46" s="13">
        <v>1842705</v>
      </c>
      <c r="F46" s="14">
        <v>4838.0200000000004</v>
      </c>
      <c r="G46" s="14">
        <v>0.52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28</v>
      </c>
      <c r="E47" s="13">
        <v>250208</v>
      </c>
      <c r="F47" s="14">
        <v>3971.3</v>
      </c>
      <c r="G47" s="14">
        <v>0.42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57</v>
      </c>
      <c r="E48" s="13">
        <v>217362</v>
      </c>
      <c r="F48" s="14">
        <v>3906.43</v>
      </c>
      <c r="G48" s="14">
        <v>0.42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669835</v>
      </c>
      <c r="F49" s="14">
        <v>3324.39</v>
      </c>
      <c r="G49" s="14">
        <v>0.35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32</v>
      </c>
      <c r="E50" s="13">
        <v>650000</v>
      </c>
      <c r="F50" s="14">
        <v>1725.62</v>
      </c>
      <c r="G50" s="14">
        <v>0.18</v>
      </c>
      <c r="H50" s="15"/>
    </row>
    <row r="51" spans="1:8" ht="13" customHeight="1">
      <c r="A51" s="2"/>
      <c r="B51" s="7" t="s">
        <v>161</v>
      </c>
      <c r="C51" s="8"/>
      <c r="D51" s="8"/>
      <c r="E51" s="8"/>
      <c r="F51" s="16">
        <v>923505.28</v>
      </c>
      <c r="G51" s="16">
        <v>98.34</v>
      </c>
      <c r="H51" s="17"/>
    </row>
    <row r="52" spans="1:8" ht="13" customHeight="1">
      <c r="A52" s="2"/>
      <c r="B52" s="18" t="s">
        <v>162</v>
      </c>
      <c r="C52" s="19"/>
      <c r="D52" s="19"/>
      <c r="E52" s="20"/>
      <c r="F52" s="21" t="s">
        <v>163</v>
      </c>
      <c r="G52" s="21" t="s">
        <v>163</v>
      </c>
      <c r="H52" s="22" t="s">
        <v>163</v>
      </c>
    </row>
    <row r="53" spans="1:8" ht="13" customHeight="1">
      <c r="A53" s="2"/>
      <c r="B53" s="23" t="s">
        <v>161</v>
      </c>
      <c r="C53" s="24"/>
      <c r="D53" s="24"/>
      <c r="E53" s="21"/>
      <c r="F53" s="21" t="s">
        <v>163</v>
      </c>
      <c r="G53" s="21" t="s">
        <v>163</v>
      </c>
      <c r="H53" s="22" t="s">
        <v>163</v>
      </c>
    </row>
    <row r="54" spans="1:8" ht="13" customHeight="1">
      <c r="A54" s="2"/>
      <c r="B54" s="18" t="s">
        <v>164</v>
      </c>
      <c r="C54" s="19"/>
      <c r="D54" s="19"/>
      <c r="E54" s="25"/>
      <c r="F54" s="16">
        <f>F51</f>
        <v>923505.28</v>
      </c>
      <c r="G54" s="16">
        <f>G51</f>
        <v>98.34</v>
      </c>
      <c r="H54" s="22"/>
    </row>
    <row r="55" spans="1:8" ht="13" customHeight="1">
      <c r="A55" s="2"/>
      <c r="B55" s="7" t="s">
        <v>165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166</v>
      </c>
      <c r="C56" s="10"/>
      <c r="D56" s="10"/>
      <c r="E56" s="8"/>
      <c r="F56" s="8"/>
      <c r="G56" s="8"/>
      <c r="H56" s="9"/>
    </row>
    <row r="57" spans="1:8" ht="13" customHeight="1">
      <c r="A57" s="1" t="s">
        <v>167</v>
      </c>
      <c r="B57" s="11" t="s">
        <v>168</v>
      </c>
      <c r="C57" s="12"/>
      <c r="D57" s="8"/>
      <c r="E57" s="13"/>
      <c r="F57" s="14">
        <v>7528.49</v>
      </c>
      <c r="G57" s="14">
        <v>0.8</v>
      </c>
      <c r="H57" s="15">
        <v>4.9201378811836262E-2</v>
      </c>
    </row>
    <row r="58" spans="1:8" ht="13" customHeight="1">
      <c r="A58" s="2"/>
      <c r="B58" s="7" t="s">
        <v>161</v>
      </c>
      <c r="C58" s="8"/>
      <c r="D58" s="8"/>
      <c r="E58" s="8"/>
      <c r="F58" s="16">
        <v>7528.49</v>
      </c>
      <c r="G58" s="16">
        <v>0.8</v>
      </c>
      <c r="H58" s="17"/>
    </row>
    <row r="59" spans="1:8" ht="13" customHeight="1">
      <c r="A59" s="2"/>
      <c r="B59" s="18" t="s">
        <v>164</v>
      </c>
      <c r="C59" s="19"/>
      <c r="D59" s="19"/>
      <c r="E59" s="25"/>
      <c r="F59" s="16">
        <v>7528.49</v>
      </c>
      <c r="G59" s="16">
        <v>0.8</v>
      </c>
      <c r="H59" s="22"/>
    </row>
    <row r="60" spans="1:8" ht="12.9" customHeight="1">
      <c r="A60" s="2"/>
      <c r="B60" s="7" t="s">
        <v>169</v>
      </c>
      <c r="C60" s="8"/>
      <c r="D60" s="8"/>
      <c r="E60" s="8"/>
      <c r="F60" s="8"/>
      <c r="G60" s="8"/>
      <c r="H60" s="9"/>
    </row>
    <row r="61" spans="1:8" ht="12.9" customHeight="1">
      <c r="A61" s="2"/>
      <c r="B61" s="7" t="s">
        <v>170</v>
      </c>
      <c r="C61" s="8"/>
      <c r="D61" s="8"/>
      <c r="E61" s="8"/>
      <c r="F61" s="26"/>
      <c r="G61" s="27"/>
      <c r="H61" s="17"/>
    </row>
    <row r="62" spans="1:8" ht="12.9" customHeight="1">
      <c r="A62" s="1" t="s">
        <v>171</v>
      </c>
      <c r="B62" s="11" t="s">
        <v>172</v>
      </c>
      <c r="C62" s="12" t="s">
        <v>173</v>
      </c>
      <c r="D62" s="8" t="s">
        <v>109</v>
      </c>
      <c r="E62" s="13">
        <v>1682880</v>
      </c>
      <c r="F62" s="14">
        <v>172.87</v>
      </c>
      <c r="G62" s="14">
        <v>0.02</v>
      </c>
      <c r="H62" s="15"/>
    </row>
    <row r="63" spans="1:8" ht="12.9" customHeight="1">
      <c r="A63" s="2"/>
      <c r="B63" s="7" t="s">
        <v>161</v>
      </c>
      <c r="C63" s="8"/>
      <c r="D63" s="8"/>
      <c r="E63" s="8"/>
      <c r="F63" s="16">
        <f>F62</f>
        <v>172.87</v>
      </c>
      <c r="G63" s="16">
        <v>0.02</v>
      </c>
      <c r="H63" s="17"/>
    </row>
    <row r="64" spans="1:8" ht="12.9" customHeight="1">
      <c r="A64" s="2"/>
      <c r="B64" s="18" t="s">
        <v>164</v>
      </c>
      <c r="C64" s="19"/>
      <c r="D64" s="19"/>
      <c r="E64" s="25"/>
      <c r="F64" s="16">
        <f>F63</f>
        <v>172.87</v>
      </c>
      <c r="G64" s="16">
        <v>0.02</v>
      </c>
      <c r="H64" s="22"/>
    </row>
    <row r="65" spans="1:8" ht="13" customHeight="1">
      <c r="A65" s="2"/>
      <c r="B65" s="18" t="s">
        <v>174</v>
      </c>
      <c r="C65" s="19"/>
      <c r="D65" s="19"/>
      <c r="E65" s="8"/>
      <c r="F65" s="16">
        <v>7998.29</v>
      </c>
      <c r="G65" s="16">
        <v>0.84</v>
      </c>
      <c r="H65" s="22"/>
    </row>
    <row r="66" spans="1:8" ht="13" customHeight="1" thickBot="1">
      <c r="A66" s="2"/>
      <c r="B66" s="28" t="s">
        <v>175</v>
      </c>
      <c r="C66" s="29"/>
      <c r="D66" s="29"/>
      <c r="E66" s="29"/>
      <c r="F66" s="30">
        <v>939204.93</v>
      </c>
      <c r="G66" s="31">
        <v>100</v>
      </c>
      <c r="H66" s="32"/>
    </row>
    <row r="67" spans="1:8" ht="13" customHeight="1">
      <c r="A67" s="2"/>
      <c r="B67" s="43"/>
      <c r="C67" s="43"/>
      <c r="D67" s="43"/>
      <c r="E67" s="43"/>
      <c r="F67" s="2"/>
      <c r="G67" s="2"/>
      <c r="H67" s="2"/>
    </row>
    <row r="68" spans="1:8" ht="13" customHeight="1">
      <c r="A68" s="2"/>
      <c r="B68" s="43" t="s">
        <v>176</v>
      </c>
      <c r="C68" s="43"/>
      <c r="D68" s="43"/>
      <c r="E68" s="43"/>
      <c r="F68" s="34"/>
      <c r="G68" s="34"/>
      <c r="H68" s="2"/>
    </row>
    <row r="69" spans="1:8" ht="13" customHeight="1">
      <c r="A69" s="2"/>
      <c r="B69" s="43" t="s">
        <v>177</v>
      </c>
      <c r="C69" s="43"/>
      <c r="D69" s="43"/>
      <c r="E69" s="43"/>
      <c r="F69" s="2"/>
      <c r="G69" s="2"/>
      <c r="H69" s="2"/>
    </row>
    <row r="70" spans="1:8" ht="13" customHeight="1">
      <c r="A70" s="2"/>
      <c r="B70" s="43" t="s">
        <v>178</v>
      </c>
      <c r="C70" s="43"/>
      <c r="D70" s="43"/>
      <c r="E70" s="43"/>
      <c r="F70" s="2"/>
      <c r="G70" s="2"/>
      <c r="H70" s="2"/>
    </row>
    <row r="71" spans="1:8" ht="13" customHeight="1">
      <c r="A71" s="2"/>
      <c r="B71" s="43" t="s">
        <v>179</v>
      </c>
      <c r="C71" s="43"/>
      <c r="D71" s="43"/>
      <c r="E71" s="43"/>
      <c r="F71" s="2"/>
      <c r="G71" s="2"/>
      <c r="H71" s="2"/>
    </row>
    <row r="72" spans="1:8" ht="13" customHeight="1">
      <c r="A72" s="2"/>
      <c r="B72" s="43" t="s">
        <v>180</v>
      </c>
      <c r="C72" s="43"/>
      <c r="D72" s="43"/>
      <c r="E72" s="43"/>
      <c r="F72" s="2"/>
      <c r="G72" s="2"/>
      <c r="H72" s="2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44" t="s">
        <v>181</v>
      </c>
      <c r="C74" s="44"/>
      <c r="D74" s="44"/>
      <c r="E74" s="44"/>
      <c r="F74" s="2"/>
      <c r="G74" s="2"/>
      <c r="H74" s="2"/>
    </row>
    <row r="75" spans="1:8" ht="13" customHeight="1">
      <c r="A75" s="2"/>
      <c r="B75" s="35" t="s">
        <v>182</v>
      </c>
      <c r="C75" s="35" t="s">
        <v>183</v>
      </c>
      <c r="D75" s="2"/>
      <c r="E75" s="2"/>
      <c r="F75" s="2"/>
      <c r="G75" s="2"/>
      <c r="H75" s="2"/>
    </row>
    <row r="76" spans="1:8" ht="13" customHeight="1">
      <c r="A76" s="2"/>
      <c r="B76" s="36" t="s">
        <v>184</v>
      </c>
      <c r="C76" s="37">
        <v>11000</v>
      </c>
      <c r="D76" s="38"/>
      <c r="E76" s="2"/>
      <c r="F76" s="2"/>
      <c r="G76" s="2"/>
      <c r="H76" s="2"/>
    </row>
    <row r="77" spans="1:8" ht="13" customHeight="1">
      <c r="A77" s="2"/>
      <c r="B77" s="39"/>
      <c r="C77" s="40"/>
      <c r="D77" s="38"/>
      <c r="E77" s="2"/>
      <c r="F77" s="2"/>
      <c r="G77" s="2"/>
      <c r="H77" s="2"/>
    </row>
    <row r="78" spans="1:8" ht="13" customHeight="1">
      <c r="A78" s="2"/>
      <c r="B78" s="39"/>
      <c r="C78" s="40"/>
      <c r="D78" s="38"/>
      <c r="E78" s="2"/>
      <c r="F78" s="2"/>
      <c r="G78" s="2"/>
      <c r="H78" s="2"/>
    </row>
    <row r="79" spans="1:8" ht="13" customHeight="1">
      <c r="A79" s="2"/>
      <c r="B79" s="43" t="s">
        <v>185</v>
      </c>
      <c r="C79" s="43"/>
      <c r="D79" s="43"/>
      <c r="E79" s="43"/>
      <c r="F79" s="2"/>
      <c r="G79" s="2"/>
      <c r="H79" s="2"/>
    </row>
    <row r="80" spans="1:8" ht="13" customHeight="1">
      <c r="A80" s="2"/>
      <c r="B80" s="42" t="s">
        <v>186</v>
      </c>
      <c r="C80" s="42"/>
      <c r="D80" s="42"/>
      <c r="E80" s="42"/>
      <c r="F80" s="2"/>
      <c r="G80" s="2"/>
      <c r="H80" s="2"/>
    </row>
    <row r="81" spans="1:8" ht="13" customHeight="1">
      <c r="A81" s="2"/>
      <c r="B81" s="42" t="s">
        <v>187</v>
      </c>
      <c r="C81" s="42"/>
      <c r="D81" s="42"/>
      <c r="E81" s="42"/>
      <c r="F81" s="2"/>
      <c r="G81" s="2"/>
      <c r="H81" s="2"/>
    </row>
    <row r="82" spans="1:8" ht="13" customHeight="1">
      <c r="A82" s="2"/>
      <c r="B82" s="42" t="s">
        <v>188</v>
      </c>
      <c r="C82" s="42"/>
      <c r="D82" s="42"/>
      <c r="E82" s="42"/>
      <c r="F82" s="42"/>
      <c r="G82" s="42"/>
      <c r="H82" s="42"/>
    </row>
    <row r="83" spans="1:8" ht="13" customHeight="1">
      <c r="A83" s="2"/>
      <c r="B83" s="42" t="s">
        <v>189</v>
      </c>
      <c r="C83" s="42"/>
      <c r="D83" s="42"/>
      <c r="E83" s="42"/>
      <c r="F83" s="42"/>
      <c r="G83" s="42"/>
      <c r="H83" s="42"/>
    </row>
    <row r="84" spans="1:8" ht="13" customHeight="1">
      <c r="A84" s="2"/>
      <c r="B84" s="42" t="s">
        <v>190</v>
      </c>
      <c r="C84" s="42"/>
      <c r="D84" s="42"/>
      <c r="E84" s="42"/>
      <c r="F84" s="2"/>
      <c r="G84" s="2"/>
      <c r="H84" s="2"/>
    </row>
    <row r="85" spans="1:8">
      <c r="F85" s="41" t="s">
        <v>191</v>
      </c>
    </row>
    <row r="86" spans="1:8">
      <c r="B86" s="41" t="s">
        <v>192</v>
      </c>
      <c r="F86" s="41" t="s">
        <v>193</v>
      </c>
    </row>
  </sheetData>
  <mergeCells count="17">
    <mergeCell ref="B79:E79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4:E74"/>
    <mergeCell ref="B80:E80"/>
    <mergeCell ref="B81:E81"/>
    <mergeCell ref="B82:H82"/>
    <mergeCell ref="B83:H83"/>
    <mergeCell ref="B84:E84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EBA4-2154-40AD-ABBD-CD6F87B38BA9}">
  <sheetPr codeName="Sheet27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194</v>
      </c>
      <c r="B1" s="43"/>
      <c r="C1" s="43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195</v>
      </c>
      <c r="B3" s="46"/>
      <c r="C3" s="2"/>
      <c r="D3" s="2"/>
      <c r="E3" s="46" t="s">
        <v>196</v>
      </c>
      <c r="F3" s="46"/>
    </row>
    <row r="4" spans="1:6" ht="13" customHeight="1">
      <c r="A4" s="47" t="s">
        <v>197</v>
      </c>
      <c r="B4" s="47" t="s">
        <v>9</v>
      </c>
      <c r="C4" s="2"/>
      <c r="D4" s="2"/>
      <c r="E4" s="47" t="s">
        <v>198</v>
      </c>
      <c r="F4" s="47" t="s">
        <v>199</v>
      </c>
    </row>
    <row r="5" spans="1:6" ht="13" customHeight="1">
      <c r="A5" s="19" t="s">
        <v>14</v>
      </c>
      <c r="B5" s="48">
        <v>7.1800000000000003E-2</v>
      </c>
      <c r="C5" s="2"/>
      <c r="D5" s="2"/>
      <c r="E5" s="19" t="s">
        <v>200</v>
      </c>
      <c r="F5" s="48">
        <v>0.29530000000000001</v>
      </c>
    </row>
    <row r="6" spans="1:6" ht="13" customHeight="1">
      <c r="A6" s="19" t="s">
        <v>18</v>
      </c>
      <c r="B6" s="48">
        <v>5.9499999999999997E-2</v>
      </c>
      <c r="C6" s="2"/>
      <c r="D6" s="2"/>
      <c r="E6" s="19" t="s">
        <v>201</v>
      </c>
      <c r="F6" s="48">
        <v>0.20699999999999999</v>
      </c>
    </row>
    <row r="7" spans="1:6" ht="13" customHeight="1">
      <c r="A7" s="19" t="s">
        <v>22</v>
      </c>
      <c r="B7" s="48">
        <v>4.5600000000000002E-2</v>
      </c>
      <c r="C7" s="2"/>
      <c r="D7" s="2"/>
      <c r="E7" s="19" t="s">
        <v>202</v>
      </c>
      <c r="F7" s="48">
        <v>0.12559999999999999</v>
      </c>
    </row>
    <row r="8" spans="1:6" ht="13" customHeight="1">
      <c r="A8" s="19" t="s">
        <v>26</v>
      </c>
      <c r="B8" s="48">
        <v>4.5499999999999999E-2</v>
      </c>
      <c r="C8" s="2"/>
      <c r="D8" s="2"/>
      <c r="E8" s="19" t="s">
        <v>203</v>
      </c>
      <c r="F8" s="48">
        <v>8.0699999999999994E-2</v>
      </c>
    </row>
    <row r="9" spans="1:6" ht="13" customHeight="1">
      <c r="A9" s="19" t="s">
        <v>30</v>
      </c>
      <c r="B9" s="48">
        <v>4.5199999999999997E-2</v>
      </c>
      <c r="C9" s="2"/>
      <c r="D9" s="2"/>
      <c r="E9" s="19" t="s">
        <v>204</v>
      </c>
      <c r="F9" s="48">
        <v>6.3100000000000003E-2</v>
      </c>
    </row>
    <row r="10" spans="1:6" ht="13" customHeight="1">
      <c r="A10" s="19" t="s">
        <v>34</v>
      </c>
      <c r="B10" s="48">
        <v>4.3200000000000002E-2</v>
      </c>
      <c r="C10" s="2"/>
      <c r="D10" s="2"/>
      <c r="E10" s="19" t="s">
        <v>53</v>
      </c>
      <c r="F10" s="48">
        <v>6.1199999999999997E-2</v>
      </c>
    </row>
    <row r="11" spans="1:6" ht="13" customHeight="1">
      <c r="A11" s="19" t="s">
        <v>37</v>
      </c>
      <c r="B11" s="48">
        <v>3.9899999999999998E-2</v>
      </c>
      <c r="C11" s="2"/>
      <c r="D11" s="2"/>
      <c r="E11" s="19" t="s">
        <v>57</v>
      </c>
      <c r="F11" s="48">
        <v>4.7899999999999998E-2</v>
      </c>
    </row>
    <row r="12" spans="1:6" ht="13" customHeight="1">
      <c r="A12" s="19" t="s">
        <v>41</v>
      </c>
      <c r="B12" s="48">
        <v>3.5400000000000001E-2</v>
      </c>
      <c r="C12" s="2"/>
      <c r="D12" s="2"/>
      <c r="E12" s="19" t="s">
        <v>205</v>
      </c>
      <c r="F12" s="48">
        <v>3.9100000000000003E-2</v>
      </c>
    </row>
    <row r="13" spans="1:6" ht="13" customHeight="1">
      <c r="A13" s="19" t="s">
        <v>206</v>
      </c>
      <c r="B13" s="48">
        <v>3.5099999999999999E-2</v>
      </c>
      <c r="C13" s="2"/>
      <c r="D13" s="2"/>
      <c r="E13" s="19" t="s">
        <v>207</v>
      </c>
      <c r="F13" s="48">
        <v>2.8000000000000001E-2</v>
      </c>
    </row>
    <row r="14" spans="1:6" ht="13" customHeight="1">
      <c r="A14" s="19" t="s">
        <v>47</v>
      </c>
      <c r="B14" s="48">
        <v>3.4299999999999997E-2</v>
      </c>
      <c r="C14" s="2"/>
      <c r="D14" s="2"/>
      <c r="E14" s="19" t="s">
        <v>208</v>
      </c>
      <c r="F14" s="48">
        <v>2.0400000000000001E-2</v>
      </c>
    </row>
    <row r="15" spans="1:6" ht="13" customHeight="1">
      <c r="A15" s="2"/>
      <c r="B15" s="2"/>
      <c r="C15" s="2"/>
      <c r="D15" s="2"/>
      <c r="E15" s="19" t="s">
        <v>209</v>
      </c>
      <c r="F15" s="48">
        <v>1.49E-2</v>
      </c>
    </row>
    <row r="16" spans="1:6" ht="13" customHeight="1">
      <c r="A16" s="2"/>
      <c r="B16" s="2"/>
      <c r="C16" s="2"/>
      <c r="D16" s="2"/>
      <c r="E16" s="19" t="s">
        <v>210</v>
      </c>
      <c r="F16" s="48">
        <v>8.6999999999999994E-3</v>
      </c>
    </row>
    <row r="17" spans="1:6" ht="13" customHeight="1">
      <c r="A17" s="2"/>
      <c r="B17" s="2"/>
      <c r="C17" s="2"/>
      <c r="D17" s="2"/>
      <c r="E17" s="19" t="s">
        <v>169</v>
      </c>
      <c r="F17" s="48">
        <v>8.0000000000000002E-3</v>
      </c>
    </row>
    <row r="18" spans="1:6" ht="13" customHeight="1">
      <c r="A18" s="2"/>
      <c r="B18" s="2"/>
      <c r="C18" s="2"/>
      <c r="D18" s="2"/>
      <c r="E18" s="47" t="s">
        <v>211</v>
      </c>
      <c r="F1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JR_PAGE_ANCHOR_0_20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2026-03-10T05:27:22Z</dcterms:created>
  <dcterms:modified xsi:type="dcterms:W3CDTF">2026-03-10T05:35:00Z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2026-03-10T05:27:26Z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aa8f692e-1677-45d9-8ab7-38f96597101e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