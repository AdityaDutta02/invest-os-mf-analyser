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8F0EDF0D-8A8A-47A2-A5D4-D65AB16096BD}" xr6:coauthVersionLast="46" xr6:coauthVersionMax="46" xr10:uidLastSave="{00000000-0000-0000-0000-000000000000}"/>
  <bookViews>
    <workbookView xWindow="-110" yWindow="-110" windowWidth="19420" windowHeight="10420" xr2:uid="{C0EE7A05-9300-4A08-A826-87910151A903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 localSheetId="1">RMSCF!$A$1</definedName>
    <definedName name="JR_PAGE_ANCHOR_0_30">Multicap!$A$1</definedName>
    <definedName name="JR_PAGE_ANCHOR_0_4">[24]IFEF!$A$1</definedName>
    <definedName name="JR_PAGE_ANCHOR_0_5">[25]IFMP31D!$A$1</definedName>
    <definedName name="JR_PAGE_ANCHOR_0_6">[26]IFMP33B!$A$1</definedName>
    <definedName name="JR_PAGE_ANCHOR_0_7">[27]IFMP33D!$A$1</definedName>
    <definedName name="JR_PAGE_ANCHOR_0_8">[28]IGCTFOF!$A$1</definedName>
    <definedName name="JR_PAGE_ANCHOR_0_9">[29]IMDF!$A$1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9" i="1" l="1"/>
</calcChain>
</file>

<file path=xl/sharedStrings.xml><?xml version="1.0" encoding="utf-8"?>
<sst xmlns="http://schemas.openxmlformats.org/spreadsheetml/2006/main" count="315" uniqueCount="255">
  <si>
    <t>RMSCF</t>
  </si>
  <si>
    <t>INVESCO MUTUAL FUND</t>
  </si>
  <si>
    <t>Monthly Portfolio Statement as on December 31, 2021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</si>
  <si>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</si>
  <si>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</si>
  <si>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</si>
  <si>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</si>
  <si>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</si>
  <si>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</si>
  <si>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</si>
  <si>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</si>
  <si>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</si>
  <si>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</si>
  <si>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</si>
  <si>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</si>
  <si>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</si>
  <si>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</si>
  <si>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</si>
  <si>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</si>
  <si>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</si>
  <si>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TEMA02</t>
  </si>
  <si>
    <t>Tech Mahindra Limited</t>
  </si>
  <si>
    <t>INE669C01036</t>
  </si>
  <si>
    <t>Software</t>
  </si>
  <si>
    <t>MIIL02</t>
  </si>
  <si>
    <t>Minda Industries Limited</t>
  </si>
  <si>
    <t>INE405E01023</t>
  </si>
  <si>
    <t>Auto Ancillaries</t>
  </si>
  <si>
    <t>LARS02</t>
  </si>
  <si>
    <t>Larsen &amp; Toubro Limited</t>
  </si>
  <si>
    <t>INE018A01030</t>
  </si>
  <si>
    <t>Construction Project</t>
  </si>
  <si>
    <t>BFLS01</t>
  </si>
  <si>
    <t>MphasiS Limited</t>
  </si>
  <si>
    <t>INE356A01018</t>
  </si>
  <si>
    <t>KPIT03</t>
  </si>
  <si>
    <t>Birlasoft Limited</t>
  </si>
  <si>
    <t>INE836A01035</t>
  </si>
  <si>
    <t>SBAI02</t>
  </si>
  <si>
    <t>State Bank of India</t>
  </si>
  <si>
    <t>INE062A01020</t>
  </si>
  <si>
    <t>BIRJ01</t>
  </si>
  <si>
    <t>Birla Corporation Limited</t>
  </si>
  <si>
    <t>INE340A01012</t>
  </si>
  <si>
    <t>Cement &amp; Cement Products</t>
  </si>
  <si>
    <t>JBCH02</t>
  </si>
  <si>
    <t>JB Chemicals &amp; Pharmaceuticals Limited</t>
  </si>
  <si>
    <t>INE572A01028</t>
  </si>
  <si>
    <t>Pharmaceuticals</t>
  </si>
  <si>
    <t>BHEL02</t>
  </si>
  <si>
    <t>Bharat Electronics Limited</t>
  </si>
  <si>
    <t>INE263A01024</t>
  </si>
  <si>
    <t>Aerospace &amp; Defense</t>
  </si>
  <si>
    <t>LTTS01</t>
  </si>
  <si>
    <t>L&amp;T Technology Services Limited</t>
  </si>
  <si>
    <t>INE010V01017</t>
  </si>
  <si>
    <t>GLAN02</t>
  </si>
  <si>
    <t>Gland Pharma Limited</t>
  </si>
  <si>
    <t>INE068V01023</t>
  </si>
  <si>
    <t>TCIE01</t>
  </si>
  <si>
    <t>TCI Express Limited</t>
  </si>
  <si>
    <t>INE586V01016</t>
  </si>
  <si>
    <t>Transportation</t>
  </si>
  <si>
    <t>BALI02</t>
  </si>
  <si>
    <t>Balkrishna Industries Limited</t>
  </si>
  <si>
    <t>INE787D01026</t>
  </si>
  <si>
    <t>SUFA02</t>
  </si>
  <si>
    <t>Sundram Fasteners Limited</t>
  </si>
  <si>
    <t>INE387A01021</t>
  </si>
  <si>
    <t>GUAM02</t>
  </si>
  <si>
    <t>Ambuja Cements Limited</t>
  </si>
  <si>
    <t>INE079A01024</t>
  </si>
  <si>
    <t>UTIA01</t>
  </si>
  <si>
    <t>UTI Asset Management Company Limited</t>
  </si>
  <si>
    <t>INE094J01016</t>
  </si>
  <si>
    <t>Capital Markets</t>
  </si>
  <si>
    <t>HAIL03</t>
  </si>
  <si>
    <t>Havells India Limited</t>
  </si>
  <si>
    <t>INE176B01034</t>
  </si>
  <si>
    <t>Consumer Durables</t>
  </si>
  <si>
    <t>VIPI02</t>
  </si>
  <si>
    <t>VIP Industries Limited</t>
  </si>
  <si>
    <t>INE054A01027</t>
  </si>
  <si>
    <t>VMAR01</t>
  </si>
  <si>
    <t>V-Mart Retail Limited</t>
  </si>
  <si>
    <t>INE665J01013</t>
  </si>
  <si>
    <t>Retailing</t>
  </si>
  <si>
    <t>CHOL02</t>
  </si>
  <si>
    <t>Cholamandalam Investment and Finance Company Limited</t>
  </si>
  <si>
    <t>INE121A01024</t>
  </si>
  <si>
    <t>Finance</t>
  </si>
  <si>
    <t>UBBL02</t>
  </si>
  <si>
    <t>United Breweries Limited</t>
  </si>
  <si>
    <t>INE686F01025</t>
  </si>
  <si>
    <t>Consumer Non Durables</t>
  </si>
  <si>
    <t>TIIN01</t>
  </si>
  <si>
    <t>Timken India Limited</t>
  </si>
  <si>
    <t>INE325A01013</t>
  </si>
  <si>
    <t>Industrial Products</t>
  </si>
  <si>
    <t>VORL03</t>
  </si>
  <si>
    <t>Vinati Organics Limited</t>
  </si>
  <si>
    <t>INE410B01037</t>
  </si>
  <si>
    <t>Chemicals</t>
  </si>
  <si>
    <t>MTAR01</t>
  </si>
  <si>
    <t>MTAR Technologies Limited</t>
  </si>
  <si>
    <t>INE864I01014</t>
  </si>
  <si>
    <t>OREL01</t>
  </si>
  <si>
    <t>Orient Electric Limited</t>
  </si>
  <si>
    <t>INE142Z01019</t>
  </si>
  <si>
    <t>TELC04</t>
  </si>
  <si>
    <t>Tata Motors Limited</t>
  </si>
  <si>
    <t>IN9155A01020</t>
  </si>
  <si>
    <t>Auto</t>
  </si>
  <si>
    <t>BLDA01</t>
  </si>
  <si>
    <t>Blue Dart Express Limited</t>
  </si>
  <si>
    <t>INE233B01017</t>
  </si>
  <si>
    <t>IGAS02</t>
  </si>
  <si>
    <t>Indraprastha Gas Limited</t>
  </si>
  <si>
    <t>INE203G01027</t>
  </si>
  <si>
    <t>Gas</t>
  </si>
  <si>
    <t>JAAU03</t>
  </si>
  <si>
    <t>Jamna Auto Industries Limited</t>
  </si>
  <si>
    <t>INE039C01032</t>
  </si>
  <si>
    <t>BAFL02</t>
  </si>
  <si>
    <t>Bajaj Finance Limited</t>
  </si>
  <si>
    <t>INE296A01024</t>
  </si>
  <si>
    <t>PNCI02</t>
  </si>
  <si>
    <t>PNC Infratech Limited</t>
  </si>
  <si>
    <t>INE195J01029</t>
  </si>
  <si>
    <t>Construction</t>
  </si>
  <si>
    <t>AIEL02</t>
  </si>
  <si>
    <t>AIA Engineering Limited</t>
  </si>
  <si>
    <t>INE212H01026</t>
  </si>
  <si>
    <t>RAKH02</t>
  </si>
  <si>
    <t>Radico Khaitan Limited</t>
  </si>
  <si>
    <t>INE944F01028</t>
  </si>
  <si>
    <t>BALN01</t>
  </si>
  <si>
    <t>Bajaj Auto Limited</t>
  </si>
  <si>
    <t>INE917I01010</t>
  </si>
  <si>
    <t>SLIF01</t>
  </si>
  <si>
    <t>SBI Life Insurance Company Limited</t>
  </si>
  <si>
    <t>INE123W01016</t>
  </si>
  <si>
    <t>Insurance</t>
  </si>
  <si>
    <t>GRIF02</t>
  </si>
  <si>
    <t>G R Infraprojects Limited</t>
  </si>
  <si>
    <t>INE201P01022</t>
  </si>
  <si>
    <t>RATM02</t>
  </si>
  <si>
    <t>Ratnamani Metals &amp; Tubes Limited</t>
  </si>
  <si>
    <t>INE703B01027</t>
  </si>
  <si>
    <t>Ferrous Metals</t>
  </si>
  <si>
    <t>FPBL01</t>
  </si>
  <si>
    <t>Fino Payments Bank Limited</t>
  </si>
  <si>
    <t>INE02NC01014</t>
  </si>
  <si>
    <t>INBK01</t>
  </si>
  <si>
    <t>Indian Bank</t>
  </si>
  <si>
    <t>INE562A01011</t>
  </si>
  <si>
    <t>KRSN01</t>
  </si>
  <si>
    <t>Krsnaa Diagnostics Limited</t>
  </si>
  <si>
    <t>INE08LI01020</t>
  </si>
  <si>
    <t>Healthcare Services</t>
  </si>
  <si>
    <t>DFMF02</t>
  </si>
  <si>
    <t>DFM Foods Limited</t>
  </si>
  <si>
    <t>INE456C01020</t>
  </si>
  <si>
    <t>REHO01</t>
  </si>
  <si>
    <t>Repco Home Finance Limited</t>
  </si>
  <si>
    <t>INE612J01015</t>
  </si>
  <si>
    <t>SBCP01</t>
  </si>
  <si>
    <t>SBI Cards and Payment Services Limited</t>
  </si>
  <si>
    <t>INE018E01016</t>
  </si>
  <si>
    <t>KCUL02</t>
  </si>
  <si>
    <t>Cummins India Limited</t>
  </si>
  <si>
    <t>INE298A01020</t>
  </si>
  <si>
    <t>IBHF01</t>
  </si>
  <si>
    <t>Indiabulls Housing Finance Limited</t>
  </si>
  <si>
    <t>INE148I01020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</si>
  <si>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</si>
  <si>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</si>
  <si>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</si>
  <si>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</si>
  <si>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</si>
  <si>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</si>
  <si>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</si>
  <si>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</si>
  <si>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</si>
  <si>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</si>
  <si>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</si>
  <si>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</si>
  <si>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</si>
  <si>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</si>
  <si>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</si>
  <si>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</si>
  <si>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</si>
  <si>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</si>
  <si>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Invesco India Multicap Fund (An open ended equity scheme investing across largecap, mid cap, small cap stocks)</t>
  </si>
  <si>
    <t>A.</t>
  </si>
  <si>
    <t>Hedging Positions through Futures as on December 31, 2021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</si>
  <si>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</si>
  <si>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</si>
  <si>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</si>
  <si>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</si>
  <si>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</si>
  <si>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</si>
  <si>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December 31, 2021 are as follows:</t>
  </si>
  <si>
    <t>Total Number of contracts where futures were bought : 120</t>
  </si>
  <si>
    <t>Total Number of contracts where futures were sold : 120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</si>
  <si>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45,483,600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</si>
  <si>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46,297,781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</si>
  <si>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797,583</t>
    </r>
  </si>
  <si>
    <t>B.</t>
  </si>
  <si>
    <t>Other than Hedging Positions through Futures as on December 31, 2021</t>
  </si>
  <si>
    <t>Details of non-hedging transactions through futures which have been squared off  / expired during the period ended December 31, 2021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</si>
  <si>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</si>
  <si>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</si>
  <si>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</si>
  <si>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</si>
  <si>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</si>
  <si>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</si>
  <si>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December 31, 2021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</si>
  <si>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</si>
  <si>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</si>
  <si>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</si>
  <si>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</si>
  <si>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December 31, 2021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</si>
  <si>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</si>
  <si>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December 31, 2021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</si>
  <si>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</si>
  <si>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</si>
  <si>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</si>
  <si>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</si>
  <si>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December 31, 2021 are as follows:
Total Number of contracts entered into : Nil
Gross Notional Value of contracts : Nil
Net Profit/(Loss) on all contracts (premium paid treated as loss) : Nil</t>
  </si>
  <si>
    <t>E.</t>
  </si>
  <si>
    <t>Hedging Positions through swaps as on December 31, 2021 -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</si>
  <si>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</si>
  <si>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</si>
  <si>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</si>
  <si>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</si>
  <si>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</si>
  <si>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</t>
  </si>
  <si>
    <t>Oil &amp; Gas</t>
  </si>
  <si>
    <t>Consumer Services</t>
  </si>
  <si>
    <t>Others</t>
  </si>
  <si>
    <t>Services</t>
  </si>
  <si>
    <t>Pharma</t>
  </si>
  <si>
    <t>Industrial Manufacturing</t>
  </si>
  <si>
    <t>Consumer Goods</t>
  </si>
  <si>
    <t>IT</t>
  </si>
  <si>
    <t>Clearing Corporation of India Ltd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</si>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</sst>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9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0" fillId="0" borderId="0" xfId="0" applyNumberFormat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36E22B6-E022-4F8B-AB4B-B61DC89ADB9A}"/>
    <cellStyle name="Normal 6" xfId="1" xr:uid="{8F32B85B-BD30-46A9-9FDB-AA3D53EA06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2857500</xdr:colOff>
      <xdr:row>142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771ED-2158-494C-9995-F48B2D7E23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482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7</xdr:col>
      <xdr:colOff>609600</xdr:colOff>
      <xdr:row>142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9277D1-D1C3-4521-A05F-1D9328AB98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54825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6A56-C1D0-408B-9B90-26F9C2E32B5B}">
  <sheetPr codeName="Sheet11">
    <outlinePr summaryBelow="0"/>
  </sheetPr>
  <dimension ref="A1:H131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93" t="s">
        <v>1</v>
      </c>
      <c r="C1" s="93"/>
      <c r="D1" s="93"/>
      <c r="E1" s="93"/>
      <c r="F1" s="93"/>
      <c r="G1" s="93"/>
      <c r="H1" s="93"/>
    </row>
    <row r="2" spans="1:8" ht="20.149999999999999" customHeight="1">
      <c r="A2" s="2"/>
      <c r="B2" s="93" t="s">
        <v>2</v>
      </c>
      <c r="C2" s="93"/>
      <c r="D2" s="93"/>
      <c r="E2" s="93"/>
      <c r="F2" s="93"/>
      <c r="G2" s="93"/>
      <c r="H2" s="93"/>
    </row>
    <row r="3" spans="1:8" ht="40.5" customHeight="1">
      <c r="A3" s="2"/>
      <c r="B3" s="93" t="s">
        <v>3</v>
      </c>
      <c r="C3" s="93"/>
      <c r="D3" s="93"/>
      <c r="E3" s="93"/>
      <c r="F3" s="93"/>
      <c r="G3" s="93"/>
      <c r="H3" s="9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1511790</v>
      </c>
      <c r="F8" s="15">
        <v>11189.51</v>
      </c>
      <c r="G8" s="15">
        <v>6.22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1055369</v>
      </c>
      <c r="F9" s="15">
        <v>7161.21</v>
      </c>
      <c r="G9" s="15">
        <v>3.98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371831</v>
      </c>
      <c r="F10" s="15">
        <v>6657.82</v>
      </c>
      <c r="G10" s="15">
        <v>3.7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508853</v>
      </c>
      <c r="F11" s="15">
        <v>6232.69</v>
      </c>
      <c r="G11" s="15">
        <v>3.47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301185</v>
      </c>
      <c r="F12" s="15">
        <v>5710.17</v>
      </c>
      <c r="G12" s="15">
        <v>3.18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23</v>
      </c>
      <c r="E13" s="14">
        <v>164445</v>
      </c>
      <c r="F13" s="15">
        <v>5585.7</v>
      </c>
      <c r="G13" s="15">
        <v>3.11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23</v>
      </c>
      <c r="E14" s="14">
        <v>960471</v>
      </c>
      <c r="F14" s="15">
        <v>5231.6899999999996</v>
      </c>
      <c r="G14" s="15">
        <v>2.91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16</v>
      </c>
      <c r="E15" s="14">
        <v>1116588</v>
      </c>
      <c r="F15" s="15">
        <v>5141.33</v>
      </c>
      <c r="G15" s="15">
        <v>2.86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327361</v>
      </c>
      <c r="F16" s="15">
        <v>4653.93</v>
      </c>
      <c r="G16" s="15">
        <v>2.59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250380</v>
      </c>
      <c r="F17" s="15">
        <v>4456.01</v>
      </c>
      <c r="G17" s="15">
        <v>2.48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2066150</v>
      </c>
      <c r="F18" s="15">
        <v>4337.88</v>
      </c>
      <c r="G18" s="15">
        <v>2.41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23</v>
      </c>
      <c r="E19" s="14">
        <v>75998</v>
      </c>
      <c r="F19" s="15">
        <v>4255.09</v>
      </c>
      <c r="G19" s="15">
        <v>2.37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48</v>
      </c>
      <c r="E20" s="14">
        <v>106955</v>
      </c>
      <c r="F20" s="15">
        <v>4133.33</v>
      </c>
      <c r="G20" s="15">
        <v>2.2999999999999998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185393</v>
      </c>
      <c r="F21" s="15">
        <v>4103.12</v>
      </c>
      <c r="G21" s="15">
        <v>2.2799999999999998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27</v>
      </c>
      <c r="E22" s="14">
        <v>173155</v>
      </c>
      <c r="F22" s="15">
        <v>4023.08</v>
      </c>
      <c r="G22" s="15">
        <v>2.2400000000000002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27</v>
      </c>
      <c r="E23" s="14">
        <v>434245</v>
      </c>
      <c r="F23" s="15">
        <v>3963.79</v>
      </c>
      <c r="G23" s="15">
        <v>2.2000000000000002</v>
      </c>
      <c r="H23" s="16"/>
    </row>
    <row r="24" spans="1:8" ht="13" customHeight="1">
      <c r="A24" s="11" t="s">
        <v>69</v>
      </c>
      <c r="B24" s="12" t="s">
        <v>70</v>
      </c>
      <c r="C24" s="13" t="s">
        <v>71</v>
      </c>
      <c r="D24" s="8" t="s">
        <v>44</v>
      </c>
      <c r="E24" s="14">
        <v>960901</v>
      </c>
      <c r="F24" s="15">
        <v>3627.4</v>
      </c>
      <c r="G24" s="15">
        <v>2.02</v>
      </c>
      <c r="H24" s="16"/>
    </row>
    <row r="25" spans="1:8" ht="13" customHeight="1">
      <c r="A25" s="11" t="s">
        <v>72</v>
      </c>
      <c r="B25" s="12" t="s">
        <v>73</v>
      </c>
      <c r="C25" s="13" t="s">
        <v>74</v>
      </c>
      <c r="D25" s="8" t="s">
        <v>75</v>
      </c>
      <c r="E25" s="14">
        <v>340289</v>
      </c>
      <c r="F25" s="15">
        <v>3583.75</v>
      </c>
      <c r="G25" s="15">
        <v>1.99</v>
      </c>
      <c r="H25" s="16"/>
    </row>
    <row r="26" spans="1:8" ht="13" customHeight="1">
      <c r="A26" s="11" t="s">
        <v>76</v>
      </c>
      <c r="B26" s="12" t="s">
        <v>77</v>
      </c>
      <c r="C26" s="13" t="s">
        <v>78</v>
      </c>
      <c r="D26" s="8" t="s">
        <v>79</v>
      </c>
      <c r="E26" s="14">
        <v>256151</v>
      </c>
      <c r="F26" s="15">
        <v>3578.43</v>
      </c>
      <c r="G26" s="15">
        <v>1.99</v>
      </c>
      <c r="H26" s="16"/>
    </row>
    <row r="27" spans="1:8" ht="13" customHeight="1">
      <c r="A27" s="11" t="s">
        <v>80</v>
      </c>
      <c r="B27" s="12" t="s">
        <v>81</v>
      </c>
      <c r="C27" s="13" t="s">
        <v>82</v>
      </c>
      <c r="D27" s="8" t="s">
        <v>79</v>
      </c>
      <c r="E27" s="14">
        <v>658291</v>
      </c>
      <c r="F27" s="15">
        <v>3546.21</v>
      </c>
      <c r="G27" s="15">
        <v>1.97</v>
      </c>
      <c r="H27" s="16"/>
    </row>
    <row r="28" spans="1:8" ht="13" customHeight="1">
      <c r="A28" s="11" t="s">
        <v>83</v>
      </c>
      <c r="B28" s="12" t="s">
        <v>84</v>
      </c>
      <c r="C28" s="13" t="s">
        <v>85</v>
      </c>
      <c r="D28" s="8" t="s">
        <v>86</v>
      </c>
      <c r="E28" s="14">
        <v>94819</v>
      </c>
      <c r="F28" s="15">
        <v>3541.68</v>
      </c>
      <c r="G28" s="15">
        <v>1.97</v>
      </c>
      <c r="H28" s="16"/>
    </row>
    <row r="29" spans="1:8" ht="13" customHeight="1">
      <c r="A29" s="11" t="s">
        <v>87</v>
      </c>
      <c r="B29" s="12" t="s">
        <v>88</v>
      </c>
      <c r="C29" s="13" t="s">
        <v>89</v>
      </c>
      <c r="D29" s="8" t="s">
        <v>90</v>
      </c>
      <c r="E29" s="14">
        <v>667817</v>
      </c>
      <c r="F29" s="15">
        <v>3475.32</v>
      </c>
      <c r="G29" s="15">
        <v>1.93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218539</v>
      </c>
      <c r="F30" s="15">
        <v>3466.14</v>
      </c>
      <c r="G30" s="15">
        <v>1.93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174190</v>
      </c>
      <c r="F31" s="15">
        <v>3463.16</v>
      </c>
      <c r="G31" s="15">
        <v>1.93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170013</v>
      </c>
      <c r="F32" s="15">
        <v>3380.03</v>
      </c>
      <c r="G32" s="15">
        <v>1.88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52</v>
      </c>
      <c r="E33" s="14">
        <v>136037</v>
      </c>
      <c r="F33" s="15">
        <v>3350.66</v>
      </c>
      <c r="G33" s="15">
        <v>1.86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79</v>
      </c>
      <c r="E34" s="14">
        <v>808306</v>
      </c>
      <c r="F34" s="15">
        <v>3037.21</v>
      </c>
      <c r="G34" s="15">
        <v>1.69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1229059</v>
      </c>
      <c r="F35" s="15">
        <v>2941.75</v>
      </c>
      <c r="G35" s="15">
        <v>1.64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62</v>
      </c>
      <c r="E36" s="14">
        <v>45430</v>
      </c>
      <c r="F36" s="15">
        <v>2872.54</v>
      </c>
      <c r="G36" s="15">
        <v>1.6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602618</v>
      </c>
      <c r="F37" s="15">
        <v>2834.72</v>
      </c>
      <c r="G37" s="15">
        <v>1.58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27</v>
      </c>
      <c r="E38" s="14">
        <v>2729994</v>
      </c>
      <c r="F38" s="15">
        <v>2815.99</v>
      </c>
      <c r="G38" s="15">
        <v>1.57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90</v>
      </c>
      <c r="E39" s="14">
        <v>40081</v>
      </c>
      <c r="F39" s="15">
        <v>2796.57</v>
      </c>
      <c r="G39" s="15">
        <v>1.56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1051524</v>
      </c>
      <c r="F40" s="15">
        <v>2769.19</v>
      </c>
      <c r="G40" s="15">
        <v>1.54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98</v>
      </c>
      <c r="E41" s="14">
        <v>141637</v>
      </c>
      <c r="F41" s="15">
        <v>2652.08</v>
      </c>
      <c r="G41" s="15">
        <v>1.47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94</v>
      </c>
      <c r="E42" s="14">
        <v>213744</v>
      </c>
      <c r="F42" s="15">
        <v>2642.2</v>
      </c>
      <c r="G42" s="15">
        <v>1.47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112</v>
      </c>
      <c r="E43" s="14">
        <v>80755</v>
      </c>
      <c r="F43" s="15">
        <v>2623.93</v>
      </c>
      <c r="G43" s="15">
        <v>1.46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210029</v>
      </c>
      <c r="F44" s="15">
        <v>2511.9499999999998</v>
      </c>
      <c r="G44" s="15">
        <v>1.4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129</v>
      </c>
      <c r="E45" s="14">
        <v>135741</v>
      </c>
      <c r="F45" s="15">
        <v>2363.79</v>
      </c>
      <c r="G45" s="15">
        <v>1.31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149</v>
      </c>
      <c r="E46" s="14">
        <v>118811</v>
      </c>
      <c r="F46" s="15">
        <v>2310.2199999999998</v>
      </c>
      <c r="G46" s="15">
        <v>1.28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16</v>
      </c>
      <c r="E47" s="14">
        <v>594265</v>
      </c>
      <c r="F47" s="15">
        <v>2204.13</v>
      </c>
      <c r="G47" s="15">
        <v>1.23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16</v>
      </c>
      <c r="E48" s="14">
        <v>1560216</v>
      </c>
      <c r="F48" s="15">
        <v>2178.06</v>
      </c>
      <c r="G48" s="15">
        <v>1.21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159</v>
      </c>
      <c r="E49" s="14">
        <v>276093</v>
      </c>
      <c r="F49" s="15">
        <v>2036.05</v>
      </c>
      <c r="G49" s="15">
        <v>1.1299999999999999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94</v>
      </c>
      <c r="E50" s="14">
        <v>681248</v>
      </c>
      <c r="F50" s="15">
        <v>2002.19</v>
      </c>
      <c r="G50" s="15">
        <v>1.1100000000000001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90</v>
      </c>
      <c r="E51" s="14">
        <v>722724</v>
      </c>
      <c r="F51" s="15">
        <v>1934.73</v>
      </c>
      <c r="G51" s="15">
        <v>1.08</v>
      </c>
      <c r="H51" s="16"/>
    </row>
    <row r="52" spans="1:8" ht="13" customHeight="1">
      <c r="A52" s="11" t="s">
        <v>166</v>
      </c>
      <c r="B52" s="12" t="s">
        <v>167</v>
      </c>
      <c r="C52" s="13" t="s">
        <v>168</v>
      </c>
      <c r="D52" s="8" t="s">
        <v>90</v>
      </c>
      <c r="E52" s="14">
        <v>201558</v>
      </c>
      <c r="F52" s="15">
        <v>1870.76</v>
      </c>
      <c r="G52" s="15">
        <v>1.04</v>
      </c>
      <c r="H52" s="16"/>
    </row>
    <row r="53" spans="1:8" ht="13" customHeight="1">
      <c r="A53" s="11" t="s">
        <v>169</v>
      </c>
      <c r="B53" s="12" t="s">
        <v>170</v>
      </c>
      <c r="C53" s="13" t="s">
        <v>171</v>
      </c>
      <c r="D53" s="8" t="s">
        <v>98</v>
      </c>
      <c r="E53" s="14">
        <v>194103</v>
      </c>
      <c r="F53" s="15">
        <v>1828.06</v>
      </c>
      <c r="G53" s="15">
        <v>1.02</v>
      </c>
      <c r="H53" s="16"/>
    </row>
    <row r="54" spans="1:8" ht="13" customHeight="1">
      <c r="A54" s="11" t="s">
        <v>172</v>
      </c>
      <c r="B54" s="12" t="s">
        <v>173</v>
      </c>
      <c r="C54" s="13" t="s">
        <v>174</v>
      </c>
      <c r="D54" s="8" t="s">
        <v>90</v>
      </c>
      <c r="E54" s="14">
        <v>755299</v>
      </c>
      <c r="F54" s="15">
        <v>1646.55</v>
      </c>
      <c r="G54" s="15">
        <v>0.92</v>
      </c>
      <c r="H54" s="16"/>
    </row>
    <row r="55" spans="1:8" ht="13" customHeight="1">
      <c r="A55" s="2"/>
      <c r="B55" s="7" t="s">
        <v>175</v>
      </c>
      <c r="C55" s="8"/>
      <c r="D55" s="8"/>
      <c r="E55" s="8"/>
      <c r="F55" s="17">
        <v>172721.8</v>
      </c>
      <c r="G55" s="17">
        <v>96.08</v>
      </c>
      <c r="H55" s="18"/>
    </row>
    <row r="56" spans="1:8" ht="13" customHeight="1">
      <c r="A56" s="2"/>
      <c r="B56" s="19" t="s">
        <v>176</v>
      </c>
      <c r="C56" s="20"/>
      <c r="D56" s="20"/>
      <c r="E56" s="21"/>
      <c r="F56" s="22" t="s">
        <v>177</v>
      </c>
      <c r="G56" s="22" t="s">
        <v>177</v>
      </c>
      <c r="H56" s="23" t="s">
        <v>177</v>
      </c>
    </row>
    <row r="57" spans="1:8" ht="13" customHeight="1">
      <c r="A57" s="2"/>
      <c r="B57" s="24" t="s">
        <v>175</v>
      </c>
      <c r="C57" s="25"/>
      <c r="D57" s="25"/>
      <c r="E57" s="22"/>
      <c r="F57" s="22" t="s">
        <v>177</v>
      </c>
      <c r="G57" s="22" t="s">
        <v>177</v>
      </c>
      <c r="H57" s="23" t="s">
        <v>177</v>
      </c>
    </row>
    <row r="58" spans="1:8" ht="13" customHeight="1">
      <c r="A58" s="2"/>
      <c r="B58" s="19" t="s">
        <v>178</v>
      </c>
      <c r="C58" s="20"/>
      <c r="D58" s="20"/>
      <c r="E58" s="26"/>
      <c r="F58" s="17">
        <v>172721.8</v>
      </c>
      <c r="G58" s="17">
        <v>96.08</v>
      </c>
      <c r="H58" s="23"/>
    </row>
    <row r="59" spans="1:8" ht="13" customHeight="1">
      <c r="A59" s="2"/>
      <c r="B59" s="7" t="s">
        <v>179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180</v>
      </c>
      <c r="C60" s="10"/>
      <c r="D60" s="10"/>
      <c r="E60" s="8"/>
      <c r="F60" s="8"/>
      <c r="G60" s="8"/>
      <c r="H60" s="9"/>
    </row>
    <row r="61" spans="1:8" ht="13" customHeight="1">
      <c r="A61" s="11" t="s">
        <v>181</v>
      </c>
      <c r="B61" s="12" t="s">
        <v>182</v>
      </c>
      <c r="C61" s="13"/>
      <c r="D61" s="8"/>
      <c r="E61" s="14"/>
      <c r="F61" s="15">
        <v>6651.94</v>
      </c>
      <c r="G61" s="15">
        <v>3.7</v>
      </c>
      <c r="H61" s="16">
        <v>3.4500000000000003E-2</v>
      </c>
    </row>
    <row r="62" spans="1:8" ht="13" customHeight="1">
      <c r="A62" s="2"/>
      <c r="B62" s="7" t="s">
        <v>175</v>
      </c>
      <c r="C62" s="8"/>
      <c r="D62" s="8"/>
      <c r="E62" s="8"/>
      <c r="F62" s="17">
        <v>6651.94</v>
      </c>
      <c r="G62" s="17">
        <v>3.7</v>
      </c>
      <c r="H62" s="18"/>
    </row>
    <row r="63" spans="1:8" ht="13" customHeight="1">
      <c r="A63" s="2"/>
      <c r="B63" s="19" t="s">
        <v>178</v>
      </c>
      <c r="C63" s="20"/>
      <c r="D63" s="20"/>
      <c r="E63" s="26"/>
      <c r="F63" s="17">
        <v>6651.94</v>
      </c>
      <c r="G63" s="17">
        <v>3.7</v>
      </c>
      <c r="H63" s="23"/>
    </row>
    <row r="64" spans="1:8" ht="13" customHeight="1">
      <c r="A64" s="2"/>
      <c r="B64" s="19" t="s">
        <v>183</v>
      </c>
      <c r="C64" s="20"/>
      <c r="D64" s="20"/>
      <c r="E64" s="8"/>
      <c r="F64" s="17">
        <v>456.54</v>
      </c>
      <c r="G64" s="17">
        <v>0.22</v>
      </c>
      <c r="H64" s="23"/>
    </row>
    <row r="65" spans="1:8" ht="13" customHeight="1" thickBot="1">
      <c r="A65" s="2"/>
      <c r="B65" s="27" t="s">
        <v>184</v>
      </c>
      <c r="C65" s="28"/>
      <c r="D65" s="28"/>
      <c r="E65" s="28"/>
      <c r="F65" s="29">
        <v>179830.28</v>
      </c>
      <c r="G65" s="30">
        <v>100</v>
      </c>
      <c r="H65" s="31"/>
    </row>
    <row r="66" spans="1:8" ht="13" customHeight="1">
      <c r="A66" s="2"/>
      <c r="B66" s="87"/>
      <c r="C66" s="87"/>
      <c r="D66" s="87"/>
      <c r="E66" s="87"/>
      <c r="F66" s="2"/>
      <c r="G66" s="2"/>
      <c r="H66" s="2"/>
    </row>
    <row r="67" spans="1:8" ht="13" customHeight="1">
      <c r="A67" s="2"/>
      <c r="B67" s="87"/>
      <c r="C67" s="87"/>
      <c r="D67" s="87"/>
      <c r="E67" s="87"/>
      <c r="F67" s="2"/>
      <c r="G67" s="2"/>
      <c r="H67" s="2"/>
    </row>
    <row r="68" spans="1:8" ht="13" customHeight="1">
      <c r="A68" s="2"/>
      <c r="B68" s="87"/>
      <c r="C68" s="87"/>
      <c r="D68" s="87"/>
      <c r="E68" s="87"/>
      <c r="F68" s="2"/>
      <c r="G68" s="2"/>
      <c r="H68" s="2"/>
    </row>
    <row r="69" spans="1:8" ht="13" customHeight="1">
      <c r="A69" s="2"/>
      <c r="B69" s="86"/>
      <c r="C69" s="86"/>
      <c r="D69" s="86"/>
      <c r="E69" s="86"/>
      <c r="F69" s="2"/>
      <c r="G69" s="2"/>
      <c r="H69" s="2"/>
    </row>
    <row r="70" spans="1:8" ht="13" customHeight="1">
      <c r="A70" s="2"/>
      <c r="B70" s="87" t="s">
        <v>185</v>
      </c>
      <c r="C70" s="87"/>
      <c r="D70" s="87"/>
      <c r="E70" s="87"/>
      <c r="F70" s="2"/>
      <c r="G70" s="2"/>
      <c r="H70" s="2"/>
    </row>
    <row r="71" spans="1:8" ht="13" customHeight="1">
      <c r="A71" s="2"/>
      <c r="B71" s="88"/>
      <c r="C71" s="88"/>
      <c r="D71" s="88"/>
      <c r="E71" s="88"/>
      <c r="F71" s="2"/>
      <c r="G71" s="2"/>
      <c r="H71" s="2"/>
    </row>
    <row r="73" spans="1:8">
      <c r="B73" s="89" t="s">
        <v>186</v>
      </c>
      <c r="C73" s="89"/>
      <c r="D73" s="89"/>
      <c r="E73" s="89"/>
    </row>
    <row r="74" spans="1:8">
      <c r="B74" s="90" t="s">
        <v>187</v>
      </c>
      <c r="C74" s="90"/>
      <c r="D74" s="33"/>
      <c r="E74" s="33"/>
    </row>
    <row r="75" spans="1:8">
      <c r="B75" s="34" t="s">
        <v>188</v>
      </c>
      <c r="C75" s="35"/>
      <c r="D75" s="33"/>
      <c r="E75" s="33"/>
    </row>
    <row r="76" spans="1:8">
      <c r="B76" s="34" t="s">
        <v>189</v>
      </c>
      <c r="C76" s="35"/>
      <c r="D76" s="33"/>
      <c r="E76" s="33"/>
    </row>
    <row r="77" spans="1:8">
      <c r="B77" s="36" t="s">
        <v>190</v>
      </c>
      <c r="C77" s="37"/>
      <c r="D77" s="33"/>
      <c r="E77" s="33"/>
    </row>
    <row r="78" spans="1:8">
      <c r="B78" s="38" t="s">
        <v>191</v>
      </c>
      <c r="C78" s="37"/>
      <c r="D78" s="33"/>
      <c r="E78" s="33"/>
    </row>
    <row r="79" spans="1:8">
      <c r="B79" s="34" t="s">
        <v>192</v>
      </c>
      <c r="C79" s="37"/>
      <c r="D79" s="33"/>
      <c r="E79" s="33"/>
    </row>
    <row r="80" spans="1:8">
      <c r="B80" s="34"/>
      <c r="C80" s="37"/>
      <c r="D80" s="33"/>
      <c r="E80" s="33"/>
    </row>
    <row r="81" spans="1:8" ht="15" thickBot="1">
      <c r="B81" s="34"/>
      <c r="C81" s="37"/>
      <c r="D81" s="33"/>
      <c r="E81" s="33"/>
    </row>
    <row r="82" spans="1:8" s="39" customFormat="1" ht="41.25" customHeight="1" thickBot="1">
      <c r="B82" s="91" t="s">
        <v>193</v>
      </c>
      <c r="C82" s="92"/>
      <c r="D82" s="92"/>
      <c r="E82" s="92"/>
      <c r="F82" s="92"/>
    </row>
    <row r="84" spans="1:8">
      <c r="A84" s="40" t="s">
        <v>194</v>
      </c>
      <c r="B84" s="40" t="s">
        <v>195</v>
      </c>
    </row>
    <row r="85" spans="1:8" s="41" customFormat="1" ht="45.75" customHeight="1">
      <c r="B85" s="42" t="s">
        <v>196</v>
      </c>
      <c r="C85" s="42" t="s">
        <v>197</v>
      </c>
      <c r="D85" s="42" t="s">
        <v>198</v>
      </c>
      <c r="E85" s="42" t="s">
        <v>199</v>
      </c>
      <c r="F85" s="42" t="s">
        <v>200</v>
      </c>
    </row>
    <row r="86" spans="1:8" s="41" customFormat="1">
      <c r="B86" s="80" t="s">
        <v>177</v>
      </c>
      <c r="C86" s="81"/>
      <c r="D86" s="81"/>
      <c r="E86" s="81"/>
      <c r="F86" s="82"/>
    </row>
    <row r="87" spans="1:8" s="43" customFormat="1">
      <c r="B87" s="44"/>
      <c r="C87" s="44"/>
      <c r="D87" s="45"/>
      <c r="E87" s="46"/>
      <c r="F87" s="47"/>
      <c r="G87"/>
    </row>
    <row r="88" spans="1:8">
      <c r="B88" s="48" t="s">
        <v>201</v>
      </c>
      <c r="C88" s="49"/>
      <c r="D88" s="49"/>
      <c r="E88" s="49"/>
      <c r="F88" s="50"/>
      <c r="H88" s="51"/>
    </row>
    <row r="89" spans="1:8" ht="34.5" customHeight="1">
      <c r="B89" s="83" t="s">
        <v>202</v>
      </c>
      <c r="C89" s="84"/>
      <c r="D89" s="84"/>
      <c r="E89" s="84"/>
      <c r="F89" s="85"/>
      <c r="H89" s="51"/>
    </row>
    <row r="90" spans="1:8">
      <c r="B90" s="52" t="s">
        <v>203</v>
      </c>
      <c r="F90" s="53"/>
    </row>
    <row r="91" spans="1:8">
      <c r="B91" s="52" t="s">
        <v>204</v>
      </c>
      <c r="F91" s="53"/>
    </row>
    <row r="92" spans="1:8">
      <c r="B92" s="52" t="s">
        <v>205</v>
      </c>
      <c r="F92" s="53"/>
    </row>
    <row r="93" spans="1:8">
      <c r="B93" s="52" t="s">
        <v>206</v>
      </c>
      <c r="F93" s="53"/>
    </row>
    <row r="94" spans="1:8">
      <c r="B94" s="54" t="s">
        <v>207</v>
      </c>
      <c r="C94" s="55"/>
      <c r="D94" s="55"/>
      <c r="E94" s="55"/>
      <c r="F94" s="56"/>
      <c r="G94" s="57"/>
      <c r="H94" s="58"/>
    </row>
    <row r="96" spans="1:8">
      <c r="A96" s="40" t="s">
        <v>208</v>
      </c>
      <c r="B96" s="40" t="s">
        <v>209</v>
      </c>
    </row>
    <row r="97" spans="1:6" s="59" customFormat="1" ht="29">
      <c r="B97" s="42" t="s">
        <v>196</v>
      </c>
      <c r="C97" s="42" t="s">
        <v>197</v>
      </c>
      <c r="D97" s="42" t="s">
        <v>198</v>
      </c>
      <c r="E97" s="42" t="s">
        <v>199</v>
      </c>
      <c r="F97" s="42" t="s">
        <v>200</v>
      </c>
    </row>
    <row r="98" spans="1:6">
      <c r="B98" s="72" t="s">
        <v>177</v>
      </c>
      <c r="C98" s="73"/>
      <c r="D98" s="73"/>
      <c r="E98" s="73"/>
      <c r="F98" s="74"/>
    </row>
    <row r="99" spans="1:6">
      <c r="B99" s="48" t="str">
        <f>+"Total exposure due to futures (non hedging positions) as a %age of net assets : Nil"</f>
        <v>Total exposure due to futures (non hedging positions) as a %age of net assets : Nil</v>
      </c>
      <c r="C99" s="49"/>
      <c r="D99" s="49"/>
      <c r="E99" s="49"/>
      <c r="F99" s="50"/>
    </row>
    <row r="100" spans="1:6" ht="34.5" customHeight="1">
      <c r="B100" s="83" t="s">
        <v>210</v>
      </c>
      <c r="C100" s="84"/>
      <c r="D100" s="84"/>
      <c r="E100" s="84"/>
      <c r="F100" s="85"/>
    </row>
    <row r="101" spans="1:6">
      <c r="B101" s="52" t="s">
        <v>211</v>
      </c>
      <c r="F101" s="53"/>
    </row>
    <row r="102" spans="1:6">
      <c r="B102" s="52" t="s">
        <v>212</v>
      </c>
      <c r="F102" s="53"/>
    </row>
    <row r="103" spans="1:6">
      <c r="B103" s="52" t="s">
        <v>213</v>
      </c>
      <c r="F103" s="53"/>
    </row>
    <row r="104" spans="1:6">
      <c r="B104" s="52" t="s">
        <v>214</v>
      </c>
      <c r="F104" s="53"/>
    </row>
    <row r="105" spans="1:6">
      <c r="B105" s="52" t="s">
        <v>215</v>
      </c>
      <c r="C105" s="55"/>
      <c r="D105" s="55"/>
      <c r="E105" s="55"/>
      <c r="F105" s="56"/>
    </row>
    <row r="106" spans="1:6">
      <c r="B106" s="60"/>
    </row>
    <row r="107" spans="1:6" s="40" customFormat="1">
      <c r="A107" s="40" t="s">
        <v>216</v>
      </c>
      <c r="B107" s="40" t="s">
        <v>217</v>
      </c>
    </row>
    <row r="108" spans="1:6" s="59" customFormat="1" ht="29">
      <c r="B108" s="61" t="s">
        <v>196</v>
      </c>
      <c r="C108" s="61" t="s">
        <v>218</v>
      </c>
      <c r="D108" s="61" t="s">
        <v>219</v>
      </c>
      <c r="E108" s="61" t="s">
        <v>220</v>
      </c>
    </row>
    <row r="109" spans="1:6">
      <c r="B109" s="72" t="s">
        <v>177</v>
      </c>
      <c r="C109" s="73"/>
      <c r="D109" s="73"/>
      <c r="E109" s="74"/>
    </row>
    <row r="110" spans="1:6">
      <c r="B110" s="79" t="s">
        <v>221</v>
      </c>
      <c r="C110" s="79"/>
      <c r="D110" s="79"/>
      <c r="E110" s="79"/>
    </row>
    <row r="111" spans="1:6" ht="15" customHeight="1">
      <c r="B111" s="63" t="s">
        <v>222</v>
      </c>
      <c r="C111" s="64"/>
      <c r="D111" s="64"/>
      <c r="E111" s="65"/>
    </row>
    <row r="112" spans="1:6">
      <c r="B112" s="66"/>
      <c r="C112" s="67"/>
      <c r="D112" s="67"/>
      <c r="E112" s="68"/>
    </row>
    <row r="113" spans="1:6">
      <c r="B113" s="66"/>
      <c r="C113" s="67"/>
      <c r="D113" s="67"/>
      <c r="E113" s="68"/>
    </row>
    <row r="114" spans="1:6">
      <c r="B114" s="66"/>
      <c r="C114" s="67"/>
      <c r="D114" s="67"/>
      <c r="E114" s="68"/>
    </row>
    <row r="115" spans="1:6">
      <c r="B115" s="69"/>
      <c r="C115" s="70"/>
      <c r="D115" s="70"/>
      <c r="E115" s="71"/>
    </row>
    <row r="116" spans="1:6">
      <c r="B116" s="62"/>
      <c r="C116" s="62"/>
      <c r="D116" s="62"/>
      <c r="E116" s="62"/>
    </row>
    <row r="117" spans="1:6" s="40" customFormat="1">
      <c r="A117" s="40" t="s">
        <v>223</v>
      </c>
      <c r="B117" s="40" t="s">
        <v>224</v>
      </c>
    </row>
    <row r="118" spans="1:6" s="59" customFormat="1" ht="29">
      <c r="B118" s="61" t="s">
        <v>196</v>
      </c>
      <c r="C118" s="61" t="s">
        <v>225</v>
      </c>
      <c r="D118" s="61" t="s">
        <v>226</v>
      </c>
      <c r="E118" s="61" t="s">
        <v>219</v>
      </c>
      <c r="F118" s="61" t="s">
        <v>227</v>
      </c>
    </row>
    <row r="119" spans="1:6">
      <c r="B119" s="72" t="s">
        <v>177</v>
      </c>
      <c r="C119" s="73"/>
      <c r="D119" s="73"/>
      <c r="E119" s="73"/>
      <c r="F119" s="74"/>
    </row>
    <row r="120" spans="1:6">
      <c r="B120" s="75" t="s">
        <v>228</v>
      </c>
      <c r="C120" s="76"/>
      <c r="D120" s="76"/>
      <c r="E120" s="76"/>
      <c r="F120" s="77"/>
    </row>
    <row r="121" spans="1:6" ht="15" customHeight="1">
      <c r="B121" s="78" t="s">
        <v>229</v>
      </c>
      <c r="C121" s="78"/>
      <c r="D121" s="78"/>
      <c r="E121" s="78"/>
      <c r="F121" s="79"/>
    </row>
    <row r="122" spans="1:6">
      <c r="B122" s="78"/>
      <c r="C122" s="78"/>
      <c r="D122" s="78"/>
      <c r="E122" s="78"/>
      <c r="F122" s="79"/>
    </row>
    <row r="123" spans="1:6">
      <c r="B123" s="78"/>
      <c r="C123" s="78"/>
      <c r="D123" s="78"/>
      <c r="E123" s="78"/>
      <c r="F123" s="79"/>
    </row>
    <row r="124" spans="1:6">
      <c r="B124" s="78"/>
      <c r="C124" s="78"/>
      <c r="D124" s="78"/>
      <c r="E124" s="78"/>
      <c r="F124" s="79"/>
    </row>
    <row r="125" spans="1:6">
      <c r="B125" s="78"/>
      <c r="C125" s="78"/>
      <c r="D125" s="78"/>
      <c r="E125" s="78"/>
      <c r="F125" s="79"/>
    </row>
    <row r="127" spans="1:6" s="40" customFormat="1">
      <c r="A127" s="40" t="s">
        <v>230</v>
      </c>
      <c r="B127" s="40" t="s">
        <v>231</v>
      </c>
    </row>
    <row r="128" spans="1:6" s="40" customFormat="1"/>
    <row r="129" spans="2:6" s="40" customFormat="1"/>
    <row r="130" spans="2:6">
      <c r="F130" s="40" t="s">
        <v>232</v>
      </c>
    </row>
    <row r="131" spans="2:6">
      <c r="B131" s="40" t="s">
        <v>233</v>
      </c>
      <c r="F131" s="40" t="s">
        <v>234</v>
      </c>
    </row>
  </sheetData>
  <mergeCells count="22">
    <mergeCell ref="B82:F82"/>
    <mergeCell ref="B1:H1"/>
    <mergeCell ref="B2:H2"/>
    <mergeCell ref="B3:H3"/>
    <mergeCell ref="B66:E66"/>
    <mergeCell ref="B67:E67"/>
    <mergeCell ref="B68:E68"/>
    <mergeCell ref="B69:E69"/>
    <mergeCell ref="B70:E70"/>
    <mergeCell ref="B71:E71"/>
    <mergeCell ref="B73:E73"/>
    <mergeCell ref="B74:C74"/>
    <mergeCell ref="B111:E115"/>
    <mergeCell ref="B119:F119"/>
    <mergeCell ref="B120:F120"/>
    <mergeCell ref="B121:F125"/>
    <mergeCell ref="B86:F86"/>
    <mergeCell ref="B89:F89"/>
    <mergeCell ref="B98:F98"/>
    <mergeCell ref="B100:F100"/>
    <mergeCell ref="B109:E109"/>
    <mergeCell ref="B110:E110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F730-CD06-49E5-B9B6-D9014F92D6F6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87" t="s">
        <v>254</v>
      </c>
      <c r="B1" s="87"/>
      <c r="C1" s="87"/>
      <c r="D1" s="98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7" t="s">
        <v>253</v>
      </c>
      <c r="B3" s="97"/>
      <c r="C3" s="2"/>
      <c r="D3" s="2"/>
      <c r="E3" s="97" t="s">
        <v>252</v>
      </c>
      <c r="F3" s="97"/>
    </row>
    <row r="4" spans="1:6" ht="13" customHeight="1">
      <c r="A4" s="95" t="s">
        <v>251</v>
      </c>
      <c r="B4" s="95" t="s">
        <v>9</v>
      </c>
      <c r="C4" s="2"/>
      <c r="D4" s="2"/>
      <c r="E4" s="95" t="s">
        <v>250</v>
      </c>
      <c r="F4" s="95" t="s">
        <v>249</v>
      </c>
    </row>
    <row r="5" spans="1:6" ht="13" customHeight="1">
      <c r="A5" s="20" t="s">
        <v>14</v>
      </c>
      <c r="B5" s="96">
        <v>6.2199999999999998E-2</v>
      </c>
      <c r="C5" s="2"/>
      <c r="D5" s="2"/>
      <c r="E5" s="20" t="s">
        <v>248</v>
      </c>
      <c r="F5" s="96">
        <v>0.25409999999999999</v>
      </c>
    </row>
    <row r="6" spans="1:6" ht="13" customHeight="1">
      <c r="A6" s="20" t="s">
        <v>18</v>
      </c>
      <c r="B6" s="96">
        <v>3.9800000000000002E-2</v>
      </c>
      <c r="C6" s="2"/>
      <c r="D6" s="2"/>
      <c r="E6" s="20" t="s">
        <v>247</v>
      </c>
      <c r="F6" s="96">
        <v>0.12570000000000001</v>
      </c>
    </row>
    <row r="7" spans="1:6" ht="13" customHeight="1">
      <c r="A7" s="20" t="s">
        <v>246</v>
      </c>
      <c r="B7" s="96">
        <v>3.6999999999999998E-2</v>
      </c>
      <c r="C7" s="2"/>
      <c r="D7" s="2"/>
      <c r="E7" s="20" t="s">
        <v>245</v>
      </c>
      <c r="F7" s="96">
        <v>0.1208</v>
      </c>
    </row>
    <row r="8" spans="1:6" ht="13" customHeight="1">
      <c r="A8" s="20" t="s">
        <v>21</v>
      </c>
      <c r="B8" s="96">
        <v>3.6999999999999998E-2</v>
      </c>
      <c r="C8" s="2"/>
      <c r="D8" s="2"/>
      <c r="E8" s="20" t="s">
        <v>244</v>
      </c>
      <c r="F8" s="96">
        <v>0.1016</v>
      </c>
    </row>
    <row r="9" spans="1:6" ht="13" customHeight="1">
      <c r="A9" s="20" t="s">
        <v>25</v>
      </c>
      <c r="B9" s="96">
        <v>3.4700000000000002E-2</v>
      </c>
      <c r="C9" s="2"/>
      <c r="D9" s="2"/>
      <c r="E9" s="20" t="s">
        <v>243</v>
      </c>
      <c r="F9" s="96">
        <v>8.6900000000000005E-2</v>
      </c>
    </row>
    <row r="10" spans="1:6" ht="13" customHeight="1">
      <c r="A10" s="20" t="s">
        <v>29</v>
      </c>
      <c r="B10" s="96">
        <v>3.1800000000000002E-2</v>
      </c>
      <c r="C10" s="2"/>
      <c r="D10" s="2"/>
      <c r="E10" s="20" t="s">
        <v>129</v>
      </c>
      <c r="F10" s="96">
        <v>6.0299999999999999E-2</v>
      </c>
    </row>
    <row r="11" spans="1:6" ht="13" customHeight="1">
      <c r="A11" s="20" t="s">
        <v>33</v>
      </c>
      <c r="B11" s="96">
        <v>3.1099999999999999E-2</v>
      </c>
      <c r="C11" s="2"/>
      <c r="D11" s="2"/>
      <c r="E11" s="20" t="s">
        <v>242</v>
      </c>
      <c r="F11" s="96">
        <v>4.7800000000000002E-2</v>
      </c>
    </row>
    <row r="12" spans="1:6" ht="13" customHeight="1">
      <c r="A12" s="20" t="s">
        <v>36</v>
      </c>
      <c r="B12" s="96">
        <v>2.9100000000000001E-2</v>
      </c>
      <c r="C12" s="2"/>
      <c r="D12" s="2"/>
      <c r="E12" s="20" t="s">
        <v>44</v>
      </c>
      <c r="F12" s="96">
        <v>4.6100000000000002E-2</v>
      </c>
    </row>
    <row r="13" spans="1:6" ht="13" customHeight="1">
      <c r="A13" s="20" t="s">
        <v>39</v>
      </c>
      <c r="B13" s="96">
        <v>2.86E-2</v>
      </c>
      <c r="C13" s="2"/>
      <c r="D13" s="2"/>
      <c r="E13" s="20" t="s">
        <v>241</v>
      </c>
      <c r="F13" s="96">
        <v>3.8800000000000001E-2</v>
      </c>
    </row>
    <row r="14" spans="1:6" ht="13" customHeight="1">
      <c r="A14" s="20" t="s">
        <v>42</v>
      </c>
      <c r="B14" s="96">
        <v>2.5899999999999999E-2</v>
      </c>
      <c r="C14" s="2"/>
      <c r="D14" s="2"/>
      <c r="E14" s="20" t="s">
        <v>240</v>
      </c>
      <c r="F14" s="96">
        <v>3.6999999999999998E-2</v>
      </c>
    </row>
    <row r="15" spans="1:6" ht="13" customHeight="1">
      <c r="A15" s="2"/>
      <c r="B15" s="2"/>
      <c r="C15" s="2"/>
      <c r="D15" s="2"/>
      <c r="E15" s="20" t="s">
        <v>239</v>
      </c>
      <c r="F15" s="96">
        <v>1.9699999999999999E-2</v>
      </c>
    </row>
    <row r="16" spans="1:6" ht="13" customHeight="1">
      <c r="A16" s="2"/>
      <c r="B16" s="2"/>
      <c r="C16" s="2"/>
      <c r="D16" s="2"/>
      <c r="E16" s="20" t="s">
        <v>102</v>
      </c>
      <c r="F16" s="96">
        <v>1.8800000000000001E-2</v>
      </c>
    </row>
    <row r="17" spans="1:6" ht="13" customHeight="1">
      <c r="A17" s="2"/>
      <c r="B17" s="2"/>
      <c r="C17" s="2"/>
      <c r="D17" s="2"/>
      <c r="E17" s="20" t="s">
        <v>238</v>
      </c>
      <c r="F17" s="96">
        <v>1.5800000000000002E-2</v>
      </c>
    </row>
    <row r="18" spans="1:6" ht="13" customHeight="1">
      <c r="A18" s="2"/>
      <c r="B18" s="2"/>
      <c r="C18" s="2"/>
      <c r="D18" s="2"/>
      <c r="E18" s="20" t="s">
        <v>237</v>
      </c>
      <c r="F18" s="96">
        <v>1.2800000000000001E-2</v>
      </c>
    </row>
    <row r="19" spans="1:6" ht="13" customHeight="1">
      <c r="A19" s="2"/>
      <c r="B19" s="2"/>
      <c r="C19" s="2"/>
      <c r="D19" s="2"/>
      <c r="E19" s="20" t="s">
        <v>159</v>
      </c>
      <c r="F19" s="96">
        <v>1.1299999999999999E-2</v>
      </c>
    </row>
    <row r="20" spans="1:6" ht="13" customHeight="1">
      <c r="A20" s="2"/>
      <c r="B20" s="2"/>
      <c r="C20" s="2"/>
      <c r="D20" s="2"/>
      <c r="E20" s="20" t="s">
        <v>236</v>
      </c>
      <c r="F20" s="96">
        <v>2.5000000000000001E-3</v>
      </c>
    </row>
    <row r="21" spans="1:6" ht="13" customHeight="1">
      <c r="A21" s="2"/>
      <c r="B21" s="2"/>
      <c r="C21" s="2"/>
      <c r="D21" s="2"/>
      <c r="E21" s="95" t="s">
        <v>235</v>
      </c>
      <c r="F21" s="9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RMSCF!JR_PAGE_ANCHOR_0_30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2022-01-07T04:38:37Z</dcterms:created>
  <dcterms:modified xsi:type="dcterms:W3CDTF">2022-01-07T05:07:55Z</dcterms:modified>
</cp:coreProperties>
</file>