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E116E5F6-CAFE-486B-869E-9FD6EA69B532}" xr6:coauthVersionLast="47" xr6:coauthVersionMax="47" xr10:uidLastSave="{00000000-0000-0000-0000-000000000000}"/>
  <bookViews>
    <workbookView xWindow="2295" yWindow="2295" windowWidth="21495" windowHeight="10860" xr2:uid="{03021C2A-4486-416C-8960-6647AD65623B}"/>
  </bookViews>
  <sheets>
    <sheet name="Flexi Cap" sheetId="1" r:id="rId1"/>
    <sheet name="IFCF" sheetId="2" r:id="rId2"/>
  </sheets>
  <definedNames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7" localSheetId="1">IFCF!$A$1</definedName>
    <definedName name="JR_PAGE_ANCHOR_0_7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0" i="1" l="1"/>
  <c r="F90" i="1"/>
  <c r="G89" i="1"/>
  <c r="F89" i="1"/>
</calcChain>
</file>

<file path=xl/sharedStrings.xml><?xml version="1.0" encoding="utf-8"?>
<sst xmlns="http://schemas.openxmlformats.org/spreadsheetml/2006/main" count="347" uniqueCount="272">
  <si>
    <t>IFCF</t>
  </si>
  <si>
    <t>INVESCO MUTUAL FUND</t>
  </si>
  <si>
    <t>Monthly Portfolio Statement as on December 31, 2025</t>
  </si>
  <si>
    <r>
      <rPr>
        <b/>
        <sz val="16"/>
        <color rgb="FFFFFFFF"/>
        <rFont val="Arial"/>
        <family val="2"/>
      </rPr>
      <t>Invesco India Flexi Cap Fund
(An open ended dynamic equity scheme investing across large cap, mid cap, small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</si>
  <si>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</si>
  <si>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</si>
  <si>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</si>
  <si>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</si>
  <si>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</si>
  <si>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</si>
  <si>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</si>
  <si>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</si>
  <si>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</si>
  <si>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</si>
  <si>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</si>
  <si>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</si>
  <si>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</si>
  <si>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</si>
  <si>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</si>
  <si>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</si>
  <si>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ZMPL01</t>
  </si>
  <si>
    <t>Eternal Limited</t>
  </si>
  <si>
    <t>INE758T01015</t>
  </si>
  <si>
    <t>Retailing</t>
  </si>
  <si>
    <t>LARS02</t>
  </si>
  <si>
    <t>Larsen &amp; Toubro Limited</t>
  </si>
  <si>
    <t>INE018A01030</t>
  </si>
  <si>
    <t>Construction</t>
  </si>
  <si>
    <t>INAV01</t>
  </si>
  <si>
    <t>InterGlobe Aviation Limited</t>
  </si>
  <si>
    <t>INE646L01027</t>
  </si>
  <si>
    <t>Transport Services</t>
  </si>
  <si>
    <t>CHOL02</t>
  </si>
  <si>
    <t>Cholamandalam Investment and Finance Company Limited ‡</t>
  </si>
  <si>
    <t>INE121A01024</t>
  </si>
  <si>
    <t>Finance</t>
  </si>
  <si>
    <t>LAKM02</t>
  </si>
  <si>
    <t>Trent Limited</t>
  </si>
  <si>
    <t>INE849A01020</t>
  </si>
  <si>
    <t>MAHE01</t>
  </si>
  <si>
    <t>Max Healthcare Institute Limited</t>
  </si>
  <si>
    <t>INE027H01010</t>
  </si>
  <si>
    <t>Healthcare Services</t>
  </si>
  <si>
    <t>ESMC02</t>
  </si>
  <si>
    <t>PB Fintech Limited</t>
  </si>
  <si>
    <t>INE417T01026</t>
  </si>
  <si>
    <t>Financial Technology (Fintech)</t>
  </si>
  <si>
    <t>SAPH01</t>
  </si>
  <si>
    <t>Sai Life Sciences Limited</t>
  </si>
  <si>
    <t>INE570L01029</t>
  </si>
  <si>
    <t>Pharmaceuticals &amp; Biotechnology</t>
  </si>
  <si>
    <t>BAFL03</t>
  </si>
  <si>
    <t>Bajaj Finance Ltd</t>
  </si>
  <si>
    <t>INE296A01032</t>
  </si>
  <si>
    <t>AFPL02</t>
  </si>
  <si>
    <t>AU Small Finance Bank Limited</t>
  </si>
  <si>
    <t>INE949L01017</t>
  </si>
  <si>
    <t>LTFL01</t>
  </si>
  <si>
    <t>L&amp;T Finance Limited</t>
  </si>
  <si>
    <t>INE498L01015</t>
  </si>
  <si>
    <t>BLTE01</t>
  </si>
  <si>
    <t>Swiggy Limited</t>
  </si>
  <si>
    <t>INE00H001014</t>
  </si>
  <si>
    <t>MAHI02</t>
  </si>
  <si>
    <t>Mahindra &amp; Mahindra Limited</t>
  </si>
  <si>
    <t>INE101A01026</t>
  </si>
  <si>
    <t>Automobiles</t>
  </si>
  <si>
    <t>NITL02</t>
  </si>
  <si>
    <t>Coforge Limited</t>
  </si>
  <si>
    <t>INE591G01025</t>
  </si>
  <si>
    <t>IT - Software</t>
  </si>
  <si>
    <t>SAEL02</t>
  </si>
  <si>
    <t>TVS Motor Company Limited</t>
  </si>
  <si>
    <t>INE494B01023</t>
  </si>
  <si>
    <t>PSYL02</t>
  </si>
  <si>
    <t>Persistent Systems Ltd</t>
  </si>
  <si>
    <t>INE262H01021</t>
  </si>
  <si>
    <t>HDAM01</t>
  </si>
  <si>
    <t>HDFC Asset Management Company Limited</t>
  </si>
  <si>
    <t>INE127D01025</t>
  </si>
  <si>
    <t>Capital Markets</t>
  </si>
  <si>
    <t>PREP01</t>
  </si>
  <si>
    <t>Prestige Estates Projects Limited</t>
  </si>
  <si>
    <t>INE811K01011</t>
  </si>
  <si>
    <t>Realty</t>
  </si>
  <si>
    <t>BSEL02</t>
  </si>
  <si>
    <t>BSE Limited</t>
  </si>
  <si>
    <t>INE118H01025</t>
  </si>
  <si>
    <t>MCEX01</t>
  </si>
  <si>
    <t>Multi Commodity Exchange of India Limited</t>
  </si>
  <si>
    <t>INE745G01035</t>
  </si>
  <si>
    <t>MAUD01</t>
  </si>
  <si>
    <t>Maruti Suzuki India Limited</t>
  </si>
  <si>
    <t>INE585B01010</t>
  </si>
  <si>
    <t>APLI04</t>
  </si>
  <si>
    <t>Hexaware Technologies Limited</t>
  </si>
  <si>
    <t>INE093A01041</t>
  </si>
  <si>
    <t>BTVL03</t>
  </si>
  <si>
    <t>Bharti Airtel Ltd Partly Paid 1.25 FV</t>
  </si>
  <si>
    <t>IN9397D01014</t>
  </si>
  <si>
    <t>Telecom - Services</t>
  </si>
  <si>
    <t>TWAT02</t>
  </si>
  <si>
    <t>Titan Company Limited</t>
  </si>
  <si>
    <t>INE280A01028</t>
  </si>
  <si>
    <t>Consumer Durables</t>
  </si>
  <si>
    <t>KIMS02</t>
  </si>
  <si>
    <t>Krishna Institute Of Medical Sciences Limited</t>
  </si>
  <si>
    <t>INE967H01025</t>
  </si>
  <si>
    <t>GHPL01</t>
  </si>
  <si>
    <t>Global Health Limited</t>
  </si>
  <si>
    <t>INE474Q01031</t>
  </si>
  <si>
    <t>JKCE01</t>
  </si>
  <si>
    <t>JK Cement Limited</t>
  </si>
  <si>
    <t>INE823G01014</t>
  </si>
  <si>
    <t>Cement &amp; Cement Products</t>
  </si>
  <si>
    <t>AENP01</t>
  </si>
  <si>
    <t>Ather Energy Limited</t>
  </si>
  <si>
    <t>INE0LEZ01016</t>
  </si>
  <si>
    <t>APOL02</t>
  </si>
  <si>
    <t>Apollo Hospitals Enterprise Limited</t>
  </si>
  <si>
    <t>INE437A01024</t>
  </si>
  <si>
    <t>HALT02</t>
  </si>
  <si>
    <t>Hindustan Aeronautics Limited</t>
  </si>
  <si>
    <t>INE066F01020</t>
  </si>
  <si>
    <t>Aerospace &amp; Defense</t>
  </si>
  <si>
    <t>EDEL02</t>
  </si>
  <si>
    <t>Nuvama Wealth Management Ltd</t>
  </si>
  <si>
    <t>INE531F01023</t>
  </si>
  <si>
    <t>DIXO02</t>
  </si>
  <si>
    <t>Dixon Technologies (India) Limited</t>
  </si>
  <si>
    <t>INE935N01020</t>
  </si>
  <si>
    <t>KEII02</t>
  </si>
  <si>
    <t>KEI Industries Limited</t>
  </si>
  <si>
    <t>INE878B01027</t>
  </si>
  <si>
    <t>Industrial Products</t>
  </si>
  <si>
    <t>BHEL02</t>
  </si>
  <si>
    <t>Bharat Electronics Limited</t>
  </si>
  <si>
    <t>INE263A01024</t>
  </si>
  <si>
    <t>DRAH01</t>
  </si>
  <si>
    <t>Dr Agarwals Health Care Limited</t>
  </si>
  <si>
    <t>INE943P01029</t>
  </si>
  <si>
    <t>ABBP01</t>
  </si>
  <si>
    <t>Hitachi Energy India Limited</t>
  </si>
  <si>
    <t>INE07Y701011</t>
  </si>
  <si>
    <t>Electrical Equipment</t>
  </si>
  <si>
    <t>TEMA02</t>
  </si>
  <si>
    <t>Tech Mahindra Limited</t>
  </si>
  <si>
    <t>INE669C01036</t>
  </si>
  <si>
    <t>VMML01</t>
  </si>
  <si>
    <t>Vishal Mega Mart Limited</t>
  </si>
  <si>
    <t>INE01EA01019</t>
  </si>
  <si>
    <t>HFFC02</t>
  </si>
  <si>
    <t>Home First Finance Company India Limited</t>
  </si>
  <si>
    <t>INE481N01025</t>
  </si>
  <si>
    <t>ADTH01</t>
  </si>
  <si>
    <t>Aditya Infotech Limited</t>
  </si>
  <si>
    <t>INE819V01029</t>
  </si>
  <si>
    <t>Industrial Manufacturing</t>
  </si>
  <si>
    <t>BLUS03</t>
  </si>
  <si>
    <t>Blue Star Limited</t>
  </si>
  <si>
    <t>INE472A01039</t>
  </si>
  <si>
    <t>FUJI02</t>
  </si>
  <si>
    <t>Zensar Technologies Limited</t>
  </si>
  <si>
    <t>INE520A01027</t>
  </si>
  <si>
    <t>JUFL02</t>
  </si>
  <si>
    <t>Jubilant Foodworks Limited</t>
  </si>
  <si>
    <t>INE797F01020</t>
  </si>
  <si>
    <t>Leisure Services</t>
  </si>
  <si>
    <t>SAFI02</t>
  </si>
  <si>
    <t>Safari Industries (India) Limited</t>
  </si>
  <si>
    <t>INE429E01023</t>
  </si>
  <si>
    <t>MIIL02</t>
  </si>
  <si>
    <t>UNO Minda Limited</t>
  </si>
  <si>
    <t>INE405E01023</t>
  </si>
  <si>
    <t>Auto Components</t>
  </si>
  <si>
    <t>ARWL01</t>
  </si>
  <si>
    <t>Anand Rathi Wealth Limited</t>
  </si>
  <si>
    <t>INE463V01026</t>
  </si>
  <si>
    <t>ETHO01</t>
  </si>
  <si>
    <t>Ethos Ltd.</t>
  </si>
  <si>
    <t>INE04TZ01018</t>
  </si>
  <si>
    <t>MEST01</t>
  </si>
  <si>
    <t>Max Estates Limited</t>
  </si>
  <si>
    <t>INE03EI01018</t>
  </si>
  <si>
    <t>SBFC01</t>
  </si>
  <si>
    <t>SBFC Finance Limited</t>
  </si>
  <si>
    <t>INE423Y01016</t>
  </si>
  <si>
    <t>TMLC01</t>
  </si>
  <si>
    <t>Tata Motors Ltd</t>
  </si>
  <si>
    <t>INE1TAE01010</t>
  </si>
  <si>
    <t>Agricultural, Commercial &amp; Construction Vehicles</t>
  </si>
  <si>
    <t>BWIN01</t>
  </si>
  <si>
    <t>Bansal Wire Industries Limited</t>
  </si>
  <si>
    <t>INE0B9K01025</t>
  </si>
  <si>
    <t>PHMI02</t>
  </si>
  <si>
    <t>The Phoenix Mills Limited</t>
  </si>
  <si>
    <t>INE211B01039</t>
  </si>
  <si>
    <t>SUVP01</t>
  </si>
  <si>
    <t>Cohance Lifesciences Limited</t>
  </si>
  <si>
    <t>INE03QK01018</t>
  </si>
  <si>
    <t>CONB01</t>
  </si>
  <si>
    <t>Concord Biotech Limited</t>
  </si>
  <si>
    <t>INE338H01029</t>
  </si>
  <si>
    <t>MEBR01</t>
  </si>
  <si>
    <t>Metro Brands Limited</t>
  </si>
  <si>
    <t>INE317I01021</t>
  </si>
  <si>
    <t>SOSO03</t>
  </si>
  <si>
    <t>Sonata Software Limited</t>
  </si>
  <si>
    <t>INE269A01021</t>
  </si>
  <si>
    <t>DCIL01</t>
  </si>
  <si>
    <t>Dredging Corporation of India Limited</t>
  </si>
  <si>
    <t>INE506A01018</t>
  </si>
  <si>
    <t>Engineering Services</t>
  </si>
  <si>
    <t>Sub Total</t>
  </si>
  <si>
    <t>(b) Unlisted</t>
  </si>
  <si>
    <t>Nil</t>
  </si>
  <si>
    <t>Total</t>
  </si>
  <si>
    <t>InvITs Instruments</t>
  </si>
  <si>
    <t>CUBE01</t>
  </si>
  <si>
    <t>Cube Highways Trust- InvIT Fund</t>
  </si>
  <si>
    <t>INE0NR623014</t>
  </si>
  <si>
    <t>Money Market Instruments</t>
  </si>
  <si>
    <t>TREPS / Reverse Repo</t>
  </si>
  <si>
    <t>TRP_010126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</si>
  <si>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</si>
  <si>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</si>
  <si>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</si>
  <si>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</si>
  <si>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</si>
  <si>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</si>
  <si>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$0.00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</si>
  <si>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</si>
  <si>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</si>
  <si>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</si>
  <si>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</si>
  <si>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</si>
  <si>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</si>
  <si>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</si>
  <si>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</si>
  <si>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</si>
  <si>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$ Less than 0.005%</t>
  </si>
  <si>
    <t>^^ Awaiting listing</t>
  </si>
  <si>
    <t>‡ Includes shares lent under Securities Lending &amp; Borrowing Scheme of BSE</t>
  </si>
  <si>
    <t>Name of the Security</t>
  </si>
  <si>
    <t>Shares</t>
  </si>
  <si>
    <t>Cholamandalam Investment and Finance Company Ltd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</si>
  <si>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</si>
  <si>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</si>
  <si>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</si>
  <si>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Nil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</si>
  <si>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</si>
  <si>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</si>
  <si>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BENCHMARK NAME - BSE 500 TRI</t>
  </si>
  <si>
    <t>SCHEME RISK-O-METER</t>
  </si>
  <si>
    <t>BENCHMARK RISK-O-METER</t>
  </si>
  <si>
    <t>Scheme Name: Invesco India Flexi Cap Fund (An open ended dynamic equity scheme investing across large cap, mid cap,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</si>
  <si>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</si>
  <si>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</si>
  <si>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</si>
  <si>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</si>
  <si>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</si>
  <si>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</si>
  <si>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</si>
  <si>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</si>
  <si>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Automobile and Auto Components</t>
  </si>
  <si>
    <t>Information Technology</t>
  </si>
  <si>
    <t>Capital Goods</t>
  </si>
  <si>
    <t>Services</t>
  </si>
  <si>
    <t>Telecommunication</t>
  </si>
  <si>
    <t>Construction Materials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</si>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</sst>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8" xfId="0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1" fillId="0" borderId="0" xfId="0" applyFont="1"/>
    <xf numFmtId="0" fontId="7" fillId="0" borderId="10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3" fontId="8" fillId="0" borderId="10" xfId="0" applyNumberFormat="1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2117</xdr:colOff>
      <xdr:row>113</xdr:row>
      <xdr:rowOff>100894</xdr:rowOff>
    </xdr:from>
    <xdr:to>
      <xdr:col>1</xdr:col>
      <xdr:colOff>2859617</xdr:colOff>
      <xdr:row>123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32EC67-B479-4BEC-AD5B-1667639A62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717" y="19646194"/>
          <a:ext cx="2857500" cy="1975556"/>
        </a:xfrm>
        <a:prstGeom prst="rect">
          <a:avLst/>
        </a:prstGeom>
      </xdr:spPr>
    </xdr:pic>
    <xdr:clientData/>
  </xdr:twoCellAnchor>
  <xdr:twoCellAnchor editAs="oneCell">
    <xdr:from>
      <xdr:col>5</xdr:col>
      <xdr:colOff>2117</xdr:colOff>
      <xdr:row>113</xdr:row>
      <xdr:rowOff>100894</xdr:rowOff>
    </xdr:from>
    <xdr:to>
      <xdr:col>7</xdr:col>
      <xdr:colOff>517172</xdr:colOff>
      <xdr:row>123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2CB04D-B675-4A1F-A966-4DF2E1563A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9992" y="19646194"/>
          <a:ext cx="2743905" cy="19755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720D-D547-441F-B31E-2C09C8B6FB7A}">
  <sheetPr codeName="Sheet8">
    <outlinePr summaryBelow="0"/>
  </sheetPr>
  <dimension ref="A1:H111"/>
  <sheetViews>
    <sheetView showGridLines="0" tabSelected="1" zoomScale="90" zoomScaleNormal="90" workbookViewId="0">
      <selection activeCell="B2" sqref="B2:H2"/>
    </sheetView>
  </sheetViews>
  <sheetFormatPr defaultRowHeight="15"/>
  <cols>
    <col min="1" max="1" width="3.42578125" customWidth="1"/>
    <col min="2" max="2" width="78.5703125" customWidth="1"/>
    <col min="3" max="3" width="17" customWidth="1"/>
    <col min="4" max="4" width="29.140625" customWidth="1"/>
    <col min="5" max="5" width="16.85546875" customWidth="1"/>
    <col min="6" max="6" width="17.5703125" customWidth="1"/>
    <col min="7" max="7" width="15.85546875" customWidth="1"/>
    <col min="8" max="8" width="10.5703125" customWidth="1"/>
  </cols>
  <sheetData>
    <row r="1" spans="1:8" ht="20.100000000000001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.100000000000001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73.5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2.95" customHeight="1" thickBot="1">
      <c r="A4" s="2"/>
      <c r="B4" s="41"/>
      <c r="C4" s="41"/>
      <c r="D4" s="41"/>
      <c r="E4" s="41"/>
      <c r="F4" s="41"/>
      <c r="G4" s="41"/>
      <c r="H4" s="41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3142433</v>
      </c>
      <c r="F8" s="14">
        <v>31147.8</v>
      </c>
      <c r="G8" s="14">
        <v>6.59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1763156</v>
      </c>
      <c r="F9" s="14">
        <v>23677.42</v>
      </c>
      <c r="G9" s="14">
        <v>5.01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6210269</v>
      </c>
      <c r="F10" s="14">
        <v>17267.650000000001</v>
      </c>
      <c r="G10" s="14">
        <v>3.66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420368</v>
      </c>
      <c r="F11" s="14">
        <v>17165.73</v>
      </c>
      <c r="G11" s="14">
        <v>3.63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322775</v>
      </c>
      <c r="F12" s="14">
        <v>16330.8</v>
      </c>
      <c r="G12" s="14">
        <v>3.46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902264</v>
      </c>
      <c r="F13" s="14">
        <v>15358.34</v>
      </c>
      <c r="G13" s="14">
        <v>3.25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23</v>
      </c>
      <c r="E14" s="13">
        <v>340514</v>
      </c>
      <c r="F14" s="14">
        <v>14570.59</v>
      </c>
      <c r="G14" s="14">
        <v>3.08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1318733</v>
      </c>
      <c r="F15" s="14">
        <v>13782.08</v>
      </c>
      <c r="G15" s="14">
        <v>2.92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628512</v>
      </c>
      <c r="F16" s="14">
        <v>11474.12</v>
      </c>
      <c r="G16" s="14">
        <v>2.4300000000000002</v>
      </c>
      <c r="H16" s="15"/>
    </row>
    <row r="17" spans="1:8" ht="12.9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1262722</v>
      </c>
      <c r="F17" s="14">
        <v>11470.57</v>
      </c>
      <c r="G17" s="14">
        <v>2.4300000000000002</v>
      </c>
      <c r="H17" s="15"/>
    </row>
    <row r="18" spans="1:8" ht="12.95" customHeight="1">
      <c r="A18" s="1" t="s">
        <v>51</v>
      </c>
      <c r="B18" s="11" t="s">
        <v>52</v>
      </c>
      <c r="C18" s="12" t="s">
        <v>53</v>
      </c>
      <c r="D18" s="8" t="s">
        <v>35</v>
      </c>
      <c r="E18" s="13">
        <v>1050716</v>
      </c>
      <c r="F18" s="14">
        <v>10368.469999999999</v>
      </c>
      <c r="G18" s="14">
        <v>2.2000000000000002</v>
      </c>
      <c r="H18" s="15"/>
    </row>
    <row r="19" spans="1:8" ht="12.95" customHeight="1">
      <c r="A19" s="1" t="s">
        <v>54</v>
      </c>
      <c r="B19" s="11" t="s">
        <v>55</v>
      </c>
      <c r="C19" s="12" t="s">
        <v>56</v>
      </c>
      <c r="D19" s="8" t="s">
        <v>16</v>
      </c>
      <c r="E19" s="13">
        <v>1002154</v>
      </c>
      <c r="F19" s="14">
        <v>9966.42</v>
      </c>
      <c r="G19" s="14">
        <v>2.11</v>
      </c>
      <c r="H19" s="15"/>
    </row>
    <row r="20" spans="1:8" ht="12.95" customHeight="1">
      <c r="A20" s="1" t="s">
        <v>57</v>
      </c>
      <c r="B20" s="11" t="s">
        <v>58</v>
      </c>
      <c r="C20" s="12" t="s">
        <v>59</v>
      </c>
      <c r="D20" s="8" t="s">
        <v>35</v>
      </c>
      <c r="E20" s="13">
        <v>3099803</v>
      </c>
      <c r="F20" s="14">
        <v>9793.83</v>
      </c>
      <c r="G20" s="14">
        <v>2.0699999999999998</v>
      </c>
      <c r="H20" s="15"/>
    </row>
    <row r="21" spans="1:8" ht="12.95" customHeight="1">
      <c r="A21" s="1" t="s">
        <v>60</v>
      </c>
      <c r="B21" s="11" t="s">
        <v>61</v>
      </c>
      <c r="C21" s="12" t="s">
        <v>62</v>
      </c>
      <c r="D21" s="8" t="s">
        <v>23</v>
      </c>
      <c r="E21" s="13">
        <v>2522598</v>
      </c>
      <c r="F21" s="14">
        <v>9743.5300000000007</v>
      </c>
      <c r="G21" s="14">
        <v>2.06</v>
      </c>
      <c r="H21" s="15"/>
    </row>
    <row r="22" spans="1:8" ht="12.95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260163</v>
      </c>
      <c r="F22" s="14">
        <v>9649.9699999999993</v>
      </c>
      <c r="G22" s="14">
        <v>2.04</v>
      </c>
      <c r="H22" s="15"/>
    </row>
    <row r="23" spans="1:8" ht="12.95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574283</v>
      </c>
      <c r="F23" s="14">
        <v>9550.33</v>
      </c>
      <c r="G23" s="14">
        <v>2.02</v>
      </c>
      <c r="H23" s="15"/>
    </row>
    <row r="24" spans="1:8" ht="12.95" customHeight="1">
      <c r="A24" s="1" t="s">
        <v>71</v>
      </c>
      <c r="B24" s="11" t="s">
        <v>72</v>
      </c>
      <c r="C24" s="12" t="s">
        <v>73</v>
      </c>
      <c r="D24" s="8" t="s">
        <v>66</v>
      </c>
      <c r="E24" s="13">
        <v>255471</v>
      </c>
      <c r="F24" s="14">
        <v>9503.01</v>
      </c>
      <c r="G24" s="14">
        <v>2.0099999999999998</v>
      </c>
      <c r="H24" s="15"/>
    </row>
    <row r="25" spans="1:8" ht="12.95" customHeight="1">
      <c r="A25" s="1" t="s">
        <v>74</v>
      </c>
      <c r="B25" s="11" t="s">
        <v>75</v>
      </c>
      <c r="C25" s="12" t="s">
        <v>76</v>
      </c>
      <c r="D25" s="8" t="s">
        <v>70</v>
      </c>
      <c r="E25" s="13">
        <v>151417</v>
      </c>
      <c r="F25" s="14">
        <v>9496.8700000000008</v>
      </c>
      <c r="G25" s="14">
        <v>2.0099999999999998</v>
      </c>
      <c r="H25" s="15"/>
    </row>
    <row r="26" spans="1:8" ht="12.95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352354</v>
      </c>
      <c r="F26" s="14">
        <v>9415.6</v>
      </c>
      <c r="G26" s="14">
        <v>1.99</v>
      </c>
      <c r="H26" s="15"/>
    </row>
    <row r="27" spans="1:8" ht="12.95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573179</v>
      </c>
      <c r="F27" s="14">
        <v>9141.06</v>
      </c>
      <c r="G27" s="14">
        <v>1.94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80</v>
      </c>
      <c r="E28" s="13">
        <v>347149</v>
      </c>
      <c r="F28" s="14">
        <v>9137.66</v>
      </c>
      <c r="G28" s="14">
        <v>1.93</v>
      </c>
      <c r="H28" s="15"/>
    </row>
    <row r="29" spans="1:8" ht="12.95" customHeight="1">
      <c r="A29" s="1" t="s">
        <v>88</v>
      </c>
      <c r="B29" s="11" t="s">
        <v>89</v>
      </c>
      <c r="C29" s="12" t="s">
        <v>90</v>
      </c>
      <c r="D29" s="8" t="s">
        <v>80</v>
      </c>
      <c r="E29" s="13">
        <v>80864</v>
      </c>
      <c r="F29" s="14">
        <v>9005.02</v>
      </c>
      <c r="G29" s="14">
        <v>1.91</v>
      </c>
      <c r="H29" s="15"/>
    </row>
    <row r="30" spans="1:8" ht="12.95" customHeight="1">
      <c r="A30" s="1" t="s">
        <v>91</v>
      </c>
      <c r="B30" s="11" t="s">
        <v>92</v>
      </c>
      <c r="C30" s="12" t="s">
        <v>93</v>
      </c>
      <c r="D30" s="8" t="s">
        <v>66</v>
      </c>
      <c r="E30" s="13">
        <v>50756</v>
      </c>
      <c r="F30" s="14">
        <v>8474.73</v>
      </c>
      <c r="G30" s="14">
        <v>1.79</v>
      </c>
      <c r="H30" s="15"/>
    </row>
    <row r="31" spans="1:8" ht="12.95" customHeight="1">
      <c r="A31" s="1" t="s">
        <v>94</v>
      </c>
      <c r="B31" s="11" t="s">
        <v>95</v>
      </c>
      <c r="C31" s="12" t="s">
        <v>96</v>
      </c>
      <c r="D31" s="8" t="s">
        <v>70</v>
      </c>
      <c r="E31" s="13">
        <v>1058032</v>
      </c>
      <c r="F31" s="14">
        <v>8099.76</v>
      </c>
      <c r="G31" s="14">
        <v>1.71</v>
      </c>
      <c r="H31" s="15"/>
    </row>
    <row r="32" spans="1:8" ht="12.95" customHeight="1">
      <c r="A32" s="1" t="s">
        <v>97</v>
      </c>
      <c r="B32" s="11" t="s">
        <v>98</v>
      </c>
      <c r="C32" s="12" t="s">
        <v>99</v>
      </c>
      <c r="D32" s="8" t="s">
        <v>100</v>
      </c>
      <c r="E32" s="13">
        <v>449483</v>
      </c>
      <c r="F32" s="14">
        <v>7600.98</v>
      </c>
      <c r="G32" s="14">
        <v>1.61</v>
      </c>
      <c r="H32" s="15"/>
    </row>
    <row r="33" spans="1:8" ht="12.95" customHeight="1">
      <c r="A33" s="1" t="s">
        <v>101</v>
      </c>
      <c r="B33" s="11" t="s">
        <v>102</v>
      </c>
      <c r="C33" s="12" t="s">
        <v>103</v>
      </c>
      <c r="D33" s="8" t="s">
        <v>104</v>
      </c>
      <c r="E33" s="13">
        <v>181290</v>
      </c>
      <c r="F33" s="14">
        <v>7344.96</v>
      </c>
      <c r="G33" s="14">
        <v>1.56</v>
      </c>
      <c r="H33" s="15"/>
    </row>
    <row r="34" spans="1:8" ht="12.95" customHeight="1">
      <c r="A34" s="1" t="s">
        <v>105</v>
      </c>
      <c r="B34" s="11" t="s">
        <v>106</v>
      </c>
      <c r="C34" s="12" t="s">
        <v>107</v>
      </c>
      <c r="D34" s="8" t="s">
        <v>42</v>
      </c>
      <c r="E34" s="13">
        <v>1177513</v>
      </c>
      <c r="F34" s="14">
        <v>7166.34</v>
      </c>
      <c r="G34" s="14">
        <v>1.52</v>
      </c>
      <c r="H34" s="15"/>
    </row>
    <row r="35" spans="1:8" ht="12.95" customHeight="1">
      <c r="A35" s="1" t="s">
        <v>108</v>
      </c>
      <c r="B35" s="11" t="s">
        <v>109</v>
      </c>
      <c r="C35" s="12" t="s">
        <v>110</v>
      </c>
      <c r="D35" s="8" t="s">
        <v>42</v>
      </c>
      <c r="E35" s="13">
        <v>596672</v>
      </c>
      <c r="F35" s="14">
        <v>7078.92</v>
      </c>
      <c r="G35" s="14">
        <v>1.5</v>
      </c>
      <c r="H35" s="15"/>
    </row>
    <row r="36" spans="1:8" ht="12.95" customHeight="1">
      <c r="A36" s="1" t="s">
        <v>111</v>
      </c>
      <c r="B36" s="11" t="s">
        <v>112</v>
      </c>
      <c r="C36" s="12" t="s">
        <v>113</v>
      </c>
      <c r="D36" s="8" t="s">
        <v>114</v>
      </c>
      <c r="E36" s="13">
        <v>127957</v>
      </c>
      <c r="F36" s="14">
        <v>7077.3</v>
      </c>
      <c r="G36" s="14">
        <v>1.5</v>
      </c>
      <c r="H36" s="15"/>
    </row>
    <row r="37" spans="1:8" ht="12.95" customHeight="1">
      <c r="A37" s="1" t="s">
        <v>115</v>
      </c>
      <c r="B37" s="11" t="s">
        <v>116</v>
      </c>
      <c r="C37" s="12" t="s">
        <v>117</v>
      </c>
      <c r="D37" s="8" t="s">
        <v>66</v>
      </c>
      <c r="E37" s="13">
        <v>826860</v>
      </c>
      <c r="F37" s="14">
        <v>6240.73</v>
      </c>
      <c r="G37" s="14">
        <v>1.32</v>
      </c>
      <c r="H37" s="15"/>
    </row>
    <row r="38" spans="1:8" ht="12.95" customHeight="1">
      <c r="A38" s="1" t="s">
        <v>118</v>
      </c>
      <c r="B38" s="11" t="s">
        <v>119</v>
      </c>
      <c r="C38" s="12" t="s">
        <v>120</v>
      </c>
      <c r="D38" s="8" t="s">
        <v>42</v>
      </c>
      <c r="E38" s="13">
        <v>84494</v>
      </c>
      <c r="F38" s="14">
        <v>5950.49</v>
      </c>
      <c r="G38" s="14">
        <v>1.26</v>
      </c>
      <c r="H38" s="15"/>
    </row>
    <row r="39" spans="1:8" ht="12.95" customHeight="1">
      <c r="A39" s="1" t="s">
        <v>121</v>
      </c>
      <c r="B39" s="11" t="s">
        <v>122</v>
      </c>
      <c r="C39" s="12" t="s">
        <v>123</v>
      </c>
      <c r="D39" s="8" t="s">
        <v>124</v>
      </c>
      <c r="E39" s="13">
        <v>134244</v>
      </c>
      <c r="F39" s="14">
        <v>5891.57</v>
      </c>
      <c r="G39" s="14">
        <v>1.25</v>
      </c>
      <c r="H39" s="15"/>
    </row>
    <row r="40" spans="1:8" ht="12.95" customHeight="1">
      <c r="A40" s="1" t="s">
        <v>125</v>
      </c>
      <c r="B40" s="11" t="s">
        <v>126</v>
      </c>
      <c r="C40" s="12" t="s">
        <v>127</v>
      </c>
      <c r="D40" s="8" t="s">
        <v>80</v>
      </c>
      <c r="E40" s="13">
        <v>396687</v>
      </c>
      <c r="F40" s="14">
        <v>5872.95</v>
      </c>
      <c r="G40" s="14">
        <v>1.24</v>
      </c>
      <c r="H40" s="15"/>
    </row>
    <row r="41" spans="1:8" ht="12.95" customHeight="1">
      <c r="A41" s="1" t="s">
        <v>128</v>
      </c>
      <c r="B41" s="11" t="s">
        <v>129</v>
      </c>
      <c r="C41" s="12" t="s">
        <v>130</v>
      </c>
      <c r="D41" s="8" t="s">
        <v>104</v>
      </c>
      <c r="E41" s="13">
        <v>48195</v>
      </c>
      <c r="F41" s="14">
        <v>5832.56</v>
      </c>
      <c r="G41" s="14">
        <v>1.23</v>
      </c>
      <c r="H41" s="15"/>
    </row>
    <row r="42" spans="1:8" ht="12.95" customHeight="1">
      <c r="A42" s="1" t="s">
        <v>131</v>
      </c>
      <c r="B42" s="11" t="s">
        <v>132</v>
      </c>
      <c r="C42" s="12" t="s">
        <v>133</v>
      </c>
      <c r="D42" s="8" t="s">
        <v>134</v>
      </c>
      <c r="E42" s="13">
        <v>129425</v>
      </c>
      <c r="F42" s="14">
        <v>5772.61</v>
      </c>
      <c r="G42" s="14">
        <v>1.22</v>
      </c>
      <c r="H42" s="15"/>
    </row>
    <row r="43" spans="1:8" ht="12.95" customHeight="1">
      <c r="A43" s="1" t="s">
        <v>135</v>
      </c>
      <c r="B43" s="11" t="s">
        <v>136</v>
      </c>
      <c r="C43" s="12" t="s">
        <v>137</v>
      </c>
      <c r="D43" s="8" t="s">
        <v>124</v>
      </c>
      <c r="E43" s="13">
        <v>1408281</v>
      </c>
      <c r="F43" s="14">
        <v>5627.49</v>
      </c>
      <c r="G43" s="14">
        <v>1.19</v>
      </c>
      <c r="H43" s="15"/>
    </row>
    <row r="44" spans="1:8" ht="12.95" customHeight="1">
      <c r="A44" s="1" t="s">
        <v>138</v>
      </c>
      <c r="B44" s="11" t="s">
        <v>139</v>
      </c>
      <c r="C44" s="12" t="s">
        <v>140</v>
      </c>
      <c r="D44" s="8" t="s">
        <v>42</v>
      </c>
      <c r="E44" s="13">
        <v>991325</v>
      </c>
      <c r="F44" s="14">
        <v>5039.3999999999996</v>
      </c>
      <c r="G44" s="14">
        <v>1.07</v>
      </c>
      <c r="H44" s="15"/>
    </row>
    <row r="45" spans="1:8" ht="12.95" customHeight="1">
      <c r="A45" s="1" t="s">
        <v>141</v>
      </c>
      <c r="B45" s="11" t="s">
        <v>142</v>
      </c>
      <c r="C45" s="12" t="s">
        <v>143</v>
      </c>
      <c r="D45" s="8" t="s">
        <v>144</v>
      </c>
      <c r="E45" s="13">
        <v>26887</v>
      </c>
      <c r="F45" s="14">
        <v>4923.01</v>
      </c>
      <c r="G45" s="14">
        <v>1.04</v>
      </c>
      <c r="H45" s="15"/>
    </row>
    <row r="46" spans="1:8" ht="12.95" customHeight="1">
      <c r="A46" s="1" t="s">
        <v>145</v>
      </c>
      <c r="B46" s="11" t="s">
        <v>146</v>
      </c>
      <c r="C46" s="12" t="s">
        <v>147</v>
      </c>
      <c r="D46" s="8" t="s">
        <v>70</v>
      </c>
      <c r="E46" s="13">
        <v>300777</v>
      </c>
      <c r="F46" s="14">
        <v>4785.0600000000004</v>
      </c>
      <c r="G46" s="14">
        <v>1.01</v>
      </c>
      <c r="H46" s="15"/>
    </row>
    <row r="47" spans="1:8" ht="12.95" customHeight="1">
      <c r="A47" s="1" t="s">
        <v>148</v>
      </c>
      <c r="B47" s="11" t="s">
        <v>149</v>
      </c>
      <c r="C47" s="12" t="s">
        <v>150</v>
      </c>
      <c r="D47" s="8" t="s">
        <v>23</v>
      </c>
      <c r="E47" s="13">
        <v>3505393</v>
      </c>
      <c r="F47" s="14">
        <v>4780.3</v>
      </c>
      <c r="G47" s="14">
        <v>1.01</v>
      </c>
      <c r="H47" s="15"/>
    </row>
    <row r="48" spans="1:8" ht="12.95" customHeight="1">
      <c r="A48" s="1" t="s">
        <v>151</v>
      </c>
      <c r="B48" s="11" t="s">
        <v>152</v>
      </c>
      <c r="C48" s="12" t="s">
        <v>153</v>
      </c>
      <c r="D48" s="8" t="s">
        <v>35</v>
      </c>
      <c r="E48" s="13">
        <v>420562</v>
      </c>
      <c r="F48" s="14">
        <v>4635.43</v>
      </c>
      <c r="G48" s="14">
        <v>0.98</v>
      </c>
      <c r="H48" s="15"/>
    </row>
    <row r="49" spans="1:8" ht="12.95" customHeight="1">
      <c r="A49" s="1" t="s">
        <v>154</v>
      </c>
      <c r="B49" s="11" t="s">
        <v>155</v>
      </c>
      <c r="C49" s="12" t="s">
        <v>156</v>
      </c>
      <c r="D49" s="8" t="s">
        <v>157</v>
      </c>
      <c r="E49" s="13">
        <v>308690</v>
      </c>
      <c r="F49" s="14">
        <v>4600.41</v>
      </c>
      <c r="G49" s="14">
        <v>0.97</v>
      </c>
      <c r="H49" s="15"/>
    </row>
    <row r="50" spans="1:8" ht="12.95" customHeight="1">
      <c r="A50" s="1" t="s">
        <v>158</v>
      </c>
      <c r="B50" s="11" t="s">
        <v>159</v>
      </c>
      <c r="C50" s="12" t="s">
        <v>160</v>
      </c>
      <c r="D50" s="8" t="s">
        <v>104</v>
      </c>
      <c r="E50" s="13">
        <v>265409</v>
      </c>
      <c r="F50" s="14">
        <v>4593.43</v>
      </c>
      <c r="G50" s="14">
        <v>0.97</v>
      </c>
      <c r="H50" s="15"/>
    </row>
    <row r="51" spans="1:8" ht="12.95" customHeight="1">
      <c r="A51" s="1" t="s">
        <v>161</v>
      </c>
      <c r="B51" s="11" t="s">
        <v>162</v>
      </c>
      <c r="C51" s="12" t="s">
        <v>163</v>
      </c>
      <c r="D51" s="8" t="s">
        <v>70</v>
      </c>
      <c r="E51" s="13">
        <v>631077</v>
      </c>
      <c r="F51" s="14">
        <v>4440.57</v>
      </c>
      <c r="G51" s="14">
        <v>0.94</v>
      </c>
      <c r="H51" s="15"/>
    </row>
    <row r="52" spans="1:8" ht="12.95" customHeight="1">
      <c r="A52" s="1" t="s">
        <v>164</v>
      </c>
      <c r="B52" s="11" t="s">
        <v>165</v>
      </c>
      <c r="C52" s="12" t="s">
        <v>166</v>
      </c>
      <c r="D52" s="8" t="s">
        <v>167</v>
      </c>
      <c r="E52" s="13">
        <v>781050</v>
      </c>
      <c r="F52" s="14">
        <v>4362.95</v>
      </c>
      <c r="G52" s="14">
        <v>0.92</v>
      </c>
      <c r="H52" s="15"/>
    </row>
    <row r="53" spans="1:8" ht="12.95" customHeight="1">
      <c r="A53" s="1" t="s">
        <v>168</v>
      </c>
      <c r="B53" s="11" t="s">
        <v>169</v>
      </c>
      <c r="C53" s="12" t="s">
        <v>170</v>
      </c>
      <c r="D53" s="8" t="s">
        <v>104</v>
      </c>
      <c r="E53" s="13">
        <v>198418</v>
      </c>
      <c r="F53" s="14">
        <v>4314.3999999999996</v>
      </c>
      <c r="G53" s="14">
        <v>0.91</v>
      </c>
      <c r="H53" s="15"/>
    </row>
    <row r="54" spans="1:8" ht="12.95" customHeight="1">
      <c r="A54" s="1" t="s">
        <v>171</v>
      </c>
      <c r="B54" s="11" t="s">
        <v>172</v>
      </c>
      <c r="C54" s="12" t="s">
        <v>173</v>
      </c>
      <c r="D54" s="8" t="s">
        <v>174</v>
      </c>
      <c r="E54" s="13">
        <v>331289</v>
      </c>
      <c r="F54" s="14">
        <v>4259.71</v>
      </c>
      <c r="G54" s="14">
        <v>0.9</v>
      </c>
      <c r="H54" s="15"/>
    </row>
    <row r="55" spans="1:8" ht="12.95" customHeight="1">
      <c r="A55" s="1" t="s">
        <v>175</v>
      </c>
      <c r="B55" s="11" t="s">
        <v>176</v>
      </c>
      <c r="C55" s="12" t="s">
        <v>177</v>
      </c>
      <c r="D55" s="8" t="s">
        <v>80</v>
      </c>
      <c r="E55" s="13">
        <v>125000</v>
      </c>
      <c r="F55" s="14">
        <v>3890.5</v>
      </c>
      <c r="G55" s="14">
        <v>0.82</v>
      </c>
      <c r="H55" s="15"/>
    </row>
    <row r="56" spans="1:8" ht="12.95" customHeight="1">
      <c r="A56" s="1" t="s">
        <v>178</v>
      </c>
      <c r="B56" s="11" t="s">
        <v>179</v>
      </c>
      <c r="C56" s="12" t="s">
        <v>180</v>
      </c>
      <c r="D56" s="8" t="s">
        <v>104</v>
      </c>
      <c r="E56" s="13">
        <v>122543</v>
      </c>
      <c r="F56" s="14">
        <v>3647.98</v>
      </c>
      <c r="G56" s="14">
        <v>0.77</v>
      </c>
      <c r="H56" s="15"/>
    </row>
    <row r="57" spans="1:8" ht="12.95" customHeight="1">
      <c r="A57" s="1" t="s">
        <v>181</v>
      </c>
      <c r="B57" s="11" t="s">
        <v>182</v>
      </c>
      <c r="C57" s="12" t="s">
        <v>183</v>
      </c>
      <c r="D57" s="8" t="s">
        <v>84</v>
      </c>
      <c r="E57" s="13">
        <v>768956</v>
      </c>
      <c r="F57" s="14">
        <v>3461.07</v>
      </c>
      <c r="G57" s="14">
        <v>0.73</v>
      </c>
      <c r="H57" s="15"/>
    </row>
    <row r="58" spans="1:8" ht="12.95" customHeight="1">
      <c r="A58" s="1" t="s">
        <v>184</v>
      </c>
      <c r="B58" s="11" t="s">
        <v>185</v>
      </c>
      <c r="C58" s="12" t="s">
        <v>186</v>
      </c>
      <c r="D58" s="8" t="s">
        <v>35</v>
      </c>
      <c r="E58" s="13">
        <v>3111243</v>
      </c>
      <c r="F58" s="14">
        <v>3237.25</v>
      </c>
      <c r="G58" s="14">
        <v>0.69</v>
      </c>
      <c r="H58" s="15"/>
    </row>
    <row r="59" spans="1:8" ht="12.95" customHeight="1">
      <c r="A59" s="1" t="s">
        <v>187</v>
      </c>
      <c r="B59" s="11" t="s">
        <v>188</v>
      </c>
      <c r="C59" s="12" t="s">
        <v>189</v>
      </c>
      <c r="D59" s="8" t="s">
        <v>190</v>
      </c>
      <c r="E59" s="13">
        <v>699056</v>
      </c>
      <c r="F59" s="14">
        <v>2904.58</v>
      </c>
      <c r="G59" s="14">
        <v>0.61</v>
      </c>
      <c r="H59" s="15"/>
    </row>
    <row r="60" spans="1:8" ht="12.95" customHeight="1">
      <c r="A60" s="1" t="s">
        <v>191</v>
      </c>
      <c r="B60" s="11" t="s">
        <v>192</v>
      </c>
      <c r="C60" s="12" t="s">
        <v>193</v>
      </c>
      <c r="D60" s="8" t="s">
        <v>134</v>
      </c>
      <c r="E60" s="13">
        <v>923248</v>
      </c>
      <c r="F60" s="14">
        <v>2852.37</v>
      </c>
      <c r="G60" s="14">
        <v>0.6</v>
      </c>
      <c r="H60" s="15"/>
    </row>
    <row r="61" spans="1:8" ht="12.95" customHeight="1">
      <c r="A61" s="1" t="s">
        <v>194</v>
      </c>
      <c r="B61" s="11" t="s">
        <v>195</v>
      </c>
      <c r="C61" s="12" t="s">
        <v>196</v>
      </c>
      <c r="D61" s="8" t="s">
        <v>84</v>
      </c>
      <c r="E61" s="13">
        <v>145647</v>
      </c>
      <c r="F61" s="14">
        <v>2699.57</v>
      </c>
      <c r="G61" s="14">
        <v>0.56999999999999995</v>
      </c>
      <c r="H61" s="15"/>
    </row>
    <row r="62" spans="1:8" ht="12.95" customHeight="1">
      <c r="A62" s="1" t="s">
        <v>197</v>
      </c>
      <c r="B62" s="11" t="s">
        <v>198</v>
      </c>
      <c r="C62" s="12" t="s">
        <v>199</v>
      </c>
      <c r="D62" s="8" t="s">
        <v>50</v>
      </c>
      <c r="E62" s="13">
        <v>502787</v>
      </c>
      <c r="F62" s="14">
        <v>2657.73</v>
      </c>
      <c r="G62" s="14">
        <v>0.56000000000000005</v>
      </c>
      <c r="H62" s="15"/>
    </row>
    <row r="63" spans="1:8" ht="12.95" customHeight="1">
      <c r="A63" s="1" t="s">
        <v>200</v>
      </c>
      <c r="B63" s="11" t="s">
        <v>201</v>
      </c>
      <c r="C63" s="12" t="s">
        <v>202</v>
      </c>
      <c r="D63" s="8" t="s">
        <v>50</v>
      </c>
      <c r="E63" s="13">
        <v>178114</v>
      </c>
      <c r="F63" s="14">
        <v>2396.6999999999998</v>
      </c>
      <c r="G63" s="14">
        <v>0.51</v>
      </c>
      <c r="H63" s="15"/>
    </row>
    <row r="64" spans="1:8" ht="12.95" customHeight="1">
      <c r="A64" s="1" t="s">
        <v>203</v>
      </c>
      <c r="B64" s="11" t="s">
        <v>204</v>
      </c>
      <c r="C64" s="12" t="s">
        <v>205</v>
      </c>
      <c r="D64" s="8" t="s">
        <v>104</v>
      </c>
      <c r="E64" s="13">
        <v>191149</v>
      </c>
      <c r="F64" s="14">
        <v>2307.36</v>
      </c>
      <c r="G64" s="14">
        <v>0.49</v>
      </c>
      <c r="H64" s="15"/>
    </row>
    <row r="65" spans="1:8" ht="12.95" customHeight="1">
      <c r="A65" s="1" t="s">
        <v>206</v>
      </c>
      <c r="B65" s="11" t="s">
        <v>207</v>
      </c>
      <c r="C65" s="12" t="s">
        <v>208</v>
      </c>
      <c r="D65" s="8" t="s">
        <v>70</v>
      </c>
      <c r="E65" s="13">
        <v>260362</v>
      </c>
      <c r="F65" s="14">
        <v>936.91</v>
      </c>
      <c r="G65" s="14">
        <v>0.2</v>
      </c>
      <c r="H65" s="15"/>
    </row>
    <row r="66" spans="1:8" ht="12.95" customHeight="1">
      <c r="A66" s="1" t="s">
        <v>209</v>
      </c>
      <c r="B66" s="11" t="s">
        <v>210</v>
      </c>
      <c r="C66" s="12" t="s">
        <v>211</v>
      </c>
      <c r="D66" s="8" t="s">
        <v>212</v>
      </c>
      <c r="E66" s="13">
        <v>83944</v>
      </c>
      <c r="F66" s="14">
        <v>837.38</v>
      </c>
      <c r="G66" s="14">
        <v>0.18</v>
      </c>
      <c r="H66" s="15"/>
    </row>
    <row r="67" spans="1:8" ht="12.95" customHeight="1">
      <c r="A67" s="2"/>
      <c r="B67" s="7" t="s">
        <v>213</v>
      </c>
      <c r="C67" s="8"/>
      <c r="D67" s="8"/>
      <c r="E67" s="8"/>
      <c r="F67" s="16">
        <v>463612.33</v>
      </c>
      <c r="G67" s="16">
        <v>98.1</v>
      </c>
      <c r="H67" s="17"/>
    </row>
    <row r="68" spans="1:8" ht="12.95" customHeight="1">
      <c r="A68" s="2"/>
      <c r="B68" s="18" t="s">
        <v>214</v>
      </c>
      <c r="C68" s="19"/>
      <c r="D68" s="19"/>
      <c r="E68" s="20"/>
      <c r="F68" s="21" t="s">
        <v>215</v>
      </c>
      <c r="G68" s="21" t="s">
        <v>215</v>
      </c>
      <c r="H68" s="22" t="s">
        <v>215</v>
      </c>
    </row>
    <row r="69" spans="1:8" ht="12.95" customHeight="1">
      <c r="A69" s="2"/>
      <c r="B69" s="23" t="s">
        <v>213</v>
      </c>
      <c r="C69" s="24"/>
      <c r="D69" s="24"/>
      <c r="E69" s="21"/>
      <c r="F69" s="21" t="s">
        <v>215</v>
      </c>
      <c r="G69" s="21" t="s">
        <v>215</v>
      </c>
      <c r="H69" s="22" t="s">
        <v>215</v>
      </c>
    </row>
    <row r="70" spans="1:8" ht="12.95" customHeight="1">
      <c r="A70" s="2"/>
      <c r="B70" s="18" t="s">
        <v>216</v>
      </c>
      <c r="C70" s="19"/>
      <c r="D70" s="19"/>
      <c r="E70" s="25"/>
      <c r="F70" s="16">
        <v>463612.33</v>
      </c>
      <c r="G70" s="16">
        <v>98.1</v>
      </c>
      <c r="H70" s="22"/>
    </row>
    <row r="71" spans="1:8" ht="12.95" customHeight="1">
      <c r="A71" s="2"/>
      <c r="B71" s="7" t="s">
        <v>217</v>
      </c>
      <c r="C71" s="8"/>
      <c r="D71" s="8"/>
      <c r="E71" s="8"/>
      <c r="F71" s="8"/>
      <c r="G71" s="8"/>
      <c r="H71" s="9"/>
    </row>
    <row r="72" spans="1:8" ht="12.95" customHeight="1">
      <c r="A72" s="2"/>
      <c r="B72" s="7" t="s">
        <v>12</v>
      </c>
      <c r="C72" s="10"/>
      <c r="D72" s="10"/>
      <c r="E72" s="8"/>
      <c r="F72" s="8"/>
      <c r="G72" s="8"/>
      <c r="H72" s="9"/>
    </row>
    <row r="73" spans="1:8" ht="12.95" customHeight="1">
      <c r="A73" s="1" t="s">
        <v>218</v>
      </c>
      <c r="B73" s="11" t="s">
        <v>219</v>
      </c>
      <c r="C73" s="12" t="s">
        <v>220</v>
      </c>
      <c r="D73" s="8"/>
      <c r="E73" s="13">
        <v>1325000</v>
      </c>
      <c r="F73" s="14">
        <v>1843.34</v>
      </c>
      <c r="G73" s="14">
        <v>0.39</v>
      </c>
      <c r="H73" s="15"/>
    </row>
    <row r="74" spans="1:8" ht="12.95" customHeight="1">
      <c r="A74" s="2"/>
      <c r="B74" s="7" t="s">
        <v>213</v>
      </c>
      <c r="C74" s="8"/>
      <c r="D74" s="8"/>
      <c r="E74" s="8"/>
      <c r="F74" s="16">
        <v>1843.34</v>
      </c>
      <c r="G74" s="16">
        <v>0.39</v>
      </c>
      <c r="H74" s="17"/>
    </row>
    <row r="75" spans="1:8" ht="12.95" customHeight="1">
      <c r="A75" s="2"/>
      <c r="B75" s="18" t="s">
        <v>214</v>
      </c>
      <c r="C75" s="19"/>
      <c r="D75" s="19"/>
      <c r="E75" s="20"/>
      <c r="F75" s="21" t="s">
        <v>215</v>
      </c>
      <c r="G75" s="21" t="s">
        <v>215</v>
      </c>
      <c r="H75" s="22" t="s">
        <v>215</v>
      </c>
    </row>
    <row r="76" spans="1:8" ht="12.95" customHeight="1">
      <c r="A76" s="2"/>
      <c r="B76" s="23" t="s">
        <v>213</v>
      </c>
      <c r="C76" s="24"/>
      <c r="D76" s="24"/>
      <c r="E76" s="21"/>
      <c r="F76" s="21" t="s">
        <v>215</v>
      </c>
      <c r="G76" s="21" t="s">
        <v>215</v>
      </c>
      <c r="H76" s="22" t="s">
        <v>215</v>
      </c>
    </row>
    <row r="77" spans="1:8" ht="12.95" customHeight="1">
      <c r="A77" s="2"/>
      <c r="B77" s="18" t="s">
        <v>216</v>
      </c>
      <c r="C77" s="19"/>
      <c r="D77" s="19"/>
      <c r="E77" s="25"/>
      <c r="F77" s="16">
        <v>1843.34</v>
      </c>
      <c r="G77" s="16">
        <v>0.39</v>
      </c>
      <c r="H77" s="22"/>
    </row>
    <row r="78" spans="1:8" ht="12.95" customHeight="1">
      <c r="A78" s="2"/>
      <c r="B78" s="7" t="s">
        <v>221</v>
      </c>
      <c r="C78" s="8"/>
      <c r="D78" s="8"/>
      <c r="E78" s="8"/>
      <c r="F78" s="8"/>
      <c r="G78" s="8"/>
      <c r="H78" s="9"/>
    </row>
    <row r="79" spans="1:8" ht="12.95" customHeight="1">
      <c r="A79" s="2"/>
      <c r="B79" s="7" t="s">
        <v>222</v>
      </c>
      <c r="C79" s="10"/>
      <c r="D79" s="10"/>
      <c r="E79" s="8"/>
      <c r="F79" s="8"/>
      <c r="G79" s="8"/>
      <c r="H79" s="9"/>
    </row>
    <row r="80" spans="1:8" ht="12.95" customHeight="1">
      <c r="A80" s="1" t="s">
        <v>223</v>
      </c>
      <c r="B80" s="11" t="s">
        <v>224</v>
      </c>
      <c r="C80" s="12"/>
      <c r="D80" s="8"/>
      <c r="E80" s="13"/>
      <c r="F80" s="14">
        <v>7929</v>
      </c>
      <c r="G80" s="14">
        <v>1.68</v>
      </c>
      <c r="H80" s="15">
        <v>5.3290911464245173E-2</v>
      </c>
    </row>
    <row r="81" spans="1:8" ht="12.95" customHeight="1">
      <c r="A81" s="2"/>
      <c r="B81" s="7" t="s">
        <v>213</v>
      </c>
      <c r="C81" s="8"/>
      <c r="D81" s="8"/>
      <c r="E81" s="8"/>
      <c r="F81" s="16">
        <v>7929</v>
      </c>
      <c r="G81" s="16">
        <v>1.68</v>
      </c>
      <c r="H81" s="17"/>
    </row>
    <row r="82" spans="1:8" ht="12.95" customHeight="1">
      <c r="A82" s="2"/>
      <c r="B82" s="18" t="s">
        <v>216</v>
      </c>
      <c r="C82" s="19"/>
      <c r="D82" s="19"/>
      <c r="E82" s="25"/>
      <c r="F82" s="16">
        <v>7929</v>
      </c>
      <c r="G82" s="16">
        <v>1.68</v>
      </c>
      <c r="H82" s="22"/>
    </row>
    <row r="83" spans="1:8" ht="12.95" customHeight="1">
      <c r="A83" s="2"/>
      <c r="B83" s="7" t="s">
        <v>225</v>
      </c>
      <c r="C83" s="8"/>
      <c r="D83" s="8"/>
      <c r="E83" s="8"/>
      <c r="F83" s="8"/>
      <c r="G83" s="8"/>
      <c r="H83" s="9"/>
    </row>
    <row r="84" spans="1:8" ht="12.95" customHeight="1">
      <c r="A84" s="2"/>
      <c r="B84" s="7" t="s">
        <v>226</v>
      </c>
      <c r="C84" s="10"/>
      <c r="D84" s="10"/>
      <c r="E84" s="8"/>
      <c r="F84" s="8"/>
      <c r="G84" s="8"/>
      <c r="H84" s="9"/>
    </row>
    <row r="85" spans="1:8" ht="12.95" customHeight="1">
      <c r="A85" s="1" t="s">
        <v>227</v>
      </c>
      <c r="B85" s="11" t="s">
        <v>228</v>
      </c>
      <c r="C85" s="12" t="s">
        <v>229</v>
      </c>
      <c r="D85" s="8"/>
      <c r="E85" s="26">
        <v>2E-3</v>
      </c>
      <c r="F85" s="14">
        <v>0</v>
      </c>
      <c r="G85" s="27" t="s">
        <v>230</v>
      </c>
      <c r="H85" s="15"/>
    </row>
    <row r="86" spans="1:8" ht="12.95" customHeight="1">
      <c r="A86" s="2"/>
      <c r="B86" s="7" t="s">
        <v>213</v>
      </c>
      <c r="C86" s="8"/>
      <c r="D86" s="8"/>
      <c r="E86" s="8"/>
      <c r="F86" s="16">
        <v>0</v>
      </c>
      <c r="G86" s="28" t="s">
        <v>230</v>
      </c>
      <c r="H86" s="17"/>
    </row>
    <row r="87" spans="1:8" ht="12.95" customHeight="1">
      <c r="A87" s="2"/>
      <c r="B87" s="7" t="s">
        <v>231</v>
      </c>
      <c r="C87" s="8"/>
      <c r="D87" s="8"/>
      <c r="E87" s="8"/>
      <c r="F87" s="29"/>
      <c r="G87" s="30"/>
      <c r="H87" s="17"/>
    </row>
    <row r="88" spans="1:8" ht="12.95" customHeight="1">
      <c r="A88" s="1" t="s">
        <v>232</v>
      </c>
      <c r="B88" s="11" t="s">
        <v>233</v>
      </c>
      <c r="C88" s="12" t="s">
        <v>234</v>
      </c>
      <c r="D88" s="8" t="s">
        <v>66</v>
      </c>
      <c r="E88" s="13">
        <v>1037764</v>
      </c>
      <c r="F88" s="14">
        <v>105.71</v>
      </c>
      <c r="G88" s="14">
        <v>0.02</v>
      </c>
      <c r="H88" s="15"/>
    </row>
    <row r="89" spans="1:8" ht="12.95" customHeight="1">
      <c r="A89" s="2"/>
      <c r="B89" s="7" t="s">
        <v>213</v>
      </c>
      <c r="C89" s="8"/>
      <c r="D89" s="8"/>
      <c r="E89" s="8"/>
      <c r="F89" s="16">
        <f>F88</f>
        <v>105.71</v>
      </c>
      <c r="G89" s="16">
        <f>G88</f>
        <v>0.02</v>
      </c>
      <c r="H89" s="17"/>
    </row>
    <row r="90" spans="1:8" ht="12.95" customHeight="1">
      <c r="A90" s="2"/>
      <c r="B90" s="18" t="s">
        <v>216</v>
      </c>
      <c r="C90" s="19"/>
      <c r="D90" s="19"/>
      <c r="E90" s="25"/>
      <c r="F90" s="16">
        <f>F86+F89</f>
        <v>105.71</v>
      </c>
      <c r="G90" s="16">
        <f>G89</f>
        <v>0.02</v>
      </c>
      <c r="H90" s="22"/>
    </row>
    <row r="91" spans="1:8" ht="12.95" customHeight="1">
      <c r="A91" s="2"/>
      <c r="B91" s="18" t="s">
        <v>235</v>
      </c>
      <c r="C91" s="19"/>
      <c r="D91" s="19"/>
      <c r="E91" s="8"/>
      <c r="F91" s="16">
        <v>-1152.3699999999999</v>
      </c>
      <c r="G91" s="16">
        <v>-0.19</v>
      </c>
      <c r="H91" s="22"/>
    </row>
    <row r="92" spans="1:8" ht="12.95" customHeight="1" thickBot="1">
      <c r="A92" s="2"/>
      <c r="B92" s="31" t="s">
        <v>236</v>
      </c>
      <c r="C92" s="32"/>
      <c r="D92" s="32"/>
      <c r="E92" s="32"/>
      <c r="F92" s="33">
        <v>472338.01</v>
      </c>
      <c r="G92" s="34">
        <v>100</v>
      </c>
      <c r="H92" s="35"/>
    </row>
    <row r="93" spans="1:8" ht="12.95" customHeight="1">
      <c r="A93" s="2"/>
      <c r="B93" s="42"/>
      <c r="C93" s="42"/>
      <c r="D93" s="42"/>
      <c r="E93" s="42"/>
      <c r="F93" s="2"/>
      <c r="G93" s="2"/>
      <c r="H93" s="2"/>
    </row>
    <row r="94" spans="1:8" ht="12.95" customHeight="1">
      <c r="A94" s="2"/>
      <c r="B94" s="42" t="s">
        <v>237</v>
      </c>
      <c r="C94" s="42"/>
      <c r="D94" s="42"/>
      <c r="E94" s="42"/>
      <c r="F94" s="36"/>
      <c r="G94" s="36"/>
      <c r="H94" s="2"/>
    </row>
    <row r="95" spans="1:8" ht="12.95" customHeight="1">
      <c r="A95" s="2"/>
      <c r="B95" s="42" t="s">
        <v>238</v>
      </c>
      <c r="C95" s="42"/>
      <c r="D95" s="42"/>
      <c r="E95" s="42"/>
      <c r="F95" s="2"/>
      <c r="G95" s="2"/>
      <c r="H95" s="2"/>
    </row>
    <row r="96" spans="1:8" ht="12.95" customHeight="1">
      <c r="A96" s="2"/>
      <c r="B96" s="42" t="s">
        <v>239</v>
      </c>
      <c r="C96" s="42"/>
      <c r="D96" s="42"/>
      <c r="E96" s="42"/>
      <c r="F96" s="2"/>
      <c r="G96" s="2"/>
      <c r="H96" s="2"/>
    </row>
    <row r="97" spans="1:8" ht="12.95" customHeight="1">
      <c r="A97" s="2"/>
      <c r="B97" s="43" t="s">
        <v>240</v>
      </c>
      <c r="C97" s="44"/>
      <c r="D97" s="44"/>
      <c r="E97" s="44"/>
      <c r="F97" s="2"/>
      <c r="G97" s="2"/>
      <c r="H97" s="2"/>
    </row>
    <row r="98" spans="1:8" ht="12.95" customHeight="1">
      <c r="A98" s="2"/>
      <c r="B98" s="42" t="s">
        <v>241</v>
      </c>
      <c r="C98" s="42"/>
      <c r="D98" s="42"/>
      <c r="E98" s="42"/>
      <c r="F98" s="2"/>
      <c r="G98" s="2"/>
      <c r="H98" s="2"/>
    </row>
    <row r="99" spans="1:8" ht="12.95" customHeight="1">
      <c r="A99" s="2"/>
      <c r="B99" s="41"/>
      <c r="C99" s="41"/>
      <c r="D99" s="41"/>
      <c r="E99" s="41"/>
      <c r="F99" s="2"/>
      <c r="G99" s="2"/>
      <c r="H99" s="2"/>
    </row>
    <row r="100" spans="1:8" ht="12.95" customHeight="1">
      <c r="A100" s="2"/>
      <c r="B100" s="45" t="s">
        <v>242</v>
      </c>
      <c r="C100" s="45"/>
      <c r="D100" s="45"/>
      <c r="E100" s="45"/>
      <c r="F100" s="2"/>
      <c r="G100" s="2"/>
      <c r="H100" s="2"/>
    </row>
    <row r="101" spans="1:8" ht="12.95" customHeight="1">
      <c r="A101" s="2"/>
      <c r="B101" s="38" t="s">
        <v>243</v>
      </c>
      <c r="C101" s="38" t="s">
        <v>244</v>
      </c>
      <c r="D101" s="2"/>
      <c r="E101" s="2"/>
      <c r="F101" s="2"/>
      <c r="G101" s="2"/>
      <c r="H101" s="2"/>
    </row>
    <row r="102" spans="1:8" ht="12.95" customHeight="1">
      <c r="A102" s="2"/>
      <c r="B102" s="39" t="s">
        <v>245</v>
      </c>
      <c r="C102" s="40">
        <v>48900</v>
      </c>
      <c r="D102" s="2"/>
      <c r="E102" s="2"/>
      <c r="F102" s="2"/>
      <c r="G102" s="2"/>
      <c r="H102" s="2"/>
    </row>
    <row r="103" spans="1:8" ht="12.95" customHeight="1">
      <c r="A103" s="2"/>
      <c r="B103" s="41"/>
      <c r="C103" s="41"/>
      <c r="D103" s="41"/>
      <c r="E103" s="41"/>
      <c r="F103" s="2"/>
      <c r="G103" s="2"/>
      <c r="H103" s="2"/>
    </row>
    <row r="104" spans="1:8" ht="12.95" customHeight="1">
      <c r="A104" s="2"/>
      <c r="B104" s="42" t="s">
        <v>246</v>
      </c>
      <c r="C104" s="42"/>
      <c r="D104" s="42"/>
      <c r="E104" s="42"/>
      <c r="F104" s="2"/>
      <c r="G104" s="2"/>
      <c r="H104" s="2"/>
    </row>
    <row r="105" spans="1:8" ht="12.95" customHeight="1">
      <c r="A105" s="2"/>
      <c r="B105" s="41" t="s">
        <v>247</v>
      </c>
      <c r="C105" s="41"/>
      <c r="D105" s="41"/>
      <c r="E105" s="41"/>
      <c r="F105" s="2"/>
      <c r="G105" s="2"/>
      <c r="H105" s="2"/>
    </row>
    <row r="106" spans="1:8" ht="12.95" customHeight="1">
      <c r="A106" s="2"/>
      <c r="B106" s="41" t="s">
        <v>248</v>
      </c>
      <c r="C106" s="41"/>
      <c r="D106" s="41"/>
      <c r="E106" s="41"/>
      <c r="F106" s="2"/>
      <c r="G106" s="2"/>
      <c r="H106" s="2"/>
    </row>
    <row r="107" spans="1:8" ht="12.95" customHeight="1">
      <c r="A107" s="2"/>
      <c r="B107" s="41" t="s">
        <v>249</v>
      </c>
      <c r="C107" s="41"/>
      <c r="D107" s="41"/>
      <c r="E107" s="41"/>
      <c r="F107" s="41"/>
      <c r="G107" s="41"/>
      <c r="H107" s="41"/>
    </row>
    <row r="108" spans="1:8" ht="12.95" customHeight="1">
      <c r="A108" s="2"/>
      <c r="B108" s="41" t="s">
        <v>250</v>
      </c>
      <c r="C108" s="41"/>
      <c r="D108" s="41"/>
      <c r="E108" s="41"/>
      <c r="F108" s="41"/>
      <c r="G108" s="41"/>
      <c r="H108" s="41"/>
    </row>
    <row r="109" spans="1:8" ht="12.95" customHeight="1">
      <c r="A109" s="2"/>
      <c r="B109" s="41" t="s">
        <v>251</v>
      </c>
      <c r="C109" s="41"/>
      <c r="D109" s="41"/>
      <c r="E109" s="41"/>
      <c r="F109" s="2"/>
      <c r="G109" s="2"/>
      <c r="H109" s="2"/>
    </row>
    <row r="110" spans="1:8">
      <c r="F110" s="37" t="s">
        <v>252</v>
      </c>
    </row>
    <row r="111" spans="1:8">
      <c r="B111" s="37" t="s">
        <v>253</v>
      </c>
      <c r="F111" s="37" t="s">
        <v>254</v>
      </c>
    </row>
  </sheetData>
  <mergeCells count="19">
    <mergeCell ref="B100:E100"/>
    <mergeCell ref="B1:H1"/>
    <mergeCell ref="B2:H2"/>
    <mergeCell ref="B3:H3"/>
    <mergeCell ref="B4:H4"/>
    <mergeCell ref="B93:E93"/>
    <mergeCell ref="B94:E94"/>
    <mergeCell ref="B95:E95"/>
    <mergeCell ref="B96:E96"/>
    <mergeCell ref="B97:E97"/>
    <mergeCell ref="B98:E98"/>
    <mergeCell ref="B99:E99"/>
    <mergeCell ref="B109:E109"/>
    <mergeCell ref="B103:E103"/>
    <mergeCell ref="B104:E104"/>
    <mergeCell ref="B105:E105"/>
    <mergeCell ref="B106:E106"/>
    <mergeCell ref="B107:H107"/>
    <mergeCell ref="B108:H10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3165-4FB0-4410-A31F-39CB406B0BFE}">
  <sheetPr codeName="Sheet7">
    <outlinePr summaryBelow="0"/>
  </sheetPr>
  <dimension ref="A1:F19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42" t="s">
        <v>255</v>
      </c>
      <c r="B1" s="42"/>
      <c r="C1" s="42"/>
      <c r="D1" s="47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8" t="s">
        <v>256</v>
      </c>
      <c r="B3" s="48"/>
      <c r="C3" s="2"/>
      <c r="D3" s="2"/>
      <c r="E3" s="48" t="s">
        <v>257</v>
      </c>
      <c r="F3" s="48"/>
    </row>
    <row r="4" spans="1:6" ht="12.95" customHeight="1">
      <c r="A4" s="49" t="s">
        <v>258</v>
      </c>
      <c r="B4" s="49" t="s">
        <v>9</v>
      </c>
      <c r="C4" s="2"/>
      <c r="D4" s="2"/>
      <c r="E4" s="49" t="s">
        <v>259</v>
      </c>
      <c r="F4" s="49" t="s">
        <v>260</v>
      </c>
    </row>
    <row r="5" spans="1:6" ht="12.95" customHeight="1">
      <c r="A5" s="19" t="s">
        <v>14</v>
      </c>
      <c r="B5" s="50">
        <v>6.59E-2</v>
      </c>
      <c r="C5" s="2"/>
      <c r="D5" s="2"/>
      <c r="E5" s="19" t="s">
        <v>261</v>
      </c>
      <c r="F5" s="50">
        <v>0.33229999999999998</v>
      </c>
    </row>
    <row r="6" spans="1:6" ht="12.95" customHeight="1">
      <c r="A6" s="19" t="s">
        <v>18</v>
      </c>
      <c r="B6" s="50">
        <v>5.0099999999999999E-2</v>
      </c>
      <c r="C6" s="2"/>
      <c r="D6" s="2"/>
      <c r="E6" s="19" t="s">
        <v>262</v>
      </c>
      <c r="F6" s="50">
        <v>0.1176</v>
      </c>
    </row>
    <row r="7" spans="1:6" ht="12.95" customHeight="1">
      <c r="A7" s="19" t="s">
        <v>21</v>
      </c>
      <c r="B7" s="50">
        <v>3.6600000000000001E-2</v>
      </c>
      <c r="C7" s="2"/>
      <c r="D7" s="2"/>
      <c r="E7" s="19" t="s">
        <v>263</v>
      </c>
      <c r="F7" s="50">
        <v>0.1074</v>
      </c>
    </row>
    <row r="8" spans="1:6" ht="12.95" customHeight="1">
      <c r="A8" s="19" t="s">
        <v>25</v>
      </c>
      <c r="B8" s="50">
        <v>3.6299999999999999E-2</v>
      </c>
      <c r="C8" s="2"/>
      <c r="D8" s="2"/>
      <c r="E8" s="19" t="s">
        <v>264</v>
      </c>
      <c r="F8" s="50">
        <v>8.0699999999999994E-2</v>
      </c>
    </row>
    <row r="9" spans="1:6" ht="12.95" customHeight="1">
      <c r="A9" s="19" t="s">
        <v>29</v>
      </c>
      <c r="B9" s="50">
        <v>3.4599999999999999E-2</v>
      </c>
      <c r="C9" s="2"/>
      <c r="D9" s="2"/>
      <c r="E9" s="19" t="s">
        <v>265</v>
      </c>
      <c r="F9" s="50">
        <v>7.9000000000000001E-2</v>
      </c>
    </row>
    <row r="10" spans="1:6" ht="12.95" customHeight="1">
      <c r="A10" s="19" t="s">
        <v>245</v>
      </c>
      <c r="B10" s="50">
        <v>3.2500000000000001E-2</v>
      </c>
      <c r="C10" s="2"/>
      <c r="D10" s="2"/>
      <c r="E10" s="19" t="s">
        <v>266</v>
      </c>
      <c r="F10" s="50">
        <v>6.9000000000000006E-2</v>
      </c>
    </row>
    <row r="11" spans="1:6" ht="12.95" customHeight="1">
      <c r="A11" s="19" t="s">
        <v>37</v>
      </c>
      <c r="B11" s="50">
        <v>3.0800000000000001E-2</v>
      </c>
      <c r="C11" s="2"/>
      <c r="D11" s="2"/>
      <c r="E11" s="19" t="s">
        <v>104</v>
      </c>
      <c r="F11" s="50">
        <v>5.9400000000000001E-2</v>
      </c>
    </row>
    <row r="12" spans="1:6" ht="12.95" customHeight="1">
      <c r="A12" s="19" t="s">
        <v>40</v>
      </c>
      <c r="B12" s="50">
        <v>2.92E-2</v>
      </c>
      <c r="C12" s="2"/>
      <c r="D12" s="2"/>
      <c r="E12" s="19" t="s">
        <v>267</v>
      </c>
      <c r="F12" s="50">
        <v>4.02E-2</v>
      </c>
    </row>
    <row r="13" spans="1:6" ht="12.95" customHeight="1">
      <c r="A13" s="19" t="s">
        <v>44</v>
      </c>
      <c r="B13" s="50">
        <v>2.4299999999999999E-2</v>
      </c>
      <c r="C13" s="2"/>
      <c r="D13" s="2"/>
      <c r="E13" s="19" t="s">
        <v>27</v>
      </c>
      <c r="F13" s="50">
        <v>3.6299999999999999E-2</v>
      </c>
    </row>
    <row r="14" spans="1:6" ht="12.95" customHeight="1">
      <c r="A14" s="19" t="s">
        <v>48</v>
      </c>
      <c r="B14" s="50">
        <v>2.4299999999999999E-2</v>
      </c>
      <c r="C14" s="2"/>
      <c r="D14" s="2"/>
      <c r="E14" s="19" t="s">
        <v>84</v>
      </c>
      <c r="F14" s="50">
        <v>3.2399999999999998E-2</v>
      </c>
    </row>
    <row r="15" spans="1:6" ht="12.95" customHeight="1">
      <c r="A15" s="2"/>
      <c r="B15" s="2"/>
      <c r="C15" s="2"/>
      <c r="D15" s="2"/>
      <c r="E15" s="19" t="s">
        <v>225</v>
      </c>
      <c r="F15" s="50">
        <v>1.6799999999999999E-2</v>
      </c>
    </row>
    <row r="16" spans="1:6" ht="12.95" customHeight="1">
      <c r="A16" s="2"/>
      <c r="B16" s="2"/>
      <c r="C16" s="2"/>
      <c r="D16" s="2"/>
      <c r="E16" s="19" t="s">
        <v>268</v>
      </c>
      <c r="F16" s="50">
        <v>1.61E-2</v>
      </c>
    </row>
    <row r="17" spans="1:6" ht="12.95" customHeight="1">
      <c r="A17" s="2"/>
      <c r="B17" s="2"/>
      <c r="C17" s="2"/>
      <c r="D17" s="2"/>
      <c r="E17" s="19" t="s">
        <v>269</v>
      </c>
      <c r="F17" s="50">
        <v>1.4999999999999999E-2</v>
      </c>
    </row>
    <row r="18" spans="1:6" ht="12.95" customHeight="1">
      <c r="A18" s="2"/>
      <c r="B18" s="2"/>
      <c r="C18" s="2"/>
      <c r="D18" s="2"/>
      <c r="E18" s="19" t="s">
        <v>270</v>
      </c>
      <c r="F18" s="50">
        <v>-2.2000000000000001E-3</v>
      </c>
    </row>
    <row r="19" spans="1:6" ht="12.95" customHeight="1">
      <c r="A19" s="2"/>
      <c r="B19" s="2"/>
      <c r="C19" s="2"/>
      <c r="D19" s="2"/>
      <c r="E19" s="49" t="s">
        <v>271</v>
      </c>
      <c r="F19" s="5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IFCF!JR_PAGE_ANCHOR_0_7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2026-01-09T07:26:02Z</dcterms:created>
  <dcterms:modified xsi:type="dcterms:W3CDTF">2026-01-09T07:28:39Z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2026-01-09T07:26:04Z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401aff49-d494-4f3e-9e06-65bc73e9408a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