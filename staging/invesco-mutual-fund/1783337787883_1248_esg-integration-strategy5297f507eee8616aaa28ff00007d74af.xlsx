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G:\Marketing\0Jagruti\Handover_Jagruti\Website Upload\Monthly Holding\October 2024\"/>
    </mc:Choice>
  </mc:AlternateContent>
  <xr:revisionPtr revIDLastSave="0" documentId="13_ncr:1_{27A1A569-7F02-4D96-BEE5-F2B4CB4EE0EC}" xr6:coauthVersionLast="47" xr6:coauthVersionMax="47" xr10:uidLastSave="{00000000-0000-0000-0000-000000000000}"/>
  <bookViews>
    <workbookView xWindow="-110" yWindow="-110" windowWidth="19420" windowHeight="10300" xr2:uid="{FED8A261-7A35-4072-84B4-36578BD46DB1}"/>
  </bookViews>
  <sheets>
    <sheet name="ESG Integration Strategy" sheetId="1" r:id="rId1"/>
    <sheet name="IESGEF" sheetId="2" r:id="rId2"/>
  </sheets>
  <externalReferences>
    <externalReference r:id="rId3"/>
    <externalReference r:id="rId4"/>
    <externalReference r:id="rId5"/>
    <externalReference r:id="rId6"/>
  </externalReferences>
  <definedNames>
    <definedName name="JR_PAGE_ANCHOR_0_1">[1]IEBF!$A$1</definedName>
    <definedName name="JR_PAGE_ANCHOR_0_2">[2]IENEFOF!$A$1</definedName>
    <definedName name="JR_PAGE_ANCHOR_0_3">[3]IESF!$A$1</definedName>
    <definedName name="JR_PAGE_ANCHOR_0_4" localSheetId="1">IESGEF!$A$1</definedName>
    <definedName name="JR_PAGE_ANCHOR_0_4">'ESG Integration Strategy'!$A$1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5" i="1" l="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K28" i="1"/>
  <c r="J28" i="1"/>
  <c r="I28" i="1"/>
  <c r="K27" i="1"/>
  <c r="J27" i="1"/>
  <c r="I27" i="1"/>
  <c r="K26" i="1"/>
  <c r="J26" i="1"/>
  <c r="I26" i="1"/>
  <c r="K25" i="1"/>
  <c r="J25" i="1"/>
  <c r="I25" i="1"/>
  <c r="K24" i="1"/>
  <c r="J24" i="1"/>
  <c r="I24" i="1"/>
  <c r="K23" i="1"/>
  <c r="J23" i="1"/>
  <c r="I23" i="1"/>
  <c r="K22" i="1"/>
  <c r="J22" i="1"/>
  <c r="I22" i="1"/>
  <c r="K21" i="1"/>
  <c r="J21" i="1"/>
  <c r="I21" i="1"/>
  <c r="K20" i="1"/>
  <c r="J20" i="1"/>
  <c r="I20" i="1"/>
  <c r="K19" i="1"/>
  <c r="J19" i="1"/>
  <c r="I19" i="1"/>
  <c r="K18" i="1"/>
  <c r="J18" i="1"/>
  <c r="I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alcChain>
</file>

<file path=xl/sharedStrings.xml><?xml version="1.0" encoding="utf-8"?>
<sst xmlns="http://schemas.openxmlformats.org/spreadsheetml/2006/main" count="234" uniqueCount="196">
  <si>
    <t>IESGEF</t>
  </si>
  <si>
    <t>INVESCO MUTUAL FUND</t>
  </si>
  <si>
    <t>Monthly Portfolio Statement as on October 31, 2024</t>
  </si>
  <si>
    <t>Name of the Instrument</t>
  </si>
  <si>
    <t>ISIN</t>
  </si>
  <si>
    <t>Industry*</t>
  </si>
  <si>
    <t>Quantity</t>
  </si>
  <si>
    <t>Market/Fair Value (Rs. in Lakhs)</t>
  </si>
  <si>
    <t>% to Net Assets</t>
  </si>
  <si>
    <t>YTM</t>
  </si>
  <si>
    <r>
      <t>BRSR Score</t>
    </r>
    <r>
      <rPr>
        <b/>
        <vertAlign val="superscript"/>
        <sz val="10"/>
        <rFont val="Arial"/>
        <family val="2"/>
      </rPr>
      <t>1</t>
    </r>
  </si>
  <si>
    <r>
      <t>BRSR Core Score</t>
    </r>
    <r>
      <rPr>
        <b/>
        <vertAlign val="superscript"/>
        <sz val="9"/>
        <rFont val="Arial"/>
        <family val="2"/>
      </rPr>
      <t>1</t>
    </r>
  </si>
  <si>
    <t>BRSR Links</t>
  </si>
  <si>
    <t>Equity &amp; Equity related</t>
  </si>
  <si>
    <t>(a) Listed / awaiting listing on Stock Exchanges</t>
  </si>
  <si>
    <t>HDFB03</t>
  </si>
  <si>
    <t>HDFC Bank Limited</t>
  </si>
  <si>
    <t>INE040A01034</t>
  </si>
  <si>
    <t>Banks</t>
  </si>
  <si>
    <t>IBCL05</t>
  </si>
  <si>
    <t>ICICI Bank Limited</t>
  </si>
  <si>
    <t>INE090A01021</t>
  </si>
  <si>
    <t>INFS02</t>
  </si>
  <si>
    <t>Infosys Limited</t>
  </si>
  <si>
    <t>INE009A01021</t>
  </si>
  <si>
    <t>IT - Software</t>
  </si>
  <si>
    <t>TCSL01</t>
  </si>
  <si>
    <t>Tata Consultancy Services Limited</t>
  </si>
  <si>
    <t>INE467B01029</t>
  </si>
  <si>
    <t>UTIB02</t>
  </si>
  <si>
    <t>Axis Bank Limited</t>
  </si>
  <si>
    <t>INE238A01034</t>
  </si>
  <si>
    <t>MANO02</t>
  </si>
  <si>
    <t>Manorama Industries Limited</t>
  </si>
  <si>
    <t>INE00VM01036</t>
  </si>
  <si>
    <t>Food Products</t>
  </si>
  <si>
    <t>PGCI01</t>
  </si>
  <si>
    <t>Power Grid Corporation of India Limited</t>
  </si>
  <si>
    <t>INE752E01010</t>
  </si>
  <si>
    <t>Power</t>
  </si>
  <si>
    <t>LTIL01</t>
  </si>
  <si>
    <t>LTIMindtree Limited</t>
  </si>
  <si>
    <t>INE214T01019</t>
  </si>
  <si>
    <t>BTVL02</t>
  </si>
  <si>
    <t>Bharti Airtel Limited</t>
  </si>
  <si>
    <t>INE397D01024</t>
  </si>
  <si>
    <t>Telecom - Services</t>
  </si>
  <si>
    <t>HFFC02</t>
  </si>
  <si>
    <t>Home First Finance Company India Limited</t>
  </si>
  <si>
    <t>INE481N01025</t>
  </si>
  <si>
    <t>Finance</t>
  </si>
  <si>
    <t>NITL01</t>
  </si>
  <si>
    <t>Coforge Limited</t>
  </si>
  <si>
    <t>INE591G01017</t>
  </si>
  <si>
    <t>APOL02</t>
  </si>
  <si>
    <t>Apollo Hospitals Enterprise Limited</t>
  </si>
  <si>
    <t>INE437A01024</t>
  </si>
  <si>
    <t>Healthcare Services</t>
  </si>
  <si>
    <t>ZMPL01</t>
  </si>
  <si>
    <t>Zomato Limited</t>
  </si>
  <si>
    <t>INE758T01015</t>
  </si>
  <si>
    <t>Retailing</t>
  </si>
  <si>
    <t>DIVI02</t>
  </si>
  <si>
    <t>Divi's Laboratories Limited</t>
  </si>
  <si>
    <t>INE361B01024</t>
  </si>
  <si>
    <t>Pharmaceuticals &amp; Biotechnology</t>
  </si>
  <si>
    <t>CSTL01</t>
  </si>
  <si>
    <t>Clean Science and Technology Limited</t>
  </si>
  <si>
    <t>INE227W01023</t>
  </si>
  <si>
    <t>Chemicals &amp; Petrochemicals</t>
  </si>
  <si>
    <t>MOSU03</t>
  </si>
  <si>
    <t>Samvardhana Motherson International Limited</t>
  </si>
  <si>
    <t>INE775A01035</t>
  </si>
  <si>
    <t>Auto Components</t>
  </si>
  <si>
    <t>POME02</t>
  </si>
  <si>
    <t>Poly Medicure Limited</t>
  </si>
  <si>
    <t>INE205C01021</t>
  </si>
  <si>
    <t>Healthcare Equipment &amp; Supplies</t>
  </si>
  <si>
    <t>CHOL02</t>
  </si>
  <si>
    <t>Cholamandalam Investment and Finance Company Limited</t>
  </si>
  <si>
    <t>INE121A01024</t>
  </si>
  <si>
    <t>IIBL01</t>
  </si>
  <si>
    <t>IndusInd Bank Limited</t>
  </si>
  <si>
    <t>INE095A01012</t>
  </si>
  <si>
    <t>OCPL02</t>
  </si>
  <si>
    <t>Orchid Pharma Limited</t>
  </si>
  <si>
    <t>INE191A01027</t>
  </si>
  <si>
    <t>ASEA02</t>
  </si>
  <si>
    <t>ABB India Limited</t>
  </si>
  <si>
    <t>INE117A01022</t>
  </si>
  <si>
    <t>Electrical Equipment</t>
  </si>
  <si>
    <t>TELC03</t>
  </si>
  <si>
    <t>Tata Motors Limited</t>
  </si>
  <si>
    <t>INE155A01022</t>
  </si>
  <si>
    <t>Automobiles</t>
  </si>
  <si>
    <t>KEII02</t>
  </si>
  <si>
    <t>KEI Industries Limited</t>
  </si>
  <si>
    <t>INE878B01027</t>
  </si>
  <si>
    <t>Industrial Products</t>
  </si>
  <si>
    <t>SUZE02</t>
  </si>
  <si>
    <t>Suzlon Energy Limited</t>
  </si>
  <si>
    <t>INE040H01021</t>
  </si>
  <si>
    <t>RELC01</t>
  </si>
  <si>
    <t>REC Limited</t>
  </si>
  <si>
    <t>INE020B01018</t>
  </si>
  <si>
    <t>TEMA02</t>
  </si>
  <si>
    <t>Tech Mahindra Limited</t>
  </si>
  <si>
    <t>INE669C01036</t>
  </si>
  <si>
    <t>IRCT02</t>
  </si>
  <si>
    <t>Indian Railway Catering And Tourism Corporation Limited</t>
  </si>
  <si>
    <t>INE335Y01020</t>
  </si>
  <si>
    <t>Leisure Services</t>
  </si>
  <si>
    <t>TWAT02</t>
  </si>
  <si>
    <t>Titan Company Limited</t>
  </si>
  <si>
    <t>INE280A01028</t>
  </si>
  <si>
    <t>Consumer Durables</t>
  </si>
  <si>
    <t>BEFS01</t>
  </si>
  <si>
    <t>Mrs. Bectors Food Specialities Limited</t>
  </si>
  <si>
    <t>INE495P01012</t>
  </si>
  <si>
    <t>JBCH03</t>
  </si>
  <si>
    <t>J B Chemicals and Pharma Ltd</t>
  </si>
  <si>
    <t>INE572A01036</t>
  </si>
  <si>
    <t>EIML02</t>
  </si>
  <si>
    <t>Eicher Motors Limited</t>
  </si>
  <si>
    <t>INE066A01021</t>
  </si>
  <si>
    <t>MAUD01</t>
  </si>
  <si>
    <t>Maruti Suzuki India Limited</t>
  </si>
  <si>
    <t>INE585B01010</t>
  </si>
  <si>
    <t>BSEL02</t>
  </si>
  <si>
    <t>BSE Limited</t>
  </si>
  <si>
    <t>INE118H01025</t>
  </si>
  <si>
    <t>Capital Markets</t>
  </si>
  <si>
    <t>TAHO01</t>
  </si>
  <si>
    <t>Honeywell Automation India Limited</t>
  </si>
  <si>
    <t>INE671A01010</t>
  </si>
  <si>
    <t>Industrial Manufacturing</t>
  </si>
  <si>
    <t>MEAH02</t>
  </si>
  <si>
    <t>Medi Assist Healthcare Services Limited</t>
  </si>
  <si>
    <t>INE456Z01021</t>
  </si>
  <si>
    <t>Insurance</t>
  </si>
  <si>
    <t>ALLI02</t>
  </si>
  <si>
    <t>GE T&amp;D India Limited</t>
  </si>
  <si>
    <t>INE200A01026</t>
  </si>
  <si>
    <t>AVSP01</t>
  </si>
  <si>
    <t>Avenue Supermarts Limited</t>
  </si>
  <si>
    <t>INE192R01011</t>
  </si>
  <si>
    <t>TLSL01</t>
  </si>
  <si>
    <t>Teamlease Services Limited</t>
  </si>
  <si>
    <t>INE985S01024</t>
  </si>
  <si>
    <t>Commercial Services &amp; Supplies</t>
  </si>
  <si>
    <t>Sub Total</t>
  </si>
  <si>
    <t>(b) Unlisted</t>
  </si>
  <si>
    <t>Nil</t>
  </si>
  <si>
    <t>Total</t>
  </si>
  <si>
    <t>Money Market Instruments</t>
  </si>
  <si>
    <t>TREPS / Reverse Repo</t>
  </si>
  <si>
    <t>TRP_041124</t>
  </si>
  <si>
    <t>Triparty Repo</t>
  </si>
  <si>
    <t>Net Receivables / (Payables)</t>
  </si>
  <si>
    <t>GRAND TOTAL</t>
  </si>
  <si>
    <t>YTM - Yield To Maturity</t>
  </si>
  <si>
    <t>*  Industry Classification is as recommended by AMFI</t>
  </si>
  <si>
    <t>NA- Not applicable, BRSR - Business Responsibility and Sustainability Reporting</t>
  </si>
  <si>
    <t xml:space="preserve">Note: There was a change in ESG Rating Provider (ERP) from Stakeholders Empowerment Services (‘SES’) to SES ESG Research Pvt. Ltd. The change in ERP is due to regulatory change whereby SEBI has mandated to have separate entity to provide ERP services. Accordingly, SES incorporated SES ESG Research Pvt. Ltd. (‘SES ESG’) as a wholly owned subsidiary to provide ERP services. SES ESG is a SEBI registered ESG Rating Provider.
</t>
  </si>
  <si>
    <t>Notes :</t>
  </si>
  <si>
    <t>(1)  Details of security in default beyond it's maturity date: Nil</t>
  </si>
  <si>
    <t xml:space="preserve">(2)  Total Value and percentage of illiquid equity shares: Nil </t>
  </si>
  <si>
    <t xml:space="preserve">(3)  Total outstanding exposure in derivative instruments as on October 31, 2024: Nil	</t>
  </si>
  <si>
    <t>(4)  Total investments in Foreign Securities / Overseas ETFs as on October 31, 2024 and its percentage to NAV : Nil</t>
  </si>
  <si>
    <t>(5) Investment in Repo of Corporate Debt securities : Nil</t>
  </si>
  <si>
    <t>(6)  Deviation from the valuation prices given by valuation agencies during the month ended October 31, 2024: Nil</t>
  </si>
  <si>
    <t>BENCHMARK NAME - NIFTY100 ESG INDEX TRI</t>
  </si>
  <si>
    <t>SCHEME RISK-O-METER</t>
  </si>
  <si>
    <t>BENCHMARK RISK-O-METER</t>
  </si>
  <si>
    <t>Invesco India ESG Integration Strategy Fund
(An open ended equity scheme investing in companies following Environmental, Social and Governance (ESG) theme following integration strategy)</t>
  </si>
  <si>
    <t>Weighted Average Portfolio BRSR Score is 72.7</t>
  </si>
  <si>
    <r>
      <rPr>
        <b/>
        <vertAlign val="superscript"/>
        <sz val="9"/>
        <color rgb="FF000000"/>
        <rFont val="Arial"/>
        <family val="2"/>
      </rPr>
      <t>1</t>
    </r>
    <r>
      <rPr>
        <b/>
        <sz val="9"/>
        <color rgb="FF000000"/>
        <rFont val="Arial"/>
        <family val="2"/>
      </rPr>
      <t>BRSR scores and BRSR core scores as provided by Stakeholders Empowerment Services (SES) ESG Research Private Limited, an ESG rating provider registered with SEBI.</t>
    </r>
  </si>
  <si>
    <t>Grand Total</t>
  </si>
  <si>
    <t>Cash &amp; Cash Equivalent:</t>
  </si>
  <si>
    <t>Services</t>
  </si>
  <si>
    <t>Others</t>
  </si>
  <si>
    <t>Chemicals</t>
  </si>
  <si>
    <t>Telecommunication</t>
  </si>
  <si>
    <t>Fast Moving Consumer Goods</t>
  </si>
  <si>
    <t>Consumer Services</t>
  </si>
  <si>
    <t>Automobile and Auto Components</t>
  </si>
  <si>
    <t>Capital Goods</t>
  </si>
  <si>
    <t>Healthcare</t>
  </si>
  <si>
    <t>Information Technology</t>
  </si>
  <si>
    <t>Financial Services</t>
  </si>
  <si>
    <t>% Exposure</t>
  </si>
  <si>
    <t>Sectors</t>
  </si>
  <si>
    <t>Issuer Name</t>
  </si>
  <si>
    <t>Fund allocation towards various sectors</t>
  </si>
  <si>
    <t>Top 10 holdings by issuer</t>
  </si>
  <si>
    <t>Scheme Name: Invesco India ESG Integration Strategy Fund (An open ended equity scheme investing in companies following Environmental, Social and Governance (ESG) 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</si>
</sst>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5">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vertAlign val="superscript"/>
      <sz val="10"/>
      <name val="Arial"/>
      <family val="2"/>
    </font>
    <font>
      <b/>
      <vertAlign val="superscript"/>
      <sz val="9"/>
      <name val="Arial"/>
      <family val="2"/>
    </font>
    <font>
      <u/>
      <sz val="11"/>
      <color theme="10"/>
      <name val="Aptos Narrow"/>
      <family val="2"/>
      <scheme val="minor"/>
    </font>
    <font>
      <u/>
      <sz val="11"/>
      <name val="Aptos Narrow"/>
      <family val="2"/>
      <scheme val="minor"/>
    </font>
    <font>
      <b/>
      <sz val="9"/>
      <color rgb="FFFFFFFF"/>
      <name val="Arial"/>
      <family val="2"/>
    </font>
    <font>
      <sz val="10"/>
      <name val="Arial"/>
      <family val="2"/>
    </font>
    <font>
      <b/>
      <vertAlign val="superscript"/>
      <sz val="9"/>
      <color rgb="FF000000"/>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34">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
    <xf numFmtId="0" fontId="0" fillId="0" borderId="0"/>
    <xf numFmtId="0" fontId="1" fillId="0" borderId="0"/>
    <xf numFmtId="0" fontId="9" fillId="0" borderId="0" applyNumberFormat="0" applyFill="0" applyBorder="0" applyAlignment="0" applyProtection="0"/>
    <xf numFmtId="0" fontId="1" fillId="0" borderId="0"/>
  </cellStyleXfs>
  <cellXfs count="63">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left" vertical="top" wrapText="1"/>
    </xf>
    <xf numFmtId="0" fontId="5" fillId="0" borderId="4" xfId="0" applyFont="1" applyBorder="1" applyAlignment="1">
      <alignment horizontal="left" vertical="top" wrapText="1"/>
    </xf>
    <xf numFmtId="2" fontId="10" fillId="0" borderId="5" xfId="2" applyNumberFormat="1" applyFont="1" applyFill="1" applyBorder="1"/>
    <xf numFmtId="0" fontId="6" fillId="0" borderId="4" xfId="0" applyFont="1" applyBorder="1" applyAlignment="1">
      <alignment horizontal="left" vertical="top" wrapText="1"/>
    </xf>
    <xf numFmtId="0" fontId="5" fillId="0" borderId="6" xfId="1" applyFont="1" applyBorder="1" applyAlignment="1">
      <alignment horizontal="left" vertical="top" wrapText="1"/>
    </xf>
    <xf numFmtId="0" fontId="5" fillId="0" borderId="3" xfId="0" applyFont="1" applyBorder="1" applyAlignment="1">
      <alignment horizontal="left" vertical="top" wrapText="1"/>
    </xf>
    <xf numFmtId="0" fontId="5" fillId="0" borderId="7" xfId="0" applyFont="1" applyBorder="1" applyAlignment="1">
      <alignment horizontal="left" vertical="top" wrapText="1"/>
    </xf>
    <xf numFmtId="164" fontId="5" fillId="0" borderId="4" xfId="0" applyNumberFormat="1" applyFont="1" applyBorder="1" applyAlignment="1">
      <alignment horizontal="right" vertical="top" wrapText="1"/>
    </xf>
    <xf numFmtId="165" fontId="5" fillId="0" borderId="4" xfId="0" applyNumberFormat="1" applyFont="1" applyBorder="1" applyAlignment="1">
      <alignment horizontal="right" vertical="top" wrapText="1"/>
    </xf>
    <xf numFmtId="0" fontId="11" fillId="0" borderId="0" xfId="0" applyFont="1" applyAlignment="1">
      <alignment horizontal="left" vertical="top" wrapText="1"/>
    </xf>
    <xf numFmtId="165" fontId="6" fillId="0" borderId="8" xfId="0" applyNumberFormat="1" applyFont="1" applyBorder="1" applyAlignment="1">
      <alignment horizontal="right" vertical="top" wrapText="1"/>
    </xf>
    <xf numFmtId="0" fontId="6" fillId="0" borderId="9" xfId="0" applyFont="1" applyBorder="1" applyAlignment="1">
      <alignment horizontal="left" vertical="top" wrapText="1"/>
    </xf>
    <xf numFmtId="0" fontId="5" fillId="0" borderId="10" xfId="0" applyFont="1" applyBorder="1" applyAlignment="1">
      <alignment horizontal="left" vertical="top" wrapText="1"/>
    </xf>
    <xf numFmtId="0" fontId="6" fillId="0" borderId="11" xfId="0" applyFont="1" applyBorder="1" applyAlignment="1">
      <alignment horizontal="right" vertical="top" wrapText="1"/>
    </xf>
    <xf numFmtId="0" fontId="6" fillId="0" borderId="10" xfId="0" applyFont="1" applyBorder="1" applyAlignment="1">
      <alignment horizontal="right" vertical="top" wrapText="1"/>
    </xf>
    <xf numFmtId="0" fontId="6"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8" xfId="0" applyFont="1" applyBorder="1" applyAlignment="1">
      <alignment horizontal="left" vertical="top" wrapText="1"/>
    </xf>
    <xf numFmtId="0" fontId="6" fillId="0" borderId="14" xfId="0" applyFont="1" applyBorder="1" applyAlignment="1">
      <alignment horizontal="left" vertical="top" wrapText="1"/>
    </xf>
    <xf numFmtId="0" fontId="5" fillId="0" borderId="15" xfId="0" applyFont="1" applyBorder="1" applyAlignment="1">
      <alignment horizontal="left" vertical="top" wrapText="1"/>
    </xf>
    <xf numFmtId="165" fontId="6" fillId="0" borderId="15" xfId="0" applyNumberFormat="1" applyFont="1" applyBorder="1" applyAlignment="1">
      <alignment horizontal="right" vertical="top" wrapText="1"/>
    </xf>
    <xf numFmtId="4" fontId="6" fillId="0" borderId="15" xfId="0" applyNumberFormat="1" applyFont="1" applyBorder="1" applyAlignment="1">
      <alignment horizontal="right" vertical="top" wrapText="1"/>
    </xf>
    <xf numFmtId="0" fontId="6" fillId="0" borderId="0" xfId="0" applyFont="1" applyAlignment="1">
      <alignment horizontal="left" vertical="top" wrapText="1"/>
    </xf>
    <xf numFmtId="0" fontId="12" fillId="0" borderId="0" xfId="0" applyFont="1"/>
    <xf numFmtId="0" fontId="2" fillId="0" borderId="0" xfId="0" applyFont="1"/>
    <xf numFmtId="0" fontId="5" fillId="0" borderId="0" xfId="0" applyFont="1" applyAlignment="1">
      <alignment horizontal="left" vertical="top" wrapText="1"/>
    </xf>
    <xf numFmtId="0" fontId="6" fillId="0" borderId="16" xfId="0" applyFont="1" applyBorder="1" applyAlignment="1">
      <alignment horizontal="center" vertical="center" wrapText="1"/>
    </xf>
    <xf numFmtId="166" fontId="5" fillId="0" borderId="0" xfId="0" applyNumberFormat="1" applyFont="1" applyAlignment="1">
      <alignment horizontal="right" vertical="top" wrapText="1"/>
    </xf>
    <xf numFmtId="0" fontId="5" fillId="0" borderId="0" xfId="0" applyFont="1" applyAlignment="1">
      <alignment horizontal="right" vertical="top" wrapText="1"/>
    </xf>
    <xf numFmtId="0" fontId="6" fillId="0" borderId="17" xfId="0" applyFont="1" applyBorder="1" applyAlignment="1">
      <alignment horizontal="right" vertical="top" wrapText="1"/>
    </xf>
    <xf numFmtId="0" fontId="6" fillId="0" borderId="18" xfId="0" applyFont="1" applyBorder="1" applyAlignment="1">
      <alignment horizontal="right" vertical="top" wrapText="1"/>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6" fillId="0" borderId="24" xfId="1" applyFont="1" applyBorder="1" applyAlignment="1">
      <alignment horizontal="center" vertical="center" wrapText="1"/>
    </xf>
    <xf numFmtId="0" fontId="6" fillId="0" borderId="25" xfId="1" applyFont="1" applyBorder="1" applyAlignment="1">
      <alignment horizontal="center" vertical="center" wrapText="1"/>
    </xf>
    <xf numFmtId="0" fontId="6" fillId="0" borderId="26" xfId="1" applyFont="1" applyBorder="1" applyAlignment="1">
      <alignment horizontal="center" vertical="center" wrapText="1"/>
    </xf>
    <xf numFmtId="165" fontId="5" fillId="0" borderId="6" xfId="1" applyNumberFormat="1" applyFont="1" applyBorder="1" applyAlignment="1">
      <alignment horizontal="right" vertical="top" wrapText="1"/>
    </xf>
    <xf numFmtId="0" fontId="0" fillId="0" borderId="27" xfId="0" applyBorder="1"/>
    <xf numFmtId="0" fontId="5" fillId="0" borderId="28" xfId="1" applyFont="1" applyBorder="1" applyAlignment="1">
      <alignment horizontal="left" vertical="top" wrapText="1"/>
    </xf>
    <xf numFmtId="2" fontId="10" fillId="0" borderId="29" xfId="2" applyNumberFormat="1" applyFont="1" applyFill="1" applyBorder="1"/>
    <xf numFmtId="0" fontId="5" fillId="0" borderId="30" xfId="1" applyFont="1" applyBorder="1" applyAlignment="1">
      <alignment horizontal="left" vertical="top" wrapText="1"/>
    </xf>
    <xf numFmtId="0" fontId="5" fillId="0" borderId="31" xfId="1" applyFont="1" applyBorder="1" applyAlignment="1">
      <alignment horizontal="left" vertical="top" wrapText="1"/>
    </xf>
    <xf numFmtId="165" fontId="5" fillId="0" borderId="30" xfId="1" applyNumberFormat="1" applyFont="1" applyBorder="1" applyAlignment="1">
      <alignment horizontal="right" vertical="top" wrapText="1"/>
    </xf>
    <xf numFmtId="2" fontId="10" fillId="0" borderId="31" xfId="2" applyNumberFormat="1" applyFont="1" applyFill="1" applyBorder="1"/>
    <xf numFmtId="0" fontId="0" fillId="0" borderId="32" xfId="0" applyBorder="1"/>
    <xf numFmtId="0" fontId="0" fillId="0" borderId="33" xfId="0" applyBorder="1"/>
    <xf numFmtId="166" fontId="14" fillId="0" borderId="10" xfId="0" applyNumberFormat="1" applyFont="1" applyBorder="1" applyAlignment="1">
      <alignment horizontal="right" vertical="top" wrapText="1"/>
    </xf>
    <xf numFmtId="0" fontId="6"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0" fontId="1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2" borderId="0" xfId="0" applyFont="1" applyFill="1" applyAlignment="1">
      <alignment horizontal="center" vertical="top" wrapText="1"/>
    </xf>
    <xf numFmtId="0" fontId="6" fillId="0" borderId="0" xfId="3" applyFont="1" applyAlignment="1">
      <alignment horizontal="left" vertical="top" wrapText="1"/>
    </xf>
    <xf numFmtId="0" fontId="6" fillId="0" borderId="10" xfId="0" applyFont="1" applyBorder="1" applyAlignment="1">
      <alignment horizontal="left" vertical="top" wrapText="1"/>
    </xf>
  </cellXfs>
  <cellStyles count="4">
    <cellStyle name="Hyperlink 2" xfId="2" xr:uid="{6EF82BD6-C450-4804-995D-4714FF00BDE1}"/>
    <cellStyle name="Normal" xfId="0" builtinId="0"/>
    <cellStyle name="Normal 14" xfId="3" xr:uid="{B37823E9-D241-47C3-9CAA-49E14351F595}"/>
    <cellStyle name="Normal 4" xfId="1" xr:uid="{CA0C5A14-2378-4C31-8C29-9F5EA6039E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1</xdr:col>
      <xdr:colOff>2857500</xdr:colOff>
      <xdr:row>85</xdr:row>
      <xdr:rowOff>63499</xdr:rowOff>
    </xdr:to>
    <xdr:pic>
      <xdr:nvPicPr>
        <xdr:cNvPr id="2" name="Picture 1">
          <a:extLst>
            <a:ext uri="{FF2B5EF4-FFF2-40B4-BE49-F238E27FC236}">
              <a16:creationId xmlns:a16="http://schemas.microsoft.com/office/drawing/2014/main" id="{CBA24C4B-3387-49D6-8104-2FE50965AE7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127000" y="14147800"/>
          <a:ext cx="2857500" cy="1904999"/>
        </a:xfrm>
        <a:prstGeom prst="rect">
          <a:avLst/>
        </a:prstGeom>
      </xdr:spPr>
    </xdr:pic>
    <xdr:clientData/>
  </xdr:twoCellAnchor>
  <xdr:twoCellAnchor editAs="oneCell">
    <xdr:from>
      <xdr:col>5</xdr:col>
      <xdr:colOff>0</xdr:colOff>
      <xdr:row>75</xdr:row>
      <xdr:rowOff>0</xdr:rowOff>
    </xdr:from>
    <xdr:to>
      <xdr:col>6</xdr:col>
      <xdr:colOff>558801</xdr:colOff>
      <xdr:row>85</xdr:row>
      <xdr:rowOff>63499</xdr:rowOff>
    </xdr:to>
    <xdr:pic>
      <xdr:nvPicPr>
        <xdr:cNvPr id="3" name="Picture 2">
          <a:extLst>
            <a:ext uri="{FF2B5EF4-FFF2-40B4-BE49-F238E27FC236}">
              <a16:creationId xmlns:a16="http://schemas.microsoft.com/office/drawing/2014/main" id="{65534A4F-39EC-45E2-8978-1C201B239F6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452100" y="14147800"/>
          <a:ext cx="2857501" cy="19049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Aggressive%20Hybrid%20Fund.xlsx" TargetMode="External"/><Relationship Id="rId1" Type="http://schemas.openxmlformats.org/officeDocument/2006/relationships/externalLinkPath" Target="Aggressive%20Hybrid%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NASDAQ.xlsx" TargetMode="External"/><Relationship Id="rId1" Type="http://schemas.openxmlformats.org/officeDocument/2006/relationships/externalLinkPath" Target="NASDAQ.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4\Equity%20Savings.xlsx" TargetMode="External"/><Relationship Id="rId1" Type="http://schemas.openxmlformats.org/officeDocument/2006/relationships/externalLinkPath" Target="Equity%20Saving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local_Sharankj\INetCache\Content.Outlook\OMP3SLK0\Invesco%20India%20ESG%20Integration%20Strategy%20Fund%20Portfolio%20as%20on%20October%2031%202024_with%20BRSR%20Scores%20and%20BRSR%20Core%20Scores.xlsx" TargetMode="External"/><Relationship Id="rId1" Type="http://schemas.openxmlformats.org/officeDocument/2006/relationships/externalLinkPath" Target="file:///C:\Users\local_Sharankj\INetCache\Content.Outlook\OMP3SLK0\Invesco%20India%20ESG%20Integration%20Strategy%20Fund%20Portfolio%20as%20on%20October%2031%202024_with%20BRSR%20Scores%20and%20BRSR%20Core%20Scor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9">
          <cell r="B9" t="str">
            <v>HDFC Bank Limited</v>
          </cell>
          <cell r="C9" t="str">
            <v>Banks</v>
          </cell>
          <cell r="D9">
            <v>7.85E-2</v>
          </cell>
          <cell r="E9">
            <v>80.2</v>
          </cell>
          <cell r="F9">
            <v>100</v>
          </cell>
          <cell r="G9" t="str">
            <v>https://www.bseindia.com/xml-data/corpfiling/AttachHis//80485da6-ff55-4c3e-ba9c-4d51a3d5ed44.pdf</v>
          </cell>
        </row>
        <row r="10">
          <cell r="B10" t="str">
            <v>ICICI Bank Limited</v>
          </cell>
          <cell r="C10" t="str">
            <v>Banks</v>
          </cell>
          <cell r="D10">
            <v>6.8099999999999994E-2</v>
          </cell>
          <cell r="E10">
            <v>75.8</v>
          </cell>
          <cell r="F10">
            <v>100</v>
          </cell>
          <cell r="G10" t="str">
            <v>https://www.bseindia.com/xml-data/corpfiling/AttachHis//44be77e0-6afe-4ac4-add8-26943e317479.pdf</v>
          </cell>
        </row>
        <row r="11">
          <cell r="B11" t="str">
            <v>Infosys Limited</v>
          </cell>
          <cell r="C11" t="str">
            <v>IT - Software</v>
          </cell>
          <cell r="D11">
            <v>5.2600000000000001E-2</v>
          </cell>
          <cell r="E11">
            <v>77.2</v>
          </cell>
          <cell r="F11">
            <v>100</v>
          </cell>
          <cell r="G11" t="str">
            <v>https://www.bseindia.com/xml-data/corpfiling/AttachHIS/25cc7fbc-154b-4463-928d-c95f2d8c5c9c.pdf#page=131</v>
          </cell>
        </row>
        <row r="12">
          <cell r="B12" t="str">
            <v>Tata Consultancy Services Limited</v>
          </cell>
          <cell r="C12" t="str">
            <v>IT - Software</v>
          </cell>
          <cell r="D12">
            <v>5.1499999999999997E-2</v>
          </cell>
          <cell r="E12">
            <v>72.599999999999994</v>
          </cell>
          <cell r="F12">
            <v>100</v>
          </cell>
          <cell r="G12" t="str">
            <v>https://www.bseindia.com/xml-data/corpfiling/AttachHis//1ec57734-63db-4473-8409-778d60a77c31.pdf</v>
          </cell>
        </row>
        <row r="13">
          <cell r="B13" t="str">
            <v>Axis Bank Limited</v>
          </cell>
          <cell r="C13" t="str">
            <v>Banks</v>
          </cell>
          <cell r="D13">
            <v>3.7400000000000003E-2</v>
          </cell>
          <cell r="E13">
            <v>80.3</v>
          </cell>
          <cell r="F13">
            <v>90</v>
          </cell>
          <cell r="G13" t="str">
            <v>https://www.bseindia.com/xml-data/corpfiling/AttachHis//870f4f65-7841-4a91-b472-d91921db1635.pdf</v>
          </cell>
        </row>
        <row r="14">
          <cell r="B14" t="str">
            <v>Manorama Industries Limited</v>
          </cell>
          <cell r="C14" t="str">
            <v>Food Products</v>
          </cell>
          <cell r="D14">
            <v>3.2000000000000001E-2</v>
          </cell>
          <cell r="E14">
            <v>63.3</v>
          </cell>
          <cell r="F14" t="str">
            <v>NA</v>
          </cell>
          <cell r="G14" t="str">
            <v>https://www.bseindia.com/xml-data/corpfiling/AttachHis//da079dd8-0dd2-4c70-939f-367464c87110.pdf</v>
          </cell>
        </row>
        <row r="15">
          <cell r="B15" t="str">
            <v>Power Grid Corporation of India Limited</v>
          </cell>
          <cell r="C15" t="str">
            <v>Power</v>
          </cell>
          <cell r="D15">
            <v>2.9399999999999999E-2</v>
          </cell>
          <cell r="E15">
            <v>59.2</v>
          </cell>
          <cell r="F15">
            <v>100</v>
          </cell>
          <cell r="G15" t="str">
            <v>https://www.bseindia.com/xml-data/corpfiling/AttachHis//56f9775c-1fe9-427e-9f3f-6211a9ce0322.pdf</v>
          </cell>
        </row>
        <row r="16">
          <cell r="B16" t="str">
            <v>LTIMindtree Limited</v>
          </cell>
          <cell r="C16" t="str">
            <v>IT - Software</v>
          </cell>
          <cell r="D16">
            <v>2.9000000000000001E-2</v>
          </cell>
          <cell r="E16">
            <v>77</v>
          </cell>
          <cell r="F16">
            <v>100</v>
          </cell>
          <cell r="G16" t="str">
            <v>https://www.bseindia.com/xml-data/corpfiling/AttachHis//b2066d10-96bc-4e4b-924e-58533f7e3a12.pdf</v>
          </cell>
        </row>
        <row r="17">
          <cell r="B17" t="str">
            <v>Bharti Airtel Limited</v>
          </cell>
          <cell r="C17" t="str">
            <v>Telecom - Services</v>
          </cell>
          <cell r="D17">
            <v>2.8899999999999999E-2</v>
          </cell>
          <cell r="E17">
            <v>74.5</v>
          </cell>
          <cell r="F17">
            <v>100</v>
          </cell>
          <cell r="G17" t="str">
            <v>https://www.bseindia.com/xml-data/corpfiling/AttachHis//ca939da1-1402-4dc1-9baf-c7b47d6e0be9.pdf</v>
          </cell>
        </row>
        <row r="18">
          <cell r="B18" t="str">
            <v>Home First Finance Company India Limited</v>
          </cell>
          <cell r="C18" t="str">
            <v>Finance</v>
          </cell>
          <cell r="D18">
            <v>2.81E-2</v>
          </cell>
          <cell r="E18">
            <v>78.900000000000006</v>
          </cell>
          <cell r="F18" t="str">
            <v>NA</v>
          </cell>
          <cell r="G18" t="str">
            <v>https://www.bseindia.com/xml-data/corpfiling/AttachHis//0e1f5a69-2901-4d25-b3b6-281a25b207b9.pdf</v>
          </cell>
        </row>
        <row r="19">
          <cell r="B19" t="str">
            <v>Coforge Limited</v>
          </cell>
          <cell r="C19" t="str">
            <v>IT - Software</v>
          </cell>
          <cell r="D19">
            <v>2.75E-2</v>
          </cell>
          <cell r="E19">
            <v>69</v>
          </cell>
          <cell r="F19" t="str">
            <v>NA</v>
          </cell>
          <cell r="G19" t="str">
            <v>https://www.bseindia.com/xml-data/corpfiling/AttachHis//74b4c871-35c8-42a2-a70e-5698b1643133.pdf</v>
          </cell>
        </row>
        <row r="20">
          <cell r="B20" t="str">
            <v>Apollo Hospitals Enterprise Limited</v>
          </cell>
          <cell r="C20" t="str">
            <v>Healthcare Services</v>
          </cell>
          <cell r="D20">
            <v>2.5600000000000001E-2</v>
          </cell>
          <cell r="E20">
            <v>71.400000000000006</v>
          </cell>
          <cell r="F20" t="str">
            <v>NA</v>
          </cell>
          <cell r="G20" t="str">
            <v>https://www.bseindia.com/xml-data/corpfiling/AttachLive//2ac497e3-68bb-4792-a12e-509e47ee1e5f.pdf</v>
          </cell>
        </row>
        <row r="21">
          <cell r="B21" t="str">
            <v>Zomato Limited</v>
          </cell>
          <cell r="C21" t="str">
            <v>Retailing</v>
          </cell>
          <cell r="D21">
            <v>2.4899999999999999E-2</v>
          </cell>
          <cell r="E21">
            <v>68.2</v>
          </cell>
          <cell r="F21">
            <v>84.4</v>
          </cell>
          <cell r="G21" t="str">
            <v>https://www.bseindia.com/xml-data/corpfiling/AttachHis//5363cca1-0b0c-4dd0-88b1-ba45d9d45626.pdf</v>
          </cell>
        </row>
        <row r="22">
          <cell r="B22" t="str">
            <v>Divi's Laboratories Limited</v>
          </cell>
          <cell r="C22" t="str">
            <v>Pharmaceuticals &amp; Biotechnology</v>
          </cell>
          <cell r="D22">
            <v>2.4400000000000002E-2</v>
          </cell>
          <cell r="E22">
            <v>72.8</v>
          </cell>
          <cell r="F22">
            <v>100</v>
          </cell>
          <cell r="G22" t="str">
            <v>https://www.bseindia.com/xml-data/corpfiling/AttachHis//3173c1d1-cc86-497f-b4c8-445d0dbcb862.pdf</v>
          </cell>
        </row>
        <row r="23">
          <cell r="B23" t="str">
            <v>Clean Science and Technology Limited</v>
          </cell>
          <cell r="C23" t="str">
            <v>Chemicals &amp; Petrochemicals</v>
          </cell>
          <cell r="D23">
            <v>2.4299999999999999E-2</v>
          </cell>
          <cell r="E23">
            <v>67.5</v>
          </cell>
          <cell r="F23" t="str">
            <v>NA</v>
          </cell>
          <cell r="G23" t="str">
            <v>https://www.bseindia.com/xml-data/corpfiling/AttachHis//7fea44be-e7e2-4971-9f6c-18f93d201ba6.pdf</v>
          </cell>
        </row>
        <row r="24">
          <cell r="B24" t="str">
            <v>Samvardhana Motherson International Limited</v>
          </cell>
          <cell r="C24" t="str">
            <v>Auto Components</v>
          </cell>
          <cell r="D24">
            <v>2.41E-2</v>
          </cell>
          <cell r="E24">
            <v>64.8</v>
          </cell>
          <cell r="F24" t="str">
            <v>NA</v>
          </cell>
          <cell r="G24" t="str">
            <v>https://www.bseindia.com/xml-data/corpfiling/AttachHis//29a25f97-b6b5-4d70-9643-04e10b84280d.pdf</v>
          </cell>
        </row>
        <row r="25">
          <cell r="B25" t="str">
            <v>Poly Medicure Limited</v>
          </cell>
          <cell r="C25" t="str">
            <v>Healthcare Equipment &amp; Supplies</v>
          </cell>
          <cell r="D25">
            <v>2.4E-2</v>
          </cell>
          <cell r="E25">
            <v>67.900000000000006</v>
          </cell>
          <cell r="F25" t="str">
            <v>NA</v>
          </cell>
          <cell r="G25" t="str">
            <v>https://www.bseindia.com/xml-data/corpfiling/AttachHis//f52dd0af-53cf-4df8-aba1-1ad0ba48f8ad.pdf</v>
          </cell>
        </row>
        <row r="26">
          <cell r="B26" t="str">
            <v>Cholamandalam Investment and Finance Company Limited</v>
          </cell>
          <cell r="C26" t="str">
            <v>Finance</v>
          </cell>
          <cell r="D26">
            <v>2.3599999999999999E-2</v>
          </cell>
          <cell r="E26">
            <v>79.599999999999994</v>
          </cell>
          <cell r="F26">
            <v>86</v>
          </cell>
          <cell r="G26" t="str">
            <v>https://www.bseindia.com/xml-data/corpfiling/AttachHis//ac13e628-bbca-4e1e-828f-3568bc011756.pdf</v>
          </cell>
        </row>
        <row r="27">
          <cell r="B27" t="str">
            <v>IndusInd Bank Limited</v>
          </cell>
          <cell r="C27" t="str">
            <v>Banks</v>
          </cell>
          <cell r="D27">
            <v>2.3199999999999998E-2</v>
          </cell>
          <cell r="E27">
            <v>80.2</v>
          </cell>
          <cell r="F27">
            <v>95</v>
          </cell>
          <cell r="G27" t="str">
            <v>https://www.bseindia.com/xml-data/corpfiling/AttachHis//4f28ddaf-5dcc-4dd1-8106-954cad05d564.pdf</v>
          </cell>
        </row>
        <row r="28">
          <cell r="B28" t="str">
            <v>Orchid Pharma Limited</v>
          </cell>
          <cell r="C28" t="str">
            <v>Pharmaceuticals &amp; Biotechnology</v>
          </cell>
          <cell r="D28">
            <v>2.3E-2</v>
          </cell>
          <cell r="E28">
            <v>65.400000000000006</v>
          </cell>
          <cell r="F28" t="str">
            <v>NA</v>
          </cell>
          <cell r="G28" t="str">
            <v>https://www.bseindia.com/xml-data/corpfiling/AttachHis//e5d2841f-d928-4b5a-9d9f-d894d35fad43.pdf</v>
          </cell>
        </row>
        <row r="29">
          <cell r="B29" t="str">
            <v>ABB India Limited</v>
          </cell>
          <cell r="C29" t="str">
            <v>Electrical Equipment</v>
          </cell>
          <cell r="D29">
            <v>2.2800000000000001E-2</v>
          </cell>
          <cell r="E29">
            <v>70.599999999999994</v>
          </cell>
          <cell r="F29" t="str">
            <v>NA</v>
          </cell>
          <cell r="G29" t="str">
            <v>https://www.bseindia.com/xml-data/corpfiling/AttachHis//bd60d9ef-0a06-4cdf-b288-5c7bd025ebc0.pdf</v>
          </cell>
        </row>
        <row r="30">
          <cell r="B30" t="str">
            <v>Tata Motors Limited</v>
          </cell>
          <cell r="C30" t="str">
            <v>Automobiles</v>
          </cell>
          <cell r="D30">
            <v>2.23E-2</v>
          </cell>
          <cell r="E30">
            <v>78.8</v>
          </cell>
          <cell r="F30">
            <v>100</v>
          </cell>
          <cell r="G30" t="str">
            <v>https://www.bseindia.com/xml-data/corpfiling/AttachHis//0f56632e-aa91-4671-919d-64e2d20b5ea0.pdf</v>
          </cell>
        </row>
        <row r="31">
          <cell r="B31" t="str">
            <v>KEI Industries Limited</v>
          </cell>
          <cell r="C31" t="str">
            <v>Industrial Products</v>
          </cell>
          <cell r="D31">
            <v>2.2100000000000002E-2</v>
          </cell>
          <cell r="E31">
            <v>65.599999999999994</v>
          </cell>
          <cell r="F31" t="str">
            <v>NA</v>
          </cell>
          <cell r="G31" t="str">
            <v>https://www.bseindia.com/xml-data/corpfiling/AttachHis//6befd41f-84b4-4d04-bcd1-bc4d5e70a7d6.pdf</v>
          </cell>
        </row>
        <row r="32">
          <cell r="B32" t="str">
            <v>Suzlon Energy Limited</v>
          </cell>
          <cell r="C32" t="str">
            <v>Electrical Equipment</v>
          </cell>
          <cell r="D32">
            <v>2.18E-2</v>
          </cell>
          <cell r="E32">
            <v>67.5</v>
          </cell>
          <cell r="F32" t="str">
            <v>NA</v>
          </cell>
          <cell r="G32" t="str">
            <v>https://www.bseindia.com/xml-data/corpfiling/AttachHis//99ee7e41-59b0-4ca9-a037-93351b98c83d.pdf</v>
          </cell>
        </row>
        <row r="33">
          <cell r="B33" t="str">
            <v>REC Limited</v>
          </cell>
          <cell r="C33" t="str">
            <v>Finance</v>
          </cell>
          <cell r="D33">
            <v>2.1299999999999999E-2</v>
          </cell>
          <cell r="E33">
            <v>76.3</v>
          </cell>
          <cell r="F33">
            <v>87</v>
          </cell>
          <cell r="G33" t="str">
            <v>https://www.bseindia.com/xml-data/corpfiling/AttachHis//5f5370db-4c00-431e-a07d-c5624c784ed7.pdf</v>
          </cell>
        </row>
        <row r="34">
          <cell r="B34" t="str">
            <v>Tech Mahindra Limited</v>
          </cell>
          <cell r="C34" t="str">
            <v>IT - Software</v>
          </cell>
          <cell r="D34">
            <v>2.0799999999999999E-2</v>
          </cell>
          <cell r="E34">
            <v>78.8</v>
          </cell>
          <cell r="F34">
            <v>100</v>
          </cell>
          <cell r="G34" t="str">
            <v>https://www.bseindia.com/xml-data/corpfiling/AttachHis//33cb8fe2-656c-4862-a413-101eddee8ba7.pdf</v>
          </cell>
        </row>
        <row r="35">
          <cell r="B35" t="str">
            <v>Indian Railway Catering And Tourism Corporation Limited</v>
          </cell>
          <cell r="C35" t="str">
            <v>Leisure Services</v>
          </cell>
          <cell r="D35">
            <v>1.9800000000000002E-2</v>
          </cell>
          <cell r="E35">
            <v>67.599999999999994</v>
          </cell>
          <cell r="F35" t="str">
            <v>NA</v>
          </cell>
          <cell r="G35" t="str">
            <v>https://www.bseindia.com/xml-data/corpfiling/AttachHis//bb02de2c-14b1-45a0-a82b-1c0ec21b0656.pdf</v>
          </cell>
        </row>
        <row r="36">
          <cell r="B36" t="str">
            <v>Titan Company Limited</v>
          </cell>
          <cell r="C36" t="str">
            <v>Consumer Durables</v>
          </cell>
          <cell r="D36">
            <v>1.9699999999999999E-2</v>
          </cell>
          <cell r="E36">
            <v>69.400000000000006</v>
          </cell>
          <cell r="F36">
            <v>79</v>
          </cell>
          <cell r="G36" t="str">
            <v>https://www.bseindia.com/xml-data/corpfiling/AttachHis//51c89546-c90c-45c2-8ff3-e5b034e00832.pdf</v>
          </cell>
        </row>
        <row r="37">
          <cell r="B37" t="str">
            <v>Mrs. Bectors Food Specialities Limited</v>
          </cell>
          <cell r="C37" t="str">
            <v>Food Products</v>
          </cell>
          <cell r="D37">
            <v>1.9400000000000001E-2</v>
          </cell>
          <cell r="E37">
            <v>63.3</v>
          </cell>
          <cell r="F37" t="str">
            <v>NA</v>
          </cell>
          <cell r="G37" t="str">
            <v>https://www.bseindia.com/xml-data/corpfiling/AttachHis//41e6b57c-eb51-4b11-95ae-6cc6cd9fb59a.pdf</v>
          </cell>
        </row>
        <row r="38">
          <cell r="B38" t="str">
            <v>J B Chemicals and Pharma Ltd</v>
          </cell>
          <cell r="C38" t="str">
            <v>Pharmaceuticals &amp; Biotechnology</v>
          </cell>
          <cell r="D38">
            <v>1.89E-2</v>
          </cell>
          <cell r="E38">
            <v>69.900000000000006</v>
          </cell>
          <cell r="F38" t="str">
            <v>NA</v>
          </cell>
          <cell r="G38" t="str">
            <v>https://www.bseindia.com/xml-data/corpfiling/AttachHis//030f7e34-01f3-47f7-b10a-e18768e0d79e.pdf</v>
          </cell>
        </row>
        <row r="39">
          <cell r="B39" t="str">
            <v>Eicher Motors Limited</v>
          </cell>
          <cell r="C39" t="str">
            <v>Automobiles</v>
          </cell>
          <cell r="D39">
            <v>1.84E-2</v>
          </cell>
          <cell r="E39">
            <v>73.2</v>
          </cell>
          <cell r="F39">
            <v>100</v>
          </cell>
          <cell r="G39" t="str">
            <v>https://www.bseindia.com/xml-data/corpfiling/AttachHis//66379fbd-b76c-4a0f-8673-983da10753b0.pdf</v>
          </cell>
        </row>
        <row r="40">
          <cell r="B40" t="str">
            <v>Maruti Suzuki India Limited</v>
          </cell>
          <cell r="C40" t="str">
            <v>Automobiles</v>
          </cell>
          <cell r="D40">
            <v>1.6500000000000001E-2</v>
          </cell>
          <cell r="E40">
            <v>74</v>
          </cell>
          <cell r="F40">
            <v>100</v>
          </cell>
          <cell r="G40" t="str">
            <v>https://www.bseindia.com/xml-data/corpfiling/AttachHis//c12a56d6-1671-4bb8-b2d5-38ce4dee01da.pdf</v>
          </cell>
        </row>
        <row r="41">
          <cell r="B41" t="str">
            <v>BSE Limited</v>
          </cell>
          <cell r="C41" t="str">
            <v>Capital Markets</v>
          </cell>
          <cell r="D41">
            <v>1.6E-2</v>
          </cell>
          <cell r="E41">
            <v>77.2</v>
          </cell>
          <cell r="F41" t="str">
            <v>NA</v>
          </cell>
          <cell r="G41" t="str">
            <v>https://nsearchives.nseindia.com/corporate/BSE_20062024151526_BRSR2324.pdf</v>
          </cell>
        </row>
        <row r="42">
          <cell r="B42" t="str">
            <v>Honeywell Automation India Limited</v>
          </cell>
          <cell r="C42" t="str">
            <v>Industrial Manufacturing</v>
          </cell>
          <cell r="D42">
            <v>1.17E-2</v>
          </cell>
          <cell r="E42">
            <v>63.7</v>
          </cell>
          <cell r="F42" t="str">
            <v>NA</v>
          </cell>
          <cell r="G42" t="str">
            <v>https://www.bseindia.com/xml-data/corpfiling/AttachHis//94c763fb-aacb-48fc-9c31-6be13c51db12.pdf</v>
          </cell>
        </row>
        <row r="43">
          <cell r="B43" t="str">
            <v>Medi Assist Healthcare Services Limited</v>
          </cell>
          <cell r="C43" t="str">
            <v>Insurance</v>
          </cell>
          <cell r="D43">
            <v>1.1599999999999999E-2</v>
          </cell>
          <cell r="E43">
            <v>74.3</v>
          </cell>
          <cell r="F43" t="str">
            <v>NA</v>
          </cell>
          <cell r="G43" t="str">
            <v>https://www.bseindia.com/xml-data/corpfiling/AttachHis//1b9c61f7-ce7e-4634-9878-343c56ab9170.pdf</v>
          </cell>
        </row>
        <row r="44">
          <cell r="B44" t="str">
            <v>GE T&amp;D India Limited</v>
          </cell>
          <cell r="C44" t="str">
            <v>Electrical Equipment</v>
          </cell>
          <cell r="D44">
            <v>1.11E-2</v>
          </cell>
          <cell r="E44">
            <v>61.5</v>
          </cell>
          <cell r="F44" t="str">
            <v>NA</v>
          </cell>
          <cell r="G44" t="str">
            <v>https://www.bseindia.com/xml-data/corpfiling/AttachHis//8cb88bfc-b071-4cf4-825f-6f084c9dd4b9.pdf</v>
          </cell>
        </row>
        <row r="45">
          <cell r="B45" t="str">
            <v>Avenue Supermarts Limited</v>
          </cell>
          <cell r="C45" t="str">
            <v>Retailing</v>
          </cell>
          <cell r="D45">
            <v>1.09E-2</v>
          </cell>
          <cell r="E45">
            <v>69.2</v>
          </cell>
          <cell r="F45">
            <v>78</v>
          </cell>
          <cell r="G45" t="str">
            <v>https://www.bseindia.com/xml-data/corpfiling/AttachHis//5927977c-9751-40a4-94ac-d2dc5c2a1567.pdf</v>
          </cell>
        </row>
        <row r="46">
          <cell r="B46" t="str">
            <v>TeamLease Services Limited</v>
          </cell>
          <cell r="C46" t="str">
            <v>Commercial Services &amp; Supplies</v>
          </cell>
          <cell r="D46">
            <v>5.8999999999999999E-3</v>
          </cell>
          <cell r="E46">
            <v>81.2</v>
          </cell>
          <cell r="F46" t="str">
            <v>NA</v>
          </cell>
          <cell r="G46" t="str">
            <v>https://www.bseindia.com/xml-data/corpfiling/AttachHis//8481af03-73e9-404a-a526-2221f1246c66.pdf</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CF57A-F100-40A9-88F6-8E6A3EB9272A}">
  <sheetPr>
    <outlinePr summaryBelow="0"/>
  </sheetPr>
  <dimension ref="A1:K74"/>
  <sheetViews>
    <sheetView showGridLines="0" tabSelected="1" zoomScale="55" zoomScaleNormal="55" workbookViewId="0"/>
  </sheetViews>
  <sheetFormatPr defaultRowHeight="14.5"/>
  <cols>
    <col min="1" max="1" width="1.81640625" customWidth="1"/>
    <col min="2" max="2" width="76.453125" customWidth="1"/>
    <col min="3" max="3" width="18.81640625" customWidth="1"/>
    <col min="4" max="4" width="25" customWidth="1"/>
    <col min="5" max="5" width="27.54296875" customWidth="1"/>
    <col min="6" max="6" width="32.90625" customWidth="1"/>
    <col min="7" max="7" width="17.1796875" customWidth="1"/>
    <col min="8" max="8" width="13.08984375" customWidth="1"/>
    <col min="10" max="10" width="22" customWidth="1"/>
    <col min="11" max="11" width="94.453125" customWidth="1"/>
  </cols>
  <sheetData>
    <row r="1" spans="1:11" ht="20" customHeight="1">
      <c r="A1" s="1" t="s">
        <v>0</v>
      </c>
      <c r="B1" s="60" t="s">
        <v>1</v>
      </c>
      <c r="C1" s="60"/>
      <c r="D1" s="60"/>
      <c r="E1" s="60"/>
      <c r="F1" s="60"/>
      <c r="G1" s="60"/>
      <c r="H1" s="60"/>
    </row>
    <row r="2" spans="1:11" ht="20" customHeight="1">
      <c r="A2" s="2"/>
      <c r="B2" s="60" t="s">
        <v>2</v>
      </c>
      <c r="C2" s="60"/>
      <c r="D2" s="60"/>
      <c r="E2" s="60"/>
      <c r="F2" s="60"/>
      <c r="G2" s="60"/>
      <c r="H2" s="60"/>
    </row>
    <row r="3" spans="1:11" ht="73.5" customHeight="1">
      <c r="A3" s="2"/>
      <c r="B3" s="60" t="s">
        <v>174</v>
      </c>
      <c r="C3" s="60"/>
      <c r="D3" s="60"/>
      <c r="E3" s="60"/>
      <c r="F3" s="60"/>
      <c r="G3" s="60"/>
      <c r="H3" s="60"/>
    </row>
    <row r="4" spans="1:11" ht="13" customHeight="1" thickBot="1">
      <c r="A4" s="2"/>
      <c r="B4" s="58"/>
      <c r="C4" s="58"/>
      <c r="D4" s="58"/>
      <c r="E4" s="58"/>
      <c r="F4" s="58"/>
      <c r="G4" s="58"/>
      <c r="H4" s="58"/>
    </row>
    <row r="5" spans="1:11" ht="28" customHeight="1">
      <c r="A5" s="2"/>
      <c r="B5" s="3" t="s">
        <v>3</v>
      </c>
      <c r="C5" s="4" t="s">
        <v>4</v>
      </c>
      <c r="D5" s="4" t="s">
        <v>5</v>
      </c>
      <c r="E5" s="4" t="s">
        <v>6</v>
      </c>
      <c r="F5" s="4" t="s">
        <v>7</v>
      </c>
      <c r="G5" s="4" t="s">
        <v>8</v>
      </c>
      <c r="H5" s="31" t="s">
        <v>9</v>
      </c>
      <c r="I5" s="41" t="s">
        <v>10</v>
      </c>
      <c r="J5" s="42" t="s">
        <v>11</v>
      </c>
      <c r="K5" s="43" t="s">
        <v>12</v>
      </c>
    </row>
    <row r="6" spans="1:11" ht="13" customHeight="1">
      <c r="A6" s="2"/>
      <c r="B6" s="5" t="s">
        <v>13</v>
      </c>
      <c r="C6" s="6"/>
      <c r="D6" s="6"/>
      <c r="E6" s="6"/>
      <c r="F6" s="6"/>
      <c r="G6" s="6"/>
      <c r="H6" s="30"/>
      <c r="I6" s="46"/>
      <c r="J6" s="7"/>
      <c r="K6" s="47"/>
    </row>
    <row r="7" spans="1:11" ht="13" customHeight="1">
      <c r="A7" s="2"/>
      <c r="B7" s="5" t="s">
        <v>14</v>
      </c>
      <c r="C7" s="8"/>
      <c r="D7" s="8"/>
      <c r="E7" s="6"/>
      <c r="F7" s="6"/>
      <c r="G7" s="6"/>
      <c r="H7" s="30"/>
      <c r="I7" s="48"/>
      <c r="J7" s="9"/>
      <c r="K7" s="49"/>
    </row>
    <row r="8" spans="1:11" ht="13" customHeight="1">
      <c r="A8" s="1" t="s">
        <v>15</v>
      </c>
      <c r="B8" s="10" t="s">
        <v>16</v>
      </c>
      <c r="C8" s="11" t="s">
        <v>17</v>
      </c>
      <c r="D8" s="6" t="s">
        <v>18</v>
      </c>
      <c r="E8" s="12">
        <v>234843</v>
      </c>
      <c r="F8" s="13">
        <v>4076.17</v>
      </c>
      <c r="G8" s="13">
        <v>7.85</v>
      </c>
      <c r="H8" s="32"/>
      <c r="I8" s="50">
        <f>VLOOKUP(B8,[4]Sheet1!$B$9:$G$46,4,0)</f>
        <v>80.2</v>
      </c>
      <c r="J8" s="44">
        <f>VLOOKUP(B8,[4]Sheet1!$B$9:$F$46,5,0)</f>
        <v>100</v>
      </c>
      <c r="K8" s="51" t="str">
        <f>VLOOKUP(B8,[4]Sheet1!$B$9:$G$46,6,0)</f>
        <v>https://www.bseindia.com/xml-data/corpfiling/AttachHis//80485da6-ff55-4c3e-ba9c-4d51a3d5ed44.pdf</v>
      </c>
    </row>
    <row r="9" spans="1:11" ht="13" customHeight="1">
      <c r="A9" s="1" t="s">
        <v>19</v>
      </c>
      <c r="B9" s="10" t="s">
        <v>20</v>
      </c>
      <c r="C9" s="11" t="s">
        <v>21</v>
      </c>
      <c r="D9" s="6" t="s">
        <v>18</v>
      </c>
      <c r="E9" s="12">
        <v>273812</v>
      </c>
      <c r="F9" s="13">
        <v>3538.34</v>
      </c>
      <c r="G9" s="13">
        <v>6.81</v>
      </c>
      <c r="H9" s="32"/>
      <c r="I9" s="50">
        <f>VLOOKUP(B9,[4]Sheet1!$B$9:$G$46,4,0)</f>
        <v>75.8</v>
      </c>
      <c r="J9" s="44">
        <f>VLOOKUP(B9,[4]Sheet1!$B$9:$F$46,5,0)</f>
        <v>100</v>
      </c>
      <c r="K9" s="51" t="str">
        <f>VLOOKUP(B9,[4]Sheet1!$B$9:$G$46,6,0)</f>
        <v>https://www.bseindia.com/xml-data/corpfiling/AttachHis//44be77e0-6afe-4ac4-add8-26943e317479.pdf</v>
      </c>
    </row>
    <row r="10" spans="1:11" ht="13" customHeight="1">
      <c r="A10" s="1" t="s">
        <v>22</v>
      </c>
      <c r="B10" s="10" t="s">
        <v>23</v>
      </c>
      <c r="C10" s="11" t="s">
        <v>24</v>
      </c>
      <c r="D10" s="6" t="s">
        <v>25</v>
      </c>
      <c r="E10" s="12">
        <v>155518</v>
      </c>
      <c r="F10" s="13">
        <v>2732.84</v>
      </c>
      <c r="G10" s="13">
        <v>5.26</v>
      </c>
      <c r="H10" s="32"/>
      <c r="I10" s="50">
        <f>VLOOKUP(B10,[4]Sheet1!$B$9:$G$46,4,0)</f>
        <v>77.2</v>
      </c>
      <c r="J10" s="44">
        <f>VLOOKUP(B10,[4]Sheet1!$B$9:$F$46,5,0)</f>
        <v>100</v>
      </c>
      <c r="K10" s="51" t="str">
        <f>VLOOKUP(B10,[4]Sheet1!$B$9:$G$46,6,0)</f>
        <v>https://www.bseindia.com/xml-data/corpfiling/AttachHIS/25cc7fbc-154b-4463-928d-c95f2d8c5c9c.pdf#page=131</v>
      </c>
    </row>
    <row r="11" spans="1:11" ht="13" customHeight="1">
      <c r="A11" s="1" t="s">
        <v>26</v>
      </c>
      <c r="B11" s="10" t="s">
        <v>27</v>
      </c>
      <c r="C11" s="11" t="s">
        <v>28</v>
      </c>
      <c r="D11" s="6" t="s">
        <v>25</v>
      </c>
      <c r="E11" s="12">
        <v>67345</v>
      </c>
      <c r="F11" s="13">
        <v>2672.55</v>
      </c>
      <c r="G11" s="13">
        <v>5.15</v>
      </c>
      <c r="H11" s="32"/>
      <c r="I11" s="50">
        <f>VLOOKUP(B11,[4]Sheet1!$B$9:$G$46,4,0)</f>
        <v>72.599999999999994</v>
      </c>
      <c r="J11" s="44">
        <f>VLOOKUP(B11,[4]Sheet1!$B$9:$F$46,5,0)</f>
        <v>100</v>
      </c>
      <c r="K11" s="51" t="str">
        <f>VLOOKUP(B11,[4]Sheet1!$B$9:$G$46,6,0)</f>
        <v>https://www.bseindia.com/xml-data/corpfiling/AttachHis//1ec57734-63db-4473-8409-778d60a77c31.pdf</v>
      </c>
    </row>
    <row r="12" spans="1:11" ht="13" customHeight="1">
      <c r="A12" s="1" t="s">
        <v>29</v>
      </c>
      <c r="B12" s="10" t="s">
        <v>30</v>
      </c>
      <c r="C12" s="11" t="s">
        <v>31</v>
      </c>
      <c r="D12" s="6" t="s">
        <v>18</v>
      </c>
      <c r="E12" s="12">
        <v>167394</v>
      </c>
      <c r="F12" s="13">
        <v>1941.02</v>
      </c>
      <c r="G12" s="13">
        <v>3.74</v>
      </c>
      <c r="H12" s="32"/>
      <c r="I12" s="50">
        <f>VLOOKUP(B12,[4]Sheet1!$B$9:$G$46,4,0)</f>
        <v>80.3</v>
      </c>
      <c r="J12" s="44">
        <f>VLOOKUP(B12,[4]Sheet1!$B$9:$F$46,5,0)</f>
        <v>90</v>
      </c>
      <c r="K12" s="51" t="str">
        <f>VLOOKUP(B12,[4]Sheet1!$B$9:$G$46,6,0)</f>
        <v>https://www.bseindia.com/xml-data/corpfiling/AttachHis//870f4f65-7841-4a91-b472-d91921db1635.pdf</v>
      </c>
    </row>
    <row r="13" spans="1:11" ht="13" customHeight="1">
      <c r="A13" s="1" t="s">
        <v>32</v>
      </c>
      <c r="B13" s="10" t="s">
        <v>33</v>
      </c>
      <c r="C13" s="11" t="s">
        <v>34</v>
      </c>
      <c r="D13" s="6" t="s">
        <v>35</v>
      </c>
      <c r="E13" s="12">
        <v>168665</v>
      </c>
      <c r="F13" s="13">
        <v>1660.17</v>
      </c>
      <c r="G13" s="13">
        <v>3.2</v>
      </c>
      <c r="H13" s="32"/>
      <c r="I13" s="50">
        <f>VLOOKUP(B13,[4]Sheet1!$B$9:$G$46,4,0)</f>
        <v>63.3</v>
      </c>
      <c r="J13" s="44" t="str">
        <f>VLOOKUP(B13,[4]Sheet1!$B$9:$F$46,5,0)</f>
        <v>NA</v>
      </c>
      <c r="K13" s="51" t="str">
        <f>VLOOKUP(B13,[4]Sheet1!$B$9:$G$46,6,0)</f>
        <v>https://www.bseindia.com/xml-data/corpfiling/AttachHis//da079dd8-0dd2-4c70-939f-367464c87110.pdf</v>
      </c>
    </row>
    <row r="14" spans="1:11" ht="13" customHeight="1">
      <c r="A14" s="1" t="s">
        <v>36</v>
      </c>
      <c r="B14" s="10" t="s">
        <v>37</v>
      </c>
      <c r="C14" s="11" t="s">
        <v>38</v>
      </c>
      <c r="D14" s="6" t="s">
        <v>39</v>
      </c>
      <c r="E14" s="12">
        <v>476285</v>
      </c>
      <c r="F14" s="13">
        <v>1527.92</v>
      </c>
      <c r="G14" s="13">
        <v>2.94</v>
      </c>
      <c r="H14" s="32"/>
      <c r="I14" s="50">
        <f>VLOOKUP(B14,[4]Sheet1!$B$9:$G$46,4,0)</f>
        <v>59.2</v>
      </c>
      <c r="J14" s="44">
        <f>VLOOKUP(B14,[4]Sheet1!$B$9:$F$46,5,0)</f>
        <v>100</v>
      </c>
      <c r="K14" s="51" t="str">
        <f>VLOOKUP(B14,[4]Sheet1!$B$9:$G$46,6,0)</f>
        <v>https://www.bseindia.com/xml-data/corpfiling/AttachHis//56f9775c-1fe9-427e-9f3f-6211a9ce0322.pdf</v>
      </c>
    </row>
    <row r="15" spans="1:11" ht="13" customHeight="1">
      <c r="A15" s="14" t="s">
        <v>40</v>
      </c>
      <c r="B15" s="10" t="s">
        <v>41</v>
      </c>
      <c r="C15" s="11" t="s">
        <v>42</v>
      </c>
      <c r="D15" s="6" t="s">
        <v>25</v>
      </c>
      <c r="E15" s="12">
        <v>26337</v>
      </c>
      <c r="F15" s="13">
        <v>1504.07</v>
      </c>
      <c r="G15" s="13">
        <v>2.9</v>
      </c>
      <c r="H15" s="32"/>
      <c r="I15" s="50">
        <f>VLOOKUP(B15,[4]Sheet1!$B$9:$G$46,4,0)</f>
        <v>77</v>
      </c>
      <c r="J15" s="44">
        <f>VLOOKUP(B15,[4]Sheet1!$B$9:$F$46,5,0)</f>
        <v>100</v>
      </c>
      <c r="K15" s="51" t="str">
        <f>VLOOKUP(B15,[4]Sheet1!$B$9:$G$46,6,0)</f>
        <v>https://www.bseindia.com/xml-data/corpfiling/AttachHis//b2066d10-96bc-4e4b-924e-58533f7e3a12.pdf</v>
      </c>
    </row>
    <row r="16" spans="1:11" ht="13" customHeight="1">
      <c r="A16" s="1" t="s">
        <v>43</v>
      </c>
      <c r="B16" s="10" t="s">
        <v>44</v>
      </c>
      <c r="C16" s="11" t="s">
        <v>45</v>
      </c>
      <c r="D16" s="6" t="s">
        <v>46</v>
      </c>
      <c r="E16" s="12">
        <v>93169</v>
      </c>
      <c r="F16" s="13">
        <v>1502.44</v>
      </c>
      <c r="G16" s="13">
        <v>2.89</v>
      </c>
      <c r="H16" s="32"/>
      <c r="I16" s="50">
        <f>VLOOKUP(B16,[4]Sheet1!$B$9:$G$46,4,0)</f>
        <v>74.5</v>
      </c>
      <c r="J16" s="44">
        <f>VLOOKUP(B16,[4]Sheet1!$B$9:$F$46,5,0)</f>
        <v>100</v>
      </c>
      <c r="K16" s="51" t="str">
        <f>VLOOKUP(B16,[4]Sheet1!$B$9:$G$46,6,0)</f>
        <v>https://www.bseindia.com/xml-data/corpfiling/AttachHis//ca939da1-1402-4dc1-9baf-c7b47d6e0be9.pdf</v>
      </c>
    </row>
    <row r="17" spans="1:11" ht="13" customHeight="1">
      <c r="A17" s="1" t="s">
        <v>47</v>
      </c>
      <c r="B17" s="10" t="s">
        <v>48</v>
      </c>
      <c r="C17" s="11" t="s">
        <v>49</v>
      </c>
      <c r="D17" s="6" t="s">
        <v>50</v>
      </c>
      <c r="E17" s="12">
        <v>123735</v>
      </c>
      <c r="F17" s="13">
        <v>1459.83</v>
      </c>
      <c r="G17" s="13">
        <v>2.81</v>
      </c>
      <c r="H17" s="32"/>
      <c r="I17" s="50">
        <f>VLOOKUP(B17,[4]Sheet1!$B$9:$G$46,4,0)</f>
        <v>78.900000000000006</v>
      </c>
      <c r="J17" s="44" t="str">
        <f>VLOOKUP(B17,[4]Sheet1!$B$9:$F$46,5,0)</f>
        <v>NA</v>
      </c>
      <c r="K17" s="51" t="str">
        <f>VLOOKUP(B17,[4]Sheet1!$B$9:$G$46,6,0)</f>
        <v>https://www.bseindia.com/xml-data/corpfiling/AttachHis//0e1f5a69-2901-4d25-b3b6-281a25b207b9.pdf</v>
      </c>
    </row>
    <row r="18" spans="1:11" ht="13" customHeight="1">
      <c r="A18" s="1" t="s">
        <v>51</v>
      </c>
      <c r="B18" s="10" t="s">
        <v>52</v>
      </c>
      <c r="C18" s="11" t="s">
        <v>53</v>
      </c>
      <c r="D18" s="6" t="s">
        <v>25</v>
      </c>
      <c r="E18" s="12">
        <v>18767</v>
      </c>
      <c r="F18" s="13">
        <v>1430.81</v>
      </c>
      <c r="G18" s="13">
        <v>2.75</v>
      </c>
      <c r="H18" s="32"/>
      <c r="I18" s="50">
        <f>VLOOKUP(B18,[4]Sheet1!$B$9:$G$46,4,0)</f>
        <v>69</v>
      </c>
      <c r="J18" s="44" t="str">
        <f>VLOOKUP(B18,[4]Sheet1!$B$9:$F$46,5,0)</f>
        <v>NA</v>
      </c>
      <c r="K18" s="51" t="str">
        <f>VLOOKUP(B18,[4]Sheet1!$B$9:$G$46,6,0)</f>
        <v>https://www.bseindia.com/xml-data/corpfiling/AttachHis//74b4c871-35c8-42a2-a70e-5698b1643133.pdf</v>
      </c>
    </row>
    <row r="19" spans="1:11" ht="13" customHeight="1">
      <c r="A19" s="1" t="s">
        <v>54</v>
      </c>
      <c r="B19" s="10" t="s">
        <v>55</v>
      </c>
      <c r="C19" s="11" t="s">
        <v>56</v>
      </c>
      <c r="D19" s="6" t="s">
        <v>57</v>
      </c>
      <c r="E19" s="12">
        <v>18946</v>
      </c>
      <c r="F19" s="13">
        <v>1330.52</v>
      </c>
      <c r="G19" s="13">
        <v>2.56</v>
      </c>
      <c r="H19" s="32"/>
      <c r="I19" s="50">
        <f>VLOOKUP(B19,[4]Sheet1!$B$9:$G$46,4,0)</f>
        <v>71.400000000000006</v>
      </c>
      <c r="J19" s="44" t="str">
        <f>VLOOKUP(B19,[4]Sheet1!$B$9:$F$46,5,0)</f>
        <v>NA</v>
      </c>
      <c r="K19" s="51" t="str">
        <f>VLOOKUP(B19,[4]Sheet1!$B$9:$G$46,6,0)</f>
        <v>https://www.bseindia.com/xml-data/corpfiling/AttachLive//2ac497e3-68bb-4792-a12e-509e47ee1e5f.pdf</v>
      </c>
    </row>
    <row r="20" spans="1:11" ht="13" customHeight="1">
      <c r="A20" s="1" t="s">
        <v>58</v>
      </c>
      <c r="B20" s="10" t="s">
        <v>59</v>
      </c>
      <c r="C20" s="11" t="s">
        <v>60</v>
      </c>
      <c r="D20" s="6" t="s">
        <v>61</v>
      </c>
      <c r="E20" s="12">
        <v>535650</v>
      </c>
      <c r="F20" s="13">
        <v>1294.93</v>
      </c>
      <c r="G20" s="13">
        <v>2.4900000000000002</v>
      </c>
      <c r="H20" s="32"/>
      <c r="I20" s="50">
        <f>VLOOKUP(B20,[4]Sheet1!$B$9:$G$46,4,0)</f>
        <v>68.2</v>
      </c>
      <c r="J20" s="44">
        <f>VLOOKUP(B20,[4]Sheet1!$B$9:$F$46,5,0)</f>
        <v>84.4</v>
      </c>
      <c r="K20" s="51" t="str">
        <f>VLOOKUP(B20,[4]Sheet1!$B$9:$G$46,6,0)</f>
        <v>https://www.bseindia.com/xml-data/corpfiling/AttachHis//5363cca1-0b0c-4dd0-88b1-ba45d9d45626.pdf</v>
      </c>
    </row>
    <row r="21" spans="1:11" ht="13" customHeight="1">
      <c r="A21" s="1" t="s">
        <v>62</v>
      </c>
      <c r="B21" s="10" t="s">
        <v>63</v>
      </c>
      <c r="C21" s="11" t="s">
        <v>64</v>
      </c>
      <c r="D21" s="6" t="s">
        <v>65</v>
      </c>
      <c r="E21" s="12">
        <v>21542</v>
      </c>
      <c r="F21" s="13">
        <v>1268.75</v>
      </c>
      <c r="G21" s="13">
        <v>2.44</v>
      </c>
      <c r="H21" s="32"/>
      <c r="I21" s="50">
        <f>VLOOKUP(B21,[4]Sheet1!$B$9:$G$46,4,0)</f>
        <v>72.8</v>
      </c>
      <c r="J21" s="44">
        <f>VLOOKUP(B21,[4]Sheet1!$B$9:$F$46,5,0)</f>
        <v>100</v>
      </c>
      <c r="K21" s="51" t="str">
        <f>VLOOKUP(B21,[4]Sheet1!$B$9:$G$46,6,0)</f>
        <v>https://www.bseindia.com/xml-data/corpfiling/AttachHis//3173c1d1-cc86-497f-b4c8-445d0dbcb862.pdf</v>
      </c>
    </row>
    <row r="22" spans="1:11" ht="13" customHeight="1">
      <c r="A22" s="1" t="s">
        <v>66</v>
      </c>
      <c r="B22" s="10" t="s">
        <v>67</v>
      </c>
      <c r="C22" s="11" t="s">
        <v>68</v>
      </c>
      <c r="D22" s="6" t="s">
        <v>69</v>
      </c>
      <c r="E22" s="12">
        <v>82611</v>
      </c>
      <c r="F22" s="13">
        <v>1261.1400000000001</v>
      </c>
      <c r="G22" s="13">
        <v>2.4300000000000002</v>
      </c>
      <c r="H22" s="32"/>
      <c r="I22" s="50">
        <f>VLOOKUP(B22,[4]Sheet1!$B$9:$G$46,4,0)</f>
        <v>67.5</v>
      </c>
      <c r="J22" s="44" t="str">
        <f>VLOOKUP(B22,[4]Sheet1!$B$9:$F$46,5,0)</f>
        <v>NA</v>
      </c>
      <c r="K22" s="51" t="str">
        <f>VLOOKUP(B22,[4]Sheet1!$B$9:$G$46,6,0)</f>
        <v>https://www.bseindia.com/xml-data/corpfiling/AttachHis//7fea44be-e7e2-4971-9f6c-18f93d201ba6.pdf</v>
      </c>
    </row>
    <row r="23" spans="1:11" ht="13" customHeight="1">
      <c r="A23" s="1" t="s">
        <v>70</v>
      </c>
      <c r="B23" s="10" t="s">
        <v>71</v>
      </c>
      <c r="C23" s="11" t="s">
        <v>72</v>
      </c>
      <c r="D23" s="6" t="s">
        <v>73</v>
      </c>
      <c r="E23" s="12">
        <v>691000</v>
      </c>
      <c r="F23" s="13">
        <v>1250.3599999999999</v>
      </c>
      <c r="G23" s="13">
        <v>2.41</v>
      </c>
      <c r="H23" s="32"/>
      <c r="I23" s="50">
        <f>VLOOKUP(B23,[4]Sheet1!$B$9:$G$46,4,0)</f>
        <v>64.8</v>
      </c>
      <c r="J23" s="44" t="str">
        <f>VLOOKUP(B23,[4]Sheet1!$B$9:$F$46,5,0)</f>
        <v>NA</v>
      </c>
      <c r="K23" s="51" t="str">
        <f>VLOOKUP(B23,[4]Sheet1!$B$9:$G$46,6,0)</f>
        <v>https://www.bseindia.com/xml-data/corpfiling/AttachHis//29a25f97-b6b5-4d70-9643-04e10b84280d.pdf</v>
      </c>
    </row>
    <row r="24" spans="1:11" ht="13" customHeight="1">
      <c r="A24" s="1" t="s">
        <v>74</v>
      </c>
      <c r="B24" s="10" t="s">
        <v>75</v>
      </c>
      <c r="C24" s="11" t="s">
        <v>76</v>
      </c>
      <c r="D24" s="6" t="s">
        <v>77</v>
      </c>
      <c r="E24" s="12">
        <v>43450</v>
      </c>
      <c r="F24" s="13">
        <v>1248.8800000000001</v>
      </c>
      <c r="G24" s="13">
        <v>2.4</v>
      </c>
      <c r="H24" s="32"/>
      <c r="I24" s="50">
        <f>VLOOKUP(B24,[4]Sheet1!$B$9:$G$46,4,0)</f>
        <v>67.900000000000006</v>
      </c>
      <c r="J24" s="44" t="str">
        <f>VLOOKUP(B24,[4]Sheet1!$B$9:$F$46,5,0)</f>
        <v>NA</v>
      </c>
      <c r="K24" s="51" t="str">
        <f>VLOOKUP(B24,[4]Sheet1!$B$9:$G$46,6,0)</f>
        <v>https://www.bseindia.com/xml-data/corpfiling/AttachHis//f52dd0af-53cf-4df8-aba1-1ad0ba48f8ad.pdf</v>
      </c>
    </row>
    <row r="25" spans="1:11" ht="13" customHeight="1">
      <c r="A25" s="1" t="s">
        <v>78</v>
      </c>
      <c r="B25" s="10" t="s">
        <v>79</v>
      </c>
      <c r="C25" s="11" t="s">
        <v>80</v>
      </c>
      <c r="D25" s="6" t="s">
        <v>50</v>
      </c>
      <c r="E25" s="12">
        <v>96155</v>
      </c>
      <c r="F25" s="13">
        <v>1223.81</v>
      </c>
      <c r="G25" s="13">
        <v>2.36</v>
      </c>
      <c r="H25" s="32"/>
      <c r="I25" s="50">
        <f>VLOOKUP(B25,[4]Sheet1!$B$9:$G$46,4,0)</f>
        <v>79.599999999999994</v>
      </c>
      <c r="J25" s="44">
        <f>VLOOKUP(B25,[4]Sheet1!$B$9:$F$46,5,0)</f>
        <v>86</v>
      </c>
      <c r="K25" s="51" t="str">
        <f>VLOOKUP(B25,[4]Sheet1!$B$9:$G$46,6,0)</f>
        <v>https://www.bseindia.com/xml-data/corpfiling/AttachHis//ac13e628-bbca-4e1e-828f-3568bc011756.pdf</v>
      </c>
    </row>
    <row r="26" spans="1:11" ht="13" customHeight="1">
      <c r="A26" s="1" t="s">
        <v>81</v>
      </c>
      <c r="B26" s="10" t="s">
        <v>82</v>
      </c>
      <c r="C26" s="11" t="s">
        <v>83</v>
      </c>
      <c r="D26" s="6" t="s">
        <v>18</v>
      </c>
      <c r="E26" s="12">
        <v>114047</v>
      </c>
      <c r="F26" s="13">
        <v>1203.8800000000001</v>
      </c>
      <c r="G26" s="13">
        <v>2.3199999999999998</v>
      </c>
      <c r="H26" s="32"/>
      <c r="I26" s="50">
        <f>VLOOKUP(B26,[4]Sheet1!$B$9:$G$46,4,0)</f>
        <v>80.2</v>
      </c>
      <c r="J26" s="44">
        <f>VLOOKUP(B26,[4]Sheet1!$B$9:$F$46,5,0)</f>
        <v>95</v>
      </c>
      <c r="K26" s="51" t="str">
        <f>VLOOKUP(B26,[4]Sheet1!$B$9:$G$46,6,0)</f>
        <v>https://www.bseindia.com/xml-data/corpfiling/AttachHis//4f28ddaf-5dcc-4dd1-8106-954cad05d564.pdf</v>
      </c>
    </row>
    <row r="27" spans="1:11" ht="13" customHeight="1">
      <c r="A27" s="1" t="s">
        <v>84</v>
      </c>
      <c r="B27" s="10" t="s">
        <v>85</v>
      </c>
      <c r="C27" s="11" t="s">
        <v>86</v>
      </c>
      <c r="D27" s="6" t="s">
        <v>65</v>
      </c>
      <c r="E27" s="12">
        <v>82018</v>
      </c>
      <c r="F27" s="13">
        <v>1195.7</v>
      </c>
      <c r="G27" s="13">
        <v>2.2999999999999998</v>
      </c>
      <c r="H27" s="32"/>
      <c r="I27" s="50">
        <f>VLOOKUP(B27,[4]Sheet1!$B$9:$G$46,4,0)</f>
        <v>65.400000000000006</v>
      </c>
      <c r="J27" s="44" t="str">
        <f>VLOOKUP(B27,[4]Sheet1!$B$9:$F$46,5,0)</f>
        <v>NA</v>
      </c>
      <c r="K27" s="51" t="str">
        <f>VLOOKUP(B27,[4]Sheet1!$B$9:$G$46,6,0)</f>
        <v>https://www.bseindia.com/xml-data/corpfiling/AttachHis//e5d2841f-d928-4b5a-9d9f-d894d35fad43.pdf</v>
      </c>
    </row>
    <row r="28" spans="1:11" ht="13" customHeight="1">
      <c r="A28" s="1" t="s">
        <v>87</v>
      </c>
      <c r="B28" s="10" t="s">
        <v>88</v>
      </c>
      <c r="C28" s="11" t="s">
        <v>89</v>
      </c>
      <c r="D28" s="6" t="s">
        <v>90</v>
      </c>
      <c r="E28" s="12">
        <v>15960</v>
      </c>
      <c r="F28" s="13">
        <v>1185.74</v>
      </c>
      <c r="G28" s="13">
        <v>2.2799999999999998</v>
      </c>
      <c r="H28" s="32"/>
      <c r="I28" s="50">
        <f>VLOOKUP(B28,[4]Sheet1!$B$9:$G$46,4,0)</f>
        <v>70.599999999999994</v>
      </c>
      <c r="J28" s="44" t="str">
        <f>VLOOKUP(B28,[4]Sheet1!$B$9:$F$46,5,0)</f>
        <v>NA</v>
      </c>
      <c r="K28" s="51" t="str">
        <f>VLOOKUP(B28,[4]Sheet1!$B$9:$G$46,6,0)</f>
        <v>https://www.bseindia.com/xml-data/corpfiling/AttachHis//bd60d9ef-0a06-4cdf-b288-5c7bd025ebc0.pdf</v>
      </c>
    </row>
    <row r="29" spans="1:11" ht="13" customHeight="1">
      <c r="A29" s="1" t="s">
        <v>91</v>
      </c>
      <c r="B29" s="10" t="s">
        <v>92</v>
      </c>
      <c r="C29" s="11" t="s">
        <v>93</v>
      </c>
      <c r="D29" s="6" t="s">
        <v>94</v>
      </c>
      <c r="E29" s="12">
        <v>139036</v>
      </c>
      <c r="F29" s="13">
        <v>1159.6300000000001</v>
      </c>
      <c r="G29" s="13">
        <v>2.23</v>
      </c>
      <c r="H29" s="32"/>
      <c r="I29" s="50">
        <f>VLOOKUP(B29,[4]Sheet1!$B$9:$G$46,4,0)</f>
        <v>78.8</v>
      </c>
      <c r="J29" s="44">
        <f>VLOOKUP(B29,[4]Sheet1!$B$9:$F$46,5,0)</f>
        <v>100</v>
      </c>
      <c r="K29" s="51" t="str">
        <f>VLOOKUP(B29,[4]Sheet1!$B$9:$G$46,6,0)</f>
        <v>https://www.bseindia.com/xml-data/corpfiling/AttachHis//0f56632e-aa91-4671-919d-64e2d20b5ea0.pdf</v>
      </c>
    </row>
    <row r="30" spans="1:11" ht="13" customHeight="1">
      <c r="A30" s="1" t="s">
        <v>95</v>
      </c>
      <c r="B30" s="10" t="s">
        <v>96</v>
      </c>
      <c r="C30" s="11" t="s">
        <v>97</v>
      </c>
      <c r="D30" s="6" t="s">
        <v>98</v>
      </c>
      <c r="E30" s="12">
        <v>28275</v>
      </c>
      <c r="F30" s="13">
        <v>1145.6300000000001</v>
      </c>
      <c r="G30" s="13">
        <v>2.21</v>
      </c>
      <c r="H30" s="32"/>
      <c r="I30" s="50">
        <f>VLOOKUP(B30,[4]Sheet1!$B$9:$G$46,4,0)</f>
        <v>65.599999999999994</v>
      </c>
      <c r="J30" s="44" t="str">
        <f>VLOOKUP(B30,[4]Sheet1!$B$9:$F$46,5,0)</f>
        <v>NA</v>
      </c>
      <c r="K30" s="51" t="str">
        <f>VLOOKUP(B30,[4]Sheet1!$B$9:$G$46,6,0)</f>
        <v>https://www.bseindia.com/xml-data/corpfiling/AttachHis//6befd41f-84b4-4d04-bcd1-bc4d5e70a7d6.pdf</v>
      </c>
    </row>
    <row r="31" spans="1:11" ht="13" customHeight="1">
      <c r="A31" s="1" t="s">
        <v>99</v>
      </c>
      <c r="B31" s="10" t="s">
        <v>100</v>
      </c>
      <c r="C31" s="11" t="s">
        <v>101</v>
      </c>
      <c r="D31" s="6" t="s">
        <v>90</v>
      </c>
      <c r="E31" s="12">
        <v>1693115</v>
      </c>
      <c r="F31" s="13">
        <v>1133.54</v>
      </c>
      <c r="G31" s="13">
        <v>2.1800000000000002</v>
      </c>
      <c r="H31" s="32"/>
      <c r="I31" s="50">
        <f>VLOOKUP(B31,[4]Sheet1!$B$9:$G$46,4,0)</f>
        <v>67.5</v>
      </c>
      <c r="J31" s="44" t="str">
        <f>VLOOKUP(B31,[4]Sheet1!$B$9:$F$46,5,0)</f>
        <v>NA</v>
      </c>
      <c r="K31" s="51" t="str">
        <f>VLOOKUP(B31,[4]Sheet1!$B$9:$G$46,6,0)</f>
        <v>https://www.bseindia.com/xml-data/corpfiling/AttachHis//99ee7e41-59b0-4ca9-a037-93351b98c83d.pdf</v>
      </c>
    </row>
    <row r="32" spans="1:11" ht="13" customHeight="1">
      <c r="A32" s="1" t="s">
        <v>102</v>
      </c>
      <c r="B32" s="10" t="s">
        <v>103</v>
      </c>
      <c r="C32" s="11" t="s">
        <v>104</v>
      </c>
      <c r="D32" s="6" t="s">
        <v>50</v>
      </c>
      <c r="E32" s="12">
        <v>212058</v>
      </c>
      <c r="F32" s="13">
        <v>1108.22</v>
      </c>
      <c r="G32" s="13">
        <v>2.13</v>
      </c>
      <c r="H32" s="32"/>
      <c r="I32" s="50">
        <f>VLOOKUP(B32,[4]Sheet1!$B$9:$G$46,4,0)</f>
        <v>76.3</v>
      </c>
      <c r="J32" s="44">
        <f>VLOOKUP(B32,[4]Sheet1!$B$9:$F$46,5,0)</f>
        <v>87</v>
      </c>
      <c r="K32" s="51" t="str">
        <f>VLOOKUP(B32,[4]Sheet1!$B$9:$G$46,6,0)</f>
        <v>https://www.bseindia.com/xml-data/corpfiling/AttachHis//5f5370db-4c00-431e-a07d-c5624c784ed7.pdf</v>
      </c>
    </row>
    <row r="33" spans="1:11" ht="13" customHeight="1">
      <c r="A33" s="1" t="s">
        <v>105</v>
      </c>
      <c r="B33" s="10" t="s">
        <v>106</v>
      </c>
      <c r="C33" s="11" t="s">
        <v>107</v>
      </c>
      <c r="D33" s="6" t="s">
        <v>25</v>
      </c>
      <c r="E33" s="12">
        <v>67227</v>
      </c>
      <c r="F33" s="13">
        <v>1081.45</v>
      </c>
      <c r="G33" s="13">
        <v>2.08</v>
      </c>
      <c r="H33" s="32"/>
      <c r="I33" s="50">
        <f>VLOOKUP(B33,[4]Sheet1!$B$9:$G$46,4,0)</f>
        <v>78.8</v>
      </c>
      <c r="J33" s="44">
        <f>VLOOKUP(B33,[4]Sheet1!$B$9:$F$46,5,0)</f>
        <v>100</v>
      </c>
      <c r="K33" s="51" t="str">
        <f>VLOOKUP(B33,[4]Sheet1!$B$9:$G$46,6,0)</f>
        <v>https://www.bseindia.com/xml-data/corpfiling/AttachHis//33cb8fe2-656c-4862-a413-101eddee8ba7.pdf</v>
      </c>
    </row>
    <row r="34" spans="1:11" ht="13" customHeight="1">
      <c r="A34" s="1" t="s">
        <v>108</v>
      </c>
      <c r="B34" s="10" t="s">
        <v>109</v>
      </c>
      <c r="C34" s="11" t="s">
        <v>110</v>
      </c>
      <c r="D34" s="6" t="s">
        <v>111</v>
      </c>
      <c r="E34" s="12">
        <v>125020</v>
      </c>
      <c r="F34" s="13">
        <v>1026.79</v>
      </c>
      <c r="G34" s="13">
        <v>1.98</v>
      </c>
      <c r="H34" s="32"/>
      <c r="I34" s="50">
        <f>VLOOKUP(B34,[4]Sheet1!$B$9:$G$46,4,0)</f>
        <v>67.599999999999994</v>
      </c>
      <c r="J34" s="44" t="str">
        <f>VLOOKUP(B34,[4]Sheet1!$B$9:$F$46,5,0)</f>
        <v>NA</v>
      </c>
      <c r="K34" s="51" t="str">
        <f>VLOOKUP(B34,[4]Sheet1!$B$9:$G$46,6,0)</f>
        <v>https://www.bseindia.com/xml-data/corpfiling/AttachHis//bb02de2c-14b1-45a0-a82b-1c0ec21b0656.pdf</v>
      </c>
    </row>
    <row r="35" spans="1:11" ht="13" customHeight="1">
      <c r="A35" s="1" t="s">
        <v>112</v>
      </c>
      <c r="B35" s="10" t="s">
        <v>113</v>
      </c>
      <c r="C35" s="11" t="s">
        <v>114</v>
      </c>
      <c r="D35" s="6" t="s">
        <v>115</v>
      </c>
      <c r="E35" s="12">
        <v>31304</v>
      </c>
      <c r="F35" s="13">
        <v>1022.72</v>
      </c>
      <c r="G35" s="13">
        <v>1.97</v>
      </c>
      <c r="H35" s="32"/>
      <c r="I35" s="50">
        <f>VLOOKUP(B35,[4]Sheet1!$B$9:$G$46,4,0)</f>
        <v>69.400000000000006</v>
      </c>
      <c r="J35" s="44">
        <f>VLOOKUP(B35,[4]Sheet1!$B$9:$F$46,5,0)</f>
        <v>79</v>
      </c>
      <c r="K35" s="51" t="str">
        <f>VLOOKUP(B35,[4]Sheet1!$B$9:$G$46,6,0)</f>
        <v>https://www.bseindia.com/xml-data/corpfiling/AttachHis//51c89546-c90c-45c2-8ff3-e5b034e00832.pdf</v>
      </c>
    </row>
    <row r="36" spans="1:11" ht="13" customHeight="1">
      <c r="A36" s="1" t="s">
        <v>116</v>
      </c>
      <c r="B36" s="10" t="s">
        <v>117</v>
      </c>
      <c r="C36" s="11" t="s">
        <v>118</v>
      </c>
      <c r="D36" s="6" t="s">
        <v>35</v>
      </c>
      <c r="E36" s="12">
        <v>53191</v>
      </c>
      <c r="F36" s="13">
        <v>1005.66</v>
      </c>
      <c r="G36" s="13">
        <v>1.94</v>
      </c>
      <c r="H36" s="32"/>
      <c r="I36" s="50">
        <f>VLOOKUP(B36,[4]Sheet1!$B$9:$G$46,4,0)</f>
        <v>63.3</v>
      </c>
      <c r="J36" s="44" t="str">
        <f>VLOOKUP(B36,[4]Sheet1!$B$9:$F$46,5,0)</f>
        <v>NA</v>
      </c>
      <c r="K36" s="51" t="str">
        <f>VLOOKUP(B36,[4]Sheet1!$B$9:$G$46,6,0)</f>
        <v>https://www.bseindia.com/xml-data/corpfiling/AttachHis//41e6b57c-eb51-4b11-95ae-6cc6cd9fb59a.pdf</v>
      </c>
    </row>
    <row r="37" spans="1:11" ht="13" customHeight="1">
      <c r="A37" s="1" t="s">
        <v>119</v>
      </c>
      <c r="B37" s="10" t="s">
        <v>120</v>
      </c>
      <c r="C37" s="11" t="s">
        <v>121</v>
      </c>
      <c r="D37" s="6" t="s">
        <v>65</v>
      </c>
      <c r="E37" s="12">
        <v>49942</v>
      </c>
      <c r="F37" s="13">
        <v>979.39</v>
      </c>
      <c r="G37" s="13">
        <v>1.89</v>
      </c>
      <c r="H37" s="32"/>
      <c r="I37" s="50">
        <f>VLOOKUP(B37,[4]Sheet1!$B$9:$G$46,4,0)</f>
        <v>69.900000000000006</v>
      </c>
      <c r="J37" s="44" t="str">
        <f>VLOOKUP(B37,[4]Sheet1!$B$9:$F$46,5,0)</f>
        <v>NA</v>
      </c>
      <c r="K37" s="51" t="str">
        <f>VLOOKUP(B37,[4]Sheet1!$B$9:$G$46,6,0)</f>
        <v>https://www.bseindia.com/xml-data/corpfiling/AttachHis//030f7e34-01f3-47f7-b10a-e18768e0d79e.pdf</v>
      </c>
    </row>
    <row r="38" spans="1:11" ht="13" customHeight="1">
      <c r="A38" s="1" t="s">
        <v>122</v>
      </c>
      <c r="B38" s="10" t="s">
        <v>123</v>
      </c>
      <c r="C38" s="11" t="s">
        <v>124</v>
      </c>
      <c r="D38" s="6" t="s">
        <v>94</v>
      </c>
      <c r="E38" s="12">
        <v>19568</v>
      </c>
      <c r="F38" s="13">
        <v>957.79</v>
      </c>
      <c r="G38" s="13">
        <v>1.84</v>
      </c>
      <c r="H38" s="32"/>
      <c r="I38" s="50">
        <f>VLOOKUP(B38,[4]Sheet1!$B$9:$G$46,4,0)</f>
        <v>73.2</v>
      </c>
      <c r="J38" s="44">
        <f>VLOOKUP(B38,[4]Sheet1!$B$9:$F$46,5,0)</f>
        <v>100</v>
      </c>
      <c r="K38" s="51" t="str">
        <f>VLOOKUP(B38,[4]Sheet1!$B$9:$G$46,6,0)</f>
        <v>https://www.bseindia.com/xml-data/corpfiling/AttachHis//66379fbd-b76c-4a0f-8673-983da10753b0.pdf</v>
      </c>
    </row>
    <row r="39" spans="1:11" ht="13" customHeight="1">
      <c r="A39" s="1" t="s">
        <v>125</v>
      </c>
      <c r="B39" s="10" t="s">
        <v>126</v>
      </c>
      <c r="C39" s="11" t="s">
        <v>127</v>
      </c>
      <c r="D39" s="6" t="s">
        <v>94</v>
      </c>
      <c r="E39" s="12">
        <v>7739</v>
      </c>
      <c r="F39" s="13">
        <v>857.21</v>
      </c>
      <c r="G39" s="13">
        <v>1.65</v>
      </c>
      <c r="H39" s="32"/>
      <c r="I39" s="50">
        <f>VLOOKUP(B39,[4]Sheet1!$B$9:$G$46,4,0)</f>
        <v>74</v>
      </c>
      <c r="J39" s="44">
        <f>VLOOKUP(B39,[4]Sheet1!$B$9:$F$46,5,0)</f>
        <v>100</v>
      </c>
      <c r="K39" s="51" t="str">
        <f>VLOOKUP(B39,[4]Sheet1!$B$9:$G$46,6,0)</f>
        <v>https://www.bseindia.com/xml-data/corpfiling/AttachHis//c12a56d6-1671-4bb8-b2d5-38ce4dee01da.pdf</v>
      </c>
    </row>
    <row r="40" spans="1:11" ht="13" customHeight="1">
      <c r="A40" s="1" t="s">
        <v>128</v>
      </c>
      <c r="B40" s="10" t="s">
        <v>129</v>
      </c>
      <c r="C40" s="11" t="s">
        <v>130</v>
      </c>
      <c r="D40" s="6" t="s">
        <v>131</v>
      </c>
      <c r="E40" s="12">
        <v>18610</v>
      </c>
      <c r="F40" s="13">
        <v>831.05</v>
      </c>
      <c r="G40" s="13">
        <v>1.6</v>
      </c>
      <c r="H40" s="32"/>
      <c r="I40" s="50">
        <f>VLOOKUP(B40,[4]Sheet1!$B$9:$G$46,4,0)</f>
        <v>77.2</v>
      </c>
      <c r="J40" s="44" t="str">
        <f>VLOOKUP(B40,[4]Sheet1!$B$9:$F$46,5,0)</f>
        <v>NA</v>
      </c>
      <c r="K40" s="51" t="str">
        <f>VLOOKUP(B40,[4]Sheet1!$B$9:$G$46,6,0)</f>
        <v>https://nsearchives.nseindia.com/corporate/BSE_20062024151526_BRSR2324.pdf</v>
      </c>
    </row>
    <row r="41" spans="1:11" ht="13" customHeight="1">
      <c r="A41" s="1" t="s">
        <v>132</v>
      </c>
      <c r="B41" s="10" t="s">
        <v>133</v>
      </c>
      <c r="C41" s="11" t="s">
        <v>134</v>
      </c>
      <c r="D41" s="6" t="s">
        <v>135</v>
      </c>
      <c r="E41" s="12">
        <v>1332</v>
      </c>
      <c r="F41" s="13">
        <v>609.66999999999996</v>
      </c>
      <c r="G41" s="13">
        <v>1.17</v>
      </c>
      <c r="H41" s="32"/>
      <c r="I41" s="50">
        <f>VLOOKUP(B41,[4]Sheet1!$B$9:$G$46,4,0)</f>
        <v>63.7</v>
      </c>
      <c r="J41" s="44" t="str">
        <f>VLOOKUP(B41,[4]Sheet1!$B$9:$F$46,5,0)</f>
        <v>NA</v>
      </c>
      <c r="K41" s="51" t="str">
        <f>VLOOKUP(B41,[4]Sheet1!$B$9:$G$46,6,0)</f>
        <v>https://www.bseindia.com/xml-data/corpfiling/AttachHis//94c763fb-aacb-48fc-9c31-6be13c51db12.pdf</v>
      </c>
    </row>
    <row r="42" spans="1:11" ht="13" customHeight="1">
      <c r="A42" s="1" t="s">
        <v>136</v>
      </c>
      <c r="B42" s="10" t="s">
        <v>137</v>
      </c>
      <c r="C42" s="11" t="s">
        <v>138</v>
      </c>
      <c r="D42" s="6" t="s">
        <v>139</v>
      </c>
      <c r="E42" s="12">
        <v>97690</v>
      </c>
      <c r="F42" s="13">
        <v>603.19000000000005</v>
      </c>
      <c r="G42" s="13">
        <v>1.1599999999999999</v>
      </c>
      <c r="H42" s="32"/>
      <c r="I42" s="50">
        <f>VLOOKUP(B42,[4]Sheet1!$B$9:$G$46,4,0)</f>
        <v>74.3</v>
      </c>
      <c r="J42" s="44" t="str">
        <f>VLOOKUP(B42,[4]Sheet1!$B$9:$F$46,5,0)</f>
        <v>NA</v>
      </c>
      <c r="K42" s="51" t="str">
        <f>VLOOKUP(B42,[4]Sheet1!$B$9:$G$46,6,0)</f>
        <v>https://www.bseindia.com/xml-data/corpfiling/AttachHis//1b9c61f7-ce7e-4634-9878-343c56ab9170.pdf</v>
      </c>
    </row>
    <row r="43" spans="1:11" ht="13" customHeight="1">
      <c r="A43" s="1" t="s">
        <v>140</v>
      </c>
      <c r="B43" s="10" t="s">
        <v>141</v>
      </c>
      <c r="C43" s="11" t="s">
        <v>142</v>
      </c>
      <c r="D43" s="6" t="s">
        <v>90</v>
      </c>
      <c r="E43" s="12">
        <v>32360</v>
      </c>
      <c r="F43" s="13">
        <v>577.91999999999996</v>
      </c>
      <c r="G43" s="13">
        <v>1.1100000000000001</v>
      </c>
      <c r="H43" s="32"/>
      <c r="I43" s="50">
        <f>VLOOKUP(B43,[4]Sheet1!$B$9:$G$46,4,0)</f>
        <v>61.5</v>
      </c>
      <c r="J43" s="44" t="str">
        <f>VLOOKUP(B43,[4]Sheet1!$B$9:$F$46,5,0)</f>
        <v>NA</v>
      </c>
      <c r="K43" s="51" t="str">
        <f>VLOOKUP(B43,[4]Sheet1!$B$9:$G$46,6,0)</f>
        <v>https://www.bseindia.com/xml-data/corpfiling/AttachHis//8cb88bfc-b071-4cf4-825f-6f084c9dd4b9.pdf</v>
      </c>
    </row>
    <row r="44" spans="1:11" ht="13" customHeight="1">
      <c r="A44" s="1" t="s">
        <v>143</v>
      </c>
      <c r="B44" s="10" t="s">
        <v>144</v>
      </c>
      <c r="C44" s="11" t="s">
        <v>145</v>
      </c>
      <c r="D44" s="6" t="s">
        <v>61</v>
      </c>
      <c r="E44" s="12">
        <v>14430</v>
      </c>
      <c r="F44" s="13">
        <v>567.20000000000005</v>
      </c>
      <c r="G44" s="13">
        <v>1.0900000000000001</v>
      </c>
      <c r="H44" s="32"/>
      <c r="I44" s="50">
        <f>VLOOKUP(B44,[4]Sheet1!$B$9:$G$46,4,0)</f>
        <v>69.2</v>
      </c>
      <c r="J44" s="44">
        <f>VLOOKUP(B44,[4]Sheet1!$B$9:$F$46,5,0)</f>
        <v>78</v>
      </c>
      <c r="K44" s="51" t="str">
        <f>VLOOKUP(B44,[4]Sheet1!$B$9:$G$46,6,0)</f>
        <v>https://www.bseindia.com/xml-data/corpfiling/AttachHis//5927977c-9751-40a4-94ac-d2dc5c2a1567.pdf</v>
      </c>
    </row>
    <row r="45" spans="1:11" ht="13" customHeight="1">
      <c r="A45" s="1" t="s">
        <v>146</v>
      </c>
      <c r="B45" s="10" t="s">
        <v>147</v>
      </c>
      <c r="C45" s="11" t="s">
        <v>148</v>
      </c>
      <c r="D45" s="6" t="s">
        <v>149</v>
      </c>
      <c r="E45" s="12">
        <v>11051</v>
      </c>
      <c r="F45" s="13">
        <v>308.58</v>
      </c>
      <c r="G45" s="13">
        <v>0.59</v>
      </c>
      <c r="H45" s="32"/>
      <c r="I45" s="50">
        <f>VLOOKUP(B45,[4]Sheet1!$B$9:$G$46,4,0)</f>
        <v>81.2</v>
      </c>
      <c r="J45" s="44" t="str">
        <f>VLOOKUP(B45,[4]Sheet1!$B$9:$F$46,5,0)</f>
        <v>NA</v>
      </c>
      <c r="K45" s="51" t="str">
        <f>VLOOKUP(B45,[4]Sheet1!$B$9:$G$46,6,0)</f>
        <v>https://www.bseindia.com/xml-data/corpfiling/AttachHis//8481af03-73e9-404a-a526-2221f1246c66.pdf</v>
      </c>
    </row>
    <row r="46" spans="1:11" ht="13" customHeight="1">
      <c r="A46" s="2"/>
      <c r="B46" s="5" t="s">
        <v>150</v>
      </c>
      <c r="C46" s="6"/>
      <c r="D46" s="6"/>
      <c r="E46" s="6"/>
      <c r="F46" s="15">
        <v>51485.51</v>
      </c>
      <c r="G46" s="15">
        <v>99.11</v>
      </c>
      <c r="H46" s="33"/>
      <c r="I46" s="52"/>
      <c r="J46" s="45"/>
      <c r="K46" s="53"/>
    </row>
    <row r="47" spans="1:11" ht="13" customHeight="1">
      <c r="A47" s="2"/>
      <c r="B47" s="16" t="s">
        <v>151</v>
      </c>
      <c r="C47" s="17"/>
      <c r="D47" s="17"/>
      <c r="E47" s="18"/>
      <c r="F47" s="19" t="s">
        <v>152</v>
      </c>
      <c r="G47" s="19" t="s">
        <v>152</v>
      </c>
      <c r="H47" s="34" t="s">
        <v>152</v>
      </c>
      <c r="I47" s="36"/>
      <c r="K47" s="37"/>
    </row>
    <row r="48" spans="1:11" ht="13" customHeight="1">
      <c r="A48" s="2"/>
      <c r="B48" s="20" t="s">
        <v>150</v>
      </c>
      <c r="C48" s="21"/>
      <c r="D48" s="21"/>
      <c r="E48" s="19"/>
      <c r="F48" s="19" t="s">
        <v>152</v>
      </c>
      <c r="G48" s="19" t="s">
        <v>152</v>
      </c>
      <c r="H48" s="34" t="s">
        <v>152</v>
      </c>
      <c r="I48" s="36"/>
      <c r="K48" s="37"/>
    </row>
    <row r="49" spans="1:11" ht="13" customHeight="1">
      <c r="A49" s="2"/>
      <c r="B49" s="16" t="s">
        <v>153</v>
      </c>
      <c r="C49" s="17"/>
      <c r="D49" s="17"/>
      <c r="E49" s="22"/>
      <c r="F49" s="15">
        <v>51485.51</v>
      </c>
      <c r="G49" s="15">
        <v>99.11</v>
      </c>
      <c r="H49" s="34"/>
      <c r="I49" s="36"/>
      <c r="K49" s="37"/>
    </row>
    <row r="50" spans="1:11" ht="13" customHeight="1">
      <c r="A50" s="2"/>
      <c r="B50" s="5" t="s">
        <v>154</v>
      </c>
      <c r="C50" s="6"/>
      <c r="D50" s="6"/>
      <c r="E50" s="6"/>
      <c r="F50" s="6"/>
      <c r="G50" s="6"/>
      <c r="H50" s="30"/>
      <c r="I50" s="36"/>
      <c r="K50" s="37"/>
    </row>
    <row r="51" spans="1:11" ht="13" customHeight="1">
      <c r="A51" s="2"/>
      <c r="B51" s="5" t="s">
        <v>155</v>
      </c>
      <c r="C51" s="8"/>
      <c r="D51" s="8"/>
      <c r="E51" s="6"/>
      <c r="F51" s="6"/>
      <c r="G51" s="6"/>
      <c r="H51" s="30"/>
      <c r="I51" s="36"/>
      <c r="K51" s="37"/>
    </row>
    <row r="52" spans="1:11" ht="13" customHeight="1">
      <c r="A52" s="1" t="s">
        <v>156</v>
      </c>
      <c r="B52" s="10" t="s">
        <v>157</v>
      </c>
      <c r="C52" s="11"/>
      <c r="D52" s="6"/>
      <c r="E52" s="12"/>
      <c r="F52" s="13">
        <v>728.22</v>
      </c>
      <c r="G52" s="13">
        <v>1.4</v>
      </c>
      <c r="H52" s="32">
        <v>6.265921002330184E-2</v>
      </c>
      <c r="I52" s="36"/>
      <c r="K52" s="37"/>
    </row>
    <row r="53" spans="1:11" ht="13" customHeight="1">
      <c r="A53" s="2"/>
      <c r="B53" s="5" t="s">
        <v>150</v>
      </c>
      <c r="C53" s="6"/>
      <c r="D53" s="6"/>
      <c r="E53" s="6"/>
      <c r="F53" s="15">
        <v>728.22</v>
      </c>
      <c r="G53" s="15">
        <v>1.4</v>
      </c>
      <c r="H53" s="33"/>
      <c r="I53" s="36"/>
      <c r="K53" s="37"/>
    </row>
    <row r="54" spans="1:11" ht="13" customHeight="1">
      <c r="A54" s="2"/>
      <c r="B54" s="16" t="s">
        <v>153</v>
      </c>
      <c r="C54" s="17"/>
      <c r="D54" s="17"/>
      <c r="E54" s="22"/>
      <c r="F54" s="15">
        <v>728.22</v>
      </c>
      <c r="G54" s="15">
        <v>1.4</v>
      </c>
      <c r="H54" s="34"/>
      <c r="I54" s="36"/>
      <c r="K54" s="37"/>
    </row>
    <row r="55" spans="1:11" ht="13" customHeight="1">
      <c r="A55" s="2"/>
      <c r="B55" s="16" t="s">
        <v>158</v>
      </c>
      <c r="C55" s="17"/>
      <c r="D55" s="17"/>
      <c r="E55" s="6"/>
      <c r="F55" s="15">
        <v>-277.2</v>
      </c>
      <c r="G55" s="15">
        <v>-0.51</v>
      </c>
      <c r="H55" s="34"/>
      <c r="I55" s="36"/>
      <c r="K55" s="37"/>
    </row>
    <row r="56" spans="1:11" ht="13" customHeight="1" thickBot="1">
      <c r="A56" s="2"/>
      <c r="B56" s="23" t="s">
        <v>159</v>
      </c>
      <c r="C56" s="24"/>
      <c r="D56" s="24"/>
      <c r="E56" s="24"/>
      <c r="F56" s="25">
        <v>51936.53</v>
      </c>
      <c r="G56" s="26">
        <v>100</v>
      </c>
      <c r="H56" s="35"/>
      <c r="I56" s="38"/>
      <c r="J56" s="39"/>
      <c r="K56" s="40"/>
    </row>
    <row r="57" spans="1:11" ht="13" customHeight="1">
      <c r="A57" s="2"/>
      <c r="B57" s="59"/>
      <c r="C57" s="59"/>
      <c r="D57" s="59"/>
      <c r="E57" s="59"/>
      <c r="F57" s="2"/>
      <c r="G57" s="2"/>
      <c r="H57" s="2"/>
    </row>
    <row r="58" spans="1:11" ht="13" customHeight="1">
      <c r="A58" s="2"/>
      <c r="B58" s="59"/>
      <c r="C58" s="59"/>
      <c r="D58" s="59"/>
      <c r="E58" s="59"/>
      <c r="F58" s="2"/>
      <c r="G58" s="2"/>
      <c r="H58" s="2"/>
    </row>
    <row r="59" spans="1:11" ht="13" customHeight="1">
      <c r="A59" s="2"/>
      <c r="B59" s="61" t="s">
        <v>160</v>
      </c>
      <c r="C59" s="61"/>
      <c r="D59" s="61"/>
      <c r="E59" s="61"/>
      <c r="F59" s="2"/>
      <c r="G59" s="2"/>
      <c r="H59" s="2"/>
    </row>
    <row r="60" spans="1:11" ht="13" customHeight="1">
      <c r="A60" s="2"/>
      <c r="B60" s="59" t="s">
        <v>175</v>
      </c>
      <c r="C60" s="59"/>
      <c r="D60" s="59"/>
      <c r="E60" s="59"/>
      <c r="F60" s="2"/>
      <c r="G60" s="2"/>
      <c r="H60" s="2"/>
    </row>
    <row r="61" spans="1:11" ht="13" customHeight="1">
      <c r="A61" s="2"/>
      <c r="B61" s="59" t="s">
        <v>161</v>
      </c>
      <c r="C61" s="59"/>
      <c r="D61" s="59"/>
      <c r="E61" s="59"/>
      <c r="F61" s="2"/>
      <c r="G61" s="2"/>
      <c r="H61" s="2"/>
    </row>
    <row r="62" spans="1:11" ht="23.5" customHeight="1">
      <c r="A62" s="2"/>
      <c r="B62" s="59" t="s">
        <v>176</v>
      </c>
      <c r="C62" s="59"/>
      <c r="D62" s="59"/>
      <c r="E62" s="59"/>
      <c r="F62" s="2"/>
      <c r="G62" s="2"/>
      <c r="H62" s="2"/>
    </row>
    <row r="63" spans="1:11" ht="13" customHeight="1">
      <c r="A63" s="2"/>
      <c r="B63" s="59" t="s">
        <v>162</v>
      </c>
      <c r="C63" s="59"/>
      <c r="D63" s="59"/>
      <c r="E63" s="59"/>
      <c r="F63" s="59"/>
      <c r="G63" s="59"/>
      <c r="H63" s="2"/>
    </row>
    <row r="64" spans="1:11" ht="45.65" customHeight="1">
      <c r="A64" s="2"/>
      <c r="B64" s="59" t="s">
        <v>163</v>
      </c>
      <c r="C64" s="59"/>
      <c r="D64" s="59"/>
      <c r="E64" s="59"/>
      <c r="F64" s="59"/>
      <c r="G64" s="59"/>
      <c r="H64" s="2"/>
    </row>
    <row r="65" spans="1:8" ht="13" customHeight="1">
      <c r="A65" s="2"/>
      <c r="B65" s="28"/>
      <c r="C65" s="27"/>
      <c r="D65" s="27"/>
      <c r="E65" s="27"/>
      <c r="F65" s="2"/>
      <c r="G65" s="2"/>
      <c r="H65" s="2"/>
    </row>
    <row r="66" spans="1:8" ht="13" customHeight="1">
      <c r="A66" s="2"/>
      <c r="B66" s="59" t="s">
        <v>164</v>
      </c>
      <c r="C66" s="59"/>
      <c r="D66" s="59"/>
      <c r="E66" s="59"/>
      <c r="F66" s="2"/>
      <c r="G66" s="2"/>
      <c r="H66" s="2"/>
    </row>
    <row r="67" spans="1:8" ht="13" customHeight="1">
      <c r="A67" s="2"/>
      <c r="B67" s="58" t="s">
        <v>165</v>
      </c>
      <c r="C67" s="58"/>
      <c r="D67" s="58"/>
      <c r="E67" s="58"/>
      <c r="F67" s="2"/>
      <c r="G67" s="2"/>
      <c r="H67" s="2"/>
    </row>
    <row r="68" spans="1:8" ht="13" customHeight="1">
      <c r="A68" s="2"/>
      <c r="B68" s="58" t="s">
        <v>166</v>
      </c>
      <c r="C68" s="58"/>
      <c r="D68" s="58"/>
      <c r="E68" s="58"/>
      <c r="F68" s="2"/>
      <c r="G68" s="2"/>
      <c r="H68" s="2"/>
    </row>
    <row r="69" spans="1:8" ht="13" customHeight="1">
      <c r="A69" s="2"/>
      <c r="B69" s="58" t="s">
        <v>167</v>
      </c>
      <c r="C69" s="58"/>
      <c r="D69" s="58"/>
      <c r="E69" s="58"/>
      <c r="F69" s="2"/>
      <c r="G69" s="2"/>
      <c r="H69" s="2"/>
    </row>
    <row r="70" spans="1:8" ht="13" customHeight="1">
      <c r="A70" s="2"/>
      <c r="B70" s="58" t="s">
        <v>168</v>
      </c>
      <c r="C70" s="58"/>
      <c r="D70" s="58"/>
      <c r="E70" s="58"/>
      <c r="F70" s="2"/>
      <c r="G70" s="2"/>
      <c r="H70" s="2"/>
    </row>
    <row r="71" spans="1:8" ht="13" customHeight="1">
      <c r="A71" s="2"/>
      <c r="B71" s="58" t="s">
        <v>169</v>
      </c>
      <c r="C71" s="58"/>
      <c r="D71" s="58"/>
      <c r="E71" s="58"/>
      <c r="F71" s="2"/>
      <c r="G71" s="2"/>
      <c r="H71" s="2"/>
    </row>
    <row r="72" spans="1:8" ht="13" customHeight="1">
      <c r="A72" s="2"/>
      <c r="B72" s="58" t="s">
        <v>170</v>
      </c>
      <c r="C72" s="58"/>
      <c r="D72" s="58"/>
      <c r="E72" s="58"/>
      <c r="F72" s="2"/>
      <c r="G72" s="2"/>
      <c r="H72" s="2"/>
    </row>
    <row r="73" spans="1:8">
      <c r="F73" s="29" t="s">
        <v>171</v>
      </c>
    </row>
    <row r="74" spans="1:8">
      <c r="B74" s="29" t="s">
        <v>172</v>
      </c>
      <c r="F74" s="29" t="s">
        <v>173</v>
      </c>
    </row>
  </sheetData>
  <mergeCells count="21">
    <mergeCell ref="F63:G63"/>
    <mergeCell ref="B1:H1"/>
    <mergeCell ref="B2:H2"/>
    <mergeCell ref="B3:H3"/>
    <mergeCell ref="B4:H4"/>
    <mergeCell ref="B57:E57"/>
    <mergeCell ref="B58:E58"/>
    <mergeCell ref="B59:E59"/>
    <mergeCell ref="B60:E60"/>
    <mergeCell ref="B61:E61"/>
    <mergeCell ref="B62:E62"/>
    <mergeCell ref="B63:E63"/>
    <mergeCell ref="B70:E70"/>
    <mergeCell ref="B71:E71"/>
    <mergeCell ref="B72:E72"/>
    <mergeCell ref="B64:E64"/>
    <mergeCell ref="F64:G64"/>
    <mergeCell ref="B66:E66"/>
    <mergeCell ref="B67:E67"/>
    <mergeCell ref="B68:E68"/>
    <mergeCell ref="B69:E69"/>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37E3E-1204-46A0-B1A3-B7619CDA2CD7}">
  <sheetPr>
    <outlinePr summaryBelow="0"/>
  </sheetPr>
  <dimension ref="A1:F19"/>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59" t="s">
        <v>195</v>
      </c>
      <c r="B1" s="59"/>
      <c r="C1" s="59"/>
      <c r="D1" s="57"/>
      <c r="E1" s="30"/>
      <c r="F1" s="2"/>
    </row>
    <row r="2" spans="1:6" ht="13" customHeight="1">
      <c r="A2" s="30"/>
      <c r="B2" s="2"/>
      <c r="C2" s="2"/>
      <c r="D2" s="2"/>
      <c r="E2" s="30"/>
      <c r="F2" s="2"/>
    </row>
    <row r="3" spans="1:6" ht="13" customHeight="1">
      <c r="A3" s="62" t="s">
        <v>194</v>
      </c>
      <c r="B3" s="62"/>
      <c r="C3" s="2"/>
      <c r="D3" s="2"/>
      <c r="E3" s="62" t="s">
        <v>193</v>
      </c>
      <c r="F3" s="62"/>
    </row>
    <row r="4" spans="1:6" ht="13" customHeight="1">
      <c r="A4" s="55" t="s">
        <v>192</v>
      </c>
      <c r="B4" s="55" t="s">
        <v>8</v>
      </c>
      <c r="C4" s="2"/>
      <c r="D4" s="2"/>
      <c r="E4" s="55" t="s">
        <v>191</v>
      </c>
      <c r="F4" s="55" t="s">
        <v>190</v>
      </c>
    </row>
    <row r="5" spans="1:6" ht="13" customHeight="1">
      <c r="A5" s="17" t="s">
        <v>16</v>
      </c>
      <c r="B5" s="56">
        <v>7.85E-2</v>
      </c>
      <c r="C5" s="2"/>
      <c r="D5" s="2"/>
      <c r="E5" s="17" t="s">
        <v>189</v>
      </c>
      <c r="F5" s="56">
        <v>0.30780000000000002</v>
      </c>
    </row>
    <row r="6" spans="1:6" ht="13" customHeight="1">
      <c r="A6" s="17" t="s">
        <v>20</v>
      </c>
      <c r="B6" s="56">
        <v>6.8099999999999994E-2</v>
      </c>
      <c r="C6" s="2"/>
      <c r="D6" s="2"/>
      <c r="E6" s="17" t="s">
        <v>188</v>
      </c>
      <c r="F6" s="56">
        <v>0.18140000000000001</v>
      </c>
    </row>
    <row r="7" spans="1:6" ht="13" customHeight="1">
      <c r="A7" s="17" t="s">
        <v>23</v>
      </c>
      <c r="B7" s="56">
        <v>5.2600000000000001E-2</v>
      </c>
      <c r="C7" s="2"/>
      <c r="D7" s="2"/>
      <c r="E7" s="17" t="s">
        <v>187</v>
      </c>
      <c r="F7" s="56">
        <v>0.11600000000000001</v>
      </c>
    </row>
    <row r="8" spans="1:6" ht="13" customHeight="1">
      <c r="A8" s="17" t="s">
        <v>27</v>
      </c>
      <c r="B8" s="56">
        <v>5.1499999999999997E-2</v>
      </c>
      <c r="C8" s="2"/>
      <c r="D8" s="2"/>
      <c r="E8" s="17" t="s">
        <v>186</v>
      </c>
      <c r="F8" s="56">
        <v>8.9599999999999999E-2</v>
      </c>
    </row>
    <row r="9" spans="1:6" ht="13" customHeight="1">
      <c r="A9" s="17" t="s">
        <v>30</v>
      </c>
      <c r="B9" s="56">
        <v>3.7400000000000003E-2</v>
      </c>
      <c r="C9" s="2"/>
      <c r="D9" s="2"/>
      <c r="E9" s="17" t="s">
        <v>185</v>
      </c>
      <c r="F9" s="56">
        <v>8.1299999999999997E-2</v>
      </c>
    </row>
    <row r="10" spans="1:6" ht="13" customHeight="1">
      <c r="A10" s="17" t="s">
        <v>33</v>
      </c>
      <c r="B10" s="56">
        <v>3.2000000000000001E-2</v>
      </c>
      <c r="C10" s="2"/>
      <c r="D10" s="2"/>
      <c r="E10" s="17" t="s">
        <v>184</v>
      </c>
      <c r="F10" s="56">
        <v>5.5599999999999997E-2</v>
      </c>
    </row>
    <row r="11" spans="1:6" ht="13" customHeight="1">
      <c r="A11" s="17" t="s">
        <v>37</v>
      </c>
      <c r="B11" s="56">
        <v>2.9399999999999999E-2</v>
      </c>
      <c r="C11" s="2"/>
      <c r="D11" s="2"/>
      <c r="E11" s="17" t="s">
        <v>183</v>
      </c>
      <c r="F11" s="56">
        <v>5.1299999999999998E-2</v>
      </c>
    </row>
    <row r="12" spans="1:6" ht="13" customHeight="1">
      <c r="A12" s="17" t="s">
        <v>41</v>
      </c>
      <c r="B12" s="56">
        <v>2.9000000000000001E-2</v>
      </c>
      <c r="C12" s="2"/>
      <c r="D12" s="2"/>
      <c r="E12" s="17" t="s">
        <v>39</v>
      </c>
      <c r="F12" s="56">
        <v>2.9399999999999999E-2</v>
      </c>
    </row>
    <row r="13" spans="1:6" ht="13" customHeight="1">
      <c r="A13" s="17" t="s">
        <v>44</v>
      </c>
      <c r="B13" s="56">
        <v>2.8899999999999999E-2</v>
      </c>
      <c r="C13" s="2"/>
      <c r="D13" s="2"/>
      <c r="E13" s="17" t="s">
        <v>182</v>
      </c>
      <c r="F13" s="56">
        <v>2.8899999999999999E-2</v>
      </c>
    </row>
    <row r="14" spans="1:6" ht="13" customHeight="1">
      <c r="A14" s="17" t="s">
        <v>48</v>
      </c>
      <c r="B14" s="56">
        <v>2.81E-2</v>
      </c>
      <c r="C14" s="2"/>
      <c r="D14" s="2"/>
      <c r="E14" s="17" t="s">
        <v>181</v>
      </c>
      <c r="F14" s="56">
        <v>2.4299999999999999E-2</v>
      </c>
    </row>
    <row r="15" spans="1:6" ht="13" customHeight="1">
      <c r="A15" s="2"/>
      <c r="B15" s="2"/>
      <c r="C15" s="2"/>
      <c r="D15" s="2"/>
      <c r="E15" s="17" t="s">
        <v>115</v>
      </c>
      <c r="F15" s="56">
        <v>1.9699999999999999E-2</v>
      </c>
    </row>
    <row r="16" spans="1:6" ht="13" customHeight="1">
      <c r="A16" s="2"/>
      <c r="B16" s="2"/>
      <c r="C16" s="2"/>
      <c r="D16" s="2"/>
      <c r="E16" s="17" t="s">
        <v>180</v>
      </c>
      <c r="F16" s="56">
        <v>1.4E-2</v>
      </c>
    </row>
    <row r="17" spans="1:6" ht="13" customHeight="1">
      <c r="A17" s="2"/>
      <c r="B17" s="2"/>
      <c r="C17" s="2"/>
      <c r="D17" s="2"/>
      <c r="E17" s="17" t="s">
        <v>179</v>
      </c>
      <c r="F17" s="56">
        <v>5.8999999999999999E-3</v>
      </c>
    </row>
    <row r="18" spans="1:6" ht="13" customHeight="1">
      <c r="A18" s="2"/>
      <c r="B18" s="2"/>
      <c r="C18" s="2"/>
      <c r="D18" s="2"/>
      <c r="E18" s="17" t="s">
        <v>178</v>
      </c>
      <c r="F18" s="56">
        <v>-5.3E-3</v>
      </c>
    </row>
    <row r="19" spans="1:6" ht="13" customHeight="1">
      <c r="A19" s="2"/>
      <c r="B19" s="2"/>
      <c r="C19" s="2"/>
      <c r="D19" s="2"/>
      <c r="E19" s="55" t="s">
        <v>177</v>
      </c>
      <c r="F19" s="54">
        <v>1</v>
      </c>
    </row>
  </sheetData>
  <mergeCells count="3">
    <mergeCell ref="A1:C1"/>
    <mergeCell ref="A3:B3"/>
    <mergeCell ref="E3:F3"/>
  </mergeCells>
  <pageMargins left="0" right="0" top="0" bottom="0" header="0" footer="0"/>
  <pageSetup orientation="portrait" r:id="rId1"/>
  <headerFooter>
    <oddFooter>&amp;C&amp;1#&amp;"Calibri"&amp;10&amp;K000000</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ESG Integration Strategy</vt:lpstr>
      <vt:lpstr>IESGEF</vt:lpstr>
      <vt:lpstr>IESGEF!JR_PAGE_ANCHOR_0_4</vt:lpstr>
      <vt:lpstr>JR_PAGE_ANCHOR_0_4</vt:lpstr>
    </vt:vector>
  </TitlesOfParts>
  <Company>Invesco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Bhosle, Rohit</dc:creator>
  <cp:lastModifiedBy>Gurav, Akshay</cp:lastModifiedBy>
  <dcterms:created xsi:type="dcterms:W3CDTF">2024-11-08T09:05:03Z</dcterms:created>
  <dcterms:modified xsi:type="dcterms:W3CDTF">2024-11-10T09:06:30Z</dcterms:modified>
</cp:coreProperties>
</file>