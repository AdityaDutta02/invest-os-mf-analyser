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 &amp; Mid Cap" sheetId="1" state="visible" r:id="rId1"/>
    <sheet name="RG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1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color theme="1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165" fontId="5" fillId="0" borderId="5" applyAlignment="1" pivotButton="0" quotePrefix="0" xfId="0">
      <alignment horizontal="right" vertical="top" wrapText="1"/>
    </xf>
    <xf numFmtId="0" fontId="5" fillId="0" borderId="5" applyAlignment="1" pivotButton="0" quotePrefix="0" xfId="0">
      <alignment horizontal="right" vertical="top" wrapText="1"/>
    </xf>
    <xf numFmtId="0" fontId="6" fillId="0" borderId="0" applyAlignment="1" applyProtection="1" pivotButton="0" quotePrefix="0" xfId="0">
      <alignment wrapText="1"/>
      <protection locked="0" hidden="0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7" fillId="0" borderId="0" pivotButton="0" quotePrefix="0" xfId="0"/>
    <xf numFmtId="2" fontId="3" fillId="0" borderId="0" pivotButton="0" quotePrefix="0" xfId="0"/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10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8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10" fillId="0" borderId="19" applyAlignment="1" pivotButton="0" quotePrefix="0" xfId="0">
      <alignment horizontal="left" vertical="top" wrapText="1"/>
    </xf>
    <xf numFmtId="166" fontId="10" fillId="0" borderId="19" applyAlignment="1" pivotButton="0" quotePrefix="0" xfId="0">
      <alignment horizontal="right" vertical="top" wrapText="1"/>
    </xf>
    <xf numFmtId="166" fontId="9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92</row>
      <rowOff>0</rowOff>
    </from>
    <to>
      <col>1</col>
      <colOff>2857500</colOff>
      <row>102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161861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92</row>
      <rowOff>0</rowOff>
    </from>
    <to>
      <col>7</col>
      <colOff>641350</colOff>
      <row>102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161861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RGF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Large &amp; Mid Cap Fund
(Large &amp; Mid Cap Fund - An open ended equity scheme investing in both large cap and mid cap stocks)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MAHE01</t>
        </is>
      </c>
      <c r="B8" s="12" t="inlineStr">
        <is>
          <t>Max Healthcare Institute Limited</t>
        </is>
      </c>
      <c r="C8" s="13" t="inlineStr">
        <is>
          <t>INE027H01010</t>
        </is>
      </c>
      <c r="D8" s="9" t="inlineStr">
        <is>
          <t>Healthcare Services</t>
        </is>
      </c>
      <c r="E8" s="14" t="n">
        <v>7118724</v>
      </c>
      <c r="F8" s="15" t="n">
        <v>68702.81</v>
      </c>
      <c r="G8" s="15" t="n">
        <v>6.77</v>
      </c>
      <c r="H8" s="16" t="n"/>
    </row>
    <row r="9" ht="13" customHeight="1">
      <c r="A9" s="1" t="inlineStr">
        <is>
          <t>ZMPL01</t>
        </is>
      </c>
      <c r="B9" s="12" t="inlineStr">
        <is>
          <t>Eternal Limited</t>
        </is>
      </c>
      <c r="C9" s="13" t="inlineStr">
        <is>
          <t>INE758T01015</t>
        </is>
      </c>
      <c r="D9" s="9" t="inlineStr">
        <is>
          <t>Retailing</t>
        </is>
      </c>
      <c r="E9" s="14" t="n">
        <v>27307479</v>
      </c>
      <c r="F9" s="15" t="n">
        <v>68427.08</v>
      </c>
      <c r="G9" s="15" t="n">
        <v>6.74</v>
      </c>
      <c r="H9" s="16" t="n"/>
    </row>
    <row r="10" ht="13" customHeight="1">
      <c r="A10" s="1" t="inlineStr">
        <is>
          <t>INAV01</t>
        </is>
      </c>
      <c r="B10" s="12" t="inlineStr">
        <is>
          <t>InterGlobe Aviation Limited</t>
        </is>
      </c>
      <c r="C10" s="13" t="inlineStr">
        <is>
          <t>INE646L01027</t>
        </is>
      </c>
      <c r="D10" s="9" t="inlineStr">
        <is>
          <t>Transport Services</t>
        </is>
      </c>
      <c r="E10" s="14" t="n">
        <v>1484863</v>
      </c>
      <c r="F10" s="15" t="n">
        <v>65408.22</v>
      </c>
      <c r="G10" s="15" t="n">
        <v>6.44</v>
      </c>
      <c r="H10" s="16" t="n"/>
    </row>
    <row r="11" ht="13" customHeight="1">
      <c r="A11" s="1" t="inlineStr">
        <is>
          <t>IBCL05</t>
        </is>
      </c>
      <c r="B11" s="12" t="inlineStr">
        <is>
          <t>ICICI Bank Limited</t>
        </is>
      </c>
      <c r="C11" s="13" t="inlineStr">
        <is>
          <t>INE090A01021</t>
        </is>
      </c>
      <c r="D11" s="9" t="inlineStr">
        <is>
          <t>Banks</t>
        </is>
      </c>
      <c r="E11" s="14" t="n">
        <v>5141398</v>
      </c>
      <c r="F11" s="15" t="n">
        <v>64596.52</v>
      </c>
      <c r="G11" s="15" t="n">
        <v>6.36</v>
      </c>
      <c r="H11" s="16" t="n"/>
    </row>
    <row r="12" ht="13" customHeight="1">
      <c r="A12" s="1" t="inlineStr">
        <is>
          <t>SAPH01</t>
        </is>
      </c>
      <c r="B12" s="12" t="inlineStr">
        <is>
          <t>Sai Life Sciences Limited</t>
        </is>
      </c>
      <c r="C12" s="13" t="inlineStr">
        <is>
          <t>INE570L01029</t>
        </is>
      </c>
      <c r="D12" s="9" t="inlineStr">
        <is>
          <t>Pharmaceuticals &amp; Biotechnology</t>
        </is>
      </c>
      <c r="E12" s="14" t="n">
        <v>4283799</v>
      </c>
      <c r="F12" s="15" t="n">
        <v>49692.07</v>
      </c>
      <c r="G12" s="15" t="n">
        <v>4.89</v>
      </c>
      <c r="H12" s="16" t="n"/>
    </row>
    <row r="13" ht="13" customHeight="1">
      <c r="A13" s="1" t="inlineStr">
        <is>
          <t>LAKM02</t>
        </is>
      </c>
      <c r="B13" s="12" t="inlineStr">
        <is>
          <t>Trent Limited</t>
        </is>
      </c>
      <c r="C13" s="13" t="inlineStr">
        <is>
          <t>INE849A01020</t>
        </is>
      </c>
      <c r="D13" s="9" t="inlineStr">
        <is>
          <t>Retailing</t>
        </is>
      </c>
      <c r="E13" s="14" t="n">
        <v>1089122</v>
      </c>
      <c r="F13" s="15" t="n">
        <v>46004.51</v>
      </c>
      <c r="G13" s="15" t="n">
        <v>4.53</v>
      </c>
      <c r="H13" s="16" t="n"/>
    </row>
    <row r="14" ht="13" customHeight="1">
      <c r="A14" s="1" t="inlineStr">
        <is>
          <t>PREP01</t>
        </is>
      </c>
      <c r="B14" s="12" t="inlineStr">
        <is>
          <t>Prestige Estates Projects Limited</t>
        </is>
      </c>
      <c r="C14" s="13" t="inlineStr">
        <is>
          <t>INE811K01011</t>
        </is>
      </c>
      <c r="D14" s="9" t="inlineStr">
        <is>
          <t>Realty</t>
        </is>
      </c>
      <c r="E14" s="14" t="n">
        <v>3304450</v>
      </c>
      <c r="F14" s="15" t="n">
        <v>45244.53</v>
      </c>
      <c r="G14" s="15" t="n">
        <v>4.46</v>
      </c>
      <c r="H14" s="16" t="n"/>
    </row>
    <row r="15" ht="13" customHeight="1">
      <c r="A15" s="1" t="inlineStr">
        <is>
          <t>ASEA02</t>
        </is>
      </c>
      <c r="B15" s="12" t="inlineStr">
        <is>
          <t>ABB India Limited</t>
        </is>
      </c>
      <c r="C15" s="13" t="inlineStr">
        <is>
          <t>INE117A01022</t>
        </is>
      </c>
      <c r="D15" s="9" t="inlineStr">
        <is>
          <t>Electrical Equipment</t>
        </is>
      </c>
      <c r="E15" s="14" t="n">
        <v>608622</v>
      </c>
      <c r="F15" s="15" t="n">
        <v>44143.35</v>
      </c>
      <c r="G15" s="15" t="n">
        <v>4.35</v>
      </c>
      <c r="H15" s="16" t="n"/>
    </row>
    <row r="16" ht="13" customHeight="1">
      <c r="A16" s="1" t="inlineStr">
        <is>
          <t>BSEL02</t>
        </is>
      </c>
      <c r="B16" s="12" t="inlineStr">
        <is>
          <t>BSE Limited</t>
        </is>
      </c>
      <c r="C16" s="13" t="inlineStr">
        <is>
          <t>INE118H01025</t>
        </is>
      </c>
      <c r="D16" s="9" t="inlineStr">
        <is>
          <t>Capital Markets</t>
        </is>
      </c>
      <c r="E16" s="14" t="n">
        <v>955364</v>
      </c>
      <c r="F16" s="15" t="n">
        <v>39610.35</v>
      </c>
      <c r="G16" s="15" t="n">
        <v>3.9</v>
      </c>
      <c r="H16" s="16" t="n"/>
    </row>
    <row r="17" ht="13" customHeight="1">
      <c r="A17" s="1" t="inlineStr">
        <is>
          <t>LTFL01</t>
        </is>
      </c>
      <c r="B17" s="12" t="inlineStr">
        <is>
          <t>L&amp;T Finance Limited</t>
        </is>
      </c>
      <c r="C17" s="13" t="inlineStr">
        <is>
          <t>INE498L01015</t>
        </is>
      </c>
      <c r="D17" s="9" t="inlineStr">
        <is>
          <t>Finance</t>
        </is>
      </c>
      <c r="E17" s="14" t="n">
        <v>11339315</v>
      </c>
      <c r="F17" s="15" t="n">
        <v>32498.48</v>
      </c>
      <c r="G17" s="15" t="n">
        <v>3.2</v>
      </c>
      <c r="H17" s="16" t="n"/>
    </row>
    <row r="18" ht="13" customHeight="1">
      <c r="A18" s="1" t="inlineStr">
        <is>
          <t>FEBA02</t>
        </is>
      </c>
      <c r="B18" s="12" t="inlineStr">
        <is>
          <t>The Federal Bank  Limited</t>
        </is>
      </c>
      <c r="C18" s="13" t="inlineStr">
        <is>
          <t>INE171A01029</t>
        </is>
      </c>
      <c r="D18" s="9" t="inlineStr">
        <is>
          <t>Banks</t>
        </is>
      </c>
      <c r="E18" s="14" t="n">
        <v>10987013</v>
      </c>
      <c r="F18" s="15" t="n">
        <v>31746.97</v>
      </c>
      <c r="G18" s="15" t="n">
        <v>3.13</v>
      </c>
      <c r="H18" s="16" t="n"/>
    </row>
    <row r="19" ht="13" customHeight="1">
      <c r="A19" s="1" t="inlineStr">
        <is>
          <t>GLPH03</t>
        </is>
      </c>
      <c r="B19" s="12" t="inlineStr">
        <is>
          <t>Glenmark Pharmaceuticals Limited</t>
        </is>
      </c>
      <c r="C19" s="13" t="inlineStr">
        <is>
          <t>INE935A01035</t>
        </is>
      </c>
      <c r="D19" s="9" t="inlineStr">
        <is>
          <t>Pharmaceuticals &amp; Biotechnology</t>
        </is>
      </c>
      <c r="E19" s="14" t="n">
        <v>1342939</v>
      </c>
      <c r="F19" s="15" t="n">
        <v>30550.52</v>
      </c>
      <c r="G19" s="15" t="n">
        <v>3.01</v>
      </c>
      <c r="H19" s="16" t="n"/>
    </row>
    <row r="20" ht="13" customHeight="1">
      <c r="A20" s="1" t="inlineStr">
        <is>
          <t>ADTH01</t>
        </is>
      </c>
      <c r="B20" s="12" t="inlineStr">
        <is>
          <t>Aditya Infotech Limited</t>
        </is>
      </c>
      <c r="C20" s="13" t="inlineStr">
        <is>
          <t>INE819V01029</t>
        </is>
      </c>
      <c r="D20" s="9" t="inlineStr">
        <is>
          <t>Industrial Manufacturing</t>
        </is>
      </c>
      <c r="E20" s="14" t="n">
        <v>1028145</v>
      </c>
      <c r="F20" s="15" t="n">
        <v>29852.19</v>
      </c>
      <c r="G20" s="15" t="n">
        <v>2.94</v>
      </c>
      <c r="H20" s="16" t="n"/>
    </row>
    <row r="21" ht="13" customHeight="1">
      <c r="A21" s="1" t="inlineStr">
        <is>
          <t>AMBE01</t>
        </is>
      </c>
      <c r="B21" s="12" t="inlineStr">
        <is>
          <t>Amber Enterprises India Limited</t>
        </is>
      </c>
      <c r="C21" s="13" t="inlineStr">
        <is>
          <t>INE371P01015</t>
        </is>
      </c>
      <c r="D21" s="9" t="inlineStr">
        <is>
          <t>Consumer Durables</t>
        </is>
      </c>
      <c r="E21" s="14" t="n">
        <v>376065</v>
      </c>
      <c r="F21" s="15" t="n">
        <v>28637.35</v>
      </c>
      <c r="G21" s="15" t="n">
        <v>2.82</v>
      </c>
      <c r="H21" s="16" t="n"/>
    </row>
    <row r="22" ht="13" customHeight="1">
      <c r="A22" s="1" t="inlineStr">
        <is>
          <t>AFPL02</t>
        </is>
      </c>
      <c r="B22" s="12" t="inlineStr">
        <is>
          <t>AU Small Finance Bank Limited</t>
        </is>
      </c>
      <c r="C22" s="13" t="inlineStr">
        <is>
          <t>INE949L01017</t>
        </is>
      </c>
      <c r="D22" s="9" t="inlineStr">
        <is>
          <t>Banks</t>
        </is>
      </c>
      <c r="E22" s="14" t="n">
        <v>2885189</v>
      </c>
      <c r="F22" s="15" t="n">
        <v>28410.46</v>
      </c>
      <c r="G22" s="15" t="n">
        <v>2.8</v>
      </c>
      <c r="H22" s="16" t="n"/>
    </row>
    <row r="23" ht="13" customHeight="1">
      <c r="A23" s="1" t="inlineStr">
        <is>
          <t>IIBL01</t>
        </is>
      </c>
      <c r="B23" s="12" t="inlineStr">
        <is>
          <t>IndusInd Bank Limited ^^^</t>
        </is>
      </c>
      <c r="C23" s="13" t="inlineStr">
        <is>
          <t>INE095A01012</t>
        </is>
      </c>
      <c r="D23" s="9" t="inlineStr">
        <is>
          <t>Banks</t>
        </is>
      </c>
      <c r="E23" s="14" t="n">
        <v>2943272</v>
      </c>
      <c r="F23" s="15" t="n">
        <v>26911.81</v>
      </c>
      <c r="G23" s="15" t="n">
        <v>2.65</v>
      </c>
      <c r="H23" s="16" t="n"/>
    </row>
    <row r="24" ht="13" customHeight="1">
      <c r="A24" s="1" t="inlineStr">
        <is>
          <t>CHOL02</t>
        </is>
      </c>
      <c r="B24" s="12" t="inlineStr">
        <is>
          <t>Cholamandalam Investment and Finance Company Limited</t>
        </is>
      </c>
      <c r="C24" s="13" t="inlineStr">
        <is>
          <t>INE121A01024</t>
        </is>
      </c>
      <c r="D24" s="9" t="inlineStr">
        <is>
          <t>Finance</t>
        </is>
      </c>
      <c r="E24" s="14" t="n">
        <v>1632560</v>
      </c>
      <c r="F24" s="15" t="n">
        <v>25103.88</v>
      </c>
      <c r="G24" s="15" t="n">
        <v>2.47</v>
      </c>
      <c r="H24" s="16" t="n"/>
    </row>
    <row r="25" ht="13" customHeight="1">
      <c r="A25" s="1" t="inlineStr">
        <is>
          <t>SRFL01</t>
        </is>
      </c>
      <c r="B25" s="12" t="inlineStr">
        <is>
          <t>SRF Limited</t>
        </is>
      </c>
      <c r="C25" s="13" t="inlineStr">
        <is>
          <t>INE647A01010</t>
        </is>
      </c>
      <c r="D25" s="9" t="inlineStr">
        <is>
          <t>Chemicals &amp; Petrochemicals</t>
        </is>
      </c>
      <c r="E25" s="14" t="n">
        <v>799442</v>
      </c>
      <c r="F25" s="15" t="n">
        <v>21711.25</v>
      </c>
      <c r="G25" s="15" t="n">
        <v>2.14</v>
      </c>
      <c r="H25" s="16" t="n"/>
    </row>
    <row r="26" ht="13" customHeight="1">
      <c r="A26" s="1" t="inlineStr">
        <is>
          <t>JKCE01</t>
        </is>
      </c>
      <c r="B26" s="12" t="inlineStr">
        <is>
          <t>JK Cement Limited</t>
        </is>
      </c>
      <c r="C26" s="13" t="inlineStr">
        <is>
          <t>INE823G01014</t>
        </is>
      </c>
      <c r="D26" s="9" t="inlineStr">
        <is>
          <t>Cement &amp; Cement Products</t>
        </is>
      </c>
      <c r="E26" s="14" t="n">
        <v>411308</v>
      </c>
      <c r="F26" s="15" t="n">
        <v>21268.74</v>
      </c>
      <c r="G26" s="15" t="n">
        <v>2.09</v>
      </c>
      <c r="H26" s="16" t="n"/>
    </row>
    <row r="27" ht="13" customHeight="1">
      <c r="A27" s="1" t="inlineStr">
        <is>
          <t>GHPL01</t>
        </is>
      </c>
      <c r="B27" s="12" t="inlineStr">
        <is>
          <t>Global Health Limited</t>
        </is>
      </c>
      <c r="C27" s="13" t="inlineStr">
        <is>
          <t>INE474Q01031</t>
        </is>
      </c>
      <c r="D27" s="9" t="inlineStr">
        <is>
          <t>Healthcare Services</t>
        </is>
      </c>
      <c r="E27" s="14" t="n">
        <v>1704265</v>
      </c>
      <c r="F27" s="15" t="n">
        <v>20263.71</v>
      </c>
      <c r="G27" s="15" t="n">
        <v>2</v>
      </c>
      <c r="H27" s="16" t="n"/>
    </row>
    <row r="28" ht="13" customHeight="1">
      <c r="A28" s="1" t="inlineStr">
        <is>
          <t>APLI04</t>
        </is>
      </c>
      <c r="B28" s="12" t="inlineStr">
        <is>
          <t>Hexaware Technologies Limited</t>
        </is>
      </c>
      <c r="C28" s="13" t="inlineStr">
        <is>
          <t>INE093A01041</t>
        </is>
      </c>
      <c r="D28" s="9" t="inlineStr">
        <is>
          <t>IT - Software</t>
        </is>
      </c>
      <c r="E28" s="14" t="n">
        <v>3688812</v>
      </c>
      <c r="F28" s="15" t="n">
        <v>18739.16</v>
      </c>
      <c r="G28" s="15" t="n">
        <v>1.85</v>
      </c>
      <c r="H28" s="16" t="n"/>
    </row>
    <row r="29" ht="13" customHeight="1">
      <c r="A29" s="1" t="inlineStr">
        <is>
          <t>KIMS02</t>
        </is>
      </c>
      <c r="B29" s="12" t="inlineStr">
        <is>
          <t>Krishna Institute Of Medical Sciences Limited</t>
        </is>
      </c>
      <c r="C29" s="13" t="inlineStr">
        <is>
          <t>INE967H01025</t>
        </is>
      </c>
      <c r="D29" s="9" t="inlineStr">
        <is>
          <t>Healthcare Services</t>
        </is>
      </c>
      <c r="E29" s="14" t="n">
        <v>2439026</v>
      </c>
      <c r="F29" s="15" t="n">
        <v>18508.55</v>
      </c>
      <c r="G29" s="15" t="n">
        <v>1.82</v>
      </c>
      <c r="H29" s="16" t="n"/>
    </row>
    <row r="30" ht="13" customHeight="1">
      <c r="A30" s="1" t="inlineStr">
        <is>
          <t>BTVL02</t>
        </is>
      </c>
      <c r="B30" s="12" t="inlineStr">
        <is>
          <t>Bharti Airtel Limited</t>
        </is>
      </c>
      <c r="C30" s="13" t="inlineStr">
        <is>
          <t>INE397D01024</t>
        </is>
      </c>
      <c r="D30" s="9" t="inlineStr">
        <is>
          <t>Telecom - Services</t>
        </is>
      </c>
      <c r="E30" s="14" t="n">
        <v>949730</v>
      </c>
      <c r="F30" s="15" t="n">
        <v>17370.56</v>
      </c>
      <c r="G30" s="15" t="n">
        <v>1.71</v>
      </c>
      <c r="H30" s="16" t="n"/>
    </row>
    <row r="31" ht="13" customHeight="1">
      <c r="A31" s="1" t="inlineStr">
        <is>
          <t>MAXI02</t>
        </is>
      </c>
      <c r="B31" s="12" t="inlineStr">
        <is>
          <t>Max Financial Services Limited</t>
        </is>
      </c>
      <c r="C31" s="13" t="inlineStr">
        <is>
          <t>INE180A01020</t>
        </is>
      </c>
      <c r="D31" s="9" t="inlineStr">
        <is>
          <t>Insurance</t>
        </is>
      </c>
      <c r="E31" s="14" t="n">
        <v>1030734</v>
      </c>
      <c r="F31" s="15" t="n">
        <v>17254.49</v>
      </c>
      <c r="G31" s="15" t="n">
        <v>1.7</v>
      </c>
      <c r="H31" s="16" t="n"/>
    </row>
    <row r="32" ht="13" customHeight="1">
      <c r="A32" s="1" t="inlineStr">
        <is>
          <t>BLTE01</t>
        </is>
      </c>
      <c r="B32" s="12" t="inlineStr">
        <is>
          <t>Swiggy Limited</t>
        </is>
      </c>
      <c r="C32" s="13" t="inlineStr">
        <is>
          <t>INE00H001014</t>
        </is>
      </c>
      <c r="D32" s="9" t="inlineStr">
        <is>
          <t>Retailing</t>
        </is>
      </c>
      <c r="E32" s="14" t="n">
        <v>6267553</v>
      </c>
      <c r="F32" s="15" t="n">
        <v>16164.02</v>
      </c>
      <c r="G32" s="15" t="n">
        <v>1.59</v>
      </c>
      <c r="H32" s="16" t="n"/>
    </row>
    <row r="33" ht="13" customHeight="1">
      <c r="A33" s="1" t="inlineStr">
        <is>
          <t>ULCC01</t>
        </is>
      </c>
      <c r="B33" s="12" t="inlineStr">
        <is>
          <t>UltraTech Cement Limited</t>
        </is>
      </c>
      <c r="C33" s="13" t="inlineStr">
        <is>
          <t>INE481G01011</t>
        </is>
      </c>
      <c r="D33" s="9" t="inlineStr">
        <is>
          <t>Cement &amp; Cement Products</t>
        </is>
      </c>
      <c r="E33" s="14" t="n">
        <v>123851</v>
      </c>
      <c r="F33" s="15" t="n">
        <v>14220.57</v>
      </c>
      <c r="G33" s="15" t="n">
        <v>1.4</v>
      </c>
      <c r="H33" s="16" t="n"/>
    </row>
    <row r="34" ht="13" customHeight="1">
      <c r="A34" s="1" t="inlineStr">
        <is>
          <t>TOPL01</t>
        </is>
      </c>
      <c r="B34" s="12" t="inlineStr">
        <is>
          <t>Torrent Power Limited</t>
        </is>
      </c>
      <c r="C34" s="13" t="inlineStr">
        <is>
          <t>INE813H01021</t>
        </is>
      </c>
      <c r="D34" s="9" t="inlineStr">
        <is>
          <t>Power</t>
        </is>
      </c>
      <c r="E34" s="14" t="n">
        <v>976059</v>
      </c>
      <c r="F34" s="15" t="n">
        <v>13862.97</v>
      </c>
      <c r="G34" s="15" t="n">
        <v>1.37</v>
      </c>
      <c r="H34" s="16" t="n"/>
    </row>
    <row r="35" ht="13" customHeight="1">
      <c r="A35" s="1" t="inlineStr">
        <is>
          <t>PHMI02</t>
        </is>
      </c>
      <c r="B35" s="12" t="inlineStr">
        <is>
          <t>The Phoenix Mills Limited</t>
        </is>
      </c>
      <c r="C35" s="13" t="inlineStr">
        <is>
          <t>INE211B01039</t>
        </is>
      </c>
      <c r="D35" s="9" t="inlineStr">
        <is>
          <t>Realty</t>
        </is>
      </c>
      <c r="E35" s="14" t="n">
        <v>774088</v>
      </c>
      <c r="F35" s="15" t="n">
        <v>13710.65</v>
      </c>
      <c r="G35" s="15" t="n">
        <v>1.35</v>
      </c>
      <c r="H35" s="16" t="n"/>
    </row>
    <row r="36" ht="13" customHeight="1">
      <c r="A36" s="1" t="inlineStr">
        <is>
          <t>TIIN01</t>
        </is>
      </c>
      <c r="B36" s="12" t="inlineStr">
        <is>
          <t>Timken India Limited</t>
        </is>
      </c>
      <c r="C36" s="13" t="inlineStr">
        <is>
          <t>INE325A01013</t>
        </is>
      </c>
      <c r="D36" s="9" t="inlineStr">
        <is>
          <t>Industrial Products</t>
        </is>
      </c>
      <c r="E36" s="14" t="n">
        <v>366420</v>
      </c>
      <c r="F36" s="15" t="n">
        <v>13302.51</v>
      </c>
      <c r="G36" s="15" t="n">
        <v>1.31</v>
      </c>
      <c r="H36" s="16" t="n"/>
    </row>
    <row r="37" ht="13" customHeight="1">
      <c r="A37" s="1" t="inlineStr">
        <is>
          <t>ETHO01</t>
        </is>
      </c>
      <c r="B37" s="12" t="inlineStr">
        <is>
          <t>Ethos Ltd.</t>
        </is>
      </c>
      <c r="C37" s="13" t="inlineStr">
        <is>
          <t>INE04TZ01018</t>
        </is>
      </c>
      <c r="D37" s="9" t="inlineStr">
        <is>
          <t>Consumer Durables</t>
        </is>
      </c>
      <c r="E37" s="14" t="n">
        <v>455674</v>
      </c>
      <c r="F37" s="15" t="n">
        <v>10851.88</v>
      </c>
      <c r="G37" s="15" t="n">
        <v>1.07</v>
      </c>
      <c r="H37" s="16" t="n"/>
    </row>
    <row r="38" ht="13" customHeight="1">
      <c r="A38" s="1" t="inlineStr">
        <is>
          <t>CARU03</t>
        </is>
      </c>
      <c r="B38" s="12" t="inlineStr">
        <is>
          <t>Carborundum Universal Limited</t>
        </is>
      </c>
      <c r="C38" s="13" t="inlineStr">
        <is>
          <t>INE120A01034</t>
        </is>
      </c>
      <c r="D38" s="9" t="inlineStr">
        <is>
          <t>Industrial Products</t>
        </is>
      </c>
      <c r="E38" s="14" t="n">
        <v>1001110</v>
      </c>
      <c r="F38" s="15" t="n">
        <v>10301.92</v>
      </c>
      <c r="G38" s="15" t="n">
        <v>1.01</v>
      </c>
      <c r="H38" s="16" t="n"/>
    </row>
    <row r="39" ht="13" customHeight="1">
      <c r="A39" s="1" t="inlineStr">
        <is>
          <t>SOSO03</t>
        </is>
      </c>
      <c r="B39" s="12" t="inlineStr">
        <is>
          <t>Sonata Software Limited</t>
        </is>
      </c>
      <c r="C39" s="13" t="inlineStr">
        <is>
          <t>INE269A01021</t>
        </is>
      </c>
      <c r="D39" s="9" t="inlineStr">
        <is>
          <t>IT - Software</t>
        </is>
      </c>
      <c r="E39" s="14" t="n">
        <v>3293854</v>
      </c>
      <c r="F39" s="15" t="n">
        <v>8732.01</v>
      </c>
      <c r="G39" s="15" t="n">
        <v>0.86</v>
      </c>
      <c r="H39" s="16" t="n"/>
    </row>
    <row r="40" ht="13" customHeight="1">
      <c r="A40" s="1" t="inlineStr">
        <is>
          <t>MEST01</t>
        </is>
      </c>
      <c r="B40" s="12" t="inlineStr">
        <is>
          <t>Max Estates Limited</t>
        </is>
      </c>
      <c r="C40" s="13" t="inlineStr">
        <is>
          <t>INE03EI01018</t>
        </is>
      </c>
      <c r="D40" s="9" t="inlineStr">
        <is>
          <t>Realty</t>
        </is>
      </c>
      <c r="E40" s="14" t="n">
        <v>1609854</v>
      </c>
      <c r="F40" s="15" t="n">
        <v>7147.75</v>
      </c>
      <c r="G40" s="15" t="n">
        <v>0.7</v>
      </c>
      <c r="H40" s="16" t="n"/>
    </row>
    <row r="41" ht="13" customHeight="1">
      <c r="A41" s="1" t="inlineStr">
        <is>
          <t>SODL01</t>
        </is>
      </c>
      <c r="B41" s="12" t="inlineStr">
        <is>
          <t>Sobha Limited</t>
        </is>
      </c>
      <c r="C41" s="13" t="inlineStr">
        <is>
          <t>INE671H01015</t>
        </is>
      </c>
      <c r="D41" s="9" t="inlineStr">
        <is>
          <t>Realty</t>
        </is>
      </c>
      <c r="E41" s="14" t="n">
        <v>497233</v>
      </c>
      <c r="F41" s="15" t="n">
        <v>7050.76</v>
      </c>
      <c r="G41" s="15" t="n">
        <v>0.6899999999999999</v>
      </c>
      <c r="H41" s="16" t="n"/>
    </row>
    <row r="42" ht="13" customHeight="1">
      <c r="A42" s="1" t="inlineStr">
        <is>
          <t>CRAF01</t>
        </is>
      </c>
      <c r="B42" s="12" t="inlineStr">
        <is>
          <t>Craftsman Automation Limited</t>
        </is>
      </c>
      <c r="C42" s="13" t="inlineStr">
        <is>
          <t>INE00LO01017</t>
        </is>
      </c>
      <c r="D42" s="9" t="inlineStr">
        <is>
          <t>Auto Components</t>
        </is>
      </c>
      <c r="E42" s="14" t="n">
        <v>70000</v>
      </c>
      <c r="F42" s="15" t="n">
        <v>6351.8</v>
      </c>
      <c r="G42" s="15" t="n">
        <v>0.63</v>
      </c>
      <c r="H42" s="16" t="n"/>
    </row>
    <row r="43" ht="13" customHeight="1">
      <c r="A43" s="1" t="inlineStr">
        <is>
          <t>GRIN02</t>
        </is>
      </c>
      <c r="B43" s="12" t="inlineStr">
        <is>
          <t>Grindwell Norton Limited</t>
        </is>
      </c>
      <c r="C43" s="13" t="inlineStr">
        <is>
          <t>INE536A01023</t>
        </is>
      </c>
      <c r="D43" s="9" t="inlineStr">
        <is>
          <t>Industrial Products</t>
        </is>
      </c>
      <c r="E43" s="14" t="n">
        <v>326542</v>
      </c>
      <c r="F43" s="15" t="n">
        <v>6007.72</v>
      </c>
      <c r="G43" s="15" t="n">
        <v>0.59</v>
      </c>
      <c r="H43" s="16" t="n"/>
    </row>
    <row r="44" ht="13" customHeight="1">
      <c r="A44" s="1" t="inlineStr">
        <is>
          <t>BWIN01</t>
        </is>
      </c>
      <c r="B44" s="12" t="inlineStr">
        <is>
          <t>Bansal Wire Industries Limited</t>
        </is>
      </c>
      <c r="C44" s="13" t="inlineStr">
        <is>
          <t>INE0B9K01025</t>
        </is>
      </c>
      <c r="D44" s="9" t="inlineStr">
        <is>
          <t>Industrial Products</t>
        </is>
      </c>
      <c r="E44" s="14" t="n">
        <v>1842705</v>
      </c>
      <c r="F44" s="15" t="n">
        <v>5864.41</v>
      </c>
      <c r="G44" s="15" t="n">
        <v>0.58</v>
      </c>
      <c r="H44" s="16" t="n"/>
    </row>
    <row r="45" ht="13" customHeight="1">
      <c r="A45" s="1" t="inlineStr">
        <is>
          <t>CORE01</t>
        </is>
      </c>
      <c r="B45" s="12" t="inlineStr">
        <is>
          <t>Corona Remedies Limited</t>
        </is>
      </c>
      <c r="C45" s="13" t="inlineStr">
        <is>
          <t>INE02ZQ01018</t>
        </is>
      </c>
      <c r="D45" s="9" t="inlineStr">
        <is>
          <t>Pharmaceuticals &amp; Biotechnology</t>
        </is>
      </c>
      <c r="E45" s="14" t="n">
        <v>250208</v>
      </c>
      <c r="F45" s="15" t="n">
        <v>4195.24</v>
      </c>
      <c r="G45" s="15" t="n">
        <v>0.41</v>
      </c>
      <c r="H45" s="16" t="n"/>
    </row>
    <row r="46" ht="13" customHeight="1">
      <c r="A46" s="1" t="inlineStr">
        <is>
          <t>WIML01</t>
        </is>
      </c>
      <c r="B46" s="12" t="inlineStr">
        <is>
          <t>Wework India Management Limited</t>
        </is>
      </c>
      <c r="C46" s="13" t="inlineStr">
        <is>
          <t>INE085001019</t>
        </is>
      </c>
      <c r="D46" s="9" t="inlineStr">
        <is>
          <t>Commercial Services &amp; Supplies</t>
        </is>
      </c>
      <c r="E46" s="14" t="n">
        <v>669835</v>
      </c>
      <c r="F46" s="15" t="n">
        <v>4024.37</v>
      </c>
      <c r="G46" s="15" t="n">
        <v>0.4</v>
      </c>
      <c r="H46" s="16" t="n"/>
    </row>
    <row r="47" ht="13" customHeight="1">
      <c r="A47" s="1" t="inlineStr">
        <is>
          <t>SAFI02</t>
        </is>
      </c>
      <c r="B47" s="12" t="inlineStr">
        <is>
          <t>Safari Industries (India) Limited</t>
        </is>
      </c>
      <c r="C47" s="13" t="inlineStr">
        <is>
          <t>INE429E01023</t>
        </is>
      </c>
      <c r="D47" s="9" t="inlineStr">
        <is>
          <t>Consumer Durables</t>
        </is>
      </c>
      <c r="E47" s="14" t="n">
        <v>217362</v>
      </c>
      <c r="F47" s="15" t="n">
        <v>3268.47</v>
      </c>
      <c r="G47" s="15" t="n">
        <v>0.32</v>
      </c>
      <c r="H47" s="16" t="n"/>
    </row>
    <row r="48" ht="13" customHeight="1">
      <c r="A48" s="1" t="inlineStr">
        <is>
          <t>FSNE01</t>
        </is>
      </c>
      <c r="B48" s="12" t="inlineStr">
        <is>
          <t>FSN E-Commerce Ventures Limited</t>
        </is>
      </c>
      <c r="C48" s="13" t="inlineStr">
        <is>
          <t>INE388Y01029</t>
        </is>
      </c>
      <c r="D48" s="9" t="inlineStr">
        <is>
          <t>Retailing</t>
        </is>
      </c>
      <c r="E48" s="14" t="n">
        <v>650000</v>
      </c>
      <c r="F48" s="15" t="n">
        <v>1704.95</v>
      </c>
      <c r="G48" s="15" t="n">
        <v>0.17</v>
      </c>
      <c r="H48" s="16" t="n"/>
    </row>
    <row r="49" ht="13" customHeight="1">
      <c r="A49" s="3" t="n"/>
      <c r="B49" s="8" t="inlineStr">
        <is>
          <t>Sub Total</t>
        </is>
      </c>
      <c r="C49" s="9" t="n"/>
      <c r="D49" s="9" t="n"/>
      <c r="E49" s="9" t="n"/>
      <c r="F49" s="17">
        <f>SUM(F8:F48)</f>
        <v/>
      </c>
      <c r="G49" s="17">
        <f>SUM(G8:G48)</f>
        <v/>
      </c>
      <c r="H49" s="18" t="n"/>
    </row>
    <row r="50" ht="13" customHeight="1">
      <c r="A50" s="3" t="n"/>
      <c r="B50" s="19" t="inlineStr">
        <is>
          <t>(b) Unlisted</t>
        </is>
      </c>
      <c r="C50" s="20" t="n"/>
      <c r="D50" s="20" t="n"/>
      <c r="E50" s="21" t="n"/>
      <c r="F50" s="22" t="inlineStr">
        <is>
          <t>Nil</t>
        </is>
      </c>
      <c r="G50" s="22" t="inlineStr">
        <is>
          <t>Nil</t>
        </is>
      </c>
      <c r="H50" s="23" t="inlineStr">
        <is>
          <t>Nil</t>
        </is>
      </c>
    </row>
    <row r="51" ht="13" customHeight="1">
      <c r="A51" s="3" t="n"/>
      <c r="B51" s="24" t="inlineStr">
        <is>
          <t>Sub Total</t>
        </is>
      </c>
      <c r="C51" s="25" t="n"/>
      <c r="D51" s="25" t="n"/>
      <c r="E51" s="22" t="n"/>
      <c r="F51" s="22" t="inlineStr">
        <is>
          <t>Nil</t>
        </is>
      </c>
      <c r="G51" s="22" t="inlineStr">
        <is>
          <t>Nil</t>
        </is>
      </c>
      <c r="H51" s="23" t="inlineStr">
        <is>
          <t>Nil</t>
        </is>
      </c>
    </row>
    <row r="52" ht="13" customHeight="1">
      <c r="A52" s="3" t="n"/>
      <c r="B52" s="19" t="inlineStr">
        <is>
          <t>Total</t>
        </is>
      </c>
      <c r="C52" s="20" t="n"/>
      <c r="D52" s="20" t="n"/>
      <c r="E52" s="26" t="n"/>
      <c r="F52" s="17" t="n">
        <v>1007419.56</v>
      </c>
      <c r="G52" s="17" t="n">
        <v>99.22</v>
      </c>
      <c r="H52" s="23" t="n"/>
    </row>
    <row r="53" ht="13" customHeight="1">
      <c r="A53" s="3" t="n"/>
      <c r="B53" s="8" t="inlineStr">
        <is>
          <t>Money Market Instruments</t>
        </is>
      </c>
      <c r="C53" s="9" t="n"/>
      <c r="D53" s="9" t="n"/>
      <c r="E53" s="9" t="n"/>
      <c r="F53" s="9" t="n"/>
      <c r="G53" s="9" t="n"/>
      <c r="H53" s="10" t="n"/>
    </row>
    <row r="54" ht="13" customHeight="1">
      <c r="A54" s="3" t="n"/>
      <c r="B54" s="8" t="inlineStr">
        <is>
          <t>TREPS / Reverse Repo</t>
        </is>
      </c>
      <c r="C54" s="11" t="n"/>
      <c r="D54" s="11" t="n"/>
      <c r="E54" s="9" t="n"/>
      <c r="F54" s="9" t="n"/>
      <c r="G54" s="9" t="n"/>
      <c r="H54" s="10" t="n"/>
    </row>
    <row r="55" ht="13" customHeight="1">
      <c r="A55" s="1" t="inlineStr">
        <is>
          <t>TRP_010626</t>
        </is>
      </c>
      <c r="B55" s="12" t="inlineStr">
        <is>
          <t>Triparty Repo</t>
        </is>
      </c>
      <c r="C55" s="13" t="n"/>
      <c r="D55" s="9" t="n"/>
      <c r="E55" s="14" t="n"/>
      <c r="F55" s="15" t="n">
        <v>8253</v>
      </c>
      <c r="G55" s="15" t="n">
        <v>0.8100000000000001</v>
      </c>
      <c r="H55" s="16" t="n">
        <v>0.05339237155</v>
      </c>
    </row>
    <row r="56" ht="13" customHeight="1">
      <c r="A56" s="3" t="n"/>
      <c r="B56" s="8" t="inlineStr">
        <is>
          <t>Sub Total</t>
        </is>
      </c>
      <c r="C56" s="9" t="n"/>
      <c r="D56" s="9" t="n"/>
      <c r="E56" s="9" t="n"/>
      <c r="F56" s="17" t="n">
        <v>8253</v>
      </c>
      <c r="G56" s="17" t="n">
        <v>0.8100000000000001</v>
      </c>
      <c r="H56" s="18" t="n"/>
    </row>
    <row r="57" ht="13" customHeight="1">
      <c r="A57" s="3" t="n"/>
      <c r="B57" s="19" t="inlineStr">
        <is>
          <t>Total</t>
        </is>
      </c>
      <c r="C57" s="20" t="n"/>
      <c r="D57" s="20" t="n"/>
      <c r="E57" s="26" t="n"/>
      <c r="F57" s="17" t="n">
        <v>8253</v>
      </c>
      <c r="G57" s="17" t="n">
        <v>0.8100000000000001</v>
      </c>
      <c r="H57" s="23" t="n"/>
    </row>
    <row r="58" ht="13" customHeight="1">
      <c r="B58" s="8" t="inlineStr">
        <is>
          <t>Preference Shares</t>
        </is>
      </c>
      <c r="C58" s="9" t="n"/>
      <c r="D58" s="9" t="n"/>
      <c r="E58" s="9" t="n"/>
      <c r="F58" s="27" t="n"/>
      <c r="G58" s="28" t="n"/>
      <c r="H58" s="18" t="n"/>
    </row>
    <row r="59" ht="13" customHeight="1">
      <c r="A59" s="1" t="inlineStr">
        <is>
          <t>SAEL21PS</t>
        </is>
      </c>
      <c r="B59" s="12" t="inlineStr">
        <is>
          <t>TVS Motor Company Limited ^^</t>
        </is>
      </c>
      <c r="C59" s="13" t="inlineStr">
        <is>
          <t>INE494B04019</t>
        </is>
      </c>
      <c r="D59" s="9" t="inlineStr">
        <is>
          <t>Automobiles</t>
        </is>
      </c>
      <c r="E59" s="14" t="n">
        <v>1682880</v>
      </c>
      <c r="F59" s="15" t="n">
        <v>174.18</v>
      </c>
      <c r="G59" s="15" t="n">
        <v>0.02</v>
      </c>
      <c r="H59" s="16" t="n"/>
    </row>
    <row r="60" ht="13" customHeight="1">
      <c r="A60" s="3" t="n"/>
      <c r="B60" s="8" t="inlineStr">
        <is>
          <t>Sub Total</t>
        </is>
      </c>
      <c r="C60" s="9" t="n"/>
      <c r="D60" s="9" t="n"/>
      <c r="E60" s="9" t="n"/>
      <c r="F60" s="17">
        <f>F59</f>
        <v/>
      </c>
      <c r="G60" s="17">
        <f>G59</f>
        <v/>
      </c>
      <c r="H60" s="18" t="n"/>
    </row>
    <row r="61" ht="13" customHeight="1">
      <c r="A61" s="29" t="n"/>
      <c r="B61" s="19" t="inlineStr">
        <is>
          <t>Total</t>
        </is>
      </c>
      <c r="C61" s="20" t="n"/>
      <c r="D61" s="20" t="n"/>
      <c r="E61" s="26" t="n"/>
      <c r="F61" s="17">
        <f>F60</f>
        <v/>
      </c>
      <c r="G61" s="17" t="n">
        <v>0.02</v>
      </c>
      <c r="H61" s="23" t="n"/>
    </row>
    <row r="62" ht="13" customHeight="1">
      <c r="A62" s="3" t="n"/>
      <c r="B62" s="19" t="inlineStr">
        <is>
          <t>Net Receivables / (Payables)</t>
        </is>
      </c>
      <c r="C62" s="20" t="n"/>
      <c r="D62" s="20" t="n"/>
      <c r="E62" s="9" t="n"/>
      <c r="F62" s="17" t="n">
        <v>-572.58</v>
      </c>
      <c r="G62" s="17" t="n">
        <v>-0.05</v>
      </c>
      <c r="H62" s="23" t="n"/>
    </row>
    <row r="63" ht="13" customHeight="1">
      <c r="A63" s="3" t="n"/>
      <c r="B63" s="30" t="inlineStr">
        <is>
          <t>GRAND TOTAL</t>
        </is>
      </c>
      <c r="C63" s="31" t="n"/>
      <c r="D63" s="31" t="n"/>
      <c r="E63" s="31" t="n"/>
      <c r="F63" s="32" t="n">
        <v>1015274.16</v>
      </c>
      <c r="G63" s="33" t="n">
        <v>100</v>
      </c>
      <c r="H63" s="34" t="n"/>
    </row>
    <row r="64" ht="13" customHeight="1">
      <c r="A64" s="3" t="n"/>
      <c r="B64" s="35" t="n"/>
      <c r="F64" s="3" t="n"/>
      <c r="G64" s="3" t="n"/>
      <c r="H64" s="3" t="n"/>
    </row>
    <row r="65" ht="13" customHeight="1">
      <c r="A65" s="3" t="n"/>
      <c r="B65" s="35" t="inlineStr">
        <is>
          <t>YTM - Yield To Maturity</t>
        </is>
      </c>
      <c r="F65" s="3" t="n"/>
      <c r="G65" s="3" t="n"/>
      <c r="H65" s="3" t="n"/>
    </row>
    <row r="66" ht="13" customHeight="1">
      <c r="A66" s="3" t="n"/>
      <c r="B66" s="35" t="inlineStr">
        <is>
          <t>*  Industry Classification is as recommended by AMFI</t>
        </is>
      </c>
      <c r="F66" s="3" t="n"/>
      <c r="G66" s="3" t="n"/>
      <c r="H66" s="3" t="n"/>
    </row>
    <row r="67" ht="13" customHeight="1">
      <c r="A67" s="3" t="n"/>
      <c r="B67" s="35" t="inlineStr">
        <is>
          <t>^^^ Associate Company / Group co.</t>
        </is>
      </c>
      <c r="F67" s="3" t="n"/>
      <c r="G67" s="3" t="n"/>
      <c r="H67" s="3" t="n"/>
    </row>
    <row r="68" ht="13" customHeight="1">
      <c r="A68" s="3" t="n"/>
      <c r="B68" s="35" t="inlineStr">
        <is>
          <t>^^ Awaiting listing</t>
        </is>
      </c>
      <c r="F68" s="3" t="n"/>
      <c r="G68" s="3" t="n"/>
      <c r="H68" s="3" t="n"/>
    </row>
    <row r="69" ht="13" customHeight="1">
      <c r="A69" s="3" t="n"/>
      <c r="B69" s="35" t="n"/>
      <c r="C69" s="35" t="n"/>
      <c r="D69" s="35" t="n"/>
      <c r="E69" s="35" t="n"/>
      <c r="F69" s="3" t="n"/>
      <c r="G69" s="3" t="n"/>
      <c r="H69" s="3" t="n"/>
    </row>
    <row r="70">
      <c r="B70" s="36" t="inlineStr">
        <is>
          <t>Notes :</t>
        </is>
      </c>
    </row>
    <row r="71">
      <c r="B71" t="inlineStr">
        <is>
          <t>(1)  Details of security in default beyond it's maturity date: Nil</t>
        </is>
      </c>
    </row>
    <row r="72">
      <c r="B72" t="inlineStr">
        <is>
          <t>(2)  Total Value and percentage of illiquid equity shares: Nil</t>
        </is>
      </c>
    </row>
    <row r="73">
      <c r="B73" t="inlineStr">
        <is>
          <t>(3)  Net Assets Value per unit (in `) are as follows:</t>
        </is>
      </c>
    </row>
    <row r="74">
      <c r="B74" t="inlineStr">
        <is>
          <t xml:space="preserve">       Plan / Option</t>
        </is>
      </c>
      <c r="C74" t="inlineStr">
        <is>
          <t>As on May 31, 2026</t>
        </is>
      </c>
      <c r="D74" t="inlineStr">
        <is>
          <t>As on April 30, 2026</t>
        </is>
      </c>
    </row>
    <row r="75">
      <c r="B75" t="inlineStr">
        <is>
          <t xml:space="preserve">       Growth Option</t>
        </is>
      </c>
      <c r="C75" s="37" t="n">
        <v>100.38</v>
      </c>
      <c r="D75" s="37" t="n">
        <v>98.29000000000001</v>
      </c>
    </row>
    <row r="76">
      <c r="B76" t="inlineStr">
        <is>
          <t xml:space="preserve">       IDCW Option</t>
        </is>
      </c>
      <c r="C76" s="37" t="n">
        <v>40.61</v>
      </c>
      <c r="D76" s="37" t="n">
        <v>39.76</v>
      </c>
    </row>
    <row r="77">
      <c r="B77" t="inlineStr">
        <is>
          <t xml:space="preserve">       Direct Plan - Growth Option</t>
        </is>
      </c>
      <c r="C77" s="37" t="n">
        <v>119.99</v>
      </c>
      <c r="D77" s="37" t="n">
        <v>117.39</v>
      </c>
    </row>
    <row r="78">
      <c r="B78" t="inlineStr">
        <is>
          <t xml:space="preserve">       Direct Plan - IDCW Option</t>
        </is>
      </c>
      <c r="C78" s="37" t="n">
        <v>51.11</v>
      </c>
      <c r="D78" s="37" t="n">
        <v>50</v>
      </c>
    </row>
    <row r="79">
      <c r="B79" t="inlineStr"/>
    </row>
    <row r="80">
      <c r="B80" t="inlineStr">
        <is>
          <t>(4)  IDCW /  Bonus declared during the month ended as on May 31, 2026: Nil</t>
        </is>
      </c>
    </row>
    <row r="81">
      <c r="B81" t="inlineStr">
        <is>
          <t>(5)  Total outstanding exposure in derivative instruments May 31, 2026: Nil</t>
        </is>
      </c>
    </row>
    <row r="82">
      <c r="B82" t="inlineStr">
        <is>
          <t>(6)  Total investments in Foreign Securities / American Depository Receipts / Global Depository Receipts / Overseas ETFs As on May 31, 2026 and its percentage to NAV : Nil</t>
        </is>
      </c>
    </row>
    <row r="83">
      <c r="B83" t="inlineStr">
        <is>
          <t>(7)  During the period, the portfolio turnover ratio was 0.32 times. ¥</t>
        </is>
      </c>
    </row>
    <row r="84">
      <c r="B84" t="inlineStr">
        <is>
          <t>(8)  Investment in Repo of Corporate Debt securities : Nil</t>
        </is>
      </c>
    </row>
    <row r="85">
      <c r="B85" t="inlineStr">
        <is>
          <t>(9)  Deviation from the valuation prices given by valuation agencies during the month ended  May 31, 2026: Nil</t>
        </is>
      </c>
    </row>
    <row r="86"/>
    <row r="87">
      <c r="B87" t="inlineStr">
        <is>
          <t>¥ Portfolio Turnover Ratio: Lower of purchases or sales of securities during the year ended May 31, 2026 / average net assets during the year ended May 31, 2026.</t>
        </is>
      </c>
    </row>
    <row r="88">
      <c r="B88" t="inlineStr">
        <is>
          <t>The Face value per unit is ` 10.</t>
        </is>
      </c>
    </row>
    <row r="89">
      <c r="B89" t="inlineStr">
        <is>
          <t>In line with SEBI clarification, NAV as on May 29, 2026 were disclosed, due to non-business day on 30th &amp; 31st May</t>
        </is>
      </c>
    </row>
    <row r="90">
      <c r="F90" s="36" t="inlineStr">
        <is>
          <t>BENCHMARK NAME - NIFTY LARGE MIDCAP 250 TRI</t>
        </is>
      </c>
    </row>
    <row r="91">
      <c r="B91" s="36" t="inlineStr">
        <is>
          <t>SCHEME RISK-O-METER</t>
        </is>
      </c>
      <c r="F91" s="36" t="inlineStr">
        <is>
          <t>BENCHMARK RISK-O-METER</t>
        </is>
      </c>
    </row>
  </sheetData>
  <mergeCells count="9">
    <mergeCell ref="B65:E65"/>
    <mergeCell ref="B1:H1"/>
    <mergeCell ref="B4:H4"/>
    <mergeCell ref="B68:E68"/>
    <mergeCell ref="B64:E64"/>
    <mergeCell ref="B2:H2"/>
    <mergeCell ref="B3:H3"/>
    <mergeCell ref="B66:E66"/>
    <mergeCell ref="B67:E6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8" t="inlineStr">
        <is>
          <t>Scheme Name: Invesco India Large &amp; Mid Cap Fund (Large &amp; Mid Cap Fund - An open ended equity scheme investing in both large cap and mid cap stocks)</t>
        </is>
      </c>
      <c r="D1" s="39" t="n"/>
      <c r="E1" s="40" t="n"/>
      <c r="F1" s="41" t="n"/>
    </row>
    <row r="2" ht="13" customHeight="1">
      <c r="A2" s="40" t="n"/>
      <c r="B2" s="41" t="n"/>
      <c r="C2" s="41" t="n"/>
      <c r="D2" s="41" t="n"/>
      <c r="E2" s="40" t="n"/>
      <c r="F2" s="41" t="n"/>
    </row>
    <row r="3" ht="13" customHeight="1">
      <c r="A3" s="42" t="inlineStr">
        <is>
          <t>Top 10 holdings by issuer</t>
        </is>
      </c>
      <c r="B3" s="43" t="n"/>
      <c r="C3" s="41" t="n"/>
      <c r="D3" s="41" t="n"/>
      <c r="E3" s="42" t="inlineStr">
        <is>
          <t>Fund allocation towards various sectors</t>
        </is>
      </c>
      <c r="F3" s="43" t="n"/>
    </row>
    <row r="4" ht="13" customHeight="1">
      <c r="A4" s="42" t="inlineStr">
        <is>
          <t>Issuer Name</t>
        </is>
      </c>
      <c r="B4" s="42" t="inlineStr">
        <is>
          <t>% to Net Assets</t>
        </is>
      </c>
      <c r="C4" s="41" t="n"/>
      <c r="D4" s="41" t="n"/>
      <c r="E4" s="42" t="inlineStr">
        <is>
          <t>Sectors</t>
        </is>
      </c>
      <c r="F4" s="42" t="inlineStr">
        <is>
          <t>% Exposure</t>
        </is>
      </c>
    </row>
    <row r="5" ht="13" customHeight="1">
      <c r="A5" s="44" t="inlineStr">
        <is>
          <t>Max Healthcare Institute Limited</t>
        </is>
      </c>
      <c r="B5" s="45" t="n">
        <v>0.0677</v>
      </c>
      <c r="C5" s="41" t="n"/>
      <c r="D5" s="41" t="n"/>
      <c r="E5" s="44" t="inlineStr">
        <is>
          <t>Financial Services</t>
        </is>
      </c>
      <c r="F5" s="45" t="n">
        <v>0.2621</v>
      </c>
    </row>
    <row r="6" ht="13" customHeight="1">
      <c r="A6" s="44" t="inlineStr">
        <is>
          <t>Eternal Limited</t>
        </is>
      </c>
      <c r="B6" s="45" t="n">
        <v>0.0674</v>
      </c>
      <c r="C6" s="41" t="n"/>
      <c r="D6" s="41" t="n"/>
      <c r="E6" s="44" t="inlineStr">
        <is>
          <t>Healthcare</t>
        </is>
      </c>
      <c r="F6" s="45" t="n">
        <v>0.189</v>
      </c>
    </row>
    <row r="7" ht="13" customHeight="1">
      <c r="A7" s="44" t="inlineStr">
        <is>
          <t>InterGlobe Aviation Limited</t>
        </is>
      </c>
      <c r="B7" s="45" t="n">
        <v>0.0644</v>
      </c>
      <c r="C7" s="41" t="n"/>
      <c r="D7" s="41" t="n"/>
      <c r="E7" s="44" t="inlineStr">
        <is>
          <t>Consumer Services</t>
        </is>
      </c>
      <c r="F7" s="45" t="n">
        <v>0.1303</v>
      </c>
    </row>
    <row r="8" ht="13" customHeight="1">
      <c r="A8" s="44" t="inlineStr">
        <is>
          <t>ICICI Bank Limited</t>
        </is>
      </c>
      <c r="B8" s="45" t="n">
        <v>0.0636</v>
      </c>
      <c r="C8" s="41" t="n"/>
      <c r="D8" s="41" t="n"/>
      <c r="E8" s="44" t="inlineStr">
        <is>
          <t>Capital Goods</t>
        </is>
      </c>
      <c r="F8" s="45" t="n">
        <v>0.1078</v>
      </c>
    </row>
    <row r="9" ht="13" customHeight="1">
      <c r="A9" s="44" t="inlineStr">
        <is>
          <t>Sai Life Sciences Limited</t>
        </is>
      </c>
      <c r="B9" s="45" t="n">
        <v>0.0489</v>
      </c>
      <c r="C9" s="41" t="n"/>
      <c r="D9" s="41" t="n"/>
      <c r="E9" s="44" t="inlineStr">
        <is>
          <t>Realty</t>
        </is>
      </c>
      <c r="F9" s="45" t="n">
        <v>0.0721</v>
      </c>
    </row>
    <row r="10" ht="13" customHeight="1">
      <c r="A10" s="44" t="inlineStr">
        <is>
          <t>Trent Limited</t>
        </is>
      </c>
      <c r="B10" s="45" t="n">
        <v>0.0453</v>
      </c>
      <c r="C10" s="41" t="n"/>
      <c r="D10" s="41" t="n"/>
      <c r="E10" s="44" t="inlineStr">
        <is>
          <t>Services</t>
        </is>
      </c>
      <c r="F10" s="45" t="n">
        <v>0.0684</v>
      </c>
    </row>
    <row r="11" ht="13" customHeight="1">
      <c r="A11" s="44" t="inlineStr">
        <is>
          <t>Prestige Estates Projects Limited</t>
        </is>
      </c>
      <c r="B11" s="45" t="n">
        <v>0.0446</v>
      </c>
      <c r="C11" s="41" t="n"/>
      <c r="D11" s="41" t="n"/>
      <c r="E11" s="44" t="inlineStr">
        <is>
          <t>Consumer Durables</t>
        </is>
      </c>
      <c r="F11" s="45" t="n">
        <v>0.0421</v>
      </c>
    </row>
    <row r="12" ht="13" customHeight="1">
      <c r="A12" s="44" t="inlineStr">
        <is>
          <t>ABB India Limited</t>
        </is>
      </c>
      <c r="B12" s="45" t="n">
        <v>0.0435</v>
      </c>
      <c r="C12" s="41" t="n"/>
      <c r="D12" s="41" t="n"/>
      <c r="E12" s="44" t="inlineStr">
        <is>
          <t>Construction Materials</t>
        </is>
      </c>
      <c r="F12" s="45" t="n">
        <v>0.035</v>
      </c>
    </row>
    <row r="13" ht="13" customHeight="1">
      <c r="A13" s="44" t="inlineStr">
        <is>
          <t>BSE Limited</t>
        </is>
      </c>
      <c r="B13" s="45" t="n">
        <v>0.039</v>
      </c>
      <c r="C13" s="41" t="n"/>
      <c r="D13" s="41" t="n"/>
      <c r="E13" s="44" t="inlineStr">
        <is>
          <t>Information Technology</t>
        </is>
      </c>
      <c r="F13" s="45" t="n">
        <v>0.0271</v>
      </c>
    </row>
    <row r="14" ht="13" customHeight="1">
      <c r="A14" s="44" t="inlineStr">
        <is>
          <t>L&amp;T Finance Limited</t>
        </is>
      </c>
      <c r="B14" s="45" t="n">
        <v>0.032</v>
      </c>
      <c r="C14" s="41" t="n"/>
      <c r="D14" s="41" t="n"/>
      <c r="E14" s="44" t="inlineStr">
        <is>
          <t>Chemicals</t>
        </is>
      </c>
      <c r="F14" s="45" t="n">
        <v>0.0214</v>
      </c>
    </row>
    <row r="15" ht="13" customHeight="1">
      <c r="A15" s="41" t="n"/>
      <c r="B15" s="41" t="n"/>
      <c r="C15" s="41" t="n"/>
      <c r="D15" s="41" t="n"/>
      <c r="E15" s="44" t="inlineStr">
        <is>
          <t>Telecommunication</t>
        </is>
      </c>
      <c r="F15" s="45" t="n">
        <v>0.0171</v>
      </c>
    </row>
    <row r="16" ht="13" customHeight="1">
      <c r="A16" s="41" t="n"/>
      <c r="B16" s="41" t="n"/>
      <c r="C16" s="41" t="n"/>
      <c r="D16" s="41" t="n"/>
      <c r="E16" s="44" t="inlineStr">
        <is>
          <t>Power</t>
        </is>
      </c>
      <c r="F16" s="45" t="n">
        <v>0.0137</v>
      </c>
    </row>
    <row r="17" ht="13" customHeight="1">
      <c r="A17" s="41" t="n"/>
      <c r="B17" s="41" t="n"/>
      <c r="C17" s="41" t="n"/>
      <c r="D17" s="41" t="n"/>
      <c r="E17" s="44" t="inlineStr">
        <is>
          <t>Others</t>
        </is>
      </c>
      <c r="F17" s="45" t="n">
        <v>0.0081</v>
      </c>
    </row>
    <row r="18" ht="13" customHeight="1">
      <c r="A18" s="41" t="n"/>
      <c r="B18" s="41" t="n"/>
      <c r="C18" s="41" t="n"/>
      <c r="D18" s="41" t="n"/>
      <c r="E18" s="44" t="inlineStr">
        <is>
          <t>Automobile and Auto Components</t>
        </is>
      </c>
      <c r="F18" s="45" t="n">
        <v>0.0063</v>
      </c>
    </row>
    <row r="19" ht="13" customHeight="1">
      <c r="A19" s="41" t="n"/>
      <c r="B19" s="41" t="n"/>
      <c r="C19" s="41" t="n"/>
      <c r="D19" s="41" t="n"/>
      <c r="E19" s="44" t="inlineStr">
        <is>
          <t>Cash &amp; Cash Equivalent:</t>
        </is>
      </c>
      <c r="F19" s="45" t="n">
        <v>-0.0004</v>
      </c>
    </row>
    <row r="20" ht="13" customHeight="1">
      <c r="A20" s="41" t="n"/>
      <c r="B20" s="41" t="n"/>
      <c r="C20" s="41" t="n"/>
      <c r="D20" s="41" t="n"/>
      <c r="E20" s="42" t="inlineStr">
        <is>
          <t>Grand Total</t>
        </is>
      </c>
      <c r="F20" s="46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2026-06-10T05:27:57Z</dcterms:created>
  <dcterms:modified xsi:type="dcterms:W3CDTF">2026-06-10T05:27:57Z</dcterms:modified>
</cp:coreProperties>
</file>