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1DC85153-A587-4EE2-B64F-72F1C792EA10}" xr6:coauthVersionLast="47" xr6:coauthVersionMax="47" xr10:uidLastSave="{00000000-0000-0000-0000-000000000000}"/>
  <bookViews>
    <workbookView xWindow="-110" yWindow="-110" windowWidth="19420" windowHeight="10420" xr2:uid="{36688D1F-278F-42E2-B30A-B599AE62F329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 localSheetId="1">'[18]RGOLDFOF (2)'!$A$1</definedName>
    <definedName name="JR_PAGE_ANCHOR_0_25">'Credit Risk'!$A$1</definedName>
    <definedName name="JR_PAGE_ANCHOR_0_26">RICBOF!$A$1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[23]IFMP31D!$A$1</definedName>
    <definedName name="JR_PAGE_ANCHOR_0_8">[24]IFMP33B!$A$1</definedName>
    <definedName name="JR_PAGE_ANCHOR_0_9">[25]IFMP33D!$A$1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<sst xmlns="http://schemas.openxmlformats.org/spreadsheetml/2006/main" count="158" uniqueCount="133">
  <si>
    <t>RICBOF</t>
  </si>
  <si>
    <t>INVESCO MUTUAL FUND</t>
  </si>
  <si>
    <t>Monthly Portfolio Statement as on March 31, 2022</t>
  </si>
  <si>
    <t>Invesco India Credit Risk Fund (An open ended debt scheme predominantly investing in AA and below rated corporate bonds (excluding AA+ rated corporate bonds))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</si>
  <si>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</si>
  <si>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</si>
  <si>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</si>
  <si>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</si>
  <si>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</si>
  <si>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</si>
  <si>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</si>
  <si>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</si>
  <si>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</si>
  <si>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</si>
  <si>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</si>
  <si>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</si>
  <si>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</si>
  <si>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NHBA299</t>
  </si>
  <si>
    <t>7.05% National Housing Bank 2024 **</t>
  </si>
  <si>
    <t>INE557F08FG1</t>
  </si>
  <si>
    <t>CRISIL AAA</t>
  </si>
  <si>
    <t>GOI2335</t>
  </si>
  <si>
    <t>6.45% Government of India 2029</t>
  </si>
  <si>
    <t>IN0020190362</t>
  </si>
  <si>
    <t>MUFL357</t>
  </si>
  <si>
    <t>8.3% Muthoot Finance Limited 2022 **</t>
  </si>
  <si>
    <t>INE414G07EV7</t>
  </si>
  <si>
    <t>CRISIL AA+</t>
  </si>
  <si>
    <t>IRLY322</t>
  </si>
  <si>
    <t>8.25% Indian Railway Finance Corporation Limited 2024 **</t>
  </si>
  <si>
    <t>INE053F07BB3</t>
  </si>
  <si>
    <t>POWF453</t>
  </si>
  <si>
    <t>6.98% Power Finance Corporation Limited 2023 **</t>
  </si>
  <si>
    <t>INE134E08KN8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</si>
  <si>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</si>
  <si>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</si>
  <si>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</si>
  <si>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</si>
  <si>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</si>
  <si>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</si>
  <si>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</si>
  <si>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</t>
  </si>
  <si>
    <t>INE053F07CC9</t>
  </si>
  <si>
    <t>GOI3103</t>
  </si>
  <si>
    <t>5.63% Government of India 2026</t>
  </si>
  <si>
    <t>IN0020210012</t>
  </si>
  <si>
    <t>SBAI201</t>
  </si>
  <si>
    <t>6.8% State Bank of India 2035</t>
  </si>
  <si>
    <t>INE062A08231</t>
  </si>
  <si>
    <t>7.03%$</t>
  </si>
  <si>
    <t>TISC109</t>
  </si>
  <si>
    <t>2% Tata Steel Limited 2022 **</t>
  </si>
  <si>
    <t>INE081A08181</t>
  </si>
  <si>
    <t>CARE AA+</t>
  </si>
  <si>
    <t>NUCL130</t>
  </si>
  <si>
    <t>6.8% Nuclear Power Corporation Of India Limited 2031 **</t>
  </si>
  <si>
    <t>INE206D08477</t>
  </si>
  <si>
    <t>ICRA AAA</t>
  </si>
  <si>
    <t>TPOW38</t>
  </si>
  <si>
    <t>9.15% Tata Power Company Limited 2022 **</t>
  </si>
  <si>
    <t>INE245A07234</t>
  </si>
  <si>
    <t>CRISIL AA</t>
  </si>
  <si>
    <t>HINI105</t>
  </si>
  <si>
    <t>9.55% Hindalco Industries Limited 2022 **</t>
  </si>
  <si>
    <t>INE038A07258</t>
  </si>
  <si>
    <t>OPAL34</t>
  </si>
  <si>
    <t>6.63% ONGC Petro Additions Limited 2024 **</t>
  </si>
  <si>
    <t>INE163N08180</t>
  </si>
  <si>
    <t>ICRA AA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</si>
  <si>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</si>
  <si>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</si>
  <si>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</si>
  <si>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</si>
  <si>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</si>
  <si>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</si>
  <si>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Nil</t>
  </si>
  <si>
    <t>Total</t>
  </si>
  <si>
    <t>Money Market Instruments</t>
  </si>
  <si>
    <t>Commercial Paper</t>
  </si>
  <si>
    <t>HHFL177</t>
  </si>
  <si>
    <t>Hero Fincorp Limited 2022 **</t>
  </si>
  <si>
    <t>INE957N14FS0</t>
  </si>
  <si>
    <t>CRISIL A1+</t>
  </si>
  <si>
    <t>TREPS / Reverse Repo</t>
  </si>
  <si>
    <t>TRP_040422</t>
  </si>
  <si>
    <t>Triparty Repo</t>
  </si>
  <si>
    <t>Net Receivables / (Payables)</t>
  </si>
  <si>
    <t>GRAND TOTAL</t>
  </si>
  <si>
    <t>**  Non Traded Security</t>
  </si>
  <si>
    <t>$ Yield to Call (YTC)- 7.0552%</t>
  </si>
  <si>
    <t>Notes :</t>
  </si>
  <si>
    <t>(1)  Details of security defaulted beyond it's maturity date is as follows:</t>
  </si>
  <si>
    <t>Name of the security</t>
  </si>
  <si>
    <t>Value recognized in NAV 
As on March 31, 2022</t>
  </si>
  <si>
    <t>% to NAV
As on March 31, 2022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</si>
  <si>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</si>
  <si>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</si>
  <si>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</si>
  <si>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</si>
  <si>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</si>
  <si>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</si>
  <si>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</si>
  <si>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</si>
  <si>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</si>
  <si>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</si>
  <si>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BENCHMARK NAME - CRISIL SHORT TERM CREDIT RISK INDEX</t>
  </si>
  <si>
    <t>SCHEME RISK-O-METER</t>
  </si>
  <si>
    <t>BENCHMARK RISK-O-METER</t>
  </si>
  <si>
    <t>Grand Total</t>
  </si>
  <si>
    <t>Tata Steel Limited</t>
  </si>
  <si>
    <t>Consumer Goods</t>
  </si>
  <si>
    <t>State Bank of India</t>
  </si>
  <si>
    <t>Chemicals</t>
  </si>
  <si>
    <t>National Highways Auth Of Ind</t>
  </si>
  <si>
    <t>Cash &amp; Cash Equivalent:</t>
  </si>
  <si>
    <t>HDB Financial Services Limited</t>
  </si>
  <si>
    <t>Power</t>
  </si>
  <si>
    <t>Power Finance Corporation Limited</t>
  </si>
  <si>
    <t>Construction</t>
  </si>
  <si>
    <t>Muthoot Finance Limited</t>
  </si>
  <si>
    <t>Metals</t>
  </si>
  <si>
    <t>Indian Railway Finance Corporation Limited</t>
  </si>
  <si>
    <t>Government of India</t>
  </si>
  <si>
    <t>National Housing Bank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</si>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</sst>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9" fillId="0" borderId="18" xfId="2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top" wrapText="1"/>
    </xf>
    <xf numFmtId="0" fontId="12" fillId="0" borderId="18" xfId="2" applyFont="1" applyBorder="1" applyAlignment="1">
      <alignment horizontal="center" vertical="top" wrapText="1"/>
    </xf>
    <xf numFmtId="4" fontId="12" fillId="0" borderId="18" xfId="2" applyNumberFormat="1" applyFont="1" applyFill="1" applyBorder="1" applyAlignment="1">
      <alignment horizontal="center" vertical="top" wrapText="1"/>
    </xf>
    <xf numFmtId="0" fontId="10" fillId="0" borderId="0" xfId="3" applyNumberFormat="1" applyFont="1" applyFill="1" applyBorder="1" applyAlignment="1"/>
    <xf numFmtId="0" fontId="13" fillId="0" borderId="18" xfId="0" applyFont="1" applyBorder="1" applyAlignment="1">
      <alignment wrapText="1"/>
    </xf>
    <xf numFmtId="0" fontId="13" fillId="0" borderId="18" xfId="0" applyFont="1" applyBorder="1" applyAlignment="1">
      <alignment horizontal="center" wrapText="1"/>
    </xf>
    <xf numFmtId="4" fontId="13" fillId="0" borderId="18" xfId="0" applyNumberFormat="1" applyFont="1" applyBorder="1" applyAlignment="1">
      <alignment wrapText="1"/>
    </xf>
    <xf numFmtId="0" fontId="11" fillId="0" borderId="18" xfId="0" applyFont="1" applyBorder="1" applyAlignment="1">
      <alignment horizontal="left" vertical="top" wrapText="1"/>
    </xf>
    <xf numFmtId="4" fontId="11" fillId="0" borderId="18" xfId="0" applyNumberFormat="1" applyFont="1" applyBorder="1" applyAlignment="1">
      <alignment horizontal="center" vertical="top" wrapText="1"/>
    </xf>
    <xf numFmtId="4" fontId="14" fillId="0" borderId="18" xfId="0" applyNumberFormat="1" applyFont="1" applyBorder="1" applyAlignment="1">
      <alignment horizontal="center" vertical="top" wrapText="1"/>
    </xf>
    <xf numFmtId="165" fontId="11" fillId="0" borderId="18" xfId="0" applyNumberFormat="1" applyFont="1" applyBorder="1" applyAlignment="1">
      <alignment horizontal="right" vertical="top" wrapText="1"/>
    </xf>
    <xf numFmtId="165" fontId="10" fillId="0" borderId="0" xfId="3" applyNumberFormat="1" applyFont="1" applyFill="1" applyBorder="1" applyAlignment="1"/>
    <xf numFmtId="4" fontId="0" fillId="0" borderId="0" xfId="0" applyNumberFormat="1"/>
    <xf numFmtId="0" fontId="11" fillId="0" borderId="0" xfId="0" applyFont="1" applyAlignment="1">
      <alignment horizontal="left" vertical="top" wrapText="1"/>
    </xf>
    <xf numFmtId="4" fontId="11" fillId="0" borderId="0" xfId="0" applyNumberFormat="1" applyFont="1" applyAlignment="1">
      <alignment horizontal="center" vertical="top" wrapText="1"/>
    </xf>
    <xf numFmtId="4" fontId="14" fillId="0" borderId="0" xfId="0" applyNumberFormat="1" applyFont="1" applyAlignment="1">
      <alignment horizontal="center" vertical="top" wrapText="1"/>
    </xf>
    <xf numFmtId="165" fontId="11" fillId="0" borderId="0" xfId="0" applyNumberFormat="1" applyFont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0" applyFont="1"/>
    <xf numFmtId="0" fontId="13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10" fillId="0" borderId="0" xfId="1" applyFont="1"/>
    <xf numFmtId="0" fontId="13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</cellXfs>
  <cellStyles count="4">
    <cellStyle name="Normal" xfId="0" builtinId="0"/>
    <cellStyle name="Normal 2" xfId="3" xr:uid="{9763746E-18A6-4758-B00F-01F012BDF3AE}"/>
    <cellStyle name="Normal 3" xfId="2" xr:uid="{A5072BD9-0E1A-4637-AB82-8CBD14FF0ADF}"/>
    <cellStyle name="Normal 6" xfId="1" xr:uid="{166FE6E7-52B0-411C-900A-AC57951B2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07C10-962A-4347-B673-B0CD9E2C9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2172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685800</xdr:colOff>
      <xdr:row>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A2546C-03DF-48EC-BAFA-9A4286AF6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21729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F185-37C9-4065-A245-CE4807D8AD23}">
  <sheetPr codeName="Sheet24">
    <outlinePr summaryBelow="0"/>
  </sheetPr>
  <dimension ref="A1:H64"/>
  <sheetViews>
    <sheetView showGridLines="0" tabSelected="1" topLeftCell="B1" workbookViewId="0">
      <selection activeCell="B1" sqref="B1:H1"/>
    </sheetView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68" t="s">
        <v>1</v>
      </c>
      <c r="C1" s="68"/>
      <c r="D1" s="68"/>
      <c r="E1" s="68"/>
      <c r="F1" s="68"/>
      <c r="G1" s="68"/>
      <c r="H1" s="68"/>
    </row>
    <row r="2" spans="1:8" ht="20.149999999999999" customHeight="1">
      <c r="A2" s="2"/>
      <c r="B2" s="68" t="s">
        <v>2</v>
      </c>
      <c r="C2" s="68"/>
      <c r="D2" s="68"/>
      <c r="E2" s="68"/>
      <c r="F2" s="68"/>
      <c r="G2" s="68"/>
      <c r="H2" s="68"/>
    </row>
    <row r="3" spans="1:8" ht="45.75" customHeight="1">
      <c r="A3" s="2"/>
      <c r="B3" s="68" t="s">
        <v>3</v>
      </c>
      <c r="C3" s="68"/>
      <c r="D3" s="68"/>
      <c r="E3" s="68"/>
      <c r="F3" s="68"/>
      <c r="G3" s="68"/>
      <c r="H3" s="6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1500000</v>
      </c>
      <c r="F8" s="15">
        <v>1480.49</v>
      </c>
      <c r="G8" s="15">
        <v>11.66</v>
      </c>
      <c r="H8" s="16">
        <v>5.6665E-2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1000000</v>
      </c>
      <c r="F9" s="15">
        <v>1038.3800000000001</v>
      </c>
      <c r="G9" s="15">
        <v>8.18</v>
      </c>
      <c r="H9" s="16">
        <v>5.475E-2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850000</v>
      </c>
      <c r="F10" s="15">
        <v>833.05</v>
      </c>
      <c r="G10" s="15">
        <v>6.56</v>
      </c>
      <c r="H10" s="16">
        <v>6.7928000000000002E-2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600000</v>
      </c>
      <c r="F11" s="15">
        <v>606.24</v>
      </c>
      <c r="G11" s="15">
        <v>4.7699999999999996</v>
      </c>
      <c r="H11" s="16">
        <v>5.1801E-2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500000</v>
      </c>
      <c r="F12" s="15">
        <v>525.95000000000005</v>
      </c>
      <c r="G12" s="15">
        <v>4.1399999999999997</v>
      </c>
      <c r="H12" s="16">
        <v>5.3199999999999997E-2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500000</v>
      </c>
      <c r="F13" s="15">
        <v>509.41</v>
      </c>
      <c r="G13" s="15">
        <v>4.01</v>
      </c>
      <c r="H13" s="16">
        <v>5.0900000000000001E-2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500000</v>
      </c>
      <c r="F14" s="15">
        <v>508.31</v>
      </c>
      <c r="G14" s="15">
        <v>4</v>
      </c>
      <c r="H14" s="16">
        <v>5.0349999999999999E-2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500000</v>
      </c>
      <c r="F15" s="15">
        <v>507.13</v>
      </c>
      <c r="G15" s="15">
        <v>3.99</v>
      </c>
      <c r="H15" s="16">
        <v>4.53E-2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20</v>
      </c>
      <c r="E16" s="14">
        <v>500000</v>
      </c>
      <c r="F16" s="15">
        <v>506.28</v>
      </c>
      <c r="G16" s="15">
        <v>3.99</v>
      </c>
      <c r="H16" s="16">
        <v>4.9599999999999998E-2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500000</v>
      </c>
      <c r="F17" s="15">
        <v>493.26</v>
      </c>
      <c r="G17" s="15">
        <v>3.88</v>
      </c>
      <c r="H17" s="16">
        <v>6.0107000000000001E-2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20</v>
      </c>
      <c r="E18" s="14">
        <v>500000</v>
      </c>
      <c r="F18" s="15">
        <v>491.85</v>
      </c>
      <c r="G18" s="15">
        <v>3.87</v>
      </c>
      <c r="H18" s="16" t="s">
        <v>49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200000</v>
      </c>
      <c r="F19" s="15">
        <v>369.32</v>
      </c>
      <c r="G19" s="15">
        <v>2.91</v>
      </c>
      <c r="H19" s="16">
        <v>4.3798999999999998E-2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57</v>
      </c>
      <c r="E20" s="14">
        <v>250000</v>
      </c>
      <c r="F20" s="15">
        <v>246.84</v>
      </c>
      <c r="G20" s="15">
        <v>1.94</v>
      </c>
      <c r="H20" s="16">
        <v>6.9933999999999996E-2</v>
      </c>
    </row>
    <row r="21" spans="1:8" ht="13" customHeight="1">
      <c r="A21" s="11" t="s">
        <v>58</v>
      </c>
      <c r="B21" s="12" t="s">
        <v>59</v>
      </c>
      <c r="C21" s="13" t="s">
        <v>60</v>
      </c>
      <c r="D21" s="8" t="s">
        <v>61</v>
      </c>
      <c r="E21" s="14">
        <v>220000</v>
      </c>
      <c r="F21" s="15">
        <v>223</v>
      </c>
      <c r="G21" s="15">
        <v>1.76</v>
      </c>
      <c r="H21" s="16">
        <v>4.4123999999999997E-2</v>
      </c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27</v>
      </c>
      <c r="E22" s="14">
        <v>200000</v>
      </c>
      <c r="F22" s="15">
        <v>200.65</v>
      </c>
      <c r="G22" s="15">
        <v>1.58</v>
      </c>
      <c r="H22" s="16">
        <v>4.2403000000000003E-2</v>
      </c>
    </row>
    <row r="23" spans="1:8" ht="13" customHeight="1">
      <c r="A23" s="11" t="s">
        <v>65</v>
      </c>
      <c r="B23" s="12" t="s">
        <v>66</v>
      </c>
      <c r="C23" s="13" t="s">
        <v>67</v>
      </c>
      <c r="D23" s="8" t="s">
        <v>68</v>
      </c>
      <c r="E23" s="14">
        <v>200000</v>
      </c>
      <c r="F23" s="15">
        <v>199.86</v>
      </c>
      <c r="G23" s="15">
        <v>1.57</v>
      </c>
      <c r="H23" s="16">
        <v>6.6445000000000004E-2</v>
      </c>
    </row>
    <row r="24" spans="1:8" ht="13" customHeight="1">
      <c r="A24" s="11" t="s">
        <v>69</v>
      </c>
      <c r="B24" s="12" t="s">
        <v>70</v>
      </c>
      <c r="C24" s="13" t="s">
        <v>71</v>
      </c>
      <c r="D24" s="8" t="s">
        <v>72</v>
      </c>
      <c r="E24" s="14">
        <v>30000</v>
      </c>
      <c r="F24" s="15">
        <v>30.99</v>
      </c>
      <c r="G24" s="15">
        <v>0.24</v>
      </c>
      <c r="H24" s="16">
        <v>7.0598999999999995E-2</v>
      </c>
    </row>
    <row r="25" spans="1:8" ht="13" customHeight="1">
      <c r="A25" s="2"/>
      <c r="B25" s="7" t="s">
        <v>73</v>
      </c>
      <c r="C25" s="8"/>
      <c r="D25" s="8"/>
      <c r="E25" s="8"/>
      <c r="F25" s="17">
        <v>8771.01</v>
      </c>
      <c r="G25" s="17">
        <v>69.05</v>
      </c>
      <c r="H25" s="18"/>
    </row>
    <row r="26" spans="1:8" ht="13" customHeight="1">
      <c r="A26" s="2"/>
      <c r="B26" s="19" t="s">
        <v>74</v>
      </c>
      <c r="C26" s="20"/>
      <c r="D26" s="20"/>
      <c r="E26" s="21"/>
      <c r="F26" s="22" t="s">
        <v>75</v>
      </c>
      <c r="G26" s="22" t="s">
        <v>75</v>
      </c>
      <c r="H26" s="23" t="s">
        <v>75</v>
      </c>
    </row>
    <row r="27" spans="1:8" ht="13" customHeight="1">
      <c r="A27" s="2"/>
      <c r="B27" s="24" t="s">
        <v>73</v>
      </c>
      <c r="C27" s="25"/>
      <c r="D27" s="25"/>
      <c r="E27" s="22"/>
      <c r="F27" s="22" t="s">
        <v>75</v>
      </c>
      <c r="G27" s="22" t="s">
        <v>75</v>
      </c>
      <c r="H27" s="23" t="s">
        <v>75</v>
      </c>
    </row>
    <row r="28" spans="1:8" ht="13" customHeight="1">
      <c r="A28" s="2"/>
      <c r="B28" s="19" t="s">
        <v>76</v>
      </c>
      <c r="C28" s="20"/>
      <c r="D28" s="20"/>
      <c r="E28" s="26"/>
      <c r="F28" s="17">
        <v>8771.01</v>
      </c>
      <c r="G28" s="17">
        <v>69.05</v>
      </c>
      <c r="H28" s="23"/>
    </row>
    <row r="29" spans="1:8" ht="13" customHeight="1">
      <c r="A29" s="2"/>
      <c r="B29" s="7" t="s">
        <v>77</v>
      </c>
      <c r="C29" s="8"/>
      <c r="D29" s="8"/>
      <c r="E29" s="8"/>
      <c r="F29" s="8"/>
      <c r="G29" s="8"/>
      <c r="H29" s="9"/>
    </row>
    <row r="30" spans="1:8" ht="13" customHeight="1">
      <c r="A30" s="2"/>
      <c r="B30" s="7" t="s">
        <v>78</v>
      </c>
      <c r="C30" s="10"/>
      <c r="D30" s="10"/>
      <c r="E30" s="8"/>
      <c r="F30" s="8"/>
      <c r="G30" s="8"/>
      <c r="H30" s="9"/>
    </row>
    <row r="31" spans="1:8" ht="13" customHeight="1">
      <c r="A31" s="11" t="s">
        <v>79</v>
      </c>
      <c r="B31" s="12" t="s">
        <v>80</v>
      </c>
      <c r="C31" s="13" t="s">
        <v>81</v>
      </c>
      <c r="D31" s="8" t="s">
        <v>82</v>
      </c>
      <c r="E31" s="14">
        <v>300000</v>
      </c>
      <c r="F31" s="15">
        <v>295.48</v>
      </c>
      <c r="G31" s="15">
        <v>2.33</v>
      </c>
      <c r="H31" s="16">
        <v>4.6951E-2</v>
      </c>
    </row>
    <row r="32" spans="1:8" ht="13" customHeight="1">
      <c r="A32" s="2"/>
      <c r="B32" s="7" t="s">
        <v>73</v>
      </c>
      <c r="C32" s="8"/>
      <c r="D32" s="8"/>
      <c r="E32" s="8"/>
      <c r="F32" s="17">
        <v>295.48</v>
      </c>
      <c r="G32" s="17">
        <v>2.33</v>
      </c>
      <c r="H32" s="18"/>
    </row>
    <row r="33" spans="1:8" ht="13" customHeight="1">
      <c r="A33" s="2"/>
      <c r="B33" s="7" t="s">
        <v>83</v>
      </c>
      <c r="C33" s="10"/>
      <c r="D33" s="10"/>
      <c r="E33" s="8"/>
      <c r="F33" s="8"/>
      <c r="G33" s="8"/>
      <c r="H33" s="9"/>
    </row>
    <row r="34" spans="1:8" ht="13" customHeight="1">
      <c r="A34" s="11" t="s">
        <v>84</v>
      </c>
      <c r="B34" s="12" t="s">
        <v>85</v>
      </c>
      <c r="C34" s="13"/>
      <c r="D34" s="8"/>
      <c r="E34" s="14"/>
      <c r="F34" s="15">
        <v>3335.81</v>
      </c>
      <c r="G34" s="15">
        <v>26.27</v>
      </c>
      <c r="H34" s="16">
        <v>3.61E-2</v>
      </c>
    </row>
    <row r="35" spans="1:8" ht="13" customHeight="1">
      <c r="A35" s="2"/>
      <c r="B35" s="7" t="s">
        <v>73</v>
      </c>
      <c r="C35" s="8"/>
      <c r="D35" s="8"/>
      <c r="E35" s="8"/>
      <c r="F35" s="17">
        <v>3335.81</v>
      </c>
      <c r="G35" s="17">
        <v>26.27</v>
      </c>
      <c r="H35" s="18"/>
    </row>
    <row r="36" spans="1:8" ht="13" customHeight="1">
      <c r="A36" s="2"/>
      <c r="B36" s="19" t="s">
        <v>76</v>
      </c>
      <c r="C36" s="20"/>
      <c r="D36" s="20"/>
      <c r="E36" s="26"/>
      <c r="F36" s="17">
        <v>3631.29</v>
      </c>
      <c r="G36" s="17">
        <v>28.6</v>
      </c>
      <c r="H36" s="23"/>
    </row>
    <row r="37" spans="1:8" ht="13" customHeight="1">
      <c r="A37" s="2"/>
      <c r="B37" s="19" t="s">
        <v>86</v>
      </c>
      <c r="C37" s="20"/>
      <c r="D37" s="20"/>
      <c r="E37" s="8"/>
      <c r="F37" s="17">
        <v>297.83999999999997</v>
      </c>
      <c r="G37" s="17">
        <v>2.35</v>
      </c>
      <c r="H37" s="23"/>
    </row>
    <row r="38" spans="1:8" ht="13" customHeight="1" thickBot="1">
      <c r="A38" s="2"/>
      <c r="B38" s="27" t="s">
        <v>87</v>
      </c>
      <c r="C38" s="28"/>
      <c r="D38" s="28"/>
      <c r="E38" s="28"/>
      <c r="F38" s="29">
        <v>12700.14</v>
      </c>
      <c r="G38" s="30">
        <v>100</v>
      </c>
      <c r="H38" s="31"/>
    </row>
    <row r="39" spans="1:8" ht="13" customHeight="1">
      <c r="A39" s="2"/>
      <c r="B39" s="65"/>
      <c r="C39" s="65"/>
      <c r="D39" s="65"/>
      <c r="E39" s="65"/>
      <c r="F39" s="2"/>
      <c r="G39" s="2"/>
      <c r="H39" s="2"/>
    </row>
    <row r="40" spans="1:8" ht="13" customHeight="1">
      <c r="A40" s="2"/>
      <c r="B40" s="65"/>
      <c r="C40" s="65"/>
      <c r="D40" s="65"/>
      <c r="E40" s="65"/>
      <c r="F40" s="2"/>
      <c r="G40" s="2"/>
      <c r="H40" s="2"/>
    </row>
    <row r="41" spans="1:8" ht="13" customHeight="1">
      <c r="A41" s="2"/>
      <c r="B41" s="65"/>
      <c r="C41" s="65"/>
      <c r="D41" s="65"/>
      <c r="E41" s="65"/>
      <c r="F41" s="2"/>
      <c r="G41" s="2"/>
      <c r="H41" s="2"/>
    </row>
    <row r="42" spans="1:8" ht="13" customHeight="1">
      <c r="A42" s="2"/>
      <c r="B42" s="64"/>
      <c r="C42" s="64"/>
      <c r="D42" s="64"/>
      <c r="E42" s="64"/>
      <c r="F42" s="2"/>
      <c r="G42" s="2"/>
      <c r="H42" s="2"/>
    </row>
    <row r="43" spans="1:8" ht="13" customHeight="1">
      <c r="A43" s="2"/>
      <c r="B43" s="65" t="s">
        <v>88</v>
      </c>
      <c r="C43" s="65"/>
      <c r="D43" s="65"/>
      <c r="E43" s="65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65" t="s">
        <v>89</v>
      </c>
      <c r="C45" s="65" t="s">
        <v>89</v>
      </c>
      <c r="D45" s="65" t="s">
        <v>89</v>
      </c>
      <c r="E45" s="65" t="s">
        <v>89</v>
      </c>
      <c r="F45" s="2"/>
      <c r="G45" s="2"/>
      <c r="H45" s="2"/>
    </row>
    <row r="46" spans="1:8">
      <c r="B46" s="66"/>
      <c r="C46" s="66"/>
      <c r="D46" s="66"/>
      <c r="E46" s="66"/>
    </row>
    <row r="47" spans="1:8">
      <c r="B47" s="67" t="s">
        <v>90</v>
      </c>
      <c r="C47" s="67"/>
      <c r="D47" s="67"/>
      <c r="E47" s="67"/>
    </row>
    <row r="48" spans="1:8">
      <c r="B48" s="63" t="s">
        <v>91</v>
      </c>
      <c r="C48" s="63"/>
    </row>
    <row r="49" spans="2:8" ht="36.75" customHeight="1">
      <c r="B49" s="33" t="s">
        <v>92</v>
      </c>
      <c r="C49" s="34" t="s">
        <v>5</v>
      </c>
      <c r="D49" s="35" t="s">
        <v>93</v>
      </c>
      <c r="E49" s="36" t="s">
        <v>94</v>
      </c>
      <c r="F49" s="37" t="s">
        <v>95</v>
      </c>
      <c r="G49" s="38"/>
    </row>
    <row r="50" spans="2:8">
      <c r="B50" s="39" t="s">
        <v>96</v>
      </c>
      <c r="C50" s="39" t="s">
        <v>97</v>
      </c>
      <c r="D50" s="40" t="s">
        <v>98</v>
      </c>
      <c r="E50" s="40" t="s">
        <v>98</v>
      </c>
      <c r="F50" s="41">
        <v>3502.3787791000004</v>
      </c>
      <c r="G50" s="38"/>
    </row>
    <row r="51" spans="2:8">
      <c r="B51" s="42" t="s">
        <v>99</v>
      </c>
      <c r="C51" s="42" t="s">
        <v>100</v>
      </c>
      <c r="D51" s="43">
        <v>4.9849234000000004</v>
      </c>
      <c r="E51" s="44">
        <f>+D51*100/F38</f>
        <v>3.9250932666883995E-2</v>
      </c>
      <c r="F51" s="45">
        <v>1184.9999919000002</v>
      </c>
      <c r="G51" s="46"/>
      <c r="H51" s="47"/>
    </row>
    <row r="52" spans="2:8">
      <c r="B52" s="48"/>
      <c r="C52" s="48"/>
      <c r="D52" s="49"/>
      <c r="E52" s="50"/>
      <c r="F52" s="51"/>
      <c r="G52" s="46"/>
      <c r="H52" s="47"/>
    </row>
    <row r="53" spans="2:8">
      <c r="B53" s="52" t="s">
        <v>101</v>
      </c>
      <c r="C53" s="53"/>
    </row>
    <row r="54" spans="2:8">
      <c r="B54" s="52" t="s">
        <v>102</v>
      </c>
      <c r="C54" s="53"/>
    </row>
    <row r="55" spans="2:8">
      <c r="B55" s="54" t="s">
        <v>103</v>
      </c>
      <c r="C55" s="55"/>
    </row>
    <row r="56" spans="2:8">
      <c r="B56" s="56" t="s">
        <v>104</v>
      </c>
      <c r="C56" s="55"/>
    </row>
    <row r="57" spans="2:8">
      <c r="B57" s="63"/>
      <c r="C57" s="63"/>
      <c r="D57" s="57"/>
      <c r="E57" s="57"/>
    </row>
    <row r="58" spans="2:8">
      <c r="B58" s="58"/>
      <c r="C58" s="59"/>
      <c r="D58" s="57"/>
      <c r="E58" s="57"/>
    </row>
    <row r="59" spans="2:8">
      <c r="B59" s="58"/>
      <c r="C59" s="59"/>
      <c r="D59" s="57"/>
      <c r="E59" s="57"/>
    </row>
    <row r="60" spans="2:8">
      <c r="B60" s="54"/>
      <c r="C60" s="60"/>
      <c r="D60" s="57"/>
      <c r="E60" s="57"/>
    </row>
    <row r="61" spans="2:8">
      <c r="B61" s="61"/>
      <c r="C61" s="60"/>
      <c r="D61" s="57"/>
      <c r="E61" s="57"/>
    </row>
    <row r="62" spans="2:8">
      <c r="B62" s="58"/>
      <c r="C62" s="60"/>
      <c r="D62" s="57"/>
      <c r="E62" s="57"/>
    </row>
    <row r="63" spans="2:8">
      <c r="F63" s="62" t="s">
        <v>105</v>
      </c>
    </row>
    <row r="64" spans="2:8">
      <c r="B64" s="62" t="s">
        <v>106</v>
      </c>
      <c r="F64" s="62" t="s">
        <v>107</v>
      </c>
    </row>
  </sheetData>
  <mergeCells count="13">
    <mergeCell ref="B41:E41"/>
    <mergeCell ref="B1:H1"/>
    <mergeCell ref="B2:H2"/>
    <mergeCell ref="B3:H3"/>
    <mergeCell ref="B39:E39"/>
    <mergeCell ref="B40:E40"/>
    <mergeCell ref="B57:C57"/>
    <mergeCell ref="B42:E42"/>
    <mergeCell ref="B43:E43"/>
    <mergeCell ref="B45:E45"/>
    <mergeCell ref="B46:E46"/>
    <mergeCell ref="B47:E47"/>
    <mergeCell ref="B48:C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AC10-A899-4BC0-AE62-2B10C49C635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65" t="s">
        <v>132</v>
      </c>
      <c r="B1" s="65"/>
      <c r="C1" s="65"/>
      <c r="D1" s="7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2" t="s">
        <v>131</v>
      </c>
      <c r="B3" s="72"/>
      <c r="C3" s="2"/>
      <c r="D3" s="2"/>
      <c r="E3" s="72" t="s">
        <v>130</v>
      </c>
      <c r="F3" s="72"/>
    </row>
    <row r="4" spans="1:6" ht="13" customHeight="1">
      <c r="A4" s="70" t="s">
        <v>129</v>
      </c>
      <c r="B4" s="70" t="s">
        <v>9</v>
      </c>
      <c r="C4" s="2"/>
      <c r="D4" s="2"/>
      <c r="E4" s="70" t="s">
        <v>128</v>
      </c>
      <c r="F4" s="70" t="s">
        <v>127</v>
      </c>
    </row>
    <row r="5" spans="1:6" ht="13" customHeight="1">
      <c r="A5" s="20" t="s">
        <v>126</v>
      </c>
      <c r="B5" s="71">
        <v>0.26269999999999999</v>
      </c>
      <c r="C5" s="2"/>
      <c r="D5" s="2"/>
      <c r="E5" s="20" t="s">
        <v>125</v>
      </c>
      <c r="F5" s="71">
        <v>0.35289999999999999</v>
      </c>
    </row>
    <row r="6" spans="1:6" ht="13" customHeight="1">
      <c r="A6" s="20" t="s">
        <v>122</v>
      </c>
      <c r="B6" s="71">
        <v>0.221</v>
      </c>
      <c r="C6" s="2"/>
      <c r="D6" s="2"/>
      <c r="E6" s="20" t="s">
        <v>124</v>
      </c>
      <c r="F6" s="71">
        <v>0.26269999999999999</v>
      </c>
    </row>
    <row r="7" spans="1:6" ht="13" customHeight="1">
      <c r="A7" s="20" t="s">
        <v>123</v>
      </c>
      <c r="B7" s="71">
        <v>8.1799999999999998E-2</v>
      </c>
      <c r="C7" s="2"/>
      <c r="D7" s="2"/>
      <c r="E7" s="20" t="s">
        <v>122</v>
      </c>
      <c r="F7" s="71">
        <v>0.221</v>
      </c>
    </row>
    <row r="8" spans="1:6" ht="13" customHeight="1">
      <c r="A8" s="20" t="s">
        <v>121</v>
      </c>
      <c r="B8" s="71">
        <v>8.1299999999999997E-2</v>
      </c>
      <c r="C8" s="2"/>
      <c r="D8" s="2"/>
      <c r="E8" s="20" t="s">
        <v>120</v>
      </c>
      <c r="F8" s="71">
        <v>4.4900000000000002E-2</v>
      </c>
    </row>
    <row r="9" spans="1:6" ht="13" customHeight="1">
      <c r="A9" s="20" t="s">
        <v>119</v>
      </c>
      <c r="B9" s="71">
        <v>4.7699999999999999E-2</v>
      </c>
      <c r="C9" s="2"/>
      <c r="D9" s="2"/>
      <c r="E9" s="20" t="s">
        <v>118</v>
      </c>
      <c r="F9" s="71">
        <v>3.9899999999999998E-2</v>
      </c>
    </row>
    <row r="10" spans="1:6" ht="13" customHeight="1">
      <c r="A10" s="20" t="s">
        <v>117</v>
      </c>
      <c r="B10" s="71">
        <v>4.0099999999999997E-2</v>
      </c>
      <c r="C10" s="2"/>
      <c r="D10" s="2"/>
      <c r="E10" s="20" t="s">
        <v>116</v>
      </c>
      <c r="F10" s="71">
        <v>3.6999999999999998E-2</v>
      </c>
    </row>
    <row r="11" spans="1:6" ht="13" customHeight="1">
      <c r="A11" s="20" t="s">
        <v>115</v>
      </c>
      <c r="B11" s="71">
        <v>0.04</v>
      </c>
      <c r="C11" s="2"/>
      <c r="D11" s="2"/>
      <c r="E11" s="20" t="s">
        <v>114</v>
      </c>
      <c r="F11" s="71">
        <v>2.35E-2</v>
      </c>
    </row>
    <row r="12" spans="1:6" ht="13" customHeight="1">
      <c r="A12" s="20" t="s">
        <v>113</v>
      </c>
      <c r="B12" s="71">
        <v>3.9899999999999998E-2</v>
      </c>
      <c r="C12" s="2"/>
      <c r="D12" s="2"/>
      <c r="E12" s="20" t="s">
        <v>112</v>
      </c>
      <c r="F12" s="71">
        <v>1.5699999999999999E-2</v>
      </c>
    </row>
    <row r="13" spans="1:6" ht="13" customHeight="1">
      <c r="A13" s="20" t="s">
        <v>111</v>
      </c>
      <c r="B13" s="71">
        <v>3.8699999999999998E-2</v>
      </c>
      <c r="C13" s="2"/>
      <c r="D13" s="2"/>
      <c r="E13" s="20" t="s">
        <v>110</v>
      </c>
      <c r="F13" s="71">
        <v>2.3999999999999998E-3</v>
      </c>
    </row>
    <row r="14" spans="1:6" ht="13" customHeight="1">
      <c r="A14" s="20" t="s">
        <v>109</v>
      </c>
      <c r="B14" s="71">
        <v>2.9100000000000001E-2</v>
      </c>
      <c r="C14" s="2"/>
      <c r="D14" s="2"/>
      <c r="E14" s="70" t="s">
        <v>108</v>
      </c>
      <c r="F14" s="6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JR_PAGE_ANCHOR_0_25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2022-04-06T13:39:17Z</dcterms:created>
  <dcterms:modified xsi:type="dcterms:W3CDTF">2022-04-06T14:59:46Z</dcterms:modified>
</cp:coreProperties>
</file>