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harersd\Documents\Monthly holdings\Oct 21\"/>
    </mc:Choice>
  </mc:AlternateContent>
  <xr:revisionPtr revIDLastSave="0" documentId="13_ncr:1_{8756C621-E9ED-4331-A2AD-0C6DE2E561C6}" xr6:coauthVersionLast="46" xr6:coauthVersionMax="46" xr10:uidLastSave="{00000000-0000-0000-0000-000000000000}"/>
  <bookViews>
    <workbookView xWindow="1140" yWindow="1140" windowWidth="14400" windowHeight="7360" xr2:uid="{D93FF736-9ADF-4E14-8413-07E283A25AD7}"/>
  </bookViews>
  <sheets>
    <sheet name="Infrastructure" sheetId="1" r:id="rId1"/>
    <sheet name="RI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</externalReferences>
  <definedNames>
    <definedName name="JR_PAGE_ANCHOR_0_1">[1]IEBF!$A$1</definedName>
    <definedName name="JR_PAGE_ANCHOR_0_10">[2]IOF!$A$1</definedName>
    <definedName name="JR_PAGE_ANCHOR_0_11">[3]ISCF!$A$1</definedName>
    <definedName name="JR_PAGE_ANCHOR_0_12">[4]RAIF!$A$1</definedName>
    <definedName name="JR_PAGE_ANCHOR_0_13">[5]RARBF!$A$1</definedName>
    <definedName name="JR_PAGE_ANCHOR_0_14">[6]RBDF!$A$1</definedName>
    <definedName name="JR_PAGE_ANCHOR_0_15">[7]RBF!$A$1</definedName>
    <definedName name="JR_PAGE_ANCHOR_0_16">[8]RBLF!$A$1</definedName>
    <definedName name="JR_PAGE_ANCHOR_0_17">[9]RCF!$A$1</definedName>
    <definedName name="JR_PAGE_ANCHOR_0_18">[10]RCOF!$A$1</definedName>
    <definedName name="JR_PAGE_ANCHOR_0_19">[11]REF!$A$1</definedName>
    <definedName name="JR_PAGE_ANCHOR_0_2">[12]IESF!$A$1</definedName>
    <definedName name="JR_PAGE_ANCHOR_0_20">[13]RGF!$A$1</definedName>
    <definedName name="JR_PAGE_ANCHOR_0_21">[14]RGILTL!$A$1</definedName>
    <definedName name="JR_PAGE_ANCHOR_0_22">[15]IIGOLDETF!$A$1</definedName>
    <definedName name="JR_PAGE_ANCHOR_0_23">[16]IIGOLDFOF!$A$1</definedName>
    <definedName name="JR_PAGE_ANCHOR_0_24">[17]RICBOF!$A$1</definedName>
    <definedName name="JR_PAGE_ANCHOR_0_25" localSheetId="1">RIF!$A$1</definedName>
    <definedName name="JR_PAGE_ANCHOR_0_25">Infrastructure!$A$1</definedName>
    <definedName name="JR_PAGE_ANCHOR_0_3">[18]IESGEF!$A$1</definedName>
    <definedName name="JR_PAGE_ANCHOR_0_4">[19]IFEF!$A$1</definedName>
    <definedName name="JR_PAGE_ANCHOR_0_5">[20]IFMP31D!$A$1</definedName>
    <definedName name="JR_PAGE_ANCHOR_0_6">[21]IFMP33B!$A$1</definedName>
    <definedName name="JR_PAGE_ANCHOR_0_7">[22]IFMP33D!$A$1</definedName>
    <definedName name="JR_PAGE_ANCHOR_0_8">[23]IGCTFOF!$A$1</definedName>
    <definedName name="JR_PAGE_ANCHOR_0_9">[24]IMDF!$A$1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44" i="1" l="1"/>
</calcChain>
</file>

<file path=xl/sharedStrings.xml><?xml version="1.0" encoding="utf-8"?>
<sst xmlns="http://schemas.openxmlformats.org/spreadsheetml/2006/main" count="218" uniqueCount="175">
  <si>
    <t>RIF</t>
  </si>
  <si>
    <t>INVESCO MUTUAL FUND</t>
  </si>
  <si>
    <t>Monthly Portfolio Statement as on September 30, 2021</t>
  </si>
  <si>
    <t>Invesco India Infrastructure Fund (An open ended equity scheme following Infrastructure theme)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</si>
  <si>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</si>
  <si>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</si>
  <si>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</si>
  <si>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</si>
  <si>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</si>
  <si>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</si>
  <si>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</si>
  <si>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</si>
  <si>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</si>
  <si>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LARS02</t>
  </si>
  <si>
    <t>Larsen &amp; Toubro Limited</t>
  </si>
  <si>
    <t>INE018A01030</t>
  </si>
  <si>
    <t>Construction Project</t>
  </si>
  <si>
    <t>RIND01</t>
  </si>
  <si>
    <t>Reliance Industries Limited</t>
  </si>
  <si>
    <t>INE002A01018</t>
  </si>
  <si>
    <t>Petroleum Products</t>
  </si>
  <si>
    <t>ULCC01</t>
  </si>
  <si>
    <t>UltraTech Cement Limited</t>
  </si>
  <si>
    <t>INE481G01011</t>
  </si>
  <si>
    <t>Cement &amp; Cement Products</t>
  </si>
  <si>
    <t>GRIF02</t>
  </si>
  <si>
    <t>G R Infraprojects Limited</t>
  </si>
  <si>
    <t>INE201P01022</t>
  </si>
  <si>
    <t>Construction</t>
  </si>
  <si>
    <t>KEII02</t>
  </si>
  <si>
    <t>KEI Industries Limited</t>
  </si>
  <si>
    <t>INE878B01027</t>
  </si>
  <si>
    <t>Industrial Products</t>
  </si>
  <si>
    <t>PNCI02</t>
  </si>
  <si>
    <t>PNC Infratech Limited</t>
  </si>
  <si>
    <t>INE195J01029</t>
  </si>
  <si>
    <t>TAHO01</t>
  </si>
  <si>
    <t>Honeywell Automation India Limited</t>
  </si>
  <si>
    <t>INE671A01010</t>
  </si>
  <si>
    <t>Industrial Capital Goods</t>
  </si>
  <si>
    <t>IGAS02</t>
  </si>
  <si>
    <t>Indraprastha Gas Limited</t>
  </si>
  <si>
    <t>INE203G01027</t>
  </si>
  <si>
    <t>Gas</t>
  </si>
  <si>
    <t>KNRC02</t>
  </si>
  <si>
    <t>KNR Constructions Limited</t>
  </si>
  <si>
    <t>INE634I01029</t>
  </si>
  <si>
    <t>BHEL02</t>
  </si>
  <si>
    <t>Bharat Electronics Limited</t>
  </si>
  <si>
    <t>INE263A01024</t>
  </si>
  <si>
    <t>Aerospace &amp; Defense</t>
  </si>
  <si>
    <t>TPOW02</t>
  </si>
  <si>
    <t>Tata Power Company Limited</t>
  </si>
  <si>
    <t>INE245A01021</t>
  </si>
  <si>
    <t>Power</t>
  </si>
  <si>
    <t>CRAF01</t>
  </si>
  <si>
    <t>Craftsman Automation Limited</t>
  </si>
  <si>
    <t>INE00LO01017</t>
  </si>
  <si>
    <t>Auto Ancillaries</t>
  </si>
  <si>
    <t>BIRJ01</t>
  </si>
  <si>
    <t>Birla Corporation Limited</t>
  </si>
  <si>
    <t>INE340A01012</t>
  </si>
  <si>
    <t>JAAU03</t>
  </si>
  <si>
    <t>Jamna Auto Industries Limited</t>
  </si>
  <si>
    <t>INE039C01032</t>
  </si>
  <si>
    <t>KEIN02</t>
  </si>
  <si>
    <t>KEC International Limited</t>
  </si>
  <si>
    <t>INE389H01022</t>
  </si>
  <si>
    <t>GUAM02</t>
  </si>
  <si>
    <t>Ambuja Cements Limited</t>
  </si>
  <si>
    <t>INE079A01024</t>
  </si>
  <si>
    <t>MCEL03</t>
  </si>
  <si>
    <t>The Ramco Cements Limited</t>
  </si>
  <si>
    <t>INE331A01037</t>
  </si>
  <si>
    <t>TISC01</t>
  </si>
  <si>
    <t>Tata Steel Limited</t>
  </si>
  <si>
    <t>INE081A01012</t>
  </si>
  <si>
    <t>Ferrous Metals</t>
  </si>
  <si>
    <t>THER02</t>
  </si>
  <si>
    <t>Thermax Limited</t>
  </si>
  <si>
    <t>INE152A01029</t>
  </si>
  <si>
    <t>MTAR01</t>
  </si>
  <si>
    <t>MTAR Technologies Limited</t>
  </si>
  <si>
    <t>INE864I01014</t>
  </si>
  <si>
    <t>SOTL02</t>
  </si>
  <si>
    <t>Sterlite Technologies Limited</t>
  </si>
  <si>
    <t>INE089C01029</t>
  </si>
  <si>
    <t>Telecom - Services</t>
  </si>
  <si>
    <t>VOLT02</t>
  </si>
  <si>
    <t>Voltas Limited</t>
  </si>
  <si>
    <t>INE226A01021</t>
  </si>
  <si>
    <t>Consumer Durables</t>
  </si>
  <si>
    <t>KACE03</t>
  </si>
  <si>
    <t>Kajaria Ceramics Limited</t>
  </si>
  <si>
    <t>INE217B01036</t>
  </si>
  <si>
    <t>ROLR01</t>
  </si>
  <si>
    <t>Rolex Rings Limited</t>
  </si>
  <si>
    <t>INE645S01016</t>
  </si>
  <si>
    <t>NACL03</t>
  </si>
  <si>
    <t>National Aluminium Company Limited</t>
  </si>
  <si>
    <t>INE139A01034</t>
  </si>
  <si>
    <t>Non - Ferrous Metals</t>
  </si>
  <si>
    <t>BTVL02</t>
  </si>
  <si>
    <t>Bharti Airtel Limited</t>
  </si>
  <si>
    <t>INE397D01024</t>
  </si>
  <si>
    <t>RATM02</t>
  </si>
  <si>
    <t>Ratnamani Metals &amp; Tubes Limited</t>
  </si>
  <si>
    <t>INE703B01027</t>
  </si>
  <si>
    <t>TCIE01</t>
  </si>
  <si>
    <t>TCI Express Limited</t>
  </si>
  <si>
    <t>INE586V01016</t>
  </si>
  <si>
    <t>Transportation</t>
  </si>
  <si>
    <t>AIEL02</t>
  </si>
  <si>
    <t>AIA Engineering Limited</t>
  </si>
  <si>
    <t>INE212H01026</t>
  </si>
  <si>
    <t>HGIE01</t>
  </si>
  <si>
    <t>H.G. Infra Engineering Limited</t>
  </si>
  <si>
    <t>INE926X01010</t>
  </si>
  <si>
    <t>PPFL01</t>
  </si>
  <si>
    <t>Prince Pipes and Fittings Limited</t>
  </si>
  <si>
    <t>INE689W01016</t>
  </si>
  <si>
    <t>MALO01</t>
  </si>
  <si>
    <t>Mahindra Logistics Limited</t>
  </si>
  <si>
    <t>INE766P01016</t>
  </si>
  <si>
    <t>GRIN02</t>
  </si>
  <si>
    <t>Grindwell Norton Limited</t>
  </si>
  <si>
    <t>INE536A01023</t>
  </si>
  <si>
    <t>CCOI02</t>
  </si>
  <si>
    <t>Container Corporation of India Limited</t>
  </si>
  <si>
    <t>INE111A01025</t>
  </si>
  <si>
    <t>AHCO01</t>
  </si>
  <si>
    <t>Ahluwalia Contracts (India) Limited</t>
  </si>
  <si>
    <t>INE758C01029</t>
  </si>
  <si>
    <t>BTVL03RF</t>
  </si>
  <si>
    <t>Bharti Airtel Limited - Rights Entitlement</t>
  </si>
  <si>
    <t>INE397D20024</t>
  </si>
  <si>
    <t>Sub Total</t>
  </si>
  <si>
    <t>(b) Unlisted</t>
  </si>
  <si>
    <t>Nil</t>
  </si>
  <si>
    <t>Total</t>
  </si>
  <si>
    <t>Money Market Instruments</t>
  </si>
  <si>
    <t>TREPS / Reverse Repo</t>
  </si>
  <si>
    <t>TRP_011021</t>
  </si>
  <si>
    <t>Triparty Repo</t>
  </si>
  <si>
    <t>Net Receivables / (Payables)</t>
  </si>
  <si>
    <t>GRAND TOTAL</t>
  </si>
  <si>
    <t>*  Industry Classification is as recommended by AMFI</t>
  </si>
  <si>
    <t>**  Non Traded Security</t>
  </si>
  <si>
    <t>#  Unlisted Security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</si>
  <si>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</si>
  <si>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</si>
  <si>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</si>
  <si>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September 30, 2021: Nil</t>
  </si>
  <si>
    <t>(4)  Total investments in Foreign Securities / Overseas ETFs as on September 30, 2021 and its percentage to NAV : Nil</t>
  </si>
  <si>
    <t>(5) Investment in Repo of Corporate Debt securities : Nil</t>
  </si>
  <si>
    <t>(6)  Deviation from the valuation prices given by valuation agencies during the month ended September 30, 2021: Nil</t>
  </si>
  <si>
    <t>BENCHMARK NAME - S&amp;P BSE INDIA INFRASTRUCTURE TRI</t>
  </si>
  <si>
    <t>SCHEME RISK-O-METER</t>
  </si>
  <si>
    <t>BENCHMARK RISK-O-METER</t>
  </si>
  <si>
    <t>Grand Total</t>
  </si>
  <si>
    <t>Cash &amp; Cash Equivalent:</t>
  </si>
  <si>
    <t>Others</t>
  </si>
  <si>
    <t>Consumer Goods</t>
  </si>
  <si>
    <t>Telecom</t>
  </si>
  <si>
    <t>Services</t>
  </si>
  <si>
    <t>Metals</t>
  </si>
  <si>
    <t>Automobile</t>
  </si>
  <si>
    <t>Oil &amp; Gas</t>
  </si>
  <si>
    <t>Industrial Manufacturing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</si>
  <si>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</si>
  <si>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</si>
  <si>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</si>
  <si>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</si>
  <si>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</si>
  <si>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Infrastructure Fund (An open ended equity scheme)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</si>
</sst>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b/>
      <sz val="9"/>
      <color indexed="72"/>
      <name val="Arial"/>
      <family val="2"/>
    </font>
    <font>
      <sz val="10"/>
      <name val="Arial"/>
      <family val="2"/>
    </font>
    <font>
      <sz val="9"/>
      <color indexed="72"/>
      <name val="Arial"/>
      <family val="2"/>
    </font>
    <font>
      <sz val="9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9" fillId="0" borderId="0" applyNumberFormat="0" applyFont="0" applyFill="0" applyBorder="0" applyAlignment="0" applyProtection="0"/>
  </cellStyleXfs>
  <cellXfs count="48">
    <xf numFmtId="0" fontId="0" fillId="0" borderId="0" xfId="0"/>
    <xf numFmtId="0" fontId="2" fillId="0" borderId="0" xfId="0" applyFont="1" applyAlignment="1" applyProtection="1">
      <alignment wrapText="1"/>
      <protection locked="0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4" fontId="4" fillId="0" borderId="6" xfId="0" applyNumberFormat="1" applyFont="1" applyBorder="1" applyAlignment="1">
      <alignment horizontal="right" vertical="top" wrapText="1"/>
    </xf>
    <xf numFmtId="0" fontId="5" fillId="0" borderId="9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1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165" fontId="5" fillId="0" borderId="13" xfId="0" applyNumberFormat="1" applyFont="1" applyBorder="1" applyAlignment="1">
      <alignment horizontal="right" vertical="top" wrapText="1"/>
    </xf>
    <xf numFmtId="4" fontId="5" fillId="0" borderId="13" xfId="0" applyNumberFormat="1" applyFont="1" applyBorder="1" applyAlignment="1">
      <alignment horizontal="right" vertical="top" wrapText="1"/>
    </xf>
    <xf numFmtId="0" fontId="5" fillId="0" borderId="14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10" fillId="0" borderId="0" xfId="0" applyFont="1" applyAlignment="1">
      <alignment horizontal="left" vertical="top"/>
    </xf>
    <xf numFmtId="0" fontId="11" fillId="0" borderId="0" xfId="0" applyFont="1" applyAlignment="1">
      <alignment horizontal="left" vertical="top"/>
    </xf>
    <xf numFmtId="0" fontId="10" fillId="0" borderId="0" xfId="1" applyFont="1" applyAlignment="1">
      <alignment horizontal="left" vertical="top"/>
    </xf>
    <xf numFmtId="0" fontId="9" fillId="0" borderId="0" xfId="0" applyFont="1"/>
    <xf numFmtId="0" fontId="11" fillId="0" borderId="0" xfId="0" applyFont="1"/>
    <xf numFmtId="0" fontId="1" fillId="0" borderId="0" xfId="0" applyFont="1"/>
    <xf numFmtId="0" fontId="10" fillId="0" borderId="0" xfId="1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166" fontId="12" fillId="0" borderId="9" xfId="0" applyNumberFormat="1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166" fontId="4" fillId="0" borderId="9" xfId="0" applyNumberFormat="1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</cellXfs>
  <cellStyles count="2">
    <cellStyle name="Normal" xfId="0" builtinId="0"/>
    <cellStyle name="Normal 3" xfId="1" xr:uid="{1CB41A9A-B29B-440D-8445-AFABBD85CCB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styles" Target="styles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72</xdr:row>
      <xdr:rowOff>0</xdr:rowOff>
    </xdr:from>
    <xdr:to>
      <xdr:col>1</xdr:col>
      <xdr:colOff>2857500</xdr:colOff>
      <xdr:row>82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A4A0A43-0C83-4817-A4CA-3E95A796783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2763500"/>
          <a:ext cx="2857500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72</xdr:row>
      <xdr:rowOff>0</xdr:rowOff>
    </xdr:from>
    <xdr:to>
      <xdr:col>7</xdr:col>
      <xdr:colOff>571500</xdr:colOff>
      <xdr:row>82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A4F850B-FFF2-4C29-AE65-733FBA9C458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88350" y="12763500"/>
          <a:ext cx="2965450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Banking%20&amp;%20PSU%20Debt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nancial%20Services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Largecap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a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Money%20Market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Dynamic%20Equity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Growth%20Opportunities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Gilt%20Long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ETF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FOF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Credit%20Risk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1%20D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3%20B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3%20D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 An open ended hybrid scheme 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ynamic Equity"/>
      <sheetName val="REF"/>
    </sheetNames>
    <sheetDataSet>
      <sheetData sheetId="0" refreshError="1"/>
      <sheetData sheetId="1">
        <row r="1">
          <cell r="A1" t="str">
            <v>Scheme Name: Invesco India Dynamic Equity Fund (An open ended dynamic asset allocation fund)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 An open ended hybrid scheme 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owth Opportunities"/>
      <sheetName val="RGF"/>
    </sheetNames>
    <sheetDataSet>
      <sheetData sheetId="0" refreshError="1"/>
      <sheetData sheetId="1">
        <row r="1">
          <cell r="A1" t="str">
            <v>Scheme Name: Invesco India Growth Opportunities Fund (An open ended equity scheme)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ilt Long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ETF"/>
      <sheetName val="IIGOLDETF"/>
    </sheetNames>
    <sheetDataSet>
      <sheetData sheetId="0" refreshError="1"/>
      <sheetData sheetId="1">
        <row r="1">
          <cell r="A1" t="str">
            <v>Scheme Name: Invesco India Gold Exchange Traded Fund (An open ended scheme)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FOF"/>
      <sheetName val="IIGOLDFOF"/>
    </sheetNames>
    <sheetDataSet>
      <sheetData sheetId="0" refreshError="1"/>
      <sheetData sheetId="1">
        <row r="1">
          <cell r="A1" t="str">
            <v>Scheme Name: Invesco India Gold Fund*** (An open ended fund of fund scheme)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FEF"/>
      <sheetName val="Focused Equity"/>
    </sheetNames>
    <sheetDataSet>
      <sheetData sheetId="0">
        <row r="1">
          <cell r="A1" t="str">
            <v>Scheme Name: Invesco India Focused 20 Equity Fund (An open ended equity scheme)</v>
          </cell>
        </row>
      </sheetData>
      <sheetData sheetId="1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1 D"/>
      <sheetName val="IFMP31D"/>
    </sheetNames>
    <sheetDataSet>
      <sheetData sheetId="0" refreshError="1"/>
      <sheetData sheetId="1">
        <row r="1">
          <cell r="A1" t="str">
            <v>Scheme Name: Invesco India Fixed Maturity Plan - Series 31 - Plan D (A close ended debt scheme)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3 B"/>
      <sheetName val="IFMP33B"/>
    </sheetNames>
    <sheetDataSet>
      <sheetData sheetId="0" refreshError="1"/>
      <sheetData sheetId="1">
        <row r="1">
          <cell r="A1" t="str">
            <v>Scheme Name: Invesco India Fixed Maturity Plan - Series 33 - Plan B (A close ended debt scheme)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3 D"/>
      <sheetName val="IFMP33D"/>
    </sheetNames>
    <sheetDataSet>
      <sheetData sheetId="0" refreshError="1"/>
      <sheetData sheetId="1">
        <row r="1">
          <cell r="A1" t="str">
            <v>Scheme Name: Invesco India Fixed Maturity Plan - Series 33 - Plan D (A close ended debt scheme)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 (An open ended medium term debt scheme)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BFD18-9022-415B-841B-17A421BA3A07}">
  <sheetPr codeName="Sheet26">
    <outlinePr summaryBelow="0"/>
  </sheetPr>
  <dimension ref="A1:H71"/>
  <sheetViews>
    <sheetView showGridLines="0" tabSelected="1" workbookViewId="0">
      <selection activeCell="B7" sqref="B7"/>
    </sheetView>
  </sheetViews>
  <sheetFormatPr defaultRowHeight="14.5"/>
  <cols>
    <col min="1" max="1" width="3.26953125" customWidth="1"/>
    <col min="2" max="2" width="54.54296875" customWidth="1"/>
    <col min="3" max="3" width="20.81640625" customWidth="1"/>
    <col min="4" max="4" width="21.26953125" customWidth="1"/>
    <col min="5" max="5" width="20.1796875" customWidth="1"/>
    <col min="6" max="6" width="18.26953125" customWidth="1"/>
    <col min="7" max="7" width="16" customWidth="1"/>
    <col min="8" max="8" width="15.26953125" customWidth="1"/>
  </cols>
  <sheetData>
    <row r="1" spans="1:8" ht="20.149999999999999" customHeight="1">
      <c r="A1" s="1" t="s">
        <v>0</v>
      </c>
      <c r="B1" s="42" t="s">
        <v>1</v>
      </c>
      <c r="C1" s="42"/>
      <c r="D1" s="42"/>
      <c r="E1" s="42"/>
      <c r="F1" s="42"/>
      <c r="G1" s="42"/>
      <c r="H1" s="42"/>
    </row>
    <row r="2" spans="1:8" ht="20.149999999999999" customHeight="1">
      <c r="A2" s="2"/>
      <c r="B2" s="42" t="s">
        <v>2</v>
      </c>
      <c r="C2" s="42"/>
      <c r="D2" s="42"/>
      <c r="E2" s="42"/>
      <c r="F2" s="42"/>
      <c r="G2" s="42"/>
      <c r="H2" s="42"/>
    </row>
    <row r="3" spans="1:8" ht="40" customHeight="1">
      <c r="A3" s="2"/>
      <c r="B3" s="42" t="s">
        <v>3</v>
      </c>
      <c r="C3" s="42"/>
      <c r="D3" s="42"/>
      <c r="E3" s="42"/>
      <c r="F3" s="42"/>
      <c r="G3" s="42"/>
      <c r="H3" s="42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1" t="s">
        <v>13</v>
      </c>
      <c r="B8" s="12" t="s">
        <v>14</v>
      </c>
      <c r="C8" s="13" t="s">
        <v>15</v>
      </c>
      <c r="D8" s="8" t="s">
        <v>16</v>
      </c>
      <c r="E8" s="14">
        <v>148864</v>
      </c>
      <c r="F8" s="15">
        <v>2535.08</v>
      </c>
      <c r="G8" s="15">
        <v>8.7899999999999991</v>
      </c>
      <c r="H8" s="16"/>
    </row>
    <row r="9" spans="1:8" ht="13" customHeight="1">
      <c r="A9" s="11" t="s">
        <v>17</v>
      </c>
      <c r="B9" s="12" t="s">
        <v>18</v>
      </c>
      <c r="C9" s="13" t="s">
        <v>19</v>
      </c>
      <c r="D9" s="8" t="s">
        <v>20</v>
      </c>
      <c r="E9" s="14">
        <v>60622</v>
      </c>
      <c r="F9" s="15">
        <v>1527.22</v>
      </c>
      <c r="G9" s="15">
        <v>5.3</v>
      </c>
      <c r="H9" s="16"/>
    </row>
    <row r="10" spans="1:8" ht="13" customHeight="1">
      <c r="A10" s="11" t="s">
        <v>21</v>
      </c>
      <c r="B10" s="12" t="s">
        <v>22</v>
      </c>
      <c r="C10" s="13" t="s">
        <v>23</v>
      </c>
      <c r="D10" s="8" t="s">
        <v>24</v>
      </c>
      <c r="E10" s="14">
        <v>18095</v>
      </c>
      <c r="F10" s="15">
        <v>1338.32</v>
      </c>
      <c r="G10" s="15">
        <v>4.6399999999999997</v>
      </c>
      <c r="H10" s="16"/>
    </row>
    <row r="11" spans="1:8" ht="13" customHeight="1">
      <c r="A11" s="11" t="s">
        <v>25</v>
      </c>
      <c r="B11" s="12" t="s">
        <v>26</v>
      </c>
      <c r="C11" s="13" t="s">
        <v>27</v>
      </c>
      <c r="D11" s="8" t="s">
        <v>28</v>
      </c>
      <c r="E11" s="14">
        <v>65066</v>
      </c>
      <c r="F11" s="15">
        <v>1214.55</v>
      </c>
      <c r="G11" s="15">
        <v>4.21</v>
      </c>
      <c r="H11" s="16"/>
    </row>
    <row r="12" spans="1:8" ht="13" customHeight="1">
      <c r="A12" s="11" t="s">
        <v>29</v>
      </c>
      <c r="B12" s="12" t="s">
        <v>30</v>
      </c>
      <c r="C12" s="13" t="s">
        <v>31</v>
      </c>
      <c r="D12" s="8" t="s">
        <v>32</v>
      </c>
      <c r="E12" s="14">
        <v>120081</v>
      </c>
      <c r="F12" s="15">
        <v>1113.27</v>
      </c>
      <c r="G12" s="15">
        <v>3.86</v>
      </c>
      <c r="H12" s="16"/>
    </row>
    <row r="13" spans="1:8" ht="13" customHeight="1">
      <c r="A13" s="11" t="s">
        <v>33</v>
      </c>
      <c r="B13" s="12" t="s">
        <v>34</v>
      </c>
      <c r="C13" s="13" t="s">
        <v>35</v>
      </c>
      <c r="D13" s="8" t="s">
        <v>28</v>
      </c>
      <c r="E13" s="14">
        <v>288355</v>
      </c>
      <c r="F13" s="15">
        <v>1103.97</v>
      </c>
      <c r="G13" s="15">
        <v>3.83</v>
      </c>
      <c r="H13" s="16"/>
    </row>
    <row r="14" spans="1:8" ht="13" customHeight="1">
      <c r="A14" s="11" t="s">
        <v>36</v>
      </c>
      <c r="B14" s="12" t="s">
        <v>37</v>
      </c>
      <c r="C14" s="13" t="s">
        <v>38</v>
      </c>
      <c r="D14" s="8" t="s">
        <v>39</v>
      </c>
      <c r="E14" s="14">
        <v>2301</v>
      </c>
      <c r="F14" s="15">
        <v>1051.8900000000001</v>
      </c>
      <c r="G14" s="15">
        <v>3.65</v>
      </c>
      <c r="H14" s="16"/>
    </row>
    <row r="15" spans="1:8" ht="13" customHeight="1">
      <c r="A15" s="11" t="s">
        <v>40</v>
      </c>
      <c r="B15" s="12" t="s">
        <v>41</v>
      </c>
      <c r="C15" s="13" t="s">
        <v>42</v>
      </c>
      <c r="D15" s="8" t="s">
        <v>43</v>
      </c>
      <c r="E15" s="14">
        <v>196940</v>
      </c>
      <c r="F15" s="15">
        <v>1049.8900000000001</v>
      </c>
      <c r="G15" s="15">
        <v>3.64</v>
      </c>
      <c r="H15" s="16"/>
    </row>
    <row r="16" spans="1:8" ht="13" customHeight="1">
      <c r="A16" s="11" t="s">
        <v>44</v>
      </c>
      <c r="B16" s="12" t="s">
        <v>45</v>
      </c>
      <c r="C16" s="13" t="s">
        <v>46</v>
      </c>
      <c r="D16" s="8" t="s">
        <v>28</v>
      </c>
      <c r="E16" s="14">
        <v>363679</v>
      </c>
      <c r="F16" s="15">
        <v>1042.8499999999999</v>
      </c>
      <c r="G16" s="15">
        <v>3.62</v>
      </c>
      <c r="H16" s="16"/>
    </row>
    <row r="17" spans="1:8" ht="13" customHeight="1">
      <c r="A17" s="11" t="s">
        <v>47</v>
      </c>
      <c r="B17" s="12" t="s">
        <v>48</v>
      </c>
      <c r="C17" s="13" t="s">
        <v>49</v>
      </c>
      <c r="D17" s="8" t="s">
        <v>50</v>
      </c>
      <c r="E17" s="14">
        <v>478528</v>
      </c>
      <c r="F17" s="15">
        <v>971.17</v>
      </c>
      <c r="G17" s="15">
        <v>3.37</v>
      </c>
      <c r="H17" s="16"/>
    </row>
    <row r="18" spans="1:8" ht="13" customHeight="1">
      <c r="A18" s="11" t="s">
        <v>51</v>
      </c>
      <c r="B18" s="12" t="s">
        <v>52</v>
      </c>
      <c r="C18" s="13" t="s">
        <v>53</v>
      </c>
      <c r="D18" s="8" t="s">
        <v>54</v>
      </c>
      <c r="E18" s="14">
        <v>601139</v>
      </c>
      <c r="F18" s="15">
        <v>954.31</v>
      </c>
      <c r="G18" s="15">
        <v>3.31</v>
      </c>
      <c r="H18" s="16"/>
    </row>
    <row r="19" spans="1:8" ht="13" customHeight="1">
      <c r="A19" s="11" t="s">
        <v>55</v>
      </c>
      <c r="B19" s="12" t="s">
        <v>56</v>
      </c>
      <c r="C19" s="13" t="s">
        <v>57</v>
      </c>
      <c r="D19" s="8" t="s">
        <v>58</v>
      </c>
      <c r="E19" s="14">
        <v>38377</v>
      </c>
      <c r="F19" s="15">
        <v>809.66</v>
      </c>
      <c r="G19" s="15">
        <v>2.81</v>
      </c>
      <c r="H19" s="16"/>
    </row>
    <row r="20" spans="1:8" ht="13" customHeight="1">
      <c r="A20" s="11" t="s">
        <v>59</v>
      </c>
      <c r="B20" s="12" t="s">
        <v>60</v>
      </c>
      <c r="C20" s="13" t="s">
        <v>61</v>
      </c>
      <c r="D20" s="8" t="s">
        <v>24</v>
      </c>
      <c r="E20" s="14">
        <v>55393</v>
      </c>
      <c r="F20" s="15">
        <v>795.28</v>
      </c>
      <c r="G20" s="15">
        <v>2.76</v>
      </c>
      <c r="H20" s="16"/>
    </row>
    <row r="21" spans="1:8" ht="13" customHeight="1">
      <c r="A21" s="11" t="s">
        <v>62</v>
      </c>
      <c r="B21" s="12" t="s">
        <v>63</v>
      </c>
      <c r="C21" s="13" t="s">
        <v>64</v>
      </c>
      <c r="D21" s="8" t="s">
        <v>58</v>
      </c>
      <c r="E21" s="14">
        <v>858056</v>
      </c>
      <c r="F21" s="15">
        <v>766.67</v>
      </c>
      <c r="G21" s="15">
        <v>2.66</v>
      </c>
      <c r="H21" s="16"/>
    </row>
    <row r="22" spans="1:8" ht="13" customHeight="1">
      <c r="A22" s="11" t="s">
        <v>65</v>
      </c>
      <c r="B22" s="12" t="s">
        <v>66</v>
      </c>
      <c r="C22" s="13" t="s">
        <v>67</v>
      </c>
      <c r="D22" s="8" t="s">
        <v>54</v>
      </c>
      <c r="E22" s="14">
        <v>170967</v>
      </c>
      <c r="F22" s="15">
        <v>757.55</v>
      </c>
      <c r="G22" s="15">
        <v>2.63</v>
      </c>
      <c r="H22" s="16"/>
    </row>
    <row r="23" spans="1:8" ht="13" customHeight="1">
      <c r="A23" s="11" t="s">
        <v>68</v>
      </c>
      <c r="B23" s="12" t="s">
        <v>69</v>
      </c>
      <c r="C23" s="13" t="s">
        <v>70</v>
      </c>
      <c r="D23" s="8" t="s">
        <v>24</v>
      </c>
      <c r="E23" s="14">
        <v>176380</v>
      </c>
      <c r="F23" s="15">
        <v>705.87</v>
      </c>
      <c r="G23" s="15">
        <v>2.4500000000000002</v>
      </c>
      <c r="H23" s="16"/>
    </row>
    <row r="24" spans="1:8" ht="13" customHeight="1">
      <c r="A24" s="11" t="s">
        <v>71</v>
      </c>
      <c r="B24" s="12" t="s">
        <v>72</v>
      </c>
      <c r="C24" s="13" t="s">
        <v>73</v>
      </c>
      <c r="D24" s="8" t="s">
        <v>24</v>
      </c>
      <c r="E24" s="14">
        <v>69421</v>
      </c>
      <c r="F24" s="15">
        <v>683.55</v>
      </c>
      <c r="G24" s="15">
        <v>2.37</v>
      </c>
      <c r="H24" s="16"/>
    </row>
    <row r="25" spans="1:8" ht="13" customHeight="1">
      <c r="A25" s="11" t="s">
        <v>74</v>
      </c>
      <c r="B25" s="12" t="s">
        <v>75</v>
      </c>
      <c r="C25" s="13" t="s">
        <v>76</v>
      </c>
      <c r="D25" s="8" t="s">
        <v>77</v>
      </c>
      <c r="E25" s="14">
        <v>52966</v>
      </c>
      <c r="F25" s="15">
        <v>682.68</v>
      </c>
      <c r="G25" s="15">
        <v>2.37</v>
      </c>
      <c r="H25" s="16"/>
    </row>
    <row r="26" spans="1:8" ht="13" customHeight="1">
      <c r="A26" s="11" t="s">
        <v>78</v>
      </c>
      <c r="B26" s="12" t="s">
        <v>79</v>
      </c>
      <c r="C26" s="13" t="s">
        <v>80</v>
      </c>
      <c r="D26" s="8" t="s">
        <v>39</v>
      </c>
      <c r="E26" s="14">
        <v>49260</v>
      </c>
      <c r="F26" s="15">
        <v>669.79</v>
      </c>
      <c r="G26" s="15">
        <v>2.3199999999999998</v>
      </c>
      <c r="H26" s="16"/>
    </row>
    <row r="27" spans="1:8" ht="13" customHeight="1">
      <c r="A27" s="11" t="s">
        <v>81</v>
      </c>
      <c r="B27" s="12" t="s">
        <v>82</v>
      </c>
      <c r="C27" s="13" t="s">
        <v>83</v>
      </c>
      <c r="D27" s="8" t="s">
        <v>50</v>
      </c>
      <c r="E27" s="14">
        <v>44330</v>
      </c>
      <c r="F27" s="15">
        <v>647.95000000000005</v>
      </c>
      <c r="G27" s="15">
        <v>2.25</v>
      </c>
      <c r="H27" s="16"/>
    </row>
    <row r="28" spans="1:8" ht="13" customHeight="1">
      <c r="A28" s="11" t="s">
        <v>84</v>
      </c>
      <c r="B28" s="12" t="s">
        <v>85</v>
      </c>
      <c r="C28" s="13" t="s">
        <v>86</v>
      </c>
      <c r="D28" s="8" t="s">
        <v>87</v>
      </c>
      <c r="E28" s="14">
        <v>216087</v>
      </c>
      <c r="F28" s="15">
        <v>618.12</v>
      </c>
      <c r="G28" s="15">
        <v>2.14</v>
      </c>
      <c r="H28" s="16"/>
    </row>
    <row r="29" spans="1:8" ht="13" customHeight="1">
      <c r="A29" s="11" t="s">
        <v>88</v>
      </c>
      <c r="B29" s="12" t="s">
        <v>89</v>
      </c>
      <c r="C29" s="13" t="s">
        <v>90</v>
      </c>
      <c r="D29" s="8" t="s">
        <v>91</v>
      </c>
      <c r="E29" s="14">
        <v>48432</v>
      </c>
      <c r="F29" s="15">
        <v>589.92999999999995</v>
      </c>
      <c r="G29" s="15">
        <v>2.0499999999999998</v>
      </c>
      <c r="H29" s="16"/>
    </row>
    <row r="30" spans="1:8" ht="13" customHeight="1">
      <c r="A30" s="11" t="s">
        <v>92</v>
      </c>
      <c r="B30" s="12" t="s">
        <v>93</v>
      </c>
      <c r="C30" s="13" t="s">
        <v>94</v>
      </c>
      <c r="D30" s="8" t="s">
        <v>91</v>
      </c>
      <c r="E30" s="14">
        <v>46997</v>
      </c>
      <c r="F30" s="15">
        <v>562.54999999999995</v>
      </c>
      <c r="G30" s="15">
        <v>1.95</v>
      </c>
      <c r="H30" s="16"/>
    </row>
    <row r="31" spans="1:8" ht="13" customHeight="1">
      <c r="A31" s="11" t="s">
        <v>95</v>
      </c>
      <c r="B31" s="12" t="s">
        <v>96</v>
      </c>
      <c r="C31" s="13" t="s">
        <v>97</v>
      </c>
      <c r="D31" s="8" t="s">
        <v>58</v>
      </c>
      <c r="E31" s="14">
        <v>52823</v>
      </c>
      <c r="F31" s="15">
        <v>558.6</v>
      </c>
      <c r="G31" s="15">
        <v>1.94</v>
      </c>
      <c r="H31" s="16"/>
    </row>
    <row r="32" spans="1:8" ht="13" customHeight="1">
      <c r="A32" s="11" t="s">
        <v>98</v>
      </c>
      <c r="B32" s="12" t="s">
        <v>99</v>
      </c>
      <c r="C32" s="13" t="s">
        <v>100</v>
      </c>
      <c r="D32" s="8" t="s">
        <v>101</v>
      </c>
      <c r="E32" s="14">
        <v>583055</v>
      </c>
      <c r="F32" s="15">
        <v>544.57000000000005</v>
      </c>
      <c r="G32" s="15">
        <v>1.89</v>
      </c>
      <c r="H32" s="16"/>
    </row>
    <row r="33" spans="1:8" ht="13" customHeight="1">
      <c r="A33" s="11" t="s">
        <v>102</v>
      </c>
      <c r="B33" s="12" t="s">
        <v>103</v>
      </c>
      <c r="C33" s="13" t="s">
        <v>104</v>
      </c>
      <c r="D33" s="8" t="s">
        <v>87</v>
      </c>
      <c r="E33" s="14">
        <v>78216</v>
      </c>
      <c r="F33" s="15">
        <v>538.36</v>
      </c>
      <c r="G33" s="15">
        <v>1.87</v>
      </c>
      <c r="H33" s="16"/>
    </row>
    <row r="34" spans="1:8" ht="13" customHeight="1">
      <c r="A34" s="11" t="s">
        <v>105</v>
      </c>
      <c r="B34" s="12" t="s">
        <v>106</v>
      </c>
      <c r="C34" s="13" t="s">
        <v>107</v>
      </c>
      <c r="D34" s="8" t="s">
        <v>77</v>
      </c>
      <c r="E34" s="14">
        <v>24451</v>
      </c>
      <c r="F34" s="15">
        <v>534.58000000000004</v>
      </c>
      <c r="G34" s="15">
        <v>1.85</v>
      </c>
      <c r="H34" s="16"/>
    </row>
    <row r="35" spans="1:8" ht="13" customHeight="1">
      <c r="A35" s="11" t="s">
        <v>108</v>
      </c>
      <c r="B35" s="12" t="s">
        <v>109</v>
      </c>
      <c r="C35" s="13" t="s">
        <v>110</v>
      </c>
      <c r="D35" s="8" t="s">
        <v>111</v>
      </c>
      <c r="E35" s="14">
        <v>34348</v>
      </c>
      <c r="F35" s="15">
        <v>530.13</v>
      </c>
      <c r="G35" s="15">
        <v>1.84</v>
      </c>
      <c r="H35" s="16"/>
    </row>
    <row r="36" spans="1:8" ht="13" customHeight="1">
      <c r="A36" s="11" t="s">
        <v>112</v>
      </c>
      <c r="B36" s="12" t="s">
        <v>113</v>
      </c>
      <c r="C36" s="13" t="s">
        <v>114</v>
      </c>
      <c r="D36" s="8" t="s">
        <v>32</v>
      </c>
      <c r="E36" s="14">
        <v>26802</v>
      </c>
      <c r="F36" s="15">
        <v>524.05999999999995</v>
      </c>
      <c r="G36" s="15">
        <v>1.82</v>
      </c>
      <c r="H36" s="16"/>
    </row>
    <row r="37" spans="1:8" ht="13" customHeight="1">
      <c r="A37" s="11" t="s">
        <v>115</v>
      </c>
      <c r="B37" s="12" t="s">
        <v>116</v>
      </c>
      <c r="C37" s="13" t="s">
        <v>117</v>
      </c>
      <c r="D37" s="8" t="s">
        <v>16</v>
      </c>
      <c r="E37" s="14">
        <v>80492</v>
      </c>
      <c r="F37" s="15">
        <v>520.86</v>
      </c>
      <c r="G37" s="15">
        <v>1.81</v>
      </c>
      <c r="H37" s="16"/>
    </row>
    <row r="38" spans="1:8" ht="13" customHeight="1">
      <c r="A38" s="11" t="s">
        <v>118</v>
      </c>
      <c r="B38" s="12" t="s">
        <v>119</v>
      </c>
      <c r="C38" s="13" t="s">
        <v>120</v>
      </c>
      <c r="D38" s="8" t="s">
        <v>32</v>
      </c>
      <c r="E38" s="14">
        <v>74917</v>
      </c>
      <c r="F38" s="15">
        <v>518.42999999999995</v>
      </c>
      <c r="G38" s="15">
        <v>1.8</v>
      </c>
      <c r="H38" s="16"/>
    </row>
    <row r="39" spans="1:8" ht="13" customHeight="1">
      <c r="A39" s="11" t="s">
        <v>121</v>
      </c>
      <c r="B39" s="12" t="s">
        <v>122</v>
      </c>
      <c r="C39" s="13" t="s">
        <v>123</v>
      </c>
      <c r="D39" s="8" t="s">
        <v>111</v>
      </c>
      <c r="E39" s="14">
        <v>65763</v>
      </c>
      <c r="F39" s="15">
        <v>481.68</v>
      </c>
      <c r="G39" s="15">
        <v>1.67</v>
      </c>
      <c r="H39" s="16"/>
    </row>
    <row r="40" spans="1:8" ht="13" customHeight="1">
      <c r="A40" s="11" t="s">
        <v>124</v>
      </c>
      <c r="B40" s="12" t="s">
        <v>125</v>
      </c>
      <c r="C40" s="13" t="s">
        <v>126</v>
      </c>
      <c r="D40" s="8" t="s">
        <v>32</v>
      </c>
      <c r="E40" s="14">
        <v>28918</v>
      </c>
      <c r="F40" s="15">
        <v>396.94</v>
      </c>
      <c r="G40" s="15">
        <v>1.38</v>
      </c>
      <c r="H40" s="16"/>
    </row>
    <row r="41" spans="1:8" ht="13" customHeight="1">
      <c r="A41" s="11" t="s">
        <v>127</v>
      </c>
      <c r="B41" s="12" t="s">
        <v>128</v>
      </c>
      <c r="C41" s="13" t="s">
        <v>129</v>
      </c>
      <c r="D41" s="8" t="s">
        <v>111</v>
      </c>
      <c r="E41" s="14">
        <v>47896</v>
      </c>
      <c r="F41" s="15">
        <v>337.33</v>
      </c>
      <c r="G41" s="15">
        <v>1.17</v>
      </c>
      <c r="H41" s="16"/>
    </row>
    <row r="42" spans="1:8" ht="13" customHeight="1">
      <c r="A42" s="11" t="s">
        <v>130</v>
      </c>
      <c r="B42" s="12" t="s">
        <v>131</v>
      </c>
      <c r="C42" s="13" t="s">
        <v>132</v>
      </c>
      <c r="D42" s="8" t="s">
        <v>28</v>
      </c>
      <c r="E42" s="14">
        <v>90609</v>
      </c>
      <c r="F42" s="15">
        <v>322.02</v>
      </c>
      <c r="G42" s="15">
        <v>1.1200000000000001</v>
      </c>
      <c r="H42" s="16"/>
    </row>
    <row r="43" spans="1:8" ht="13" customHeight="1">
      <c r="A43" s="11" t="s">
        <v>133</v>
      </c>
      <c r="B43" s="12" t="s">
        <v>134</v>
      </c>
      <c r="C43" s="13" t="s">
        <v>135</v>
      </c>
      <c r="D43" s="8" t="s">
        <v>87</v>
      </c>
      <c r="E43" s="14">
        <v>5586</v>
      </c>
      <c r="F43" s="15">
        <v>6.85</v>
      </c>
      <c r="G43" s="15">
        <v>0.02</v>
      </c>
      <c r="H43" s="16"/>
    </row>
    <row r="44" spans="1:8" ht="13" customHeight="1">
      <c r="A44" s="2"/>
      <c r="B44" s="7" t="s">
        <v>136</v>
      </c>
      <c r="C44" s="8"/>
      <c r="D44" s="8"/>
      <c r="E44" s="8"/>
      <c r="F44" s="17">
        <f>SUM(F8:F43)</f>
        <v>28006.530000000002</v>
      </c>
      <c r="G44" s="17">
        <v>97.16</v>
      </c>
      <c r="H44" s="18"/>
    </row>
    <row r="45" spans="1:8" ht="13" customHeight="1">
      <c r="A45" s="2"/>
      <c r="B45" s="7" t="s">
        <v>137</v>
      </c>
      <c r="C45" s="10"/>
      <c r="D45" s="10"/>
      <c r="E45" s="8"/>
      <c r="F45" s="19" t="s">
        <v>138</v>
      </c>
      <c r="G45" s="19" t="s">
        <v>138</v>
      </c>
      <c r="H45" s="20" t="s">
        <v>138</v>
      </c>
    </row>
    <row r="46" spans="1:8" ht="13" customHeight="1">
      <c r="A46" s="2"/>
      <c r="B46" s="7" t="s">
        <v>136</v>
      </c>
      <c r="C46" s="8"/>
      <c r="D46" s="8"/>
      <c r="E46" s="8"/>
      <c r="F46" s="19" t="s">
        <v>138</v>
      </c>
      <c r="G46" s="19" t="s">
        <v>138</v>
      </c>
      <c r="H46" s="20" t="s">
        <v>138</v>
      </c>
    </row>
    <row r="47" spans="1:8" ht="13" customHeight="1">
      <c r="A47" s="2"/>
      <c r="B47" s="21" t="s">
        <v>139</v>
      </c>
      <c r="C47" s="22"/>
      <c r="D47" s="22"/>
      <c r="E47" s="23"/>
      <c r="F47" s="17">
        <v>28006.53</v>
      </c>
      <c r="G47" s="17">
        <v>97.16</v>
      </c>
      <c r="H47" s="20"/>
    </row>
    <row r="48" spans="1:8" ht="13" customHeight="1">
      <c r="A48" s="2"/>
      <c r="B48" s="7" t="s">
        <v>140</v>
      </c>
      <c r="C48" s="8"/>
      <c r="D48" s="8"/>
      <c r="E48" s="8"/>
      <c r="F48" s="8"/>
      <c r="G48" s="8"/>
      <c r="H48" s="9"/>
    </row>
    <row r="49" spans="1:8" ht="13" customHeight="1">
      <c r="A49" s="2"/>
      <c r="B49" s="7" t="s">
        <v>141</v>
      </c>
      <c r="C49" s="10"/>
      <c r="D49" s="10"/>
      <c r="E49" s="8"/>
      <c r="F49" s="8"/>
      <c r="G49" s="8"/>
      <c r="H49" s="9"/>
    </row>
    <row r="50" spans="1:8" ht="13" customHeight="1">
      <c r="A50" s="11" t="s">
        <v>142</v>
      </c>
      <c r="B50" s="12" t="s">
        <v>143</v>
      </c>
      <c r="C50" s="13"/>
      <c r="D50" s="8"/>
      <c r="E50" s="14"/>
      <c r="F50" s="15">
        <v>873.2</v>
      </c>
      <c r="G50" s="15">
        <v>3.03</v>
      </c>
      <c r="H50" s="16">
        <v>3.2800000000000003E-2</v>
      </c>
    </row>
    <row r="51" spans="1:8" ht="13" customHeight="1">
      <c r="A51" s="2"/>
      <c r="B51" s="7" t="s">
        <v>136</v>
      </c>
      <c r="C51" s="8"/>
      <c r="D51" s="8"/>
      <c r="E51" s="8"/>
      <c r="F51" s="17">
        <v>873.2</v>
      </c>
      <c r="G51" s="17">
        <v>3.03</v>
      </c>
      <c r="H51" s="24"/>
    </row>
    <row r="52" spans="1:8" ht="13" customHeight="1">
      <c r="A52" s="2"/>
      <c r="B52" s="21" t="s">
        <v>139</v>
      </c>
      <c r="C52" s="22"/>
      <c r="D52" s="22"/>
      <c r="E52" s="23"/>
      <c r="F52" s="17">
        <v>873.2</v>
      </c>
      <c r="G52" s="17">
        <v>3.03</v>
      </c>
      <c r="H52" s="20"/>
    </row>
    <row r="53" spans="1:8" ht="13" customHeight="1">
      <c r="A53" s="2"/>
      <c r="B53" s="21" t="s">
        <v>144</v>
      </c>
      <c r="C53" s="22"/>
      <c r="D53" s="22"/>
      <c r="E53" s="8"/>
      <c r="F53" s="17">
        <v>-38.51</v>
      </c>
      <c r="G53" s="17">
        <v>-0.19</v>
      </c>
      <c r="H53" s="20"/>
    </row>
    <row r="54" spans="1:8" ht="13" customHeight="1" thickBot="1">
      <c r="A54" s="2"/>
      <c r="B54" s="25" t="s">
        <v>145</v>
      </c>
      <c r="C54" s="26"/>
      <c r="D54" s="26"/>
      <c r="E54" s="26"/>
      <c r="F54" s="27">
        <v>28841.22</v>
      </c>
      <c r="G54" s="28">
        <v>100</v>
      </c>
      <c r="H54" s="29"/>
    </row>
    <row r="55" spans="1:8" ht="13" customHeight="1">
      <c r="A55" s="2"/>
      <c r="B55" s="39"/>
      <c r="C55" s="39"/>
      <c r="D55" s="39"/>
      <c r="E55" s="39"/>
      <c r="F55" s="2"/>
      <c r="G55" s="2"/>
      <c r="H55" s="2"/>
    </row>
    <row r="56" spans="1:8" ht="13" customHeight="1">
      <c r="A56" s="2"/>
      <c r="B56" s="39"/>
      <c r="C56" s="39"/>
      <c r="D56" s="39"/>
      <c r="E56" s="39"/>
      <c r="F56" s="2"/>
      <c r="G56" s="2"/>
      <c r="H56" s="2"/>
    </row>
    <row r="57" spans="1:8" ht="13" customHeight="1">
      <c r="A57" s="2"/>
      <c r="B57" s="39"/>
      <c r="C57" s="39"/>
      <c r="D57" s="39"/>
      <c r="E57" s="39"/>
      <c r="F57" s="2"/>
      <c r="G57" s="2"/>
      <c r="H57" s="2"/>
    </row>
    <row r="58" spans="1:8" ht="13" customHeight="1">
      <c r="A58" s="2"/>
      <c r="B58" s="38"/>
      <c r="C58" s="38"/>
      <c r="D58" s="38"/>
      <c r="E58" s="38"/>
      <c r="F58" s="2"/>
      <c r="G58" s="2"/>
      <c r="H58" s="2"/>
    </row>
    <row r="59" spans="1:8" ht="13" customHeight="1">
      <c r="A59" s="2"/>
      <c r="B59" s="39" t="s">
        <v>146</v>
      </c>
      <c r="C59" s="39"/>
      <c r="D59" s="39"/>
      <c r="E59" s="39"/>
      <c r="F59" s="2"/>
      <c r="G59" s="2"/>
      <c r="H59" s="2"/>
    </row>
    <row r="60" spans="1:8" ht="13" customHeight="1">
      <c r="A60" s="2"/>
      <c r="B60" s="39" t="s">
        <v>147</v>
      </c>
      <c r="C60" s="39"/>
      <c r="D60" s="39"/>
      <c r="E60" s="39"/>
      <c r="F60" s="2"/>
      <c r="G60" s="2"/>
      <c r="H60" s="2"/>
    </row>
    <row r="61" spans="1:8" ht="13" customHeight="1">
      <c r="A61" s="2"/>
      <c r="B61" s="39" t="s">
        <v>148</v>
      </c>
      <c r="C61" s="39"/>
      <c r="D61" s="39"/>
      <c r="E61" s="39"/>
      <c r="F61" s="2"/>
      <c r="G61" s="2"/>
      <c r="H61" s="2"/>
    </row>
    <row r="62" spans="1:8" ht="13" customHeight="1">
      <c r="A62" s="2"/>
      <c r="B62" s="40"/>
      <c r="C62" s="40"/>
      <c r="D62" s="40"/>
      <c r="E62" s="40"/>
      <c r="F62" s="2"/>
      <c r="G62" s="2"/>
      <c r="H62" s="2"/>
    </row>
    <row r="63" spans="1:8">
      <c r="B63" s="41" t="s">
        <v>149</v>
      </c>
      <c r="C63" s="41"/>
      <c r="D63" s="41"/>
      <c r="E63" s="41"/>
    </row>
    <row r="64" spans="1:8" ht="12.75" customHeight="1">
      <c r="B64" s="37" t="s">
        <v>150</v>
      </c>
      <c r="C64" s="37"/>
    </row>
    <row r="65" spans="2:6">
      <c r="B65" s="31" t="s">
        <v>151</v>
      </c>
      <c r="C65" s="32"/>
    </row>
    <row r="66" spans="2:6">
      <c r="B66" s="31" t="s">
        <v>152</v>
      </c>
      <c r="C66" s="32"/>
    </row>
    <row r="67" spans="2:6">
      <c r="B67" s="33" t="s">
        <v>153</v>
      </c>
      <c r="C67" s="34"/>
    </row>
    <row r="68" spans="2:6">
      <c r="B68" s="35" t="s">
        <v>154</v>
      </c>
      <c r="C68" s="34"/>
    </row>
    <row r="69" spans="2:6">
      <c r="B69" s="31" t="s">
        <v>155</v>
      </c>
      <c r="C69" s="34"/>
    </row>
    <row r="70" spans="2:6">
      <c r="F70" s="36" t="s">
        <v>156</v>
      </c>
    </row>
    <row r="71" spans="2:6">
      <c r="B71" s="36" t="s">
        <v>157</v>
      </c>
      <c r="F71" s="36" t="s">
        <v>158</v>
      </c>
    </row>
  </sheetData>
  <mergeCells count="13">
    <mergeCell ref="B57:E57"/>
    <mergeCell ref="B1:H1"/>
    <mergeCell ref="B2:H2"/>
    <mergeCell ref="B3:H3"/>
    <mergeCell ref="B55:E55"/>
    <mergeCell ref="B56:E56"/>
    <mergeCell ref="B64:C64"/>
    <mergeCell ref="B58:E58"/>
    <mergeCell ref="B59:E59"/>
    <mergeCell ref="B60:E60"/>
    <mergeCell ref="B61:E61"/>
    <mergeCell ref="B62:E62"/>
    <mergeCell ref="B63:E63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BD407-0F17-424C-A0DD-7F769442A993}">
  <sheetPr codeName="Sheet25">
    <outlinePr summaryBelow="0"/>
  </sheetPr>
  <dimension ref="A1:F17"/>
  <sheetViews>
    <sheetView workbookViewId="0">
      <selection sqref="A1:C1"/>
    </sheetView>
  </sheetViews>
  <sheetFormatPr defaultRowHeight="14.5"/>
  <cols>
    <col min="1" max="1" width="66.7265625" customWidth="1"/>
    <col min="2" max="4" width="16.7265625" customWidth="1"/>
    <col min="5" max="5" width="66.7265625" customWidth="1"/>
    <col min="6" max="6" width="16.7265625" customWidth="1"/>
  </cols>
  <sheetData>
    <row r="1" spans="1:6" ht="13" customHeight="1">
      <c r="A1" s="39" t="s">
        <v>174</v>
      </c>
      <c r="B1" s="39"/>
      <c r="C1" s="39"/>
      <c r="D1" s="47"/>
      <c r="E1" s="30"/>
      <c r="F1" s="2"/>
    </row>
    <row r="2" spans="1:6" ht="13" customHeight="1">
      <c r="A2" s="30"/>
      <c r="B2" s="2"/>
      <c r="C2" s="2"/>
      <c r="D2" s="2"/>
      <c r="E2" s="30"/>
      <c r="F2" s="2"/>
    </row>
    <row r="3" spans="1:6" ht="13" customHeight="1">
      <c r="A3" s="46" t="s">
        <v>173</v>
      </c>
      <c r="B3" s="46"/>
      <c r="C3" s="2"/>
      <c r="D3" s="2"/>
      <c r="E3" s="46" t="s">
        <v>172</v>
      </c>
      <c r="F3" s="46"/>
    </row>
    <row r="4" spans="1:6" ht="13" customHeight="1">
      <c r="A4" s="44" t="s">
        <v>171</v>
      </c>
      <c r="B4" s="44" t="s">
        <v>9</v>
      </c>
      <c r="C4" s="2"/>
      <c r="D4" s="2"/>
      <c r="E4" s="44" t="s">
        <v>170</v>
      </c>
      <c r="F4" s="44" t="s">
        <v>169</v>
      </c>
    </row>
    <row r="5" spans="1:6" ht="13" customHeight="1">
      <c r="A5" s="22" t="s">
        <v>14</v>
      </c>
      <c r="B5" s="45">
        <v>8.7900000000000006E-2</v>
      </c>
      <c r="C5" s="2"/>
      <c r="D5" s="2"/>
      <c r="E5" s="22" t="s">
        <v>28</v>
      </c>
      <c r="F5" s="45">
        <v>0.23369999999999999</v>
      </c>
    </row>
    <row r="6" spans="1:6" ht="13" customHeight="1">
      <c r="A6" s="22" t="s">
        <v>18</v>
      </c>
      <c r="B6" s="45">
        <v>5.2999999999999999E-2</v>
      </c>
      <c r="C6" s="2"/>
      <c r="D6" s="2"/>
      <c r="E6" s="22" t="s">
        <v>168</v>
      </c>
      <c r="F6" s="45">
        <v>0.20430000000000001</v>
      </c>
    </row>
    <row r="7" spans="1:6" ht="13" customHeight="1">
      <c r="A7" s="22" t="s">
        <v>22</v>
      </c>
      <c r="B7" s="45">
        <v>4.6399999999999997E-2</v>
      </c>
      <c r="C7" s="2"/>
      <c r="D7" s="2"/>
      <c r="E7" s="22" t="s">
        <v>24</v>
      </c>
      <c r="F7" s="45">
        <v>0.1222</v>
      </c>
    </row>
    <row r="8" spans="1:6" ht="13" customHeight="1">
      <c r="A8" s="22" t="s">
        <v>26</v>
      </c>
      <c r="B8" s="45">
        <v>4.2099999999999999E-2</v>
      </c>
      <c r="C8" s="2"/>
      <c r="D8" s="2"/>
      <c r="E8" s="22" t="s">
        <v>167</v>
      </c>
      <c r="F8" s="45">
        <v>8.9399999999999993E-2</v>
      </c>
    </row>
    <row r="9" spans="1:6" ht="13" customHeight="1">
      <c r="A9" s="22" t="s">
        <v>30</v>
      </c>
      <c r="B9" s="45">
        <v>3.8600000000000002E-2</v>
      </c>
      <c r="C9" s="2"/>
      <c r="D9" s="2"/>
      <c r="E9" s="22" t="s">
        <v>166</v>
      </c>
      <c r="F9" s="45">
        <v>7.3999999999999996E-2</v>
      </c>
    </row>
    <row r="10" spans="1:6" ht="13" customHeight="1">
      <c r="A10" s="22" t="s">
        <v>34</v>
      </c>
      <c r="B10" s="45">
        <v>3.8300000000000001E-2</v>
      </c>
      <c r="C10" s="2"/>
      <c r="D10" s="2"/>
      <c r="E10" s="22" t="s">
        <v>165</v>
      </c>
      <c r="F10" s="45">
        <v>6.1100000000000002E-2</v>
      </c>
    </row>
    <row r="11" spans="1:6" ht="13" customHeight="1">
      <c r="A11" s="22" t="s">
        <v>37</v>
      </c>
      <c r="B11" s="45">
        <v>3.6499999999999998E-2</v>
      </c>
      <c r="C11" s="2"/>
      <c r="D11" s="2"/>
      <c r="E11" s="22" t="s">
        <v>54</v>
      </c>
      <c r="F11" s="45">
        <v>5.9400000000000001E-2</v>
      </c>
    </row>
    <row r="12" spans="1:6" ht="13" customHeight="1">
      <c r="A12" s="22" t="s">
        <v>41</v>
      </c>
      <c r="B12" s="45">
        <v>3.6400000000000002E-2</v>
      </c>
      <c r="C12" s="2"/>
      <c r="D12" s="2"/>
      <c r="E12" s="22" t="s">
        <v>164</v>
      </c>
      <c r="F12" s="45">
        <v>4.6800000000000001E-2</v>
      </c>
    </row>
    <row r="13" spans="1:6" ht="13" customHeight="1">
      <c r="A13" s="22" t="s">
        <v>45</v>
      </c>
      <c r="B13" s="45">
        <v>3.6200000000000003E-2</v>
      </c>
      <c r="C13" s="2"/>
      <c r="D13" s="2"/>
      <c r="E13" s="22" t="s">
        <v>163</v>
      </c>
      <c r="F13" s="45">
        <v>4.0300000000000002E-2</v>
      </c>
    </row>
    <row r="14" spans="1:6" ht="13" customHeight="1">
      <c r="A14" s="22" t="s">
        <v>48</v>
      </c>
      <c r="B14" s="45">
        <v>3.3700000000000001E-2</v>
      </c>
      <c r="C14" s="2"/>
      <c r="D14" s="2"/>
      <c r="E14" s="22" t="s">
        <v>162</v>
      </c>
      <c r="F14" s="45">
        <v>0.04</v>
      </c>
    </row>
    <row r="15" spans="1:6" ht="13" customHeight="1">
      <c r="A15" s="2"/>
      <c r="B15" s="2"/>
      <c r="C15" s="2"/>
      <c r="D15" s="2"/>
      <c r="E15" s="22" t="s">
        <v>161</v>
      </c>
      <c r="F15" s="45">
        <v>3.0300000000000001E-2</v>
      </c>
    </row>
    <row r="16" spans="1:6" ht="13" customHeight="1">
      <c r="A16" s="2"/>
      <c r="B16" s="2"/>
      <c r="C16" s="2"/>
      <c r="D16" s="2"/>
      <c r="E16" s="22" t="s">
        <v>160</v>
      </c>
      <c r="F16" s="45">
        <v>-1.2999999999999999E-3</v>
      </c>
    </row>
    <row r="17" spans="1:6" ht="13" customHeight="1">
      <c r="A17" s="2"/>
      <c r="B17" s="2"/>
      <c r="C17" s="2"/>
      <c r="D17" s="2"/>
      <c r="E17" s="44" t="s">
        <v>159</v>
      </c>
      <c r="F17" s="43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 r:id="rId1"/>
  <headerFooter>
    <oddFooter>&amp;C&amp;1#&amp;"Calibri"&amp;10&amp;K000000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Infrastructure</vt:lpstr>
      <vt:lpstr>RIF</vt:lpstr>
      <vt:lpstr>RIF!JR_PAGE_ANCHOR_0_25</vt:lpstr>
      <vt:lpstr>JR_PAGE_ANCHOR_0_25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Harer, Shivaji</dc:creator>
  <cp:lastModifiedBy>Harer, Shivaji</cp:lastModifiedBy>
  <dcterms:created xsi:type="dcterms:W3CDTF">2021-10-06T09:39:52Z</dcterms:created>
  <dcterms:modified xsi:type="dcterms:W3CDTF">2021-10-06T10:02:06Z</dcterms:modified>
</cp:coreProperties>
</file>