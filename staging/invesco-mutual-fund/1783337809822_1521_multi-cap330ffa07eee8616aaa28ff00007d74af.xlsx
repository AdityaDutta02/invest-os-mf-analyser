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44BACFE-0F35-4C87-A4E0-DFC689F4007B}" xr6:coauthVersionLast="47" xr6:coauthVersionMax="47" xr10:uidLastSave="{00000000-0000-0000-0000-000000000000}"/>
  <bookViews>
    <workbookView xWindow="-120" yWindow="-120" windowWidth="29040" windowHeight="15720" xr2:uid="{389B5AC7-A05A-4DA2-90DD-CBC90F80D03A}"/>
  </bookViews>
  <sheets>
    <sheet name="Multi Cap" sheetId="1" r:id="rId1"/>
    <sheet name="RMSC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7">RMSCF!$A$1</definedName>
    <definedName name="JR_PAGE_ANCHOR_0_38">'Multi Cap'!$A$1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1" l="1"/>
  <c r="G78" i="1" s="1"/>
  <c r="F77" i="1"/>
  <c r="F78" i="1" s="1"/>
</calcChain>
</file>

<file path=xl/sharedStrings.xml><?xml version="1.0" encoding="utf-8"?>
<sst xmlns="http://schemas.openxmlformats.org/spreadsheetml/2006/main" count="318" uniqueCount="259">
  <si>
    <t>RMSCF</t>
  </si>
  <si>
    <t>INVESCO MUTUAL FUND</t>
  </si>
  <si>
    <t>Monthly Portfolio Statement as on October 31, 2025</t>
  </si>
  <si>
    <t>Invesco India Multicap Fund
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</si>
  <si>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</si>
  <si>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</si>
  <si>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</si>
  <si>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</si>
  <si>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</si>
  <si>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</si>
  <si>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</si>
  <si>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</si>
  <si>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</si>
  <si>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</si>
  <si>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</si>
  <si>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</si>
  <si>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</si>
  <si>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CHOL02</t>
  </si>
  <si>
    <t>Cholamandalam Investment and Finance Company Limited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</si>
  <si>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</si>
  <si>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</si>
  <si>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</si>
  <si>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</si>
  <si>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</si>
  <si>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</si>
  <si>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</si>
  <si>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</si>
  <si>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</si>
  <si>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</si>
  <si>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</si>
  <si>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</si>
  <si>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</si>
  <si>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KIMS02</t>
  </si>
  <si>
    <t>Krishna Institute Of Medical Sciences Limited</t>
  </si>
  <si>
    <t>INE967H01025</t>
  </si>
  <si>
    <t>Healthcare Services</t>
  </si>
  <si>
    <t>HDFB03</t>
  </si>
  <si>
    <t>HDFC Bank Limited</t>
  </si>
  <si>
    <t>INE040A01034</t>
  </si>
  <si>
    <t>BLTE01</t>
  </si>
  <si>
    <t>Swiggy Limited</t>
  </si>
  <si>
    <t>INE00H001014</t>
  </si>
  <si>
    <t>DRAH01</t>
  </si>
  <si>
    <t>Dr Agarwals Health Care Limited</t>
  </si>
  <si>
    <t>INE943P01029</t>
  </si>
  <si>
    <t>SAPH01</t>
  </si>
  <si>
    <t>Sai Life Sciences Limited</t>
  </si>
  <si>
    <t>INE570L01029</t>
  </si>
  <si>
    <t>Pharmaceuticals &amp; Biotechnology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</si>
  <si>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</si>
  <si>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</si>
  <si>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</si>
  <si>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</si>
  <si>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</si>
  <si>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</si>
  <si>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</si>
  <si>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</si>
  <si>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MAHE01</t>
  </si>
  <si>
    <t>Max Healthcare Institute Limited</t>
  </si>
  <si>
    <t>INE027H01010</t>
  </si>
  <si>
    <t>SSNL02</t>
  </si>
  <si>
    <t>Delhivery Limited</t>
  </si>
  <si>
    <t>INE148O01028</t>
  </si>
  <si>
    <t>Transport Services</t>
  </si>
  <si>
    <t>PSYL02</t>
  </si>
  <si>
    <t>Persistent Systems Ltd</t>
  </si>
  <si>
    <t>INE262H01021</t>
  </si>
  <si>
    <t>IT - Software</t>
  </si>
  <si>
    <t>MCEX01</t>
  </si>
  <si>
    <t>Multi Commodity Exchange of India Limited</t>
  </si>
  <si>
    <t>INE745G01035</t>
  </si>
  <si>
    <t>GODI01</t>
  </si>
  <si>
    <t>Go Digit General Insurance Ltd</t>
  </si>
  <si>
    <t>INE03JT01014</t>
  </si>
  <si>
    <t>Insurance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</si>
  <si>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</si>
  <si>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</si>
  <si>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</si>
  <si>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</si>
  <si>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</si>
  <si>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</si>
  <si>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</si>
  <si>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</si>
  <si>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</si>
  <si>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</si>
  <si>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</si>
  <si>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</si>
  <si>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</si>
  <si>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</si>
  <si>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</si>
  <si>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AFPL02</t>
  </si>
  <si>
    <t>AU Small Finance Bank Limited</t>
  </si>
  <si>
    <t>INE949L01017</t>
  </si>
  <si>
    <t>GHPL01</t>
  </si>
  <si>
    <t>Global Health Limited</t>
  </si>
  <si>
    <t>INE474Q01031</t>
  </si>
  <si>
    <t>RCAM01</t>
  </si>
  <si>
    <t>Nippon Life India Asset Management Limited</t>
  </si>
  <si>
    <t>INE298J01013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</si>
  <si>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</si>
  <si>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</si>
  <si>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</si>
  <si>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</si>
  <si>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</si>
  <si>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</si>
  <si>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</si>
  <si>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AMBE01</t>
  </si>
  <si>
    <t>Amber Enterprises India Limited ‡</t>
  </si>
  <si>
    <t>INE371P01015</t>
  </si>
  <si>
    <t>HFFC02</t>
  </si>
  <si>
    <t>Home First Finance Company India Limited</t>
  </si>
  <si>
    <t>INE481N01025</t>
  </si>
  <si>
    <t>APLI04</t>
  </si>
  <si>
    <t>Hexaware Technologies Limited</t>
  </si>
  <si>
    <t>INE093A01041</t>
  </si>
  <si>
    <t>PREP01</t>
  </si>
  <si>
    <t>Prestige Estates Projects Limited</t>
  </si>
  <si>
    <t>INE811K01011</t>
  </si>
  <si>
    <t>Realty</t>
  </si>
  <si>
    <t>NITL02</t>
  </si>
  <si>
    <t>Coforge Limited</t>
  </si>
  <si>
    <t>INE591G01025</t>
  </si>
  <si>
    <t>PHMI02</t>
  </si>
  <si>
    <t>The Phoenix Mills Limited</t>
  </si>
  <si>
    <t>INE211B01039</t>
  </si>
  <si>
    <t>SAFI02</t>
  </si>
  <si>
    <t>Safari Industries (India) Limited</t>
  </si>
  <si>
    <t>INE429E01023</t>
  </si>
  <si>
    <t>ULCC01</t>
  </si>
  <si>
    <t>UltraTech Cement Limited</t>
  </si>
  <si>
    <t>INE481G01011</t>
  </si>
  <si>
    <t>SCLB01</t>
  </si>
  <si>
    <t>Leela Palaces Hotels &amp; Resorts Limited</t>
  </si>
  <si>
    <t>INE0AQ201015</t>
  </si>
  <si>
    <t>Leisure Services</t>
  </si>
  <si>
    <t>MIIL02</t>
  </si>
  <si>
    <t>UNO Minda Limited</t>
  </si>
  <si>
    <t>INE405E01023</t>
  </si>
  <si>
    <t>Auto Components</t>
  </si>
  <si>
    <t>LARS02</t>
  </si>
  <si>
    <t>Larsen &amp; Toubro Limited</t>
  </si>
  <si>
    <t>INE018A01030</t>
  </si>
  <si>
    <t>Construction</t>
  </si>
  <si>
    <t>JUFL02</t>
  </si>
  <si>
    <t>Jubilant Foodworks Limited</t>
  </si>
  <si>
    <t>INE797F01020</t>
  </si>
  <si>
    <t>HDBF01</t>
  </si>
  <si>
    <t>HDB Financial Services Limited</t>
  </si>
  <si>
    <t>INE756I01012</t>
  </si>
  <si>
    <t>SBFC01</t>
  </si>
  <si>
    <t>SBFC Finance Limited</t>
  </si>
  <si>
    <t>INE423Y01016</t>
  </si>
  <si>
    <t>FUJI02</t>
  </si>
  <si>
    <t>Zensar Technologies Limited</t>
  </si>
  <si>
    <t>INE520A01027</t>
  </si>
  <si>
    <t>TIIN01</t>
  </si>
  <si>
    <t>Timken India Limited</t>
  </si>
  <si>
    <t>INE325A01013</t>
  </si>
  <si>
    <t>Industrial Products</t>
  </si>
  <si>
    <t>AWFI01</t>
  </si>
  <si>
    <t>Awfis Space Solutions Limited</t>
  </si>
  <si>
    <t>INE108V01019</t>
  </si>
  <si>
    <t>Commercial Services &amp; Supplies</t>
  </si>
  <si>
    <t>BAFL03</t>
  </si>
  <si>
    <t>Bajaj Finance Ltd</t>
  </si>
  <si>
    <t>INE296A01032</t>
  </si>
  <si>
    <t>MEBR01</t>
  </si>
  <si>
    <t>Metro Brands Limited</t>
  </si>
  <si>
    <t>INE317I01021</t>
  </si>
  <si>
    <t>KEII02</t>
  </si>
  <si>
    <t>KEI Industries Limited</t>
  </si>
  <si>
    <t>INE878B01027</t>
  </si>
  <si>
    <t>CONB01</t>
  </si>
  <si>
    <t>Concord Biotech Limited</t>
  </si>
  <si>
    <t>INE338H01029</t>
  </si>
  <si>
    <t>ABBP01</t>
  </si>
  <si>
    <t>Hitachi Energy India Limited</t>
  </si>
  <si>
    <t>INE07Y701011</t>
  </si>
  <si>
    <t>Electrical Equipment</t>
  </si>
  <si>
    <t>ETHO01</t>
  </si>
  <si>
    <t>Ethos Ltd.</t>
  </si>
  <si>
    <t>INE04TZ01018</t>
  </si>
  <si>
    <t>CENT02</t>
  </si>
  <si>
    <t>Aditya Birla Real Estate Limited</t>
  </si>
  <si>
    <t>INE055A01016</t>
  </si>
  <si>
    <t>Paper, Forest &amp; Jute Products</t>
  </si>
  <si>
    <t>FSNE01</t>
  </si>
  <si>
    <t>FSN E-Commerce Ventures Limited ‡</t>
  </si>
  <si>
    <t>INE388Y01029</t>
  </si>
  <si>
    <t>TINV04</t>
  </si>
  <si>
    <t>Cholamandalam Financial Holdings Limited ‡</t>
  </si>
  <si>
    <t>INE149A01033</t>
  </si>
  <si>
    <t>VMML01</t>
  </si>
  <si>
    <t>Vishal Mega Mart Limited</t>
  </si>
  <si>
    <t>INE01EA01019</t>
  </si>
  <si>
    <t>KAYN01</t>
  </si>
  <si>
    <t>Kaynes Technology India Limited</t>
  </si>
  <si>
    <t>INE918Z01012</t>
  </si>
  <si>
    <t>Industrial Manufacturing</t>
  </si>
  <si>
    <t>JYCN01</t>
  </si>
  <si>
    <t>Jyoti CNC Automation Ltd</t>
  </si>
  <si>
    <t>INE980O01024</t>
  </si>
  <si>
    <t>ADTH01</t>
  </si>
  <si>
    <t>Aditya Infotech Limited</t>
  </si>
  <si>
    <t>INE819V01029</t>
  </si>
  <si>
    <t>BIRJ01</t>
  </si>
  <si>
    <t>Birla Corporation Limited</t>
  </si>
  <si>
    <t>INE340A01012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</si>
  <si>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</si>
  <si>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</si>
  <si>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</si>
  <si>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</si>
  <si>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</si>
  <si>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</si>
  <si>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</si>
  <si>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</si>
  <si>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</si>
  <si>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</si>
  <si>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</si>
  <si>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</si>
  <si>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</si>
  <si>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</si>
  <si>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</si>
  <si>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</si>
  <si>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</si>
  <si>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</si>
  <si>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FSN E-Commerce Ventures Limited</t>
  </si>
  <si>
    <t>Cholamandalam Investment and Finance Company Ltd</t>
  </si>
  <si>
    <t>Amber Enterprises India Limited</t>
  </si>
  <si>
    <t>*  Industry Classification is as recommended by AMFI</t>
  </si>
  <si>
    <t>^^ Awaiting listing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</si>
  <si>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</si>
  <si>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</si>
  <si>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</si>
  <si>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</si>
  <si>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</si>
  <si>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</si>
  <si>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</si>
  <si>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</si>
  <si>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</si>
  <si>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</si>
  <si>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</si>
  <si>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</si>
  <si>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</si>
  <si>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</si>
  <si>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</si>
  <si>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</si>
  <si>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</si>
  <si>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</si>
  <si>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Healthcare</t>
  </si>
  <si>
    <t>Capital Goods</t>
  </si>
  <si>
    <t>Information Technology</t>
  </si>
  <si>
    <t>Services</t>
  </si>
  <si>
    <t>Automobile and Auto Components</t>
  </si>
  <si>
    <t>Construction Materials</t>
  </si>
  <si>
    <t>Telecommunication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</si>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</sst>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79804D6-FEDC-41A7-84F3-867C256B78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9BA5B-00BE-47B1-B931-427DBF7BC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7487900"/>
          <a:ext cx="2857500" cy="19685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406400</xdr:colOff>
      <xdr:row>110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A3586-0D6C-45E7-BEF4-731A64B71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7487900"/>
          <a:ext cx="2749550" cy="196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D54E-DFED-4C26-B74A-0596FA2A009E}">
  <sheetPr codeName="Sheet27">
    <outlinePr summaryBelow="0"/>
  </sheetPr>
  <dimension ref="A1:H99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6080065</v>
      </c>
      <c r="F8" s="14">
        <v>19319.41</v>
      </c>
      <c r="G8" s="14">
        <v>4.57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933414</v>
      </c>
      <c r="F9" s="14">
        <v>15838.17</v>
      </c>
      <c r="G9" s="14">
        <v>3.75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1164400</v>
      </c>
      <c r="F10" s="14">
        <v>15664.67</v>
      </c>
      <c r="G10" s="14">
        <v>3.7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322737</v>
      </c>
      <c r="F11" s="14">
        <v>15150.24</v>
      </c>
      <c r="G11" s="14">
        <v>3.58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87498</v>
      </c>
      <c r="F12" s="14">
        <v>13556.94</v>
      </c>
      <c r="G12" s="14">
        <v>3.21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1729774</v>
      </c>
      <c r="F13" s="14">
        <v>12472.54</v>
      </c>
      <c r="G13" s="14">
        <v>2.95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1119214</v>
      </c>
      <c r="F14" s="14">
        <v>11050</v>
      </c>
      <c r="G14" s="14">
        <v>2.61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2650523</v>
      </c>
      <c r="F15" s="14">
        <v>10865.82</v>
      </c>
      <c r="G15" s="14">
        <v>2.57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35</v>
      </c>
      <c r="E16" s="13">
        <v>2101122</v>
      </c>
      <c r="F16" s="14">
        <v>10636.93</v>
      </c>
      <c r="G16" s="14">
        <v>2.52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1123728</v>
      </c>
      <c r="F17" s="14">
        <v>10318.07</v>
      </c>
      <c r="G17" s="14">
        <v>2.44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398766</v>
      </c>
      <c r="F18" s="14">
        <v>9885.41</v>
      </c>
      <c r="G18" s="14">
        <v>2.34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152783</v>
      </c>
      <c r="F19" s="14">
        <v>9493.94</v>
      </c>
      <c r="G19" s="14">
        <v>2.25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35</v>
      </c>
      <c r="E20" s="13">
        <v>795027</v>
      </c>
      <c r="F20" s="14">
        <v>9125.32</v>
      </c>
      <c r="G20" s="14">
        <v>2.16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1910867</v>
      </c>
      <c r="F21" s="14">
        <v>8903.68</v>
      </c>
      <c r="G21" s="14">
        <v>2.11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150250</v>
      </c>
      <c r="F22" s="14">
        <v>8889.69</v>
      </c>
      <c r="G22" s="14">
        <v>2.1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52</v>
      </c>
      <c r="E23" s="13">
        <v>95801</v>
      </c>
      <c r="F23" s="14">
        <v>8855.3700000000008</v>
      </c>
      <c r="G23" s="14">
        <v>2.09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2420666</v>
      </c>
      <c r="F24" s="14">
        <v>8681.7199999999993</v>
      </c>
      <c r="G24" s="14">
        <v>2.0499999999999998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553972</v>
      </c>
      <c r="F25" s="14">
        <v>8678.7999999999993</v>
      </c>
      <c r="G25" s="14">
        <v>2.0499999999999998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2011396</v>
      </c>
      <c r="F26" s="14">
        <v>8570.56</v>
      </c>
      <c r="G26" s="14">
        <v>2.0299999999999998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476654</v>
      </c>
      <c r="F27" s="14">
        <v>8510.18</v>
      </c>
      <c r="G27" s="14">
        <v>2.0099999999999998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63</v>
      </c>
      <c r="E28" s="13">
        <v>149346</v>
      </c>
      <c r="F28" s="14">
        <v>8400.7099999999991</v>
      </c>
      <c r="G28" s="14">
        <v>1.99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24</v>
      </c>
      <c r="E29" s="13">
        <v>936789</v>
      </c>
      <c r="F29" s="14">
        <v>8223.6</v>
      </c>
      <c r="G29" s="14">
        <v>1.94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35</v>
      </c>
      <c r="E30" s="13">
        <v>624334</v>
      </c>
      <c r="F30" s="14">
        <v>8188.14</v>
      </c>
      <c r="G30" s="14">
        <v>1.94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52</v>
      </c>
      <c r="E31" s="13">
        <v>896821</v>
      </c>
      <c r="F31" s="14">
        <v>7845.39</v>
      </c>
      <c r="G31" s="14">
        <v>1.86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216648</v>
      </c>
      <c r="F32" s="14">
        <v>7601.53</v>
      </c>
      <c r="G32" s="14">
        <v>1.8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102</v>
      </c>
      <c r="E33" s="13">
        <v>205516</v>
      </c>
      <c r="F33" s="14">
        <v>7166.75</v>
      </c>
      <c r="G33" s="14">
        <v>1.69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31</v>
      </c>
      <c r="E34" s="13">
        <v>88567</v>
      </c>
      <c r="F34" s="14">
        <v>7117.69</v>
      </c>
      <c r="G34" s="14">
        <v>1.68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20</v>
      </c>
      <c r="E35" s="13">
        <v>557996</v>
      </c>
      <c r="F35" s="14">
        <v>6668.61</v>
      </c>
      <c r="G35" s="14">
        <v>1.58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67</v>
      </c>
      <c r="E36" s="13">
        <v>958951</v>
      </c>
      <c r="F36" s="14">
        <v>6591.83</v>
      </c>
      <c r="G36" s="14">
        <v>1.56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374693</v>
      </c>
      <c r="F37" s="14">
        <v>6537.27</v>
      </c>
      <c r="G37" s="14">
        <v>1.55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67</v>
      </c>
      <c r="E38" s="13">
        <v>364630</v>
      </c>
      <c r="F38" s="14">
        <v>6483.49</v>
      </c>
      <c r="G38" s="14">
        <v>1.53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118</v>
      </c>
      <c r="E39" s="13">
        <v>381425</v>
      </c>
      <c r="F39" s="14">
        <v>6417.86</v>
      </c>
      <c r="G39" s="14">
        <v>1.52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31</v>
      </c>
      <c r="E40" s="13">
        <v>296268</v>
      </c>
      <c r="F40" s="14">
        <v>6324.73</v>
      </c>
      <c r="G40" s="14">
        <v>1.5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56</v>
      </c>
      <c r="E41" s="13">
        <v>51938</v>
      </c>
      <c r="F41" s="14">
        <v>6205.03</v>
      </c>
      <c r="G41" s="14">
        <v>1.47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1331469</v>
      </c>
      <c r="F42" s="14">
        <v>5774.58</v>
      </c>
      <c r="G42" s="14">
        <v>1.37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466245</v>
      </c>
      <c r="F43" s="14">
        <v>5759.06</v>
      </c>
      <c r="G43" s="14">
        <v>1.36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141875</v>
      </c>
      <c r="F44" s="14">
        <v>5718.84</v>
      </c>
      <c r="G44" s="14">
        <v>1.35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134</v>
      </c>
      <c r="E45" s="13">
        <v>947869</v>
      </c>
      <c r="F45" s="14">
        <v>5666.83</v>
      </c>
      <c r="G45" s="14">
        <v>1.34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20</v>
      </c>
      <c r="E46" s="13">
        <v>743732</v>
      </c>
      <c r="F46" s="14">
        <v>5438.91</v>
      </c>
      <c r="G46" s="14">
        <v>1.29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20</v>
      </c>
      <c r="E47" s="13">
        <v>4566108</v>
      </c>
      <c r="F47" s="14">
        <v>5209.0200000000004</v>
      </c>
      <c r="G47" s="14">
        <v>1.23</v>
      </c>
      <c r="H47" s="15"/>
    </row>
    <row r="48" spans="1:8" ht="12.95" customHeight="1">
      <c r="A48" s="1" t="s">
        <v>152</v>
      </c>
      <c r="B48" s="11" t="s">
        <v>153</v>
      </c>
      <c r="C48" s="12" t="s">
        <v>154</v>
      </c>
      <c r="D48" s="8" t="s">
        <v>67</v>
      </c>
      <c r="E48" s="13">
        <v>647004</v>
      </c>
      <c r="F48" s="14">
        <v>5160.18</v>
      </c>
      <c r="G48" s="14">
        <v>1.22</v>
      </c>
      <c r="H48" s="15"/>
    </row>
    <row r="49" spans="1:8" ht="12.95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163086</v>
      </c>
      <c r="F49" s="14">
        <v>5127.42</v>
      </c>
      <c r="G49" s="14">
        <v>1.21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839821</v>
      </c>
      <c r="F50" s="14">
        <v>5039.7700000000004</v>
      </c>
      <c r="G50" s="14">
        <v>1.19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20</v>
      </c>
      <c r="E51" s="13">
        <v>453444</v>
      </c>
      <c r="F51" s="14">
        <v>4728.51</v>
      </c>
      <c r="G51" s="14">
        <v>1.1200000000000001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31</v>
      </c>
      <c r="E52" s="13">
        <v>413640</v>
      </c>
      <c r="F52" s="14">
        <v>4669.17</v>
      </c>
      <c r="G52" s="14">
        <v>1.1000000000000001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158</v>
      </c>
      <c r="E53" s="13">
        <v>105282</v>
      </c>
      <c r="F53" s="14">
        <v>4244.97</v>
      </c>
      <c r="G53" s="14">
        <v>1</v>
      </c>
      <c r="H53" s="15"/>
    </row>
    <row r="54" spans="1:8" ht="12.95" customHeight="1">
      <c r="A54" s="1" t="s">
        <v>172</v>
      </c>
      <c r="B54" s="11" t="s">
        <v>173</v>
      </c>
      <c r="C54" s="12" t="s">
        <v>174</v>
      </c>
      <c r="D54" s="8" t="s">
        <v>48</v>
      </c>
      <c r="E54" s="13">
        <v>282437</v>
      </c>
      <c r="F54" s="14">
        <v>4077.83</v>
      </c>
      <c r="G54" s="14">
        <v>0.96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22202</v>
      </c>
      <c r="F55" s="14">
        <v>3947.07</v>
      </c>
      <c r="G55" s="14">
        <v>0.93</v>
      </c>
      <c r="H55" s="15"/>
    </row>
    <row r="56" spans="1:8" ht="12.95" customHeight="1">
      <c r="A56" s="1" t="s">
        <v>179</v>
      </c>
      <c r="B56" s="11" t="s">
        <v>180</v>
      </c>
      <c r="C56" s="12" t="s">
        <v>181</v>
      </c>
      <c r="D56" s="8" t="s">
        <v>31</v>
      </c>
      <c r="E56" s="13">
        <v>128309</v>
      </c>
      <c r="F56" s="14">
        <v>3724.04</v>
      </c>
      <c r="G56" s="14">
        <v>0.88</v>
      </c>
      <c r="H56" s="15"/>
    </row>
    <row r="57" spans="1:8" ht="12.95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195654</v>
      </c>
      <c r="F57" s="14">
        <v>3671.84</v>
      </c>
      <c r="G57" s="14">
        <v>0.87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16</v>
      </c>
      <c r="E58" s="13">
        <v>1296505</v>
      </c>
      <c r="F58" s="14">
        <v>3214.55</v>
      </c>
      <c r="G58" s="14">
        <v>0.76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20</v>
      </c>
      <c r="E59" s="13">
        <v>160161</v>
      </c>
      <c r="F59" s="14">
        <v>3063.24</v>
      </c>
      <c r="G59" s="14">
        <v>0.72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16</v>
      </c>
      <c r="E60" s="13">
        <v>1881713</v>
      </c>
      <c r="F60" s="14">
        <v>2722.65</v>
      </c>
      <c r="G60" s="14">
        <v>0.64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34669</v>
      </c>
      <c r="F61" s="14">
        <v>2324.38</v>
      </c>
      <c r="G61" s="14">
        <v>0.55000000000000004</v>
      </c>
      <c r="H61" s="15"/>
    </row>
    <row r="62" spans="1:8" ht="12.95" customHeight="1">
      <c r="A62" s="1" t="s">
        <v>199</v>
      </c>
      <c r="B62" s="11" t="s">
        <v>200</v>
      </c>
      <c r="C62" s="12" t="s">
        <v>201</v>
      </c>
      <c r="D62" s="8" t="s">
        <v>198</v>
      </c>
      <c r="E62" s="13">
        <v>255183</v>
      </c>
      <c r="F62" s="14">
        <v>2204.7800000000002</v>
      </c>
      <c r="G62" s="14">
        <v>0.52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198</v>
      </c>
      <c r="E63" s="13">
        <v>68986</v>
      </c>
      <c r="F63" s="14">
        <v>906.48</v>
      </c>
      <c r="G63" s="14">
        <v>0.21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56</v>
      </c>
      <c r="E64" s="13">
        <v>37432</v>
      </c>
      <c r="F64" s="14">
        <v>441.25</v>
      </c>
      <c r="G64" s="14">
        <v>0.1</v>
      </c>
      <c r="H64" s="15"/>
    </row>
    <row r="65" spans="1:8" ht="12.95" customHeight="1">
      <c r="A65" s="2"/>
      <c r="B65" s="7" t="s">
        <v>208</v>
      </c>
      <c r="C65" s="8"/>
      <c r="D65" s="8"/>
      <c r="E65" s="8"/>
      <c r="F65" s="16">
        <v>417075.46</v>
      </c>
      <c r="G65" s="16">
        <v>98.62</v>
      </c>
      <c r="H65" s="17"/>
    </row>
    <row r="66" spans="1:8" ht="12.95" customHeight="1">
      <c r="A66" s="2"/>
      <c r="B66" s="18" t="s">
        <v>209</v>
      </c>
      <c r="C66" s="19"/>
      <c r="D66" s="19"/>
      <c r="E66" s="20"/>
      <c r="F66" s="21" t="s">
        <v>210</v>
      </c>
      <c r="G66" s="21" t="s">
        <v>210</v>
      </c>
      <c r="H66" s="22" t="s">
        <v>210</v>
      </c>
    </row>
    <row r="67" spans="1:8" ht="12.95" customHeight="1">
      <c r="A67" s="2"/>
      <c r="B67" s="23" t="s">
        <v>208</v>
      </c>
      <c r="C67" s="24"/>
      <c r="D67" s="24"/>
      <c r="E67" s="21"/>
      <c r="F67" s="21" t="s">
        <v>210</v>
      </c>
      <c r="G67" s="21" t="s">
        <v>210</v>
      </c>
      <c r="H67" s="22" t="s">
        <v>210</v>
      </c>
    </row>
    <row r="68" spans="1:8" ht="12.95" customHeight="1">
      <c r="A68" s="2"/>
      <c r="B68" s="18" t="s">
        <v>211</v>
      </c>
      <c r="C68" s="19"/>
      <c r="D68" s="19"/>
      <c r="E68" s="25"/>
      <c r="F68" s="16">
        <v>417075.46</v>
      </c>
      <c r="G68" s="16">
        <v>98.62</v>
      </c>
      <c r="H68" s="22"/>
    </row>
    <row r="69" spans="1:8" ht="12.95" customHeight="1">
      <c r="A69" s="2"/>
      <c r="B69" s="7" t="s">
        <v>212</v>
      </c>
      <c r="C69" s="8"/>
      <c r="D69" s="8"/>
      <c r="E69" s="8"/>
      <c r="F69" s="8"/>
      <c r="G69" s="8"/>
      <c r="H69" s="9"/>
    </row>
    <row r="70" spans="1:8" ht="12.95" customHeight="1">
      <c r="A70" s="2"/>
      <c r="B70" s="7" t="s">
        <v>213</v>
      </c>
      <c r="C70" s="10"/>
      <c r="D70" s="10"/>
      <c r="E70" s="8"/>
      <c r="F70" s="8"/>
      <c r="G70" s="8"/>
      <c r="H70" s="9"/>
    </row>
    <row r="71" spans="1:8" ht="12.95" customHeight="1">
      <c r="A71" s="1" t="s">
        <v>214</v>
      </c>
      <c r="B71" s="11" t="s">
        <v>215</v>
      </c>
      <c r="C71" s="12"/>
      <c r="D71" s="8"/>
      <c r="E71" s="13"/>
      <c r="F71" s="14">
        <v>3226.01</v>
      </c>
      <c r="G71" s="14">
        <v>0.76</v>
      </c>
      <c r="H71" s="15">
        <v>5.5745600270161344E-2</v>
      </c>
    </row>
    <row r="72" spans="1:8" ht="12.95" customHeight="1">
      <c r="A72" s="2"/>
      <c r="B72" s="7" t="s">
        <v>208</v>
      </c>
      <c r="C72" s="8"/>
      <c r="D72" s="8"/>
      <c r="E72" s="8"/>
      <c r="F72" s="16">
        <v>3226.01</v>
      </c>
      <c r="G72" s="16">
        <v>0.76</v>
      </c>
      <c r="H72" s="17"/>
    </row>
    <row r="73" spans="1:8" ht="12.95" customHeight="1">
      <c r="A73" s="2"/>
      <c r="B73" s="18" t="s">
        <v>211</v>
      </c>
      <c r="C73" s="19"/>
      <c r="D73" s="19"/>
      <c r="E73" s="25"/>
      <c r="F73" s="16">
        <v>3226.01</v>
      </c>
      <c r="G73" s="16">
        <v>0.76</v>
      </c>
      <c r="H73" s="22"/>
    </row>
    <row r="74" spans="1:8" ht="12.95" customHeight="1">
      <c r="A74" s="2"/>
      <c r="B74" s="7" t="s">
        <v>216</v>
      </c>
      <c r="C74" s="8"/>
      <c r="D74" s="8"/>
      <c r="E74" s="8"/>
      <c r="F74" s="8"/>
      <c r="G74" s="8"/>
      <c r="H74" s="9"/>
    </row>
    <row r="75" spans="1:8" ht="12.95" customHeight="1">
      <c r="A75" s="2"/>
      <c r="B75" s="7" t="s">
        <v>217</v>
      </c>
      <c r="C75" s="8"/>
      <c r="D75" s="8"/>
      <c r="E75" s="8"/>
      <c r="F75" s="26"/>
      <c r="G75" s="27"/>
      <c r="H75" s="17"/>
    </row>
    <row r="76" spans="1:8" ht="12.95" customHeight="1">
      <c r="A76" s="1" t="s">
        <v>218</v>
      </c>
      <c r="B76" s="11" t="s">
        <v>219</v>
      </c>
      <c r="C76" s="12" t="s">
        <v>220</v>
      </c>
      <c r="D76" s="8" t="s">
        <v>102</v>
      </c>
      <c r="E76" s="13">
        <v>866592</v>
      </c>
      <c r="F76" s="14">
        <v>87.45</v>
      </c>
      <c r="G76" s="14">
        <v>0.02</v>
      </c>
      <c r="H76" s="15"/>
    </row>
    <row r="77" spans="1:8" ht="12.95" customHeight="1">
      <c r="A77" s="2"/>
      <c r="B77" s="7" t="s">
        <v>208</v>
      </c>
      <c r="C77" s="8"/>
      <c r="D77" s="8"/>
      <c r="E77" s="8"/>
      <c r="F77" s="16">
        <f>F76</f>
        <v>87.45</v>
      </c>
      <c r="G77" s="16">
        <f>G76</f>
        <v>0.02</v>
      </c>
      <c r="H77" s="17"/>
    </row>
    <row r="78" spans="1:8" ht="12.95" customHeight="1">
      <c r="A78" s="2"/>
      <c r="B78" s="18" t="s">
        <v>211</v>
      </c>
      <c r="C78" s="19"/>
      <c r="D78" s="19"/>
      <c r="E78" s="25"/>
      <c r="F78" s="16">
        <f>F77</f>
        <v>87.45</v>
      </c>
      <c r="G78" s="16">
        <f>G77</f>
        <v>0.02</v>
      </c>
      <c r="H78" s="22"/>
    </row>
    <row r="79" spans="1:8" ht="12.95" customHeight="1">
      <c r="A79" s="2"/>
      <c r="B79" s="18" t="s">
        <v>221</v>
      </c>
      <c r="C79" s="19"/>
      <c r="D79" s="19"/>
      <c r="E79" s="8"/>
      <c r="F79" s="16">
        <v>2428.6800000000003</v>
      </c>
      <c r="G79" s="16">
        <v>0.6</v>
      </c>
      <c r="H79" s="22"/>
    </row>
    <row r="80" spans="1:8" ht="12.95" customHeight="1" thickBot="1">
      <c r="A80" s="2"/>
      <c r="B80" s="28" t="s">
        <v>222</v>
      </c>
      <c r="C80" s="29"/>
      <c r="D80" s="29"/>
      <c r="E80" s="29"/>
      <c r="F80" s="30">
        <v>422817.6</v>
      </c>
      <c r="G80" s="31">
        <v>100</v>
      </c>
      <c r="H80" s="32"/>
    </row>
    <row r="81" spans="1:8" ht="12.95" customHeight="1">
      <c r="A81" s="2"/>
      <c r="B81" s="41"/>
      <c r="C81" s="41"/>
      <c r="D81" s="41"/>
      <c r="E81" s="41"/>
      <c r="F81" s="2"/>
      <c r="G81" s="2"/>
      <c r="H81" s="2"/>
    </row>
    <row r="82" spans="1:8" ht="12.95" customHeight="1">
      <c r="A82" s="2"/>
      <c r="B82" s="44" t="s">
        <v>223</v>
      </c>
      <c r="C82" s="44"/>
      <c r="D82" s="44"/>
      <c r="E82" s="44"/>
      <c r="F82" s="34"/>
      <c r="G82" s="34"/>
      <c r="H82" s="2"/>
    </row>
    <row r="83" spans="1:8" ht="12.95" customHeight="1">
      <c r="A83" s="2"/>
      <c r="B83" s="35" t="s">
        <v>224</v>
      </c>
      <c r="C83" s="36" t="s">
        <v>225</v>
      </c>
      <c r="F83" s="2"/>
      <c r="G83" s="2"/>
      <c r="H83" s="2"/>
    </row>
    <row r="84" spans="1:8" ht="12.95" customHeight="1">
      <c r="A84" s="2"/>
      <c r="B84" s="37" t="s">
        <v>226</v>
      </c>
      <c r="C84" s="38">
        <v>100000</v>
      </c>
      <c r="F84" s="2"/>
      <c r="G84" s="2"/>
      <c r="H84" s="2"/>
    </row>
    <row r="85" spans="1:8" ht="12.95" customHeight="1">
      <c r="A85" s="2"/>
      <c r="B85" s="37" t="s">
        <v>227</v>
      </c>
      <c r="C85" s="38">
        <v>130396</v>
      </c>
      <c r="F85" s="2"/>
      <c r="G85" s="2"/>
      <c r="H85" s="2"/>
    </row>
    <row r="86" spans="1:8" ht="12.95" customHeight="1">
      <c r="A86" s="2"/>
      <c r="B86" s="37" t="s">
        <v>228</v>
      </c>
      <c r="C86" s="38">
        <v>11357</v>
      </c>
      <c r="F86" s="2"/>
      <c r="G86" s="2"/>
      <c r="H86" s="2"/>
    </row>
    <row r="87" spans="1:8" ht="12.95" customHeight="1">
      <c r="A87" s="2"/>
      <c r="B87" s="41"/>
      <c r="C87" s="41"/>
      <c r="D87" s="41"/>
      <c r="E87" s="41"/>
      <c r="F87" s="2"/>
      <c r="G87" s="2"/>
      <c r="H87" s="2"/>
    </row>
    <row r="88" spans="1:8" ht="12.95" customHeight="1">
      <c r="A88" s="2"/>
      <c r="B88" s="41" t="s">
        <v>229</v>
      </c>
      <c r="C88" s="41"/>
      <c r="D88" s="41"/>
      <c r="E88" s="41"/>
      <c r="F88" s="2"/>
      <c r="G88" s="2"/>
      <c r="H88" s="2"/>
    </row>
    <row r="89" spans="1:8" ht="12.95" customHeight="1">
      <c r="A89" s="2"/>
      <c r="B89" s="41" t="s">
        <v>230</v>
      </c>
      <c r="C89" s="41"/>
      <c r="D89" s="41"/>
      <c r="E89" s="41"/>
      <c r="F89" s="2"/>
      <c r="G89" s="2"/>
      <c r="H89" s="2"/>
    </row>
    <row r="90" spans="1:8" ht="12.95" customHeight="1">
      <c r="A90" s="2"/>
      <c r="B90" s="42" t="s">
        <v>231</v>
      </c>
      <c r="C90" s="42"/>
      <c r="D90" s="42"/>
      <c r="E90" s="42"/>
      <c r="F90" s="2"/>
      <c r="G90" s="2"/>
      <c r="H90" s="2"/>
    </row>
    <row r="91" spans="1:8" ht="12.95" customHeight="1">
      <c r="A91" s="2"/>
      <c r="B91" s="33"/>
      <c r="C91" s="39"/>
      <c r="D91" s="39"/>
      <c r="E91" s="39"/>
      <c r="F91" s="2"/>
      <c r="G91" s="2"/>
      <c r="H91" s="2"/>
    </row>
    <row r="92" spans="1:8" ht="12.95" customHeight="1">
      <c r="A92" s="2"/>
      <c r="B92" s="41" t="s">
        <v>232</v>
      </c>
      <c r="C92" s="41"/>
      <c r="D92" s="41"/>
      <c r="E92" s="41"/>
      <c r="F92" s="2"/>
      <c r="G92" s="2"/>
      <c r="H92" s="2"/>
    </row>
    <row r="93" spans="1:8" ht="12.95" customHeight="1">
      <c r="A93" s="2"/>
      <c r="B93" s="40" t="s">
        <v>233</v>
      </c>
      <c r="C93" s="40"/>
      <c r="D93" s="40"/>
      <c r="E93" s="40"/>
      <c r="F93" s="2"/>
      <c r="G93" s="2"/>
      <c r="H93" s="2"/>
    </row>
    <row r="94" spans="1:8" ht="12.95" customHeight="1">
      <c r="A94" s="2"/>
      <c r="B94" s="40" t="s">
        <v>234</v>
      </c>
      <c r="C94" s="40"/>
      <c r="D94" s="40"/>
      <c r="E94" s="40"/>
      <c r="F94" s="2"/>
      <c r="G94" s="2"/>
      <c r="H94" s="2"/>
    </row>
    <row r="95" spans="1:8" ht="12.95" customHeight="1">
      <c r="A95" s="2"/>
      <c r="B95" s="40" t="s">
        <v>235</v>
      </c>
      <c r="C95" s="40"/>
      <c r="D95" s="40"/>
      <c r="E95" s="40"/>
      <c r="F95" s="2"/>
      <c r="G95" s="2"/>
      <c r="H95" s="2"/>
    </row>
    <row r="96" spans="1:8">
      <c r="B96" s="40" t="s">
        <v>236</v>
      </c>
      <c r="C96" s="40"/>
      <c r="D96" s="40"/>
      <c r="E96" s="40"/>
    </row>
    <row r="97" spans="2:6">
      <c r="B97" s="40" t="s">
        <v>237</v>
      </c>
      <c r="C97" s="40"/>
      <c r="D97" s="40"/>
      <c r="E97" s="40"/>
    </row>
    <row r="98" spans="2:6">
      <c r="F98" s="39" t="s">
        <v>238</v>
      </c>
    </row>
    <row r="99" spans="2:6">
      <c r="B99" s="39" t="s">
        <v>239</v>
      </c>
      <c r="F99" s="39" t="s">
        <v>240</v>
      </c>
    </row>
  </sheetData>
  <mergeCells count="16">
    <mergeCell ref="B82:E82"/>
    <mergeCell ref="B1:H1"/>
    <mergeCell ref="B2:H2"/>
    <mergeCell ref="B3:H3"/>
    <mergeCell ref="B4:H4"/>
    <mergeCell ref="B81:E81"/>
    <mergeCell ref="B94:E94"/>
    <mergeCell ref="B95:E95"/>
    <mergeCell ref="B96:E96"/>
    <mergeCell ref="B97:E97"/>
    <mergeCell ref="B87:E87"/>
    <mergeCell ref="B88:E88"/>
    <mergeCell ref="B89:E89"/>
    <mergeCell ref="B90:E90"/>
    <mergeCell ref="B92:E92"/>
    <mergeCell ref="B93:E9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B3D1-F5F4-45F3-9826-B7CE404AD2ED}">
  <sheetPr codeName="Sheet37">
    <outlinePr summaryBelow="0"/>
  </sheetPr>
  <dimension ref="A1:F20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1" t="s">
        <v>241</v>
      </c>
      <c r="B1" s="41"/>
      <c r="C1" s="41"/>
      <c r="D1" s="4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6" t="s">
        <v>242</v>
      </c>
      <c r="B3" s="46"/>
      <c r="C3" s="2"/>
      <c r="D3" s="2"/>
      <c r="E3" s="46" t="s">
        <v>243</v>
      </c>
      <c r="F3" s="46"/>
    </row>
    <row r="4" spans="1:6" ht="12.95" customHeight="1">
      <c r="A4" s="47" t="s">
        <v>244</v>
      </c>
      <c r="B4" s="47" t="s">
        <v>9</v>
      </c>
      <c r="C4" s="2"/>
      <c r="D4" s="2"/>
      <c r="E4" s="47" t="s">
        <v>245</v>
      </c>
      <c r="F4" s="47" t="s">
        <v>246</v>
      </c>
    </row>
    <row r="5" spans="1:6" ht="12.95" customHeight="1">
      <c r="A5" s="19" t="s">
        <v>14</v>
      </c>
      <c r="B5" s="48">
        <v>4.5699999999999998E-2</v>
      </c>
      <c r="C5" s="2"/>
      <c r="D5" s="2"/>
      <c r="E5" s="19" t="s">
        <v>247</v>
      </c>
      <c r="F5" s="48">
        <v>0.28299999999999997</v>
      </c>
    </row>
    <row r="6" spans="1:6" ht="12.95" customHeight="1">
      <c r="A6" s="19" t="s">
        <v>227</v>
      </c>
      <c r="B6" s="48">
        <v>3.7499999999999999E-2</v>
      </c>
      <c r="C6" s="2"/>
      <c r="D6" s="2"/>
      <c r="E6" s="19" t="s">
        <v>248</v>
      </c>
      <c r="F6" s="48">
        <v>0.14829999999999999</v>
      </c>
    </row>
    <row r="7" spans="1:6" ht="12.95" customHeight="1">
      <c r="A7" s="19" t="s">
        <v>22</v>
      </c>
      <c r="B7" s="48">
        <v>3.6999999999999998E-2</v>
      </c>
      <c r="C7" s="2"/>
      <c r="D7" s="2"/>
      <c r="E7" s="19" t="s">
        <v>249</v>
      </c>
      <c r="F7" s="48">
        <v>0.12970000000000001</v>
      </c>
    </row>
    <row r="8" spans="1:6" ht="12.95" customHeight="1">
      <c r="A8" s="19" t="s">
        <v>26</v>
      </c>
      <c r="B8" s="48">
        <v>3.5799999999999998E-2</v>
      </c>
      <c r="C8" s="2"/>
      <c r="D8" s="2"/>
      <c r="E8" s="19" t="s">
        <v>31</v>
      </c>
      <c r="F8" s="48">
        <v>8.3699999999999997E-2</v>
      </c>
    </row>
    <row r="9" spans="1:6" ht="12.95" customHeight="1">
      <c r="A9" s="19" t="s">
        <v>29</v>
      </c>
      <c r="B9" s="48">
        <v>3.2099999999999997E-2</v>
      </c>
      <c r="C9" s="2"/>
      <c r="D9" s="2"/>
      <c r="E9" s="19" t="s">
        <v>250</v>
      </c>
      <c r="F9" s="48">
        <v>6.4600000000000005E-2</v>
      </c>
    </row>
    <row r="10" spans="1:6" ht="12.95" customHeight="1">
      <c r="A10" s="19" t="s">
        <v>33</v>
      </c>
      <c r="B10" s="48">
        <v>2.9499999999999998E-2</v>
      </c>
      <c r="C10" s="2"/>
      <c r="D10" s="2"/>
      <c r="E10" s="19" t="s">
        <v>251</v>
      </c>
      <c r="F10" s="48">
        <v>6.4199999999999993E-2</v>
      </c>
    </row>
    <row r="11" spans="1:6" ht="12.95" customHeight="1">
      <c r="A11" s="19" t="s">
        <v>37</v>
      </c>
      <c r="B11" s="48">
        <v>2.6100000000000002E-2</v>
      </c>
      <c r="C11" s="2"/>
      <c r="D11" s="2"/>
      <c r="E11" s="19" t="s">
        <v>252</v>
      </c>
      <c r="F11" s="48">
        <v>5.28E-2</v>
      </c>
    </row>
    <row r="12" spans="1:6" ht="12.95" customHeight="1">
      <c r="A12" s="19" t="s">
        <v>40</v>
      </c>
      <c r="B12" s="48">
        <v>2.5700000000000001E-2</v>
      </c>
      <c r="C12" s="2"/>
      <c r="D12" s="2"/>
      <c r="E12" s="19" t="s">
        <v>253</v>
      </c>
      <c r="F12" s="48">
        <v>4.8500000000000001E-2</v>
      </c>
    </row>
    <row r="13" spans="1:6" ht="12.95" customHeight="1">
      <c r="A13" s="19" t="s">
        <v>43</v>
      </c>
      <c r="B13" s="48">
        <v>2.52E-2</v>
      </c>
      <c r="C13" s="2"/>
      <c r="D13" s="2"/>
      <c r="E13" s="19" t="s">
        <v>254</v>
      </c>
      <c r="F13" s="48">
        <v>3.8199999999999998E-2</v>
      </c>
    </row>
    <row r="14" spans="1:6" ht="12.95" customHeight="1">
      <c r="A14" s="19" t="s">
        <v>46</v>
      </c>
      <c r="B14" s="48">
        <v>2.4400000000000002E-2</v>
      </c>
      <c r="C14" s="2"/>
      <c r="D14" s="2"/>
      <c r="E14" s="19" t="s">
        <v>118</v>
      </c>
      <c r="F14" s="48">
        <v>3.0599999999999999E-2</v>
      </c>
    </row>
    <row r="15" spans="1:6" ht="12.95" customHeight="1">
      <c r="A15" s="2"/>
      <c r="B15" s="2"/>
      <c r="C15" s="2"/>
      <c r="D15" s="2"/>
      <c r="E15" s="19" t="s">
        <v>255</v>
      </c>
      <c r="F15" s="48">
        <v>2.0500000000000001E-2</v>
      </c>
    </row>
    <row r="16" spans="1:6" ht="12.95" customHeight="1">
      <c r="A16" s="2"/>
      <c r="B16" s="2"/>
      <c r="C16" s="2"/>
      <c r="D16" s="2"/>
      <c r="E16" s="19" t="s">
        <v>142</v>
      </c>
      <c r="F16" s="48">
        <v>1.35E-2</v>
      </c>
    </row>
    <row r="17" spans="1:6" ht="12.95" customHeight="1">
      <c r="A17" s="2"/>
      <c r="B17" s="2"/>
      <c r="C17" s="2"/>
      <c r="D17" s="2"/>
      <c r="E17" s="19" t="s">
        <v>256</v>
      </c>
      <c r="F17" s="48">
        <v>8.6999999999999994E-3</v>
      </c>
    </row>
    <row r="18" spans="1:6" ht="12.95" customHeight="1">
      <c r="A18" s="2"/>
      <c r="B18" s="2"/>
      <c r="C18" s="2"/>
      <c r="D18" s="2"/>
      <c r="E18" s="19" t="s">
        <v>216</v>
      </c>
      <c r="F18" s="48">
        <v>7.6E-3</v>
      </c>
    </row>
    <row r="19" spans="1:6" ht="12.95" customHeight="1">
      <c r="A19" s="2"/>
      <c r="B19" s="2"/>
      <c r="C19" s="2"/>
      <c r="D19" s="2"/>
      <c r="E19" s="19" t="s">
        <v>257</v>
      </c>
      <c r="F19" s="48">
        <v>6.0000000000000001E-3</v>
      </c>
    </row>
    <row r="20" spans="1:6" ht="12.95" customHeight="1">
      <c r="A20" s="2"/>
      <c r="B20" s="2"/>
      <c r="C20" s="2"/>
      <c r="D20" s="2"/>
      <c r="E20" s="47" t="s">
        <v>258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2025-11-07T11:30:46Z</dcterms:created>
  <dcterms:modified xsi:type="dcterms:W3CDTF">2025-11-07T11:33:48Z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2025-11-07T11:30:48Z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e13f0333-2cdb-4d53-8430-2695cef81b04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