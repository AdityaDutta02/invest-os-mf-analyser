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6FE03725-1241-4FB5-A688-A4DDF0D29B50}" xr6:coauthVersionLast="47" xr6:coauthVersionMax="47" xr10:uidLastSave="{00000000-0000-0000-0000-000000000000}"/>
  <bookViews>
    <workbookView xWindow="-110" yWindow="-110" windowWidth="19420" windowHeight="11500" xr2:uid="{1F980220-240D-42A3-BF3B-790FCDF5F6A9}"/>
  </bookViews>
  <sheets>
    <sheet name="Manufacturing Fund" sheetId="1" r:id="rId1"/>
    <sheet name="IMFGF" sheetId="2" r:id="rId2"/>
  </sheets>
  <definedNames>
    <definedName name="JR_PAGE_ANCHOR_0_12">'Manufacturing Fund'!$A$1</definedName>
    <definedName name="JR_PAGE_ANCHOR_0_13">IMFGF!$A$1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7" i="1"/>
  <c r="F67" i="1"/>
  <c r="F68" i="1" s="1"/>
  <c r="G58" i="1"/>
  <c r="F58" i="1"/>
</calcChain>
</file>

<file path=xl/sharedStrings.xml><?xml version="1.0" encoding="utf-8"?>
<sst xmlns="http://schemas.openxmlformats.org/spreadsheetml/2006/main" count="276" uniqueCount="220">
  <si>
    <t>IMFGF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</si>
  <si>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</si>
  <si>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</si>
  <si>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Manufacturing Fund
(An open ended equity scheme following manufacturing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</si>
  <si>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</si>
  <si>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</si>
  <si>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</si>
  <si>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</si>
  <si>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</si>
  <si>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</si>
  <si>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</si>
  <si>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</si>
  <si>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</si>
  <si>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</si>
  <si>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</si>
  <si>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</si>
  <si>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</si>
  <si>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</si>
  <si>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</si>
  <si>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</si>
  <si>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</si>
  <si>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</si>
  <si>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</si>
  <si>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</si>
  <si>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POCA01</t>
  </si>
  <si>
    <t>Polycab India Limited</t>
  </si>
  <si>
    <t>INE455K01017</t>
  </si>
  <si>
    <t>Industrial Products</t>
  </si>
  <si>
    <t>BPCL01</t>
  </si>
  <si>
    <t>Bharat Petroleum Corporation Limited</t>
  </si>
  <si>
    <t>INE029A01011</t>
  </si>
  <si>
    <t>Petroleum Products</t>
  </si>
  <si>
    <t>AENP01</t>
  </si>
  <si>
    <t>Ather Energy Limited</t>
  </si>
  <si>
    <t>INE0LEZ01016</t>
  </si>
  <si>
    <t>DIVI02</t>
  </si>
  <si>
    <t>Divi's Laboratories Limited</t>
  </si>
  <si>
    <t>INE361B01024</t>
  </si>
  <si>
    <t>Pharmaceuticals &amp; Biotechnology</t>
  </si>
  <si>
    <t>JKCE01</t>
  </si>
  <si>
    <t>JK Cement Limited</t>
  </si>
  <si>
    <t>INE823G01014</t>
  </si>
  <si>
    <t>Cement &amp; Cement Products</t>
  </si>
  <si>
    <t>TENN01</t>
  </si>
  <si>
    <t>Tenneco Clean Air India Limited</t>
  </si>
  <si>
    <t>INE19RI01016</t>
  </si>
  <si>
    <t>Auto Components</t>
  </si>
  <si>
    <t>CIPL03</t>
  </si>
  <si>
    <t>Cipla Limited</t>
  </si>
  <si>
    <t>INE059A01026</t>
  </si>
  <si>
    <t>MAUD01</t>
  </si>
  <si>
    <t>Maruti Suzuki India Limited</t>
  </si>
  <si>
    <t>INE585B01010</t>
  </si>
  <si>
    <t>AMBE01</t>
  </si>
  <si>
    <t>Amber Enterprises India Limited ‡</t>
  </si>
  <si>
    <t>INE371P01015</t>
  </si>
  <si>
    <t>Consumer Durables</t>
  </si>
  <si>
    <t>FAGP02</t>
  </si>
  <si>
    <t>Schaeffler India Limited</t>
  </si>
  <si>
    <t>INE513A01022</t>
  </si>
  <si>
    <t>ABBP01</t>
  </si>
  <si>
    <t>Hitachi Energy India Limited</t>
  </si>
  <si>
    <t>INE07Y701011</t>
  </si>
  <si>
    <t>Electrical Equipment</t>
  </si>
  <si>
    <t>HALT02</t>
  </si>
  <si>
    <t>Hindustan Aeronautics Limited</t>
  </si>
  <si>
    <t>INE066F01020</t>
  </si>
  <si>
    <t>ASEA02</t>
  </si>
  <si>
    <t>ABB India Limited</t>
  </si>
  <si>
    <t>INE117A01022</t>
  </si>
  <si>
    <t>MOSU03</t>
  </si>
  <si>
    <t>Samvardhana Motherson International Limited</t>
  </si>
  <si>
    <t>INE775A01035</t>
  </si>
  <si>
    <t>GRAS02</t>
  </si>
  <si>
    <t>Grasim Industries Limited</t>
  </si>
  <si>
    <t>INE047A01021</t>
  </si>
  <si>
    <t>CRAF01</t>
  </si>
  <si>
    <t>Craftsman Automation Limited</t>
  </si>
  <si>
    <t>INE00LO01017</t>
  </si>
  <si>
    <t>TLFH01</t>
  </si>
  <si>
    <t>Tube Investments Of India Limited</t>
  </si>
  <si>
    <t>INE974X01010</t>
  </si>
  <si>
    <t>KEII02</t>
  </si>
  <si>
    <t>KEI Industries Limited ‡</t>
  </si>
  <si>
    <t>INE878B01027</t>
  </si>
  <si>
    <t>TMLC01</t>
  </si>
  <si>
    <t>Tata Motors Ltd</t>
  </si>
  <si>
    <t>INE1TAE01010</t>
  </si>
  <si>
    <t>Agricultural, Commercial &amp; Construction Vehicles</t>
  </si>
  <si>
    <t>TOPH02</t>
  </si>
  <si>
    <t>Torrent Pharmaceuticals Limited</t>
  </si>
  <si>
    <t>INE685A01028</t>
  </si>
  <si>
    <t>SAPH01</t>
  </si>
  <si>
    <t>Sai Life Sciences Limited</t>
  </si>
  <si>
    <t>INE570L01029</t>
  </si>
  <si>
    <t>ASHL02</t>
  </si>
  <si>
    <t>Ashok Leyland Limited ‡ ^^^</t>
  </si>
  <si>
    <t>INE208A01029</t>
  </si>
  <si>
    <t>TISC03</t>
  </si>
  <si>
    <t>Tata Steel Limited</t>
  </si>
  <si>
    <t>INE081A01020</t>
  </si>
  <si>
    <t>Ferrous Metals</t>
  </si>
  <si>
    <t>DIXO02</t>
  </si>
  <si>
    <t>Dixon Technologies (India) Limited</t>
  </si>
  <si>
    <t>INE935N01020</t>
  </si>
  <si>
    <t>SHYA01</t>
  </si>
  <si>
    <t>Shyam Metalics and Energy Limited</t>
  </si>
  <si>
    <t>INE810G01011</t>
  </si>
  <si>
    <t>BWIN01</t>
  </si>
  <si>
    <t>Bansal Wire Industries Limited</t>
  </si>
  <si>
    <t>INE0B9K01025</t>
  </si>
  <si>
    <t>ADTH01</t>
  </si>
  <si>
    <t>Aditya Infotech Limited</t>
  </si>
  <si>
    <t>INE819V01029</t>
  </si>
  <si>
    <t>Industrial Manufacturing</t>
  </si>
  <si>
    <t>PPHA01</t>
  </si>
  <si>
    <t>Piramal Pharma Limited</t>
  </si>
  <si>
    <t>INE0DK501011</t>
  </si>
  <si>
    <t>BTUL02</t>
  </si>
  <si>
    <t>APL Apollo Tubes Limited</t>
  </si>
  <si>
    <t>INE702C01027</t>
  </si>
  <si>
    <t>CROM02</t>
  </si>
  <si>
    <t>CG Power and Industrial Solutions Limited</t>
  </si>
  <si>
    <t>INE067A01029</t>
  </si>
  <si>
    <t>BLUS03</t>
  </si>
  <si>
    <t>Blue Star Limited</t>
  </si>
  <si>
    <t>INE472A01039</t>
  </si>
  <si>
    <t>BIKA02</t>
  </si>
  <si>
    <t>Bikaji Foods International Limited</t>
  </si>
  <si>
    <t>INE00E101023</t>
  </si>
  <si>
    <t>Food Products</t>
  </si>
  <si>
    <t>SOEL02</t>
  </si>
  <si>
    <t>Solar Industries India Limited</t>
  </si>
  <si>
    <t>INE343H01029</t>
  </si>
  <si>
    <t>Chemicals &amp; Petrochemicals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</si>
  <si>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</si>
  <si>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</si>
  <si>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</si>
  <si>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</si>
  <si>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</si>
  <si>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</si>
  <si>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DOMS01</t>
  </si>
  <si>
    <t>Doms Industries Limited</t>
  </si>
  <si>
    <t>INE321T01012</t>
  </si>
  <si>
    <t>Household Products</t>
  </si>
  <si>
    <t>GRIN02</t>
  </si>
  <si>
    <t>Grindwell Norton Limited</t>
  </si>
  <si>
    <t>INE536A01023</t>
  </si>
  <si>
    <t>CEAT02</t>
  </si>
  <si>
    <t>CEAT Limited</t>
  </si>
  <si>
    <t>INE482A01020</t>
  </si>
  <si>
    <t>TAHO01</t>
  </si>
  <si>
    <t>Honeywell Automation India Limited</t>
  </si>
  <si>
    <t>INE671A01010</t>
  </si>
  <si>
    <t>AETH01</t>
  </si>
  <si>
    <t>Aether Industries Limited</t>
  </si>
  <si>
    <t>INE0BWX01014</t>
  </si>
  <si>
    <t>INCA01</t>
  </si>
  <si>
    <t>Innova Captab Limited</t>
  </si>
  <si>
    <t>INE0DUT01020</t>
  </si>
  <si>
    <t>CONB01</t>
  </si>
  <si>
    <t>Concord Biotech Limited</t>
  </si>
  <si>
    <t>INE338H01029</t>
  </si>
  <si>
    <t>GIND02</t>
  </si>
  <si>
    <t>Gabriel India Limited</t>
  </si>
  <si>
    <t>INE524A01029</t>
  </si>
  <si>
    <t>TARL02</t>
  </si>
  <si>
    <t>Transformers And Rectifiers (India) Limited</t>
  </si>
  <si>
    <t>INE763I01026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</si>
  <si>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</si>
  <si>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</si>
  <si>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</si>
  <si>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</si>
  <si>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</si>
  <si>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</si>
  <si>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</si>
  <si>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</si>
  <si>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</si>
  <si>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</si>
  <si>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</si>
  <si>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</si>
  <si>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</si>
  <si>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</si>
  <si>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</si>
  <si>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</si>
  <si>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</si>
  <si>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</si>
  <si>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</si>
  <si>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</si>
  <si>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</si>
  <si>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</si>
  <si>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</si>
  <si>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</si>
  <si>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Ashok Leyland Limited</t>
  </si>
  <si>
    <t>KEI Industries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</si>
  <si>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</si>
  <si>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</si>
  <si>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</si>
  <si>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</si>
  <si>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</si>
  <si>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</si>
  <si>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</si>
  <si>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</si>
  <si>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</si>
  <si>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</si>
  <si>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</si>
  <si>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</si>
  <si>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</si>
  <si>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</si>
  <si>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</si>
  <si>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</si>
  <si>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Automobile and Auto Components</t>
  </si>
  <si>
    <t>Healthcare</t>
  </si>
  <si>
    <t>Construction Materials</t>
  </si>
  <si>
    <t>Oil Gas &amp; Consumable Fuels</t>
  </si>
  <si>
    <t>Fast Moving Consumer Goods</t>
  </si>
  <si>
    <t>Chemicals</t>
  </si>
  <si>
    <t>Metals &amp; Mining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</si>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</sst>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DD705-E31D-49E6-994A-20F123C90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6548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8</xdr:col>
      <xdr:colOff>127000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2AF2-7E2E-4087-A593-609E60810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6548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A4E2-EFC7-4BF8-88C8-81F9395FAF8B}">
  <sheetPr codeName="Sheet15">
    <outlinePr summaryBelow="0"/>
  </sheetPr>
  <dimension ref="A1:H91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88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2"/>
      <c r="B4" s="42"/>
      <c r="C4" s="42"/>
      <c r="D4" s="42"/>
      <c r="E4" s="42"/>
      <c r="F4" s="42"/>
      <c r="G4" s="42"/>
      <c r="H4" s="4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103397</v>
      </c>
      <c r="F8" s="14">
        <v>3512.81</v>
      </c>
      <c r="G8" s="14">
        <v>5.09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627318</v>
      </c>
      <c r="F9" s="14">
        <v>2789.68</v>
      </c>
      <c r="G9" s="14">
        <v>4.04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69323</v>
      </c>
      <c r="F10" s="14">
        <v>2682.59</v>
      </c>
      <c r="G10" s="14">
        <v>3.89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30272</v>
      </c>
      <c r="F11" s="14">
        <v>2606.5700000000002</v>
      </c>
      <c r="G11" s="14">
        <v>3.78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643721</v>
      </c>
      <c r="F12" s="14">
        <v>2480.9</v>
      </c>
      <c r="G12" s="14">
        <v>3.6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327296</v>
      </c>
      <c r="F13" s="14">
        <v>2326.75</v>
      </c>
      <c r="G13" s="14">
        <v>3.37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34512</v>
      </c>
      <c r="F14" s="14">
        <v>2211.6999999999998</v>
      </c>
      <c r="G14" s="14">
        <v>3.21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38966</v>
      </c>
      <c r="F15" s="14">
        <v>2203.92</v>
      </c>
      <c r="G15" s="14">
        <v>3.2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354880</v>
      </c>
      <c r="F16" s="14">
        <v>2062.92</v>
      </c>
      <c r="G16" s="14">
        <v>2.99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38</v>
      </c>
      <c r="E17" s="13">
        <v>151813</v>
      </c>
      <c r="F17" s="14">
        <v>2046.74</v>
      </c>
      <c r="G17" s="14">
        <v>2.97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13565</v>
      </c>
      <c r="F18" s="14">
        <v>2015.35</v>
      </c>
      <c r="G18" s="14">
        <v>2.92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25140</v>
      </c>
      <c r="F19" s="14">
        <v>2004.66</v>
      </c>
      <c r="G19" s="14">
        <v>2.91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46</v>
      </c>
      <c r="E20" s="13">
        <v>43746</v>
      </c>
      <c r="F20" s="14">
        <v>1906.1</v>
      </c>
      <c r="G20" s="14">
        <v>2.76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6954</v>
      </c>
      <c r="F21" s="14">
        <v>1777.58</v>
      </c>
      <c r="G21" s="14">
        <v>2.58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20</v>
      </c>
      <c r="E22" s="13">
        <v>42947</v>
      </c>
      <c r="F22" s="14">
        <v>1680.6</v>
      </c>
      <c r="G22" s="14">
        <v>2.44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63</v>
      </c>
      <c r="E23" s="13">
        <v>25966</v>
      </c>
      <c r="F23" s="14">
        <v>1576.92</v>
      </c>
      <c r="G23" s="14">
        <v>2.29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46</v>
      </c>
      <c r="E24" s="13">
        <v>1178541</v>
      </c>
      <c r="F24" s="14">
        <v>1571.47</v>
      </c>
      <c r="G24" s="14">
        <v>2.2799999999999998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42</v>
      </c>
      <c r="E25" s="13">
        <v>55138</v>
      </c>
      <c r="F25" s="14">
        <v>1543.75</v>
      </c>
      <c r="G25" s="14">
        <v>2.2400000000000002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46</v>
      </c>
      <c r="E26" s="13">
        <v>20062</v>
      </c>
      <c r="F26" s="14">
        <v>1509.87</v>
      </c>
      <c r="G26" s="14">
        <v>2.19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46</v>
      </c>
      <c r="E27" s="13">
        <v>54078</v>
      </c>
      <c r="F27" s="14">
        <v>1488.98</v>
      </c>
      <c r="G27" s="14">
        <v>2.16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27</v>
      </c>
      <c r="E28" s="13">
        <v>29235</v>
      </c>
      <c r="F28" s="14">
        <v>1485.25</v>
      </c>
      <c r="G28" s="14">
        <v>2.15</v>
      </c>
      <c r="H28" s="15"/>
    </row>
    <row r="29" spans="1:8" ht="13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287041</v>
      </c>
      <c r="F29" s="14">
        <v>1450.42</v>
      </c>
      <c r="G29" s="14">
        <v>2.1</v>
      </c>
      <c r="H29" s="15"/>
    </row>
    <row r="30" spans="1:8" ht="13" customHeight="1">
      <c r="A30" s="1" t="s">
        <v>89</v>
      </c>
      <c r="B30" s="11" t="s">
        <v>90</v>
      </c>
      <c r="C30" s="12" t="s">
        <v>91</v>
      </c>
      <c r="D30" s="8" t="s">
        <v>38</v>
      </c>
      <c r="E30" s="13">
        <v>32905</v>
      </c>
      <c r="F30" s="14">
        <v>1425.87</v>
      </c>
      <c r="G30" s="14">
        <v>2.0699999999999998</v>
      </c>
      <c r="H30" s="15"/>
    </row>
    <row r="31" spans="1:8" ht="13" customHeight="1">
      <c r="A31" s="1" t="s">
        <v>92</v>
      </c>
      <c r="B31" s="11" t="s">
        <v>93</v>
      </c>
      <c r="C31" s="12" t="s">
        <v>94</v>
      </c>
      <c r="D31" s="8" t="s">
        <v>38</v>
      </c>
      <c r="E31" s="13">
        <v>140011</v>
      </c>
      <c r="F31" s="14">
        <v>1397.66</v>
      </c>
      <c r="G31" s="14">
        <v>2.0299999999999998</v>
      </c>
      <c r="H31" s="15"/>
    </row>
    <row r="32" spans="1:8" ht="13" customHeight="1">
      <c r="A32" s="1" t="s">
        <v>95</v>
      </c>
      <c r="B32" s="11" t="s">
        <v>96</v>
      </c>
      <c r="C32" s="12" t="s">
        <v>97</v>
      </c>
      <c r="D32" s="8" t="s">
        <v>88</v>
      </c>
      <c r="E32" s="13">
        <v>646740</v>
      </c>
      <c r="F32" s="14">
        <v>1365.27</v>
      </c>
      <c r="G32" s="14">
        <v>1.98</v>
      </c>
      <c r="H32" s="15"/>
    </row>
    <row r="33" spans="1:8" ht="13" customHeight="1">
      <c r="A33" s="1" t="s">
        <v>98</v>
      </c>
      <c r="B33" s="11" t="s">
        <v>99</v>
      </c>
      <c r="C33" s="12" t="s">
        <v>100</v>
      </c>
      <c r="D33" s="8" t="s">
        <v>101</v>
      </c>
      <c r="E33" s="13">
        <v>618063</v>
      </c>
      <c r="F33" s="14">
        <v>1312.33</v>
      </c>
      <c r="G33" s="14">
        <v>1.9</v>
      </c>
      <c r="H33" s="15"/>
    </row>
    <row r="34" spans="1:8" ht="13" customHeight="1">
      <c r="A34" s="1" t="s">
        <v>102</v>
      </c>
      <c r="B34" s="11" t="s">
        <v>103</v>
      </c>
      <c r="C34" s="12" t="s">
        <v>104</v>
      </c>
      <c r="D34" s="8" t="s">
        <v>56</v>
      </c>
      <c r="E34" s="13">
        <v>11978</v>
      </c>
      <c r="F34" s="14">
        <v>1261.04</v>
      </c>
      <c r="G34" s="14">
        <v>1.83</v>
      </c>
      <c r="H34" s="15"/>
    </row>
    <row r="35" spans="1:8" ht="13" customHeight="1">
      <c r="A35" s="1" t="s">
        <v>105</v>
      </c>
      <c r="B35" s="11" t="s">
        <v>106</v>
      </c>
      <c r="C35" s="12" t="s">
        <v>107</v>
      </c>
      <c r="D35" s="8" t="s">
        <v>27</v>
      </c>
      <c r="E35" s="13">
        <v>144730</v>
      </c>
      <c r="F35" s="14">
        <v>1245.1099999999999</v>
      </c>
      <c r="G35" s="14">
        <v>1.81</v>
      </c>
      <c r="H35" s="15"/>
    </row>
    <row r="36" spans="1:8" ht="13" customHeight="1">
      <c r="A36" s="1" t="s">
        <v>108</v>
      </c>
      <c r="B36" s="11" t="s">
        <v>109</v>
      </c>
      <c r="C36" s="12" t="s">
        <v>110</v>
      </c>
      <c r="D36" s="8" t="s">
        <v>27</v>
      </c>
      <c r="E36" s="13">
        <v>465403</v>
      </c>
      <c r="F36" s="14">
        <v>1221.92</v>
      </c>
      <c r="G36" s="14">
        <v>1.77</v>
      </c>
      <c r="H36" s="15"/>
    </row>
    <row r="37" spans="1:8" ht="13" customHeight="1">
      <c r="A37" s="1" t="s">
        <v>111</v>
      </c>
      <c r="B37" s="11" t="s">
        <v>112</v>
      </c>
      <c r="C37" s="12" t="s">
        <v>113</v>
      </c>
      <c r="D37" s="8" t="s">
        <v>114</v>
      </c>
      <c r="E37" s="13">
        <v>70939</v>
      </c>
      <c r="F37" s="14">
        <v>1198.1600000000001</v>
      </c>
      <c r="G37" s="14">
        <v>1.74</v>
      </c>
      <c r="H37" s="15"/>
    </row>
    <row r="38" spans="1:8" ht="13" customHeight="1">
      <c r="A38" s="1" t="s">
        <v>115</v>
      </c>
      <c r="B38" s="11" t="s">
        <v>116</v>
      </c>
      <c r="C38" s="12" t="s">
        <v>117</v>
      </c>
      <c r="D38" s="8" t="s">
        <v>38</v>
      </c>
      <c r="E38" s="13">
        <v>743078</v>
      </c>
      <c r="F38" s="14">
        <v>1160.17</v>
      </c>
      <c r="G38" s="14">
        <v>1.68</v>
      </c>
      <c r="H38" s="15"/>
    </row>
    <row r="39" spans="1:8" ht="13" customHeight="1">
      <c r="A39" s="1" t="s">
        <v>118</v>
      </c>
      <c r="B39" s="11" t="s">
        <v>119</v>
      </c>
      <c r="C39" s="12" t="s">
        <v>120</v>
      </c>
      <c r="D39" s="8" t="s">
        <v>27</v>
      </c>
      <c r="E39" s="13">
        <v>51591</v>
      </c>
      <c r="F39" s="14">
        <v>1152.8499999999999</v>
      </c>
      <c r="G39" s="14">
        <v>1.67</v>
      </c>
      <c r="H39" s="15"/>
    </row>
    <row r="40" spans="1:8" ht="13" customHeight="1">
      <c r="A40" s="1" t="s">
        <v>121</v>
      </c>
      <c r="B40" s="11" t="s">
        <v>122</v>
      </c>
      <c r="C40" s="12" t="s">
        <v>123</v>
      </c>
      <c r="D40" s="8" t="s">
        <v>63</v>
      </c>
      <c r="E40" s="13">
        <v>133556</v>
      </c>
      <c r="F40" s="14">
        <v>968.55</v>
      </c>
      <c r="G40" s="14">
        <v>1.4</v>
      </c>
      <c r="H40" s="15"/>
    </row>
    <row r="41" spans="1:8" ht="13" customHeight="1">
      <c r="A41" s="1" t="s">
        <v>124</v>
      </c>
      <c r="B41" s="11" t="s">
        <v>125</v>
      </c>
      <c r="C41" s="12" t="s">
        <v>126</v>
      </c>
      <c r="D41" s="8" t="s">
        <v>56</v>
      </c>
      <c r="E41" s="13">
        <v>45982</v>
      </c>
      <c r="F41" s="14">
        <v>892.6</v>
      </c>
      <c r="G41" s="14">
        <v>1.29</v>
      </c>
      <c r="H41" s="15"/>
    </row>
    <row r="42" spans="1:8" ht="13" customHeight="1">
      <c r="A42" s="1" t="s">
        <v>127</v>
      </c>
      <c r="B42" s="11" t="s">
        <v>128</v>
      </c>
      <c r="C42" s="12" t="s">
        <v>129</v>
      </c>
      <c r="D42" s="8" t="s">
        <v>130</v>
      </c>
      <c r="E42" s="13">
        <v>138804</v>
      </c>
      <c r="F42" s="14">
        <v>885.78</v>
      </c>
      <c r="G42" s="14">
        <v>1.28</v>
      </c>
      <c r="H42" s="15"/>
    </row>
    <row r="43" spans="1:8" ht="13" customHeight="1">
      <c r="A43" s="1" t="s">
        <v>131</v>
      </c>
      <c r="B43" s="11" t="s">
        <v>132</v>
      </c>
      <c r="C43" s="12" t="s">
        <v>133</v>
      </c>
      <c r="D43" s="8" t="s">
        <v>134</v>
      </c>
      <c r="E43" s="13">
        <v>6469</v>
      </c>
      <c r="F43" s="14">
        <v>873.57</v>
      </c>
      <c r="G43" s="14">
        <v>1.27</v>
      </c>
      <c r="H43" s="15"/>
    </row>
    <row r="44" spans="1:8" ht="13" customHeight="1">
      <c r="A44" s="1" t="s">
        <v>135</v>
      </c>
      <c r="B44" s="11" t="s">
        <v>136</v>
      </c>
      <c r="C44" s="12" t="s">
        <v>137</v>
      </c>
      <c r="D44" s="8" t="s">
        <v>56</v>
      </c>
      <c r="E44" s="13">
        <v>48292</v>
      </c>
      <c r="F44" s="14">
        <v>867.9</v>
      </c>
      <c r="G44" s="14">
        <v>1.26</v>
      </c>
      <c r="H44" s="15"/>
    </row>
    <row r="45" spans="1:8" ht="13" customHeight="1">
      <c r="A45" s="1" t="s">
        <v>138</v>
      </c>
      <c r="B45" s="11" t="s">
        <v>139</v>
      </c>
      <c r="C45" s="12" t="s">
        <v>140</v>
      </c>
      <c r="D45" s="8" t="s">
        <v>63</v>
      </c>
      <c r="E45" s="13">
        <v>21774</v>
      </c>
      <c r="F45" s="14">
        <v>838.34</v>
      </c>
      <c r="G45" s="14">
        <v>1.22</v>
      </c>
      <c r="H45" s="15"/>
    </row>
    <row r="46" spans="1:8" ht="13" customHeight="1">
      <c r="A46" s="1" t="s">
        <v>141</v>
      </c>
      <c r="B46" s="11" t="s">
        <v>142</v>
      </c>
      <c r="C46" s="12" t="s">
        <v>143</v>
      </c>
      <c r="D46" s="8" t="s">
        <v>144</v>
      </c>
      <c r="E46" s="13">
        <v>33573</v>
      </c>
      <c r="F46" s="14">
        <v>782.92</v>
      </c>
      <c r="G46" s="14">
        <v>1.1399999999999999</v>
      </c>
      <c r="H46" s="15"/>
    </row>
    <row r="47" spans="1:8" ht="13" customHeight="1">
      <c r="A47" s="1" t="s">
        <v>145</v>
      </c>
      <c r="B47" s="11" t="s">
        <v>146</v>
      </c>
      <c r="C47" s="12" t="s">
        <v>147</v>
      </c>
      <c r="D47" s="8" t="s">
        <v>27</v>
      </c>
      <c r="E47" s="13">
        <v>43651</v>
      </c>
      <c r="F47" s="14">
        <v>725.65</v>
      </c>
      <c r="G47" s="14">
        <v>1.05</v>
      </c>
      <c r="H47" s="15"/>
    </row>
    <row r="48" spans="1:8" ht="13" customHeight="1">
      <c r="A48" s="1" t="s">
        <v>148</v>
      </c>
      <c r="B48" s="11" t="s">
        <v>149</v>
      </c>
      <c r="C48" s="12" t="s">
        <v>150</v>
      </c>
      <c r="D48" s="8" t="s">
        <v>46</v>
      </c>
      <c r="E48" s="13">
        <v>18593</v>
      </c>
      <c r="F48" s="14">
        <v>656.59</v>
      </c>
      <c r="G48" s="14">
        <v>0.95</v>
      </c>
      <c r="H48" s="15"/>
    </row>
    <row r="49" spans="1:8" ht="13" customHeight="1">
      <c r="A49" s="1" t="s">
        <v>151</v>
      </c>
      <c r="B49" s="11" t="s">
        <v>152</v>
      </c>
      <c r="C49" s="12" t="s">
        <v>153</v>
      </c>
      <c r="D49" s="8" t="s">
        <v>114</v>
      </c>
      <c r="E49" s="13">
        <v>1984</v>
      </c>
      <c r="F49" s="14">
        <v>614.54</v>
      </c>
      <c r="G49" s="14">
        <v>0.89</v>
      </c>
      <c r="H49" s="15"/>
    </row>
    <row r="50" spans="1:8" ht="13" customHeight="1">
      <c r="A50" s="1" t="s">
        <v>154</v>
      </c>
      <c r="B50" s="11" t="s">
        <v>155</v>
      </c>
      <c r="C50" s="12" t="s">
        <v>156</v>
      </c>
      <c r="D50" s="8" t="s">
        <v>134</v>
      </c>
      <c r="E50" s="13">
        <v>57933</v>
      </c>
      <c r="F50" s="14">
        <v>555.35</v>
      </c>
      <c r="G50" s="14">
        <v>0.81</v>
      </c>
      <c r="H50" s="15"/>
    </row>
    <row r="51" spans="1:8" ht="13" customHeight="1">
      <c r="A51" s="1" t="s">
        <v>157</v>
      </c>
      <c r="B51" s="11" t="s">
        <v>158</v>
      </c>
      <c r="C51" s="12" t="s">
        <v>159</v>
      </c>
      <c r="D51" s="8" t="s">
        <v>38</v>
      </c>
      <c r="E51" s="13">
        <v>79883</v>
      </c>
      <c r="F51" s="14">
        <v>533.82000000000005</v>
      </c>
      <c r="G51" s="14">
        <v>0.77</v>
      </c>
      <c r="H51" s="15"/>
    </row>
    <row r="52" spans="1:8" ht="13" customHeight="1">
      <c r="A52" s="1" t="s">
        <v>160</v>
      </c>
      <c r="B52" s="11" t="s">
        <v>161</v>
      </c>
      <c r="C52" s="12" t="s">
        <v>162</v>
      </c>
      <c r="D52" s="8" t="s">
        <v>38</v>
      </c>
      <c r="E52" s="13">
        <v>33688</v>
      </c>
      <c r="F52" s="14">
        <v>411.2</v>
      </c>
      <c r="G52" s="14">
        <v>0.6</v>
      </c>
      <c r="H52" s="15"/>
    </row>
    <row r="53" spans="1:8" ht="13" customHeight="1">
      <c r="A53" s="1" t="s">
        <v>163</v>
      </c>
      <c r="B53" s="11" t="s">
        <v>164</v>
      </c>
      <c r="C53" s="12" t="s">
        <v>165</v>
      </c>
      <c r="D53" s="8" t="s">
        <v>46</v>
      </c>
      <c r="E53" s="13">
        <v>33948</v>
      </c>
      <c r="F53" s="14">
        <v>339.07</v>
      </c>
      <c r="G53" s="14">
        <v>0.49</v>
      </c>
      <c r="H53" s="15"/>
    </row>
    <row r="54" spans="1:8" ht="13" customHeight="1">
      <c r="A54" s="1" t="s">
        <v>166</v>
      </c>
      <c r="B54" s="11" t="s">
        <v>167</v>
      </c>
      <c r="C54" s="12" t="s">
        <v>168</v>
      </c>
      <c r="D54" s="8" t="s">
        <v>63</v>
      </c>
      <c r="E54" s="13">
        <v>95953</v>
      </c>
      <c r="F54" s="14">
        <v>297.58999999999997</v>
      </c>
      <c r="G54" s="14">
        <v>0.43</v>
      </c>
      <c r="H54" s="15"/>
    </row>
    <row r="55" spans="1:8" ht="13" customHeight="1">
      <c r="A55" s="2"/>
      <c r="B55" s="7" t="s">
        <v>169</v>
      </c>
      <c r="C55" s="8"/>
      <c r="D55" s="8"/>
      <c r="E55" s="8"/>
      <c r="F55" s="16">
        <v>67919.38</v>
      </c>
      <c r="G55" s="16">
        <v>98.49</v>
      </c>
      <c r="H55" s="17"/>
    </row>
    <row r="56" spans="1:8" ht="13" customHeight="1">
      <c r="A56" s="2"/>
      <c r="B56" s="18" t="s">
        <v>170</v>
      </c>
      <c r="C56" s="19"/>
      <c r="D56" s="19"/>
      <c r="E56" s="20"/>
      <c r="F56" s="21" t="s">
        <v>171</v>
      </c>
      <c r="G56" s="21" t="s">
        <v>171</v>
      </c>
      <c r="H56" s="22" t="s">
        <v>171</v>
      </c>
    </row>
    <row r="57" spans="1:8" ht="13" customHeight="1">
      <c r="A57" s="2"/>
      <c r="B57" s="23" t="s">
        <v>169</v>
      </c>
      <c r="C57" s="24"/>
      <c r="D57" s="24"/>
      <c r="E57" s="21"/>
      <c r="F57" s="21" t="s">
        <v>171</v>
      </c>
      <c r="G57" s="21" t="s">
        <v>171</v>
      </c>
      <c r="H57" s="22" t="s">
        <v>171</v>
      </c>
    </row>
    <row r="58" spans="1:8" ht="13" customHeight="1">
      <c r="A58" s="2"/>
      <c r="B58" s="18" t="s">
        <v>172</v>
      </c>
      <c r="C58" s="19"/>
      <c r="D58" s="19"/>
      <c r="E58" s="25"/>
      <c r="F58" s="16">
        <f>F55</f>
        <v>67919.38</v>
      </c>
      <c r="G58" s="16">
        <f>G55</f>
        <v>98.49</v>
      </c>
      <c r="H58" s="22"/>
    </row>
    <row r="59" spans="1:8" ht="13" customHeight="1">
      <c r="A59" s="2"/>
      <c r="B59" s="7" t="s">
        <v>173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174</v>
      </c>
      <c r="C60" s="10"/>
      <c r="D60" s="10"/>
      <c r="E60" s="8"/>
      <c r="F60" s="8"/>
      <c r="G60" s="8"/>
      <c r="H60" s="9"/>
    </row>
    <row r="61" spans="1:8" ht="13" customHeight="1">
      <c r="A61" s="1" t="s">
        <v>175</v>
      </c>
      <c r="B61" s="11" t="s">
        <v>176</v>
      </c>
      <c r="C61" s="12"/>
      <c r="D61" s="8"/>
      <c r="E61" s="13"/>
      <c r="F61" s="14">
        <v>346.45</v>
      </c>
      <c r="G61" s="14">
        <v>0.5</v>
      </c>
      <c r="H61" s="15">
        <v>4.9201360559376191E-2</v>
      </c>
    </row>
    <row r="62" spans="1:8" ht="13" customHeight="1">
      <c r="A62" s="2"/>
      <c r="B62" s="7" t="s">
        <v>169</v>
      </c>
      <c r="C62" s="8"/>
      <c r="D62" s="8"/>
      <c r="E62" s="8"/>
      <c r="F62" s="16">
        <v>346.45</v>
      </c>
      <c r="G62" s="16">
        <v>0.5</v>
      </c>
      <c r="H62" s="17"/>
    </row>
    <row r="63" spans="1:8" ht="13" customHeight="1">
      <c r="A63" s="2"/>
      <c r="B63" s="18" t="s">
        <v>172</v>
      </c>
      <c r="C63" s="19"/>
      <c r="D63" s="19"/>
      <c r="E63" s="25"/>
      <c r="F63" s="16">
        <v>346.45</v>
      </c>
      <c r="G63" s="16">
        <v>0.5</v>
      </c>
      <c r="H63" s="22"/>
    </row>
    <row r="64" spans="1:8" ht="12.9" customHeight="1">
      <c r="A64" s="2"/>
      <c r="B64" s="7" t="s">
        <v>177</v>
      </c>
      <c r="C64" s="8"/>
      <c r="D64" s="8"/>
      <c r="E64" s="8"/>
      <c r="F64" s="8"/>
      <c r="G64" s="8"/>
      <c r="H64" s="9"/>
    </row>
    <row r="65" spans="1:8" ht="12.9" customHeight="1">
      <c r="A65" s="2"/>
      <c r="B65" s="7" t="s">
        <v>178</v>
      </c>
      <c r="C65" s="8"/>
      <c r="D65" s="8"/>
      <c r="E65" s="8"/>
      <c r="F65" s="26"/>
      <c r="G65" s="27"/>
      <c r="H65" s="17"/>
    </row>
    <row r="66" spans="1:8" ht="12.9" customHeight="1">
      <c r="A66" s="1" t="s">
        <v>179</v>
      </c>
      <c r="B66" s="11" t="s">
        <v>180</v>
      </c>
      <c r="C66" s="12" t="s">
        <v>181</v>
      </c>
      <c r="D66" s="8" t="s">
        <v>16</v>
      </c>
      <c r="E66" s="13">
        <v>404384</v>
      </c>
      <c r="F66" s="14">
        <v>41.54</v>
      </c>
      <c r="G66" s="14">
        <v>0.06</v>
      </c>
      <c r="H66" s="15"/>
    </row>
    <row r="67" spans="1:8" ht="12.9" customHeight="1">
      <c r="A67" s="2"/>
      <c r="B67" s="7" t="s">
        <v>169</v>
      </c>
      <c r="C67" s="8"/>
      <c r="D67" s="8"/>
      <c r="E67" s="8"/>
      <c r="F67" s="16">
        <f>F66</f>
        <v>41.54</v>
      </c>
      <c r="G67" s="16">
        <f>G66</f>
        <v>0.06</v>
      </c>
      <c r="H67" s="17"/>
    </row>
    <row r="68" spans="1:8" ht="13" customHeight="1">
      <c r="A68" s="2"/>
      <c r="B68" s="18" t="s">
        <v>172</v>
      </c>
      <c r="C68" s="19"/>
      <c r="D68" s="19"/>
      <c r="E68" s="25"/>
      <c r="F68" s="16">
        <f>F67</f>
        <v>41.54</v>
      </c>
      <c r="G68" s="16">
        <f>G67</f>
        <v>0.06</v>
      </c>
      <c r="H68" s="22"/>
    </row>
    <row r="69" spans="1:8" ht="13" customHeight="1">
      <c r="A69" s="2"/>
      <c r="B69" s="18" t="s">
        <v>182</v>
      </c>
      <c r="C69" s="19"/>
      <c r="D69" s="19"/>
      <c r="E69" s="8"/>
      <c r="F69" s="16">
        <v>665.21</v>
      </c>
      <c r="G69" s="16">
        <v>0.95</v>
      </c>
      <c r="H69" s="22"/>
    </row>
    <row r="70" spans="1:8" ht="13" customHeight="1" thickBot="1">
      <c r="A70" s="2"/>
      <c r="B70" s="28" t="s">
        <v>183</v>
      </c>
      <c r="C70" s="29"/>
      <c r="D70" s="29"/>
      <c r="E70" s="29"/>
      <c r="F70" s="30">
        <v>68972.58</v>
      </c>
      <c r="G70" s="31">
        <v>100</v>
      </c>
      <c r="H70" s="32"/>
    </row>
    <row r="71" spans="1:8" ht="13" customHeight="1">
      <c r="A71" s="2"/>
      <c r="B71" s="43"/>
      <c r="C71" s="43"/>
      <c r="D71" s="43"/>
      <c r="E71" s="43"/>
      <c r="F71" s="2"/>
      <c r="G71" s="2"/>
      <c r="H71" s="2"/>
    </row>
    <row r="72" spans="1:8" ht="13" customHeight="1">
      <c r="A72" s="2"/>
      <c r="B72" s="43" t="s">
        <v>184</v>
      </c>
      <c r="C72" s="43"/>
      <c r="D72" s="43"/>
      <c r="E72" s="43"/>
      <c r="F72" s="2"/>
      <c r="G72" s="2"/>
      <c r="H72" s="2"/>
    </row>
    <row r="73" spans="1:8" ht="13" customHeight="1">
      <c r="A73" s="2"/>
      <c r="B73" s="43" t="s">
        <v>185</v>
      </c>
      <c r="C73" s="43"/>
      <c r="D73" s="43"/>
      <c r="E73" s="43"/>
      <c r="F73" s="34"/>
      <c r="G73" s="34"/>
      <c r="H73" s="2"/>
    </row>
    <row r="74" spans="1:8" ht="13" customHeight="1">
      <c r="A74" s="2"/>
      <c r="B74" s="43" t="s">
        <v>186</v>
      </c>
      <c r="C74" s="43"/>
      <c r="D74" s="43"/>
      <c r="E74" s="43"/>
      <c r="F74" s="2"/>
      <c r="G74" s="2"/>
      <c r="H74" s="2"/>
    </row>
    <row r="75" spans="1:8" ht="13" customHeight="1">
      <c r="A75" s="2"/>
      <c r="B75" s="43" t="s">
        <v>187</v>
      </c>
      <c r="C75" s="43"/>
      <c r="D75" s="43"/>
      <c r="E75" s="43"/>
      <c r="F75" s="2"/>
      <c r="G75" s="2"/>
      <c r="H75" s="2"/>
    </row>
    <row r="76" spans="1:8" ht="13" customHeight="1">
      <c r="A76" s="2"/>
      <c r="B76" s="43" t="s">
        <v>188</v>
      </c>
      <c r="C76" s="43"/>
      <c r="D76" s="43"/>
      <c r="E76" s="43"/>
      <c r="F76" s="2"/>
      <c r="G76" s="2"/>
      <c r="H76" s="2"/>
    </row>
    <row r="77" spans="1:8" ht="13" customHeight="1">
      <c r="A77" s="2"/>
      <c r="B77" s="33"/>
      <c r="C77" s="33"/>
      <c r="D77" s="33"/>
      <c r="E77" s="33"/>
      <c r="F77" s="2"/>
      <c r="G77" s="2"/>
      <c r="H77" s="2"/>
    </row>
    <row r="78" spans="1:8" ht="13" customHeight="1">
      <c r="A78" s="2"/>
      <c r="B78" s="44" t="s">
        <v>189</v>
      </c>
      <c r="C78" s="44"/>
      <c r="D78" s="44"/>
      <c r="E78" s="44"/>
      <c r="F78" s="2"/>
      <c r="G78" s="2"/>
      <c r="H78" s="2"/>
    </row>
    <row r="79" spans="1:8" ht="13" customHeight="1">
      <c r="A79" s="2"/>
      <c r="B79" s="35" t="s">
        <v>190</v>
      </c>
      <c r="C79" s="35" t="s">
        <v>191</v>
      </c>
      <c r="D79" s="2"/>
      <c r="E79" s="2"/>
      <c r="F79" s="2"/>
      <c r="G79" s="2"/>
      <c r="H79" s="2"/>
    </row>
    <row r="80" spans="1:8" ht="13" customHeight="1">
      <c r="A80" s="2"/>
      <c r="B80" s="36" t="s">
        <v>192</v>
      </c>
      <c r="C80" s="37">
        <v>770</v>
      </c>
      <c r="D80" s="38"/>
      <c r="E80" s="2"/>
      <c r="F80" s="2"/>
      <c r="G80" s="2"/>
      <c r="H80" s="2"/>
    </row>
    <row r="81" spans="1:8" ht="13" customHeight="1">
      <c r="A81" s="2"/>
      <c r="B81" s="36" t="s">
        <v>193</v>
      </c>
      <c r="C81" s="37">
        <v>125000</v>
      </c>
      <c r="D81" s="2"/>
      <c r="E81" s="2"/>
      <c r="F81" s="2"/>
      <c r="G81" s="2"/>
      <c r="H81" s="2"/>
    </row>
    <row r="82" spans="1:8" ht="13" customHeight="1">
      <c r="A82" s="2"/>
      <c r="B82" s="36" t="s">
        <v>194</v>
      </c>
      <c r="C82" s="37">
        <v>1050</v>
      </c>
      <c r="D82" s="2"/>
      <c r="E82" s="2"/>
      <c r="F82" s="2"/>
      <c r="G82" s="2"/>
      <c r="H82" s="2"/>
    </row>
    <row r="83" spans="1:8" ht="13" customHeight="1">
      <c r="A83" s="2"/>
      <c r="B83" s="39"/>
      <c r="C83" s="40"/>
      <c r="D83" s="2"/>
      <c r="E83" s="2"/>
      <c r="F83" s="2"/>
      <c r="G83" s="2"/>
      <c r="H83" s="2"/>
    </row>
    <row r="84" spans="1:8" ht="13" customHeight="1">
      <c r="A84" s="2"/>
      <c r="B84" s="43" t="s">
        <v>195</v>
      </c>
      <c r="C84" s="43"/>
      <c r="D84" s="43"/>
      <c r="E84" s="43"/>
      <c r="F84" s="2"/>
      <c r="G84" s="2"/>
      <c r="H84" s="2"/>
    </row>
    <row r="85" spans="1:8" ht="13" customHeight="1">
      <c r="A85" s="2"/>
      <c r="B85" s="42" t="s">
        <v>196</v>
      </c>
      <c r="C85" s="42"/>
      <c r="D85" s="42"/>
      <c r="E85" s="42"/>
      <c r="F85" s="2"/>
      <c r="G85" s="2"/>
      <c r="H85" s="2"/>
    </row>
    <row r="86" spans="1:8" ht="13" customHeight="1">
      <c r="A86" s="2"/>
      <c r="B86" s="42" t="s">
        <v>197</v>
      </c>
      <c r="C86" s="42"/>
      <c r="D86" s="42"/>
      <c r="E86" s="42"/>
      <c r="F86" s="2"/>
      <c r="G86" s="2"/>
      <c r="H86" s="2"/>
    </row>
    <row r="87" spans="1:8" ht="13" customHeight="1">
      <c r="A87" s="2"/>
      <c r="B87" s="42" t="s">
        <v>198</v>
      </c>
      <c r="C87" s="42"/>
      <c r="D87" s="42"/>
      <c r="E87" s="42"/>
      <c r="F87" s="42"/>
      <c r="G87" s="42"/>
      <c r="H87" s="42"/>
    </row>
    <row r="88" spans="1:8" ht="13" customHeight="1">
      <c r="A88" s="2"/>
      <c r="B88" s="42" t="s">
        <v>199</v>
      </c>
      <c r="C88" s="42"/>
      <c r="D88" s="42"/>
      <c r="E88" s="42"/>
      <c r="F88" s="42"/>
      <c r="G88" s="42"/>
      <c r="H88" s="42"/>
    </row>
    <row r="89" spans="1:8" ht="13" customHeight="1">
      <c r="A89" s="2"/>
      <c r="B89" s="42" t="s">
        <v>200</v>
      </c>
      <c r="C89" s="42"/>
      <c r="D89" s="42"/>
      <c r="E89" s="42"/>
      <c r="F89" s="2"/>
      <c r="G89" s="2"/>
      <c r="H89" s="2"/>
    </row>
    <row r="90" spans="1:8">
      <c r="F90" s="41" t="s">
        <v>201</v>
      </c>
    </row>
    <row r="91" spans="1:8">
      <c r="B91" s="41" t="s">
        <v>202</v>
      </c>
      <c r="F91" s="41" t="s">
        <v>203</v>
      </c>
    </row>
  </sheetData>
  <mergeCells count="17">
    <mergeCell ref="B84:E84"/>
    <mergeCell ref="B1:H1"/>
    <mergeCell ref="B2:H2"/>
    <mergeCell ref="B3:H3"/>
    <mergeCell ref="B4:H4"/>
    <mergeCell ref="B71:E71"/>
    <mergeCell ref="B72:E72"/>
    <mergeCell ref="B73:E73"/>
    <mergeCell ref="B74:E74"/>
    <mergeCell ref="B75:E75"/>
    <mergeCell ref="B76:E76"/>
    <mergeCell ref="B78:E78"/>
    <mergeCell ref="B85:E85"/>
    <mergeCell ref="B86:E86"/>
    <mergeCell ref="B87:H87"/>
    <mergeCell ref="B88:H88"/>
    <mergeCell ref="B89:E89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AFEA-3917-4FFB-8D50-690C506CA8A3}">
  <sheetPr codeName="Sheet13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204</v>
      </c>
      <c r="B1" s="43"/>
      <c r="C1" s="43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205</v>
      </c>
      <c r="B3" s="46"/>
      <c r="C3" s="2"/>
      <c r="D3" s="2"/>
      <c r="E3" s="46" t="s">
        <v>206</v>
      </c>
      <c r="F3" s="46"/>
    </row>
    <row r="4" spans="1:6" ht="13" customHeight="1">
      <c r="A4" s="47" t="s">
        <v>207</v>
      </c>
      <c r="B4" s="47" t="s">
        <v>9</v>
      </c>
      <c r="C4" s="2"/>
      <c r="D4" s="2"/>
      <c r="E4" s="47" t="s">
        <v>208</v>
      </c>
      <c r="F4" s="47" t="s">
        <v>209</v>
      </c>
    </row>
    <row r="5" spans="1:6" ht="13" customHeight="1">
      <c r="A5" s="19" t="s">
        <v>14</v>
      </c>
      <c r="B5" s="48">
        <v>5.0900000000000001E-2</v>
      </c>
      <c r="C5" s="2"/>
      <c r="D5" s="2"/>
      <c r="E5" s="19" t="s">
        <v>210</v>
      </c>
      <c r="F5" s="48">
        <v>0.33339999999999997</v>
      </c>
    </row>
    <row r="6" spans="1:6" ht="13" customHeight="1">
      <c r="A6" s="19" t="s">
        <v>18</v>
      </c>
      <c r="B6" s="48">
        <v>4.0399999999999998E-2</v>
      </c>
      <c r="C6" s="2"/>
      <c r="D6" s="2"/>
      <c r="E6" s="19" t="s">
        <v>211</v>
      </c>
      <c r="F6" s="48">
        <v>0.29099999999999998</v>
      </c>
    </row>
    <row r="7" spans="1:6" ht="13" customHeight="1">
      <c r="A7" s="19" t="s">
        <v>22</v>
      </c>
      <c r="B7" s="48">
        <v>3.8899999999999997E-2</v>
      </c>
      <c r="C7" s="2"/>
      <c r="D7" s="2"/>
      <c r="E7" s="19" t="s">
        <v>212</v>
      </c>
      <c r="F7" s="48">
        <v>0.13320000000000001</v>
      </c>
    </row>
    <row r="8" spans="1:6" ht="13" customHeight="1">
      <c r="A8" s="19" t="s">
        <v>25</v>
      </c>
      <c r="B8" s="48">
        <v>3.78E-2</v>
      </c>
      <c r="C8" s="2"/>
      <c r="D8" s="2"/>
      <c r="E8" s="19" t="s">
        <v>56</v>
      </c>
      <c r="F8" s="48">
        <v>7.2900000000000006E-2</v>
      </c>
    </row>
    <row r="9" spans="1:6" ht="13" customHeight="1">
      <c r="A9" s="19" t="s">
        <v>29</v>
      </c>
      <c r="B9" s="48">
        <v>3.5999999999999997E-2</v>
      </c>
      <c r="C9" s="2"/>
      <c r="D9" s="2"/>
      <c r="E9" s="19" t="s">
        <v>213</v>
      </c>
      <c r="F9" s="48">
        <v>5.4300000000000001E-2</v>
      </c>
    </row>
    <row r="10" spans="1:6" ht="13" customHeight="1">
      <c r="A10" s="19" t="s">
        <v>33</v>
      </c>
      <c r="B10" s="48">
        <v>3.3700000000000001E-2</v>
      </c>
      <c r="C10" s="2"/>
      <c r="D10" s="2"/>
      <c r="E10" s="19" t="s">
        <v>214</v>
      </c>
      <c r="F10" s="48">
        <v>3.5999999999999997E-2</v>
      </c>
    </row>
    <row r="11" spans="1:6" ht="13" customHeight="1">
      <c r="A11" s="19" t="s">
        <v>36</v>
      </c>
      <c r="B11" s="48">
        <v>3.2099999999999997E-2</v>
      </c>
      <c r="C11" s="2"/>
      <c r="D11" s="2"/>
      <c r="E11" s="19" t="s">
        <v>215</v>
      </c>
      <c r="F11" s="48">
        <v>2.4199999999999999E-2</v>
      </c>
    </row>
    <row r="12" spans="1:6" ht="13" customHeight="1">
      <c r="A12" s="19" t="s">
        <v>40</v>
      </c>
      <c r="B12" s="48">
        <v>3.2000000000000001E-2</v>
      </c>
      <c r="C12" s="2"/>
      <c r="D12" s="2"/>
      <c r="E12" s="19" t="s">
        <v>216</v>
      </c>
      <c r="F12" s="48">
        <v>2.07E-2</v>
      </c>
    </row>
    <row r="13" spans="1:6" ht="13" customHeight="1">
      <c r="A13" s="19" t="s">
        <v>44</v>
      </c>
      <c r="B13" s="48">
        <v>2.9899999999999999E-2</v>
      </c>
      <c r="C13" s="2"/>
      <c r="D13" s="2"/>
      <c r="E13" s="19" t="s">
        <v>217</v>
      </c>
      <c r="F13" s="48">
        <v>1.9E-2</v>
      </c>
    </row>
    <row r="14" spans="1:6" ht="13" customHeight="1">
      <c r="A14" s="19" t="s">
        <v>48</v>
      </c>
      <c r="B14" s="48">
        <v>2.9700000000000001E-2</v>
      </c>
      <c r="C14" s="2"/>
      <c r="D14" s="2"/>
      <c r="E14" s="19" t="s">
        <v>218</v>
      </c>
      <c r="F14" s="48">
        <v>1.0200000000000001E-2</v>
      </c>
    </row>
    <row r="15" spans="1:6" ht="13" customHeight="1">
      <c r="A15" s="2"/>
      <c r="B15" s="2"/>
      <c r="C15" s="2"/>
      <c r="D15" s="2"/>
      <c r="E15" s="19" t="s">
        <v>177</v>
      </c>
      <c r="F15" s="48">
        <v>5.0000000000000001E-3</v>
      </c>
    </row>
    <row r="16" spans="1:6" ht="13" customHeight="1">
      <c r="A16" s="2"/>
      <c r="B16" s="2"/>
      <c r="C16" s="2"/>
      <c r="D16" s="2"/>
      <c r="E16" s="47" t="s">
        <v>219</v>
      </c>
      <c r="F16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2026-03-10T05:27:01Z</dcterms:created>
  <dcterms:modified xsi:type="dcterms:W3CDTF">2026-03-10T05:33:58Z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2026-03-10T05:27:05Z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ad9546f2-73cf-4591-9e51-51f78184581e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