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Revised ESG Portfoilo - Feb 24\"/>
    </mc:Choice>
  </mc:AlternateContent>
  <xr:revisionPtr revIDLastSave="0" documentId="13_ncr:1_{FD10E5EC-DAAA-4DBF-B610-A2E922BA083A}" xr6:coauthVersionLast="47" xr6:coauthVersionMax="47" xr10:uidLastSave="{00000000-0000-0000-0000-000000000000}"/>
  <bookViews>
    <workbookView xWindow="-110" yWindow="-110" windowWidth="19420" windowHeight="10300" xr2:uid="{CB57E050-A722-421D-BC68-67EBCF3ABB23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[2]IEBF!$A$1</definedName>
    <definedName name="JR_PAGE_ANCHOR_0_15" localSheetId="1">#REF!</definedName>
    <definedName name="JR_PAGE_ANCHOR_0_15">#REF!</definedName>
    <definedName name="JR_PAGE_ANCHOR_0_2">[4]IENEFOF!$A$1</definedName>
    <definedName name="JR_PAGE_ANCHOR_0_3">[5]IESF!$A$1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6" i="1"/>
  <c r="J37" i="1"/>
  <c r="J39" i="1"/>
  <c r="J40" i="1"/>
  <c r="J41" i="1"/>
  <c r="J42" i="1"/>
  <c r="J43" i="1"/>
  <c r="J44" i="1"/>
  <c r="J45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6" i="1"/>
  <c r="I37" i="1"/>
  <c r="I39" i="1"/>
  <c r="I40" i="1"/>
  <c r="I41" i="1"/>
  <c r="I42" i="1"/>
  <c r="I43" i="1"/>
  <c r="I44" i="1"/>
  <c r="I45" i="1"/>
  <c r="J8" i="1"/>
  <c r="I8" i="1"/>
</calcChain>
</file>

<file path=xl/sharedStrings.xml><?xml version="1.0" encoding="utf-8"?>
<sst xmlns="http://schemas.openxmlformats.org/spreadsheetml/2006/main" count="234" uniqueCount="194">
  <si>
    <t>IESGEF</t>
  </si>
  <si>
    <t>INVESCO MUTUAL FUND</t>
  </si>
  <si>
    <t>Monthly Portfolio Statement as on February 29, 2024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</si>
  <si>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</si>
  <si>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</si>
  <si>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</si>
  <si>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</si>
  <si>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</si>
  <si>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</si>
  <si>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</si>
  <si>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</si>
  <si>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ESG Score #</t>
  </si>
  <si>
    <t>Link to Disclosure of Security wise Business Responsibility and Sustainability Report (BRSR)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</si>
  <si>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</si>
  <si>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</si>
  <si>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</si>
  <si>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</si>
  <si>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</si>
  <si>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</si>
  <si>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</si>
  <si>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</si>
  <si>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</si>
  <si>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</si>
  <si>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</si>
  <si>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</si>
  <si>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</si>
  <si>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</si>
  <si>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</si>
  <si>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</si>
  <si>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</si>
  <si>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</si>
  <si>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</si>
  <si>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</si>
  <si>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</si>
  <si>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</si>
  <si>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</si>
  <si>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BTVL02</t>
  </si>
  <si>
    <t>Bharti Airtel Limited</t>
  </si>
  <si>
    <t>INE397D01024</t>
  </si>
  <si>
    <t>Telecom - Services</t>
  </si>
  <si>
    <t>IIBL01</t>
  </si>
  <si>
    <t>IndusInd Bank Limited</t>
  </si>
  <si>
    <t>INE095A01012</t>
  </si>
  <si>
    <t>MKIP01</t>
  </si>
  <si>
    <t>Mankind Pharma Limited</t>
  </si>
  <si>
    <t>INE634S01028</t>
  </si>
  <si>
    <t>Pharmaceuticals &amp; Biotechnology</t>
  </si>
  <si>
    <t>RELC01</t>
  </si>
  <si>
    <t>REC Limited</t>
  </si>
  <si>
    <t>INE020B01018</t>
  </si>
  <si>
    <t>Finance</t>
  </si>
  <si>
    <t>SUZE02</t>
  </si>
  <si>
    <t>Suzlon Energy Limited</t>
  </si>
  <si>
    <t>INE040H01021</t>
  </si>
  <si>
    <t>Electrical Equipment</t>
  </si>
  <si>
    <t>LUPL02</t>
  </si>
  <si>
    <t>Lupin Limited</t>
  </si>
  <si>
    <t>INE326A01037</t>
  </si>
  <si>
    <t>KEII02</t>
  </si>
  <si>
    <t>KEI Industries Limited</t>
  </si>
  <si>
    <t>INE878B01027</t>
  </si>
  <si>
    <t>Industrial Products</t>
  </si>
  <si>
    <t>TELC03</t>
  </si>
  <si>
    <t>Tata Motors Limited</t>
  </si>
  <si>
    <t>INE155A01022</t>
  </si>
  <si>
    <t>Automobiles</t>
  </si>
  <si>
    <t>TAHO01</t>
  </si>
  <si>
    <t>Honeywell Automation India Limited</t>
  </si>
  <si>
    <t>INE671A01010</t>
  </si>
  <si>
    <t>Industrial Manufacturing</t>
  </si>
  <si>
    <t>TEMA02</t>
  </si>
  <si>
    <t>Tech Mahindra Limited</t>
  </si>
  <si>
    <t>INE669C01036</t>
  </si>
  <si>
    <t>TLSL01</t>
  </si>
  <si>
    <t>Teamlease Services Limited</t>
  </si>
  <si>
    <t>INE985S01024</t>
  </si>
  <si>
    <t>Commercial Services &amp; Supplies</t>
  </si>
  <si>
    <t>EIML02</t>
  </si>
  <si>
    <t>Eicher Motors Limited</t>
  </si>
  <si>
    <t>INE066A01021</t>
  </si>
  <si>
    <t>PGCI01</t>
  </si>
  <si>
    <t>Power Grid Corporation of India Limited</t>
  </si>
  <si>
    <t>INE752E01010</t>
  </si>
  <si>
    <t>Power</t>
  </si>
  <si>
    <t>ASEA02</t>
  </si>
  <si>
    <t>ABB India Limited</t>
  </si>
  <si>
    <t>INE117A01022</t>
  </si>
  <si>
    <t>HFFC02</t>
  </si>
  <si>
    <t>Home First Finance Company India Limited</t>
  </si>
  <si>
    <t>INE481N01025</t>
  </si>
  <si>
    <t>MAUD01</t>
  </si>
  <si>
    <t>Maruti Suzuki India Limited</t>
  </si>
  <si>
    <t>INE585B01010</t>
  </si>
  <si>
    <t>NHPC01</t>
  </si>
  <si>
    <t>NHPC Limited</t>
  </si>
  <si>
    <t>INE848E01016</t>
  </si>
  <si>
    <t>MANO01</t>
  </si>
  <si>
    <t>Manorama Industries Limited</t>
  </si>
  <si>
    <t>INE00VM01010</t>
  </si>
  <si>
    <t>Food Products</t>
  </si>
  <si>
    <t>ZMPL01</t>
  </si>
  <si>
    <t>Zomato Limited</t>
  </si>
  <si>
    <t>INE758T01015</t>
  </si>
  <si>
    <t>Retailing</t>
  </si>
  <si>
    <t>GAIL01</t>
  </si>
  <si>
    <t>GAIL (India) Limited</t>
  </si>
  <si>
    <t>INE129A01019</t>
  </si>
  <si>
    <t>Gas</t>
  </si>
  <si>
    <t>AGBL01</t>
  </si>
  <si>
    <t>Angel One Limited</t>
  </si>
  <si>
    <t>INE732I01013</t>
  </si>
  <si>
    <t>Capital Markets</t>
  </si>
  <si>
    <t>CHOL02</t>
  </si>
  <si>
    <t>Cholamandalam Investment and Finance Company Limited</t>
  </si>
  <si>
    <t>INE121A01024</t>
  </si>
  <si>
    <t>https://www.bseindia.com/xml-data/corpfiling/AttachHis/a4e255ff-912a-4a75-b70d-454bb2326907.pdf</t>
  </si>
  <si>
    <t>APOL02</t>
  </si>
  <si>
    <t>Apollo Hospitals Enterprise Limited</t>
  </si>
  <si>
    <t>INE437A01024</t>
  </si>
  <si>
    <t>Healthcare Services</t>
  </si>
  <si>
    <t>BFLS01</t>
  </si>
  <si>
    <t>MphasiS Limited</t>
  </si>
  <si>
    <t>INE356A01018</t>
  </si>
  <si>
    <t>JBCH03</t>
  </si>
  <si>
    <t>J B Chemicals and Pharma Ltd</t>
  </si>
  <si>
    <t>INE572A01036</t>
  </si>
  <si>
    <t>OCPL02</t>
  </si>
  <si>
    <t>Orchid Pharma Limited</t>
  </si>
  <si>
    <t>INE191A01027</t>
  </si>
  <si>
    <t>MOSU03</t>
  </si>
  <si>
    <t>Samvardhana Motherson International Limited</t>
  </si>
  <si>
    <t>INE775A01035</t>
  </si>
  <si>
    <t>Auto Components</t>
  </si>
  <si>
    <t>AVSP01</t>
  </si>
  <si>
    <t>Avenue Supermarts Limited</t>
  </si>
  <si>
    <t>INE192R01011</t>
  </si>
  <si>
    <t>LTIL01</t>
  </si>
  <si>
    <t>LTIMindtree Limited</t>
  </si>
  <si>
    <t>INE214T01019</t>
  </si>
  <si>
    <t>BEFS01</t>
  </si>
  <si>
    <t>Mrs. Bectors Food Specialities Limited</t>
  </si>
  <si>
    <t>INE495P01012</t>
  </si>
  <si>
    <t>SUFA02</t>
  </si>
  <si>
    <t>Sundram Fasteners Limited</t>
  </si>
  <si>
    <t>INE387A01021</t>
  </si>
  <si>
    <t>CENT02</t>
  </si>
  <si>
    <t>Century Textiles &amp; Industries Limited</t>
  </si>
  <si>
    <t>INE055A01016</t>
  </si>
  <si>
    <t>Paper, Forest &amp; Jute Products</t>
  </si>
  <si>
    <t>Sub Total</t>
  </si>
  <si>
    <t>(b)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</si>
  <si>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</si>
  <si>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</si>
  <si>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</si>
  <si>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</si>
  <si>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</si>
  <si>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</si>
  <si>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</si>
  <si>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</si>
  <si>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</si>
  <si>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</si>
  <si>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Weighted Average Portfolio ESG Score is 73.49</t>
  </si>
  <si>
    <t># ESG score as provided by Stakeholders Empowerment Services, an ESG rating provider empaneled with AMFI.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</si>
  <si>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</si>
  <si>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</si>
  <si>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</si>
  <si>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</si>
  <si>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</si>
  <si>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(5) Investment in Repo of Corporate Debt securities : Nil</t>
  </si>
  <si>
    <t>(6)  Deviation from the valuation prices given by valuation agencies during the month ended February 29, 2024: Nil</t>
  </si>
  <si>
    <t>BENCHMARK NAME - NIFTY100 ESG INDEX TRI</t>
  </si>
  <si>
    <t>SCHEME RISK-O-METER</t>
  </si>
  <si>
    <t>BENCHMARK RISK-O-METER</t>
  </si>
  <si>
    <t>https://www.bseindia.com/xml-data/corpfiling/AttachHis/60dabd06-e7e7-478c-91b1-88bd77557662.pdf</t>
  </si>
  <si>
    <t>Grand Total</t>
  </si>
  <si>
    <t>Cash &amp; Cash Equivalent:</t>
  </si>
  <si>
    <t>Forest Materials</t>
  </si>
  <si>
    <t>Others</t>
  </si>
  <si>
    <t>Oil Gas &amp; Consumable Fuels</t>
  </si>
  <si>
    <t>Services</t>
  </si>
  <si>
    <t>Fast Moving Consumer Goods</t>
  </si>
  <si>
    <t>Consumer Services</t>
  </si>
  <si>
    <t>Telecommunication</t>
  </si>
  <si>
    <t>Automobile and Auto Components</t>
  </si>
  <si>
    <t>Healthcare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</si>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</sst>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</cellStyleXfs>
  <cellXfs count="5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9" xfId="1" applyNumberFormat="1" applyFont="1" applyBorder="1" applyAlignment="1">
      <alignment horizontal="right" vertical="top" wrapText="1"/>
    </xf>
    <xf numFmtId="2" fontId="8" fillId="0" borderId="10" xfId="2" applyNumberFormat="1" applyFont="1" applyFill="1" applyBorder="1"/>
    <xf numFmtId="165" fontId="6" fillId="0" borderId="11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6" fillId="0" borderId="15" xfId="1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65" fontId="6" fillId="0" borderId="19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right" vertical="top" wrapText="1"/>
    </xf>
    <xf numFmtId="0" fontId="6" fillId="0" borderId="0" xfId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3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166" fontId="5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4">
    <cellStyle name="Hyperlink 2" xfId="2" xr:uid="{B18A9B8B-FD4D-47CA-986A-E66924F35247}"/>
    <cellStyle name="Normal" xfId="0" builtinId="0"/>
    <cellStyle name="Normal 14" xfId="3" xr:uid="{AD8BF801-C1ED-4F08-B6B2-4F83ECE85FBF}"/>
    <cellStyle name="Normal 4" xfId="1" xr:uid="{65AC88A1-12B2-484D-A0A6-9572575F0C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2908300</xdr:colOff>
      <xdr:row>97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ED45EF-2994-435E-8B3A-58C516E1F3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925800"/>
          <a:ext cx="29083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8</xdr:col>
      <xdr:colOff>381000</xdr:colOff>
      <xdr:row>97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CA9573-942D-432C-87BB-F7A65FB577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15925800"/>
          <a:ext cx="283464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nvesco\Common%20Folder%201\Reports\Monthly%20Report\23-24\Feb%2024\Monthly%20Portfolio\Invesco%20India%20ESG%20Equity%20Fund%20Portfolio%20as%20on%20February%2029,%202024_with%20ESG%20Scores.xlsx" TargetMode="External"/><Relationship Id="rId1" Type="http://schemas.openxmlformats.org/officeDocument/2006/relationships/externalLinkPath" Target="file:///\\dbg.ads.db.com\ind-displ-g\RestrictedEXTN3\invesco\Common%20Folder%201\Reports\Monthly%20Report\23-24\Feb%2024\Monthly%20Portfolio\Invesco%20India%20ESG%20Equity%20Fund%20Portfolio%20as%20on%20February%2029,%202024_with%20ESG%20Scor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/Marketing/0Jagruti/Handover_Jagruti/Website%20Upload/Monthly%20Holding/February%202024/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/Marketing/0Jagruti/Handover_Jagruti/Website%20Upload/Monthly%20Holding/February%202024/ESG%20Equit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/Marketing/0Jagruti/Handover_Jagruti/Website%20Upload/Monthly%20Holding/February%202024/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/Marketing/0Jagruti/Handover_Jagruti/Website%20Upload/Monthly%20Holding/February%202024/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ESGEF"/>
    </sheetNames>
    <sheetDataSet>
      <sheetData sheetId="0">
        <row r="1">
          <cell r="B1" t="str">
            <v>INVESCO INDIA ESG EQUITY FUND</v>
          </cell>
        </row>
        <row r="3">
          <cell r="B3" t="str">
            <v>As on February 29, 2024</v>
          </cell>
        </row>
        <row r="4">
          <cell r="B4" t="str">
            <v>Name of Instrument</v>
          </cell>
          <cell r="C4" t="str">
            <v>Rating / Industry</v>
          </cell>
          <cell r="D4" t="str">
            <v xml:space="preserve">% of Net
Assets </v>
          </cell>
          <cell r="E4" t="str">
            <v>ESG Score1</v>
          </cell>
          <cell r="F4" t="str">
            <v>BRSR Links</v>
          </cell>
        </row>
        <row r="5">
          <cell r="B5" t="str">
            <v/>
          </cell>
          <cell r="C5" t="str">
            <v/>
          </cell>
          <cell r="D5" t="str">
            <v/>
          </cell>
        </row>
        <row r="6">
          <cell r="B6" t="str">
            <v>Equity Holding</v>
          </cell>
          <cell r="D6">
            <v>0.99929999999999997</v>
          </cell>
        </row>
        <row r="7">
          <cell r="B7" t="str">
            <v>Equity</v>
          </cell>
        </row>
        <row r="8">
          <cell r="B8" t="str">
            <v>Tata Consultancy Services Limited</v>
          </cell>
          <cell r="C8" t="str">
            <v>IT - Software</v>
          </cell>
          <cell r="D8">
            <v>7.3499999999999996E-2</v>
          </cell>
          <cell r="E8">
            <v>73.8</v>
          </cell>
          <cell r="F8" t="str">
            <v>https://www.bseindia.com/xml-data/corpfiling/AttachHis/85d30027-f9f7-4478-91f8-5870fb8a5add.pdf</v>
          </cell>
        </row>
        <row r="9">
          <cell r="B9" t="str">
            <v>Infosys Limited</v>
          </cell>
          <cell r="C9" t="str">
            <v>IT - Software</v>
          </cell>
          <cell r="D9">
            <v>7.2499999999999995E-2</v>
          </cell>
          <cell r="E9">
            <v>82.4</v>
          </cell>
          <cell r="F9" t="str">
            <v>https://www.sesgovernance.com/pdf/1686843858_Infosys-Ltd.pdf</v>
          </cell>
        </row>
        <row r="10">
          <cell r="B10" t="str">
            <v>ICICI Bank Limited</v>
          </cell>
          <cell r="C10" t="str">
            <v>Banks</v>
          </cell>
          <cell r="D10">
            <v>5.6399999999999999E-2</v>
          </cell>
          <cell r="E10">
            <v>76.599999999999994</v>
          </cell>
          <cell r="F10" t="str">
            <v>https://www.sesgovernance.com/pdf/1695281150_ICICI-Bank.pdf</v>
          </cell>
        </row>
        <row r="11">
          <cell r="B11" t="str">
            <v>HDFC Bank Limited</v>
          </cell>
          <cell r="C11" t="str">
            <v>Banks</v>
          </cell>
          <cell r="D11">
            <v>5.3100000000000001E-2</v>
          </cell>
          <cell r="E11">
            <v>79.8</v>
          </cell>
          <cell r="F11" t="str">
            <v>https://www.sesgovernance.com/pdf/1691216996_HDFC-BANK_BRSR_2022-23.pdf</v>
          </cell>
        </row>
        <row r="12">
          <cell r="B12" t="str">
            <v>Axis Bank Limited</v>
          </cell>
          <cell r="C12" t="str">
            <v>Banks</v>
          </cell>
          <cell r="D12">
            <v>3.9699999999999999E-2</v>
          </cell>
          <cell r="E12">
            <v>81.599999999999994</v>
          </cell>
          <cell r="F12" t="str">
            <v>https://www.axisbank.com/annual-reports/2022-2023/pdfs/Axis-Bank-AR-2022-23-Business-Responsibility-and-Sustainability-Report.pdf</v>
          </cell>
        </row>
        <row r="13">
          <cell r="B13" t="str">
            <v>Titan Company Limited</v>
          </cell>
          <cell r="C13" t="str">
            <v>Consumer Durables</v>
          </cell>
          <cell r="D13">
            <v>3.8899999999999997E-2</v>
          </cell>
          <cell r="E13">
            <v>74</v>
          </cell>
          <cell r="F13" t="str">
            <v xml:space="preserve">https://www.bseindia.com/xml-data/corpfiling/AttachHis/4d178a5f-8021-48b3-b3c6-ead490b76461.pdf </v>
          </cell>
        </row>
        <row r="14">
          <cell r="B14" t="str">
            <v>Bharti Airtel Limited</v>
          </cell>
          <cell r="C14" t="str">
            <v>Telecom - Services</v>
          </cell>
          <cell r="D14">
            <v>3.5900000000000001E-2</v>
          </cell>
          <cell r="E14">
            <v>74.900000000000006</v>
          </cell>
          <cell r="F14" t="str">
            <v xml:space="preserve">https://www.bseindia.com/xml-data/corpfiling/AttachHis/c2fe2639-0487-4788-b1fd-e8c0fc60c6db.pdf </v>
          </cell>
        </row>
        <row r="15">
          <cell r="B15" t="str">
            <v>IndusInd Bank Limited</v>
          </cell>
          <cell r="C15" t="str">
            <v>Banks</v>
          </cell>
          <cell r="D15">
            <v>3.4500000000000003E-2</v>
          </cell>
          <cell r="E15">
            <v>80.400000000000006</v>
          </cell>
          <cell r="F15" t="str">
            <v>https://www.sesgovernance.com/pdf/1691216576_Indusind_FY-2022-23.pdf</v>
          </cell>
        </row>
        <row r="16">
          <cell r="B16" t="str">
            <v>Mankind Pharma Limited</v>
          </cell>
          <cell r="C16" t="str">
            <v>Pharmaceuticals &amp; Biotechnology</v>
          </cell>
          <cell r="D16">
            <v>2.98E-2</v>
          </cell>
          <cell r="E16">
            <v>66.2</v>
          </cell>
          <cell r="F16" t="str">
            <v>https://www.bseindia.com/xml-data/corpfiling/AttachHis/9f61381e-10bf-4253-9333-facfde2959ab.pdf</v>
          </cell>
        </row>
        <row r="17">
          <cell r="B17" t="str">
            <v>REC Limited</v>
          </cell>
          <cell r="C17" t="str">
            <v>Finance</v>
          </cell>
          <cell r="D17">
            <v>2.8400000000000002E-2</v>
          </cell>
          <cell r="E17">
            <v>75</v>
          </cell>
          <cell r="F17" t="str">
            <v>https://www.bseindia.com/xml-data/corpfiling/AttachHis/af7c4603-2b7f-486c-aef7-cb9bb6cd0796.pdf#page=51</v>
          </cell>
        </row>
        <row r="18">
          <cell r="B18" t="str">
            <v>Suzlon Energy Limited</v>
          </cell>
          <cell r="C18" t="str">
            <v>Electrical Equipment</v>
          </cell>
          <cell r="D18">
            <v>2.75E-2</v>
          </cell>
          <cell r="E18">
            <v>67.5</v>
          </cell>
          <cell r="F18" t="str">
            <v>https://www.bseindia.com/xml-data/corpfiling/AttachHis/dabedf53-4d3d-4a2e-8e60-d73976e51d9c.pdf</v>
          </cell>
        </row>
        <row r="19">
          <cell r="B19" t="str">
            <v>Lupin Limited</v>
          </cell>
          <cell r="C19" t="str">
            <v>Pharmaceuticals &amp; Biotechnology</v>
          </cell>
          <cell r="D19">
            <v>2.7E-2</v>
          </cell>
          <cell r="E19">
            <v>67.400000000000006</v>
          </cell>
          <cell r="F19" t="str">
            <v>https://www.bseindia.com/xml-data/corpfiling/AttachHis/d1558b7c-c36a-4f9b-9357-4235119821e9.pdf</v>
          </cell>
        </row>
        <row r="20">
          <cell r="B20" t="str">
            <v>KEI Industries Limited</v>
          </cell>
          <cell r="C20" t="str">
            <v>Industrial Products</v>
          </cell>
          <cell r="D20">
            <v>2.6800000000000001E-2</v>
          </cell>
          <cell r="E20">
            <v>65.599999999999994</v>
          </cell>
          <cell r="F20" t="str">
            <v>https://www.bseindia.com/xml-data/corpfiling/AttachHis/47996cfa-1467-4db3-8660-83b44f23f0b4.pdf</v>
          </cell>
        </row>
        <row r="21">
          <cell r="B21" t="str">
            <v>Tata Motors Limited</v>
          </cell>
          <cell r="C21" t="str">
            <v>Automobiles</v>
          </cell>
          <cell r="D21">
            <v>2.6599999999999999E-2</v>
          </cell>
          <cell r="E21">
            <v>76.900000000000006</v>
          </cell>
          <cell r="F21" t="str">
            <v xml:space="preserve">https://www.bseindia.com/xml-data/corpfiling/AttachHis/3c1b853a-7115-455f-a3c3-285693b4e943.pdf </v>
          </cell>
        </row>
        <row r="22">
          <cell r="B22" t="str">
            <v>Honeywell Automation India Limited</v>
          </cell>
          <cell r="C22" t="str">
            <v>Industrial Manufacturing</v>
          </cell>
          <cell r="D22">
            <v>2.64E-2</v>
          </cell>
          <cell r="E22">
            <v>63.7</v>
          </cell>
          <cell r="F22" t="str">
            <v>https://www.bseindia.com/xml-data/corpfiling/AttachHis/c185b74d-6f41-4401-a9cf-6ba5d38f5897.pdf</v>
          </cell>
        </row>
        <row r="23">
          <cell r="B23" t="str">
            <v>Tech Mahindra Limited</v>
          </cell>
          <cell r="C23" t="str">
            <v>IT - Software</v>
          </cell>
          <cell r="D23">
            <v>2.5499999999999998E-2</v>
          </cell>
          <cell r="E23">
            <v>81</v>
          </cell>
          <cell r="F23" t="str">
            <v>https://www.sesgovernance.com/pdf/1691160395_view-file-browser-(14).pdf</v>
          </cell>
        </row>
        <row r="24">
          <cell r="B24" t="str">
            <v>TeamLease Services Limited</v>
          </cell>
          <cell r="C24" t="str">
            <v>Commercial Services &amp; Supplies</v>
          </cell>
          <cell r="D24">
            <v>2.53E-2</v>
          </cell>
          <cell r="E24">
            <v>81.2</v>
          </cell>
          <cell r="F24" t="str">
            <v>https://www.bseindia.com/xml-data/corpfiling/AttachHis/97614260-9933-40e2-868d-deb32f069a65.pdf</v>
          </cell>
        </row>
        <row r="25">
          <cell r="B25" t="str">
            <v>Eicher Motors Limited</v>
          </cell>
          <cell r="C25" t="str">
            <v>Automobiles</v>
          </cell>
          <cell r="D25">
            <v>2.4299999999999999E-2</v>
          </cell>
          <cell r="E25">
            <v>73.2</v>
          </cell>
          <cell r="F25" t="str">
            <v>https://www.bseindia.com/xml-data/corpfiling/AttachHis/ea89532b-3fea-44b1-b3d6-ad1cefbee04f.pdf</v>
          </cell>
        </row>
        <row r="26">
          <cell r="B26" t="str">
            <v>Power Grid Corporation of India Limited</v>
          </cell>
          <cell r="C26" t="str">
            <v>Power</v>
          </cell>
          <cell r="D26">
            <v>2.4299999999999999E-2</v>
          </cell>
          <cell r="E26">
            <v>61.3</v>
          </cell>
          <cell r="F26" t="str">
            <v>https://www.bseindia.com/xml-data/corpfiling/AttachHis/1889da69-6e30-45e9-9474-08bf19ab0f8c.pdf</v>
          </cell>
        </row>
        <row r="27">
          <cell r="B27" t="str">
            <v>ABB India Limited</v>
          </cell>
          <cell r="C27" t="str">
            <v>Electrical Equipment</v>
          </cell>
          <cell r="D27">
            <v>2.3400000000000001E-2</v>
          </cell>
          <cell r="E27">
            <v>68.3</v>
          </cell>
          <cell r="F27" t="str">
            <v>https://www.bseindia.com/xml-data/corpfiling/AttachHis/d9fc7991-0665-42c5-88b2-ca09aef81658.pdf</v>
          </cell>
        </row>
        <row r="28">
          <cell r="B28" t="str">
            <v>Home First Finance Company India Limited</v>
          </cell>
          <cell r="C28" t="str">
            <v>Finance</v>
          </cell>
          <cell r="D28">
            <v>2.23E-2</v>
          </cell>
          <cell r="E28">
            <v>79.3</v>
          </cell>
          <cell r="F28" t="str">
            <v>https://www.bseindia.com/xml-data/corpfiling/AttachHis/52e71bd8-9684-4575-852b-f3b84b026a70.pdf</v>
          </cell>
        </row>
        <row r="29">
          <cell r="B29" t="str">
            <v>Maruti Suzuki India Limited</v>
          </cell>
          <cell r="C29" t="str">
            <v>Automobiles</v>
          </cell>
          <cell r="D29">
            <v>2.18E-2</v>
          </cell>
          <cell r="E29">
            <v>68.5</v>
          </cell>
          <cell r="F29" t="str">
            <v>https://www.bseindia.com/xml-data/corpfiling/AttachHis/59db00b1-c5f7-4cd7-9831-60f5b738f459.pdf</v>
          </cell>
        </row>
        <row r="30">
          <cell r="B30" t="str">
            <v>NHPC Limited</v>
          </cell>
          <cell r="C30" t="str">
            <v>Power</v>
          </cell>
          <cell r="D30">
            <v>2.18E-2</v>
          </cell>
          <cell r="E30">
            <v>66</v>
          </cell>
          <cell r="F30" t="str">
            <v>https://www.bseindia.com/xml-data/corpfiling/AttachHis/bb3de453-6f82-454f-9376-453bc0a5a9c7.pdf</v>
          </cell>
        </row>
        <row r="31">
          <cell r="B31" t="str">
            <v>Manorama Industries Limited</v>
          </cell>
          <cell r="C31" t="str">
            <v>Food Products</v>
          </cell>
          <cell r="D31">
            <v>2.06E-2</v>
          </cell>
          <cell r="E31">
            <v>63.3</v>
          </cell>
          <cell r="F31" t="str">
            <v>https://www.bseindia.com/xml-data/corpfiling/AttachHis/a8c629df-92ca-4d0e-932f-a793a6c16392.pdf</v>
          </cell>
        </row>
        <row r="32">
          <cell r="B32" t="str">
            <v>Zomato Limited</v>
          </cell>
          <cell r="C32" t="str">
            <v>Retailing</v>
          </cell>
          <cell r="D32">
            <v>1.9900000000000001E-2</v>
          </cell>
          <cell r="E32">
            <v>69.599999999999994</v>
          </cell>
          <cell r="F32" t="str">
            <v>https://www.bseindia.com/xml-data/corpfiling/AttachHis/4c3c9f6d-cbe5-496c-9715-a416c4556a62.pdf</v>
          </cell>
        </row>
        <row r="33">
          <cell r="B33" t="str">
            <v>GAIL (India) Limited</v>
          </cell>
          <cell r="C33" t="str">
            <v>Gas</v>
          </cell>
          <cell r="D33">
            <v>1.89E-2</v>
          </cell>
          <cell r="E33">
            <v>73.3</v>
          </cell>
          <cell r="F33" t="str">
            <v>https://www.bseindia.com/xml-data/corpfiling/AttachHis/371a4058-3ad5-4374-b06c-3e619fdee672.pdf</v>
          </cell>
        </row>
        <row r="34">
          <cell r="B34" t="str">
            <v>Angel One Limited</v>
          </cell>
          <cell r="C34" t="str">
            <v>Capital Markets</v>
          </cell>
          <cell r="D34">
            <v>1.8499999999999999E-2</v>
          </cell>
          <cell r="E34">
            <v>72.2</v>
          </cell>
          <cell r="F34" t="str">
            <v>https://www.bseindia.com/xml-data/corpfiling/AttachHis/9a173ad4-18cd-495a-8d56-8e74c735a2d4.pdf</v>
          </cell>
        </row>
        <row r="35">
          <cell r="B35" t="str">
            <v>Cholamandalam Investment and Finance Company Ltd</v>
          </cell>
          <cell r="C35" t="str">
            <v>Finance</v>
          </cell>
          <cell r="D35">
            <v>1.7399999999999999E-2</v>
          </cell>
          <cell r="E35">
            <v>79.099999999999994</v>
          </cell>
          <cell r="F35" t="str">
            <v>https://www.bseindia.com/xml-data/corpfiling/AttachHis/a4e255ff-912a-4a75-b70d-454bb2326907.pdf</v>
          </cell>
        </row>
        <row r="36">
          <cell r="B36" t="str">
            <v>Apollo Hospitals Enterprise Limited</v>
          </cell>
          <cell r="C36" t="str">
            <v>Healthcare Services</v>
          </cell>
          <cell r="D36">
            <v>1.6500000000000001E-2</v>
          </cell>
          <cell r="E36">
            <v>71.400000000000006</v>
          </cell>
          <cell r="F36" t="str">
            <v>https://www.bseindia.com/xml-data/corpfiling/AttachHis/80946b8a-440e-4cf8-bb15-f76b48cedf9d.pdf</v>
          </cell>
        </row>
        <row r="37">
          <cell r="B37" t="str">
            <v>MphasiS Limited</v>
          </cell>
          <cell r="C37" t="str">
            <v>IT - Software</v>
          </cell>
          <cell r="D37">
            <v>1.43E-2</v>
          </cell>
          <cell r="E37">
            <v>75.099999999999994</v>
          </cell>
          <cell r="F37" t="str">
            <v>https://www.bseindia.com/xml-data/corpfiling/AttachHis/3e5c9221-91e8-45a0-a487-ff53f828659a.pdf</v>
          </cell>
        </row>
        <row r="38">
          <cell r="B38" t="str">
            <v>JB Chemicals &amp; Pharmaceuticals Limited</v>
          </cell>
          <cell r="C38" t="str">
            <v>Pharmaceuticals &amp; Biotechnology</v>
          </cell>
          <cell r="D38">
            <v>1.32E-2</v>
          </cell>
          <cell r="E38">
            <v>70.33</v>
          </cell>
          <cell r="F38" t="str">
            <v>https://www.bseindia.com/xml-data/corpfiling/AttachHis/60dabd06-e7e7-478c-91b1-88bd77557662.pdf</v>
          </cell>
        </row>
        <row r="39">
          <cell r="B39" t="str">
            <v>Orchid Pharma Limited</v>
          </cell>
          <cell r="C39" t="str">
            <v>Pharmaceuticals &amp; Biotechnology</v>
          </cell>
          <cell r="D39">
            <v>1.1900000000000001E-2</v>
          </cell>
          <cell r="E39">
            <v>65.400000000000006</v>
          </cell>
          <cell r="F39" t="str">
            <v>https://www.bseindia.com/xml-data/corpfiling/AttachHis/72e4c087-1077-45ff-913f-85305c10e194.pdf</v>
          </cell>
        </row>
        <row r="40">
          <cell r="B40" t="str">
            <v>Samvardhana Motherson International Limited</v>
          </cell>
          <cell r="C40" t="str">
            <v>Auto Components</v>
          </cell>
          <cell r="D40">
            <v>1.1599999999999999E-2</v>
          </cell>
          <cell r="E40">
            <v>64.8</v>
          </cell>
          <cell r="F40" t="str">
            <v>https://www.sesgovernance.com/pdf/1691216438_Samvardhana-Motherson-International-Ltd._-BRSR-2022-23.pdf</v>
          </cell>
        </row>
        <row r="41">
          <cell r="B41" t="str">
            <v>Avenue Supermarts Limited</v>
          </cell>
          <cell r="C41" t="str">
            <v>Retailing</v>
          </cell>
          <cell r="D41">
            <v>1.14E-2</v>
          </cell>
          <cell r="E41">
            <v>64.900000000000006</v>
          </cell>
          <cell r="F41" t="str">
            <v>https://www.bseindia.com/xml-data/corpfiling/AttachHis/f63315c4-0a2d-46bd-ba57-21b9d446180c.pdf</v>
          </cell>
        </row>
        <row r="42">
          <cell r="B42" t="str">
            <v>LTIMindtree Limited</v>
          </cell>
          <cell r="C42" t="str">
            <v>IT - Software</v>
          </cell>
          <cell r="D42">
            <v>1.0800000000000001E-2</v>
          </cell>
          <cell r="E42">
            <v>78.400000000000006</v>
          </cell>
          <cell r="F42" t="str">
            <v>https://www.sesgovernance.com/pdf/1691160462_LTI-Mindtree_FY-2022-23.pdf</v>
          </cell>
        </row>
        <row r="43">
          <cell r="B43" t="str">
            <v>Mrs. Bectors Food Specialities Limited</v>
          </cell>
          <cell r="C43" t="str">
            <v>Food Products</v>
          </cell>
          <cell r="D43">
            <v>1.01E-2</v>
          </cell>
          <cell r="E43">
            <v>63.3</v>
          </cell>
          <cell r="F43" t="str">
            <v>https://www.bseindia.com/xml-data/corpfiling/AttachHis/9f7d1fe8-b367-4b9f-b350-995325a99a91.pdf</v>
          </cell>
        </row>
        <row r="44">
          <cell r="B44" t="str">
            <v>Sundram Fasteners Limited</v>
          </cell>
          <cell r="C44" t="str">
            <v>Auto Components</v>
          </cell>
          <cell r="D44">
            <v>9.9000000000000008E-3</v>
          </cell>
          <cell r="E44">
            <v>67.3</v>
          </cell>
          <cell r="F44" t="str">
            <v>https://www.bseindia.com/xml-data/corpfiling/AttachHis/03aa344f-d295-4980-8b8b-d094c9ff25bf.pdf</v>
          </cell>
        </row>
        <row r="45">
          <cell r="B45" t="str">
            <v>Century Textiles &amp; Industries Limited</v>
          </cell>
          <cell r="C45" t="str">
            <v>Paper, Forest &amp; Jute Products</v>
          </cell>
          <cell r="D45">
            <v>8.6E-3</v>
          </cell>
          <cell r="E45">
            <v>65.400000000000006</v>
          </cell>
          <cell r="F45" t="str">
            <v>https://www.bseindia.com/xml-data/corpfiling/AttachHis/9b5e22e9-5a00-49d5-a18c-63a17c4ac117.pdf</v>
          </cell>
        </row>
        <row r="48">
          <cell r="B48" t="str">
            <v>Cash &amp; Cash Equivalent :</v>
          </cell>
          <cell r="D48">
            <v>6.9999999999999999E-4</v>
          </cell>
        </row>
        <row r="49">
          <cell r="B49" t="str">
            <v/>
          </cell>
          <cell r="C49" t="str">
            <v/>
          </cell>
          <cell r="D49" t="str">
            <v/>
          </cell>
        </row>
        <row r="50">
          <cell r="B50" t="str">
            <v>Total</v>
          </cell>
          <cell r="C50" t="str">
            <v/>
          </cell>
          <cell r="D50">
            <v>1</v>
          </cell>
        </row>
        <row r="52">
          <cell r="B52" t="str">
            <v>1ESG score as provided by Stakeholders Empowerment Services, an ESG rating provider empaneled with AMFI.</v>
          </cell>
        </row>
        <row r="54">
          <cell r="D54" t="str">
            <v>Weighted Average Portfolio ESG Score</v>
          </cell>
          <cell r="E54">
            <v>73.490599419593735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325E-8DB3-4DBA-BFFF-407042DA2F57}">
  <sheetPr>
    <outlinePr summaryBelow="0"/>
  </sheetPr>
  <dimension ref="A1:J86"/>
  <sheetViews>
    <sheetView showGridLines="0" tabSelected="1" workbookViewId="0"/>
  </sheetViews>
  <sheetFormatPr defaultRowHeight="14.5"/>
  <cols>
    <col min="1" max="1" width="3.36328125" customWidth="1"/>
    <col min="2" max="2" width="64.453125" customWidth="1"/>
    <col min="3" max="3" width="13.6328125" customWidth="1"/>
    <col min="4" max="4" width="30.36328125" customWidth="1"/>
    <col min="5" max="5" width="12.90625" customWidth="1"/>
    <col min="6" max="6" width="16.6328125" customWidth="1"/>
    <col min="7" max="7" width="10" customWidth="1"/>
    <col min="8" max="8" width="9.08984375" customWidth="1"/>
    <col min="9" max="9" width="9.36328125" bestFit="1" customWidth="1"/>
    <col min="10" max="10" width="118.6328125" bestFit="1" customWidth="1"/>
  </cols>
  <sheetData>
    <row r="1" spans="1:10" ht="20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  <c r="I1" s="2"/>
      <c r="J1" s="2"/>
    </row>
    <row r="2" spans="1:10" ht="20" customHeight="1">
      <c r="A2" s="3"/>
      <c r="B2" s="44" t="s">
        <v>2</v>
      </c>
      <c r="C2" s="44"/>
      <c r="D2" s="44"/>
      <c r="E2" s="44"/>
      <c r="F2" s="44"/>
      <c r="G2" s="44"/>
      <c r="H2" s="44"/>
      <c r="I2" s="2"/>
      <c r="J2" s="2"/>
    </row>
    <row r="3" spans="1:10" ht="70.5" customHeight="1">
      <c r="A3" s="3"/>
      <c r="B3" s="44" t="s">
        <v>3</v>
      </c>
      <c r="C3" s="44"/>
      <c r="D3" s="44"/>
      <c r="E3" s="44"/>
      <c r="F3" s="44"/>
      <c r="G3" s="44"/>
      <c r="H3" s="44"/>
      <c r="I3" s="2"/>
      <c r="J3" s="2"/>
    </row>
    <row r="4" spans="1:10" ht="13.25" customHeight="1" thickBot="1">
      <c r="A4" s="3"/>
      <c r="B4" s="41"/>
      <c r="C4" s="41"/>
      <c r="D4" s="41"/>
      <c r="E4" s="41"/>
      <c r="F4" s="41"/>
      <c r="G4" s="41"/>
      <c r="H4" s="41"/>
      <c r="I4" s="3"/>
      <c r="J4" s="3"/>
    </row>
    <row r="5" spans="1:10" ht="28.25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.25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.25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.25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97022</v>
      </c>
      <c r="F8" s="17">
        <v>3973.15</v>
      </c>
      <c r="G8" s="17">
        <v>7.35</v>
      </c>
      <c r="H8" s="18"/>
      <c r="I8" s="19">
        <f>VLOOKUP(B8,[1]IESGEF!$B:$E,4,0)</f>
        <v>73.8</v>
      </c>
      <c r="J8" s="20" t="str">
        <f>VLOOKUP(B8,[1]IESGEF!$B:$F,5,0)</f>
        <v>https://www.bseindia.com/xml-data/corpfiling/AttachHis/85d30027-f9f7-4478-91f8-5870fb8a5add.pdf</v>
      </c>
    </row>
    <row r="9" spans="1:10" ht="13.25" customHeight="1">
      <c r="A9" s="1" t="s">
        <v>19</v>
      </c>
      <c r="B9" s="14" t="s">
        <v>20</v>
      </c>
      <c r="C9" s="15" t="s">
        <v>21</v>
      </c>
      <c r="D9" s="10" t="s">
        <v>18</v>
      </c>
      <c r="E9" s="16">
        <v>234415</v>
      </c>
      <c r="F9" s="17">
        <v>3923.87</v>
      </c>
      <c r="G9" s="17">
        <v>7.25</v>
      </c>
      <c r="H9" s="18"/>
      <c r="I9" s="19">
        <f>VLOOKUP(B9,[1]IESGEF!$B:$E,4,0)</f>
        <v>82.4</v>
      </c>
      <c r="J9" s="20" t="str">
        <f>VLOOKUP(B9,[1]IESGEF!$B:$F,5,0)</f>
        <v>https://www.sesgovernance.com/pdf/1686843858_Infosys-Ltd.pdf</v>
      </c>
    </row>
    <row r="10" spans="1:10" ht="13.25" customHeight="1">
      <c r="A10" s="1" t="s">
        <v>22</v>
      </c>
      <c r="B10" s="14" t="s">
        <v>23</v>
      </c>
      <c r="C10" s="15" t="s">
        <v>24</v>
      </c>
      <c r="D10" s="10" t="s">
        <v>25</v>
      </c>
      <c r="E10" s="16">
        <v>290052</v>
      </c>
      <c r="F10" s="17">
        <v>3051.93</v>
      </c>
      <c r="G10" s="17">
        <v>5.64</v>
      </c>
      <c r="H10" s="18"/>
      <c r="I10" s="19">
        <f>VLOOKUP(B10,[1]IESGEF!$B:$E,4,0)</f>
        <v>76.599999999999994</v>
      </c>
      <c r="J10" s="20" t="str">
        <f>VLOOKUP(B10,[1]IESGEF!$B:$F,5,0)</f>
        <v>https://www.sesgovernance.com/pdf/1695281150_ICICI-Bank.pdf</v>
      </c>
    </row>
    <row r="11" spans="1:10" ht="13.25" customHeight="1">
      <c r="A11" s="1" t="s">
        <v>26</v>
      </c>
      <c r="B11" s="14" t="s">
        <v>27</v>
      </c>
      <c r="C11" s="15" t="s">
        <v>28</v>
      </c>
      <c r="D11" s="10" t="s">
        <v>25</v>
      </c>
      <c r="E11" s="16">
        <v>204623</v>
      </c>
      <c r="F11" s="17">
        <v>2871.68</v>
      </c>
      <c r="G11" s="17">
        <v>5.31</v>
      </c>
      <c r="H11" s="18"/>
      <c r="I11" s="19">
        <f>VLOOKUP(B11,[1]IESGEF!$B:$E,4,0)</f>
        <v>79.8</v>
      </c>
      <c r="J11" s="20" t="str">
        <f>VLOOKUP(B11,[1]IESGEF!$B:$F,5,0)</f>
        <v>https://www.sesgovernance.com/pdf/1691216996_HDFC-BANK_BRSR_2022-23.pdf</v>
      </c>
    </row>
    <row r="12" spans="1:10" ht="13.25" customHeight="1">
      <c r="A12" s="1" t="s">
        <v>29</v>
      </c>
      <c r="B12" s="14" t="s">
        <v>30</v>
      </c>
      <c r="C12" s="15" t="s">
        <v>31</v>
      </c>
      <c r="D12" s="10" t="s">
        <v>25</v>
      </c>
      <c r="E12" s="16">
        <v>199902</v>
      </c>
      <c r="F12" s="17">
        <v>2149.15</v>
      </c>
      <c r="G12" s="17">
        <v>3.97</v>
      </c>
      <c r="H12" s="18"/>
      <c r="I12" s="19">
        <f>VLOOKUP(B12,[1]IESGEF!$B:$E,4,0)</f>
        <v>81.599999999999994</v>
      </c>
      <c r="J12" s="20" t="str">
        <f>VLOOKUP(B12,[1]IESGEF!$B:$F,5,0)</f>
        <v>https://www.axisbank.com/annual-reports/2022-2023/pdfs/Axis-Bank-AR-2022-23-Business-Responsibility-and-Sustainability-Report.pdf</v>
      </c>
    </row>
    <row r="13" spans="1:10" ht="13.25" customHeight="1">
      <c r="A13" s="1" t="s">
        <v>32</v>
      </c>
      <c r="B13" s="14" t="s">
        <v>33</v>
      </c>
      <c r="C13" s="15" t="s">
        <v>34</v>
      </c>
      <c r="D13" s="10" t="s">
        <v>35</v>
      </c>
      <c r="E13" s="16">
        <v>58112</v>
      </c>
      <c r="F13" s="17">
        <v>2106.21</v>
      </c>
      <c r="G13" s="17">
        <v>3.89</v>
      </c>
      <c r="H13" s="18"/>
      <c r="I13" s="19">
        <f>VLOOKUP(B13,[1]IESGEF!$B:$E,4,0)</f>
        <v>74</v>
      </c>
      <c r="J13" s="20" t="str">
        <f>VLOOKUP(B13,[1]IESGEF!$B:$F,5,0)</f>
        <v xml:space="preserve">https://www.bseindia.com/xml-data/corpfiling/AttachHis/4d178a5f-8021-48b3-b3c6-ead490b76461.pdf </v>
      </c>
    </row>
    <row r="14" spans="1:10" ht="13.25" customHeight="1">
      <c r="A14" s="1" t="s">
        <v>36</v>
      </c>
      <c r="B14" s="14" t="s">
        <v>37</v>
      </c>
      <c r="C14" s="15" t="s">
        <v>38</v>
      </c>
      <c r="D14" s="10" t="s">
        <v>39</v>
      </c>
      <c r="E14" s="16">
        <v>172794</v>
      </c>
      <c r="F14" s="17">
        <v>1941.08</v>
      </c>
      <c r="G14" s="17">
        <v>3.59</v>
      </c>
      <c r="H14" s="18"/>
      <c r="I14" s="19">
        <f>VLOOKUP(B14,[1]IESGEF!$B:$E,4,0)</f>
        <v>74.900000000000006</v>
      </c>
      <c r="J14" s="20" t="str">
        <f>VLOOKUP(B14,[1]IESGEF!$B:$F,5,0)</f>
        <v xml:space="preserve">https://www.bseindia.com/xml-data/corpfiling/AttachHis/c2fe2639-0487-4788-b1fd-e8c0fc60c6db.pdf </v>
      </c>
    </row>
    <row r="15" spans="1:10" ht="13.25" customHeight="1">
      <c r="A15" s="1" t="s">
        <v>40</v>
      </c>
      <c r="B15" s="14" t="s">
        <v>41</v>
      </c>
      <c r="C15" s="15" t="s">
        <v>42</v>
      </c>
      <c r="D15" s="10" t="s">
        <v>25</v>
      </c>
      <c r="E15" s="16">
        <v>126377</v>
      </c>
      <c r="F15" s="17">
        <v>1863.93</v>
      </c>
      <c r="G15" s="17">
        <v>3.45</v>
      </c>
      <c r="H15" s="18"/>
      <c r="I15" s="19">
        <f>VLOOKUP(B15,[1]IESGEF!$B:$E,4,0)</f>
        <v>80.400000000000006</v>
      </c>
      <c r="J15" s="20" t="str">
        <f>VLOOKUP(B15,[1]IESGEF!$B:$F,5,0)</f>
        <v>https://www.sesgovernance.com/pdf/1691216576_Indusind_FY-2022-23.pdf</v>
      </c>
    </row>
    <row r="16" spans="1:10" ht="13.25" customHeight="1">
      <c r="A16" s="1" t="s">
        <v>43</v>
      </c>
      <c r="B16" s="14" t="s">
        <v>44</v>
      </c>
      <c r="C16" s="15" t="s">
        <v>45</v>
      </c>
      <c r="D16" s="10" t="s">
        <v>46</v>
      </c>
      <c r="E16" s="16">
        <v>75419</v>
      </c>
      <c r="F16" s="17">
        <v>1610.65</v>
      </c>
      <c r="G16" s="17">
        <v>2.98</v>
      </c>
      <c r="H16" s="18"/>
      <c r="I16" s="19">
        <f>VLOOKUP(B16,[1]IESGEF!$B:$E,4,0)</f>
        <v>66.2</v>
      </c>
      <c r="J16" s="20" t="str">
        <f>VLOOKUP(B16,[1]IESGEF!$B:$F,5,0)</f>
        <v>https://www.bseindia.com/xml-data/corpfiling/AttachHis/9f61381e-10bf-4253-9333-facfde2959ab.pdf</v>
      </c>
    </row>
    <row r="17" spans="1:10" ht="13.25" customHeight="1">
      <c r="A17" s="1" t="s">
        <v>47</v>
      </c>
      <c r="B17" s="14" t="s">
        <v>48</v>
      </c>
      <c r="C17" s="15" t="s">
        <v>49</v>
      </c>
      <c r="D17" s="10" t="s">
        <v>50</v>
      </c>
      <c r="E17" s="16">
        <v>347554</v>
      </c>
      <c r="F17" s="17">
        <v>1536.36</v>
      </c>
      <c r="G17" s="17">
        <v>2.84</v>
      </c>
      <c r="H17" s="18"/>
      <c r="I17" s="19">
        <f>VLOOKUP(B17,[1]IESGEF!$B:$E,4,0)</f>
        <v>75</v>
      </c>
      <c r="J17" s="20" t="str">
        <f>VLOOKUP(B17,[1]IESGEF!$B:$F,5,0)</f>
        <v>https://www.bseindia.com/xml-data/corpfiling/AttachHis/af7c4603-2b7f-486c-aef7-cb9bb6cd0796.pdf#page=51</v>
      </c>
    </row>
    <row r="18" spans="1:10" ht="13.25" customHeight="1">
      <c r="A18" s="1" t="s">
        <v>51</v>
      </c>
      <c r="B18" s="14" t="s">
        <v>52</v>
      </c>
      <c r="C18" s="15" t="s">
        <v>53</v>
      </c>
      <c r="D18" s="10" t="s">
        <v>54</v>
      </c>
      <c r="E18" s="16">
        <v>3288937</v>
      </c>
      <c r="F18" s="17">
        <v>1488.24</v>
      </c>
      <c r="G18" s="17">
        <v>2.75</v>
      </c>
      <c r="H18" s="18"/>
      <c r="I18" s="19">
        <f>VLOOKUP(B18,[1]IESGEF!$B:$E,4,0)</f>
        <v>67.5</v>
      </c>
      <c r="J18" s="20" t="str">
        <f>VLOOKUP(B18,[1]IESGEF!$B:$F,5,0)</f>
        <v>https://www.bseindia.com/xml-data/corpfiling/AttachHis/dabedf53-4d3d-4a2e-8e60-d73976e51d9c.pdf</v>
      </c>
    </row>
    <row r="19" spans="1:10" ht="13.25" customHeight="1">
      <c r="A19" s="1" t="s">
        <v>55</v>
      </c>
      <c r="B19" s="14" t="s">
        <v>56</v>
      </c>
      <c r="C19" s="15" t="s">
        <v>57</v>
      </c>
      <c r="D19" s="10" t="s">
        <v>46</v>
      </c>
      <c r="E19" s="16">
        <v>90117</v>
      </c>
      <c r="F19" s="17">
        <v>1460.84</v>
      </c>
      <c r="G19" s="17">
        <v>2.7</v>
      </c>
      <c r="H19" s="18"/>
      <c r="I19" s="19">
        <f>VLOOKUP(B19,[1]IESGEF!$B:$E,4,0)</f>
        <v>67.400000000000006</v>
      </c>
      <c r="J19" s="20" t="str">
        <f>VLOOKUP(B19,[1]IESGEF!$B:$F,5,0)</f>
        <v>https://www.bseindia.com/xml-data/corpfiling/AttachHis/d1558b7c-c36a-4f9b-9357-4235119821e9.pdf</v>
      </c>
    </row>
    <row r="20" spans="1:10" ht="13.25" customHeight="1">
      <c r="A20" s="1" t="s">
        <v>58</v>
      </c>
      <c r="B20" s="14" t="s">
        <v>59</v>
      </c>
      <c r="C20" s="15" t="s">
        <v>60</v>
      </c>
      <c r="D20" s="10" t="s">
        <v>61</v>
      </c>
      <c r="E20" s="16">
        <v>45204</v>
      </c>
      <c r="F20" s="17">
        <v>1451.39</v>
      </c>
      <c r="G20" s="17">
        <v>2.68</v>
      </c>
      <c r="H20" s="18"/>
      <c r="I20" s="19">
        <f>VLOOKUP(B20,[1]IESGEF!$B:$E,4,0)</f>
        <v>65.599999999999994</v>
      </c>
      <c r="J20" s="20" t="str">
        <f>VLOOKUP(B20,[1]IESGEF!$B:$F,5,0)</f>
        <v>https://www.bseindia.com/xml-data/corpfiling/AttachHis/47996cfa-1467-4db3-8660-83b44f23f0b4.pdf</v>
      </c>
    </row>
    <row r="21" spans="1:10" ht="13.25" customHeight="1">
      <c r="A21" s="1" t="s">
        <v>62</v>
      </c>
      <c r="B21" s="14" t="s">
        <v>63</v>
      </c>
      <c r="C21" s="15" t="s">
        <v>64</v>
      </c>
      <c r="D21" s="10" t="s">
        <v>65</v>
      </c>
      <c r="E21" s="16">
        <v>151644</v>
      </c>
      <c r="F21" s="17">
        <v>1440.92</v>
      </c>
      <c r="G21" s="17">
        <v>2.66</v>
      </c>
      <c r="H21" s="18"/>
      <c r="I21" s="19">
        <f>VLOOKUP(B21,[1]IESGEF!$B:$E,4,0)</f>
        <v>76.900000000000006</v>
      </c>
      <c r="J21" s="20" t="str">
        <f>VLOOKUP(B21,[1]IESGEF!$B:$F,5,0)</f>
        <v xml:space="preserve">https://www.bseindia.com/xml-data/corpfiling/AttachHis/3c1b853a-7115-455f-a3c3-285693b4e943.pdf </v>
      </c>
    </row>
    <row r="22" spans="1:10" ht="13.25" customHeight="1">
      <c r="A22" s="1" t="s">
        <v>66</v>
      </c>
      <c r="B22" s="14" t="s">
        <v>67</v>
      </c>
      <c r="C22" s="15" t="s">
        <v>68</v>
      </c>
      <c r="D22" s="10" t="s">
        <v>69</v>
      </c>
      <c r="E22" s="16">
        <v>3769</v>
      </c>
      <c r="F22" s="17">
        <v>1429.61</v>
      </c>
      <c r="G22" s="17">
        <v>2.64</v>
      </c>
      <c r="H22" s="18"/>
      <c r="I22" s="19">
        <f>VLOOKUP(B22,[1]IESGEF!$B:$E,4,0)</f>
        <v>63.7</v>
      </c>
      <c r="J22" s="20" t="str">
        <f>VLOOKUP(B22,[1]IESGEF!$B:$F,5,0)</f>
        <v>https://www.bseindia.com/xml-data/corpfiling/AttachHis/c185b74d-6f41-4401-a9cf-6ba5d38f5897.pdf</v>
      </c>
    </row>
    <row r="23" spans="1:10" ht="13.25" customHeight="1">
      <c r="A23" s="1" t="s">
        <v>70</v>
      </c>
      <c r="B23" s="14" t="s">
        <v>71</v>
      </c>
      <c r="C23" s="15" t="s">
        <v>72</v>
      </c>
      <c r="D23" s="10" t="s">
        <v>18</v>
      </c>
      <c r="E23" s="16">
        <v>108218</v>
      </c>
      <c r="F23" s="17">
        <v>1378.53</v>
      </c>
      <c r="G23" s="17">
        <v>2.5499999999999998</v>
      </c>
      <c r="H23" s="18"/>
      <c r="I23" s="19">
        <f>VLOOKUP(B23,[1]IESGEF!$B:$E,4,0)</f>
        <v>81</v>
      </c>
      <c r="J23" s="20" t="str">
        <f>VLOOKUP(B23,[1]IESGEF!$B:$F,5,0)</f>
        <v>https://www.sesgovernance.com/pdf/1691160395_view-file-browser-(14).pdf</v>
      </c>
    </row>
    <row r="24" spans="1:10" ht="13.25" customHeight="1">
      <c r="A24" s="1" t="s">
        <v>73</v>
      </c>
      <c r="B24" s="14" t="s">
        <v>74</v>
      </c>
      <c r="C24" s="15" t="s">
        <v>75</v>
      </c>
      <c r="D24" s="10" t="s">
        <v>76</v>
      </c>
      <c r="E24" s="16">
        <v>45470</v>
      </c>
      <c r="F24" s="17">
        <v>1369.83</v>
      </c>
      <c r="G24" s="17">
        <v>2.5299999999999998</v>
      </c>
      <c r="H24" s="18"/>
      <c r="I24" s="19">
        <f>VLOOKUP(B24,[1]IESGEF!$B:$E,4,0)</f>
        <v>81.2</v>
      </c>
      <c r="J24" s="20" t="str">
        <f>VLOOKUP(B24,[1]IESGEF!$B:$F,5,0)</f>
        <v>https://www.bseindia.com/xml-data/corpfiling/AttachHis/97614260-9933-40e2-868d-deb32f069a65.pdf</v>
      </c>
    </row>
    <row r="25" spans="1:10" ht="13.25" customHeight="1">
      <c r="A25" s="1" t="s">
        <v>77</v>
      </c>
      <c r="B25" s="14" t="s">
        <v>78</v>
      </c>
      <c r="C25" s="15" t="s">
        <v>79</v>
      </c>
      <c r="D25" s="10" t="s">
        <v>65</v>
      </c>
      <c r="E25" s="16">
        <v>34620</v>
      </c>
      <c r="F25" s="17">
        <v>1312.93</v>
      </c>
      <c r="G25" s="17">
        <v>2.4300000000000002</v>
      </c>
      <c r="H25" s="18"/>
      <c r="I25" s="19">
        <f>VLOOKUP(B25,[1]IESGEF!$B:$E,4,0)</f>
        <v>73.2</v>
      </c>
      <c r="J25" s="20" t="str">
        <f>VLOOKUP(B25,[1]IESGEF!$B:$F,5,0)</f>
        <v>https://www.bseindia.com/xml-data/corpfiling/AttachHis/ea89532b-3fea-44b1-b3d6-ad1cefbee04f.pdf</v>
      </c>
    </row>
    <row r="26" spans="1:10" ht="13.25" customHeight="1">
      <c r="A26" s="1" t="s">
        <v>80</v>
      </c>
      <c r="B26" s="14" t="s">
        <v>81</v>
      </c>
      <c r="C26" s="15" t="s">
        <v>82</v>
      </c>
      <c r="D26" s="10" t="s">
        <v>83</v>
      </c>
      <c r="E26" s="16">
        <v>463894</v>
      </c>
      <c r="F26" s="17">
        <v>1312.12</v>
      </c>
      <c r="G26" s="17">
        <v>2.4300000000000002</v>
      </c>
      <c r="H26" s="18"/>
      <c r="I26" s="19">
        <f>VLOOKUP(B26,[1]IESGEF!$B:$E,4,0)</f>
        <v>61.3</v>
      </c>
      <c r="J26" s="20" t="str">
        <f>VLOOKUP(B26,[1]IESGEF!$B:$F,5,0)</f>
        <v>https://www.bseindia.com/xml-data/corpfiling/AttachHis/1889da69-6e30-45e9-9474-08bf19ab0f8c.pdf</v>
      </c>
    </row>
    <row r="27" spans="1:10" ht="13.25" customHeight="1">
      <c r="A27" s="1" t="s">
        <v>84</v>
      </c>
      <c r="B27" s="14" t="s">
        <v>85</v>
      </c>
      <c r="C27" s="15" t="s">
        <v>86</v>
      </c>
      <c r="D27" s="10" t="s">
        <v>54</v>
      </c>
      <c r="E27" s="16">
        <v>23204</v>
      </c>
      <c r="F27" s="17">
        <v>1263.45</v>
      </c>
      <c r="G27" s="17">
        <v>2.34</v>
      </c>
      <c r="H27" s="18"/>
      <c r="I27" s="19">
        <f>VLOOKUP(B27,[1]IESGEF!$B:$E,4,0)</f>
        <v>68.3</v>
      </c>
      <c r="J27" s="20" t="str">
        <f>VLOOKUP(B27,[1]IESGEF!$B:$F,5,0)</f>
        <v>https://www.bseindia.com/xml-data/corpfiling/AttachHis/d9fc7991-0665-42c5-88b2-ca09aef81658.pdf</v>
      </c>
    </row>
    <row r="28" spans="1:10" ht="13.25" customHeight="1">
      <c r="A28" s="1" t="s">
        <v>87</v>
      </c>
      <c r="B28" s="14" t="s">
        <v>88</v>
      </c>
      <c r="C28" s="15" t="s">
        <v>89</v>
      </c>
      <c r="D28" s="10" t="s">
        <v>50</v>
      </c>
      <c r="E28" s="16">
        <v>138950</v>
      </c>
      <c r="F28" s="17">
        <v>1206.3599999999999</v>
      </c>
      <c r="G28" s="17">
        <v>2.23</v>
      </c>
      <c r="H28" s="18"/>
      <c r="I28" s="19">
        <f>VLOOKUP(B28,[1]IESGEF!$B:$E,4,0)</f>
        <v>79.3</v>
      </c>
      <c r="J28" s="20" t="str">
        <f>VLOOKUP(B28,[1]IESGEF!$B:$F,5,0)</f>
        <v>https://www.bseindia.com/xml-data/corpfiling/AttachHis/52e71bd8-9684-4575-852b-f3b84b026a70.pdf</v>
      </c>
    </row>
    <row r="29" spans="1:10" ht="13.25" customHeight="1">
      <c r="A29" s="1" t="s">
        <v>90</v>
      </c>
      <c r="B29" s="14" t="s">
        <v>91</v>
      </c>
      <c r="C29" s="15" t="s">
        <v>92</v>
      </c>
      <c r="D29" s="10" t="s">
        <v>65</v>
      </c>
      <c r="E29" s="16">
        <v>10438</v>
      </c>
      <c r="F29" s="17">
        <v>1178.28</v>
      </c>
      <c r="G29" s="17">
        <v>2.1800000000000002</v>
      </c>
      <c r="H29" s="18"/>
      <c r="I29" s="19">
        <f>VLOOKUP(B29,[1]IESGEF!$B:$E,4,0)</f>
        <v>68.5</v>
      </c>
      <c r="J29" s="20" t="str">
        <f>VLOOKUP(B29,[1]IESGEF!$B:$F,5,0)</f>
        <v>https://www.bseindia.com/xml-data/corpfiling/AttachHis/59db00b1-c5f7-4cd7-9831-60f5b738f459.pdf</v>
      </c>
    </row>
    <row r="30" spans="1:10" ht="13.25" customHeight="1">
      <c r="A30" s="1" t="s">
        <v>93</v>
      </c>
      <c r="B30" s="14" t="s">
        <v>94</v>
      </c>
      <c r="C30" s="15" t="s">
        <v>95</v>
      </c>
      <c r="D30" s="10" t="s">
        <v>83</v>
      </c>
      <c r="E30" s="16">
        <v>1336508</v>
      </c>
      <c r="F30" s="17">
        <v>1178.1300000000001</v>
      </c>
      <c r="G30" s="17">
        <v>2.1800000000000002</v>
      </c>
      <c r="H30" s="18"/>
      <c r="I30" s="19">
        <f>VLOOKUP(B30,[1]IESGEF!$B:$E,4,0)</f>
        <v>66</v>
      </c>
      <c r="J30" s="20" t="str">
        <f>VLOOKUP(B30,[1]IESGEF!$B:$F,5,0)</f>
        <v>https://www.bseindia.com/xml-data/corpfiling/AttachHis/bb3de453-6f82-454f-9376-453bc0a5a9c7.pdf</v>
      </c>
    </row>
    <row r="31" spans="1:10" ht="13.25" customHeight="1">
      <c r="A31" s="1" t="s">
        <v>96</v>
      </c>
      <c r="B31" s="14" t="s">
        <v>97</v>
      </c>
      <c r="C31" s="15" t="s">
        <v>98</v>
      </c>
      <c r="D31" s="10" t="s">
        <v>99</v>
      </c>
      <c r="E31" s="16">
        <v>56326</v>
      </c>
      <c r="F31" s="17">
        <v>1112.55</v>
      </c>
      <c r="G31" s="17">
        <v>2.06</v>
      </c>
      <c r="H31" s="18"/>
      <c r="I31" s="19">
        <f>VLOOKUP(B31,[1]IESGEF!$B:$E,4,0)</f>
        <v>63.3</v>
      </c>
      <c r="J31" s="20" t="str">
        <f>VLOOKUP(B31,[1]IESGEF!$B:$F,5,0)</f>
        <v>https://www.bseindia.com/xml-data/corpfiling/AttachHis/a8c629df-92ca-4d0e-932f-a793a6c16392.pdf</v>
      </c>
    </row>
    <row r="32" spans="1:10" ht="13.25" customHeight="1">
      <c r="A32" s="1" t="s">
        <v>100</v>
      </c>
      <c r="B32" s="14" t="s">
        <v>101</v>
      </c>
      <c r="C32" s="15" t="s">
        <v>102</v>
      </c>
      <c r="D32" s="10" t="s">
        <v>103</v>
      </c>
      <c r="E32" s="16">
        <v>651246</v>
      </c>
      <c r="F32" s="17">
        <v>1077.49</v>
      </c>
      <c r="G32" s="17">
        <v>1.99</v>
      </c>
      <c r="H32" s="18"/>
      <c r="I32" s="19">
        <f>VLOOKUP(B32,[1]IESGEF!$B:$E,4,0)</f>
        <v>69.599999999999994</v>
      </c>
      <c r="J32" s="20" t="str">
        <f>VLOOKUP(B32,[1]IESGEF!$B:$F,5,0)</f>
        <v>https://www.bseindia.com/xml-data/corpfiling/AttachHis/4c3c9f6d-cbe5-496c-9715-a416c4556a62.pdf</v>
      </c>
    </row>
    <row r="33" spans="1:10" ht="13.25" customHeight="1">
      <c r="A33" s="1" t="s">
        <v>104</v>
      </c>
      <c r="B33" s="14" t="s">
        <v>105</v>
      </c>
      <c r="C33" s="15" t="s">
        <v>106</v>
      </c>
      <c r="D33" s="10" t="s">
        <v>107</v>
      </c>
      <c r="E33" s="16">
        <v>559968</v>
      </c>
      <c r="F33" s="17">
        <v>1020.54</v>
      </c>
      <c r="G33" s="17">
        <v>1.89</v>
      </c>
      <c r="H33" s="18"/>
      <c r="I33" s="19">
        <f>VLOOKUP(B33,[1]IESGEF!$B:$E,4,0)</f>
        <v>73.3</v>
      </c>
      <c r="J33" s="20" t="str">
        <f>VLOOKUP(B33,[1]IESGEF!$B:$F,5,0)</f>
        <v>https://www.bseindia.com/xml-data/corpfiling/AttachHis/371a4058-3ad5-4374-b06c-3e619fdee672.pdf</v>
      </c>
    </row>
    <row r="34" spans="1:10" ht="13.25" customHeight="1">
      <c r="A34" s="1" t="s">
        <v>108</v>
      </c>
      <c r="B34" s="14" t="s">
        <v>109</v>
      </c>
      <c r="C34" s="15" t="s">
        <v>110</v>
      </c>
      <c r="D34" s="10" t="s">
        <v>111</v>
      </c>
      <c r="E34" s="16">
        <v>35893</v>
      </c>
      <c r="F34" s="17">
        <v>998.79</v>
      </c>
      <c r="G34" s="17">
        <v>1.85</v>
      </c>
      <c r="H34" s="18"/>
      <c r="I34" s="19">
        <f>VLOOKUP(B34,[1]IESGEF!$B:$E,4,0)</f>
        <v>72.2</v>
      </c>
      <c r="J34" s="20" t="str">
        <f>VLOOKUP(B34,[1]IESGEF!$B:$F,5,0)</f>
        <v>https://www.bseindia.com/xml-data/corpfiling/AttachHis/9a173ad4-18cd-495a-8d56-8e74c735a2d4.pdf</v>
      </c>
    </row>
    <row r="35" spans="1:10" ht="13.25" customHeight="1">
      <c r="A35" s="1" t="s">
        <v>112</v>
      </c>
      <c r="B35" s="14" t="s">
        <v>113</v>
      </c>
      <c r="C35" s="15" t="s">
        <v>114</v>
      </c>
      <c r="D35" s="10" t="s">
        <v>50</v>
      </c>
      <c r="E35" s="16">
        <v>86362</v>
      </c>
      <c r="F35" s="17">
        <v>940.65</v>
      </c>
      <c r="G35" s="17">
        <v>1.74</v>
      </c>
      <c r="H35" s="18"/>
      <c r="I35" s="19">
        <v>79.099999999999994</v>
      </c>
      <c r="J35" s="20" t="s">
        <v>115</v>
      </c>
    </row>
    <row r="36" spans="1:10" ht="13.25" customHeight="1">
      <c r="A36" s="1" t="s">
        <v>116</v>
      </c>
      <c r="B36" s="14" t="s">
        <v>117</v>
      </c>
      <c r="C36" s="15" t="s">
        <v>118</v>
      </c>
      <c r="D36" s="10" t="s">
        <v>119</v>
      </c>
      <c r="E36" s="16">
        <v>14586</v>
      </c>
      <c r="F36" s="17">
        <v>889.98</v>
      </c>
      <c r="G36" s="17">
        <v>1.65</v>
      </c>
      <c r="H36" s="18"/>
      <c r="I36" s="19">
        <f>VLOOKUP(B36,[1]IESGEF!$B:$E,4,0)</f>
        <v>71.400000000000006</v>
      </c>
      <c r="J36" s="20" t="str">
        <f>VLOOKUP(B36,[1]IESGEF!$B:$F,5,0)</f>
        <v>https://www.bseindia.com/xml-data/corpfiling/AttachHis/80946b8a-440e-4cf8-bb15-f76b48cedf9d.pdf</v>
      </c>
    </row>
    <row r="37" spans="1:10" ht="13.25" customHeight="1">
      <c r="A37" s="1" t="s">
        <v>120</v>
      </c>
      <c r="B37" s="14" t="s">
        <v>121</v>
      </c>
      <c r="C37" s="15" t="s">
        <v>122</v>
      </c>
      <c r="D37" s="10" t="s">
        <v>18</v>
      </c>
      <c r="E37" s="16">
        <v>29452</v>
      </c>
      <c r="F37" s="17">
        <v>770.86</v>
      </c>
      <c r="G37" s="17">
        <v>1.43</v>
      </c>
      <c r="H37" s="18"/>
      <c r="I37" s="19">
        <f>VLOOKUP(B37,[1]IESGEF!$B:$E,4,0)</f>
        <v>75.099999999999994</v>
      </c>
      <c r="J37" s="20" t="str">
        <f>VLOOKUP(B37,[1]IESGEF!$B:$F,5,0)</f>
        <v>https://www.bseindia.com/xml-data/corpfiling/AttachHis/3e5c9221-91e8-45a0-a487-ff53f828659a.pdf</v>
      </c>
    </row>
    <row r="38" spans="1:10" ht="13.25" customHeight="1">
      <c r="A38" s="1" t="s">
        <v>123</v>
      </c>
      <c r="B38" s="14" t="s">
        <v>124</v>
      </c>
      <c r="C38" s="15" t="s">
        <v>125</v>
      </c>
      <c r="D38" s="10" t="s">
        <v>46</v>
      </c>
      <c r="E38" s="16">
        <v>45601</v>
      </c>
      <c r="F38" s="17">
        <v>712.22</v>
      </c>
      <c r="G38" s="17">
        <v>1.32</v>
      </c>
      <c r="H38" s="18"/>
      <c r="I38" s="19">
        <v>70.33</v>
      </c>
      <c r="J38" s="20" t="s">
        <v>173</v>
      </c>
    </row>
    <row r="39" spans="1:10" ht="13.25" customHeight="1">
      <c r="A39" s="1" t="s">
        <v>126</v>
      </c>
      <c r="B39" s="14" t="s">
        <v>127</v>
      </c>
      <c r="C39" s="15" t="s">
        <v>128</v>
      </c>
      <c r="D39" s="10" t="s">
        <v>46</v>
      </c>
      <c r="E39" s="16">
        <v>54263</v>
      </c>
      <c r="F39" s="17">
        <v>641.71</v>
      </c>
      <c r="G39" s="17">
        <v>1.19</v>
      </c>
      <c r="H39" s="18"/>
      <c r="I39" s="19">
        <f>VLOOKUP(B39,[1]IESGEF!$B:$E,4,0)</f>
        <v>65.400000000000006</v>
      </c>
      <c r="J39" s="20" t="str">
        <f>VLOOKUP(B39,[1]IESGEF!$B:$F,5,0)</f>
        <v>https://www.bseindia.com/xml-data/corpfiling/AttachHis/72e4c087-1077-45ff-913f-85305c10e194.pdf</v>
      </c>
    </row>
    <row r="40" spans="1:10" ht="13.25" customHeight="1">
      <c r="A40" s="1" t="s">
        <v>129</v>
      </c>
      <c r="B40" s="14" t="s">
        <v>130</v>
      </c>
      <c r="C40" s="15" t="s">
        <v>131</v>
      </c>
      <c r="D40" s="10" t="s">
        <v>132</v>
      </c>
      <c r="E40" s="16">
        <v>527060</v>
      </c>
      <c r="F40" s="17">
        <v>628.26</v>
      </c>
      <c r="G40" s="17">
        <v>1.1599999999999999</v>
      </c>
      <c r="H40" s="18"/>
      <c r="I40" s="19">
        <f>VLOOKUP(B40,[1]IESGEF!$B:$E,4,0)</f>
        <v>64.8</v>
      </c>
      <c r="J40" s="20" t="str">
        <f>VLOOKUP(B40,[1]IESGEF!$B:$F,5,0)</f>
        <v>https://www.sesgovernance.com/pdf/1691216438_Samvardhana-Motherson-International-Ltd._-BRSR-2022-23.pdf</v>
      </c>
    </row>
    <row r="41" spans="1:10" ht="13.25" customHeight="1">
      <c r="A41" s="1" t="s">
        <v>133</v>
      </c>
      <c r="B41" s="14" t="s">
        <v>134</v>
      </c>
      <c r="C41" s="15" t="s">
        <v>135</v>
      </c>
      <c r="D41" s="10" t="s">
        <v>103</v>
      </c>
      <c r="E41" s="16">
        <v>15683</v>
      </c>
      <c r="F41" s="17">
        <v>614.6</v>
      </c>
      <c r="G41" s="17">
        <v>1.1399999999999999</v>
      </c>
      <c r="H41" s="18"/>
      <c r="I41" s="19">
        <f>VLOOKUP(B41,[1]IESGEF!$B:$E,4,0)</f>
        <v>64.900000000000006</v>
      </c>
      <c r="J41" s="20" t="str">
        <f>VLOOKUP(B41,[1]IESGEF!$B:$F,5,0)</f>
        <v>https://www.bseindia.com/xml-data/corpfiling/AttachHis/f63315c4-0a2d-46bd-ba57-21b9d446180c.pdf</v>
      </c>
    </row>
    <row r="42" spans="1:10" ht="13.25" customHeight="1">
      <c r="A42" s="1" t="s">
        <v>136</v>
      </c>
      <c r="B42" s="14" t="s">
        <v>137</v>
      </c>
      <c r="C42" s="15" t="s">
        <v>138</v>
      </c>
      <c r="D42" s="10" t="s">
        <v>18</v>
      </c>
      <c r="E42" s="16">
        <v>11055</v>
      </c>
      <c r="F42" s="17">
        <v>586.01</v>
      </c>
      <c r="G42" s="17">
        <v>1.08</v>
      </c>
      <c r="H42" s="18"/>
      <c r="I42" s="19">
        <f>VLOOKUP(B42,[1]IESGEF!$B:$E,4,0)</f>
        <v>78.400000000000006</v>
      </c>
      <c r="J42" s="20" t="str">
        <f>VLOOKUP(B42,[1]IESGEF!$B:$F,5,0)</f>
        <v>https://www.sesgovernance.com/pdf/1691160462_LTI-Mindtree_FY-2022-23.pdf</v>
      </c>
    </row>
    <row r="43" spans="1:10" ht="13.25" customHeight="1">
      <c r="A43" s="1" t="s">
        <v>139</v>
      </c>
      <c r="B43" s="14" t="s">
        <v>140</v>
      </c>
      <c r="C43" s="15" t="s">
        <v>141</v>
      </c>
      <c r="D43" s="10" t="s">
        <v>99</v>
      </c>
      <c r="E43" s="16">
        <v>51643</v>
      </c>
      <c r="F43" s="17">
        <v>548.73</v>
      </c>
      <c r="G43" s="17">
        <v>1.01</v>
      </c>
      <c r="H43" s="18"/>
      <c r="I43" s="19">
        <f>VLOOKUP(B43,[1]IESGEF!$B:$E,4,0)</f>
        <v>63.3</v>
      </c>
      <c r="J43" s="20" t="str">
        <f>VLOOKUP(B43,[1]IESGEF!$B:$F,5,0)</f>
        <v>https://www.bseindia.com/xml-data/corpfiling/AttachHis/9f7d1fe8-b367-4b9f-b350-995325a99a91.pdf</v>
      </c>
    </row>
    <row r="44" spans="1:10" ht="13.25" customHeight="1">
      <c r="A44" s="1" t="s">
        <v>142</v>
      </c>
      <c r="B44" s="14" t="s">
        <v>143</v>
      </c>
      <c r="C44" s="15" t="s">
        <v>144</v>
      </c>
      <c r="D44" s="10" t="s">
        <v>132</v>
      </c>
      <c r="E44" s="16">
        <v>50230</v>
      </c>
      <c r="F44" s="17">
        <v>537.71</v>
      </c>
      <c r="G44" s="17">
        <v>0.99</v>
      </c>
      <c r="H44" s="18"/>
      <c r="I44" s="19">
        <f>VLOOKUP(B44,[1]IESGEF!$B:$E,4,0)</f>
        <v>67.3</v>
      </c>
      <c r="J44" s="20" t="str">
        <f>VLOOKUP(B44,[1]IESGEF!$B:$F,5,0)</f>
        <v>https://www.bseindia.com/xml-data/corpfiling/AttachHis/03aa344f-d295-4980-8b8b-d094c9ff25bf.pdf</v>
      </c>
    </row>
    <row r="45" spans="1:10" ht="13.25" customHeight="1">
      <c r="A45" s="1" t="s">
        <v>145</v>
      </c>
      <c r="B45" s="14" t="s">
        <v>146</v>
      </c>
      <c r="C45" s="15" t="s">
        <v>147</v>
      </c>
      <c r="D45" s="10" t="s">
        <v>148</v>
      </c>
      <c r="E45" s="16">
        <v>32921</v>
      </c>
      <c r="F45" s="17">
        <v>464.53</v>
      </c>
      <c r="G45" s="17">
        <v>0.86</v>
      </c>
      <c r="H45" s="18"/>
      <c r="I45" s="19">
        <f>VLOOKUP(B45,[1]IESGEF!$B:$E,4,0)</f>
        <v>65.400000000000006</v>
      </c>
      <c r="J45" s="20" t="str">
        <f>VLOOKUP(B45,[1]IESGEF!$B:$F,5,0)</f>
        <v>https://www.bseindia.com/xml-data/corpfiling/AttachHis/9b5e22e9-5a00-49d5-a18c-63a17c4ac117.pdf</v>
      </c>
    </row>
    <row r="46" spans="1:10" ht="13.25" customHeight="1">
      <c r="A46" s="3"/>
      <c r="B46" s="9" t="s">
        <v>149</v>
      </c>
      <c r="C46" s="10"/>
      <c r="D46" s="10"/>
      <c r="E46" s="10"/>
      <c r="F46" s="21">
        <v>54043.27</v>
      </c>
      <c r="G46" s="21">
        <v>99.93</v>
      </c>
      <c r="H46" s="22"/>
      <c r="I46" s="19"/>
      <c r="J46" s="20"/>
    </row>
    <row r="47" spans="1:10" ht="13.25" customHeight="1">
      <c r="A47" s="3"/>
      <c r="B47" s="23" t="s">
        <v>150</v>
      </c>
      <c r="C47" s="24"/>
      <c r="D47" s="24"/>
      <c r="E47" s="25"/>
      <c r="F47" s="26" t="s">
        <v>151</v>
      </c>
      <c r="G47" s="26" t="s">
        <v>151</v>
      </c>
      <c r="H47" s="27" t="s">
        <v>151</v>
      </c>
      <c r="I47" s="19"/>
      <c r="J47" s="20"/>
    </row>
    <row r="48" spans="1:10" ht="13.25" customHeight="1">
      <c r="A48" s="3"/>
      <c r="B48" s="28" t="s">
        <v>149</v>
      </c>
      <c r="C48" s="29"/>
      <c r="D48" s="29"/>
      <c r="E48" s="26"/>
      <c r="F48" s="26" t="s">
        <v>151</v>
      </c>
      <c r="G48" s="26" t="s">
        <v>151</v>
      </c>
      <c r="H48" s="27" t="s">
        <v>151</v>
      </c>
      <c r="I48" s="19"/>
      <c r="J48" s="30"/>
    </row>
    <row r="49" spans="1:10" ht="13.25" customHeight="1">
      <c r="A49" s="3"/>
      <c r="B49" s="23" t="s">
        <v>152</v>
      </c>
      <c r="C49" s="24"/>
      <c r="D49" s="24"/>
      <c r="E49" s="31"/>
      <c r="F49" s="21">
        <v>54043.27</v>
      </c>
      <c r="G49" s="21">
        <v>99.93</v>
      </c>
      <c r="H49" s="27"/>
      <c r="I49" s="19"/>
      <c r="J49" s="30"/>
    </row>
    <row r="50" spans="1:10" ht="13.25" customHeight="1">
      <c r="A50" s="3"/>
      <c r="B50" s="9" t="s">
        <v>153</v>
      </c>
      <c r="C50" s="10"/>
      <c r="D50" s="10"/>
      <c r="E50" s="10"/>
      <c r="F50" s="10"/>
      <c r="G50" s="10"/>
      <c r="H50" s="11"/>
      <c r="I50" s="19"/>
      <c r="J50" s="12"/>
    </row>
    <row r="51" spans="1:10" ht="13.25" customHeight="1">
      <c r="A51" s="3"/>
      <c r="B51" s="9" t="s">
        <v>154</v>
      </c>
      <c r="C51" s="13"/>
      <c r="D51" s="13"/>
      <c r="E51" s="10"/>
      <c r="F51" s="10"/>
      <c r="G51" s="10"/>
      <c r="H51" s="11"/>
      <c r="I51" s="19"/>
      <c r="J51" s="12"/>
    </row>
    <row r="52" spans="1:10" ht="13.25" customHeight="1">
      <c r="A52" s="1" t="s">
        <v>155</v>
      </c>
      <c r="B52" s="14" t="s">
        <v>156</v>
      </c>
      <c r="C52" s="15"/>
      <c r="D52" s="10"/>
      <c r="E52" s="16"/>
      <c r="F52" s="17">
        <v>658</v>
      </c>
      <c r="G52" s="17">
        <v>1.22</v>
      </c>
      <c r="H52" s="18">
        <v>6.6496565349544068E-2</v>
      </c>
      <c r="I52" s="19"/>
      <c r="J52" s="32"/>
    </row>
    <row r="53" spans="1:10" ht="13.25" customHeight="1">
      <c r="A53" s="3"/>
      <c r="B53" s="9" t="s">
        <v>149</v>
      </c>
      <c r="C53" s="10"/>
      <c r="D53" s="10"/>
      <c r="E53" s="10"/>
      <c r="F53" s="21">
        <v>658</v>
      </c>
      <c r="G53" s="21">
        <v>1.22</v>
      </c>
      <c r="H53" s="22"/>
      <c r="I53" s="33"/>
      <c r="J53" s="33"/>
    </row>
    <row r="54" spans="1:10" ht="13.25" customHeight="1">
      <c r="A54" s="3"/>
      <c r="B54" s="23" t="s">
        <v>152</v>
      </c>
      <c r="C54" s="24"/>
      <c r="D54" s="24"/>
      <c r="E54" s="31"/>
      <c r="F54" s="21">
        <v>658</v>
      </c>
      <c r="G54" s="21">
        <v>1.22</v>
      </c>
      <c r="H54" s="27"/>
      <c r="I54" s="30"/>
      <c r="J54" s="30"/>
    </row>
    <row r="55" spans="1:10" ht="13.25" customHeight="1">
      <c r="A55" s="3"/>
      <c r="B55" s="23" t="s">
        <v>157</v>
      </c>
      <c r="C55" s="24"/>
      <c r="D55" s="24"/>
      <c r="E55" s="10"/>
      <c r="F55" s="21">
        <v>-608.30999999999995</v>
      </c>
      <c r="G55" s="21">
        <v>-1.1499999999999999</v>
      </c>
      <c r="H55" s="27"/>
      <c r="I55" s="33"/>
      <c r="J55" s="33"/>
    </row>
    <row r="56" spans="1:10" ht="13.25" customHeight="1" thickBot="1">
      <c r="A56" s="3"/>
      <c r="B56" s="34" t="s">
        <v>158</v>
      </c>
      <c r="C56" s="35"/>
      <c r="D56" s="35"/>
      <c r="E56" s="35"/>
      <c r="F56" s="36">
        <v>54092.959999999999</v>
      </c>
      <c r="G56" s="37">
        <v>100</v>
      </c>
      <c r="H56" s="38"/>
      <c r="I56" s="30"/>
      <c r="J56" s="30"/>
    </row>
    <row r="57" spans="1:10" ht="13.25" customHeight="1">
      <c r="A57" s="3"/>
      <c r="B57" s="42"/>
      <c r="C57" s="42"/>
      <c r="D57" s="42"/>
      <c r="E57" s="42"/>
      <c r="F57" s="3"/>
      <c r="G57" s="3"/>
      <c r="H57" s="3"/>
      <c r="I57" s="39"/>
      <c r="J57" s="39"/>
    </row>
    <row r="58" spans="1:10" ht="13.25" customHeight="1">
      <c r="A58" s="3"/>
      <c r="B58" s="42"/>
      <c r="C58" s="42"/>
      <c r="D58" s="42"/>
      <c r="E58" s="42"/>
      <c r="F58" s="3"/>
      <c r="G58" s="3"/>
      <c r="H58" s="3"/>
      <c r="I58" s="39"/>
      <c r="J58" s="39"/>
    </row>
    <row r="59" spans="1:10" ht="13.25" customHeight="1">
      <c r="A59" s="3"/>
      <c r="B59" s="42"/>
      <c r="C59" s="42"/>
      <c r="D59" s="42"/>
      <c r="E59" s="42"/>
      <c r="F59" s="3"/>
      <c r="G59" s="3"/>
      <c r="H59" s="3"/>
      <c r="I59" s="39"/>
      <c r="J59" s="39"/>
    </row>
    <row r="60" spans="1:10" ht="13.25" customHeight="1">
      <c r="A60" s="3"/>
      <c r="B60" s="43" t="s">
        <v>159</v>
      </c>
      <c r="C60" s="43"/>
      <c r="D60" s="43"/>
      <c r="E60" s="43"/>
      <c r="F60" s="3"/>
      <c r="G60" s="3"/>
      <c r="H60" s="3"/>
      <c r="I60" s="39"/>
      <c r="J60" s="39"/>
    </row>
    <row r="61" spans="1:10" ht="13.25" customHeight="1">
      <c r="A61" s="3"/>
      <c r="B61" s="42" t="s">
        <v>160</v>
      </c>
      <c r="C61" s="42"/>
      <c r="D61" s="42"/>
      <c r="E61" s="42"/>
      <c r="F61" s="3"/>
      <c r="G61" s="3"/>
      <c r="H61" s="3"/>
      <c r="I61" s="3"/>
      <c r="J61" s="3"/>
    </row>
    <row r="62" spans="1:10" ht="13.25" customHeight="1">
      <c r="A62" s="3"/>
      <c r="B62" s="42" t="s">
        <v>161</v>
      </c>
      <c r="C62" s="42"/>
      <c r="D62" s="42"/>
      <c r="E62" s="42"/>
      <c r="F62" s="3"/>
      <c r="G62" s="3"/>
      <c r="H62" s="3"/>
      <c r="I62" s="3"/>
      <c r="J62" s="3"/>
    </row>
    <row r="63" spans="1:10" ht="13.25" customHeight="1">
      <c r="A63" s="3"/>
      <c r="B63" s="42" t="s">
        <v>162</v>
      </c>
      <c r="C63" s="42"/>
      <c r="D63" s="42"/>
      <c r="E63" s="42"/>
      <c r="F63" s="3"/>
      <c r="G63" s="3"/>
      <c r="H63" s="3"/>
      <c r="I63" s="3"/>
      <c r="J63" s="3"/>
    </row>
    <row r="64" spans="1:10" ht="13.25" customHeight="1">
      <c r="A64" s="3"/>
      <c r="B64" s="42" t="s">
        <v>163</v>
      </c>
      <c r="C64" s="42"/>
      <c r="D64" s="42"/>
      <c r="E64" s="42"/>
      <c r="F64" s="3"/>
      <c r="G64" s="3"/>
      <c r="H64" s="3"/>
      <c r="I64" s="3"/>
      <c r="J64" s="3"/>
    </row>
    <row r="65" spans="1:10" ht="13.25" customHeight="1">
      <c r="A65" s="3"/>
      <c r="B65" s="41" t="s">
        <v>164</v>
      </c>
      <c r="C65" s="41"/>
      <c r="D65" s="41"/>
      <c r="E65" s="41"/>
      <c r="F65" s="3"/>
      <c r="G65" s="3"/>
      <c r="H65" s="3"/>
      <c r="I65" s="3"/>
      <c r="J65" s="3"/>
    </row>
    <row r="66" spans="1:10" ht="13.25" customHeight="1">
      <c r="A66" s="3"/>
      <c r="B66" s="41" t="s">
        <v>165</v>
      </c>
      <c r="C66" s="41"/>
      <c r="D66" s="41"/>
      <c r="E66" s="41"/>
      <c r="F66" s="3"/>
      <c r="G66" s="3"/>
      <c r="H66" s="3"/>
      <c r="I66" s="3"/>
      <c r="J66" s="3"/>
    </row>
    <row r="67" spans="1:10" ht="13.25" customHeight="1">
      <c r="A67" s="3"/>
      <c r="B67" s="41" t="s">
        <v>166</v>
      </c>
      <c r="C67" s="41"/>
      <c r="D67" s="41"/>
      <c r="E67" s="41"/>
      <c r="F67" s="3"/>
      <c r="G67" s="3"/>
      <c r="H67" s="3"/>
      <c r="I67" s="3"/>
      <c r="J67" s="3"/>
    </row>
    <row r="68" spans="1:10" ht="13.25" customHeight="1">
      <c r="A68" s="3"/>
      <c r="B68" s="41" t="s">
        <v>167</v>
      </c>
      <c r="C68" s="41"/>
      <c r="D68" s="41"/>
      <c r="E68" s="41"/>
      <c r="F68" s="3"/>
      <c r="G68" s="3"/>
      <c r="H68" s="3"/>
      <c r="I68" s="3"/>
      <c r="J68" s="3"/>
    </row>
    <row r="69" spans="1:10" ht="13.25" customHeight="1">
      <c r="A69" s="3"/>
      <c r="B69" s="41" t="s">
        <v>168</v>
      </c>
      <c r="C69" s="41"/>
      <c r="D69" s="41"/>
      <c r="E69" s="41"/>
      <c r="F69" s="3"/>
      <c r="G69" s="3"/>
      <c r="H69" s="3"/>
      <c r="I69" s="3"/>
      <c r="J69" s="3"/>
    </row>
    <row r="70" spans="1:10" ht="13.25" customHeight="1">
      <c r="A70" s="3"/>
      <c r="B70" s="41" t="s">
        <v>169</v>
      </c>
      <c r="C70" s="41"/>
      <c r="D70" s="41"/>
      <c r="E70" s="41"/>
      <c r="F70" s="3"/>
      <c r="G70" s="3"/>
      <c r="H70" s="3"/>
      <c r="I70" s="3"/>
      <c r="J70" s="3"/>
    </row>
    <row r="71" spans="1:10">
      <c r="I71" s="3"/>
      <c r="J71" s="3"/>
    </row>
    <row r="72" spans="1:10">
      <c r="I72" s="3"/>
      <c r="J72" s="3"/>
    </row>
    <row r="73" spans="1:10">
      <c r="I73" s="3"/>
      <c r="J73" s="3"/>
    </row>
    <row r="74" spans="1:10">
      <c r="I74" s="3"/>
      <c r="J74" s="3"/>
    </row>
    <row r="75" spans="1:10">
      <c r="I75" s="3"/>
      <c r="J75" s="3"/>
    </row>
    <row r="76" spans="1:10">
      <c r="I76" s="3"/>
      <c r="J76" s="3"/>
    </row>
    <row r="77" spans="1:10">
      <c r="I77" s="3"/>
      <c r="J77" s="3"/>
    </row>
    <row r="78" spans="1:10">
      <c r="I78" s="3"/>
      <c r="J78" s="3"/>
    </row>
    <row r="79" spans="1:10">
      <c r="I79" s="3"/>
      <c r="J79" s="3"/>
    </row>
    <row r="80" spans="1:10">
      <c r="I80" s="3"/>
      <c r="J80" s="3"/>
    </row>
    <row r="81" spans="2:10">
      <c r="I81" s="3"/>
      <c r="J81" s="3"/>
    </row>
    <row r="82" spans="2:10">
      <c r="I82" s="3"/>
      <c r="J82" s="3"/>
    </row>
    <row r="83" spans="2:10">
      <c r="I83" s="3"/>
      <c r="J83" s="3"/>
    </row>
    <row r="84" spans="2:10">
      <c r="I84" s="3"/>
      <c r="J84" s="3"/>
    </row>
    <row r="85" spans="2:10">
      <c r="F85" s="40" t="s">
        <v>170</v>
      </c>
    </row>
    <row r="86" spans="2:10">
      <c r="B86" s="40" t="s">
        <v>171</v>
      </c>
      <c r="F86" s="40" t="s">
        <v>172</v>
      </c>
    </row>
  </sheetData>
  <mergeCells count="18">
    <mergeCell ref="B58:E58"/>
    <mergeCell ref="B1:H1"/>
    <mergeCell ref="B2:H2"/>
    <mergeCell ref="B3:H3"/>
    <mergeCell ref="B4:H4"/>
    <mergeCell ref="B57:E57"/>
    <mergeCell ref="B70:E70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93B2-5BFB-4401-8566-D27D4457324C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193</v>
      </c>
      <c r="B1" s="42"/>
      <c r="C1" s="42"/>
      <c r="D1" s="49"/>
      <c r="E1" s="4"/>
      <c r="F1" s="3"/>
    </row>
    <row r="2" spans="1:6" ht="13" customHeight="1">
      <c r="A2" s="4"/>
      <c r="B2" s="3"/>
      <c r="C2" s="3"/>
      <c r="D2" s="3"/>
      <c r="E2" s="4"/>
      <c r="F2" s="3"/>
    </row>
    <row r="3" spans="1:6" ht="13" customHeight="1">
      <c r="A3" s="48" t="s">
        <v>192</v>
      </c>
      <c r="B3" s="48"/>
      <c r="C3" s="3"/>
      <c r="D3" s="3"/>
      <c r="E3" s="48" t="s">
        <v>191</v>
      </c>
      <c r="F3" s="48"/>
    </row>
    <row r="4" spans="1:6" ht="13" customHeight="1">
      <c r="A4" s="46" t="s">
        <v>190</v>
      </c>
      <c r="B4" s="46" t="s">
        <v>9</v>
      </c>
      <c r="C4" s="3"/>
      <c r="D4" s="3"/>
      <c r="E4" s="46" t="s">
        <v>189</v>
      </c>
      <c r="F4" s="46" t="s">
        <v>188</v>
      </c>
    </row>
    <row r="5" spans="1:6" ht="13" customHeight="1">
      <c r="A5" s="24" t="s">
        <v>16</v>
      </c>
      <c r="B5" s="47">
        <v>7.3499999999999996E-2</v>
      </c>
      <c r="C5" s="3"/>
      <c r="D5" s="3"/>
      <c r="E5" s="24" t="s">
        <v>187</v>
      </c>
      <c r="F5" s="47">
        <v>0.27029999999999998</v>
      </c>
    </row>
    <row r="6" spans="1:6" ht="13" customHeight="1">
      <c r="A6" s="24" t="s">
        <v>20</v>
      </c>
      <c r="B6" s="47">
        <v>7.2499999999999995E-2</v>
      </c>
      <c r="C6" s="3"/>
      <c r="D6" s="3"/>
      <c r="E6" s="24" t="s">
        <v>186</v>
      </c>
      <c r="F6" s="47">
        <v>0.1966</v>
      </c>
    </row>
    <row r="7" spans="1:6" ht="13" customHeight="1">
      <c r="A7" s="24" t="s">
        <v>23</v>
      </c>
      <c r="B7" s="47">
        <v>5.6399999999999999E-2</v>
      </c>
      <c r="C7" s="3"/>
      <c r="D7" s="3"/>
      <c r="E7" s="24" t="s">
        <v>185</v>
      </c>
      <c r="F7" s="47">
        <v>0.1041</v>
      </c>
    </row>
    <row r="8" spans="1:6" ht="13" customHeight="1">
      <c r="A8" s="24" t="s">
        <v>27</v>
      </c>
      <c r="B8" s="47">
        <v>5.3100000000000001E-2</v>
      </c>
      <c r="C8" s="3"/>
      <c r="D8" s="3"/>
      <c r="E8" s="24" t="s">
        <v>184</v>
      </c>
      <c r="F8" s="47">
        <v>9.8299999999999998E-2</v>
      </c>
    </row>
    <row r="9" spans="1:6" ht="13" customHeight="1">
      <c r="A9" s="24" t="s">
        <v>30</v>
      </c>
      <c r="B9" s="47">
        <v>3.9699999999999999E-2</v>
      </c>
      <c r="C9" s="3"/>
      <c r="D9" s="3"/>
      <c r="E9" s="24" t="s">
        <v>183</v>
      </c>
      <c r="F9" s="47">
        <v>9.4200000000000006E-2</v>
      </c>
    </row>
    <row r="10" spans="1:6" ht="13" customHeight="1">
      <c r="A10" s="24" t="s">
        <v>33</v>
      </c>
      <c r="B10" s="47">
        <v>3.8899999999999997E-2</v>
      </c>
      <c r="C10" s="3"/>
      <c r="D10" s="3"/>
      <c r="E10" s="24" t="s">
        <v>83</v>
      </c>
      <c r="F10" s="47">
        <v>4.5999999999999999E-2</v>
      </c>
    </row>
    <row r="11" spans="1:6" ht="13" customHeight="1">
      <c r="A11" s="24" t="s">
        <v>37</v>
      </c>
      <c r="B11" s="47">
        <v>3.5900000000000001E-2</v>
      </c>
      <c r="C11" s="3"/>
      <c r="D11" s="3"/>
      <c r="E11" s="24" t="s">
        <v>35</v>
      </c>
      <c r="F11" s="47">
        <v>3.8899999999999997E-2</v>
      </c>
    </row>
    <row r="12" spans="1:6" ht="13" customHeight="1">
      <c r="A12" s="24" t="s">
        <v>41</v>
      </c>
      <c r="B12" s="47">
        <v>3.4500000000000003E-2</v>
      </c>
      <c r="C12" s="3"/>
      <c r="D12" s="3"/>
      <c r="E12" s="24" t="s">
        <v>182</v>
      </c>
      <c r="F12" s="47">
        <v>3.5900000000000001E-2</v>
      </c>
    </row>
    <row r="13" spans="1:6" ht="13" customHeight="1">
      <c r="A13" s="24" t="s">
        <v>44</v>
      </c>
      <c r="B13" s="47">
        <v>2.98E-2</v>
      </c>
      <c r="C13" s="3"/>
      <c r="D13" s="3"/>
      <c r="E13" s="24" t="s">
        <v>181</v>
      </c>
      <c r="F13" s="47">
        <v>3.1300000000000001E-2</v>
      </c>
    </row>
    <row r="14" spans="1:6" ht="13" customHeight="1">
      <c r="A14" s="24" t="s">
        <v>48</v>
      </c>
      <c r="B14" s="47">
        <v>2.8400000000000002E-2</v>
      </c>
      <c r="C14" s="3"/>
      <c r="D14" s="3"/>
      <c r="E14" s="24" t="s">
        <v>180</v>
      </c>
      <c r="F14" s="47">
        <v>3.0700000000000002E-2</v>
      </c>
    </row>
    <row r="15" spans="1:6" ht="13" customHeight="1">
      <c r="A15" s="3"/>
      <c r="B15" s="3"/>
      <c r="C15" s="3"/>
      <c r="D15" s="3"/>
      <c r="E15" s="24" t="s">
        <v>179</v>
      </c>
      <c r="F15" s="47">
        <v>2.53E-2</v>
      </c>
    </row>
    <row r="16" spans="1:6" ht="13" customHeight="1">
      <c r="A16" s="3"/>
      <c r="B16" s="3"/>
      <c r="C16" s="3"/>
      <c r="D16" s="3"/>
      <c r="E16" s="24" t="s">
        <v>178</v>
      </c>
      <c r="F16" s="47">
        <v>1.89E-2</v>
      </c>
    </row>
    <row r="17" spans="1:6" ht="13" customHeight="1">
      <c r="A17" s="3"/>
      <c r="B17" s="3"/>
      <c r="C17" s="3"/>
      <c r="D17" s="3"/>
      <c r="E17" s="24" t="s">
        <v>177</v>
      </c>
      <c r="F17" s="47">
        <v>1.2200000000000001E-2</v>
      </c>
    </row>
    <row r="18" spans="1:6" ht="13" customHeight="1">
      <c r="A18" s="3"/>
      <c r="B18" s="3"/>
      <c r="C18" s="3"/>
      <c r="D18" s="3"/>
      <c r="E18" s="24" t="s">
        <v>176</v>
      </c>
      <c r="F18" s="47">
        <v>8.6E-3</v>
      </c>
    </row>
    <row r="19" spans="1:6" ht="13" customHeight="1">
      <c r="A19" s="3"/>
      <c r="B19" s="3"/>
      <c r="C19" s="3"/>
      <c r="D19" s="3"/>
      <c r="E19" s="24" t="s">
        <v>175</v>
      </c>
      <c r="F19" s="47">
        <v>-1.12E-2</v>
      </c>
    </row>
    <row r="20" spans="1:6" ht="13" customHeight="1">
      <c r="A20" s="3"/>
      <c r="B20" s="3"/>
      <c r="C20" s="3"/>
      <c r="D20" s="3"/>
      <c r="E20" s="46" t="s">
        <v>174</v>
      </c>
      <c r="F20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Harshali-Milind Naik</dc:creator>
  <cp:lastModifiedBy>Gurav, Akshay</cp:lastModifiedBy>
  <dcterms:created xsi:type="dcterms:W3CDTF">2024-06-12T10:30:55Z</dcterms:created>
  <dcterms:modified xsi:type="dcterms:W3CDTF">2024-06-12T11:02:03Z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2024-06-12T10:33:46Z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ab6285b8-bca6-4c83-a347-bf4ebb7e8578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