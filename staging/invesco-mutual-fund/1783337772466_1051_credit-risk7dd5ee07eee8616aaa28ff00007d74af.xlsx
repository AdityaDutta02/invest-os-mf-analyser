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3\"/>
    </mc:Choice>
  </mc:AlternateContent>
  <xr:revisionPtr revIDLastSave="0" documentId="13_ncr:1_{33D26356-CE3D-4D42-8EE5-138F9B8A5803}" xr6:coauthVersionLast="47" xr6:coauthVersionMax="47" xr10:uidLastSave="{00000000-0000-0000-0000-000000000000}"/>
  <bookViews>
    <workbookView xWindow="-110" yWindow="-110" windowWidth="19420" windowHeight="10420" xr2:uid="{BC57E999-B794-4A06-9026-AB02E5886470}"/>
  </bookViews>
  <sheets>
    <sheet name="Credit Risk" sheetId="1" r:id="rId1"/>
    <sheet name="RICB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xlnm._FilterDatabase" localSheetId="0" hidden="1">'Credit Risk'!$B$5:$H$33</definedName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 localSheetId="1">RICBOF!$A$1</definedName>
    <definedName name="JR_PAGE_ANCHOR_0_23">'Credit Risk'!$A$1</definedName>
    <definedName name="JR_PAGE_ANCHOR_0_3">[16]IESF!$A$1</definedName>
    <definedName name="JR_PAGE_ANCHOR_0_4">[17]IESGEF!$A$1</definedName>
    <definedName name="JR_PAGE_ANCHOR_0_5">[18]IFCF!$A$1</definedName>
    <definedName name="JR_PAGE_ANCHOR_0_6">[19]IFEF!$A$1</definedName>
    <definedName name="JR_PAGE_ANCHOR_0_7">[20]IGCTFOF!$A$1</definedName>
    <definedName name="JR_PAGE_ANCHOR_0_8">[21]IMDF!$A$1</definedName>
    <definedName name="JR_PAGE_ANCHOR_0_9">[22]IOF!$A$1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1" l="1"/>
</calcChain>
</file>

<file path=xl/sharedStrings.xml><?xml version="1.0" encoding="utf-8"?>
<sst xmlns="http://schemas.openxmlformats.org/spreadsheetml/2006/main" count="134" uniqueCount="114">
  <si>
    <t>RICBOF</t>
  </si>
  <si>
    <t>INVESCO MUTUAL FUND</t>
  </si>
  <si>
    <t>Monthly Portfolio Statement as on January 31, 2023</t>
  </si>
  <si>
    <t>Invesco India Credit Risk Fund (An open ended debt scheme predominantly investing in AA and below rated corporate bonds (excluding AA+ rated corporate bonds). 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</si>
  <si>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</si>
  <si>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</si>
  <si>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</si>
  <si>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</si>
  <si>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</si>
  <si>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</si>
  <si>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</si>
  <si>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</si>
  <si>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</si>
  <si>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AAHF87</t>
  </si>
  <si>
    <t>9.15% Aadhar Housing Finance Limited 2023 **</t>
  </si>
  <si>
    <t>INE883F07165</t>
  </si>
  <si>
    <t>CARE AA</t>
  </si>
  <si>
    <t>MNGF314</t>
  </si>
  <si>
    <t>9.25% Manappuram Finance Limited 2023 **</t>
  </si>
  <si>
    <t>INE522D07BH9</t>
  </si>
  <si>
    <t>CRISIL AA</t>
  </si>
  <si>
    <t>TPOW182</t>
  </si>
  <si>
    <t>8.84% Tata Power Company Limited 2023 **</t>
  </si>
  <si>
    <t>INE245A08166</t>
  </si>
  <si>
    <t>FITCH AA</t>
  </si>
  <si>
    <t>CENT233</t>
  </si>
  <si>
    <t>7.95% Century Textiles &amp; Industries Limited 2023 **</t>
  </si>
  <si>
    <t>INE055A07096</t>
  </si>
  <si>
    <t>GOSL273</t>
  </si>
  <si>
    <t>6.24% Godrej Industries Limited 2023 **</t>
  </si>
  <si>
    <t>INE233A08022</t>
  </si>
  <si>
    <t>GOI3639</t>
  </si>
  <si>
    <t>5.74% Government of India 2026</t>
  </si>
  <si>
    <t>IN0020210186</t>
  </si>
  <si>
    <t>SOVEREIGN</t>
  </si>
  <si>
    <t>IDFC548</t>
  </si>
  <si>
    <t>8.75% IDFC First Bank Limited 2023 **</t>
  </si>
  <si>
    <t>INE092T08CA0</t>
  </si>
  <si>
    <t>ICRA AA</t>
  </si>
  <si>
    <t>GOI2335</t>
  </si>
  <si>
    <t>6.45% Government of India 2029</t>
  </si>
  <si>
    <t>IN0020190362</t>
  </si>
  <si>
    <t>GOI4485</t>
  </si>
  <si>
    <t>7.38% Government of India 2027</t>
  </si>
  <si>
    <t>IN0020220037</t>
  </si>
  <si>
    <t>GOI658</t>
  </si>
  <si>
    <t>7.35% Government of India 2024</t>
  </si>
  <si>
    <t>IN0020090034</t>
  </si>
  <si>
    <t>SHEB129</t>
  </si>
  <si>
    <t>7% Tata Motors Finance Limited 2023 **</t>
  </si>
  <si>
    <t>INE601U08200</t>
  </si>
  <si>
    <t>CRISIL AA-</t>
  </si>
  <si>
    <t>GOI4491</t>
  </si>
  <si>
    <t>6.69% Government of India 2024</t>
  </si>
  <si>
    <t>IN0020220052</t>
  </si>
  <si>
    <t>GOI2491</t>
  </si>
  <si>
    <t>5.22% Government of India 2025</t>
  </si>
  <si>
    <t>IN0020200112</t>
  </si>
  <si>
    <t>GOI3103</t>
  </si>
  <si>
    <t>5.63% Government of India 2026</t>
  </si>
  <si>
    <t>IN0020210012</t>
  </si>
  <si>
    <t>OPAL34</t>
  </si>
  <si>
    <t>6.63% ONGC Petro Additions Limited 2024 **</t>
  </si>
  <si>
    <t>INE163N08180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</si>
  <si>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</si>
  <si>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</si>
  <si>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</si>
  <si>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</si>
  <si>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</si>
  <si>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</si>
  <si>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TRP_010223</t>
  </si>
  <si>
    <t>Triparty Repo</t>
  </si>
  <si>
    <t>Net Receivables / (Payables)</t>
  </si>
  <si>
    <t>GRAND TOTAL</t>
  </si>
  <si>
    <t>**  Non Traded Security</t>
  </si>
  <si>
    <t>Notes :</t>
  </si>
  <si>
    <t>(1)  Details of security defaulted beyond it's maturity date is as follows:</t>
  </si>
  <si>
    <t>Name of the security</t>
  </si>
  <si>
    <t>Value recognized in NAV 
As on Jan 31 , 2023</t>
  </si>
  <si>
    <t>% to NAV
As on Jan 31 , 2023</t>
  </si>
  <si>
    <t>Amount due to the scheme (Rs Lacs)</t>
  </si>
  <si>
    <t>10.70% Sintex Ind Ltd NCD (MD30/09/21)P/C 30/09/19</t>
  </si>
  <si>
    <t>INE429C07057</t>
  </si>
  <si>
    <t xml:space="preserve">(2)  Total Value and percentage of illiquid equity shares: Nil </t>
  </si>
  <si>
    <t xml:space="preserve">(3)  Total outstanding exposure in derivative instruments as on January 31, 2023: Nil	</t>
  </si>
  <si>
    <t>(4)  Total investments in Foreign Securities / Overseas ETFs as on January 31, 2023 and its percentage to NAV : Nil</t>
  </si>
  <si>
    <t>(6)  Deviation from the valuation prices given by valuation agencies during the month ended January 31, 2023: Nil</t>
  </si>
  <si>
    <t>BENCHMARK NAME - NIFTY CREDIT RISK BOND INDEX C-III</t>
  </si>
  <si>
    <t>SCHEME RISK-O-METER</t>
  </si>
  <si>
    <t>BENCHMARK RISK-O-METER</t>
  </si>
  <si>
    <t>ONGC Petro Additions Limited</t>
  </si>
  <si>
    <t>Grand Total</t>
  </si>
  <si>
    <t>Tata Motors Finance Limited</t>
  </si>
  <si>
    <t>Chemicals</t>
  </si>
  <si>
    <t>IDFC First Bank Limited</t>
  </si>
  <si>
    <t>Cash &amp; Cash Equivalent:</t>
  </si>
  <si>
    <t>Godrej Industries Limited</t>
  </si>
  <si>
    <t>Diversified</t>
  </si>
  <si>
    <t>Tata Power Company Limited</t>
  </si>
  <si>
    <t>Power</t>
  </si>
  <si>
    <t>Century Textiles &amp; Industries Limited</t>
  </si>
  <si>
    <t>Forest Materials</t>
  </si>
  <si>
    <t>Manappuram Finance Limited</t>
  </si>
  <si>
    <t>Others</t>
  </si>
  <si>
    <t>Aadhar Housing Finance Limited</t>
  </si>
  <si>
    <t>Financial Services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</si>
  <si>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</si>
  <si>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</si>
  <si>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</si>
  <si>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</si>
  <si>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</si>
  <si>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</si>
  <si>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</si>
  <si>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Credit Risk Fund (An open ended debt scheme predominantly investing in AA and below rated corporate bonds (excluding AA+ rated corporate bonds). 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</si>
</sst>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b/>
      <sz val="9"/>
      <name val="SansSerif"/>
    </font>
    <font>
      <sz val="9"/>
      <color theme="1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 applyNumberFormat="0" applyFont="0" applyFill="0" applyBorder="0" applyAlignment="0" applyProtection="0"/>
    <xf numFmtId="0" fontId="1" fillId="0" borderId="0"/>
  </cellStyleXfs>
  <cellXfs count="5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" fillId="0" borderId="0" xfId="2"/>
    <xf numFmtId="0" fontId="10" fillId="0" borderId="18" xfId="1" applyFont="1" applyBorder="1" applyAlignment="1">
      <alignment horizontal="left" vertical="center" wrapText="1"/>
    </xf>
    <xf numFmtId="0" fontId="10" fillId="0" borderId="18" xfId="2" applyFont="1" applyBorder="1" applyAlignment="1">
      <alignment horizontal="center" vertical="center" wrapText="1"/>
    </xf>
    <xf numFmtId="0" fontId="10" fillId="0" borderId="18" xfId="2" applyFont="1" applyBorder="1" applyAlignment="1">
      <alignment horizontal="center" vertical="top" wrapText="1"/>
    </xf>
    <xf numFmtId="0" fontId="11" fillId="0" borderId="18" xfId="1" applyFont="1" applyBorder="1" applyAlignment="1">
      <alignment horizontal="center" vertical="top" wrapText="1"/>
    </xf>
    <xf numFmtId="4" fontId="11" fillId="0" borderId="18" xfId="1" applyNumberFormat="1" applyFont="1" applyFill="1" applyBorder="1" applyAlignment="1">
      <alignment horizontal="center" vertical="top" wrapText="1"/>
    </xf>
    <xf numFmtId="0" fontId="9" fillId="0" borderId="18" xfId="2" applyFont="1" applyBorder="1" applyAlignment="1">
      <alignment horizontal="left" vertical="top" wrapText="1"/>
    </xf>
    <xf numFmtId="4" fontId="9" fillId="0" borderId="18" xfId="2" applyNumberFormat="1" applyFont="1" applyBorder="1" applyAlignment="1">
      <alignment horizontal="center" vertical="top" wrapText="1"/>
    </xf>
    <xf numFmtId="4" fontId="12" fillId="0" borderId="18" xfId="2" applyNumberFormat="1" applyFont="1" applyBorder="1" applyAlignment="1">
      <alignment horizontal="center" vertical="top" wrapText="1"/>
    </xf>
    <xf numFmtId="165" fontId="9" fillId="0" borderId="18" xfId="2" applyNumberFormat="1" applyFont="1" applyBorder="1" applyAlignment="1">
      <alignment horizontal="right" vertical="top" wrapText="1"/>
    </xf>
    <xf numFmtId="0" fontId="9" fillId="0" borderId="0" xfId="2" applyFont="1" applyAlignment="1">
      <alignment horizontal="left" vertical="top" wrapText="1"/>
    </xf>
    <xf numFmtId="4" fontId="9" fillId="0" borderId="0" xfId="2" applyNumberFormat="1" applyFont="1" applyAlignment="1">
      <alignment horizontal="center" vertical="top" wrapText="1"/>
    </xf>
    <xf numFmtId="4" fontId="12" fillId="0" borderId="0" xfId="2" applyNumberFormat="1" applyFont="1" applyAlignment="1">
      <alignment horizontal="center" vertical="top" wrapText="1"/>
    </xf>
    <xf numFmtId="165" fontId="9" fillId="0" borderId="0" xfId="2" applyNumberFormat="1" applyFont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1" xr:uid="{CA147382-641B-4912-BF88-7975A4F719C9}"/>
    <cellStyle name="Normal 4" xfId="2" xr:uid="{BB662483-072D-426B-B84C-C0CF29AD16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51</xdr:row>
      <xdr:rowOff>0</xdr:rowOff>
    </xdr:from>
    <xdr:to>
      <xdr:col>1</xdr:col>
      <xdr:colOff>2857500</xdr:colOff>
      <xdr:row>61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B4439F-CA7F-4C54-A8A5-1F010A4EF2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90741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8</xdr:col>
      <xdr:colOff>241300</xdr:colOff>
      <xdr:row>61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9CACF3-6234-4AD0-AB6E-E544CEE6A8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8250" y="90741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0E1D1-324A-4C62-B4D0-B6D9D9B252E2}">
  <sheetPr codeName="Sheet31">
    <outlinePr summaryBelow="0"/>
  </sheetPr>
  <dimension ref="A1:H50"/>
  <sheetViews>
    <sheetView showGridLines="0" tabSelected="1" workbookViewId="0"/>
  </sheetViews>
  <sheetFormatPr defaultRowHeight="14.5"/>
  <cols>
    <col min="1" max="1" width="4.08984375" customWidth="1"/>
    <col min="2" max="2" width="54" customWidth="1"/>
    <col min="3" max="3" width="15.6328125" customWidth="1"/>
    <col min="4" max="4" width="23.26953125" customWidth="1"/>
    <col min="5" max="5" width="11.6328125" customWidth="1"/>
    <col min="6" max="6" width="18.08984375" customWidth="1"/>
    <col min="7" max="7" width="10.90625" customWidth="1"/>
    <col min="8" max="8" width="8.453125" customWidth="1"/>
  </cols>
  <sheetData>
    <row r="1" spans="1:8" ht="20.149999999999999" customHeight="1">
      <c r="A1" s="1" t="s">
        <v>0</v>
      </c>
      <c r="B1" s="51" t="s">
        <v>1</v>
      </c>
      <c r="C1" s="51"/>
      <c r="D1" s="51"/>
      <c r="E1" s="51"/>
      <c r="F1" s="51"/>
      <c r="G1" s="51"/>
      <c r="H1" s="51"/>
    </row>
    <row r="2" spans="1:8" ht="20.149999999999999" customHeight="1">
      <c r="A2" s="2"/>
      <c r="B2" s="51" t="s">
        <v>2</v>
      </c>
      <c r="C2" s="51"/>
      <c r="D2" s="51"/>
      <c r="E2" s="51"/>
      <c r="F2" s="51"/>
      <c r="G2" s="51"/>
      <c r="H2" s="51"/>
    </row>
    <row r="3" spans="1:8" ht="20.149999999999999" customHeight="1">
      <c r="A3" s="2"/>
      <c r="B3" s="51" t="s">
        <v>3</v>
      </c>
      <c r="C3" s="51"/>
      <c r="D3" s="51"/>
      <c r="E3" s="51"/>
      <c r="F3" s="51"/>
      <c r="G3" s="51"/>
      <c r="H3" s="51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1210000</v>
      </c>
      <c r="F8" s="14">
        <v>1213.8800000000001</v>
      </c>
      <c r="G8" s="14">
        <v>9.33</v>
      </c>
      <c r="H8" s="15">
        <v>8.3293000000000006E-2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1000000</v>
      </c>
      <c r="F9" s="14">
        <v>1001.73</v>
      </c>
      <c r="G9" s="14">
        <v>7.7</v>
      </c>
      <c r="H9" s="15">
        <v>7.4801999999999993E-2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1000000</v>
      </c>
      <c r="F10" s="14">
        <v>1000.52</v>
      </c>
      <c r="G10" s="14">
        <v>7.69</v>
      </c>
      <c r="H10" s="15">
        <v>7.2848999999999997E-2</v>
      </c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20</v>
      </c>
      <c r="E11" s="13">
        <v>1000000</v>
      </c>
      <c r="F11" s="14">
        <v>1000.02</v>
      </c>
      <c r="G11" s="14">
        <v>7.69</v>
      </c>
      <c r="H11" s="15">
        <v>7.1263999999999994E-2</v>
      </c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20</v>
      </c>
      <c r="E12" s="13">
        <v>1000000</v>
      </c>
      <c r="F12" s="14">
        <v>991.56</v>
      </c>
      <c r="G12" s="14">
        <v>7.62</v>
      </c>
      <c r="H12" s="15">
        <v>7.9250000000000001E-2</v>
      </c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1000000</v>
      </c>
      <c r="F13" s="14">
        <v>952.51</v>
      </c>
      <c r="G13" s="14">
        <v>7.32</v>
      </c>
      <c r="H13" s="15">
        <v>7.3197999999999999E-2</v>
      </c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850000</v>
      </c>
      <c r="F14" s="14">
        <v>850.84</v>
      </c>
      <c r="G14" s="14">
        <v>6.54</v>
      </c>
      <c r="H14" s="15">
        <v>8.1699999999999995E-2</v>
      </c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34</v>
      </c>
      <c r="E15" s="13">
        <v>850000</v>
      </c>
      <c r="F15" s="14">
        <v>811.12</v>
      </c>
      <c r="G15" s="14">
        <v>6.23</v>
      </c>
      <c r="H15" s="15">
        <v>7.4571999999999999E-2</v>
      </c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34</v>
      </c>
      <c r="E16" s="13">
        <v>500000</v>
      </c>
      <c r="F16" s="14">
        <v>502.85</v>
      </c>
      <c r="G16" s="14">
        <v>3.87</v>
      </c>
      <c r="H16" s="15">
        <v>7.3527999999999996E-2</v>
      </c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34</v>
      </c>
      <c r="E17" s="13">
        <v>500000</v>
      </c>
      <c r="F17" s="14">
        <v>501.97</v>
      </c>
      <c r="G17" s="14">
        <v>3.86</v>
      </c>
      <c r="H17" s="15">
        <v>7.1617E-2</v>
      </c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51</v>
      </c>
      <c r="E18" s="13">
        <v>500000</v>
      </c>
      <c r="F18" s="14">
        <v>499.67</v>
      </c>
      <c r="G18" s="14">
        <v>3.84</v>
      </c>
      <c r="H18" s="15">
        <v>7.4498999999999996E-2</v>
      </c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34</v>
      </c>
      <c r="E19" s="13">
        <v>500000</v>
      </c>
      <c r="F19" s="14">
        <v>498</v>
      </c>
      <c r="G19" s="14">
        <v>3.83</v>
      </c>
      <c r="H19" s="15">
        <v>7.1096000000000006E-2</v>
      </c>
    </row>
    <row r="20" spans="1:8" ht="13" customHeight="1">
      <c r="A20" s="1" t="s">
        <v>55</v>
      </c>
      <c r="B20" s="11" t="s">
        <v>56</v>
      </c>
      <c r="C20" s="12" t="s">
        <v>57</v>
      </c>
      <c r="D20" s="8" t="s">
        <v>34</v>
      </c>
      <c r="E20" s="13">
        <v>500000</v>
      </c>
      <c r="F20" s="14">
        <v>480.01</v>
      </c>
      <c r="G20" s="14">
        <v>3.69</v>
      </c>
      <c r="H20" s="15">
        <v>7.2007000000000002E-2</v>
      </c>
    </row>
    <row r="21" spans="1:8" ht="13" customHeight="1">
      <c r="A21" s="1" t="s">
        <v>58</v>
      </c>
      <c r="B21" s="11" t="s">
        <v>59</v>
      </c>
      <c r="C21" s="12" t="s">
        <v>60</v>
      </c>
      <c r="D21" s="8" t="s">
        <v>34</v>
      </c>
      <c r="E21" s="13">
        <v>500000</v>
      </c>
      <c r="F21" s="14">
        <v>478.73</v>
      </c>
      <c r="G21" s="14">
        <v>3.68</v>
      </c>
      <c r="H21" s="15">
        <v>7.2675000000000003E-2</v>
      </c>
    </row>
    <row r="22" spans="1:8" ht="13" customHeight="1">
      <c r="A22" s="1" t="s">
        <v>61</v>
      </c>
      <c r="B22" s="11" t="s">
        <v>62</v>
      </c>
      <c r="C22" s="12" t="s">
        <v>63</v>
      </c>
      <c r="D22" s="8" t="s">
        <v>38</v>
      </c>
      <c r="E22" s="13">
        <v>200000</v>
      </c>
      <c r="F22" s="14">
        <v>195.91</v>
      </c>
      <c r="G22" s="14">
        <v>1.51</v>
      </c>
      <c r="H22" s="15">
        <v>8.1523999999999999E-2</v>
      </c>
    </row>
    <row r="23" spans="1:8" ht="13" customHeight="1">
      <c r="A23" s="2"/>
      <c r="B23" s="7" t="s">
        <v>64</v>
      </c>
      <c r="C23" s="8"/>
      <c r="D23" s="8"/>
      <c r="E23" s="8"/>
      <c r="F23" s="16">
        <v>10979.32</v>
      </c>
      <c r="G23" s="16">
        <v>84.4</v>
      </c>
      <c r="H23" s="17"/>
    </row>
    <row r="24" spans="1:8" ht="13" customHeight="1">
      <c r="A24" s="2"/>
      <c r="B24" s="18" t="s">
        <v>65</v>
      </c>
      <c r="C24" s="19"/>
      <c r="D24" s="19"/>
      <c r="E24" s="20"/>
      <c r="F24" s="21" t="s">
        <v>66</v>
      </c>
      <c r="G24" s="21" t="s">
        <v>66</v>
      </c>
      <c r="H24" s="22" t="s">
        <v>66</v>
      </c>
    </row>
    <row r="25" spans="1:8" ht="13" customHeight="1">
      <c r="A25" s="2"/>
      <c r="B25" s="23" t="s">
        <v>64</v>
      </c>
      <c r="C25" s="24"/>
      <c r="D25" s="24"/>
      <c r="E25" s="21"/>
      <c r="F25" s="21" t="s">
        <v>66</v>
      </c>
      <c r="G25" s="21" t="s">
        <v>66</v>
      </c>
      <c r="H25" s="22" t="s">
        <v>66</v>
      </c>
    </row>
    <row r="26" spans="1:8" ht="13" customHeight="1">
      <c r="A26" s="2"/>
      <c r="B26" s="18" t="s">
        <v>67</v>
      </c>
      <c r="C26" s="19"/>
      <c r="D26" s="19"/>
      <c r="E26" s="25"/>
      <c r="F26" s="16">
        <v>10979.32</v>
      </c>
      <c r="G26" s="16">
        <v>84.4</v>
      </c>
      <c r="H26" s="22"/>
    </row>
    <row r="27" spans="1:8" ht="13" customHeight="1">
      <c r="A27" s="2"/>
      <c r="B27" s="7" t="s">
        <v>68</v>
      </c>
      <c r="C27" s="8"/>
      <c r="D27" s="8"/>
      <c r="E27" s="8"/>
      <c r="F27" s="8"/>
      <c r="G27" s="8"/>
      <c r="H27" s="9"/>
    </row>
    <row r="28" spans="1:8" ht="13" customHeight="1">
      <c r="A28" s="2"/>
      <c r="B28" s="7" t="s">
        <v>69</v>
      </c>
      <c r="C28" s="10"/>
      <c r="D28" s="10"/>
      <c r="E28" s="8"/>
      <c r="F28" s="8"/>
      <c r="G28" s="8"/>
      <c r="H28" s="9"/>
    </row>
    <row r="29" spans="1:8" ht="13" customHeight="1">
      <c r="A29" s="1" t="s">
        <v>70</v>
      </c>
      <c r="B29" s="11" t="s">
        <v>71</v>
      </c>
      <c r="C29" s="12"/>
      <c r="D29" s="8"/>
      <c r="E29" s="13"/>
      <c r="F29" s="14">
        <v>1521.8</v>
      </c>
      <c r="G29" s="14">
        <v>11.7</v>
      </c>
      <c r="H29" s="15">
        <v>6.3943068734393482E-2</v>
      </c>
    </row>
    <row r="30" spans="1:8" ht="13" customHeight="1">
      <c r="A30" s="2"/>
      <c r="B30" s="7" t="s">
        <v>64</v>
      </c>
      <c r="C30" s="8"/>
      <c r="D30" s="8"/>
      <c r="E30" s="8"/>
      <c r="F30" s="16">
        <v>1521.8</v>
      </c>
      <c r="G30" s="16">
        <v>11.7</v>
      </c>
      <c r="H30" s="17"/>
    </row>
    <row r="31" spans="1:8" ht="13" customHeight="1">
      <c r="A31" s="2"/>
      <c r="B31" s="18" t="s">
        <v>67</v>
      </c>
      <c r="C31" s="19"/>
      <c r="D31" s="19"/>
      <c r="E31" s="25"/>
      <c r="F31" s="16">
        <v>1521.8</v>
      </c>
      <c r="G31" s="16">
        <v>11.7</v>
      </c>
      <c r="H31" s="22"/>
    </row>
    <row r="32" spans="1:8" ht="13" customHeight="1">
      <c r="A32" s="2"/>
      <c r="B32" s="18" t="s">
        <v>72</v>
      </c>
      <c r="C32" s="19"/>
      <c r="D32" s="19"/>
      <c r="E32" s="8"/>
      <c r="F32" s="16">
        <v>508.05</v>
      </c>
      <c r="G32" s="16">
        <v>3.9</v>
      </c>
      <c r="H32" s="22"/>
    </row>
    <row r="33" spans="1:8" ht="13" customHeight="1" thickBot="1">
      <c r="A33" s="2"/>
      <c r="B33" s="26" t="s">
        <v>73</v>
      </c>
      <c r="C33" s="27"/>
      <c r="D33" s="27"/>
      <c r="E33" s="27"/>
      <c r="F33" s="28">
        <v>13009.17</v>
      </c>
      <c r="G33" s="29">
        <v>100</v>
      </c>
      <c r="H33" s="30"/>
    </row>
    <row r="34" spans="1:8" ht="13" customHeight="1">
      <c r="A34" s="2"/>
      <c r="B34" s="49"/>
      <c r="C34" s="49"/>
      <c r="D34" s="49"/>
      <c r="E34" s="49"/>
      <c r="F34" s="2"/>
      <c r="G34" s="2"/>
      <c r="H34" s="2"/>
    </row>
    <row r="35" spans="1:8" ht="13" customHeight="1">
      <c r="A35" s="2"/>
      <c r="B35" s="49"/>
      <c r="C35" s="49"/>
      <c r="D35" s="49"/>
      <c r="E35" s="49"/>
      <c r="F35" s="2"/>
      <c r="G35" s="2"/>
      <c r="H35" s="2"/>
    </row>
    <row r="36" spans="1:8" ht="13" customHeight="1">
      <c r="A36" s="2"/>
      <c r="B36" s="49"/>
      <c r="C36" s="49"/>
      <c r="D36" s="49"/>
      <c r="E36" s="49"/>
      <c r="F36" s="2"/>
      <c r="G36" s="2"/>
      <c r="H36" s="2"/>
    </row>
    <row r="37" spans="1:8" ht="13" customHeight="1">
      <c r="A37" s="2"/>
      <c r="B37" s="48"/>
      <c r="C37" s="48"/>
      <c r="D37" s="48"/>
      <c r="E37" s="48"/>
      <c r="F37" s="2"/>
      <c r="G37" s="2"/>
      <c r="H37" s="2"/>
    </row>
    <row r="38" spans="1:8" ht="13" customHeight="1">
      <c r="A38" s="2"/>
      <c r="B38" s="49" t="s">
        <v>74</v>
      </c>
      <c r="C38" s="49"/>
      <c r="D38" s="49"/>
      <c r="E38" s="49"/>
      <c r="F38" s="2"/>
      <c r="G38" s="2"/>
      <c r="H38" s="2"/>
    </row>
    <row r="39" spans="1:8" ht="13" customHeight="1">
      <c r="A39" s="2"/>
      <c r="B39" s="47"/>
      <c r="C39" s="47"/>
      <c r="D39" s="47"/>
      <c r="E39" s="47"/>
      <c r="F39" s="2"/>
      <c r="G39" s="2"/>
      <c r="H39" s="2"/>
    </row>
    <row r="40" spans="1:8" ht="13" customHeight="1">
      <c r="A40" s="2"/>
      <c r="B40" s="49" t="s">
        <v>75</v>
      </c>
      <c r="C40" s="49"/>
      <c r="D40" s="49"/>
      <c r="E40" s="49"/>
      <c r="F40" s="2"/>
      <c r="G40" s="2"/>
      <c r="H40" s="2"/>
    </row>
    <row r="41" spans="1:8" ht="13" customHeight="1">
      <c r="A41" s="2"/>
      <c r="B41" s="50" t="s">
        <v>76</v>
      </c>
      <c r="C41" s="50"/>
      <c r="D41" s="32"/>
      <c r="E41" s="32"/>
      <c r="F41" s="2"/>
      <c r="G41" s="2"/>
      <c r="H41" s="2"/>
    </row>
    <row r="42" spans="1:8" ht="24" customHeight="1">
      <c r="A42" s="2"/>
      <c r="B42" s="33" t="s">
        <v>77</v>
      </c>
      <c r="C42" s="34" t="s">
        <v>5</v>
      </c>
      <c r="D42" s="35" t="s">
        <v>78</v>
      </c>
      <c r="E42" s="36" t="s">
        <v>79</v>
      </c>
      <c r="F42" s="37" t="s">
        <v>80</v>
      </c>
      <c r="G42" s="2"/>
      <c r="H42" s="2"/>
    </row>
    <row r="43" spans="1:8" ht="13" customHeight="1">
      <c r="A43" s="2"/>
      <c r="B43" s="38" t="s">
        <v>81</v>
      </c>
      <c r="C43" s="38" t="s">
        <v>82</v>
      </c>
      <c r="D43" s="39">
        <v>4.9849234000000004</v>
      </c>
      <c r="E43" s="40">
        <f>+D43*100/F33</f>
        <v>3.8318535310092806E-2</v>
      </c>
      <c r="F43" s="41">
        <v>1184.9999919000002</v>
      </c>
      <c r="G43" s="2"/>
      <c r="H43" s="2"/>
    </row>
    <row r="44" spans="1:8" ht="13" customHeight="1">
      <c r="A44" s="2"/>
      <c r="B44" s="42"/>
      <c r="C44" s="42"/>
      <c r="D44" s="43"/>
      <c r="E44" s="44"/>
      <c r="F44" s="45"/>
      <c r="G44" s="2"/>
      <c r="H44" s="2"/>
    </row>
    <row r="45" spans="1:8" ht="13" customHeight="1">
      <c r="A45" s="2"/>
      <c r="B45" s="47" t="s">
        <v>83</v>
      </c>
      <c r="C45" s="47"/>
      <c r="D45" s="47"/>
      <c r="E45" s="47"/>
      <c r="F45" s="2"/>
      <c r="G45" s="2"/>
      <c r="H45" s="2"/>
    </row>
    <row r="46" spans="1:8" ht="13" customHeight="1">
      <c r="A46" s="2"/>
      <c r="B46" s="47" t="s">
        <v>84</v>
      </c>
      <c r="C46" s="47"/>
      <c r="D46" s="47"/>
      <c r="E46" s="47"/>
      <c r="F46" s="2"/>
      <c r="G46" s="2"/>
      <c r="H46" s="2"/>
    </row>
    <row r="47" spans="1:8" ht="13" customHeight="1">
      <c r="A47" s="2"/>
      <c r="B47" s="47" t="s">
        <v>85</v>
      </c>
      <c r="C47" s="47"/>
      <c r="D47" s="47"/>
      <c r="E47" s="47"/>
      <c r="F47" s="2"/>
      <c r="G47" s="2"/>
      <c r="H47" s="2"/>
    </row>
    <row r="48" spans="1:8" ht="13" customHeight="1">
      <c r="A48" s="2"/>
      <c r="B48" s="47" t="s">
        <v>86</v>
      </c>
      <c r="C48" s="47"/>
      <c r="D48" s="47"/>
      <c r="E48" s="47"/>
      <c r="F48" s="2"/>
      <c r="G48" s="2"/>
      <c r="H48" s="2"/>
    </row>
    <row r="49" spans="2:6">
      <c r="F49" s="46" t="s">
        <v>87</v>
      </c>
    </row>
    <row r="50" spans="2:6">
      <c r="B50" s="46" t="s">
        <v>88</v>
      </c>
      <c r="F50" s="46" t="s">
        <v>89</v>
      </c>
    </row>
  </sheetData>
  <mergeCells count="15">
    <mergeCell ref="B36:E36"/>
    <mergeCell ref="B1:H1"/>
    <mergeCell ref="B2:H2"/>
    <mergeCell ref="B3:H3"/>
    <mergeCell ref="B34:E34"/>
    <mergeCell ref="B35:E35"/>
    <mergeCell ref="B46:E46"/>
    <mergeCell ref="B47:E47"/>
    <mergeCell ref="B48:E48"/>
    <mergeCell ref="B37:E37"/>
    <mergeCell ref="B38:E38"/>
    <mergeCell ref="B39:E39"/>
    <mergeCell ref="B40:E40"/>
    <mergeCell ref="B41:C41"/>
    <mergeCell ref="B45:E4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73778-626C-4533-AA95-E21A3E9E4811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9" t="s">
        <v>113</v>
      </c>
      <c r="B1" s="49"/>
      <c r="C1" s="49"/>
      <c r="D1" s="56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55" t="s">
        <v>112</v>
      </c>
      <c r="B3" s="55"/>
      <c r="C3" s="2"/>
      <c r="D3" s="2"/>
      <c r="E3" s="55" t="s">
        <v>111</v>
      </c>
      <c r="F3" s="55"/>
    </row>
    <row r="4" spans="1:6" ht="13" customHeight="1">
      <c r="A4" s="54" t="s">
        <v>110</v>
      </c>
      <c r="B4" s="54" t="s">
        <v>9</v>
      </c>
      <c r="C4" s="2"/>
      <c r="D4" s="2"/>
      <c r="E4" s="54" t="s">
        <v>109</v>
      </c>
      <c r="F4" s="54" t="s">
        <v>108</v>
      </c>
    </row>
    <row r="5" spans="1:6" ht="13" customHeight="1">
      <c r="A5" s="19" t="s">
        <v>107</v>
      </c>
      <c r="B5" s="52">
        <v>0.32479999999999998</v>
      </c>
      <c r="C5" s="2"/>
      <c r="D5" s="2"/>
      <c r="E5" s="19" t="s">
        <v>107</v>
      </c>
      <c r="F5" s="52">
        <v>0.32479999999999998</v>
      </c>
    </row>
    <row r="6" spans="1:6" ht="13" customHeight="1">
      <c r="A6" s="19" t="s">
        <v>106</v>
      </c>
      <c r="B6" s="52">
        <v>0.11700000000000001</v>
      </c>
      <c r="C6" s="2"/>
      <c r="D6" s="2"/>
      <c r="E6" s="19" t="s">
        <v>105</v>
      </c>
      <c r="F6" s="52">
        <v>0.27410000000000001</v>
      </c>
    </row>
    <row r="7" spans="1:6" ht="13" customHeight="1">
      <c r="A7" s="19" t="s">
        <v>104</v>
      </c>
      <c r="B7" s="52">
        <v>9.3299999999999994E-2</v>
      </c>
      <c r="C7" s="2"/>
      <c r="D7" s="2"/>
      <c r="E7" s="19" t="s">
        <v>103</v>
      </c>
      <c r="F7" s="52">
        <v>0.11700000000000001</v>
      </c>
    </row>
    <row r="8" spans="1:6" ht="13" customHeight="1">
      <c r="A8" s="19" t="s">
        <v>102</v>
      </c>
      <c r="B8" s="52">
        <v>7.6999999999999999E-2</v>
      </c>
      <c r="C8" s="2"/>
      <c r="D8" s="2"/>
      <c r="E8" s="19" t="s">
        <v>101</v>
      </c>
      <c r="F8" s="52">
        <v>7.6899999999999996E-2</v>
      </c>
    </row>
    <row r="9" spans="1:6" ht="13" customHeight="1">
      <c r="A9" s="19" t="s">
        <v>100</v>
      </c>
      <c r="B9" s="52">
        <v>7.6899999999999996E-2</v>
      </c>
      <c r="C9" s="2"/>
      <c r="D9" s="2"/>
      <c r="E9" s="19" t="s">
        <v>99</v>
      </c>
      <c r="F9" s="52">
        <v>7.6899999999999996E-2</v>
      </c>
    </row>
    <row r="10" spans="1:6" ht="13" customHeight="1">
      <c r="A10" s="19" t="s">
        <v>98</v>
      </c>
      <c r="B10" s="52">
        <v>7.6899999999999996E-2</v>
      </c>
      <c r="C10" s="2"/>
      <c r="D10" s="2"/>
      <c r="E10" s="19" t="s">
        <v>97</v>
      </c>
      <c r="F10" s="52">
        <v>7.6200000000000004E-2</v>
      </c>
    </row>
    <row r="11" spans="1:6" ht="13" customHeight="1">
      <c r="A11" s="19" t="s">
        <v>96</v>
      </c>
      <c r="B11" s="52">
        <v>7.6200000000000004E-2</v>
      </c>
      <c r="C11" s="2"/>
      <c r="D11" s="2"/>
      <c r="E11" s="19" t="s">
        <v>95</v>
      </c>
      <c r="F11" s="52">
        <v>3.9100000000000003E-2</v>
      </c>
    </row>
    <row r="12" spans="1:6" ht="13" customHeight="1">
      <c r="A12" s="19" t="s">
        <v>94</v>
      </c>
      <c r="B12" s="52">
        <v>6.54E-2</v>
      </c>
      <c r="C12" s="2"/>
      <c r="D12" s="2"/>
      <c r="E12" s="19" t="s">
        <v>93</v>
      </c>
      <c r="F12" s="52">
        <v>1.5100000000000001E-2</v>
      </c>
    </row>
    <row r="13" spans="1:6" ht="13" customHeight="1">
      <c r="A13" s="19" t="s">
        <v>92</v>
      </c>
      <c r="B13" s="52">
        <v>3.8399999999999997E-2</v>
      </c>
      <c r="C13" s="2"/>
      <c r="D13" s="2"/>
      <c r="E13" s="54" t="s">
        <v>91</v>
      </c>
      <c r="F13" s="53">
        <v>1</v>
      </c>
    </row>
    <row r="14" spans="1:6" ht="13" customHeight="1">
      <c r="A14" s="19" t="s">
        <v>90</v>
      </c>
      <c r="B14" s="52">
        <v>1.5100000000000001E-2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Credit Risk</vt:lpstr>
      <vt:lpstr>RICBOF</vt:lpstr>
      <vt:lpstr>RICBOF!JR_PAGE_ANCHOR_0_23</vt:lpstr>
      <vt:lpstr>JR_PAGE_ANCHOR_0_23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2023-02-08T03:38:08Z</dcterms:created>
  <dcterms:modified xsi:type="dcterms:W3CDTF">2023-02-08T04:20:32Z</dcterms:modified>
</cp:coreProperties>
</file>