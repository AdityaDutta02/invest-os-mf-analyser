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C62AEACD-0E74-4BD6-AC66-6B1A15322E25}" xr6:coauthVersionLast="47" xr6:coauthVersionMax="47" xr10:uidLastSave="{00000000-0000-0000-0000-000000000000}"/>
  <bookViews>
    <workbookView xWindow="-110" yWindow="-110" windowWidth="19420" windowHeight="11500" xr2:uid="{154A002A-B9B4-466D-8F4F-947149786463}"/>
  </bookViews>
  <sheets>
    <sheet name="Focused Fund" sheetId="1" r:id="rId1"/>
    <sheet name="IFEF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 localSheetId="1">IFEF!$A$1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1" l="1"/>
  <c r="G44" i="1"/>
  <c r="F44" i="1"/>
  <c r="F45" i="1" s="1"/>
</calcChain>
</file>

<file path=xl/sharedStrings.xml><?xml version="1.0" encoding="utf-8"?>
<sst xmlns="http://schemas.openxmlformats.org/spreadsheetml/2006/main" count="173" uniqueCount="143">
  <si>
    <t>IFEF</t>
  </si>
  <si>
    <t>INVESCO MUTUAL FUND</t>
  </si>
  <si>
    <t>Monthly Portfolio Statement as on March 31, 2026</t>
  </si>
  <si>
    <t>Invesco India Focused Fund
(An open ended equity scheme investing in maximum 30 stocks across market capitalization (i.e. Multicap))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</si>
  <si>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</si>
  <si>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</si>
  <si>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</si>
  <si>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</si>
  <si>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</si>
  <si>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</si>
  <si>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</si>
  <si>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</si>
  <si>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</si>
  <si>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</si>
  <si>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</si>
  <si>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</si>
  <si>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</si>
  <si>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LARS02</t>
  </si>
  <si>
    <t>Larsen &amp; Toubro Limited</t>
  </si>
  <si>
    <t>INE018A01030</t>
  </si>
  <si>
    <t>Construction</t>
  </si>
  <si>
    <t>HDFB03</t>
  </si>
  <si>
    <t>HDFC Bank Limited</t>
  </si>
  <si>
    <t>INE040A01034</t>
  </si>
  <si>
    <t>INAV01</t>
  </si>
  <si>
    <t>InterGlobe Aviation Limited</t>
  </si>
  <si>
    <t>INE646L01027</t>
  </si>
  <si>
    <t>Transport Services</t>
  </si>
  <si>
    <t>ABBP01</t>
  </si>
  <si>
    <t>Hitachi Energy India Limited</t>
  </si>
  <si>
    <t>INE07Y701011</t>
  </si>
  <si>
    <t>Electrical Equipment</t>
  </si>
  <si>
    <t>AENP01</t>
  </si>
  <si>
    <t>Ather Energy Limited</t>
  </si>
  <si>
    <t>INE0LEZ01016</t>
  </si>
  <si>
    <t>Automobiles</t>
  </si>
  <si>
    <t>PSYL02</t>
  </si>
  <si>
    <t>Persistent Systems Ltd ‡</t>
  </si>
  <si>
    <t>INE262H01021</t>
  </si>
  <si>
    <t>IT - Software</t>
  </si>
  <si>
    <t>HALT02</t>
  </si>
  <si>
    <t>Hindustan Aeronautics Limited</t>
  </si>
  <si>
    <t>INE066F01020</t>
  </si>
  <si>
    <t>Aerospace &amp; Defense</t>
  </si>
  <si>
    <t>EDEL02</t>
  </si>
  <si>
    <t>Nuvama Wealth Management Ltd</t>
  </si>
  <si>
    <t>INE531F01023</t>
  </si>
  <si>
    <t>Capital Markets</t>
  </si>
  <si>
    <t>SAEL02</t>
  </si>
  <si>
    <t>TVS Motor Company Limited</t>
  </si>
  <si>
    <t>INE494B01023</t>
  </si>
  <si>
    <t>ZMPL01</t>
  </si>
  <si>
    <t>Eternal Limited</t>
  </si>
  <si>
    <t>INE758T01015</t>
  </si>
  <si>
    <t>Retailing</t>
  </si>
  <si>
    <t>NITL02</t>
  </si>
  <si>
    <t>Coforge Limited</t>
  </si>
  <si>
    <t>INE591G01025</t>
  </si>
  <si>
    <t>CHOL02</t>
  </si>
  <si>
    <t>Cholamandalam Investment and Finance Company Limited</t>
  </si>
  <si>
    <t>INE121A01024</t>
  </si>
  <si>
    <t>Finance</t>
  </si>
  <si>
    <t>DIXO02</t>
  </si>
  <si>
    <t>Dixon Technologies (India) Limited</t>
  </si>
  <si>
    <t>INE935N01020</t>
  </si>
  <si>
    <t>Consumer Durables</t>
  </si>
  <si>
    <t>SSNL02</t>
  </si>
  <si>
    <t>Delhivery Limited</t>
  </si>
  <si>
    <t>INE148O01028</t>
  </si>
  <si>
    <t>GHPL01</t>
  </si>
  <si>
    <t>Global Health Limited</t>
  </si>
  <si>
    <t>INE474Q01031</t>
  </si>
  <si>
    <t>Healthcare Services</t>
  </si>
  <si>
    <t>MCEX02</t>
  </si>
  <si>
    <t>Multi Commodity Exchange of India Limited</t>
  </si>
  <si>
    <t>INE745G01043</t>
  </si>
  <si>
    <t>BHAE02</t>
  </si>
  <si>
    <t>BEML Limited</t>
  </si>
  <si>
    <t>INE258A01024</t>
  </si>
  <si>
    <t>Agricultural, Commercial &amp; Construction Vehicles</t>
  </si>
  <si>
    <t>CENT02</t>
  </si>
  <si>
    <t>Aditya Birla Real Estate Limited</t>
  </si>
  <si>
    <t>INE055A01016</t>
  </si>
  <si>
    <t>Realty</t>
  </si>
  <si>
    <t>SUVP01</t>
  </si>
  <si>
    <t>Cohance Lifesciences Limited</t>
  </si>
  <si>
    <t>INE03QK01018</t>
  </si>
  <si>
    <t>Pharmaceuticals &amp; Biotechnology</t>
  </si>
  <si>
    <t>Sub Total</t>
  </si>
  <si>
    <t>(b) Unlisted</t>
  </si>
  <si>
    <t>Nil</t>
  </si>
  <si>
    <t>Total</t>
  </si>
  <si>
    <t>Money Market Instruments</t>
  </si>
  <si>
    <t>TREPS / Reverse Repo</t>
  </si>
  <si>
    <t>TRP_020426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</si>
  <si>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</si>
  <si>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</si>
  <si>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</si>
  <si>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</si>
  <si>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</si>
  <si>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</si>
  <si>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120560</t>
  </si>
  <si>
    <t>Invesco India Short Duration Fund - Direct Plan - Growth</t>
  </si>
  <si>
    <t>INF205K01UH8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</si>
  <si>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</si>
  <si>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</si>
  <si>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</si>
  <si>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</si>
  <si>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</si>
  <si>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</si>
  <si>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</si>
  <si>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</si>
  <si>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^^ Awaiting listing</t>
  </si>
  <si>
    <t>‡ Includes shares lent under Securities Lending &amp; Borrowing Scheme of BSE</t>
  </si>
  <si>
    <t>Name of the Security</t>
  </si>
  <si>
    <t>Shares</t>
  </si>
  <si>
    <t>Persistent Systems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</si>
  <si>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</si>
  <si>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</si>
  <si>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</si>
  <si>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</si>
  <si>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</si>
  <si>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</si>
  <si>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BENCHMARK NAME - BSE 500 TRI</t>
  </si>
  <si>
    <t>SCHEME RISK-O-METER</t>
  </si>
  <si>
    <t>BENCHMARK RISK-O-METER</t>
  </si>
  <si>
    <t>Scheme Name: Invesco India Focused Fund (An open ended equity scheme investing in maximum 30 stocks across market capitalization (i.e. Multicap))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</si>
  <si>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</si>
  <si>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</si>
  <si>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</si>
  <si>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</si>
  <si>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</si>
  <si>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</si>
  <si>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Capital Goods</t>
  </si>
  <si>
    <t>Services</t>
  </si>
  <si>
    <t>Automobile and Auto Components</t>
  </si>
  <si>
    <t>Information Technology</t>
  </si>
  <si>
    <t>Invesco Mutual Fund</t>
  </si>
  <si>
    <t>Healthcare</t>
  </si>
  <si>
    <t>Consumer Services</t>
  </si>
  <si>
    <t>Nuvama Wealth Management Limited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</si>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</sst>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theme="1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 applyProtection="1">
      <alignment wrapText="1"/>
      <protection locked="0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0" xfId="0" applyFont="1"/>
    <xf numFmtId="0" fontId="6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0" fontId="6" fillId="0" borderId="5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3" fontId="4" fillId="0" borderId="10" xfId="0" applyNumberFormat="1" applyFont="1" applyBorder="1" applyAlignment="1">
      <alignment horizontal="right" vertical="top" wrapText="1"/>
    </xf>
    <xf numFmtId="0" fontId="7" fillId="0" borderId="0" xfId="0" applyFont="1"/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222250</xdr:colOff>
      <xdr:row>68</xdr:row>
      <xdr:rowOff>101600</xdr:rowOff>
    </xdr:from>
    <xdr:to>
      <xdr:col>1</xdr:col>
      <xdr:colOff>2724150</xdr:colOff>
      <xdr:row>78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D0304C-C829-4729-B972-613A375D6EA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250" y="12503150"/>
          <a:ext cx="2863850" cy="191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1397000</xdr:colOff>
      <xdr:row>68</xdr:row>
      <xdr:rowOff>101600</xdr:rowOff>
    </xdr:from>
    <xdr:to>
      <xdr:col>7</xdr:col>
      <xdr:colOff>501650</xdr:colOff>
      <xdr:row>78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1520EF-39BB-4290-B4FC-9CA7FC3256C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12503150"/>
          <a:ext cx="2851150" cy="191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C538-8B45-4B49-AF74-6EC1B49642C9}">
  <sheetPr codeName="Sheet9">
    <outlinePr summaryBelow="0"/>
  </sheetPr>
  <dimension ref="A1:H65"/>
  <sheetViews>
    <sheetView showGridLines="0" tabSelected="1" zoomScaleNormal="100" workbookViewId="0">
      <selection activeCell="B2" sqref="B2:H2"/>
    </sheetView>
  </sheetViews>
  <sheetFormatPr defaultRowHeight="14.5"/>
  <cols>
    <col min="1" max="1" width="5.1796875" customWidth="1"/>
    <col min="2" max="2" width="102.54296875" customWidth="1"/>
    <col min="3" max="3" width="21.6328125" customWidth="1"/>
    <col min="4" max="4" width="36.6328125" bestFit="1" customWidth="1"/>
    <col min="5" max="5" width="11.54296875" customWidth="1"/>
    <col min="6" max="6" width="18.08984375" customWidth="1"/>
    <col min="7" max="7" width="15.54296875" customWidth="1"/>
    <col min="8" max="8" width="8.36328125" customWidth="1"/>
    <col min="257" max="257" width="5.1796875" customWidth="1"/>
    <col min="258" max="258" width="102.54296875" customWidth="1"/>
    <col min="259" max="259" width="21.6328125" customWidth="1"/>
    <col min="260" max="260" width="36.6328125" bestFit="1" customWidth="1"/>
    <col min="261" max="261" width="11.54296875" customWidth="1"/>
    <col min="262" max="262" width="18.08984375" customWidth="1"/>
    <col min="263" max="263" width="15.54296875" customWidth="1"/>
    <col min="264" max="264" width="8.36328125" customWidth="1"/>
    <col min="513" max="513" width="5.1796875" customWidth="1"/>
    <col min="514" max="514" width="102.54296875" customWidth="1"/>
    <col min="515" max="515" width="21.6328125" customWidth="1"/>
    <col min="516" max="516" width="36.6328125" bestFit="1" customWidth="1"/>
    <col min="517" max="517" width="11.54296875" customWidth="1"/>
    <col min="518" max="518" width="18.08984375" customWidth="1"/>
    <col min="519" max="519" width="15.54296875" customWidth="1"/>
    <col min="520" max="520" width="8.36328125" customWidth="1"/>
    <col min="769" max="769" width="5.1796875" customWidth="1"/>
    <col min="770" max="770" width="102.54296875" customWidth="1"/>
    <col min="771" max="771" width="21.6328125" customWidth="1"/>
    <col min="772" max="772" width="36.6328125" bestFit="1" customWidth="1"/>
    <col min="773" max="773" width="11.54296875" customWidth="1"/>
    <col min="774" max="774" width="18.08984375" customWidth="1"/>
    <col min="775" max="775" width="15.54296875" customWidth="1"/>
    <col min="776" max="776" width="8.36328125" customWidth="1"/>
    <col min="1025" max="1025" width="5.1796875" customWidth="1"/>
    <col min="1026" max="1026" width="102.54296875" customWidth="1"/>
    <col min="1027" max="1027" width="21.6328125" customWidth="1"/>
    <col min="1028" max="1028" width="36.6328125" bestFit="1" customWidth="1"/>
    <col min="1029" max="1029" width="11.54296875" customWidth="1"/>
    <col min="1030" max="1030" width="18.08984375" customWidth="1"/>
    <col min="1031" max="1031" width="15.54296875" customWidth="1"/>
    <col min="1032" max="1032" width="8.36328125" customWidth="1"/>
    <col min="1281" max="1281" width="5.1796875" customWidth="1"/>
    <col min="1282" max="1282" width="102.54296875" customWidth="1"/>
    <col min="1283" max="1283" width="21.6328125" customWidth="1"/>
    <col min="1284" max="1284" width="36.6328125" bestFit="1" customWidth="1"/>
    <col min="1285" max="1285" width="11.54296875" customWidth="1"/>
    <col min="1286" max="1286" width="18.08984375" customWidth="1"/>
    <col min="1287" max="1287" width="15.54296875" customWidth="1"/>
    <col min="1288" max="1288" width="8.36328125" customWidth="1"/>
    <col min="1537" max="1537" width="5.1796875" customWidth="1"/>
    <col min="1538" max="1538" width="102.54296875" customWidth="1"/>
    <col min="1539" max="1539" width="21.6328125" customWidth="1"/>
    <col min="1540" max="1540" width="36.6328125" bestFit="1" customWidth="1"/>
    <col min="1541" max="1541" width="11.54296875" customWidth="1"/>
    <col min="1542" max="1542" width="18.08984375" customWidth="1"/>
    <col min="1543" max="1543" width="15.54296875" customWidth="1"/>
    <col min="1544" max="1544" width="8.36328125" customWidth="1"/>
    <col min="1793" max="1793" width="5.1796875" customWidth="1"/>
    <col min="1794" max="1794" width="102.54296875" customWidth="1"/>
    <col min="1795" max="1795" width="21.6328125" customWidth="1"/>
    <col min="1796" max="1796" width="36.6328125" bestFit="1" customWidth="1"/>
    <col min="1797" max="1797" width="11.54296875" customWidth="1"/>
    <col min="1798" max="1798" width="18.08984375" customWidth="1"/>
    <col min="1799" max="1799" width="15.54296875" customWidth="1"/>
    <col min="1800" max="1800" width="8.36328125" customWidth="1"/>
    <col min="2049" max="2049" width="5.1796875" customWidth="1"/>
    <col min="2050" max="2050" width="102.54296875" customWidth="1"/>
    <col min="2051" max="2051" width="21.6328125" customWidth="1"/>
    <col min="2052" max="2052" width="36.6328125" bestFit="1" customWidth="1"/>
    <col min="2053" max="2053" width="11.54296875" customWidth="1"/>
    <col min="2054" max="2054" width="18.08984375" customWidth="1"/>
    <col min="2055" max="2055" width="15.54296875" customWidth="1"/>
    <col min="2056" max="2056" width="8.36328125" customWidth="1"/>
    <col min="2305" max="2305" width="5.1796875" customWidth="1"/>
    <col min="2306" max="2306" width="102.54296875" customWidth="1"/>
    <col min="2307" max="2307" width="21.6328125" customWidth="1"/>
    <col min="2308" max="2308" width="36.6328125" bestFit="1" customWidth="1"/>
    <col min="2309" max="2309" width="11.54296875" customWidth="1"/>
    <col min="2310" max="2310" width="18.08984375" customWidth="1"/>
    <col min="2311" max="2311" width="15.54296875" customWidth="1"/>
    <col min="2312" max="2312" width="8.36328125" customWidth="1"/>
    <col min="2561" max="2561" width="5.1796875" customWidth="1"/>
    <col min="2562" max="2562" width="102.54296875" customWidth="1"/>
    <col min="2563" max="2563" width="21.6328125" customWidth="1"/>
    <col min="2564" max="2564" width="36.6328125" bestFit="1" customWidth="1"/>
    <col min="2565" max="2565" width="11.54296875" customWidth="1"/>
    <col min="2566" max="2566" width="18.08984375" customWidth="1"/>
    <col min="2567" max="2567" width="15.54296875" customWidth="1"/>
    <col min="2568" max="2568" width="8.36328125" customWidth="1"/>
    <col min="2817" max="2817" width="5.1796875" customWidth="1"/>
    <col min="2818" max="2818" width="102.54296875" customWidth="1"/>
    <col min="2819" max="2819" width="21.6328125" customWidth="1"/>
    <col min="2820" max="2820" width="36.6328125" bestFit="1" customWidth="1"/>
    <col min="2821" max="2821" width="11.54296875" customWidth="1"/>
    <col min="2822" max="2822" width="18.08984375" customWidth="1"/>
    <col min="2823" max="2823" width="15.54296875" customWidth="1"/>
    <col min="2824" max="2824" width="8.36328125" customWidth="1"/>
    <col min="3073" max="3073" width="5.1796875" customWidth="1"/>
    <col min="3074" max="3074" width="102.54296875" customWidth="1"/>
    <col min="3075" max="3075" width="21.6328125" customWidth="1"/>
    <col min="3076" max="3076" width="36.6328125" bestFit="1" customWidth="1"/>
    <col min="3077" max="3077" width="11.54296875" customWidth="1"/>
    <col min="3078" max="3078" width="18.08984375" customWidth="1"/>
    <col min="3079" max="3079" width="15.54296875" customWidth="1"/>
    <col min="3080" max="3080" width="8.36328125" customWidth="1"/>
    <col min="3329" max="3329" width="5.1796875" customWidth="1"/>
    <col min="3330" max="3330" width="102.54296875" customWidth="1"/>
    <col min="3331" max="3331" width="21.6328125" customWidth="1"/>
    <col min="3332" max="3332" width="36.6328125" bestFit="1" customWidth="1"/>
    <col min="3333" max="3333" width="11.54296875" customWidth="1"/>
    <col min="3334" max="3334" width="18.08984375" customWidth="1"/>
    <col min="3335" max="3335" width="15.54296875" customWidth="1"/>
    <col min="3336" max="3336" width="8.36328125" customWidth="1"/>
    <col min="3585" max="3585" width="5.1796875" customWidth="1"/>
    <col min="3586" max="3586" width="102.54296875" customWidth="1"/>
    <col min="3587" max="3587" width="21.6328125" customWidth="1"/>
    <col min="3588" max="3588" width="36.6328125" bestFit="1" customWidth="1"/>
    <col min="3589" max="3589" width="11.54296875" customWidth="1"/>
    <col min="3590" max="3590" width="18.08984375" customWidth="1"/>
    <col min="3591" max="3591" width="15.54296875" customWidth="1"/>
    <col min="3592" max="3592" width="8.36328125" customWidth="1"/>
    <col min="3841" max="3841" width="5.1796875" customWidth="1"/>
    <col min="3842" max="3842" width="102.54296875" customWidth="1"/>
    <col min="3843" max="3843" width="21.6328125" customWidth="1"/>
    <col min="3844" max="3844" width="36.6328125" bestFit="1" customWidth="1"/>
    <col min="3845" max="3845" width="11.54296875" customWidth="1"/>
    <col min="3846" max="3846" width="18.08984375" customWidth="1"/>
    <col min="3847" max="3847" width="15.54296875" customWidth="1"/>
    <col min="3848" max="3848" width="8.36328125" customWidth="1"/>
    <col min="4097" max="4097" width="5.1796875" customWidth="1"/>
    <col min="4098" max="4098" width="102.54296875" customWidth="1"/>
    <col min="4099" max="4099" width="21.6328125" customWidth="1"/>
    <col min="4100" max="4100" width="36.6328125" bestFit="1" customWidth="1"/>
    <col min="4101" max="4101" width="11.54296875" customWidth="1"/>
    <col min="4102" max="4102" width="18.08984375" customWidth="1"/>
    <col min="4103" max="4103" width="15.54296875" customWidth="1"/>
    <col min="4104" max="4104" width="8.36328125" customWidth="1"/>
    <col min="4353" max="4353" width="5.1796875" customWidth="1"/>
    <col min="4354" max="4354" width="102.54296875" customWidth="1"/>
    <col min="4355" max="4355" width="21.6328125" customWidth="1"/>
    <col min="4356" max="4356" width="36.6328125" bestFit="1" customWidth="1"/>
    <col min="4357" max="4357" width="11.54296875" customWidth="1"/>
    <col min="4358" max="4358" width="18.08984375" customWidth="1"/>
    <col min="4359" max="4359" width="15.54296875" customWidth="1"/>
    <col min="4360" max="4360" width="8.36328125" customWidth="1"/>
    <col min="4609" max="4609" width="5.1796875" customWidth="1"/>
    <col min="4610" max="4610" width="102.54296875" customWidth="1"/>
    <col min="4611" max="4611" width="21.6328125" customWidth="1"/>
    <col min="4612" max="4612" width="36.6328125" bestFit="1" customWidth="1"/>
    <col min="4613" max="4613" width="11.54296875" customWidth="1"/>
    <col min="4614" max="4614" width="18.08984375" customWidth="1"/>
    <col min="4615" max="4615" width="15.54296875" customWidth="1"/>
    <col min="4616" max="4616" width="8.36328125" customWidth="1"/>
    <col min="4865" max="4865" width="5.1796875" customWidth="1"/>
    <col min="4866" max="4866" width="102.54296875" customWidth="1"/>
    <col min="4867" max="4867" width="21.6328125" customWidth="1"/>
    <col min="4868" max="4868" width="36.6328125" bestFit="1" customWidth="1"/>
    <col min="4869" max="4869" width="11.54296875" customWidth="1"/>
    <col min="4870" max="4870" width="18.08984375" customWidth="1"/>
    <col min="4871" max="4871" width="15.54296875" customWidth="1"/>
    <col min="4872" max="4872" width="8.36328125" customWidth="1"/>
    <col min="5121" max="5121" width="5.1796875" customWidth="1"/>
    <col min="5122" max="5122" width="102.54296875" customWidth="1"/>
    <col min="5123" max="5123" width="21.6328125" customWidth="1"/>
    <col min="5124" max="5124" width="36.6328125" bestFit="1" customWidth="1"/>
    <col min="5125" max="5125" width="11.54296875" customWidth="1"/>
    <col min="5126" max="5126" width="18.08984375" customWidth="1"/>
    <col min="5127" max="5127" width="15.54296875" customWidth="1"/>
    <col min="5128" max="5128" width="8.36328125" customWidth="1"/>
    <col min="5377" max="5377" width="5.1796875" customWidth="1"/>
    <col min="5378" max="5378" width="102.54296875" customWidth="1"/>
    <col min="5379" max="5379" width="21.6328125" customWidth="1"/>
    <col min="5380" max="5380" width="36.6328125" bestFit="1" customWidth="1"/>
    <col min="5381" max="5381" width="11.54296875" customWidth="1"/>
    <col min="5382" max="5382" width="18.08984375" customWidth="1"/>
    <col min="5383" max="5383" width="15.54296875" customWidth="1"/>
    <col min="5384" max="5384" width="8.36328125" customWidth="1"/>
    <col min="5633" max="5633" width="5.1796875" customWidth="1"/>
    <col min="5634" max="5634" width="102.54296875" customWidth="1"/>
    <col min="5635" max="5635" width="21.6328125" customWidth="1"/>
    <col min="5636" max="5636" width="36.6328125" bestFit="1" customWidth="1"/>
    <col min="5637" max="5637" width="11.54296875" customWidth="1"/>
    <col min="5638" max="5638" width="18.08984375" customWidth="1"/>
    <col min="5639" max="5639" width="15.54296875" customWidth="1"/>
    <col min="5640" max="5640" width="8.36328125" customWidth="1"/>
    <col min="5889" max="5889" width="5.1796875" customWidth="1"/>
    <col min="5890" max="5890" width="102.54296875" customWidth="1"/>
    <col min="5891" max="5891" width="21.6328125" customWidth="1"/>
    <col min="5892" max="5892" width="36.6328125" bestFit="1" customWidth="1"/>
    <col min="5893" max="5893" width="11.54296875" customWidth="1"/>
    <col min="5894" max="5894" width="18.08984375" customWidth="1"/>
    <col min="5895" max="5895" width="15.54296875" customWidth="1"/>
    <col min="5896" max="5896" width="8.36328125" customWidth="1"/>
    <col min="6145" max="6145" width="5.1796875" customWidth="1"/>
    <col min="6146" max="6146" width="102.54296875" customWidth="1"/>
    <col min="6147" max="6147" width="21.6328125" customWidth="1"/>
    <col min="6148" max="6148" width="36.6328125" bestFit="1" customWidth="1"/>
    <col min="6149" max="6149" width="11.54296875" customWidth="1"/>
    <col min="6150" max="6150" width="18.08984375" customWidth="1"/>
    <col min="6151" max="6151" width="15.54296875" customWidth="1"/>
    <col min="6152" max="6152" width="8.36328125" customWidth="1"/>
    <col min="6401" max="6401" width="5.1796875" customWidth="1"/>
    <col min="6402" max="6402" width="102.54296875" customWidth="1"/>
    <col min="6403" max="6403" width="21.6328125" customWidth="1"/>
    <col min="6404" max="6404" width="36.6328125" bestFit="1" customWidth="1"/>
    <col min="6405" max="6405" width="11.54296875" customWidth="1"/>
    <col min="6406" max="6406" width="18.08984375" customWidth="1"/>
    <col min="6407" max="6407" width="15.54296875" customWidth="1"/>
    <col min="6408" max="6408" width="8.36328125" customWidth="1"/>
    <col min="6657" max="6657" width="5.1796875" customWidth="1"/>
    <col min="6658" max="6658" width="102.54296875" customWidth="1"/>
    <col min="6659" max="6659" width="21.6328125" customWidth="1"/>
    <col min="6660" max="6660" width="36.6328125" bestFit="1" customWidth="1"/>
    <col min="6661" max="6661" width="11.54296875" customWidth="1"/>
    <col min="6662" max="6662" width="18.08984375" customWidth="1"/>
    <col min="6663" max="6663" width="15.54296875" customWidth="1"/>
    <col min="6664" max="6664" width="8.36328125" customWidth="1"/>
    <col min="6913" max="6913" width="5.1796875" customWidth="1"/>
    <col min="6914" max="6914" width="102.54296875" customWidth="1"/>
    <col min="6915" max="6915" width="21.6328125" customWidth="1"/>
    <col min="6916" max="6916" width="36.6328125" bestFit="1" customWidth="1"/>
    <col min="6917" max="6917" width="11.54296875" customWidth="1"/>
    <col min="6918" max="6918" width="18.08984375" customWidth="1"/>
    <col min="6919" max="6919" width="15.54296875" customWidth="1"/>
    <col min="6920" max="6920" width="8.36328125" customWidth="1"/>
    <col min="7169" max="7169" width="5.1796875" customWidth="1"/>
    <col min="7170" max="7170" width="102.54296875" customWidth="1"/>
    <col min="7171" max="7171" width="21.6328125" customWidth="1"/>
    <col min="7172" max="7172" width="36.6328125" bestFit="1" customWidth="1"/>
    <col min="7173" max="7173" width="11.54296875" customWidth="1"/>
    <col min="7174" max="7174" width="18.08984375" customWidth="1"/>
    <col min="7175" max="7175" width="15.54296875" customWidth="1"/>
    <col min="7176" max="7176" width="8.36328125" customWidth="1"/>
    <col min="7425" max="7425" width="5.1796875" customWidth="1"/>
    <col min="7426" max="7426" width="102.54296875" customWidth="1"/>
    <col min="7427" max="7427" width="21.6328125" customWidth="1"/>
    <col min="7428" max="7428" width="36.6328125" bestFit="1" customWidth="1"/>
    <col min="7429" max="7429" width="11.54296875" customWidth="1"/>
    <col min="7430" max="7430" width="18.08984375" customWidth="1"/>
    <col min="7431" max="7431" width="15.54296875" customWidth="1"/>
    <col min="7432" max="7432" width="8.36328125" customWidth="1"/>
    <col min="7681" max="7681" width="5.1796875" customWidth="1"/>
    <col min="7682" max="7682" width="102.54296875" customWidth="1"/>
    <col min="7683" max="7683" width="21.6328125" customWidth="1"/>
    <col min="7684" max="7684" width="36.6328125" bestFit="1" customWidth="1"/>
    <col min="7685" max="7685" width="11.54296875" customWidth="1"/>
    <col min="7686" max="7686" width="18.08984375" customWidth="1"/>
    <col min="7687" max="7687" width="15.54296875" customWidth="1"/>
    <col min="7688" max="7688" width="8.36328125" customWidth="1"/>
    <col min="7937" max="7937" width="5.1796875" customWidth="1"/>
    <col min="7938" max="7938" width="102.54296875" customWidth="1"/>
    <col min="7939" max="7939" width="21.6328125" customWidth="1"/>
    <col min="7940" max="7940" width="36.6328125" bestFit="1" customWidth="1"/>
    <col min="7941" max="7941" width="11.54296875" customWidth="1"/>
    <col min="7942" max="7942" width="18.08984375" customWidth="1"/>
    <col min="7943" max="7943" width="15.54296875" customWidth="1"/>
    <col min="7944" max="7944" width="8.36328125" customWidth="1"/>
    <col min="8193" max="8193" width="5.1796875" customWidth="1"/>
    <col min="8194" max="8194" width="102.54296875" customWidth="1"/>
    <col min="8195" max="8195" width="21.6328125" customWidth="1"/>
    <col min="8196" max="8196" width="36.6328125" bestFit="1" customWidth="1"/>
    <col min="8197" max="8197" width="11.54296875" customWidth="1"/>
    <col min="8198" max="8198" width="18.08984375" customWidth="1"/>
    <col min="8199" max="8199" width="15.54296875" customWidth="1"/>
    <col min="8200" max="8200" width="8.36328125" customWidth="1"/>
    <col min="8449" max="8449" width="5.1796875" customWidth="1"/>
    <col min="8450" max="8450" width="102.54296875" customWidth="1"/>
    <col min="8451" max="8451" width="21.6328125" customWidth="1"/>
    <col min="8452" max="8452" width="36.6328125" bestFit="1" customWidth="1"/>
    <col min="8453" max="8453" width="11.54296875" customWidth="1"/>
    <col min="8454" max="8454" width="18.08984375" customWidth="1"/>
    <col min="8455" max="8455" width="15.54296875" customWidth="1"/>
    <col min="8456" max="8456" width="8.36328125" customWidth="1"/>
    <col min="8705" max="8705" width="5.1796875" customWidth="1"/>
    <col min="8706" max="8706" width="102.54296875" customWidth="1"/>
    <col min="8707" max="8707" width="21.6328125" customWidth="1"/>
    <col min="8708" max="8708" width="36.6328125" bestFit="1" customWidth="1"/>
    <col min="8709" max="8709" width="11.54296875" customWidth="1"/>
    <col min="8710" max="8710" width="18.08984375" customWidth="1"/>
    <col min="8711" max="8711" width="15.54296875" customWidth="1"/>
    <col min="8712" max="8712" width="8.36328125" customWidth="1"/>
    <col min="8961" max="8961" width="5.1796875" customWidth="1"/>
    <col min="8962" max="8962" width="102.54296875" customWidth="1"/>
    <col min="8963" max="8963" width="21.6328125" customWidth="1"/>
    <col min="8964" max="8964" width="36.6328125" bestFit="1" customWidth="1"/>
    <col min="8965" max="8965" width="11.54296875" customWidth="1"/>
    <col min="8966" max="8966" width="18.08984375" customWidth="1"/>
    <col min="8967" max="8967" width="15.54296875" customWidth="1"/>
    <col min="8968" max="8968" width="8.36328125" customWidth="1"/>
    <col min="9217" max="9217" width="5.1796875" customWidth="1"/>
    <col min="9218" max="9218" width="102.54296875" customWidth="1"/>
    <col min="9219" max="9219" width="21.6328125" customWidth="1"/>
    <col min="9220" max="9220" width="36.6328125" bestFit="1" customWidth="1"/>
    <col min="9221" max="9221" width="11.54296875" customWidth="1"/>
    <col min="9222" max="9222" width="18.08984375" customWidth="1"/>
    <col min="9223" max="9223" width="15.54296875" customWidth="1"/>
    <col min="9224" max="9224" width="8.36328125" customWidth="1"/>
    <col min="9473" max="9473" width="5.1796875" customWidth="1"/>
    <col min="9474" max="9474" width="102.54296875" customWidth="1"/>
    <col min="9475" max="9475" width="21.6328125" customWidth="1"/>
    <col min="9476" max="9476" width="36.6328125" bestFit="1" customWidth="1"/>
    <col min="9477" max="9477" width="11.54296875" customWidth="1"/>
    <col min="9478" max="9478" width="18.08984375" customWidth="1"/>
    <col min="9479" max="9479" width="15.54296875" customWidth="1"/>
    <col min="9480" max="9480" width="8.36328125" customWidth="1"/>
    <col min="9729" max="9729" width="5.1796875" customWidth="1"/>
    <col min="9730" max="9730" width="102.54296875" customWidth="1"/>
    <col min="9731" max="9731" width="21.6328125" customWidth="1"/>
    <col min="9732" max="9732" width="36.6328125" bestFit="1" customWidth="1"/>
    <col min="9733" max="9733" width="11.54296875" customWidth="1"/>
    <col min="9734" max="9734" width="18.08984375" customWidth="1"/>
    <col min="9735" max="9735" width="15.54296875" customWidth="1"/>
    <col min="9736" max="9736" width="8.36328125" customWidth="1"/>
    <col min="9985" max="9985" width="5.1796875" customWidth="1"/>
    <col min="9986" max="9986" width="102.54296875" customWidth="1"/>
    <col min="9987" max="9987" width="21.6328125" customWidth="1"/>
    <col min="9988" max="9988" width="36.6328125" bestFit="1" customWidth="1"/>
    <col min="9989" max="9989" width="11.54296875" customWidth="1"/>
    <col min="9990" max="9990" width="18.08984375" customWidth="1"/>
    <col min="9991" max="9991" width="15.54296875" customWidth="1"/>
    <col min="9992" max="9992" width="8.36328125" customWidth="1"/>
    <col min="10241" max="10241" width="5.1796875" customWidth="1"/>
    <col min="10242" max="10242" width="102.54296875" customWidth="1"/>
    <col min="10243" max="10243" width="21.6328125" customWidth="1"/>
    <col min="10244" max="10244" width="36.6328125" bestFit="1" customWidth="1"/>
    <col min="10245" max="10245" width="11.54296875" customWidth="1"/>
    <col min="10246" max="10246" width="18.08984375" customWidth="1"/>
    <col min="10247" max="10247" width="15.54296875" customWidth="1"/>
    <col min="10248" max="10248" width="8.36328125" customWidth="1"/>
    <col min="10497" max="10497" width="5.1796875" customWidth="1"/>
    <col min="10498" max="10498" width="102.54296875" customWidth="1"/>
    <col min="10499" max="10499" width="21.6328125" customWidth="1"/>
    <col min="10500" max="10500" width="36.6328125" bestFit="1" customWidth="1"/>
    <col min="10501" max="10501" width="11.54296875" customWidth="1"/>
    <col min="10502" max="10502" width="18.08984375" customWidth="1"/>
    <col min="10503" max="10503" width="15.54296875" customWidth="1"/>
    <col min="10504" max="10504" width="8.36328125" customWidth="1"/>
    <col min="10753" max="10753" width="5.1796875" customWidth="1"/>
    <col min="10754" max="10754" width="102.54296875" customWidth="1"/>
    <col min="10755" max="10755" width="21.6328125" customWidth="1"/>
    <col min="10756" max="10756" width="36.6328125" bestFit="1" customWidth="1"/>
    <col min="10757" max="10757" width="11.54296875" customWidth="1"/>
    <col min="10758" max="10758" width="18.08984375" customWidth="1"/>
    <col min="10759" max="10759" width="15.54296875" customWidth="1"/>
    <col min="10760" max="10760" width="8.36328125" customWidth="1"/>
    <col min="11009" max="11009" width="5.1796875" customWidth="1"/>
    <col min="11010" max="11010" width="102.54296875" customWidth="1"/>
    <col min="11011" max="11011" width="21.6328125" customWidth="1"/>
    <col min="11012" max="11012" width="36.6328125" bestFit="1" customWidth="1"/>
    <col min="11013" max="11013" width="11.54296875" customWidth="1"/>
    <col min="11014" max="11014" width="18.08984375" customWidth="1"/>
    <col min="11015" max="11015" width="15.54296875" customWidth="1"/>
    <col min="11016" max="11016" width="8.36328125" customWidth="1"/>
    <col min="11265" max="11265" width="5.1796875" customWidth="1"/>
    <col min="11266" max="11266" width="102.54296875" customWidth="1"/>
    <col min="11267" max="11267" width="21.6328125" customWidth="1"/>
    <col min="11268" max="11268" width="36.6328125" bestFit="1" customWidth="1"/>
    <col min="11269" max="11269" width="11.54296875" customWidth="1"/>
    <col min="11270" max="11270" width="18.08984375" customWidth="1"/>
    <col min="11271" max="11271" width="15.54296875" customWidth="1"/>
    <col min="11272" max="11272" width="8.36328125" customWidth="1"/>
    <col min="11521" max="11521" width="5.1796875" customWidth="1"/>
    <col min="11522" max="11522" width="102.54296875" customWidth="1"/>
    <col min="11523" max="11523" width="21.6328125" customWidth="1"/>
    <col min="11524" max="11524" width="36.6328125" bestFit="1" customWidth="1"/>
    <col min="11525" max="11525" width="11.54296875" customWidth="1"/>
    <col min="11526" max="11526" width="18.08984375" customWidth="1"/>
    <col min="11527" max="11527" width="15.54296875" customWidth="1"/>
    <col min="11528" max="11528" width="8.36328125" customWidth="1"/>
    <col min="11777" max="11777" width="5.1796875" customWidth="1"/>
    <col min="11778" max="11778" width="102.54296875" customWidth="1"/>
    <col min="11779" max="11779" width="21.6328125" customWidth="1"/>
    <col min="11780" max="11780" width="36.6328125" bestFit="1" customWidth="1"/>
    <col min="11781" max="11781" width="11.54296875" customWidth="1"/>
    <col min="11782" max="11782" width="18.08984375" customWidth="1"/>
    <col min="11783" max="11783" width="15.54296875" customWidth="1"/>
    <col min="11784" max="11784" width="8.36328125" customWidth="1"/>
    <col min="12033" max="12033" width="5.1796875" customWidth="1"/>
    <col min="12034" max="12034" width="102.54296875" customWidth="1"/>
    <col min="12035" max="12035" width="21.6328125" customWidth="1"/>
    <col min="12036" max="12036" width="36.6328125" bestFit="1" customWidth="1"/>
    <col min="12037" max="12037" width="11.54296875" customWidth="1"/>
    <col min="12038" max="12038" width="18.08984375" customWidth="1"/>
    <col min="12039" max="12039" width="15.54296875" customWidth="1"/>
    <col min="12040" max="12040" width="8.36328125" customWidth="1"/>
    <col min="12289" max="12289" width="5.1796875" customWidth="1"/>
    <col min="12290" max="12290" width="102.54296875" customWidth="1"/>
    <col min="12291" max="12291" width="21.6328125" customWidth="1"/>
    <col min="12292" max="12292" width="36.6328125" bestFit="1" customWidth="1"/>
    <col min="12293" max="12293" width="11.54296875" customWidth="1"/>
    <col min="12294" max="12294" width="18.08984375" customWidth="1"/>
    <col min="12295" max="12295" width="15.54296875" customWidth="1"/>
    <col min="12296" max="12296" width="8.36328125" customWidth="1"/>
    <col min="12545" max="12545" width="5.1796875" customWidth="1"/>
    <col min="12546" max="12546" width="102.54296875" customWidth="1"/>
    <col min="12547" max="12547" width="21.6328125" customWidth="1"/>
    <col min="12548" max="12548" width="36.6328125" bestFit="1" customWidth="1"/>
    <col min="12549" max="12549" width="11.54296875" customWidth="1"/>
    <col min="12550" max="12550" width="18.08984375" customWidth="1"/>
    <col min="12551" max="12551" width="15.54296875" customWidth="1"/>
    <col min="12552" max="12552" width="8.36328125" customWidth="1"/>
    <col min="12801" max="12801" width="5.1796875" customWidth="1"/>
    <col min="12802" max="12802" width="102.54296875" customWidth="1"/>
    <col min="12803" max="12803" width="21.6328125" customWidth="1"/>
    <col min="12804" max="12804" width="36.6328125" bestFit="1" customWidth="1"/>
    <col min="12805" max="12805" width="11.54296875" customWidth="1"/>
    <col min="12806" max="12806" width="18.08984375" customWidth="1"/>
    <col min="12807" max="12807" width="15.54296875" customWidth="1"/>
    <col min="12808" max="12808" width="8.36328125" customWidth="1"/>
    <col min="13057" max="13057" width="5.1796875" customWidth="1"/>
    <col min="13058" max="13058" width="102.54296875" customWidth="1"/>
    <col min="13059" max="13059" width="21.6328125" customWidth="1"/>
    <col min="13060" max="13060" width="36.6328125" bestFit="1" customWidth="1"/>
    <col min="13061" max="13061" width="11.54296875" customWidth="1"/>
    <col min="13062" max="13062" width="18.08984375" customWidth="1"/>
    <col min="13063" max="13063" width="15.54296875" customWidth="1"/>
    <col min="13064" max="13064" width="8.36328125" customWidth="1"/>
    <col min="13313" max="13313" width="5.1796875" customWidth="1"/>
    <col min="13314" max="13314" width="102.54296875" customWidth="1"/>
    <col min="13315" max="13315" width="21.6328125" customWidth="1"/>
    <col min="13316" max="13316" width="36.6328125" bestFit="1" customWidth="1"/>
    <col min="13317" max="13317" width="11.54296875" customWidth="1"/>
    <col min="13318" max="13318" width="18.08984375" customWidth="1"/>
    <col min="13319" max="13319" width="15.54296875" customWidth="1"/>
    <col min="13320" max="13320" width="8.36328125" customWidth="1"/>
    <col min="13569" max="13569" width="5.1796875" customWidth="1"/>
    <col min="13570" max="13570" width="102.54296875" customWidth="1"/>
    <col min="13571" max="13571" width="21.6328125" customWidth="1"/>
    <col min="13572" max="13572" width="36.6328125" bestFit="1" customWidth="1"/>
    <col min="13573" max="13573" width="11.54296875" customWidth="1"/>
    <col min="13574" max="13574" width="18.08984375" customWidth="1"/>
    <col min="13575" max="13575" width="15.54296875" customWidth="1"/>
    <col min="13576" max="13576" width="8.36328125" customWidth="1"/>
    <col min="13825" max="13825" width="5.1796875" customWidth="1"/>
    <col min="13826" max="13826" width="102.54296875" customWidth="1"/>
    <col min="13827" max="13827" width="21.6328125" customWidth="1"/>
    <col min="13828" max="13828" width="36.6328125" bestFit="1" customWidth="1"/>
    <col min="13829" max="13829" width="11.54296875" customWidth="1"/>
    <col min="13830" max="13830" width="18.08984375" customWidth="1"/>
    <col min="13831" max="13831" width="15.54296875" customWidth="1"/>
    <col min="13832" max="13832" width="8.36328125" customWidth="1"/>
    <col min="14081" max="14081" width="5.1796875" customWidth="1"/>
    <col min="14082" max="14082" width="102.54296875" customWidth="1"/>
    <col min="14083" max="14083" width="21.6328125" customWidth="1"/>
    <col min="14084" max="14084" width="36.6328125" bestFit="1" customWidth="1"/>
    <col min="14085" max="14085" width="11.54296875" customWidth="1"/>
    <col min="14086" max="14086" width="18.08984375" customWidth="1"/>
    <col min="14087" max="14087" width="15.54296875" customWidth="1"/>
    <col min="14088" max="14088" width="8.36328125" customWidth="1"/>
    <col min="14337" max="14337" width="5.1796875" customWidth="1"/>
    <col min="14338" max="14338" width="102.54296875" customWidth="1"/>
    <col min="14339" max="14339" width="21.6328125" customWidth="1"/>
    <col min="14340" max="14340" width="36.6328125" bestFit="1" customWidth="1"/>
    <col min="14341" max="14341" width="11.54296875" customWidth="1"/>
    <col min="14342" max="14342" width="18.08984375" customWidth="1"/>
    <col min="14343" max="14343" width="15.54296875" customWidth="1"/>
    <col min="14344" max="14344" width="8.36328125" customWidth="1"/>
    <col min="14593" max="14593" width="5.1796875" customWidth="1"/>
    <col min="14594" max="14594" width="102.54296875" customWidth="1"/>
    <col min="14595" max="14595" width="21.6328125" customWidth="1"/>
    <col min="14596" max="14596" width="36.6328125" bestFit="1" customWidth="1"/>
    <col min="14597" max="14597" width="11.54296875" customWidth="1"/>
    <col min="14598" max="14598" width="18.08984375" customWidth="1"/>
    <col min="14599" max="14599" width="15.54296875" customWidth="1"/>
    <col min="14600" max="14600" width="8.36328125" customWidth="1"/>
    <col min="14849" max="14849" width="5.1796875" customWidth="1"/>
    <col min="14850" max="14850" width="102.54296875" customWidth="1"/>
    <col min="14851" max="14851" width="21.6328125" customWidth="1"/>
    <col min="14852" max="14852" width="36.6328125" bestFit="1" customWidth="1"/>
    <col min="14853" max="14853" width="11.54296875" customWidth="1"/>
    <col min="14854" max="14854" width="18.08984375" customWidth="1"/>
    <col min="14855" max="14855" width="15.54296875" customWidth="1"/>
    <col min="14856" max="14856" width="8.36328125" customWidth="1"/>
    <col min="15105" max="15105" width="5.1796875" customWidth="1"/>
    <col min="15106" max="15106" width="102.54296875" customWidth="1"/>
    <col min="15107" max="15107" width="21.6328125" customWidth="1"/>
    <col min="15108" max="15108" width="36.6328125" bestFit="1" customWidth="1"/>
    <col min="15109" max="15109" width="11.54296875" customWidth="1"/>
    <col min="15110" max="15110" width="18.08984375" customWidth="1"/>
    <col min="15111" max="15111" width="15.54296875" customWidth="1"/>
    <col min="15112" max="15112" width="8.36328125" customWidth="1"/>
    <col min="15361" max="15361" width="5.1796875" customWidth="1"/>
    <col min="15362" max="15362" width="102.54296875" customWidth="1"/>
    <col min="15363" max="15363" width="21.6328125" customWidth="1"/>
    <col min="15364" max="15364" width="36.6328125" bestFit="1" customWidth="1"/>
    <col min="15365" max="15365" width="11.54296875" customWidth="1"/>
    <col min="15366" max="15366" width="18.08984375" customWidth="1"/>
    <col min="15367" max="15367" width="15.54296875" customWidth="1"/>
    <col min="15368" max="15368" width="8.36328125" customWidth="1"/>
    <col min="15617" max="15617" width="5.1796875" customWidth="1"/>
    <col min="15618" max="15618" width="102.54296875" customWidth="1"/>
    <col min="15619" max="15619" width="21.6328125" customWidth="1"/>
    <col min="15620" max="15620" width="36.6328125" bestFit="1" customWidth="1"/>
    <col min="15621" max="15621" width="11.54296875" customWidth="1"/>
    <col min="15622" max="15622" width="18.08984375" customWidth="1"/>
    <col min="15623" max="15623" width="15.54296875" customWidth="1"/>
    <col min="15624" max="15624" width="8.36328125" customWidth="1"/>
    <col min="15873" max="15873" width="5.1796875" customWidth="1"/>
    <col min="15874" max="15874" width="102.54296875" customWidth="1"/>
    <col min="15875" max="15875" width="21.6328125" customWidth="1"/>
    <col min="15876" max="15876" width="36.6328125" bestFit="1" customWidth="1"/>
    <col min="15877" max="15877" width="11.54296875" customWidth="1"/>
    <col min="15878" max="15878" width="18.08984375" customWidth="1"/>
    <col min="15879" max="15879" width="15.54296875" customWidth="1"/>
    <col min="15880" max="15880" width="8.36328125" customWidth="1"/>
    <col min="16129" max="16129" width="5.1796875" customWidth="1"/>
    <col min="16130" max="16130" width="102.54296875" customWidth="1"/>
    <col min="16131" max="16131" width="21.6328125" customWidth="1"/>
    <col min="16132" max="16132" width="36.6328125" bestFit="1" customWidth="1"/>
    <col min="16133" max="16133" width="11.54296875" customWidth="1"/>
    <col min="16134" max="16134" width="18.08984375" customWidth="1"/>
    <col min="16135" max="16135" width="15.54296875" customWidth="1"/>
    <col min="16136" max="16136" width="8.36328125" customWidth="1"/>
  </cols>
  <sheetData>
    <row r="1" spans="1:8" ht="20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8" ht="20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8" ht="68.5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8" ht="13" customHeight="1" thickBot="1">
      <c r="A4" s="2"/>
      <c r="B4" s="40"/>
      <c r="C4" s="40"/>
      <c r="D4" s="40"/>
      <c r="E4" s="40"/>
      <c r="F4" s="40"/>
      <c r="G4" s="40"/>
      <c r="H4" s="40"/>
    </row>
    <row r="5" spans="1:8" s="8" customFormat="1" ht="28" customHeight="1">
      <c r="A5" s="4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s="8" customFormat="1" ht="13" customHeight="1">
      <c r="A6" s="4"/>
      <c r="B6" s="9" t="s">
        <v>11</v>
      </c>
      <c r="C6" s="10"/>
      <c r="D6" s="10"/>
      <c r="E6" s="10"/>
      <c r="F6" s="10"/>
      <c r="G6" s="10"/>
      <c r="H6" s="11"/>
    </row>
    <row r="7" spans="1:8" s="8" customFormat="1" ht="13" customHeight="1">
      <c r="A7" s="4"/>
      <c r="B7" s="9" t="s">
        <v>12</v>
      </c>
      <c r="C7" s="12"/>
      <c r="D7" s="12"/>
      <c r="E7" s="10"/>
      <c r="F7" s="10"/>
      <c r="G7" s="10"/>
      <c r="H7" s="11"/>
    </row>
    <row r="8" spans="1:8" s="8" customFormat="1" ht="13" customHeight="1">
      <c r="A8" s="1" t="s">
        <v>13</v>
      </c>
      <c r="B8" s="13" t="s">
        <v>14</v>
      </c>
      <c r="C8" s="14" t="s">
        <v>15</v>
      </c>
      <c r="D8" s="10" t="s">
        <v>16</v>
      </c>
      <c r="E8" s="15">
        <v>3394947</v>
      </c>
      <c r="F8" s="16">
        <v>40939.67</v>
      </c>
      <c r="G8" s="16">
        <v>9.2100000000000009</v>
      </c>
      <c r="H8" s="17"/>
    </row>
    <row r="9" spans="1:8" s="8" customFormat="1" ht="13" customHeight="1">
      <c r="A9" s="1" t="s">
        <v>17</v>
      </c>
      <c r="B9" s="13" t="s">
        <v>18</v>
      </c>
      <c r="C9" s="14" t="s">
        <v>19</v>
      </c>
      <c r="D9" s="10" t="s">
        <v>20</v>
      </c>
      <c r="E9" s="15">
        <v>1009212</v>
      </c>
      <c r="F9" s="16">
        <v>35363.800000000003</v>
      </c>
      <c r="G9" s="16">
        <v>7.96</v>
      </c>
      <c r="H9" s="17"/>
    </row>
    <row r="10" spans="1:8" s="8" customFormat="1" ht="13" customHeight="1">
      <c r="A10" s="1" t="s">
        <v>21</v>
      </c>
      <c r="B10" s="13" t="s">
        <v>22</v>
      </c>
      <c r="C10" s="14" t="s">
        <v>23</v>
      </c>
      <c r="D10" s="10" t="s">
        <v>16</v>
      </c>
      <c r="E10" s="15">
        <v>4610878</v>
      </c>
      <c r="F10" s="16">
        <v>33730.879999999997</v>
      </c>
      <c r="G10" s="16">
        <v>7.59</v>
      </c>
      <c r="H10" s="17"/>
    </row>
    <row r="11" spans="1:8" s="8" customFormat="1" ht="13" customHeight="1">
      <c r="A11" s="1" t="s">
        <v>24</v>
      </c>
      <c r="B11" s="13" t="s">
        <v>25</v>
      </c>
      <c r="C11" s="14" t="s">
        <v>26</v>
      </c>
      <c r="D11" s="10" t="s">
        <v>27</v>
      </c>
      <c r="E11" s="15">
        <v>692388</v>
      </c>
      <c r="F11" s="16">
        <v>27304.32</v>
      </c>
      <c r="G11" s="16">
        <v>6.14</v>
      </c>
      <c r="H11" s="17"/>
    </row>
    <row r="12" spans="1:8" s="8" customFormat="1" ht="13" customHeight="1">
      <c r="A12" s="1" t="s">
        <v>28</v>
      </c>
      <c r="B12" s="13" t="s">
        <v>29</v>
      </c>
      <c r="C12" s="14" t="s">
        <v>30</v>
      </c>
      <c r="D12" s="10" t="s">
        <v>31</v>
      </c>
      <c r="E12" s="15">
        <v>110009</v>
      </c>
      <c r="F12" s="16">
        <v>26660.68</v>
      </c>
      <c r="G12" s="16">
        <v>6</v>
      </c>
      <c r="H12" s="17"/>
    </row>
    <row r="13" spans="1:8" s="8" customFormat="1" ht="13" customHeight="1">
      <c r="A13" s="1" t="s">
        <v>32</v>
      </c>
      <c r="B13" s="13" t="s">
        <v>33</v>
      </c>
      <c r="C13" s="14" t="s">
        <v>34</v>
      </c>
      <c r="D13" s="10" t="s">
        <v>35</v>
      </c>
      <c r="E13" s="15">
        <v>3203299</v>
      </c>
      <c r="F13" s="16">
        <v>24152.87</v>
      </c>
      <c r="G13" s="16">
        <v>5.43</v>
      </c>
      <c r="H13" s="17"/>
    </row>
    <row r="14" spans="1:8" s="8" customFormat="1" ht="13" customHeight="1">
      <c r="A14" s="1" t="s">
        <v>36</v>
      </c>
      <c r="B14" s="13" t="s">
        <v>37</v>
      </c>
      <c r="C14" s="14" t="s">
        <v>38</v>
      </c>
      <c r="D14" s="10" t="s">
        <v>39</v>
      </c>
      <c r="E14" s="15">
        <v>447147</v>
      </c>
      <c r="F14" s="16">
        <v>21808.25</v>
      </c>
      <c r="G14" s="16">
        <v>4.91</v>
      </c>
      <c r="H14" s="17"/>
    </row>
    <row r="15" spans="1:8" s="8" customFormat="1" ht="13" customHeight="1">
      <c r="A15" s="1" t="s">
        <v>40</v>
      </c>
      <c r="B15" s="13" t="s">
        <v>41</v>
      </c>
      <c r="C15" s="14" t="s">
        <v>42</v>
      </c>
      <c r="D15" s="10" t="s">
        <v>43</v>
      </c>
      <c r="E15" s="15">
        <v>595076</v>
      </c>
      <c r="F15" s="16">
        <v>20751.490000000002</v>
      </c>
      <c r="G15" s="16">
        <v>4.67</v>
      </c>
      <c r="H15" s="17"/>
    </row>
    <row r="16" spans="1:8" s="8" customFormat="1" ht="13" customHeight="1">
      <c r="A16" s="1" t="s">
        <v>44</v>
      </c>
      <c r="B16" s="13" t="s">
        <v>45</v>
      </c>
      <c r="C16" s="14" t="s">
        <v>46</v>
      </c>
      <c r="D16" s="10" t="s">
        <v>47</v>
      </c>
      <c r="E16" s="15">
        <v>1786085</v>
      </c>
      <c r="F16" s="16">
        <v>20738.23</v>
      </c>
      <c r="G16" s="16">
        <v>4.67</v>
      </c>
      <c r="H16" s="17"/>
    </row>
    <row r="17" spans="1:8" s="8" customFormat="1" ht="13" customHeight="1">
      <c r="A17" s="1" t="s">
        <v>48</v>
      </c>
      <c r="B17" s="13" t="s">
        <v>49</v>
      </c>
      <c r="C17" s="14" t="s">
        <v>50</v>
      </c>
      <c r="D17" s="10" t="s">
        <v>35</v>
      </c>
      <c r="E17" s="15">
        <v>603968</v>
      </c>
      <c r="F17" s="16">
        <v>20316.28</v>
      </c>
      <c r="G17" s="16">
        <v>4.57</v>
      </c>
      <c r="H17" s="17"/>
    </row>
    <row r="18" spans="1:8" s="8" customFormat="1" ht="13" customHeight="1">
      <c r="A18" s="1" t="s">
        <v>51</v>
      </c>
      <c r="B18" s="13" t="s">
        <v>52</v>
      </c>
      <c r="C18" s="14" t="s">
        <v>53</v>
      </c>
      <c r="D18" s="10" t="s">
        <v>54</v>
      </c>
      <c r="E18" s="15">
        <v>8432444</v>
      </c>
      <c r="F18" s="16">
        <v>19308.61</v>
      </c>
      <c r="G18" s="16">
        <v>4.34</v>
      </c>
      <c r="H18" s="17"/>
    </row>
    <row r="19" spans="1:8" s="8" customFormat="1" ht="13" customHeight="1">
      <c r="A19" s="1" t="s">
        <v>55</v>
      </c>
      <c r="B19" s="13" t="s">
        <v>56</v>
      </c>
      <c r="C19" s="14" t="s">
        <v>57</v>
      </c>
      <c r="D19" s="10" t="s">
        <v>39</v>
      </c>
      <c r="E19" s="15">
        <v>1730330</v>
      </c>
      <c r="F19" s="16">
        <v>19287.990000000002</v>
      </c>
      <c r="G19" s="16">
        <v>4.34</v>
      </c>
      <c r="H19" s="17"/>
    </row>
    <row r="20" spans="1:8" s="8" customFormat="1" ht="13" customHeight="1">
      <c r="A20" s="1" t="s">
        <v>58</v>
      </c>
      <c r="B20" s="13" t="s">
        <v>59</v>
      </c>
      <c r="C20" s="14" t="s">
        <v>60</v>
      </c>
      <c r="D20" s="10" t="s">
        <v>61</v>
      </c>
      <c r="E20" s="15">
        <v>1377000</v>
      </c>
      <c r="F20" s="16">
        <v>18654.22</v>
      </c>
      <c r="G20" s="16">
        <v>4.2</v>
      </c>
      <c r="H20" s="17"/>
    </row>
    <row r="21" spans="1:8" s="8" customFormat="1" ht="13" customHeight="1">
      <c r="A21" s="1" t="s">
        <v>62</v>
      </c>
      <c r="B21" s="13" t="s">
        <v>63</v>
      </c>
      <c r="C21" s="14" t="s">
        <v>64</v>
      </c>
      <c r="D21" s="10" t="s">
        <v>65</v>
      </c>
      <c r="E21" s="15">
        <v>186605</v>
      </c>
      <c r="F21" s="16">
        <v>18050.3</v>
      </c>
      <c r="G21" s="16">
        <v>4.0599999999999996</v>
      </c>
      <c r="H21" s="17"/>
    </row>
    <row r="22" spans="1:8" s="8" customFormat="1" ht="13" customHeight="1">
      <c r="A22" s="1" t="s">
        <v>66</v>
      </c>
      <c r="B22" s="13" t="s">
        <v>67</v>
      </c>
      <c r="C22" s="14" t="s">
        <v>68</v>
      </c>
      <c r="D22" s="10" t="s">
        <v>27</v>
      </c>
      <c r="E22" s="15">
        <v>4261859</v>
      </c>
      <c r="F22" s="16">
        <v>17759.169999999998</v>
      </c>
      <c r="G22" s="16">
        <v>4</v>
      </c>
      <c r="H22" s="17"/>
    </row>
    <row r="23" spans="1:8" s="8" customFormat="1" ht="13" customHeight="1">
      <c r="A23" s="1" t="s">
        <v>69</v>
      </c>
      <c r="B23" s="13" t="s">
        <v>70</v>
      </c>
      <c r="C23" s="14" t="s">
        <v>71</v>
      </c>
      <c r="D23" s="10" t="s">
        <v>72</v>
      </c>
      <c r="E23" s="15">
        <v>1626787</v>
      </c>
      <c r="F23" s="16">
        <v>15635.05</v>
      </c>
      <c r="G23" s="16">
        <v>3.52</v>
      </c>
      <c r="H23" s="17"/>
    </row>
    <row r="24" spans="1:8" s="8" customFormat="1" ht="13" customHeight="1">
      <c r="A24" s="1" t="s">
        <v>73</v>
      </c>
      <c r="B24" s="13" t="s">
        <v>74</v>
      </c>
      <c r="C24" s="14" t="s">
        <v>75</v>
      </c>
      <c r="D24" s="10" t="s">
        <v>47</v>
      </c>
      <c r="E24" s="15">
        <v>595599</v>
      </c>
      <c r="F24" s="16">
        <v>14231.24</v>
      </c>
      <c r="G24" s="16">
        <v>3.2</v>
      </c>
      <c r="H24" s="17"/>
    </row>
    <row r="25" spans="1:8" s="8" customFormat="1" ht="13" customHeight="1">
      <c r="A25" s="1" t="s">
        <v>76</v>
      </c>
      <c r="B25" s="13" t="s">
        <v>77</v>
      </c>
      <c r="C25" s="14" t="s">
        <v>78</v>
      </c>
      <c r="D25" s="10" t="s">
        <v>79</v>
      </c>
      <c r="E25" s="15">
        <v>770280</v>
      </c>
      <c r="F25" s="16">
        <v>10548.21</v>
      </c>
      <c r="G25" s="16">
        <v>2.37</v>
      </c>
      <c r="H25" s="17"/>
    </row>
    <row r="26" spans="1:8" s="8" customFormat="1" ht="13" customHeight="1">
      <c r="A26" s="1" t="s">
        <v>80</v>
      </c>
      <c r="B26" s="13" t="s">
        <v>81</v>
      </c>
      <c r="C26" s="14" t="s">
        <v>82</v>
      </c>
      <c r="D26" s="10" t="s">
        <v>83</v>
      </c>
      <c r="E26" s="15">
        <v>709077</v>
      </c>
      <c r="F26" s="16">
        <v>7962.93</v>
      </c>
      <c r="G26" s="16">
        <v>1.79</v>
      </c>
      <c r="H26" s="17"/>
    </row>
    <row r="27" spans="1:8" s="8" customFormat="1" ht="13" customHeight="1">
      <c r="A27" s="1" t="s">
        <v>84</v>
      </c>
      <c r="B27" s="13" t="s">
        <v>85</v>
      </c>
      <c r="C27" s="14" t="s">
        <v>86</v>
      </c>
      <c r="D27" s="10" t="s">
        <v>87</v>
      </c>
      <c r="E27" s="15">
        <v>1388970</v>
      </c>
      <c r="F27" s="16">
        <v>4187.05</v>
      </c>
      <c r="G27" s="16">
        <v>0.94</v>
      </c>
      <c r="H27" s="17"/>
    </row>
    <row r="28" spans="1:8" s="8" customFormat="1" ht="13" customHeight="1">
      <c r="A28" s="4"/>
      <c r="B28" s="9" t="s">
        <v>88</v>
      </c>
      <c r="C28" s="10"/>
      <c r="D28" s="10"/>
      <c r="E28" s="10"/>
      <c r="F28" s="18">
        <v>417391.24</v>
      </c>
      <c r="G28" s="18">
        <v>93.91</v>
      </c>
      <c r="H28" s="19"/>
    </row>
    <row r="29" spans="1:8" s="8" customFormat="1" ht="13" customHeight="1">
      <c r="A29" s="4"/>
      <c r="B29" s="20" t="s">
        <v>89</v>
      </c>
      <c r="C29" s="21"/>
      <c r="D29" s="21"/>
      <c r="E29" s="22"/>
      <c r="F29" s="23" t="s">
        <v>90</v>
      </c>
      <c r="G29" s="23" t="s">
        <v>90</v>
      </c>
      <c r="H29" s="24" t="s">
        <v>90</v>
      </c>
    </row>
    <row r="30" spans="1:8" s="8" customFormat="1" ht="13" customHeight="1">
      <c r="A30" s="4"/>
      <c r="B30" s="25" t="s">
        <v>88</v>
      </c>
      <c r="C30" s="26"/>
      <c r="D30" s="26"/>
      <c r="E30" s="23"/>
      <c r="F30" s="23" t="s">
        <v>90</v>
      </c>
      <c r="G30" s="23" t="s">
        <v>90</v>
      </c>
      <c r="H30" s="24" t="s">
        <v>90</v>
      </c>
    </row>
    <row r="31" spans="1:8" s="8" customFormat="1" ht="13" customHeight="1">
      <c r="A31" s="4"/>
      <c r="B31" s="20" t="s">
        <v>91</v>
      </c>
      <c r="C31" s="21"/>
      <c r="D31" s="21"/>
      <c r="E31" s="27"/>
      <c r="F31" s="18">
        <v>417391.24</v>
      </c>
      <c r="G31" s="18">
        <v>93.91</v>
      </c>
      <c r="H31" s="24"/>
    </row>
    <row r="32" spans="1:8" s="8" customFormat="1" ht="13" customHeight="1">
      <c r="A32" s="4"/>
      <c r="B32" s="9" t="s">
        <v>92</v>
      </c>
      <c r="C32" s="10"/>
      <c r="D32" s="10"/>
      <c r="E32" s="10"/>
      <c r="F32" s="10"/>
      <c r="G32" s="10"/>
      <c r="H32" s="11"/>
    </row>
    <row r="33" spans="1:8" s="8" customFormat="1" ht="13" customHeight="1">
      <c r="A33" s="4"/>
      <c r="B33" s="9" t="s">
        <v>93</v>
      </c>
      <c r="C33" s="12"/>
      <c r="D33" s="12"/>
      <c r="E33" s="10"/>
      <c r="F33" s="10"/>
      <c r="G33" s="10"/>
      <c r="H33" s="11"/>
    </row>
    <row r="34" spans="1:8" s="8" customFormat="1" ht="13" customHeight="1">
      <c r="A34" s="1" t="s">
        <v>94</v>
      </c>
      <c r="B34" s="13" t="s">
        <v>95</v>
      </c>
      <c r="C34" s="14"/>
      <c r="D34" s="10"/>
      <c r="E34" s="15"/>
      <c r="F34" s="16">
        <v>7529.18</v>
      </c>
      <c r="G34" s="16">
        <v>1.69</v>
      </c>
      <c r="H34" s="17">
        <v>6.3946755053082643E-2</v>
      </c>
    </row>
    <row r="35" spans="1:8" s="8" customFormat="1" ht="13" customHeight="1">
      <c r="A35" s="4"/>
      <c r="B35" s="9" t="s">
        <v>88</v>
      </c>
      <c r="C35" s="10"/>
      <c r="D35" s="10"/>
      <c r="E35" s="10"/>
      <c r="F35" s="18">
        <v>7529.18</v>
      </c>
      <c r="G35" s="18">
        <v>1.69</v>
      </c>
      <c r="H35" s="19"/>
    </row>
    <row r="36" spans="1:8" s="8" customFormat="1" ht="13" customHeight="1">
      <c r="A36" s="4"/>
      <c r="B36" s="20" t="s">
        <v>91</v>
      </c>
      <c r="C36" s="21"/>
      <c r="D36" s="21"/>
      <c r="E36" s="27"/>
      <c r="F36" s="18">
        <v>7529.18</v>
      </c>
      <c r="G36" s="18">
        <v>1.69</v>
      </c>
      <c r="H36" s="24"/>
    </row>
    <row r="37" spans="1:8" s="8" customFormat="1" ht="13" customHeight="1">
      <c r="A37" s="4"/>
      <c r="B37" s="9" t="s">
        <v>96</v>
      </c>
      <c r="C37" s="10"/>
      <c r="D37" s="10"/>
      <c r="E37" s="10"/>
      <c r="F37" s="10"/>
      <c r="G37" s="10"/>
      <c r="H37" s="11"/>
    </row>
    <row r="38" spans="1:8" s="8" customFormat="1" ht="13" customHeight="1">
      <c r="A38" s="4"/>
      <c r="B38" s="9" t="s">
        <v>97</v>
      </c>
      <c r="C38" s="12"/>
      <c r="D38" s="12"/>
      <c r="E38" s="10"/>
      <c r="F38" s="10"/>
      <c r="G38" s="10"/>
      <c r="H38" s="11"/>
    </row>
    <row r="39" spans="1:8" s="8" customFormat="1" ht="13" customHeight="1">
      <c r="A39" s="1" t="s">
        <v>98</v>
      </c>
      <c r="B39" s="13" t="s">
        <v>99</v>
      </c>
      <c r="C39" s="14" t="s">
        <v>100</v>
      </c>
      <c r="D39" s="10"/>
      <c r="E39" s="28">
        <v>397771.54200000002</v>
      </c>
      <c r="F39" s="16">
        <v>15038.72</v>
      </c>
      <c r="G39" s="16">
        <v>3.38</v>
      </c>
      <c r="H39" s="17"/>
    </row>
    <row r="40" spans="1:8" s="8" customFormat="1" ht="13" customHeight="1">
      <c r="A40" s="1" t="s">
        <v>101</v>
      </c>
      <c r="B40" s="13" t="s">
        <v>102</v>
      </c>
      <c r="C40" s="14" t="s">
        <v>103</v>
      </c>
      <c r="D40" s="10"/>
      <c r="E40" s="28">
        <v>185774.095</v>
      </c>
      <c r="F40" s="16">
        <v>7582.85</v>
      </c>
      <c r="G40" s="16">
        <v>1.71</v>
      </c>
      <c r="H40" s="17"/>
    </row>
    <row r="41" spans="1:8" s="8" customFormat="1" ht="13" customHeight="1">
      <c r="A41" s="4"/>
      <c r="B41" s="9" t="s">
        <v>88</v>
      </c>
      <c r="C41" s="10"/>
      <c r="D41" s="10"/>
      <c r="E41" s="10"/>
      <c r="F41" s="18">
        <v>22621.57</v>
      </c>
      <c r="G41" s="18">
        <v>5.09</v>
      </c>
      <c r="H41" s="19"/>
    </row>
    <row r="42" spans="1:8" ht="13" customHeight="1">
      <c r="B42" s="9" t="s">
        <v>104</v>
      </c>
      <c r="C42" s="10"/>
      <c r="D42" s="10"/>
      <c r="E42" s="10"/>
      <c r="F42" s="29"/>
      <c r="G42" s="30"/>
      <c r="H42" s="19"/>
    </row>
    <row r="43" spans="1:8" ht="13" customHeight="1">
      <c r="A43" s="1" t="s">
        <v>105</v>
      </c>
      <c r="B43" s="13" t="s">
        <v>106</v>
      </c>
      <c r="C43" s="14" t="s">
        <v>107</v>
      </c>
      <c r="D43" s="10" t="s">
        <v>35</v>
      </c>
      <c r="E43" s="15">
        <v>1193784</v>
      </c>
      <c r="F43" s="16">
        <v>122.36</v>
      </c>
      <c r="G43" s="16">
        <v>0.03</v>
      </c>
      <c r="H43" s="17"/>
    </row>
    <row r="44" spans="1:8" ht="13" customHeight="1">
      <c r="A44" s="2"/>
      <c r="B44" s="9" t="s">
        <v>88</v>
      </c>
      <c r="C44" s="10"/>
      <c r="D44" s="10"/>
      <c r="E44" s="10"/>
      <c r="F44" s="18">
        <f>F43</f>
        <v>122.36</v>
      </c>
      <c r="G44" s="18">
        <f>G43</f>
        <v>0.03</v>
      </c>
      <c r="H44" s="19"/>
    </row>
    <row r="45" spans="1:8" s="8" customFormat="1" ht="13" customHeight="1">
      <c r="A45" s="4"/>
      <c r="B45" s="20" t="s">
        <v>91</v>
      </c>
      <c r="C45" s="21"/>
      <c r="D45" s="21"/>
      <c r="E45" s="27"/>
      <c r="F45" s="18">
        <f>F41+F44</f>
        <v>22743.93</v>
      </c>
      <c r="G45" s="18">
        <f>G41+G44</f>
        <v>5.12</v>
      </c>
      <c r="H45" s="24"/>
    </row>
    <row r="46" spans="1:8" s="8" customFormat="1" ht="13" customHeight="1">
      <c r="A46" s="4"/>
      <c r="B46" s="20" t="s">
        <v>108</v>
      </c>
      <c r="C46" s="21"/>
      <c r="D46" s="21"/>
      <c r="E46" s="10"/>
      <c r="F46" s="18">
        <v>-3175.54</v>
      </c>
      <c r="G46" s="18">
        <v>-0.72</v>
      </c>
      <c r="H46" s="24"/>
    </row>
    <row r="47" spans="1:8" s="8" customFormat="1" ht="13" customHeight="1" thickBot="1">
      <c r="A47" s="4"/>
      <c r="B47" s="31" t="s">
        <v>109</v>
      </c>
      <c r="C47" s="32"/>
      <c r="D47" s="32"/>
      <c r="E47" s="32"/>
      <c r="F47" s="33">
        <v>444488.81</v>
      </c>
      <c r="G47" s="34">
        <v>100</v>
      </c>
      <c r="H47" s="35"/>
    </row>
    <row r="48" spans="1:8" s="8" customFormat="1" ht="13" customHeight="1">
      <c r="A48" s="4"/>
      <c r="B48" s="41"/>
      <c r="C48" s="41"/>
      <c r="D48" s="41"/>
      <c r="E48" s="41"/>
      <c r="F48" s="4"/>
      <c r="G48" s="4"/>
      <c r="H48" s="4"/>
    </row>
    <row r="49" spans="1:8" s="8" customFormat="1" ht="13" customHeight="1">
      <c r="A49" s="4"/>
      <c r="B49" s="41" t="s">
        <v>110</v>
      </c>
      <c r="C49" s="41"/>
      <c r="D49" s="41"/>
      <c r="E49" s="41"/>
      <c r="F49" s="4"/>
      <c r="G49" s="4"/>
      <c r="H49" s="4"/>
    </row>
    <row r="50" spans="1:8" s="8" customFormat="1" ht="13" customHeight="1">
      <c r="A50" s="4"/>
      <c r="B50" s="41" t="s">
        <v>111</v>
      </c>
      <c r="C50" s="41"/>
      <c r="D50" s="41"/>
      <c r="E50" s="41"/>
      <c r="F50" s="4"/>
      <c r="G50" s="4"/>
      <c r="H50" s="4"/>
    </row>
    <row r="51" spans="1:8" s="8" customFormat="1" ht="13" customHeight="1">
      <c r="A51" s="4"/>
      <c r="B51" s="41" t="s">
        <v>112</v>
      </c>
      <c r="C51" s="41"/>
      <c r="D51" s="41"/>
      <c r="E51" s="41"/>
      <c r="F51" s="4"/>
      <c r="G51" s="4"/>
      <c r="H51" s="4"/>
    </row>
    <row r="52" spans="1:8" s="8" customFormat="1" ht="13" customHeight="1">
      <c r="A52" s="4"/>
      <c r="B52" s="41" t="s">
        <v>113</v>
      </c>
      <c r="C52" s="41"/>
      <c r="D52" s="41"/>
      <c r="E52" s="41"/>
      <c r="F52" s="4"/>
      <c r="G52" s="4"/>
      <c r="H52" s="4"/>
    </row>
    <row r="53" spans="1:8" s="8" customFormat="1" ht="13" customHeight="1">
      <c r="A53" s="4"/>
      <c r="B53" s="36" t="s">
        <v>114</v>
      </c>
      <c r="C53" s="36" t="s">
        <v>115</v>
      </c>
      <c r="D53" s="4"/>
      <c r="E53" s="4"/>
      <c r="F53" s="4"/>
      <c r="G53" s="4"/>
      <c r="H53" s="4"/>
    </row>
    <row r="54" spans="1:8" s="8" customFormat="1" ht="13" customHeight="1">
      <c r="A54" s="4"/>
      <c r="B54" s="21" t="s">
        <v>116</v>
      </c>
      <c r="C54" s="37">
        <v>25525</v>
      </c>
      <c r="D54" s="4"/>
      <c r="E54" s="4"/>
      <c r="F54" s="4"/>
      <c r="G54" s="4"/>
      <c r="H54" s="4"/>
    </row>
    <row r="55" spans="1:8" s="8" customFormat="1" ht="13" customHeight="1">
      <c r="A55" s="4"/>
      <c r="B55" s="40"/>
      <c r="C55" s="40"/>
      <c r="D55" s="40"/>
      <c r="E55" s="40"/>
      <c r="F55" s="4"/>
      <c r="G55" s="4"/>
      <c r="H55" s="4"/>
    </row>
    <row r="56" spans="1:8" s="8" customFormat="1">
      <c r="B56" s="41" t="s">
        <v>117</v>
      </c>
      <c r="C56" s="41"/>
      <c r="D56" s="41"/>
      <c r="E56" s="41"/>
      <c r="F56" s="2"/>
      <c r="G56" s="2"/>
      <c r="H56" s="2"/>
    </row>
    <row r="57" spans="1:8" s="8" customFormat="1">
      <c r="B57" s="40" t="s">
        <v>118</v>
      </c>
      <c r="C57" s="40"/>
      <c r="D57" s="40"/>
      <c r="E57" s="40"/>
      <c r="F57" s="2"/>
      <c r="G57" s="2"/>
      <c r="H57" s="2"/>
    </row>
    <row r="58" spans="1:8" s="8" customFormat="1">
      <c r="B58" s="40" t="s">
        <v>119</v>
      </c>
      <c r="C58" s="40"/>
      <c r="D58" s="40"/>
      <c r="E58" s="40"/>
      <c r="F58" s="2"/>
      <c r="G58" s="2"/>
      <c r="H58" s="2"/>
    </row>
    <row r="59" spans="1:8" s="8" customFormat="1" ht="11.5">
      <c r="B59" s="40" t="s">
        <v>120</v>
      </c>
      <c r="C59" s="40"/>
      <c r="D59" s="40"/>
      <c r="E59" s="40"/>
      <c r="F59" s="40"/>
      <c r="G59" s="40"/>
      <c r="H59" s="40"/>
    </row>
    <row r="60" spans="1:8" s="8" customFormat="1" ht="11.5">
      <c r="B60" s="40" t="s">
        <v>121</v>
      </c>
      <c r="C60" s="40"/>
      <c r="D60" s="40"/>
      <c r="E60" s="40"/>
      <c r="F60" s="40"/>
      <c r="G60" s="40"/>
      <c r="H60" s="40"/>
    </row>
    <row r="61" spans="1:8" s="8" customFormat="1">
      <c r="B61" s="40" t="s">
        <v>122</v>
      </c>
      <c r="C61" s="40"/>
      <c r="D61" s="40"/>
      <c r="E61" s="40"/>
      <c r="F61" s="2"/>
      <c r="G61" s="2"/>
      <c r="H61" s="2"/>
    </row>
    <row r="62" spans="1:8" s="8" customFormat="1" ht="11.5"/>
    <row r="63" spans="1:8" s="38" customFormat="1" ht="12"/>
    <row r="64" spans="1:8">
      <c r="F64" s="39" t="s">
        <v>123</v>
      </c>
    </row>
    <row r="65" spans="2:6">
      <c r="B65" s="39" t="s">
        <v>124</v>
      </c>
      <c r="F65" s="39" t="s">
        <v>125</v>
      </c>
    </row>
  </sheetData>
  <mergeCells count="16">
    <mergeCell ref="B49:E49"/>
    <mergeCell ref="B1:H1"/>
    <mergeCell ref="B2:H2"/>
    <mergeCell ref="B3:H3"/>
    <mergeCell ref="B4:H4"/>
    <mergeCell ref="B48:E48"/>
    <mergeCell ref="B58:E58"/>
    <mergeCell ref="B59:H59"/>
    <mergeCell ref="B60:H60"/>
    <mergeCell ref="B61:E61"/>
    <mergeCell ref="B50:E50"/>
    <mergeCell ref="B51:E51"/>
    <mergeCell ref="B52:E52"/>
    <mergeCell ref="B55:E55"/>
    <mergeCell ref="B56:E56"/>
    <mergeCell ref="B57:E57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06305-F4CB-4A88-8121-4EF4F3F35819}">
  <sheetPr codeName="Sheet8"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126</v>
      </c>
      <c r="B1" s="41"/>
      <c r="C1" s="41"/>
      <c r="D1" s="4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4" t="s">
        <v>127</v>
      </c>
      <c r="B3" s="44"/>
      <c r="C3" s="2"/>
      <c r="D3" s="2"/>
      <c r="E3" s="44" t="s">
        <v>128</v>
      </c>
      <c r="F3" s="44"/>
    </row>
    <row r="4" spans="1:6" ht="13" customHeight="1">
      <c r="A4" s="36" t="s">
        <v>129</v>
      </c>
      <c r="B4" s="36" t="s">
        <v>9</v>
      </c>
      <c r="C4" s="2"/>
      <c r="D4" s="2"/>
      <c r="E4" s="36" t="s">
        <v>130</v>
      </c>
      <c r="F4" s="36" t="s">
        <v>131</v>
      </c>
    </row>
    <row r="5" spans="1:6" ht="13" customHeight="1">
      <c r="A5" s="21" t="s">
        <v>14</v>
      </c>
      <c r="B5" s="45">
        <v>9.2100000000000001E-2</v>
      </c>
      <c r="C5" s="2"/>
      <c r="D5" s="2"/>
      <c r="E5" s="21" t="s">
        <v>132</v>
      </c>
      <c r="F5" s="45">
        <v>0.28860000000000002</v>
      </c>
    </row>
    <row r="6" spans="1:6" ht="13" customHeight="1">
      <c r="A6" s="21" t="s">
        <v>18</v>
      </c>
      <c r="B6" s="45">
        <v>7.9600000000000004E-2</v>
      </c>
      <c r="C6" s="2"/>
      <c r="D6" s="2"/>
      <c r="E6" s="21" t="s">
        <v>133</v>
      </c>
      <c r="F6" s="45">
        <v>0.13039999999999999</v>
      </c>
    </row>
    <row r="7" spans="1:6" ht="13" customHeight="1">
      <c r="A7" s="21" t="s">
        <v>22</v>
      </c>
      <c r="B7" s="45">
        <v>7.5899999999999995E-2</v>
      </c>
      <c r="C7" s="2"/>
      <c r="D7" s="2"/>
      <c r="E7" s="21" t="s">
        <v>134</v>
      </c>
      <c r="F7" s="45">
        <v>0.1014</v>
      </c>
    </row>
    <row r="8" spans="1:6" ht="13" customHeight="1">
      <c r="A8" s="21" t="s">
        <v>25</v>
      </c>
      <c r="B8" s="45">
        <v>6.1400000000000003E-2</v>
      </c>
      <c r="C8" s="2"/>
      <c r="D8" s="2"/>
      <c r="E8" s="21" t="s">
        <v>135</v>
      </c>
      <c r="F8" s="45">
        <v>0.1</v>
      </c>
    </row>
    <row r="9" spans="1:6" ht="13" customHeight="1">
      <c r="A9" s="21" t="s">
        <v>29</v>
      </c>
      <c r="B9" s="45">
        <v>0.06</v>
      </c>
      <c r="C9" s="2"/>
      <c r="D9" s="2"/>
      <c r="E9" s="21" t="s">
        <v>136</v>
      </c>
      <c r="F9" s="45">
        <v>9.2499999999999999E-2</v>
      </c>
    </row>
    <row r="10" spans="1:6" ht="13" customHeight="1">
      <c r="A10" s="21" t="s">
        <v>33</v>
      </c>
      <c r="B10" s="45">
        <v>5.4300000000000001E-2</v>
      </c>
      <c r="C10" s="2"/>
      <c r="D10" s="2"/>
      <c r="E10" s="21" t="s">
        <v>20</v>
      </c>
      <c r="F10" s="45">
        <v>7.9600000000000004E-2</v>
      </c>
    </row>
    <row r="11" spans="1:6" ht="13" customHeight="1">
      <c r="A11" s="21" t="s">
        <v>137</v>
      </c>
      <c r="B11" s="45">
        <v>5.0900000000000001E-2</v>
      </c>
      <c r="C11" s="2"/>
      <c r="D11" s="2"/>
      <c r="E11" s="21" t="s">
        <v>96</v>
      </c>
      <c r="F11" s="45">
        <v>6.7799999999999999E-2</v>
      </c>
    </row>
    <row r="12" spans="1:6" ht="13" customHeight="1">
      <c r="A12" s="21" t="s">
        <v>116</v>
      </c>
      <c r="B12" s="45">
        <v>4.9099999999999998E-2</v>
      </c>
      <c r="C12" s="2"/>
      <c r="D12" s="2"/>
      <c r="E12" s="21" t="s">
        <v>138</v>
      </c>
      <c r="F12" s="45">
        <v>4.4600000000000001E-2</v>
      </c>
    </row>
    <row r="13" spans="1:6" ht="13" customHeight="1">
      <c r="A13" s="21" t="s">
        <v>41</v>
      </c>
      <c r="B13" s="45">
        <v>4.6699999999999998E-2</v>
      </c>
      <c r="C13" s="2"/>
      <c r="D13" s="2"/>
      <c r="E13" s="21" t="s">
        <v>139</v>
      </c>
      <c r="F13" s="45">
        <v>4.3400000000000001E-2</v>
      </c>
    </row>
    <row r="14" spans="1:6" ht="13" customHeight="1">
      <c r="A14" s="21" t="s">
        <v>140</v>
      </c>
      <c r="B14" s="45">
        <v>4.6699999999999998E-2</v>
      </c>
      <c r="C14" s="2"/>
      <c r="D14" s="2"/>
      <c r="E14" s="21" t="s">
        <v>65</v>
      </c>
      <c r="F14" s="45">
        <v>4.0599999999999997E-2</v>
      </c>
    </row>
    <row r="15" spans="1:6" ht="13" customHeight="1">
      <c r="A15" s="2"/>
      <c r="B15" s="2"/>
      <c r="C15" s="2"/>
      <c r="D15" s="2"/>
      <c r="E15" s="21" t="s">
        <v>83</v>
      </c>
      <c r="F15" s="45">
        <v>1.7899999999999999E-2</v>
      </c>
    </row>
    <row r="16" spans="1:6" ht="13" customHeight="1">
      <c r="A16" s="2"/>
      <c r="B16" s="2"/>
      <c r="C16" s="2"/>
      <c r="D16" s="2"/>
      <c r="E16" s="21" t="s">
        <v>141</v>
      </c>
      <c r="F16" s="45">
        <v>-6.8999999999999999E-3</v>
      </c>
    </row>
    <row r="17" spans="1:6" ht="13" customHeight="1">
      <c r="A17" s="2"/>
      <c r="B17" s="2"/>
      <c r="C17" s="2"/>
      <c r="D17" s="2"/>
      <c r="E17" s="36" t="s">
        <v>142</v>
      </c>
      <c r="F17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Focused Fund</vt:lpstr>
      <vt:lpstr>IFEF</vt:lpstr>
      <vt:lpstr>IFEF!JR_PAGE_ANCHOR_0_8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2026-04-10T07:03:40Z</dcterms:created>
  <dcterms:modified xsi:type="dcterms:W3CDTF">2026-04-10T07:10:32Z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2026-04-10T07:04:22Z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80d09bdc-8c3d-46ad-a2ef-e0a799d589a5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