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A8A44A8-A7CC-4C03-B60E-7A9B9B2EAEAC}" xr6:coauthVersionLast="47" xr6:coauthVersionMax="47" xr10:uidLastSave="{00000000-0000-0000-0000-000000000000}"/>
  <bookViews>
    <workbookView xWindow="-120" yWindow="-120" windowWidth="29040" windowHeight="15720" xr2:uid="{121DA2DA-80AC-462A-BEE8-C48C5571458B}"/>
  </bookViews>
  <sheets>
    <sheet name="Flexi Cap" sheetId="1" r:id="rId1"/>
    <sheet name="IFCF" sheetId="2" r:id="rId2"/>
  </sheets>
  <definedNames>
    <definedName name="JR_PAGE_ANCHOR_0_7" localSheetId="1">IFCF!$A$1</definedName>
    <definedName name="JR_PAGE_ANCHOR_0_7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5" i="1" l="1"/>
  <c r="F85" i="1"/>
  <c r="G72" i="1"/>
  <c r="F72" i="1"/>
  <c r="G71" i="1"/>
  <c r="F71" i="1"/>
</calcChain>
</file>

<file path=xl/sharedStrings.xml><?xml version="1.0" encoding="utf-8"?>
<sst xmlns="http://schemas.openxmlformats.org/spreadsheetml/2006/main" count="322" uniqueCount="261">
  <si>
    <t>IFCF</t>
  </si>
  <si>
    <t>INVESCO MUTUAL FUND</t>
  </si>
  <si>
    <t>Monthly Portfolio Statement as on September 30, 2025</t>
  </si>
  <si>
    <t>Invesco India Flexi Cap Fund
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</si>
  <si>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</si>
  <si>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</si>
  <si>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</si>
  <si>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</si>
  <si>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</si>
  <si>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</si>
  <si>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</si>
  <si>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</si>
  <si>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</si>
  <si>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</si>
  <si>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</si>
  <si>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</si>
  <si>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</si>
  <si>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</si>
  <si>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</si>
  <si>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</si>
  <si>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</si>
  <si>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</si>
  <si>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</si>
  <si>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</si>
  <si>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</si>
  <si>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</si>
  <si>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</si>
  <si>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</si>
  <si>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</si>
  <si>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</si>
  <si>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</si>
  <si>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LARS02</t>
  </si>
  <si>
    <t>Larsen &amp; Toubro Limited</t>
  </si>
  <si>
    <t>INE018A01030</t>
  </si>
  <si>
    <t>Construction</t>
  </si>
  <si>
    <t>CHOL02</t>
  </si>
  <si>
    <t>Cholamandalam Investment and Finance Company Limited</t>
  </si>
  <si>
    <t>INE121A01024</t>
  </si>
  <si>
    <t>Finance</t>
  </si>
  <si>
    <t>SAEL02</t>
  </si>
  <si>
    <t>TVS Motor Company Limited</t>
  </si>
  <si>
    <t>INE494B01023</t>
  </si>
  <si>
    <t>Automobiles</t>
  </si>
  <si>
    <t>MAHE01</t>
  </si>
  <si>
    <t>Max Healthcare Institute Limited</t>
  </si>
  <si>
    <t>INE027H01010</t>
  </si>
  <si>
    <t>Healthcare Services</t>
  </si>
  <si>
    <t>SAPH01</t>
  </si>
  <si>
    <t>Sai Life Sciences Limited</t>
  </si>
  <si>
    <t>INE570L01029</t>
  </si>
  <si>
    <t>Pharmaceuticals &amp; Biotechnology</t>
  </si>
  <si>
    <t>DIXO02</t>
  </si>
  <si>
    <t>Dixon Technologies (India) Limited</t>
  </si>
  <si>
    <t>INE935N01020</t>
  </si>
  <si>
    <t>Consumer Durables</t>
  </si>
  <si>
    <t>BAFL03</t>
  </si>
  <si>
    <t>Bajaj Finance Ltd</t>
  </si>
  <si>
    <t>INE296A01032</t>
  </si>
  <si>
    <t>MAHI02</t>
  </si>
  <si>
    <t>Mahindra &amp; Mahindra Limited</t>
  </si>
  <si>
    <t>INE101A01026</t>
  </si>
  <si>
    <t>HDAM01</t>
  </si>
  <si>
    <t>HDFC Asset Management Company Limited</t>
  </si>
  <si>
    <t>INE127D01025</t>
  </si>
  <si>
    <t>Capital Markets</t>
  </si>
  <si>
    <t>NITL02</t>
  </si>
  <si>
    <t>Coforge Limited</t>
  </si>
  <si>
    <t>INE591G01025</t>
  </si>
  <si>
    <t>IT - Software</t>
  </si>
  <si>
    <t>MAUD01</t>
  </si>
  <si>
    <t>Maruti Suzuki India Limited</t>
  </si>
  <si>
    <t>INE585B01010</t>
  </si>
  <si>
    <t>APLI04</t>
  </si>
  <si>
    <t>Hexaware Technologies Limited</t>
  </si>
  <si>
    <t>INE093A01041</t>
  </si>
  <si>
    <t>ESMC02</t>
  </si>
  <si>
    <t>PB Fintech Limited</t>
  </si>
  <si>
    <t>INE417T01026</t>
  </si>
  <si>
    <t>Financial Technology (Fintech)</t>
  </si>
  <si>
    <t>JKCE01</t>
  </si>
  <si>
    <t>JK Cement Limited</t>
  </si>
  <si>
    <t>INE823G01014</t>
  </si>
  <si>
    <t>Cement &amp; Cement Products</t>
  </si>
  <si>
    <t>BLTE01</t>
  </si>
  <si>
    <t>Swiggy Limited</t>
  </si>
  <si>
    <t>INE00H001014</t>
  </si>
  <si>
    <t>HALT02</t>
  </si>
  <si>
    <t>Hindustan Aeronautics Limited</t>
  </si>
  <si>
    <t>INE066F01020</t>
  </si>
  <si>
    <t>Aerospace &amp; Defense</t>
  </si>
  <si>
    <t>BTVL03</t>
  </si>
  <si>
    <t>Bharti Airtel Ltd Partly Paid 1.25 FV</t>
  </si>
  <si>
    <t>IN9397D01014</t>
  </si>
  <si>
    <t>Telecom - Services</t>
  </si>
  <si>
    <t>PSYL02</t>
  </si>
  <si>
    <t>Persistent Systems Ltd</t>
  </si>
  <si>
    <t>INE262H01021</t>
  </si>
  <si>
    <t>GHPL01</t>
  </si>
  <si>
    <t>Global Health Limited</t>
  </si>
  <si>
    <t>INE474Q01031</t>
  </si>
  <si>
    <t>LTFL01</t>
  </si>
  <si>
    <t>L&amp;T Finance Limited</t>
  </si>
  <si>
    <t>INE498L01015</t>
  </si>
  <si>
    <t>GLPH03</t>
  </si>
  <si>
    <t>Glenmark Pharmaceuticals Limited</t>
  </si>
  <si>
    <t>INE935A01035</t>
  </si>
  <si>
    <t>MCEX01</t>
  </si>
  <si>
    <t>Multi Commodity Exchange of India Limited</t>
  </si>
  <si>
    <t>INE745G01035</t>
  </si>
  <si>
    <t>APOL02</t>
  </si>
  <si>
    <t>Apollo Hospitals Enterprise Limited</t>
  </si>
  <si>
    <t>INE437A01024</t>
  </si>
  <si>
    <t>KIMS02</t>
  </si>
  <si>
    <t>Krishna Institute Of Medical Sciences Limited</t>
  </si>
  <si>
    <t>INE967H01025</t>
  </si>
  <si>
    <t>MKIP01</t>
  </si>
  <si>
    <t>Mankind Pharma Limited</t>
  </si>
  <si>
    <t>INE634S01028</t>
  </si>
  <si>
    <t>MIIL02</t>
  </si>
  <si>
    <t>UNO Minda Limited</t>
  </si>
  <si>
    <t>INE405E01023</t>
  </si>
  <si>
    <t>Auto Components</t>
  </si>
  <si>
    <t>BHEL02</t>
  </si>
  <si>
    <t>Bharat Electronics Limited</t>
  </si>
  <si>
    <t>INE263A01024</t>
  </si>
  <si>
    <t>DRAH01</t>
  </si>
  <si>
    <t>Dr Agarwals Health Care Limited</t>
  </si>
  <si>
    <t>INE943P01029</t>
  </si>
  <si>
    <t>BSEL02</t>
  </si>
  <si>
    <t>BSE Limited</t>
  </si>
  <si>
    <t>INE118H01025</t>
  </si>
  <si>
    <t>HYUN01</t>
  </si>
  <si>
    <t>Hyundai Motor India Ltd</t>
  </si>
  <si>
    <t>INE0V6F01027</t>
  </si>
  <si>
    <t>PREP01</t>
  </si>
  <si>
    <t>Prestige Estates Projects Limited</t>
  </si>
  <si>
    <t>INE811K01011</t>
  </si>
  <si>
    <t>Realty</t>
  </si>
  <si>
    <t>JUFL02</t>
  </si>
  <si>
    <t>Jubilant Foodworks Limited</t>
  </si>
  <si>
    <t>INE797F01020</t>
  </si>
  <si>
    <t>Leisure Services</t>
  </si>
  <si>
    <t>ABBP01</t>
  </si>
  <si>
    <t>Hitachi Energy India Limited</t>
  </si>
  <si>
    <t>INE07Y701011</t>
  </si>
  <si>
    <t>Electrical Equipment</t>
  </si>
  <si>
    <t>VMML01</t>
  </si>
  <si>
    <t>Vishal Mega Mart Limited</t>
  </si>
  <si>
    <t>INE01EA01019</t>
  </si>
  <si>
    <t>TIIN01</t>
  </si>
  <si>
    <t>Timken India Limited</t>
  </si>
  <si>
    <t>INE325A01013</t>
  </si>
  <si>
    <t>Industrial Products</t>
  </si>
  <si>
    <t>HFFC02</t>
  </si>
  <si>
    <t>Home First Finance Company India Limited</t>
  </si>
  <si>
    <t>INE481N01025</t>
  </si>
  <si>
    <t>KAYN01</t>
  </si>
  <si>
    <t>Kaynes Technology India Limited</t>
  </si>
  <si>
    <t>INE918Z01012</t>
  </si>
  <si>
    <t>Industrial Manufacturing</t>
  </si>
  <si>
    <t>SUVP01</t>
  </si>
  <si>
    <t>Cohance Lifesciences Limited</t>
  </si>
  <si>
    <t>INE03QK01018</t>
  </si>
  <si>
    <t>KEII02</t>
  </si>
  <si>
    <t>KEI Industries Limited</t>
  </si>
  <si>
    <t>INE878B01027</t>
  </si>
  <si>
    <t>BLUS03</t>
  </si>
  <si>
    <t>Blue Star Limited</t>
  </si>
  <si>
    <t>INE472A01039</t>
  </si>
  <si>
    <t>SAFI02</t>
  </si>
  <si>
    <t>Safari Industries (India) Limited</t>
  </si>
  <si>
    <t>INE429E01023</t>
  </si>
  <si>
    <t>MEST01</t>
  </si>
  <si>
    <t>Max Estates Limited</t>
  </si>
  <si>
    <t>INE03EI01018</t>
  </si>
  <si>
    <t>BWIN01</t>
  </si>
  <si>
    <t>Bansal Wire Industries Limited</t>
  </si>
  <si>
    <t>INE0B9K01025</t>
  </si>
  <si>
    <t>ETHO01</t>
  </si>
  <si>
    <t>Ethos Ltd.</t>
  </si>
  <si>
    <t>INE04TZ01018</t>
  </si>
  <si>
    <t>EDEL01</t>
  </si>
  <si>
    <t>Nuvama Wealth Management Limited</t>
  </si>
  <si>
    <t>INE531F01015</t>
  </si>
  <si>
    <t>SBFC01</t>
  </si>
  <si>
    <t>SBFC Finance Limited</t>
  </si>
  <si>
    <t>INE423Y01016</t>
  </si>
  <si>
    <t>CONB01</t>
  </si>
  <si>
    <t>Concord Biotech Limited</t>
  </si>
  <si>
    <t>INE338H01029</t>
  </si>
  <si>
    <t>AWFI01</t>
  </si>
  <si>
    <t>Awfis Space Solutions Limited</t>
  </si>
  <si>
    <t>INE108V01019</t>
  </si>
  <si>
    <t>Commercial Services &amp; Supplies</t>
  </si>
  <si>
    <t>SOSO03</t>
  </si>
  <si>
    <t>Sonata Software Limited</t>
  </si>
  <si>
    <t>INE269A01021</t>
  </si>
  <si>
    <t>FUJI02</t>
  </si>
  <si>
    <t>Zensar Technologies Limited</t>
  </si>
  <si>
    <t>INE520A01027</t>
  </si>
  <si>
    <t>MEBR01</t>
  </si>
  <si>
    <t>Metro Brands Limited</t>
  </si>
  <si>
    <t>INE317I01021</t>
  </si>
  <si>
    <t>Sub Total</t>
  </si>
  <si>
    <t>(b) Unlisted</t>
  </si>
  <si>
    <t>Nil</t>
  </si>
  <si>
    <t>Total</t>
  </si>
  <si>
    <t>InvITs Instruments
(a) Listed / awaiting listing on Stock Exchange</t>
  </si>
  <si>
    <t>(a) Listed / awaiting listing on Stock Exchange</t>
  </si>
  <si>
    <t>GOI5228</t>
  </si>
  <si>
    <t>Cube Highways Trust- InvIT Fund</t>
  </si>
  <si>
    <t>INE0NR623014</t>
  </si>
  <si>
    <t>Transport Infrastructure</t>
  </si>
  <si>
    <t>OPAL47</t>
  </si>
  <si>
    <t>CENT241</t>
  </si>
  <si>
    <t>Money Market Instruments</t>
  </si>
  <si>
    <t>TREPS / Reverse Repo</t>
  </si>
  <si>
    <t>TRP_011025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</si>
  <si>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</si>
  <si>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</si>
  <si>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</si>
  <si>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</si>
  <si>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</si>
  <si>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</si>
  <si>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</si>
  <si>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</si>
  <si>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</si>
  <si>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</si>
  <si>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</si>
  <si>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</si>
  <si>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</si>
  <si>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</si>
  <si>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</si>
  <si>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</si>
  <si>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</si>
  <si>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</si>
  <si>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</si>
  <si>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</si>
  <si>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</si>
  <si>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BSE 500 TRI</t>
  </si>
  <si>
    <t>SCHEME RISK-O-METER</t>
  </si>
  <si>
    <t>BENCHMARK RISK-O-METER</t>
  </si>
  <si>
    <t>Scheme Name: Invesco India Flexi Cap Fund (An open ended dynamic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</si>
  <si>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</si>
  <si>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</si>
  <si>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</si>
  <si>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</si>
  <si>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</si>
  <si>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</si>
  <si>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</si>
  <si>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</si>
  <si>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Automobile and Auto Components</t>
  </si>
  <si>
    <t>Capital Goods</t>
  </si>
  <si>
    <t>Information Technology</t>
  </si>
  <si>
    <t>Cholamandalam Investment and Finance Company Ltd</t>
  </si>
  <si>
    <t>Services</t>
  </si>
  <si>
    <t>Clearing Corporation of India Ltd</t>
  </si>
  <si>
    <t>Construction Materials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</si>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</sst>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165" fontId="5" fillId="0" borderId="15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4" fontId="0" fillId="0" borderId="0" xfId="0" applyNumberFormat="1"/>
    <xf numFmtId="167" fontId="5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5" fontId="6" fillId="0" borderId="20" xfId="0" applyNumberFormat="1" applyFont="1" applyBorder="1" applyAlignment="1">
      <alignment horizontal="right" vertical="top" wrapText="1"/>
    </xf>
    <xf numFmtId="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A212D1A-E70B-4122-8D6A-35AF9BBE64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3932C-6970-47FF-A895-4C40CA474D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77450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693420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7BCD80-5FCC-4B56-875E-98051295C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774507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A92F-8EF1-4DDF-BDA2-9012F700B74E}">
  <sheetPr codeName="Sheet7">
    <outlinePr summaryBelow="0"/>
  </sheetPr>
  <dimension ref="A1:J101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74.4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5" customHeight="1" thickBot="1">
      <c r="A4" s="2"/>
      <c r="B4" s="42"/>
      <c r="C4" s="42"/>
      <c r="D4" s="42"/>
      <c r="E4" s="42"/>
      <c r="F4" s="42"/>
      <c r="G4" s="42"/>
      <c r="H4" s="4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1715267</v>
      </c>
      <c r="F8" s="14">
        <v>23121.8</v>
      </c>
      <c r="G8" s="14">
        <v>5.78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1725246</v>
      </c>
      <c r="F9" s="14">
        <v>16407.09</v>
      </c>
      <c r="G9" s="14">
        <v>4.0999999999999996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5031973</v>
      </c>
      <c r="F10" s="14">
        <v>16379.07</v>
      </c>
      <c r="G10" s="14">
        <v>4.0999999999999996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285749</v>
      </c>
      <c r="F11" s="14">
        <v>15986.23</v>
      </c>
      <c r="G11" s="14">
        <v>4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23</v>
      </c>
      <c r="E12" s="13">
        <v>296657</v>
      </c>
      <c r="F12" s="14">
        <v>13876.13</v>
      </c>
      <c r="G12" s="14">
        <v>3.47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327242</v>
      </c>
      <c r="F13" s="14">
        <v>11973.78</v>
      </c>
      <c r="G13" s="14">
        <v>2.99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728159</v>
      </c>
      <c r="F14" s="14">
        <v>11729.19</v>
      </c>
      <c r="G14" s="14">
        <v>2.93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313288</v>
      </c>
      <c r="F15" s="14">
        <v>10773.03</v>
      </c>
      <c r="G15" s="14">
        <v>2.69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928685</v>
      </c>
      <c r="F16" s="14">
        <v>10352.049999999999</v>
      </c>
      <c r="G16" s="14">
        <v>2.59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1175306</v>
      </c>
      <c r="F17" s="14">
        <v>10115.86</v>
      </c>
      <c r="G17" s="14">
        <v>2.5299999999999998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58839</v>
      </c>
      <c r="F18" s="14">
        <v>9603.7000000000007</v>
      </c>
      <c r="G18" s="14">
        <v>2.4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38</v>
      </c>
      <c r="E19" s="13">
        <v>939999</v>
      </c>
      <c r="F19" s="14">
        <v>9389.65</v>
      </c>
      <c r="G19" s="14">
        <v>2.35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42</v>
      </c>
      <c r="E20" s="13">
        <v>260163</v>
      </c>
      <c r="F20" s="14">
        <v>8915.7900000000009</v>
      </c>
      <c r="G20" s="14">
        <v>2.23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153398</v>
      </c>
      <c r="F21" s="14">
        <v>8486.74</v>
      </c>
      <c r="G21" s="14">
        <v>2.12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517570</v>
      </c>
      <c r="F22" s="14">
        <v>8234.5400000000009</v>
      </c>
      <c r="G22" s="14">
        <v>2.06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42</v>
      </c>
      <c r="E23" s="13">
        <v>50756</v>
      </c>
      <c r="F23" s="14">
        <v>8135.68</v>
      </c>
      <c r="G23" s="14">
        <v>2.0299999999999998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68</v>
      </c>
      <c r="E24" s="13">
        <v>1058032</v>
      </c>
      <c r="F24" s="14">
        <v>7094.1</v>
      </c>
      <c r="G24" s="14">
        <v>1.77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408545</v>
      </c>
      <c r="F25" s="14">
        <v>6953.44</v>
      </c>
      <c r="G25" s="14">
        <v>1.74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109527</v>
      </c>
      <c r="F26" s="14">
        <v>6900.2</v>
      </c>
      <c r="G26" s="14">
        <v>1.73</v>
      </c>
      <c r="H26" s="15"/>
    </row>
    <row r="27" spans="1:8" ht="12.95" customHeight="1">
      <c r="A27" s="1" t="s">
        <v>83</v>
      </c>
      <c r="B27" s="11" t="s">
        <v>84</v>
      </c>
      <c r="C27" s="12" t="s">
        <v>85</v>
      </c>
      <c r="D27" s="8" t="s">
        <v>23</v>
      </c>
      <c r="E27" s="13">
        <v>1579640</v>
      </c>
      <c r="F27" s="14">
        <v>6681.09</v>
      </c>
      <c r="G27" s="14">
        <v>1.67</v>
      </c>
      <c r="H27" s="15"/>
    </row>
    <row r="28" spans="1:8" ht="12.95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134244</v>
      </c>
      <c r="F28" s="14">
        <v>6371.89</v>
      </c>
      <c r="G28" s="14">
        <v>1.59</v>
      </c>
      <c r="H28" s="15"/>
    </row>
    <row r="29" spans="1:8" ht="12.95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449483</v>
      </c>
      <c r="F29" s="14">
        <v>6327.37</v>
      </c>
      <c r="G29" s="14">
        <v>1.58</v>
      </c>
      <c r="H29" s="15"/>
    </row>
    <row r="30" spans="1:8" ht="12.95" customHeight="1">
      <c r="A30" s="1" t="s">
        <v>94</v>
      </c>
      <c r="B30" s="11" t="s">
        <v>95</v>
      </c>
      <c r="C30" s="12" t="s">
        <v>96</v>
      </c>
      <c r="D30" s="8" t="s">
        <v>68</v>
      </c>
      <c r="E30" s="13">
        <v>127581</v>
      </c>
      <c r="F30" s="14">
        <v>6152.59</v>
      </c>
      <c r="G30" s="14">
        <v>1.54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46</v>
      </c>
      <c r="E31" s="13">
        <v>465439</v>
      </c>
      <c r="F31" s="14">
        <v>6115.87</v>
      </c>
      <c r="G31" s="14">
        <v>1.53</v>
      </c>
      <c r="H31" s="15"/>
    </row>
    <row r="32" spans="1:8" ht="12.95" customHeight="1">
      <c r="A32" s="1" t="s">
        <v>100</v>
      </c>
      <c r="B32" s="11" t="s">
        <v>101</v>
      </c>
      <c r="C32" s="12" t="s">
        <v>102</v>
      </c>
      <c r="D32" s="8" t="s">
        <v>38</v>
      </c>
      <c r="E32" s="13">
        <v>2435381</v>
      </c>
      <c r="F32" s="14">
        <v>6070.92</v>
      </c>
      <c r="G32" s="14">
        <v>1.52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50</v>
      </c>
      <c r="E33" s="13">
        <v>304359</v>
      </c>
      <c r="F33" s="14">
        <v>5943.22</v>
      </c>
      <c r="G33" s="14">
        <v>1.49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64</v>
      </c>
      <c r="E34" s="13">
        <v>75735</v>
      </c>
      <c r="F34" s="14">
        <v>5904.3</v>
      </c>
      <c r="G34" s="14">
        <v>1.48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46</v>
      </c>
      <c r="E35" s="13">
        <v>79669</v>
      </c>
      <c r="F35" s="14">
        <v>5902.68</v>
      </c>
      <c r="G35" s="14">
        <v>1.48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46</v>
      </c>
      <c r="E36" s="13">
        <v>825051</v>
      </c>
      <c r="F36" s="14">
        <v>5776.59</v>
      </c>
      <c r="G36" s="14">
        <v>1.44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50</v>
      </c>
      <c r="E37" s="13">
        <v>224258</v>
      </c>
      <c r="F37" s="14">
        <v>5462.25</v>
      </c>
      <c r="G37" s="14">
        <v>1.37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390853</v>
      </c>
      <c r="F38" s="14">
        <v>5076.3999999999996</v>
      </c>
      <c r="G38" s="14">
        <v>1.27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89</v>
      </c>
      <c r="E39" s="13">
        <v>1248015</v>
      </c>
      <c r="F39" s="14">
        <v>5041.3599999999997</v>
      </c>
      <c r="G39" s="14">
        <v>1.26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46</v>
      </c>
      <c r="E40" s="13">
        <v>991325</v>
      </c>
      <c r="F40" s="14">
        <v>5029.49</v>
      </c>
      <c r="G40" s="14">
        <v>1.26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64</v>
      </c>
      <c r="E41" s="13">
        <v>243146</v>
      </c>
      <c r="F41" s="14">
        <v>4960.66</v>
      </c>
      <c r="G41" s="14">
        <v>1.24</v>
      </c>
      <c r="H41" s="15"/>
    </row>
    <row r="42" spans="1:8" ht="12.95" customHeight="1">
      <c r="A42" s="1" t="s">
        <v>131</v>
      </c>
      <c r="B42" s="11" t="s">
        <v>132</v>
      </c>
      <c r="C42" s="12" t="s">
        <v>133</v>
      </c>
      <c r="D42" s="8" t="s">
        <v>42</v>
      </c>
      <c r="E42" s="13">
        <v>190802</v>
      </c>
      <c r="F42" s="14">
        <v>4931.09</v>
      </c>
      <c r="G42" s="14">
        <v>1.23</v>
      </c>
      <c r="H42" s="15"/>
    </row>
    <row r="43" spans="1:8" ht="12.95" customHeight="1">
      <c r="A43" s="1" t="s">
        <v>134</v>
      </c>
      <c r="B43" s="11" t="s">
        <v>135</v>
      </c>
      <c r="C43" s="12" t="s">
        <v>136</v>
      </c>
      <c r="D43" s="8" t="s">
        <v>137</v>
      </c>
      <c r="E43" s="13">
        <v>321074</v>
      </c>
      <c r="F43" s="14">
        <v>4848.54</v>
      </c>
      <c r="G43" s="14">
        <v>1.21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781050</v>
      </c>
      <c r="F44" s="14">
        <v>4822.2</v>
      </c>
      <c r="G44" s="14">
        <v>1.21</v>
      </c>
      <c r="H44" s="15"/>
    </row>
    <row r="45" spans="1:8" ht="12.95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26578</v>
      </c>
      <c r="F45" s="14">
        <v>4784.3100000000004</v>
      </c>
      <c r="G45" s="14">
        <v>1.2</v>
      </c>
      <c r="H45" s="15"/>
    </row>
    <row r="46" spans="1:8" ht="12.95" customHeight="1">
      <c r="A46" s="1" t="s">
        <v>146</v>
      </c>
      <c r="B46" s="11" t="s">
        <v>147</v>
      </c>
      <c r="C46" s="12" t="s">
        <v>148</v>
      </c>
      <c r="D46" s="8" t="s">
        <v>23</v>
      </c>
      <c r="E46" s="13">
        <v>3160865</v>
      </c>
      <c r="F46" s="14">
        <v>4710</v>
      </c>
      <c r="G46" s="14">
        <v>1.18</v>
      </c>
      <c r="H46" s="15"/>
    </row>
    <row r="47" spans="1:8" ht="12.95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155529</v>
      </c>
      <c r="F47" s="14">
        <v>4681.2700000000004</v>
      </c>
      <c r="G47" s="14">
        <v>1.17</v>
      </c>
      <c r="H47" s="15"/>
    </row>
    <row r="48" spans="1:8" ht="12.95" customHeight="1">
      <c r="A48" s="1" t="s">
        <v>153</v>
      </c>
      <c r="B48" s="11" t="s">
        <v>154</v>
      </c>
      <c r="C48" s="12" t="s">
        <v>155</v>
      </c>
      <c r="D48" s="8" t="s">
        <v>38</v>
      </c>
      <c r="E48" s="13">
        <v>375940</v>
      </c>
      <c r="F48" s="14">
        <v>4571.43</v>
      </c>
      <c r="G48" s="14">
        <v>1.1399999999999999</v>
      </c>
      <c r="H48" s="15"/>
    </row>
    <row r="49" spans="1:8" ht="12.95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63142</v>
      </c>
      <c r="F49" s="14">
        <v>4452.7700000000004</v>
      </c>
      <c r="G49" s="14">
        <v>1.1100000000000001</v>
      </c>
      <c r="H49" s="15"/>
    </row>
    <row r="50" spans="1:8" ht="12.95" customHeight="1">
      <c r="A50" s="1" t="s">
        <v>160</v>
      </c>
      <c r="B50" s="11" t="s">
        <v>161</v>
      </c>
      <c r="C50" s="12" t="s">
        <v>162</v>
      </c>
      <c r="D50" s="8" t="s">
        <v>50</v>
      </c>
      <c r="E50" s="13">
        <v>502787</v>
      </c>
      <c r="F50" s="14">
        <v>4420</v>
      </c>
      <c r="G50" s="14">
        <v>1.1100000000000001</v>
      </c>
      <c r="H50" s="15"/>
    </row>
    <row r="51" spans="1:8" ht="12.95" customHeight="1">
      <c r="A51" s="1" t="s">
        <v>163</v>
      </c>
      <c r="B51" s="11" t="s">
        <v>164</v>
      </c>
      <c r="C51" s="12" t="s">
        <v>165</v>
      </c>
      <c r="D51" s="8" t="s">
        <v>152</v>
      </c>
      <c r="E51" s="13">
        <v>107215</v>
      </c>
      <c r="F51" s="14">
        <v>4355.3900000000003</v>
      </c>
      <c r="G51" s="14">
        <v>1.0900000000000001</v>
      </c>
      <c r="H51" s="15"/>
    </row>
    <row r="52" spans="1:8" ht="12.95" customHeight="1">
      <c r="A52" s="1" t="s">
        <v>166</v>
      </c>
      <c r="B52" s="11" t="s">
        <v>167</v>
      </c>
      <c r="C52" s="12" t="s">
        <v>168</v>
      </c>
      <c r="D52" s="8" t="s">
        <v>54</v>
      </c>
      <c r="E52" s="13">
        <v>207981</v>
      </c>
      <c r="F52" s="14">
        <v>3912.12</v>
      </c>
      <c r="G52" s="14">
        <v>0.98</v>
      </c>
      <c r="H52" s="15"/>
    </row>
    <row r="53" spans="1:8" ht="12.95" customHeight="1">
      <c r="A53" s="1" t="s">
        <v>169</v>
      </c>
      <c r="B53" s="11" t="s">
        <v>170</v>
      </c>
      <c r="C53" s="12" t="s">
        <v>171</v>
      </c>
      <c r="D53" s="8" t="s">
        <v>54</v>
      </c>
      <c r="E53" s="13">
        <v>177199</v>
      </c>
      <c r="F53" s="14">
        <v>3877.65</v>
      </c>
      <c r="G53" s="14">
        <v>0.97</v>
      </c>
      <c r="H53" s="15"/>
    </row>
    <row r="54" spans="1:8" ht="12.95" customHeight="1">
      <c r="A54" s="1" t="s">
        <v>172</v>
      </c>
      <c r="B54" s="11" t="s">
        <v>173</v>
      </c>
      <c r="C54" s="12" t="s">
        <v>174</v>
      </c>
      <c r="D54" s="8" t="s">
        <v>137</v>
      </c>
      <c r="E54" s="13">
        <v>690958</v>
      </c>
      <c r="F54" s="14">
        <v>3215.03</v>
      </c>
      <c r="G54" s="14">
        <v>0.8</v>
      </c>
      <c r="H54" s="15"/>
    </row>
    <row r="55" spans="1:8" ht="12.95" customHeight="1">
      <c r="A55" s="1" t="s">
        <v>175</v>
      </c>
      <c r="B55" s="11" t="s">
        <v>176</v>
      </c>
      <c r="C55" s="12" t="s">
        <v>177</v>
      </c>
      <c r="D55" s="8" t="s">
        <v>152</v>
      </c>
      <c r="E55" s="13">
        <v>923248</v>
      </c>
      <c r="F55" s="14">
        <v>3124.73</v>
      </c>
      <c r="G55" s="14">
        <v>0.78</v>
      </c>
      <c r="H55" s="15"/>
    </row>
    <row r="56" spans="1:8" ht="12.95" customHeight="1">
      <c r="A56" s="1" t="s">
        <v>178</v>
      </c>
      <c r="B56" s="11" t="s">
        <v>179</v>
      </c>
      <c r="C56" s="12" t="s">
        <v>180</v>
      </c>
      <c r="D56" s="8" t="s">
        <v>54</v>
      </c>
      <c r="E56" s="13">
        <v>122543</v>
      </c>
      <c r="F56" s="14">
        <v>3105.73</v>
      </c>
      <c r="G56" s="14">
        <v>0.78</v>
      </c>
      <c r="H56" s="15"/>
    </row>
    <row r="57" spans="1:8" ht="12.95" customHeight="1">
      <c r="A57" s="1" t="s">
        <v>181</v>
      </c>
      <c r="B57" s="11" t="s">
        <v>182</v>
      </c>
      <c r="C57" s="12" t="s">
        <v>183</v>
      </c>
      <c r="D57" s="8" t="s">
        <v>64</v>
      </c>
      <c r="E57" s="13">
        <v>47260</v>
      </c>
      <c r="F57" s="14">
        <v>2979.74</v>
      </c>
      <c r="G57" s="14">
        <v>0.74</v>
      </c>
      <c r="H57" s="15"/>
    </row>
    <row r="58" spans="1:8" ht="12.95" customHeight="1">
      <c r="A58" s="1" t="s">
        <v>184</v>
      </c>
      <c r="B58" s="11" t="s">
        <v>185</v>
      </c>
      <c r="C58" s="12" t="s">
        <v>186</v>
      </c>
      <c r="D58" s="8" t="s">
        <v>38</v>
      </c>
      <c r="E58" s="13">
        <v>2788621</v>
      </c>
      <c r="F58" s="14">
        <v>2955.66</v>
      </c>
      <c r="G58" s="14">
        <v>0.74</v>
      </c>
      <c r="H58" s="15"/>
    </row>
    <row r="59" spans="1:8" ht="12.95" customHeight="1">
      <c r="A59" s="1" t="s">
        <v>187</v>
      </c>
      <c r="B59" s="11" t="s">
        <v>188</v>
      </c>
      <c r="C59" s="12" t="s">
        <v>189</v>
      </c>
      <c r="D59" s="8" t="s">
        <v>50</v>
      </c>
      <c r="E59" s="13">
        <v>178114</v>
      </c>
      <c r="F59" s="14">
        <v>2934.78</v>
      </c>
      <c r="G59" s="14">
        <v>0.73</v>
      </c>
      <c r="H59" s="15"/>
    </row>
    <row r="60" spans="1:8" ht="12.95" customHeight="1">
      <c r="A60" s="1" t="s">
        <v>190</v>
      </c>
      <c r="B60" s="11" t="s">
        <v>191</v>
      </c>
      <c r="C60" s="12" t="s">
        <v>192</v>
      </c>
      <c r="D60" s="8" t="s">
        <v>193</v>
      </c>
      <c r="E60" s="13">
        <v>514712</v>
      </c>
      <c r="F60" s="14">
        <v>2932.83</v>
      </c>
      <c r="G60" s="14">
        <v>0.73</v>
      </c>
      <c r="H60" s="15"/>
    </row>
    <row r="61" spans="1:8" ht="12.95" customHeight="1">
      <c r="A61" s="1" t="s">
        <v>194</v>
      </c>
      <c r="B61" s="11" t="s">
        <v>195</v>
      </c>
      <c r="C61" s="12" t="s">
        <v>196</v>
      </c>
      <c r="D61" s="8" t="s">
        <v>68</v>
      </c>
      <c r="E61" s="13">
        <v>746731</v>
      </c>
      <c r="F61" s="14">
        <v>2584.44</v>
      </c>
      <c r="G61" s="14">
        <v>0.65</v>
      </c>
      <c r="H61" s="15"/>
    </row>
    <row r="62" spans="1:8" ht="12.95" customHeight="1">
      <c r="A62" s="1" t="s">
        <v>197</v>
      </c>
      <c r="B62" s="11" t="s">
        <v>198</v>
      </c>
      <c r="C62" s="12" t="s">
        <v>199</v>
      </c>
      <c r="D62" s="8" t="s">
        <v>68</v>
      </c>
      <c r="E62" s="13">
        <v>335015</v>
      </c>
      <c r="F62" s="14">
        <v>2556.5</v>
      </c>
      <c r="G62" s="14">
        <v>0.64</v>
      </c>
      <c r="H62" s="15"/>
    </row>
    <row r="63" spans="1:8" ht="12.95" customHeight="1">
      <c r="A63" s="1" t="s">
        <v>200</v>
      </c>
      <c r="B63" s="11" t="s">
        <v>201</v>
      </c>
      <c r="C63" s="12" t="s">
        <v>202</v>
      </c>
      <c r="D63" s="8" t="s">
        <v>54</v>
      </c>
      <c r="E63" s="13">
        <v>191550</v>
      </c>
      <c r="F63" s="14">
        <v>2471.5700000000002</v>
      </c>
      <c r="G63" s="14">
        <v>0.62</v>
      </c>
      <c r="H63" s="15"/>
    </row>
    <row r="64" spans="1:8" ht="12.95" customHeight="1">
      <c r="A64" s="2"/>
      <c r="B64" s="7" t="s">
        <v>203</v>
      </c>
      <c r="C64" s="8"/>
      <c r="D64" s="8"/>
      <c r="E64" s="8"/>
      <c r="F64" s="16">
        <v>384472.53</v>
      </c>
      <c r="G64" s="16">
        <v>96.14</v>
      </c>
      <c r="H64" s="17"/>
    </row>
    <row r="65" spans="1:10" ht="12.95" customHeight="1">
      <c r="A65" s="2"/>
      <c r="B65" s="18" t="s">
        <v>204</v>
      </c>
      <c r="C65" s="19"/>
      <c r="D65" s="19"/>
      <c r="E65" s="20"/>
      <c r="F65" s="21" t="s">
        <v>205</v>
      </c>
      <c r="G65" s="21" t="s">
        <v>205</v>
      </c>
      <c r="H65" s="22" t="s">
        <v>205</v>
      </c>
    </row>
    <row r="66" spans="1:10" ht="12.95" customHeight="1">
      <c r="A66" s="2"/>
      <c r="B66" s="23" t="s">
        <v>203</v>
      </c>
      <c r="C66" s="24"/>
      <c r="D66" s="24"/>
      <c r="E66" s="21"/>
      <c r="F66" s="21" t="s">
        <v>205</v>
      </c>
      <c r="G66" s="21" t="s">
        <v>205</v>
      </c>
      <c r="H66" s="22" t="s">
        <v>205</v>
      </c>
    </row>
    <row r="67" spans="1:10" ht="12.95" customHeight="1">
      <c r="A67" s="2"/>
      <c r="B67" s="18" t="s">
        <v>206</v>
      </c>
      <c r="C67" s="19"/>
      <c r="D67" s="19"/>
      <c r="E67" s="25"/>
      <c r="F67" s="16">
        <v>384472.53</v>
      </c>
      <c r="G67" s="16">
        <v>96.14</v>
      </c>
      <c r="H67" s="22"/>
    </row>
    <row r="68" spans="1:10" ht="12.95" customHeight="1">
      <c r="A68" s="2"/>
      <c r="B68" s="7" t="s">
        <v>207</v>
      </c>
      <c r="C68" s="10"/>
      <c r="D68" s="10"/>
      <c r="E68" s="8"/>
      <c r="F68" s="8"/>
      <c r="G68" s="8"/>
      <c r="H68" s="9"/>
    </row>
    <row r="69" spans="1:10" ht="12.95" customHeight="1">
      <c r="A69" s="2"/>
      <c r="B69" s="7" t="s">
        <v>208</v>
      </c>
      <c r="C69" s="10"/>
      <c r="D69" s="10"/>
      <c r="E69" s="8"/>
      <c r="F69" s="8"/>
      <c r="G69" s="8"/>
      <c r="H69" s="9"/>
    </row>
    <row r="70" spans="1:10" ht="12.95" customHeight="1">
      <c r="A70" s="1" t="s">
        <v>209</v>
      </c>
      <c r="B70" s="11" t="s">
        <v>210</v>
      </c>
      <c r="C70" s="26" t="s">
        <v>211</v>
      </c>
      <c r="D70" s="8" t="s">
        <v>212</v>
      </c>
      <c r="E70" s="27">
        <v>1325000</v>
      </c>
      <c r="F70" s="14">
        <v>1782.92</v>
      </c>
      <c r="G70" s="14">
        <v>0.45</v>
      </c>
      <c r="H70" s="15"/>
    </row>
    <row r="71" spans="1:10" ht="13.15" customHeight="1">
      <c r="A71" s="1" t="s">
        <v>213</v>
      </c>
      <c r="B71" s="23" t="s">
        <v>203</v>
      </c>
      <c r="C71" s="24"/>
      <c r="D71" s="24"/>
      <c r="E71" s="8"/>
      <c r="F71" s="16">
        <f>F70</f>
        <v>1782.92</v>
      </c>
      <c r="G71" s="16">
        <f>G70</f>
        <v>0.45</v>
      </c>
      <c r="H71" s="28"/>
    </row>
    <row r="72" spans="1:10" ht="13.15" customHeight="1">
      <c r="A72" s="1" t="s">
        <v>214</v>
      </c>
      <c r="B72" s="18" t="s">
        <v>206</v>
      </c>
      <c r="C72" s="19"/>
      <c r="D72" s="19"/>
      <c r="E72" s="29"/>
      <c r="F72" s="30">
        <f>F71</f>
        <v>1782.92</v>
      </c>
      <c r="G72" s="30">
        <f>G71</f>
        <v>0.45</v>
      </c>
      <c r="H72" s="28"/>
    </row>
    <row r="73" spans="1:10" ht="13.15" customHeight="1">
      <c r="A73" s="2"/>
      <c r="B73" s="7" t="s">
        <v>215</v>
      </c>
      <c r="C73" s="8"/>
      <c r="D73" s="8"/>
      <c r="E73" s="8"/>
      <c r="F73" s="8"/>
      <c r="G73" s="8"/>
      <c r="H73" s="9"/>
      <c r="J73" s="31"/>
    </row>
    <row r="74" spans="1:10" ht="13.15" customHeight="1">
      <c r="A74" s="2"/>
      <c r="B74" s="7" t="s">
        <v>216</v>
      </c>
      <c r="C74" s="10"/>
      <c r="D74" s="10"/>
      <c r="E74" s="8"/>
      <c r="F74" s="8"/>
      <c r="G74" s="8"/>
      <c r="H74" s="9"/>
    </row>
    <row r="75" spans="1:10" ht="13.15" customHeight="1">
      <c r="A75" s="1" t="s">
        <v>217</v>
      </c>
      <c r="B75" s="11" t="s">
        <v>218</v>
      </c>
      <c r="C75" s="12"/>
      <c r="D75" s="8"/>
      <c r="E75" s="13"/>
      <c r="F75" s="14">
        <v>10437</v>
      </c>
      <c r="G75" s="14">
        <v>2.61</v>
      </c>
      <c r="H75" s="15">
        <v>5.4808766503784613E-2</v>
      </c>
      <c r="J75" s="31"/>
    </row>
    <row r="76" spans="1:10" ht="12.95" customHeight="1">
      <c r="A76" s="2"/>
      <c r="B76" s="7" t="s">
        <v>203</v>
      </c>
      <c r="C76" s="8"/>
      <c r="D76" s="8"/>
      <c r="E76" s="8"/>
      <c r="F76" s="16">
        <v>10437</v>
      </c>
      <c r="G76" s="16">
        <v>2.61</v>
      </c>
      <c r="H76" s="17"/>
    </row>
    <row r="77" spans="1:10" ht="12.95" customHeight="1">
      <c r="A77" s="2"/>
      <c r="B77" s="18" t="s">
        <v>206</v>
      </c>
      <c r="C77" s="19"/>
      <c r="D77" s="19"/>
      <c r="E77" s="25"/>
      <c r="F77" s="16">
        <v>10437</v>
      </c>
      <c r="G77" s="16">
        <v>2.61</v>
      </c>
      <c r="H77" s="22"/>
    </row>
    <row r="78" spans="1:10" ht="12.95" customHeight="1">
      <c r="A78" s="2"/>
      <c r="B78" s="7" t="s">
        <v>219</v>
      </c>
      <c r="C78" s="8"/>
      <c r="D78" s="8"/>
      <c r="E78" s="8"/>
      <c r="F78" s="8"/>
      <c r="G78" s="8"/>
      <c r="H78" s="9"/>
    </row>
    <row r="79" spans="1:10" ht="12.95" customHeight="1">
      <c r="A79" s="2"/>
      <c r="B79" s="7" t="s">
        <v>220</v>
      </c>
      <c r="C79" s="10"/>
      <c r="D79" s="10"/>
      <c r="E79" s="8"/>
      <c r="F79" s="8"/>
      <c r="G79" s="8"/>
      <c r="H79" s="9"/>
    </row>
    <row r="80" spans="1:10" ht="12.95" customHeight="1">
      <c r="A80" s="1" t="s">
        <v>221</v>
      </c>
      <c r="B80" s="11" t="s">
        <v>222</v>
      </c>
      <c r="C80" s="12" t="s">
        <v>223</v>
      </c>
      <c r="D80" s="8"/>
      <c r="E80" s="32">
        <v>136321.272</v>
      </c>
      <c r="F80" s="14">
        <v>5005.6400000000003</v>
      </c>
      <c r="G80" s="14">
        <v>1.25</v>
      </c>
      <c r="H80" s="15"/>
    </row>
    <row r="81" spans="1:8" ht="12.95" customHeight="1">
      <c r="A81" s="2"/>
      <c r="B81" s="7" t="s">
        <v>203</v>
      </c>
      <c r="C81" s="8"/>
      <c r="D81" s="8"/>
      <c r="E81" s="8"/>
      <c r="F81" s="16">
        <v>5005.6400000000003</v>
      </c>
      <c r="G81" s="16">
        <v>1.25</v>
      </c>
      <c r="H81" s="17"/>
    </row>
    <row r="82" spans="1:8" ht="12.95" customHeight="1">
      <c r="A82" s="2"/>
      <c r="B82" s="7" t="s">
        <v>224</v>
      </c>
      <c r="C82" s="8"/>
      <c r="D82" s="8"/>
      <c r="E82" s="8"/>
      <c r="F82" s="33"/>
      <c r="G82" s="34"/>
      <c r="H82" s="17"/>
    </row>
    <row r="83" spans="1:8" ht="12.95" customHeight="1">
      <c r="A83" s="1" t="s">
        <v>225</v>
      </c>
      <c r="B83" s="11" t="s">
        <v>226</v>
      </c>
      <c r="C83" s="12" t="s">
        <v>227</v>
      </c>
      <c r="D83" s="8" t="s">
        <v>42</v>
      </c>
      <c r="E83" s="13">
        <v>1037764</v>
      </c>
      <c r="F83" s="14">
        <v>104.22</v>
      </c>
      <c r="G83" s="14">
        <v>0.03</v>
      </c>
      <c r="H83" s="15"/>
    </row>
    <row r="84" spans="1:8" ht="12.95" customHeight="1">
      <c r="A84" s="2"/>
      <c r="B84" s="7" t="s">
        <v>203</v>
      </c>
      <c r="C84" s="8"/>
      <c r="D84" s="8"/>
      <c r="E84" s="8"/>
      <c r="F84" s="16">
        <v>104.22</v>
      </c>
      <c r="G84" s="16">
        <v>0.03</v>
      </c>
      <c r="H84" s="17"/>
    </row>
    <row r="85" spans="1:8" ht="12.95" customHeight="1">
      <c r="A85" s="2"/>
      <c r="B85" s="18" t="s">
        <v>206</v>
      </c>
      <c r="C85" s="19"/>
      <c r="D85" s="19"/>
      <c r="E85" s="25"/>
      <c r="F85" s="16">
        <f>F81+F84</f>
        <v>5109.8600000000006</v>
      </c>
      <c r="G85" s="16">
        <f>G81+G84</f>
        <v>1.28</v>
      </c>
      <c r="H85" s="22"/>
    </row>
    <row r="86" spans="1:8" ht="12.95" customHeight="1">
      <c r="A86" s="2"/>
      <c r="B86" s="18" t="s">
        <v>228</v>
      </c>
      <c r="C86" s="19"/>
      <c r="D86" s="19"/>
      <c r="E86" s="8"/>
      <c r="F86" s="16">
        <v>-1830.79</v>
      </c>
      <c r="G86" s="16">
        <v>-0.48</v>
      </c>
      <c r="H86" s="22"/>
    </row>
    <row r="87" spans="1:8" ht="12.95" customHeight="1" thickBot="1">
      <c r="A87" s="2"/>
      <c r="B87" s="35" t="s">
        <v>229</v>
      </c>
      <c r="C87" s="36"/>
      <c r="D87" s="36"/>
      <c r="E87" s="36"/>
      <c r="F87" s="37">
        <v>399971.52</v>
      </c>
      <c r="G87" s="38">
        <v>100</v>
      </c>
      <c r="H87" s="39"/>
    </row>
    <row r="88" spans="1:8" ht="12.95" customHeight="1">
      <c r="A88" s="2"/>
      <c r="B88" s="44"/>
      <c r="C88" s="44"/>
      <c r="D88" s="44"/>
      <c r="E88" s="44"/>
      <c r="F88" s="2"/>
      <c r="G88" s="2"/>
      <c r="H88" s="2"/>
    </row>
    <row r="89" spans="1:8" ht="12.95" customHeight="1">
      <c r="A89" s="2"/>
      <c r="B89" s="44"/>
      <c r="C89" s="44"/>
      <c r="D89" s="44"/>
      <c r="E89" s="44"/>
      <c r="F89" s="40"/>
      <c r="G89" s="40"/>
      <c r="H89" s="2"/>
    </row>
    <row r="90" spans="1:8" ht="12.95" customHeight="1">
      <c r="A90" s="2"/>
      <c r="B90" s="43" t="s">
        <v>230</v>
      </c>
      <c r="C90" s="43"/>
      <c r="D90" s="43"/>
      <c r="E90" s="43"/>
      <c r="F90" s="2"/>
      <c r="G90" s="2"/>
      <c r="H90" s="2"/>
    </row>
    <row r="91" spans="1:8" ht="12.95" customHeight="1">
      <c r="A91" s="2"/>
      <c r="B91" s="44" t="s">
        <v>231</v>
      </c>
      <c r="C91" s="44"/>
      <c r="D91" s="44"/>
      <c r="E91" s="44"/>
      <c r="F91" s="2"/>
      <c r="G91" s="2"/>
      <c r="H91" s="2"/>
    </row>
    <row r="92" spans="1:8" ht="12.95" customHeight="1">
      <c r="A92" s="2"/>
      <c r="B92" s="44" t="s">
        <v>232</v>
      </c>
      <c r="C92" s="44"/>
      <c r="D92" s="44"/>
      <c r="E92" s="44"/>
      <c r="F92" s="2"/>
      <c r="G92" s="2"/>
      <c r="H92" s="2"/>
    </row>
    <row r="93" spans="1:8" ht="12.95" customHeight="1">
      <c r="A93" s="2"/>
      <c r="B93" s="42"/>
      <c r="C93" s="42"/>
      <c r="D93" s="42"/>
      <c r="E93" s="42"/>
      <c r="F93" s="2"/>
      <c r="G93" s="2"/>
      <c r="H93" s="2"/>
    </row>
    <row r="94" spans="1:8" ht="12.95" customHeight="1">
      <c r="A94" s="2"/>
      <c r="B94" s="44" t="s">
        <v>233</v>
      </c>
      <c r="C94" s="44"/>
      <c r="D94" s="44"/>
      <c r="E94" s="44"/>
      <c r="F94" s="2"/>
      <c r="G94" s="2"/>
      <c r="H94" s="2"/>
    </row>
    <row r="95" spans="1:8" ht="12.95" customHeight="1">
      <c r="A95" s="2"/>
      <c r="B95" s="42" t="s">
        <v>234</v>
      </c>
      <c r="C95" s="42"/>
      <c r="D95" s="42"/>
      <c r="E95" s="42"/>
      <c r="F95" s="2"/>
      <c r="G95" s="2"/>
      <c r="H95" s="2"/>
    </row>
    <row r="96" spans="1:8" ht="12.95" customHeight="1">
      <c r="A96" s="2"/>
      <c r="B96" s="42" t="s">
        <v>235</v>
      </c>
      <c r="C96" s="42"/>
      <c r="D96" s="42"/>
      <c r="E96" s="42"/>
      <c r="F96" s="2"/>
      <c r="G96" s="2"/>
      <c r="H96" s="2"/>
    </row>
    <row r="97" spans="1:8" ht="12.95" customHeight="1">
      <c r="A97" s="2"/>
      <c r="B97" s="42" t="s">
        <v>236</v>
      </c>
      <c r="C97" s="42"/>
      <c r="D97" s="42"/>
      <c r="E97" s="42"/>
      <c r="F97" s="2"/>
      <c r="G97" s="2"/>
      <c r="H97" s="2"/>
    </row>
    <row r="98" spans="1:8" ht="12.95" customHeight="1">
      <c r="A98" s="2"/>
      <c r="B98" s="42" t="s">
        <v>237</v>
      </c>
      <c r="C98" s="42"/>
      <c r="D98" s="42"/>
      <c r="E98" s="42"/>
      <c r="F98" s="2"/>
      <c r="G98" s="2"/>
      <c r="H98" s="2"/>
    </row>
    <row r="99" spans="1:8" ht="12.95" customHeight="1">
      <c r="A99" s="2"/>
      <c r="B99" s="42" t="s">
        <v>238</v>
      </c>
      <c r="C99" s="42"/>
      <c r="D99" s="42"/>
      <c r="E99" s="42"/>
      <c r="F99" s="2"/>
      <c r="G99" s="2"/>
      <c r="H99" s="2"/>
    </row>
    <row r="100" spans="1:8">
      <c r="F100" s="41" t="s">
        <v>239</v>
      </c>
    </row>
    <row r="101" spans="1:8">
      <c r="B101" s="41" t="s">
        <v>240</v>
      </c>
      <c r="F101" s="41" t="s">
        <v>241</v>
      </c>
    </row>
  </sheetData>
  <mergeCells count="16">
    <mergeCell ref="B89:E89"/>
    <mergeCell ref="B1:H1"/>
    <mergeCell ref="B2:H2"/>
    <mergeCell ref="B3:H3"/>
    <mergeCell ref="B4:H4"/>
    <mergeCell ref="B88:E88"/>
    <mergeCell ref="B96:E96"/>
    <mergeCell ref="B97:E97"/>
    <mergeCell ref="B98:E98"/>
    <mergeCell ref="B99:E99"/>
    <mergeCell ref="B90:E90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A349-4B28-4FB7-91C4-AB9D7AC98482}">
  <sheetPr codeName="Sheet8">
    <outlinePr summaryBelow="0"/>
  </sheetPr>
  <dimension ref="A1:F19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44" t="s">
        <v>242</v>
      </c>
      <c r="B1" s="44"/>
      <c r="C1" s="44"/>
      <c r="D1" s="4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47" t="s">
        <v>243</v>
      </c>
      <c r="B3" s="47"/>
      <c r="C3" s="2"/>
      <c r="D3" s="2"/>
      <c r="E3" s="47" t="s">
        <v>244</v>
      </c>
      <c r="F3" s="47"/>
    </row>
    <row r="4" spans="1:6" ht="13.15" customHeight="1">
      <c r="A4" s="48" t="s">
        <v>245</v>
      </c>
      <c r="B4" s="48" t="s">
        <v>9</v>
      </c>
      <c r="C4" s="2"/>
      <c r="D4" s="2"/>
      <c r="E4" s="48" t="s">
        <v>246</v>
      </c>
      <c r="F4" s="48" t="s">
        <v>247</v>
      </c>
    </row>
    <row r="5" spans="1:6" ht="13.15" customHeight="1">
      <c r="A5" s="19" t="s">
        <v>14</v>
      </c>
      <c r="B5" s="49">
        <v>5.7799999999999997E-2</v>
      </c>
      <c r="C5" s="2"/>
      <c r="D5" s="2"/>
      <c r="E5" s="19" t="s">
        <v>248</v>
      </c>
      <c r="F5" s="49">
        <v>0.25879999999999997</v>
      </c>
    </row>
    <row r="6" spans="1:6" ht="13.15" customHeight="1">
      <c r="A6" s="19" t="s">
        <v>21</v>
      </c>
      <c r="B6" s="49">
        <v>4.1000000000000002E-2</v>
      </c>
      <c r="C6" s="2"/>
      <c r="D6" s="2"/>
      <c r="E6" s="19" t="s">
        <v>249</v>
      </c>
      <c r="F6" s="49">
        <v>0.15509999999999999</v>
      </c>
    </row>
    <row r="7" spans="1:6" ht="13.15" customHeight="1">
      <c r="A7" s="19" t="s">
        <v>18</v>
      </c>
      <c r="B7" s="49">
        <v>4.1000000000000002E-2</v>
      </c>
      <c r="C7" s="2"/>
      <c r="D7" s="2"/>
      <c r="E7" s="19" t="s">
        <v>250</v>
      </c>
      <c r="F7" s="49">
        <v>0.1162</v>
      </c>
    </row>
    <row r="8" spans="1:6" ht="13.15" customHeight="1">
      <c r="A8" s="19" t="s">
        <v>25</v>
      </c>
      <c r="B8" s="49">
        <v>0.04</v>
      </c>
      <c r="C8" s="2"/>
      <c r="D8" s="2"/>
      <c r="E8" s="19" t="s">
        <v>251</v>
      </c>
      <c r="F8" s="49">
        <v>9.4600000000000004E-2</v>
      </c>
    </row>
    <row r="9" spans="1:6" ht="13.15" customHeight="1">
      <c r="A9" s="19" t="s">
        <v>29</v>
      </c>
      <c r="B9" s="49">
        <v>3.4700000000000002E-2</v>
      </c>
      <c r="C9" s="2"/>
      <c r="D9" s="2"/>
      <c r="E9" s="19" t="s">
        <v>252</v>
      </c>
      <c r="F9" s="49">
        <v>8.2000000000000003E-2</v>
      </c>
    </row>
    <row r="10" spans="1:6" ht="13.15" customHeight="1">
      <c r="A10" s="19" t="s">
        <v>32</v>
      </c>
      <c r="B10" s="49">
        <v>2.9899999999999999E-2</v>
      </c>
      <c r="C10" s="2"/>
      <c r="D10" s="2"/>
      <c r="E10" s="19" t="s">
        <v>253</v>
      </c>
      <c r="F10" s="49">
        <v>6.6600000000000006E-2</v>
      </c>
    </row>
    <row r="11" spans="1:6" ht="13.15" customHeight="1">
      <c r="A11" s="19" t="s">
        <v>254</v>
      </c>
      <c r="B11" s="49">
        <v>2.93E-2</v>
      </c>
      <c r="C11" s="2"/>
      <c r="D11" s="2"/>
      <c r="E11" s="19" t="s">
        <v>54</v>
      </c>
      <c r="F11" s="49">
        <v>5.74E-2</v>
      </c>
    </row>
    <row r="12" spans="1:6" ht="13.15" customHeight="1">
      <c r="A12" s="19" t="s">
        <v>40</v>
      </c>
      <c r="B12" s="49">
        <v>2.69E-2</v>
      </c>
      <c r="C12" s="2"/>
      <c r="D12" s="2"/>
      <c r="E12" s="19" t="s">
        <v>255</v>
      </c>
      <c r="F12" s="49">
        <v>5.1799999999999999E-2</v>
      </c>
    </row>
    <row r="13" spans="1:6" ht="13.15" customHeight="1">
      <c r="A13" s="19" t="s">
        <v>256</v>
      </c>
      <c r="B13" s="49">
        <v>2.6100000000000002E-2</v>
      </c>
      <c r="C13" s="2"/>
      <c r="D13" s="2"/>
      <c r="E13" s="19" t="s">
        <v>219</v>
      </c>
      <c r="F13" s="49">
        <v>3.8600000000000002E-2</v>
      </c>
    </row>
    <row r="14" spans="1:6" ht="13.15" customHeight="1">
      <c r="A14" s="19" t="s">
        <v>44</v>
      </c>
      <c r="B14" s="49">
        <v>2.5899999999999999E-2</v>
      </c>
      <c r="C14" s="2"/>
      <c r="D14" s="2"/>
      <c r="E14" s="19" t="s">
        <v>34</v>
      </c>
      <c r="F14" s="49">
        <v>2.9899999999999999E-2</v>
      </c>
    </row>
    <row r="15" spans="1:6" ht="13.15" customHeight="1">
      <c r="A15" s="2"/>
      <c r="B15" s="2"/>
      <c r="C15" s="2"/>
      <c r="D15" s="2"/>
      <c r="E15" s="19" t="s">
        <v>137</v>
      </c>
      <c r="F15" s="49">
        <v>2.0199999999999999E-2</v>
      </c>
    </row>
    <row r="16" spans="1:6" ht="13.15" customHeight="1">
      <c r="A16" s="2"/>
      <c r="B16" s="2"/>
      <c r="C16" s="2"/>
      <c r="D16" s="2"/>
      <c r="E16" s="19" t="s">
        <v>257</v>
      </c>
      <c r="F16" s="49">
        <v>1.7299999999999999E-2</v>
      </c>
    </row>
    <row r="17" spans="1:6" ht="13.15" customHeight="1">
      <c r="A17" s="2"/>
      <c r="B17" s="2"/>
      <c r="C17" s="2"/>
      <c r="D17" s="2"/>
      <c r="E17" s="19" t="s">
        <v>258</v>
      </c>
      <c r="F17" s="49">
        <v>1.5800000000000002E-2</v>
      </c>
    </row>
    <row r="18" spans="1:6" ht="13.15" customHeight="1">
      <c r="A18" s="2"/>
      <c r="B18" s="2"/>
      <c r="C18" s="2"/>
      <c r="D18" s="2"/>
      <c r="E18" s="19" t="s">
        <v>259</v>
      </c>
      <c r="F18" s="49">
        <v>-4.3E-3</v>
      </c>
    </row>
    <row r="19" spans="1:6" ht="13.15" customHeight="1">
      <c r="A19" s="2"/>
      <c r="B19" s="2"/>
      <c r="C19" s="2"/>
      <c r="D19" s="2"/>
      <c r="E19" s="48" t="s">
        <v>260</v>
      </c>
      <c r="F19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IFCF!JR_PAGE_ANCHOR_0_7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2025-10-09T13:05:12Z</dcterms:created>
  <dcterms:modified xsi:type="dcterms:W3CDTF">2025-10-09T13:17:29Z</dcterms:modified>
</cp:coreProperties>
</file>