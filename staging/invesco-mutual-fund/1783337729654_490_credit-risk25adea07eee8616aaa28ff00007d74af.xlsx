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C86246E6-D6B2-4541-9664-73B13A20B0CB}" xr6:coauthVersionLast="46" xr6:coauthVersionMax="46" xr10:uidLastSave="{00000000-0000-0000-0000-000000000000}"/>
  <bookViews>
    <workbookView xWindow="760" yWindow="760" windowWidth="14400" windowHeight="7360" xr2:uid="{F5C2273E-6DB2-4933-8201-25BF224EDBDB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[15]IIGOLDETF!$A$1</definedName>
    <definedName name="JR_PAGE_ANCHOR_0_23">[16]IIGOLDFOF!$A$1</definedName>
    <definedName name="JR_PAGE_ANCHOR_0_24" localSheetId="1">RICBOF!$A$1</definedName>
    <definedName name="JR_PAGE_ANCHOR_0_24">'Credit Risk'!$A$1</definedName>
    <definedName name="JR_PAGE_ANCHOR_0_3">[17]IESGEF!$A$1</definedName>
    <definedName name="JR_PAGE_ANCHOR_0_4">[18]IFEF!$A$1</definedName>
    <definedName name="JR_PAGE_ANCHOR_0_5">[19]IFMP31D!$A$1</definedName>
    <definedName name="JR_PAGE_ANCHOR_0_6">[20]IFMP33B!$A$1</definedName>
    <definedName name="JR_PAGE_ANCHOR_0_7">[21]IFMP33D!$A$1</definedName>
    <definedName name="JR_PAGE_ANCHOR_0_8">[22]IGCTFOF!$A$1</definedName>
    <definedName name="JR_PAGE_ANCHOR_0_9">[23]IMDF!$A$1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1" l="1"/>
</calcChain>
</file>

<file path=xl/sharedStrings.xml><?xml version="1.0" encoding="utf-8"?>
<sst xmlns="http://schemas.openxmlformats.org/spreadsheetml/2006/main" count="162" uniqueCount="142">
  <si>
    <t>RICBOF</t>
  </si>
  <si>
    <t>INVESCO MUTUAL FUND</t>
  </si>
  <si>
    <t>Monthly Portfolio Statement as on September 30, 2021</t>
  </si>
  <si>
    <t>Invesco India Credit Risk Fund (An open ended debt scheme predominantly investing in AA and below rated corporate bonds (excluding AA+ rated corporate bonds))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</si>
  <si>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</si>
  <si>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</si>
  <si>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</si>
  <si>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</si>
  <si>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</si>
  <si>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</si>
  <si>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</si>
  <si>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</si>
  <si>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</si>
  <si>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NHBA299</t>
  </si>
  <si>
    <t>7.05% National Housing Bank 2024 **</t>
  </si>
  <si>
    <t>INE557F08FG1</t>
  </si>
  <si>
    <t>CRISIL AAA</t>
  </si>
  <si>
    <t>RIND338</t>
  </si>
  <si>
    <t>7.05% Reliance Industries Limited 2023 **</t>
  </si>
  <si>
    <t>INE002A08625</t>
  </si>
  <si>
    <t>GOI2335</t>
  </si>
  <si>
    <t>6.45% Government of India 2029</t>
  </si>
  <si>
    <t>IN0020190362</t>
  </si>
  <si>
    <t>SOVEREIGN</t>
  </si>
  <si>
    <t>POWF453</t>
  </si>
  <si>
    <t>6.98% Power Finance Corporation Limited 2023 **</t>
  </si>
  <si>
    <t>INE134E08KN8</t>
  </si>
  <si>
    <t>NBAR420</t>
  </si>
  <si>
    <t>8.60% National Bank For Agriculture and Rural Development 2022</t>
  </si>
  <si>
    <t>INE261F08AI7</t>
  </si>
  <si>
    <t>IRLY322</t>
  </si>
  <si>
    <t>8.25% Indian Railway Finance Corporation Limited 2024 **</t>
  </si>
  <si>
    <t>INE053F07BB3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</si>
  <si>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</si>
  <si>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</si>
  <si>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</si>
  <si>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</si>
  <si>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</si>
  <si>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</si>
  <si>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IRLY341</t>
  </si>
  <si>
    <t>6.19% Indian Railway Finance Corporation Limited 2023 **</t>
  </si>
  <si>
    <t>INE053F07CC9</t>
  </si>
  <si>
    <t>MUFL301</t>
  </si>
  <si>
    <t>9.5% Muthoot Finance Limited 2021 **</t>
  </si>
  <si>
    <t>INE414G07EK0</t>
  </si>
  <si>
    <t>CRISIL AA+</t>
  </si>
  <si>
    <t>GOI2491</t>
  </si>
  <si>
    <t>5.22% Government of India 2025</t>
  </si>
  <si>
    <t>IN0020200112</t>
  </si>
  <si>
    <t>SBAI201</t>
  </si>
  <si>
    <t>6.8% State Bank of India 2035 **</t>
  </si>
  <si>
    <t>INE062A08231</t>
  </si>
  <si>
    <t>6.86% $</t>
  </si>
  <si>
    <t>TISC109</t>
  </si>
  <si>
    <t>2% Tata Steel Limited 2022 **</t>
  </si>
  <si>
    <t>INE081A08181</t>
  </si>
  <si>
    <t>CARE AA+</t>
  </si>
  <si>
    <t>BHAT38</t>
  </si>
  <si>
    <t>8.90% Bharti Telecom Limited 2022 **</t>
  </si>
  <si>
    <t>INE403D08066</t>
  </si>
  <si>
    <t>NUCL130</t>
  </si>
  <si>
    <t>6.8% Nuclear Power Corporation Of India Limited 2031 **</t>
  </si>
  <si>
    <t>INE206D08477</t>
  </si>
  <si>
    <t>ICRA AAA</t>
  </si>
  <si>
    <t>TENL20</t>
  </si>
  <si>
    <t>5.35% Telesonic Networks Limited 2023 **</t>
  </si>
  <si>
    <t>INE308O08015</t>
  </si>
  <si>
    <t>TPOW38</t>
  </si>
  <si>
    <t>9.15% Tata Power Company Limited 2022 **</t>
  </si>
  <si>
    <t>INE245A07234</t>
  </si>
  <si>
    <t>CRISIL AA</t>
  </si>
  <si>
    <t>HINI105</t>
  </si>
  <si>
    <t>9.55% Hindalco Industries Limited 2022 **</t>
  </si>
  <si>
    <t>INE038A07258</t>
  </si>
  <si>
    <t>OPAL34</t>
  </si>
  <si>
    <t>6.63% ONGC Petro Additions Limited 2024 **</t>
  </si>
  <si>
    <t>INE163N08180</t>
  </si>
  <si>
    <t>ICRA AA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</si>
  <si>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</si>
  <si>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</si>
  <si>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</si>
  <si>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</si>
  <si>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</si>
  <si>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</si>
  <si>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INOX33</t>
  </si>
  <si>
    <t>10.85% Inox Air Products Pvt Limited 2021 ** #</t>
  </si>
  <si>
    <t>INE321A07142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</si>
  <si>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</si>
  <si>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</si>
  <si>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</si>
  <si>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</si>
  <si>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</si>
  <si>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</si>
  <si>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</si>
  <si>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**  Non Traded Security</t>
  </si>
  <si>
    <t>#  Unlisted Security</t>
  </si>
  <si>
    <t>$ Yield to Call (YTC)- 6.8646%</t>
  </si>
  <si>
    <t>Notes :</t>
  </si>
  <si>
    <t>(1)  Details of security defaulted beyond it's maturity date is as follows:</t>
  </si>
  <si>
    <t>Name of the security</t>
  </si>
  <si>
    <t>Value recognized in NAV 
As on September 30, 2021</t>
  </si>
  <si>
    <t>% to NAV
As on September 30, 2021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</si>
  <si>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</si>
  <si>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</si>
  <si>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</si>
  <si>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</si>
  <si>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</si>
  <si>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</si>
  <si>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</si>
  <si>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</si>
  <si>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</si>
  <si>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</si>
  <si>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BENCHMARK NAME - CRISIL COMPOSITE AA SHORT TERM BOND INDEX</t>
  </si>
  <si>
    <t>SCHEME RISK-O-METER</t>
  </si>
  <si>
    <t>BENCHMARK RISK-O-METER</t>
  </si>
  <si>
    <t>Grand Total</t>
  </si>
  <si>
    <t>Consumer Goods</t>
  </si>
  <si>
    <t>Telecom</t>
  </si>
  <si>
    <t>National Highways Auth Of Ind</t>
  </si>
  <si>
    <t>Cash &amp; Cash Equivalent:</t>
  </si>
  <si>
    <t>HDB Financial Services Limited</t>
  </si>
  <si>
    <t>Power</t>
  </si>
  <si>
    <t>National Bank For Agriculture and Rural Development</t>
  </si>
  <si>
    <t>Construction</t>
  </si>
  <si>
    <t>Power Finance Corporation Limited</t>
  </si>
  <si>
    <t>Metals</t>
  </si>
  <si>
    <t>Reliance Industries Limited</t>
  </si>
  <si>
    <t>Oil &amp; Gas</t>
  </si>
  <si>
    <t>Inox Air Products Pvt Limited</t>
  </si>
  <si>
    <t>Chemicals</t>
  </si>
  <si>
    <t>Indian Railway Finance Corporation Limited</t>
  </si>
  <si>
    <t>Others</t>
  </si>
  <si>
    <t>National Housing Bank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</si>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</sst>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15" xfId="1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top" wrapText="1"/>
    </xf>
    <xf numFmtId="0" fontId="11" fillId="0" borderId="15" xfId="1" applyFont="1" applyBorder="1" applyAlignment="1">
      <alignment horizontal="center" vertical="top" wrapText="1"/>
    </xf>
    <xf numFmtId="4" fontId="11" fillId="0" borderId="15" xfId="1" applyNumberFormat="1" applyFont="1" applyFill="1" applyBorder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2" fillId="0" borderId="15" xfId="0" applyFont="1" applyBorder="1" applyAlignment="1">
      <alignment wrapText="1"/>
    </xf>
    <xf numFmtId="0" fontId="12" fillId="0" borderId="15" xfId="0" applyFont="1" applyBorder="1" applyAlignment="1">
      <alignment horizontal="center" wrapText="1"/>
    </xf>
    <xf numFmtId="4" fontId="12" fillId="0" borderId="15" xfId="0" applyNumberFormat="1" applyFont="1" applyBorder="1" applyAlignment="1">
      <alignment wrapText="1"/>
    </xf>
    <xf numFmtId="0" fontId="10" fillId="0" borderId="15" xfId="0" applyFont="1" applyBorder="1" applyAlignment="1">
      <alignment horizontal="left" vertical="top" wrapText="1"/>
    </xf>
    <xf numFmtId="4" fontId="10" fillId="0" borderId="15" xfId="0" applyNumberFormat="1" applyFont="1" applyBorder="1" applyAlignment="1">
      <alignment horizontal="center" vertical="top" wrapText="1"/>
    </xf>
    <xf numFmtId="4" fontId="13" fillId="0" borderId="15" xfId="0" applyNumberFormat="1" applyFont="1" applyBorder="1" applyAlignment="1">
      <alignment horizontal="center" vertical="top" wrapText="1"/>
    </xf>
    <xf numFmtId="165" fontId="10" fillId="0" borderId="15" xfId="0" applyNumberFormat="1" applyFont="1" applyBorder="1" applyAlignment="1">
      <alignment horizontal="right" vertical="top" wrapText="1"/>
    </xf>
    <xf numFmtId="165" fontId="9" fillId="0" borderId="0" xfId="2" applyNumberFormat="1" applyFont="1" applyFill="1" applyBorder="1" applyAlignment="1"/>
    <xf numFmtId="4" fontId="0" fillId="0" borderId="0" xfId="0" applyNumberFormat="1"/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2" fillId="0" borderId="0" xfId="0" applyFont="1"/>
    <xf numFmtId="0" fontId="1" fillId="0" borderId="0" xfId="0" applyFont="1"/>
    <xf numFmtId="0" fontId="10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</cellXfs>
  <cellStyles count="3">
    <cellStyle name="Normal" xfId="0" builtinId="0"/>
    <cellStyle name="Normal 2" xfId="2" xr:uid="{F8AB68AE-D251-49F9-94F6-79F57C81CACA}"/>
    <cellStyle name="Normal 3" xfId="1" xr:uid="{B9A2638F-BFE6-4A4A-9894-E85B5B52C0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19DB92-FE0F-4F4A-B737-140E6AA641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118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571500</xdr:colOff>
      <xdr:row>70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7007AE-ECA7-4AA1-A7E1-BA255E60B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11188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II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II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9651-58C8-4222-BC67-9A69DF6CA97D}">
  <sheetPr codeName="Sheet6">
    <outlinePr summaryBelow="0"/>
  </sheetPr>
  <dimension ref="A1:H59"/>
  <sheetViews>
    <sheetView showGridLines="0" tabSelected="1" workbookViewId="0">
      <selection activeCell="B8" sqref="B8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56" t="s">
        <v>1</v>
      </c>
      <c r="C1" s="56"/>
      <c r="D1" s="56"/>
      <c r="E1" s="56"/>
      <c r="F1" s="56"/>
      <c r="G1" s="56"/>
      <c r="H1" s="56"/>
    </row>
    <row r="2" spans="1:8" ht="20.149999999999999" customHeight="1">
      <c r="A2" s="2"/>
      <c r="B2" s="56" t="s">
        <v>2</v>
      </c>
      <c r="C2" s="56"/>
      <c r="D2" s="56"/>
      <c r="E2" s="56"/>
      <c r="F2" s="56"/>
      <c r="G2" s="56"/>
      <c r="H2" s="56"/>
    </row>
    <row r="3" spans="1:8" ht="40" customHeight="1">
      <c r="A3" s="2"/>
      <c r="B3" s="56" t="s">
        <v>3</v>
      </c>
      <c r="C3" s="56"/>
      <c r="D3" s="56"/>
      <c r="E3" s="56"/>
      <c r="F3" s="56"/>
      <c r="G3" s="56"/>
      <c r="H3" s="5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</v>
      </c>
      <c r="F8" s="15">
        <v>1053.33</v>
      </c>
      <c r="G8" s="15">
        <v>8.35</v>
      </c>
      <c r="H8" s="16">
        <v>5.1950000000000003E-2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950000</v>
      </c>
      <c r="F9" s="15">
        <v>989.29</v>
      </c>
      <c r="G9" s="15">
        <v>7.84</v>
      </c>
      <c r="H9" s="16">
        <v>4.7750000000000001E-2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850000</v>
      </c>
      <c r="F10" s="15">
        <v>861.1</v>
      </c>
      <c r="G10" s="15">
        <v>6.82</v>
      </c>
      <c r="H10" s="16">
        <v>6.2403E-2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800000</v>
      </c>
      <c r="F11" s="15">
        <v>826.12</v>
      </c>
      <c r="G11" s="15">
        <v>6.55</v>
      </c>
      <c r="H11" s="16">
        <v>4.7199999999999999E-2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780000</v>
      </c>
      <c r="F12" s="15">
        <v>792.07</v>
      </c>
      <c r="G12" s="15">
        <v>6.28</v>
      </c>
      <c r="H12" s="16">
        <v>3.6999999999999998E-2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16</v>
      </c>
      <c r="E13" s="14">
        <v>500000</v>
      </c>
      <c r="F13" s="15">
        <v>536.80999999999995</v>
      </c>
      <c r="G13" s="15">
        <v>4.25</v>
      </c>
      <c r="H13" s="16">
        <v>4.9514000000000002E-2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16</v>
      </c>
      <c r="E14" s="14">
        <v>500000</v>
      </c>
      <c r="F14" s="15">
        <v>516.63</v>
      </c>
      <c r="G14" s="15">
        <v>4.09</v>
      </c>
      <c r="H14" s="16">
        <v>4.6248999999999998E-2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16</v>
      </c>
      <c r="E15" s="14">
        <v>500000</v>
      </c>
      <c r="F15" s="15">
        <v>514.89</v>
      </c>
      <c r="G15" s="15">
        <v>4.08</v>
      </c>
      <c r="H15" s="16">
        <v>4.2595000000000001E-2</v>
      </c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16</v>
      </c>
      <c r="E16" s="14">
        <v>500000</v>
      </c>
      <c r="F16" s="15">
        <v>511.18</v>
      </c>
      <c r="G16" s="15">
        <v>4.05</v>
      </c>
      <c r="H16" s="16">
        <v>4.6616999999999999E-2</v>
      </c>
    </row>
    <row r="17" spans="1:8" ht="13" customHeight="1">
      <c r="A17" s="11" t="s">
        <v>42</v>
      </c>
      <c r="B17" s="12" t="s">
        <v>43</v>
      </c>
      <c r="C17" s="13" t="s">
        <v>44</v>
      </c>
      <c r="D17" s="8" t="s">
        <v>45</v>
      </c>
      <c r="E17" s="14">
        <v>500000</v>
      </c>
      <c r="F17" s="15">
        <v>505.6</v>
      </c>
      <c r="G17" s="15">
        <v>4.01</v>
      </c>
      <c r="H17" s="16">
        <v>4.4350000000000001E-2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23</v>
      </c>
      <c r="E18" s="14">
        <v>500000</v>
      </c>
      <c r="F18" s="15">
        <v>498.39</v>
      </c>
      <c r="G18" s="15">
        <v>3.95</v>
      </c>
      <c r="H18" s="16">
        <v>5.3145999999999999E-2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16</v>
      </c>
      <c r="E19" s="14">
        <v>500000</v>
      </c>
      <c r="F19" s="15">
        <v>497.79</v>
      </c>
      <c r="G19" s="15">
        <v>3.94</v>
      </c>
      <c r="H19" s="16" t="s">
        <v>52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56</v>
      </c>
      <c r="E20" s="14">
        <v>200000</v>
      </c>
      <c r="F20" s="15">
        <v>363.19</v>
      </c>
      <c r="G20" s="15">
        <v>2.88</v>
      </c>
      <c r="H20" s="16">
        <v>4.4650000000000002E-2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45</v>
      </c>
      <c r="E21" s="14">
        <v>300000</v>
      </c>
      <c r="F21" s="15">
        <v>305.42</v>
      </c>
      <c r="G21" s="15">
        <v>2.42</v>
      </c>
      <c r="H21" s="16">
        <v>4.2986999999999997E-2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63</v>
      </c>
      <c r="E22" s="14">
        <v>250000</v>
      </c>
      <c r="F22" s="15">
        <v>252.23</v>
      </c>
      <c r="G22" s="15">
        <v>2</v>
      </c>
      <c r="H22" s="16">
        <v>6.6623000000000002E-2</v>
      </c>
    </row>
    <row r="23" spans="1:8" ht="13" customHeight="1">
      <c r="A23" s="11" t="s">
        <v>64</v>
      </c>
      <c r="B23" s="12" t="s">
        <v>65</v>
      </c>
      <c r="C23" s="13" t="s">
        <v>66</v>
      </c>
      <c r="D23" s="8" t="s">
        <v>45</v>
      </c>
      <c r="E23" s="14">
        <v>230000</v>
      </c>
      <c r="F23" s="15">
        <v>230.86</v>
      </c>
      <c r="G23" s="15">
        <v>1.83</v>
      </c>
      <c r="H23" s="16">
        <v>5.0999999999999997E-2</v>
      </c>
    </row>
    <row r="24" spans="1:8" ht="13" customHeight="1">
      <c r="A24" s="11" t="s">
        <v>67</v>
      </c>
      <c r="B24" s="12" t="s">
        <v>68</v>
      </c>
      <c r="C24" s="13" t="s">
        <v>69</v>
      </c>
      <c r="D24" s="8" t="s">
        <v>70</v>
      </c>
      <c r="E24" s="14">
        <v>220000</v>
      </c>
      <c r="F24" s="15">
        <v>227.65</v>
      </c>
      <c r="G24" s="15">
        <v>1.8</v>
      </c>
      <c r="H24" s="16">
        <v>4.6050000000000001E-2</v>
      </c>
    </row>
    <row r="25" spans="1:8" ht="13" customHeight="1">
      <c r="A25" s="11" t="s">
        <v>71</v>
      </c>
      <c r="B25" s="12" t="s">
        <v>72</v>
      </c>
      <c r="C25" s="13" t="s">
        <v>73</v>
      </c>
      <c r="D25" s="8" t="s">
        <v>45</v>
      </c>
      <c r="E25" s="14">
        <v>200000</v>
      </c>
      <c r="F25" s="15">
        <v>205.35</v>
      </c>
      <c r="G25" s="15">
        <v>1.63</v>
      </c>
      <c r="H25" s="16">
        <v>4.4999999999999998E-2</v>
      </c>
    </row>
    <row r="26" spans="1:8" ht="13" customHeight="1">
      <c r="A26" s="11" t="s">
        <v>74</v>
      </c>
      <c r="B26" s="12" t="s">
        <v>75</v>
      </c>
      <c r="C26" s="13" t="s">
        <v>76</v>
      </c>
      <c r="D26" s="8" t="s">
        <v>77</v>
      </c>
      <c r="E26" s="14">
        <v>200000</v>
      </c>
      <c r="F26" s="15">
        <v>199.67</v>
      </c>
      <c r="G26" s="15">
        <v>1.58</v>
      </c>
      <c r="H26" s="16">
        <v>6.6824999999999996E-2</v>
      </c>
    </row>
    <row r="27" spans="1:8" ht="13" customHeight="1">
      <c r="A27" s="11" t="s">
        <v>78</v>
      </c>
      <c r="B27" s="12" t="s">
        <v>79</v>
      </c>
      <c r="C27" s="13" t="s">
        <v>80</v>
      </c>
      <c r="D27" s="8" t="s">
        <v>81</v>
      </c>
      <c r="E27" s="14">
        <v>30000</v>
      </c>
      <c r="F27" s="15">
        <v>31.74</v>
      </c>
      <c r="G27" s="15">
        <v>0.25</v>
      </c>
      <c r="H27" s="16">
        <v>6.6937999999999998E-2</v>
      </c>
    </row>
    <row r="28" spans="1:8" ht="13" customHeight="1">
      <c r="A28" s="2"/>
      <c r="B28" s="7" t="s">
        <v>82</v>
      </c>
      <c r="C28" s="8"/>
      <c r="D28" s="8"/>
      <c r="E28" s="8"/>
      <c r="F28" s="17">
        <v>9919.31</v>
      </c>
      <c r="G28" s="17">
        <v>78.599999999999994</v>
      </c>
      <c r="H28" s="18"/>
    </row>
    <row r="29" spans="1:8" ht="13" customHeight="1">
      <c r="A29" s="2"/>
      <c r="B29" s="7" t="s">
        <v>83</v>
      </c>
      <c r="C29" s="10"/>
      <c r="D29" s="10"/>
      <c r="E29" s="8"/>
      <c r="F29" s="8"/>
      <c r="G29" s="8"/>
      <c r="H29" s="9"/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45</v>
      </c>
      <c r="E30" s="14">
        <v>1000000</v>
      </c>
      <c r="F30" s="15">
        <v>1009.64</v>
      </c>
      <c r="G30" s="15">
        <v>8</v>
      </c>
      <c r="H30" s="16">
        <v>6.3997999999999999E-2</v>
      </c>
    </row>
    <row r="31" spans="1:8" ht="13" customHeight="1">
      <c r="A31" s="2"/>
      <c r="B31" s="7" t="s">
        <v>82</v>
      </c>
      <c r="C31" s="8"/>
      <c r="D31" s="8"/>
      <c r="E31" s="8"/>
      <c r="F31" s="17">
        <v>1009.64</v>
      </c>
      <c r="G31" s="17">
        <v>8</v>
      </c>
      <c r="H31" s="18"/>
    </row>
    <row r="32" spans="1:8" ht="13" customHeight="1">
      <c r="A32" s="2"/>
      <c r="B32" s="19" t="s">
        <v>87</v>
      </c>
      <c r="C32" s="20"/>
      <c r="D32" s="20"/>
      <c r="E32" s="21"/>
      <c r="F32" s="17">
        <v>10928.95</v>
      </c>
      <c r="G32" s="17">
        <v>86.6</v>
      </c>
      <c r="H32" s="22"/>
    </row>
    <row r="33" spans="1:8" ht="13" customHeight="1">
      <c r="A33" s="2"/>
      <c r="B33" s="7" t="s">
        <v>88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89</v>
      </c>
      <c r="C34" s="10"/>
      <c r="D34" s="10"/>
      <c r="E34" s="8"/>
      <c r="F34" s="8"/>
      <c r="G34" s="8"/>
      <c r="H34" s="9"/>
    </row>
    <row r="35" spans="1:8" ht="13" customHeight="1">
      <c r="A35" s="11" t="s">
        <v>90</v>
      </c>
      <c r="B35" s="12" t="s">
        <v>91</v>
      </c>
      <c r="C35" s="13"/>
      <c r="D35" s="8"/>
      <c r="E35" s="14"/>
      <c r="F35" s="15">
        <v>1222</v>
      </c>
      <c r="G35" s="15">
        <v>9.68</v>
      </c>
      <c r="H35" s="16">
        <v>3.2800000000000003E-2</v>
      </c>
    </row>
    <row r="36" spans="1:8" ht="13" customHeight="1">
      <c r="A36" s="2"/>
      <c r="B36" s="7" t="s">
        <v>82</v>
      </c>
      <c r="C36" s="8"/>
      <c r="D36" s="8"/>
      <c r="E36" s="8"/>
      <c r="F36" s="17">
        <v>1222</v>
      </c>
      <c r="G36" s="17">
        <v>9.68</v>
      </c>
      <c r="H36" s="18"/>
    </row>
    <row r="37" spans="1:8" ht="13" customHeight="1">
      <c r="A37" s="2"/>
      <c r="B37" s="19" t="s">
        <v>87</v>
      </c>
      <c r="C37" s="20"/>
      <c r="D37" s="20"/>
      <c r="E37" s="21"/>
      <c r="F37" s="17">
        <v>1222</v>
      </c>
      <c r="G37" s="17">
        <v>9.68</v>
      </c>
      <c r="H37" s="22"/>
    </row>
    <row r="38" spans="1:8" ht="13" customHeight="1">
      <c r="A38" s="2"/>
      <c r="B38" s="19" t="s">
        <v>92</v>
      </c>
      <c r="C38" s="20"/>
      <c r="D38" s="20"/>
      <c r="E38" s="8"/>
      <c r="F38" s="17">
        <v>468.7</v>
      </c>
      <c r="G38" s="17">
        <v>3.72</v>
      </c>
      <c r="H38" s="22"/>
    </row>
    <row r="39" spans="1:8" ht="13" customHeight="1" thickBot="1">
      <c r="A39" s="2"/>
      <c r="B39" s="23" t="s">
        <v>93</v>
      </c>
      <c r="C39" s="24"/>
      <c r="D39" s="24"/>
      <c r="E39" s="24"/>
      <c r="F39" s="25">
        <v>12619.65</v>
      </c>
      <c r="G39" s="26">
        <v>100</v>
      </c>
      <c r="H39" s="27"/>
    </row>
    <row r="40" spans="1:8" ht="13" customHeight="1">
      <c r="A40" s="2"/>
      <c r="B40" s="53"/>
      <c r="C40" s="53"/>
      <c r="D40" s="53"/>
      <c r="E40" s="53"/>
      <c r="F40" s="2"/>
      <c r="G40" s="2"/>
      <c r="H40" s="2"/>
    </row>
    <row r="41" spans="1:8" ht="13" customHeight="1">
      <c r="A41" s="2"/>
      <c r="B41" s="53"/>
      <c r="C41" s="53"/>
      <c r="D41" s="53"/>
      <c r="E41" s="53"/>
      <c r="F41" s="2"/>
      <c r="G41" s="2"/>
      <c r="H41" s="2"/>
    </row>
    <row r="42" spans="1:8" ht="13" customHeight="1">
      <c r="A42" s="2"/>
      <c r="B42" s="53"/>
      <c r="C42" s="53"/>
      <c r="D42" s="53"/>
      <c r="E42" s="53"/>
      <c r="F42" s="2"/>
      <c r="G42" s="2"/>
      <c r="H42" s="2"/>
    </row>
    <row r="43" spans="1:8" ht="13" customHeight="1">
      <c r="A43" s="2"/>
      <c r="B43" s="52"/>
      <c r="C43" s="52"/>
      <c r="D43" s="52"/>
      <c r="E43" s="52"/>
      <c r="F43" s="2"/>
      <c r="G43" s="2"/>
      <c r="H43" s="2"/>
    </row>
    <row r="44" spans="1:8" ht="13" customHeight="1">
      <c r="A44" s="2"/>
      <c r="B44" s="53" t="s">
        <v>94</v>
      </c>
      <c r="C44" s="53"/>
      <c r="D44" s="53"/>
      <c r="E44" s="53"/>
      <c r="F44" s="2"/>
      <c r="G44" s="2"/>
      <c r="H44" s="2"/>
    </row>
    <row r="45" spans="1:8" ht="13" customHeight="1">
      <c r="A45" s="2"/>
      <c r="B45" s="53" t="s">
        <v>95</v>
      </c>
      <c r="C45" s="53"/>
      <c r="D45" s="53"/>
      <c r="E45" s="53"/>
      <c r="F45" s="2"/>
      <c r="G45" s="2"/>
      <c r="H45" s="2"/>
    </row>
    <row r="46" spans="1:8" ht="13" customHeight="1">
      <c r="A46" s="2"/>
      <c r="B46" s="28" t="s">
        <v>96</v>
      </c>
      <c r="C46" s="28"/>
      <c r="D46" s="28"/>
      <c r="E46" s="28"/>
      <c r="F46" s="2"/>
      <c r="G46" s="2"/>
      <c r="H46" s="2"/>
    </row>
    <row r="47" spans="1:8" ht="13" customHeight="1">
      <c r="A47" s="2"/>
      <c r="B47" s="54"/>
      <c r="C47" s="54"/>
      <c r="D47" s="54"/>
      <c r="E47" s="54"/>
      <c r="F47" s="2"/>
      <c r="G47" s="2"/>
      <c r="H47" s="2"/>
    </row>
    <row r="48" spans="1:8">
      <c r="B48" s="55" t="s">
        <v>97</v>
      </c>
      <c r="C48" s="55"/>
      <c r="D48" s="55"/>
      <c r="E48" s="55"/>
    </row>
    <row r="49" spans="2:8">
      <c r="B49" s="51" t="s">
        <v>98</v>
      </c>
      <c r="C49" s="51"/>
    </row>
    <row r="50" spans="2:8" ht="36.75" customHeight="1">
      <c r="B50" s="30" t="s">
        <v>99</v>
      </c>
      <c r="C50" s="31" t="s">
        <v>5</v>
      </c>
      <c r="D50" s="32" t="s">
        <v>100</v>
      </c>
      <c r="E50" s="33" t="s">
        <v>101</v>
      </c>
      <c r="F50" s="34" t="s">
        <v>102</v>
      </c>
      <c r="G50" s="35"/>
    </row>
    <row r="51" spans="2:8">
      <c r="B51" s="36" t="s">
        <v>103</v>
      </c>
      <c r="C51" s="36" t="s">
        <v>104</v>
      </c>
      <c r="D51" s="37" t="s">
        <v>105</v>
      </c>
      <c r="E51" s="37" t="s">
        <v>105</v>
      </c>
      <c r="F51" s="38">
        <v>3502.3787791000004</v>
      </c>
      <c r="G51" s="35"/>
    </row>
    <row r="52" spans="2:8">
      <c r="B52" s="39" t="s">
        <v>106</v>
      </c>
      <c r="C52" s="39" t="s">
        <v>107</v>
      </c>
      <c r="D52" s="40">
        <v>4.9849234000000004</v>
      </c>
      <c r="E52" s="41">
        <f>+D52*100/F39</f>
        <v>3.95012809388533E-2</v>
      </c>
      <c r="F52" s="42">
        <v>1184.9999919000002</v>
      </c>
      <c r="G52" s="43"/>
      <c r="H52" s="44"/>
    </row>
    <row r="53" spans="2:8" ht="12.75" customHeight="1">
      <c r="B53" s="51"/>
      <c r="C53" s="51"/>
    </row>
    <row r="54" spans="2:8">
      <c r="B54" s="45" t="s">
        <v>108</v>
      </c>
      <c r="C54" s="46"/>
    </row>
    <row r="55" spans="2:8">
      <c r="B55" s="45" t="s">
        <v>109</v>
      </c>
      <c r="C55" s="46"/>
    </row>
    <row r="56" spans="2:8">
      <c r="B56" s="47" t="s">
        <v>110</v>
      </c>
      <c r="C56" s="48"/>
    </row>
    <row r="57" spans="2:8">
      <c r="B57" s="49" t="s">
        <v>111</v>
      </c>
      <c r="C57" s="48"/>
    </row>
    <row r="58" spans="2:8">
      <c r="F58" s="50" t="s">
        <v>112</v>
      </c>
    </row>
    <row r="59" spans="2:8">
      <c r="B59" s="50" t="s">
        <v>113</v>
      </c>
      <c r="F59" s="50" t="s">
        <v>114</v>
      </c>
    </row>
  </sheetData>
  <mergeCells count="13">
    <mergeCell ref="B42:E42"/>
    <mergeCell ref="B1:H1"/>
    <mergeCell ref="B2:H2"/>
    <mergeCell ref="B3:H3"/>
    <mergeCell ref="B40:E40"/>
    <mergeCell ref="B41:E41"/>
    <mergeCell ref="B53:C53"/>
    <mergeCell ref="B43:E43"/>
    <mergeCell ref="B44:E44"/>
    <mergeCell ref="B45:E45"/>
    <mergeCell ref="B47:E47"/>
    <mergeCell ref="B48:E48"/>
    <mergeCell ref="B49:C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B158-A4A2-44A8-B137-A0A99FB216EC}">
  <sheetPr codeName="Sheet24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53" t="s">
        <v>141</v>
      </c>
      <c r="B1" s="53"/>
      <c r="C1" s="53"/>
      <c r="D1" s="61"/>
      <c r="E1" s="29"/>
      <c r="F1" s="2"/>
    </row>
    <row r="2" spans="1:6" ht="13" customHeight="1">
      <c r="A2" s="29"/>
      <c r="B2" s="2"/>
      <c r="C2" s="2"/>
      <c r="D2" s="2"/>
      <c r="E2" s="29"/>
      <c r="F2" s="2"/>
    </row>
    <row r="3" spans="1:6" ht="13" customHeight="1">
      <c r="A3" s="60" t="s">
        <v>140</v>
      </c>
      <c r="B3" s="60"/>
      <c r="C3" s="2"/>
      <c r="D3" s="2"/>
      <c r="E3" s="60" t="s">
        <v>139</v>
      </c>
      <c r="F3" s="60"/>
    </row>
    <row r="4" spans="1:6" ht="13" customHeight="1">
      <c r="A4" s="58" t="s">
        <v>138</v>
      </c>
      <c r="B4" s="58" t="s">
        <v>9</v>
      </c>
      <c r="C4" s="2"/>
      <c r="D4" s="2"/>
      <c r="E4" s="58" t="s">
        <v>137</v>
      </c>
      <c r="F4" s="58" t="s">
        <v>136</v>
      </c>
    </row>
    <row r="5" spans="1:6" ht="13" customHeight="1">
      <c r="A5" s="20" t="s">
        <v>133</v>
      </c>
      <c r="B5" s="59">
        <v>0.1077</v>
      </c>
      <c r="C5" s="2"/>
      <c r="D5" s="2"/>
      <c r="E5" s="20" t="s">
        <v>135</v>
      </c>
      <c r="F5" s="59">
        <v>0.43940000000000001</v>
      </c>
    </row>
    <row r="6" spans="1:6" ht="13" customHeight="1">
      <c r="A6" s="20" t="s">
        <v>134</v>
      </c>
      <c r="B6" s="59">
        <v>9.6799999999999997E-2</v>
      </c>
      <c r="C6" s="2"/>
      <c r="D6" s="2"/>
      <c r="E6" s="20" t="s">
        <v>133</v>
      </c>
      <c r="F6" s="59">
        <v>0.1077</v>
      </c>
    </row>
    <row r="7" spans="1:6" ht="13" customHeight="1">
      <c r="A7" s="20" t="s">
        <v>132</v>
      </c>
      <c r="B7" s="59">
        <v>8.3500000000000005E-2</v>
      </c>
      <c r="C7" s="2"/>
      <c r="D7" s="2"/>
      <c r="E7" s="20" t="s">
        <v>131</v>
      </c>
      <c r="F7" s="59">
        <v>9.6799999999999997E-2</v>
      </c>
    </row>
    <row r="8" spans="1:6" ht="13" customHeight="1">
      <c r="A8" s="20" t="s">
        <v>130</v>
      </c>
      <c r="B8" s="59">
        <v>8.3000000000000004E-2</v>
      </c>
      <c r="C8" s="2"/>
      <c r="D8" s="2"/>
      <c r="E8" s="20" t="s">
        <v>129</v>
      </c>
      <c r="F8" s="59">
        <v>9.5799999999999996E-2</v>
      </c>
    </row>
    <row r="9" spans="1:6" ht="13" customHeight="1">
      <c r="A9" s="20" t="s">
        <v>128</v>
      </c>
      <c r="B9" s="59">
        <v>0.08</v>
      </c>
      <c r="C9" s="2"/>
      <c r="D9" s="2"/>
      <c r="E9" s="20" t="s">
        <v>127</v>
      </c>
      <c r="F9" s="59">
        <v>7.8399999999999997E-2</v>
      </c>
    </row>
    <row r="10" spans="1:6" ht="13" customHeight="1">
      <c r="A10" s="20" t="s">
        <v>126</v>
      </c>
      <c r="B10" s="59">
        <v>7.8399999999999997E-2</v>
      </c>
      <c r="C10" s="2"/>
      <c r="D10" s="2"/>
      <c r="E10" s="20" t="s">
        <v>125</v>
      </c>
      <c r="F10" s="59">
        <v>4.5100000000000001E-2</v>
      </c>
    </row>
    <row r="11" spans="1:6" ht="13" customHeight="1">
      <c r="A11" s="20" t="s">
        <v>124</v>
      </c>
      <c r="B11" s="59">
        <v>6.5500000000000003E-2</v>
      </c>
      <c r="C11" s="2"/>
      <c r="D11" s="2"/>
      <c r="E11" s="20" t="s">
        <v>123</v>
      </c>
      <c r="F11" s="59">
        <v>4.0800000000000003E-2</v>
      </c>
    </row>
    <row r="12" spans="1:6" ht="13" customHeight="1">
      <c r="A12" s="20" t="s">
        <v>122</v>
      </c>
      <c r="B12" s="59">
        <v>6.2799999999999995E-2</v>
      </c>
      <c r="C12" s="2"/>
      <c r="D12" s="2"/>
      <c r="E12" s="20" t="s">
        <v>121</v>
      </c>
      <c r="F12" s="59">
        <v>3.7999999999999999E-2</v>
      </c>
    </row>
    <row r="13" spans="1:6" ht="13" customHeight="1">
      <c r="A13" s="20" t="s">
        <v>120</v>
      </c>
      <c r="B13" s="59">
        <v>4.0899999999999999E-2</v>
      </c>
      <c r="C13" s="2"/>
      <c r="D13" s="2"/>
      <c r="E13" s="20" t="s">
        <v>119</v>
      </c>
      <c r="F13" s="59">
        <v>3.7100000000000001E-2</v>
      </c>
    </row>
    <row r="14" spans="1:6" ht="13" customHeight="1">
      <c r="A14" s="20" t="s">
        <v>118</v>
      </c>
      <c r="B14" s="59">
        <v>4.0800000000000003E-2</v>
      </c>
      <c r="C14" s="2"/>
      <c r="D14" s="2"/>
      <c r="E14" s="20" t="s">
        <v>117</v>
      </c>
      <c r="F14" s="59">
        <v>1.83E-2</v>
      </c>
    </row>
    <row r="15" spans="1:6" ht="13" customHeight="1">
      <c r="A15" s="2"/>
      <c r="B15" s="2"/>
      <c r="C15" s="2"/>
      <c r="D15" s="2"/>
      <c r="E15" s="20" t="s">
        <v>116</v>
      </c>
      <c r="F15" s="59">
        <v>2.5000000000000001E-3</v>
      </c>
    </row>
    <row r="16" spans="1:6" ht="13" customHeight="1">
      <c r="A16" s="2"/>
      <c r="B16" s="2"/>
      <c r="C16" s="2"/>
      <c r="D16" s="2"/>
      <c r="E16" s="58" t="s">
        <v>115</v>
      </c>
      <c r="F16" s="5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RICBOF!JR_PAGE_ANCHOR_0_24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2021-10-06T09:39:30Z</dcterms:created>
  <dcterms:modified xsi:type="dcterms:W3CDTF">2021-10-06T10:01:31Z</dcterms:modified>
</cp:coreProperties>
</file>