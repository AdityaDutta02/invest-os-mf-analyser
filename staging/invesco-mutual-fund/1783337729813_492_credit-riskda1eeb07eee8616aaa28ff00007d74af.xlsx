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Nov 21\"/>
    </mc:Choice>
  </mc:AlternateContent>
  <xr:revisionPtr revIDLastSave="0" documentId="13_ncr:1_{935D1898-91EE-4470-8776-784B2AC736AA}" xr6:coauthVersionLast="46" xr6:coauthVersionMax="46" xr10:uidLastSave="{00000000-0000-0000-0000-000000000000}"/>
  <bookViews>
    <workbookView xWindow="-110" yWindow="-110" windowWidth="19420" windowHeight="10420" xr2:uid="{8EEB334F-36E3-404C-A757-BA9ED525CFF4}"/>
  </bookViews>
  <sheets>
    <sheet name="Credit Risk" sheetId="3" r:id="rId1"/>
    <sheet name="RICBOF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JR_PAGE_ANCHOR_0_1" localSheetId="0">#REF!</definedName>
    <definedName name="JR_PAGE_ANCHOR_0_1">#REF!</definedName>
    <definedName name="JR_PAGE_ANCHOR_0_11" localSheetId="0">#REF!</definedName>
    <definedName name="JR_PAGE_ANCHOR_0_11">#REF!</definedName>
    <definedName name="JR_PAGE_ANCHOR_0_12">[1]RAIF!$A$1</definedName>
    <definedName name="JR_PAGE_ANCHOR_0_13" localSheetId="0">#REF!</definedName>
    <definedName name="JR_PAGE_ANCHOR_0_13" localSheetId="1">[2]RARBF!$A$1</definedName>
    <definedName name="JR_PAGE_ANCHOR_0_13">#REF!</definedName>
    <definedName name="JR_PAGE_ANCHOR_0_14">[3]RBDF!$A$1</definedName>
    <definedName name="JR_PAGE_ANCHOR_0_15" localSheetId="0">#REF!</definedName>
    <definedName name="JR_PAGE_ANCHOR_0_15">#REF!</definedName>
    <definedName name="JR_PAGE_ANCHOR_0_16" localSheetId="0">#REF!</definedName>
    <definedName name="JR_PAGE_ANCHOR_0_16">#REF!</definedName>
    <definedName name="JR_PAGE_ANCHOR_0_17" localSheetId="0">#REF!</definedName>
    <definedName name="JR_PAGE_ANCHOR_0_17" localSheetId="1">[4]RCF!$A$1</definedName>
    <definedName name="JR_PAGE_ANCHOR_0_17">#REF!</definedName>
    <definedName name="JR_PAGE_ANCHOR_0_19" localSheetId="0">#REF!</definedName>
    <definedName name="JR_PAGE_ANCHOR_0_19">#REF!</definedName>
    <definedName name="JR_PAGE_ANCHOR_0_2" localSheetId="0">#REF!</definedName>
    <definedName name="JR_PAGE_ANCHOR_0_2">#REF!</definedName>
    <definedName name="JR_PAGE_ANCHOR_0_20">#REF!</definedName>
    <definedName name="JR_PAGE_ANCHOR_0_22">#REF!</definedName>
    <definedName name="JR_PAGE_ANCHOR_0_23">#REF!</definedName>
    <definedName name="JR_PAGE_ANCHOR_0_24" localSheetId="0">'Credit Risk'!$A$1</definedName>
    <definedName name="JR_PAGE_ANCHOR_0_24" localSheetId="1">RICBOF!$A$1</definedName>
    <definedName name="JR_PAGE_ANCHOR_0_24">#REF!</definedName>
    <definedName name="JR_PAGE_ANCHOR_0_25" localSheetId="0">#REF!</definedName>
    <definedName name="JR_PAGE_ANCHOR_0_25">#REF!</definedName>
    <definedName name="JR_PAGE_ANCHOR_0_26" localSheetId="0">#REF!</definedName>
    <definedName name="JR_PAGE_ANCHOR_0_26">#REF!</definedName>
    <definedName name="JR_PAGE_ANCHOR_0_27" localSheetId="0">#REF!</definedName>
    <definedName name="JR_PAGE_ANCHOR_0_27">#REF!</definedName>
    <definedName name="JR_PAGE_ANCHOR_0_29">#REF!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5">#REF!</definedName>
    <definedName name="JR_PAGE_ANCHOR_0_4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3" l="1"/>
</calcChain>
</file>

<file path=xl/sharedStrings.xml><?xml version="1.0" encoding="utf-8"?>
<sst xmlns="http://schemas.openxmlformats.org/spreadsheetml/2006/main" count="161" uniqueCount="141">
  <si>
    <t>INVESCO MUTUAL FUND</t>
  </si>
  <si>
    <t>Monthly Portfolio Statement as on November 30, 2021</t>
  </si>
  <si>
    <t>Invesco India Credit Risk Fund (An open ended debt scheme predominantly investing in AA and below rated corporate bonds (excluding AA+ rated corporate bonds))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</si>
  <si>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</si>
  <si>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</si>
  <si>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</si>
  <si>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</si>
  <si>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</si>
  <si>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</si>
  <si>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</si>
  <si>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</si>
  <si>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</si>
  <si>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NHBA299</t>
  </si>
  <si>
    <t>7.05% National Housing Bank 2024 **</t>
  </si>
  <si>
    <t>INE557F08FG1</t>
  </si>
  <si>
    <t>CRISIL AAA</t>
  </si>
  <si>
    <t>RIND338</t>
  </si>
  <si>
    <t>7.05% Reliance Industries Limited 2023 **</t>
  </si>
  <si>
    <t>INE002A08625</t>
  </si>
  <si>
    <t>GOI2335</t>
  </si>
  <si>
    <t>6.45% Government of India 2029</t>
  </si>
  <si>
    <t>IN0020190362</t>
  </si>
  <si>
    <t>SOVEREIGN</t>
  </si>
  <si>
    <t>POWF453</t>
  </si>
  <si>
    <t>6.98% Power Finance Corporation Limited 2023 **</t>
  </si>
  <si>
    <t>INE134E08KN8</t>
  </si>
  <si>
    <t>NBAR420</t>
  </si>
  <si>
    <t>8.60% National Bank For Agriculture and Rural Development 2022</t>
  </si>
  <si>
    <t>INE261F08AI7</t>
  </si>
  <si>
    <t>IRLY322</t>
  </si>
  <si>
    <t>8.25% Indian Railway Finance Corporation Limited 2024 **</t>
  </si>
  <si>
    <t>INE053F07BB3</t>
  </si>
  <si>
    <t>HDBF264</t>
  </si>
  <si>
    <t>7.5% HDB Financial Services Limited 2022 **</t>
  </si>
  <si>
    <t>INE756I07CX7</t>
  </si>
  <si>
    <t>NHAI56</t>
  </si>
  <si>
    <t>7.11% National Highways Auth Of Ind 2022 **</t>
  </si>
  <si>
    <t>INE906B07FX6</t>
  </si>
  <si>
    <t>IRLY341</t>
  </si>
  <si>
    <t>6.19% Indian Railway Finance Corporation Limited 2023 **</t>
  </si>
  <si>
    <t>INE053F07CC9</t>
  </si>
  <si>
    <t>MUFL301</t>
  </si>
  <si>
    <t>9.5% Muthoot Finance Limited 2021 **</t>
  </si>
  <si>
    <t>INE414G07EK0</t>
  </si>
  <si>
    <t>CRISIL AA+</t>
  </si>
  <si>
    <t>GOI2491</t>
  </si>
  <si>
    <t>5.22% Government of India 2025</t>
  </si>
  <si>
    <t>IN0020200112</t>
  </si>
  <si>
    <t>SBAI201</t>
  </si>
  <si>
    <t>6.8% State Bank of India 2035 **</t>
  </si>
  <si>
    <t>INE062A08231</t>
  </si>
  <si>
    <t>6.95% $</t>
  </si>
  <si>
    <t>TISC109</t>
  </si>
  <si>
    <t>2% Tata Steel Limited 2022 **</t>
  </si>
  <si>
    <t>INE081A08181</t>
  </si>
  <si>
    <t>CARE AA+</t>
  </si>
  <si>
    <t>BHAT38</t>
  </si>
  <si>
    <t>8.90% Bharti Telecom Limited 2022 **</t>
  </si>
  <si>
    <t>INE403D08066</t>
  </si>
  <si>
    <t>NUCL130</t>
  </si>
  <si>
    <t>6.8% Nuclear Power Corporation Of India Limited 2031 **</t>
  </si>
  <si>
    <t>INE206D08477</t>
  </si>
  <si>
    <t>ICRA AAA</t>
  </si>
  <si>
    <t>TENL20</t>
  </si>
  <si>
    <t>5.35% Telesonic Networks Limited 2023</t>
  </si>
  <si>
    <t>INE308O08015</t>
  </si>
  <si>
    <t>TPOW38</t>
  </si>
  <si>
    <t>9.15% Tata Power Company Limited 2022 **</t>
  </si>
  <si>
    <t>INE245A07234</t>
  </si>
  <si>
    <t>CRISIL AA</t>
  </si>
  <si>
    <t>HINI105</t>
  </si>
  <si>
    <t>9.55% Hindalco Industries Limited 2022 **</t>
  </si>
  <si>
    <t>INE038A07258</t>
  </si>
  <si>
    <t>OPAL34</t>
  </si>
  <si>
    <t>6.63% ONGC Petro Additions Limited 2024 **</t>
  </si>
  <si>
    <t>INE163N08180</t>
  </si>
  <si>
    <t>ICRA AA</t>
  </si>
  <si>
    <t>FCOI31</t>
  </si>
  <si>
    <t>7.64% Food Corporation Of India 2029 **</t>
  </si>
  <si>
    <t>INE861G08050</t>
  </si>
  <si>
    <t>CRISIL AAA(CE)</t>
  </si>
  <si>
    <t>Sub Total</t>
  </si>
  <si>
    <t>(b) Privately placed / Unlisted</t>
  </si>
  <si>
    <t>INOX33</t>
  </si>
  <si>
    <t>10.85% Inox Air Products Pvt Limited 2021 ** #</t>
  </si>
  <si>
    <t>INE321A07142</t>
  </si>
  <si>
    <t>Total</t>
  </si>
  <si>
    <t>Money Market Instruments</t>
  </si>
  <si>
    <t>TREPS / Reverse Repo</t>
  </si>
  <si>
    <t>TRP_011221</t>
  </si>
  <si>
    <t>Triparty Repo</t>
  </si>
  <si>
    <t>Net Receivables / (Payables)</t>
  </si>
  <si>
    <t>GRAND TOTAL</t>
  </si>
  <si>
    <t>**  Non Traded Security</t>
  </si>
  <si>
    <t>#  Unlisted Security</t>
  </si>
  <si>
    <t>$ Yield to Call (YTC)- 6.967%</t>
  </si>
  <si>
    <t>Notes :</t>
  </si>
  <si>
    <t>(1)  Details of security defaulted beyond it's maturity date is as follows:</t>
  </si>
  <si>
    <t>Name of the security</t>
  </si>
  <si>
    <t>Value recognized in NAV 
As on November 30, 2021</t>
  </si>
  <si>
    <t>% to NAV
As on November 30, 2021</t>
  </si>
  <si>
    <t>Amount due to the scheme (Rs Lacs)</t>
  </si>
  <si>
    <t>IL&amp;FS Transportation Network Ltd  ZCB Ser B (23/06/19)</t>
  </si>
  <si>
    <t>INE975G08157</t>
  </si>
  <si>
    <t>-</t>
  </si>
  <si>
    <t>10.70% Sintex Ind Ltd NCD (MD30/09/21)P/C 30/09/19</t>
  </si>
  <si>
    <t>INE429C07057</t>
  </si>
  <si>
    <t>(2)  Total Value and percentage of illiquid equity shares: Nil</t>
  </si>
  <si>
    <t>(3)  Total outstanding exposure in derivative instruments as on November 30, 2021: Nil</t>
  </si>
  <si>
    <t>(4)  Total investments in Foreign Securities / Overseas ETFs as on November 30, 2021 and its percentage to NAV : Nil</t>
  </si>
  <si>
    <t>(5) Investment in Repo of Corporate Debt securities : Nil</t>
  </si>
  <si>
    <t>BENCHMARK NAME - CRISIL COMPOSITE AA SHORT TERM BOND INDEX</t>
  </si>
  <si>
    <t>SCHEME RISK-O-METER</t>
  </si>
  <si>
    <t>BENCHMARK RISK-O-METER</t>
  </si>
  <si>
    <t>Grand Total</t>
  </si>
  <si>
    <t>Consumer Goods</t>
  </si>
  <si>
    <t>Telecom</t>
  </si>
  <si>
    <t>National Highways Auth Of Ind</t>
  </si>
  <si>
    <t>Power</t>
  </si>
  <si>
    <t>HDB Financial Services Limited</t>
  </si>
  <si>
    <t>Cash &amp; Cash Equivalent:</t>
  </si>
  <si>
    <t>National Bank For Agriculture and Rural Development</t>
  </si>
  <si>
    <t>Construction</t>
  </si>
  <si>
    <t>Power Finance Corporation Limited</t>
  </si>
  <si>
    <t>Metals</t>
  </si>
  <si>
    <t>Reliance Industries Limited</t>
  </si>
  <si>
    <t>Oil &amp; Gas</t>
  </si>
  <si>
    <t>Inox Air Products Pvt Limited</t>
  </si>
  <si>
    <t>Chemicals</t>
  </si>
  <si>
    <t>Indian Railway Finance Corporation Limited</t>
  </si>
  <si>
    <t>Government of India</t>
  </si>
  <si>
    <t>National Housing Bank</t>
  </si>
  <si>
    <t>Others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</si>
  <si>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</si>
  <si>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</si>
  <si>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</si>
  <si>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</si>
  <si>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</si>
  <si>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</si>
  <si>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</si>
  <si>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Credit Risk Fund (An open ended debt scheme predominantly investing in AA and below rated corporate bonds (excluding AA+ rated corporate bonds))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</si>
</sst>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b/>
      <sz val="9"/>
      <name val="SansSerif"/>
    </font>
    <font>
      <sz val="9"/>
      <name val="Arial"/>
      <family val="2"/>
    </font>
    <font>
      <sz val="9"/>
      <color theme="1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 applyProtection="1">
      <alignment wrapText="1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/>
    <xf numFmtId="0" fontId="8" fillId="0" borderId="15" xfId="1" applyFont="1" applyBorder="1" applyAlignment="1">
      <alignment horizontal="left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top" wrapText="1"/>
    </xf>
    <xf numFmtId="0" fontId="11" fillId="0" borderId="15" xfId="1" applyFont="1" applyBorder="1" applyAlignment="1">
      <alignment horizontal="center" vertical="top" wrapText="1"/>
    </xf>
    <xf numFmtId="4" fontId="11" fillId="0" borderId="15" xfId="1" applyNumberFormat="1" applyFont="1" applyFill="1" applyBorder="1" applyAlignment="1">
      <alignment horizontal="center" vertical="top" wrapText="1"/>
    </xf>
    <xf numFmtId="0" fontId="9" fillId="0" borderId="0" xfId="2" applyNumberFormat="1" applyFont="1" applyFill="1" applyBorder="1" applyAlignment="1"/>
    <xf numFmtId="0" fontId="12" fillId="0" borderId="15" xfId="0" applyFont="1" applyBorder="1" applyAlignment="1">
      <alignment wrapText="1"/>
    </xf>
    <xf numFmtId="0" fontId="12" fillId="0" borderId="15" xfId="0" applyFont="1" applyBorder="1" applyAlignment="1">
      <alignment horizontal="center" wrapText="1"/>
    </xf>
    <xf numFmtId="4" fontId="12" fillId="0" borderId="15" xfId="0" applyNumberFormat="1" applyFont="1" applyBorder="1" applyAlignment="1">
      <alignment wrapText="1"/>
    </xf>
    <xf numFmtId="0" fontId="10" fillId="0" borderId="15" xfId="0" applyFont="1" applyBorder="1" applyAlignment="1">
      <alignment horizontal="left" vertical="top" wrapText="1"/>
    </xf>
    <xf numFmtId="4" fontId="10" fillId="0" borderId="15" xfId="0" applyNumberFormat="1" applyFont="1" applyBorder="1" applyAlignment="1">
      <alignment horizontal="center" vertical="top" wrapText="1"/>
    </xf>
    <xf numFmtId="4" fontId="13" fillId="0" borderId="15" xfId="0" applyNumberFormat="1" applyFont="1" applyBorder="1" applyAlignment="1">
      <alignment horizontal="center" vertical="top" wrapText="1"/>
    </xf>
    <xf numFmtId="165" fontId="10" fillId="0" borderId="15" xfId="0" applyNumberFormat="1" applyFont="1" applyBorder="1" applyAlignment="1">
      <alignment horizontal="right" vertical="top" wrapText="1"/>
    </xf>
    <xf numFmtId="165" fontId="9" fillId="0" borderId="0" xfId="2" applyNumberFormat="1" applyFont="1" applyFill="1" applyBorder="1" applyAlignment="1"/>
    <xf numFmtId="4" fontId="0" fillId="0" borderId="0" xfId="0" applyNumberFormat="1"/>
    <xf numFmtId="0" fontId="10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2" fillId="0" borderId="0" xfId="0" applyFont="1"/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/>
    <xf numFmtId="166" fontId="14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166" fontId="3" fillId="0" borderId="10" xfId="0" applyNumberFormat="1" applyFont="1" applyBorder="1" applyAlignment="1">
      <alignment horizontal="right" vertical="top" wrapText="1"/>
    </xf>
    <xf numFmtId="0" fontId="1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0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0" fillId="0" borderId="0" xfId="0"/>
    <xf numFmtId="0" fontId="4" fillId="0" borderId="10" xfId="0" applyFont="1" applyBorder="1" applyAlignment="1">
      <alignment horizontal="left" vertical="top" wrapText="1"/>
    </xf>
  </cellXfs>
  <cellStyles count="3">
    <cellStyle name="Normal" xfId="0" builtinId="0"/>
    <cellStyle name="Normal 2" xfId="2" xr:uid="{99B87AEA-04DF-46D6-AB96-0FFD51217D90}"/>
    <cellStyle name="Normal 3" xfId="1" xr:uid="{9CB001B2-1506-47F6-91E7-AC5C8FA3DE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61</xdr:row>
      <xdr:rowOff>0</xdr:rowOff>
    </xdr:from>
    <xdr:ext cx="2936875" cy="1841500"/>
    <xdr:pic>
      <xdr:nvPicPr>
        <xdr:cNvPr id="2" name="Picture 1">
          <a:extLst>
            <a:ext uri="{FF2B5EF4-FFF2-40B4-BE49-F238E27FC236}">
              <a16:creationId xmlns:a16="http://schemas.microsoft.com/office/drawing/2014/main" id="{113BF8CE-29B4-43C6-85D8-6796673E1C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1233150"/>
          <a:ext cx="2936875" cy="1841500"/>
        </a:xfrm>
        <a:prstGeom prst="rect">
          <a:avLst/>
        </a:prstGeom>
      </xdr:spPr>
    </xdr:pic>
    <xdr:clientData/>
  </xdr:oneCellAnchor>
  <xdr:oneCellAnchor>
    <xdr:from>
      <xdr:col>0</xdr:col>
      <xdr:colOff>234950</xdr:colOff>
      <xdr:row>61</xdr:row>
      <xdr:rowOff>120650</xdr:rowOff>
    </xdr:from>
    <xdr:ext cx="2987675" cy="2149475"/>
    <xdr:pic>
      <xdr:nvPicPr>
        <xdr:cNvPr id="3" name="Picture 2" descr="H:\\RiskoMeter\Moderate.png">
          <a:extLst>
            <a:ext uri="{FF2B5EF4-FFF2-40B4-BE49-F238E27FC236}">
              <a16:creationId xmlns:a16="http://schemas.microsoft.com/office/drawing/2014/main" id="{CD6B75DB-E98D-4C2A-9A10-AE007B5ED80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11353800"/>
          <a:ext cx="2987675" cy="2149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nivv\AppData\Local\Microsoft\Windows\INetCache\Content.Outlook\GQH7O2U2\Credit%20Risk%20Portfolio%20Nov%202021-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/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996FC-5519-4EB9-B19D-15B12C92E498}">
  <sheetPr>
    <outlinePr summaryBelow="0"/>
  </sheetPr>
  <dimension ref="A1:H60"/>
  <sheetViews>
    <sheetView showGridLines="0" tabSelected="1" workbookViewId="0"/>
  </sheetViews>
  <sheetFormatPr defaultRowHeight="14.5"/>
  <cols>
    <col min="1" max="1" width="3.453125" style="52" customWidth="1"/>
    <col min="2" max="2" width="41.54296875" style="52" customWidth="1"/>
    <col min="3" max="4" width="25" style="52" customWidth="1"/>
    <col min="5" max="5" width="20" style="52" customWidth="1"/>
    <col min="6" max="6" width="25" style="52" customWidth="1"/>
    <col min="7" max="8" width="20" style="52" customWidth="1"/>
    <col min="9" max="16384" width="8.7265625" style="52"/>
  </cols>
  <sheetData>
    <row r="1" spans="1:8" ht="20.149999999999999" customHeight="1">
      <c r="A1" s="1"/>
      <c r="B1" s="58" t="s">
        <v>0</v>
      </c>
      <c r="C1" s="58"/>
      <c r="D1" s="58"/>
      <c r="E1" s="58"/>
      <c r="F1" s="58"/>
      <c r="G1" s="58"/>
      <c r="H1" s="58"/>
    </row>
    <row r="2" spans="1:8" ht="20.149999999999999" customHeight="1">
      <c r="A2" s="1"/>
      <c r="B2" s="58" t="s">
        <v>1</v>
      </c>
      <c r="C2" s="58"/>
      <c r="D2" s="58"/>
      <c r="E2" s="58"/>
      <c r="F2" s="58"/>
      <c r="G2" s="58"/>
      <c r="H2" s="58"/>
    </row>
    <row r="3" spans="1:8" ht="40.5" customHeight="1">
      <c r="A3" s="1"/>
      <c r="B3" s="58" t="s">
        <v>2</v>
      </c>
      <c r="C3" s="58"/>
      <c r="D3" s="58"/>
      <c r="E3" s="58"/>
      <c r="F3" s="58"/>
      <c r="G3" s="58"/>
      <c r="H3" s="58"/>
    </row>
    <row r="4" spans="1:8" ht="13" customHeight="1" thickBot="1">
      <c r="A4" s="51"/>
      <c r="B4" s="1"/>
      <c r="C4" s="1"/>
      <c r="D4" s="1"/>
      <c r="E4" s="1"/>
      <c r="F4" s="1"/>
      <c r="G4" s="1"/>
      <c r="H4" s="1"/>
    </row>
    <row r="5" spans="1:8" ht="28" customHeight="1">
      <c r="A5" s="1"/>
      <c r="B5" s="2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4" t="s">
        <v>9</v>
      </c>
    </row>
    <row r="6" spans="1:8" ht="13" customHeight="1">
      <c r="A6" s="1"/>
      <c r="B6" s="5" t="s">
        <v>10</v>
      </c>
      <c r="C6" s="6"/>
      <c r="D6" s="6"/>
      <c r="E6" s="6"/>
      <c r="F6" s="6"/>
      <c r="G6" s="6"/>
      <c r="H6" s="7"/>
    </row>
    <row r="7" spans="1:8" ht="13" customHeight="1">
      <c r="A7" s="1"/>
      <c r="B7" s="5" t="s">
        <v>11</v>
      </c>
      <c r="C7" s="8"/>
      <c r="D7" s="8"/>
      <c r="E7" s="6"/>
      <c r="F7" s="6"/>
      <c r="G7" s="6"/>
      <c r="H7" s="7"/>
    </row>
    <row r="8" spans="1:8" ht="13" customHeight="1">
      <c r="A8" s="9" t="s">
        <v>12</v>
      </c>
      <c r="B8" s="10" t="s">
        <v>13</v>
      </c>
      <c r="C8" s="11" t="s">
        <v>14</v>
      </c>
      <c r="D8" s="6" t="s">
        <v>15</v>
      </c>
      <c r="E8" s="12">
        <v>1000000</v>
      </c>
      <c r="F8" s="13">
        <v>1046.8599999999999</v>
      </c>
      <c r="G8" s="13">
        <v>7.9</v>
      </c>
      <c r="H8" s="14">
        <v>5.3399000000000002E-2</v>
      </c>
    </row>
    <row r="9" spans="1:8" ht="13" customHeight="1">
      <c r="A9" s="9" t="s">
        <v>16</v>
      </c>
      <c r="B9" s="10" t="s">
        <v>17</v>
      </c>
      <c r="C9" s="11" t="s">
        <v>18</v>
      </c>
      <c r="D9" s="6" t="s">
        <v>15</v>
      </c>
      <c r="E9" s="12">
        <v>950000</v>
      </c>
      <c r="F9" s="13">
        <v>983.74</v>
      </c>
      <c r="G9" s="13">
        <v>7.42</v>
      </c>
      <c r="H9" s="14">
        <v>4.9050000000000003E-2</v>
      </c>
    </row>
    <row r="10" spans="1:8" ht="13" customHeight="1">
      <c r="A10" s="9" t="s">
        <v>19</v>
      </c>
      <c r="B10" s="10" t="s">
        <v>20</v>
      </c>
      <c r="C10" s="11" t="s">
        <v>21</v>
      </c>
      <c r="D10" s="6" t="s">
        <v>22</v>
      </c>
      <c r="E10" s="12">
        <v>850000</v>
      </c>
      <c r="F10" s="13">
        <v>860.37</v>
      </c>
      <c r="G10" s="13">
        <v>6.49</v>
      </c>
      <c r="H10" s="14">
        <v>6.2493E-2</v>
      </c>
    </row>
    <row r="11" spans="1:8" ht="13" customHeight="1">
      <c r="A11" s="9" t="s">
        <v>23</v>
      </c>
      <c r="B11" s="10" t="s">
        <v>24</v>
      </c>
      <c r="C11" s="11" t="s">
        <v>25</v>
      </c>
      <c r="D11" s="6" t="s">
        <v>15</v>
      </c>
      <c r="E11" s="12">
        <v>800000</v>
      </c>
      <c r="F11" s="13">
        <v>822.08</v>
      </c>
      <c r="G11" s="13">
        <v>6.2</v>
      </c>
      <c r="H11" s="14">
        <v>4.8399999999999999E-2</v>
      </c>
    </row>
    <row r="12" spans="1:8" ht="13" customHeight="1">
      <c r="A12" s="9" t="s">
        <v>26</v>
      </c>
      <c r="B12" s="10" t="s">
        <v>27</v>
      </c>
      <c r="C12" s="11" t="s">
        <v>28</v>
      </c>
      <c r="D12" s="6" t="s">
        <v>15</v>
      </c>
      <c r="E12" s="12">
        <v>780000</v>
      </c>
      <c r="F12" s="13">
        <v>786.14</v>
      </c>
      <c r="G12" s="13">
        <v>5.93</v>
      </c>
      <c r="H12" s="14">
        <v>3.5999999999999997E-2</v>
      </c>
    </row>
    <row r="13" spans="1:8" ht="13" customHeight="1">
      <c r="A13" s="9" t="s">
        <v>29</v>
      </c>
      <c r="B13" s="10" t="s">
        <v>30</v>
      </c>
      <c r="C13" s="11" t="s">
        <v>31</v>
      </c>
      <c r="D13" s="6" t="s">
        <v>15</v>
      </c>
      <c r="E13" s="12">
        <v>500000</v>
      </c>
      <c r="F13" s="13">
        <v>532.92999999999995</v>
      </c>
      <c r="G13" s="13">
        <v>4.0199999999999996</v>
      </c>
      <c r="H13" s="14">
        <v>5.0799999999999998E-2</v>
      </c>
    </row>
    <row r="14" spans="1:8" ht="13" customHeight="1">
      <c r="A14" s="9" t="s">
        <v>32</v>
      </c>
      <c r="B14" s="10" t="s">
        <v>33</v>
      </c>
      <c r="C14" s="11" t="s">
        <v>34</v>
      </c>
      <c r="D14" s="6" t="s">
        <v>15</v>
      </c>
      <c r="E14" s="12">
        <v>500000</v>
      </c>
      <c r="F14" s="13">
        <v>512.54999999999995</v>
      </c>
      <c r="G14" s="13">
        <v>3.87</v>
      </c>
      <c r="H14" s="14">
        <v>0.05</v>
      </c>
    </row>
    <row r="15" spans="1:8" ht="13" customHeight="1">
      <c r="A15" s="9" t="s">
        <v>35</v>
      </c>
      <c r="B15" s="10" t="s">
        <v>36</v>
      </c>
      <c r="C15" s="11" t="s">
        <v>37</v>
      </c>
      <c r="D15" s="6" t="s">
        <v>15</v>
      </c>
      <c r="E15" s="12">
        <v>500000</v>
      </c>
      <c r="F15" s="13">
        <v>512.02</v>
      </c>
      <c r="G15" s="13">
        <v>3.86</v>
      </c>
      <c r="H15" s="14">
        <v>4.3950000000000003E-2</v>
      </c>
    </row>
    <row r="16" spans="1:8" ht="13" customHeight="1">
      <c r="A16" s="9" t="s">
        <v>38</v>
      </c>
      <c r="B16" s="10" t="s">
        <v>39</v>
      </c>
      <c r="C16" s="11" t="s">
        <v>40</v>
      </c>
      <c r="D16" s="6" t="s">
        <v>15</v>
      </c>
      <c r="E16" s="12">
        <v>500000</v>
      </c>
      <c r="F16" s="13">
        <v>509.56</v>
      </c>
      <c r="G16" s="13">
        <v>3.85</v>
      </c>
      <c r="H16" s="14">
        <v>4.7300000000000002E-2</v>
      </c>
    </row>
    <row r="17" spans="1:8" ht="13" customHeight="1">
      <c r="A17" s="9" t="s">
        <v>41</v>
      </c>
      <c r="B17" s="10" t="s">
        <v>42</v>
      </c>
      <c r="C17" s="11" t="s">
        <v>43</v>
      </c>
      <c r="D17" s="6" t="s">
        <v>44</v>
      </c>
      <c r="E17" s="12">
        <v>500000</v>
      </c>
      <c r="F17" s="13">
        <v>501.73</v>
      </c>
      <c r="G17" s="13">
        <v>3.79</v>
      </c>
      <c r="H17" s="14">
        <v>4.2450000000000002E-2</v>
      </c>
    </row>
    <row r="18" spans="1:8" ht="13" customHeight="1">
      <c r="A18" s="9" t="s">
        <v>45</v>
      </c>
      <c r="B18" s="10" t="s">
        <v>46</v>
      </c>
      <c r="C18" s="11" t="s">
        <v>47</v>
      </c>
      <c r="D18" s="6" t="s">
        <v>22</v>
      </c>
      <c r="E18" s="12">
        <v>500000</v>
      </c>
      <c r="F18" s="13">
        <v>498.48</v>
      </c>
      <c r="G18" s="13">
        <v>3.76</v>
      </c>
      <c r="H18" s="14">
        <v>5.3149000000000002E-2</v>
      </c>
    </row>
    <row r="19" spans="1:8" ht="13" customHeight="1">
      <c r="A19" s="9" t="s">
        <v>48</v>
      </c>
      <c r="B19" s="10" t="s">
        <v>49</v>
      </c>
      <c r="C19" s="11" t="s">
        <v>50</v>
      </c>
      <c r="D19" s="6" t="s">
        <v>15</v>
      </c>
      <c r="E19" s="12">
        <v>500000</v>
      </c>
      <c r="F19" s="13">
        <v>494.45</v>
      </c>
      <c r="G19" s="13">
        <v>3.73</v>
      </c>
      <c r="H19" s="14" t="s">
        <v>51</v>
      </c>
    </row>
    <row r="20" spans="1:8" ht="13" customHeight="1">
      <c r="A20" s="9" t="s">
        <v>52</v>
      </c>
      <c r="B20" s="10" t="s">
        <v>53</v>
      </c>
      <c r="C20" s="11" t="s">
        <v>54</v>
      </c>
      <c r="D20" s="6" t="s">
        <v>55</v>
      </c>
      <c r="E20" s="12">
        <v>200000</v>
      </c>
      <c r="F20" s="13">
        <v>365.22</v>
      </c>
      <c r="G20" s="13">
        <v>2.76</v>
      </c>
      <c r="H20" s="14">
        <v>4.4499999999999998E-2</v>
      </c>
    </row>
    <row r="21" spans="1:8" ht="13" customHeight="1">
      <c r="A21" s="9" t="s">
        <v>56</v>
      </c>
      <c r="B21" s="10" t="s">
        <v>57</v>
      </c>
      <c r="C21" s="11" t="s">
        <v>58</v>
      </c>
      <c r="D21" s="6" t="s">
        <v>44</v>
      </c>
      <c r="E21" s="12">
        <v>300000</v>
      </c>
      <c r="F21" s="13">
        <v>303.08</v>
      </c>
      <c r="G21" s="13">
        <v>2.29</v>
      </c>
      <c r="H21" s="14">
        <v>4.3549999999999998E-2</v>
      </c>
    </row>
    <row r="22" spans="1:8" ht="13" customHeight="1">
      <c r="A22" s="9" t="s">
        <v>59</v>
      </c>
      <c r="B22" s="10" t="s">
        <v>60</v>
      </c>
      <c r="C22" s="11" t="s">
        <v>61</v>
      </c>
      <c r="D22" s="6" t="s">
        <v>62</v>
      </c>
      <c r="E22" s="12">
        <v>250000</v>
      </c>
      <c r="F22" s="13">
        <v>251.09</v>
      </c>
      <c r="G22" s="13">
        <v>1.89</v>
      </c>
      <c r="H22" s="14">
        <v>6.7284999999999998E-2</v>
      </c>
    </row>
    <row r="23" spans="1:8" ht="13" customHeight="1">
      <c r="A23" s="9" t="s">
        <v>63</v>
      </c>
      <c r="B23" s="10" t="s">
        <v>64</v>
      </c>
      <c r="C23" s="11" t="s">
        <v>65</v>
      </c>
      <c r="D23" s="6" t="s">
        <v>44</v>
      </c>
      <c r="E23" s="12">
        <v>230000</v>
      </c>
      <c r="F23" s="13">
        <v>230.29</v>
      </c>
      <c r="G23" s="13">
        <v>1.74</v>
      </c>
      <c r="H23" s="14">
        <v>5.2499999999999998E-2</v>
      </c>
    </row>
    <row r="24" spans="1:8" ht="13" customHeight="1">
      <c r="A24" s="9" t="s">
        <v>66</v>
      </c>
      <c r="B24" s="10" t="s">
        <v>67</v>
      </c>
      <c r="C24" s="11" t="s">
        <v>68</v>
      </c>
      <c r="D24" s="6" t="s">
        <v>69</v>
      </c>
      <c r="E24" s="12">
        <v>220000</v>
      </c>
      <c r="F24" s="13">
        <v>225.6</v>
      </c>
      <c r="G24" s="13">
        <v>1.7</v>
      </c>
      <c r="H24" s="14">
        <v>4.895E-2</v>
      </c>
    </row>
    <row r="25" spans="1:8" ht="13" customHeight="1">
      <c r="A25" s="9" t="s">
        <v>70</v>
      </c>
      <c r="B25" s="10" t="s">
        <v>71</v>
      </c>
      <c r="C25" s="11" t="s">
        <v>72</v>
      </c>
      <c r="D25" s="6" t="s">
        <v>44</v>
      </c>
      <c r="E25" s="12">
        <v>200000</v>
      </c>
      <c r="F25" s="13">
        <v>203.7</v>
      </c>
      <c r="G25" s="13">
        <v>1.54</v>
      </c>
      <c r="H25" s="14">
        <v>4.5501E-2</v>
      </c>
    </row>
    <row r="26" spans="1:8" ht="13" customHeight="1">
      <c r="A26" s="9" t="s">
        <v>73</v>
      </c>
      <c r="B26" s="10" t="s">
        <v>74</v>
      </c>
      <c r="C26" s="11" t="s">
        <v>75</v>
      </c>
      <c r="D26" s="6" t="s">
        <v>76</v>
      </c>
      <c r="E26" s="12">
        <v>200000</v>
      </c>
      <c r="F26" s="13">
        <v>200.23</v>
      </c>
      <c r="G26" s="13">
        <v>1.51</v>
      </c>
      <c r="H26" s="14">
        <v>6.5596000000000002E-2</v>
      </c>
    </row>
    <row r="27" spans="1:8" ht="13" customHeight="1">
      <c r="A27" s="9" t="s">
        <v>77</v>
      </c>
      <c r="B27" s="10" t="s">
        <v>78</v>
      </c>
      <c r="C27" s="11" t="s">
        <v>79</v>
      </c>
      <c r="D27" s="6" t="s">
        <v>80</v>
      </c>
      <c r="E27" s="12">
        <v>30000</v>
      </c>
      <c r="F27" s="13">
        <v>31.38</v>
      </c>
      <c r="G27" s="13">
        <v>0.24</v>
      </c>
      <c r="H27" s="14">
        <v>6.8752999999999995E-2</v>
      </c>
    </row>
    <row r="28" spans="1:8" ht="13" customHeight="1">
      <c r="A28" s="1"/>
      <c r="B28" s="5" t="s">
        <v>81</v>
      </c>
      <c r="C28" s="6"/>
      <c r="D28" s="6"/>
      <c r="E28" s="6"/>
      <c r="F28" s="15">
        <v>9871.5</v>
      </c>
      <c r="G28" s="15">
        <v>74.489999999999995</v>
      </c>
      <c r="H28" s="16"/>
    </row>
    <row r="29" spans="1:8" ht="13" customHeight="1">
      <c r="A29" s="1"/>
      <c r="B29" s="5" t="s">
        <v>82</v>
      </c>
      <c r="C29" s="8"/>
      <c r="D29" s="8"/>
      <c r="E29" s="6"/>
      <c r="F29" s="6"/>
      <c r="G29" s="6"/>
      <c r="H29" s="7"/>
    </row>
    <row r="30" spans="1:8" ht="13" customHeight="1">
      <c r="A30" s="9" t="s">
        <v>83</v>
      </c>
      <c r="B30" s="10" t="s">
        <v>84</v>
      </c>
      <c r="C30" s="11" t="s">
        <v>85</v>
      </c>
      <c r="D30" s="6" t="s">
        <v>44</v>
      </c>
      <c r="E30" s="12">
        <v>1000000</v>
      </c>
      <c r="F30" s="13">
        <v>1003.23</v>
      </c>
      <c r="G30" s="13">
        <v>7.57</v>
      </c>
      <c r="H30" s="14">
        <v>6.2799999999999995E-2</v>
      </c>
    </row>
    <row r="31" spans="1:8" ht="13" customHeight="1">
      <c r="A31" s="1"/>
      <c r="B31" s="5" t="s">
        <v>81</v>
      </c>
      <c r="C31" s="6"/>
      <c r="D31" s="6"/>
      <c r="E31" s="6"/>
      <c r="F31" s="15">
        <v>1003.23</v>
      </c>
      <c r="G31" s="15">
        <v>7.57</v>
      </c>
      <c r="H31" s="16"/>
    </row>
    <row r="32" spans="1:8" ht="13" customHeight="1">
      <c r="A32" s="1"/>
      <c r="B32" s="17" t="s">
        <v>86</v>
      </c>
      <c r="C32" s="18"/>
      <c r="D32" s="18"/>
      <c r="E32" s="19"/>
      <c r="F32" s="15">
        <v>10874.73</v>
      </c>
      <c r="G32" s="15">
        <v>82.06</v>
      </c>
      <c r="H32" s="20"/>
    </row>
    <row r="33" spans="1:8" ht="13" customHeight="1">
      <c r="A33" s="1"/>
      <c r="B33" s="5" t="s">
        <v>87</v>
      </c>
      <c r="C33" s="6"/>
      <c r="D33" s="6"/>
      <c r="E33" s="6"/>
      <c r="F33" s="6"/>
      <c r="G33" s="6"/>
      <c r="H33" s="7"/>
    </row>
    <row r="34" spans="1:8" ht="13" customHeight="1">
      <c r="A34" s="1"/>
      <c r="B34" s="5" t="s">
        <v>88</v>
      </c>
      <c r="C34" s="8"/>
      <c r="D34" s="8"/>
      <c r="E34" s="6"/>
      <c r="F34" s="6"/>
      <c r="G34" s="6"/>
      <c r="H34" s="7"/>
    </row>
    <row r="35" spans="1:8" ht="13" customHeight="1">
      <c r="A35" s="9" t="s">
        <v>89</v>
      </c>
      <c r="B35" s="10" t="s">
        <v>90</v>
      </c>
      <c r="C35" s="11"/>
      <c r="D35" s="6"/>
      <c r="E35" s="12"/>
      <c r="F35" s="13">
        <v>1880.5</v>
      </c>
      <c r="G35" s="13">
        <v>14.19</v>
      </c>
      <c r="H35" s="14">
        <v>3.3399999999999999E-2</v>
      </c>
    </row>
    <row r="36" spans="1:8" ht="13" customHeight="1">
      <c r="A36" s="1"/>
      <c r="B36" s="5" t="s">
        <v>81</v>
      </c>
      <c r="C36" s="6"/>
      <c r="D36" s="6"/>
      <c r="E36" s="6"/>
      <c r="F36" s="15">
        <v>1880.5</v>
      </c>
      <c r="G36" s="15">
        <v>14.19</v>
      </c>
      <c r="H36" s="16"/>
    </row>
    <row r="37" spans="1:8" ht="13" customHeight="1">
      <c r="A37" s="1"/>
      <c r="B37" s="17" t="s">
        <v>86</v>
      </c>
      <c r="C37" s="18"/>
      <c r="D37" s="18"/>
      <c r="E37" s="19"/>
      <c r="F37" s="15">
        <v>1880.5</v>
      </c>
      <c r="G37" s="15">
        <v>14.19</v>
      </c>
      <c r="H37" s="20"/>
    </row>
    <row r="38" spans="1:8" ht="13" customHeight="1">
      <c r="A38" s="1"/>
      <c r="B38" s="17" t="s">
        <v>91</v>
      </c>
      <c r="C38" s="18"/>
      <c r="D38" s="18"/>
      <c r="E38" s="6"/>
      <c r="F38" s="15">
        <v>496.41</v>
      </c>
      <c r="G38" s="15">
        <v>3.75</v>
      </c>
      <c r="H38" s="20"/>
    </row>
    <row r="39" spans="1:8" ht="13" customHeight="1" thickBot="1">
      <c r="A39" s="1"/>
      <c r="B39" s="21" t="s">
        <v>92</v>
      </c>
      <c r="C39" s="22"/>
      <c r="D39" s="22"/>
      <c r="E39" s="22"/>
      <c r="F39" s="23">
        <v>13251.64</v>
      </c>
      <c r="G39" s="24">
        <v>100</v>
      </c>
      <c r="H39" s="25"/>
    </row>
    <row r="40" spans="1:8" ht="13" customHeight="1">
      <c r="A40" s="1"/>
      <c r="B40" s="57"/>
      <c r="C40" s="57"/>
      <c r="D40" s="57"/>
      <c r="E40" s="57"/>
      <c r="F40" s="1"/>
      <c r="G40" s="1"/>
      <c r="H40" s="1"/>
    </row>
    <row r="41" spans="1:8" ht="13" customHeight="1">
      <c r="A41" s="1"/>
      <c r="B41" s="57"/>
      <c r="C41" s="57"/>
      <c r="D41" s="57"/>
      <c r="E41" s="57"/>
      <c r="F41" s="1"/>
      <c r="G41" s="1"/>
      <c r="H41" s="1"/>
    </row>
    <row r="42" spans="1:8" ht="13" customHeight="1">
      <c r="A42" s="1"/>
      <c r="B42" s="57"/>
      <c r="C42" s="57"/>
      <c r="D42" s="57"/>
      <c r="E42" s="57"/>
      <c r="F42" s="1"/>
      <c r="G42" s="1"/>
      <c r="H42" s="1"/>
    </row>
    <row r="43" spans="1:8" ht="13" customHeight="1">
      <c r="A43" s="1"/>
      <c r="B43" s="60"/>
      <c r="C43" s="60"/>
      <c r="D43" s="60"/>
      <c r="E43" s="60"/>
      <c r="F43" s="1"/>
      <c r="G43" s="1"/>
      <c r="H43" s="1"/>
    </row>
    <row r="44" spans="1:8" ht="13" customHeight="1">
      <c r="A44" s="1"/>
      <c r="B44" s="57" t="s">
        <v>93</v>
      </c>
      <c r="C44" s="57"/>
      <c r="D44" s="57"/>
      <c r="E44" s="57"/>
      <c r="F44" s="1"/>
      <c r="G44" s="1"/>
      <c r="H44" s="1"/>
    </row>
    <row r="45" spans="1:8" ht="13" customHeight="1">
      <c r="A45" s="1"/>
      <c r="B45" s="57" t="s">
        <v>94</v>
      </c>
      <c r="C45" s="57"/>
      <c r="D45" s="57"/>
      <c r="E45" s="57"/>
      <c r="F45" s="1"/>
      <c r="G45" s="1"/>
      <c r="H45" s="1"/>
    </row>
    <row r="46" spans="1:8" ht="13" customHeight="1">
      <c r="A46" s="1"/>
      <c r="B46" s="61"/>
      <c r="C46" s="61"/>
      <c r="D46" s="61"/>
      <c r="E46" s="61"/>
      <c r="F46" s="1"/>
      <c r="G46" s="1"/>
      <c r="H46" s="1"/>
    </row>
    <row r="47" spans="1:8" ht="13" customHeight="1">
      <c r="A47" s="1"/>
      <c r="B47" s="57" t="s">
        <v>95</v>
      </c>
      <c r="C47" s="57"/>
      <c r="D47" s="57"/>
      <c r="E47" s="57"/>
      <c r="F47" s="1"/>
      <c r="G47" s="1"/>
      <c r="H47" s="1"/>
    </row>
    <row r="48" spans="1:8" ht="13" customHeight="1">
      <c r="A48" s="1"/>
      <c r="B48" s="50"/>
      <c r="C48" s="50"/>
      <c r="D48" s="50"/>
      <c r="E48" s="50"/>
      <c r="F48" s="1"/>
      <c r="G48" s="1"/>
      <c r="H48" s="1"/>
    </row>
    <row r="49" spans="1:8" ht="13" customHeight="1">
      <c r="A49" s="27"/>
      <c r="B49" s="62" t="s">
        <v>96</v>
      </c>
      <c r="C49" s="63"/>
      <c r="D49" s="63"/>
      <c r="E49" s="63"/>
      <c r="F49" s="27"/>
      <c r="G49" s="27"/>
      <c r="H49" s="27"/>
    </row>
    <row r="50" spans="1:8">
      <c r="B50" s="59" t="s">
        <v>97</v>
      </c>
      <c r="C50" s="59"/>
    </row>
    <row r="51" spans="1:8" ht="36.75" customHeight="1">
      <c r="B51" s="29" t="s">
        <v>98</v>
      </c>
      <c r="C51" s="30" t="s">
        <v>4</v>
      </c>
      <c r="D51" s="31" t="s">
        <v>99</v>
      </c>
      <c r="E51" s="32" t="s">
        <v>100</v>
      </c>
      <c r="F51" s="33" t="s">
        <v>101</v>
      </c>
      <c r="G51" s="34"/>
    </row>
    <row r="52" spans="1:8" ht="24">
      <c r="B52" s="35" t="s">
        <v>102</v>
      </c>
      <c r="C52" s="35" t="s">
        <v>103</v>
      </c>
      <c r="D52" s="36" t="s">
        <v>104</v>
      </c>
      <c r="E52" s="36" t="s">
        <v>104</v>
      </c>
      <c r="F52" s="37">
        <v>3502.3787791000004</v>
      </c>
      <c r="G52" s="34"/>
    </row>
    <row r="53" spans="1:8">
      <c r="B53" s="38" t="s">
        <v>105</v>
      </c>
      <c r="C53" s="38" t="s">
        <v>106</v>
      </c>
      <c r="D53" s="39">
        <v>4.9849234000000004</v>
      </c>
      <c r="E53" s="40">
        <f>+D53*100/F39</f>
        <v>3.7617407354863255E-2</v>
      </c>
      <c r="F53" s="41">
        <v>1184.9999919000002</v>
      </c>
      <c r="G53" s="42"/>
      <c r="H53" s="43"/>
    </row>
    <row r="54" spans="1:8" ht="12.75" customHeight="1">
      <c r="B54" s="59"/>
      <c r="C54" s="59"/>
    </row>
    <row r="55" spans="1:8">
      <c r="B55" s="44" t="s">
        <v>107</v>
      </c>
      <c r="C55" s="45"/>
    </row>
    <row r="56" spans="1:8">
      <c r="B56" s="44" t="s">
        <v>108</v>
      </c>
      <c r="C56" s="45"/>
    </row>
    <row r="57" spans="1:8">
      <c r="B57" s="46" t="s">
        <v>109</v>
      </c>
      <c r="C57" s="47"/>
    </row>
    <row r="58" spans="1:8">
      <c r="B58" s="48" t="s">
        <v>110</v>
      </c>
      <c r="C58" s="47"/>
    </row>
    <row r="59" spans="1:8">
      <c r="F59" s="49" t="s">
        <v>111</v>
      </c>
    </row>
    <row r="60" spans="1:8">
      <c r="B60" s="49" t="s">
        <v>112</v>
      </c>
      <c r="F60" s="49" t="s">
        <v>113</v>
      </c>
    </row>
  </sheetData>
  <mergeCells count="14">
    <mergeCell ref="B50:C50"/>
    <mergeCell ref="B54:C54"/>
    <mergeCell ref="B43:E43"/>
    <mergeCell ref="B44:E44"/>
    <mergeCell ref="B45:E45"/>
    <mergeCell ref="B46:E46"/>
    <mergeCell ref="B47:E47"/>
    <mergeCell ref="B49:E49"/>
    <mergeCell ref="B42:E42"/>
    <mergeCell ref="B1:H1"/>
    <mergeCell ref="B2:H2"/>
    <mergeCell ref="B3:H3"/>
    <mergeCell ref="B40:E40"/>
    <mergeCell ref="B41:E4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37F98-5234-4F3A-B5B7-B61442FE64E3}">
  <sheetPr>
    <outlinePr summaryBelow="0"/>
  </sheetPr>
  <dimension ref="A1:F16"/>
  <sheetViews>
    <sheetView workbookViewId="0">
      <selection sqref="A1:C1"/>
    </sheetView>
  </sheetViews>
  <sheetFormatPr defaultRowHeight="14.5"/>
  <cols>
    <col min="1" max="1" width="66.6328125" style="28" customWidth="1"/>
    <col min="2" max="4" width="16.6328125" style="28" customWidth="1"/>
    <col min="5" max="5" width="66.6328125" style="28" customWidth="1"/>
    <col min="6" max="6" width="16.6328125" style="28" customWidth="1"/>
    <col min="7" max="16384" width="8.7265625" style="28"/>
  </cols>
  <sheetData>
    <row r="1" spans="1:6" ht="13" customHeight="1">
      <c r="A1" s="57" t="s">
        <v>140</v>
      </c>
      <c r="B1" s="57"/>
      <c r="C1" s="57"/>
      <c r="D1" s="56"/>
      <c r="E1" s="26"/>
      <c r="F1" s="1"/>
    </row>
    <row r="2" spans="1:6" ht="13" customHeight="1">
      <c r="A2" s="26"/>
      <c r="B2" s="1"/>
      <c r="C2" s="1"/>
      <c r="D2" s="1"/>
      <c r="E2" s="26"/>
      <c r="F2" s="1"/>
    </row>
    <row r="3" spans="1:6" ht="13" customHeight="1">
      <c r="A3" s="64" t="s">
        <v>139</v>
      </c>
      <c r="B3" s="64"/>
      <c r="C3" s="1"/>
      <c r="D3" s="1"/>
      <c r="E3" s="64" t="s">
        <v>138</v>
      </c>
      <c r="F3" s="64"/>
    </row>
    <row r="4" spans="1:6" ht="13" customHeight="1">
      <c r="A4" s="54" t="s">
        <v>137</v>
      </c>
      <c r="B4" s="54" t="s">
        <v>8</v>
      </c>
      <c r="C4" s="1"/>
      <c r="D4" s="1"/>
      <c r="E4" s="54" t="s">
        <v>136</v>
      </c>
      <c r="F4" s="54" t="s">
        <v>135</v>
      </c>
    </row>
    <row r="5" spans="1:6" ht="13" customHeight="1">
      <c r="A5" s="18" t="s">
        <v>134</v>
      </c>
      <c r="B5" s="55">
        <v>0.1419</v>
      </c>
      <c r="C5" s="1"/>
      <c r="D5" s="1"/>
      <c r="E5" s="18" t="s">
        <v>133</v>
      </c>
      <c r="F5" s="55">
        <v>0.4158</v>
      </c>
    </row>
    <row r="6" spans="1:6" ht="13" customHeight="1">
      <c r="A6" s="18" t="s">
        <v>130</v>
      </c>
      <c r="B6" s="55">
        <v>0.10249999999999999</v>
      </c>
      <c r="C6" s="1"/>
      <c r="D6" s="1"/>
      <c r="E6" s="18" t="s">
        <v>132</v>
      </c>
      <c r="F6" s="55">
        <v>0.1419</v>
      </c>
    </row>
    <row r="7" spans="1:6" ht="13" customHeight="1">
      <c r="A7" s="18" t="s">
        <v>131</v>
      </c>
      <c r="B7" s="55">
        <v>7.9000000000000001E-2</v>
      </c>
      <c r="C7" s="1"/>
      <c r="D7" s="1"/>
      <c r="E7" s="18" t="s">
        <v>130</v>
      </c>
      <c r="F7" s="55">
        <v>0.10249999999999999</v>
      </c>
    </row>
    <row r="8" spans="1:6" ht="13" customHeight="1">
      <c r="A8" s="18" t="s">
        <v>129</v>
      </c>
      <c r="B8" s="55">
        <v>7.8700000000000006E-2</v>
      </c>
      <c r="C8" s="1"/>
      <c r="D8" s="1"/>
      <c r="E8" s="18" t="s">
        <v>128</v>
      </c>
      <c r="F8" s="55">
        <v>9.0800000000000006E-2</v>
      </c>
    </row>
    <row r="9" spans="1:6" ht="13" customHeight="1">
      <c r="A9" s="18" t="s">
        <v>127</v>
      </c>
      <c r="B9" s="55">
        <v>7.5700000000000003E-2</v>
      </c>
      <c r="C9" s="1"/>
      <c r="D9" s="1"/>
      <c r="E9" s="18" t="s">
        <v>126</v>
      </c>
      <c r="F9" s="55">
        <v>7.4200000000000002E-2</v>
      </c>
    </row>
    <row r="10" spans="1:6" ht="13" customHeight="1">
      <c r="A10" s="18" t="s">
        <v>125</v>
      </c>
      <c r="B10" s="55">
        <v>7.4200000000000002E-2</v>
      </c>
      <c r="C10" s="1"/>
      <c r="D10" s="1"/>
      <c r="E10" s="18" t="s">
        <v>124</v>
      </c>
      <c r="F10" s="55">
        <v>4.2900000000000001E-2</v>
      </c>
    </row>
    <row r="11" spans="1:6" ht="13" customHeight="1">
      <c r="A11" s="18" t="s">
        <v>123</v>
      </c>
      <c r="B11" s="55">
        <v>6.2E-2</v>
      </c>
      <c r="C11" s="1"/>
      <c r="D11" s="1"/>
      <c r="E11" s="18" t="s">
        <v>122</v>
      </c>
      <c r="F11" s="55">
        <v>3.8600000000000002E-2</v>
      </c>
    </row>
    <row r="12" spans="1:6" ht="13" customHeight="1">
      <c r="A12" s="18" t="s">
        <v>121</v>
      </c>
      <c r="B12" s="55">
        <v>5.9299999999999999E-2</v>
      </c>
      <c r="C12" s="1"/>
      <c r="D12" s="1"/>
      <c r="E12" s="18" t="s">
        <v>120</v>
      </c>
      <c r="F12" s="55">
        <v>3.7499999999999999E-2</v>
      </c>
    </row>
    <row r="13" spans="1:6" ht="13" customHeight="1">
      <c r="A13" s="18" t="s">
        <v>119</v>
      </c>
      <c r="B13" s="55">
        <v>3.8699999999999998E-2</v>
      </c>
      <c r="C13" s="1"/>
      <c r="D13" s="1"/>
      <c r="E13" s="18" t="s">
        <v>118</v>
      </c>
      <c r="F13" s="55">
        <v>3.5999999999999997E-2</v>
      </c>
    </row>
    <row r="14" spans="1:6" ht="13" customHeight="1">
      <c r="A14" s="18" t="s">
        <v>117</v>
      </c>
      <c r="B14" s="55">
        <v>3.8600000000000002E-2</v>
      </c>
      <c r="C14" s="1"/>
      <c r="D14" s="1"/>
      <c r="E14" s="18" t="s">
        <v>116</v>
      </c>
      <c r="F14" s="55">
        <v>1.7399999999999999E-2</v>
      </c>
    </row>
    <row r="15" spans="1:6" ht="13" customHeight="1">
      <c r="A15" s="1"/>
      <c r="B15" s="1"/>
      <c r="C15" s="1"/>
      <c r="D15" s="1"/>
      <c r="E15" s="18" t="s">
        <v>115</v>
      </c>
      <c r="F15" s="55">
        <v>2.3999999999999998E-3</v>
      </c>
    </row>
    <row r="16" spans="1:6" ht="13" customHeight="1">
      <c r="A16" s="1"/>
      <c r="B16" s="1"/>
      <c r="C16" s="1"/>
      <c r="D16" s="1"/>
      <c r="E16" s="54" t="s">
        <v>114</v>
      </c>
      <c r="F16" s="5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Credit Risk</vt:lpstr>
      <vt:lpstr>RICBOF</vt:lpstr>
      <vt:lpstr>'Credit Risk'!JR_PAGE_ANCHOR_0_24</vt:lpstr>
      <vt:lpstr>RICBOF!JR_PAGE_ANCHOR_0_24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2021-12-07T05:28:44Z</dcterms:created>
  <dcterms:modified xsi:type="dcterms:W3CDTF">2021-12-09T11:22:32Z</dcterms:modified>
</cp:coreProperties>
</file>