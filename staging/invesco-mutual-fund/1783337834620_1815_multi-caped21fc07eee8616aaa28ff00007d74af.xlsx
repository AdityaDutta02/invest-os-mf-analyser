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253E0CC1-31E7-405F-A8D5-EFD1B8AC6513}" xr6:coauthVersionLast="47" xr6:coauthVersionMax="47" xr10:uidLastSave="{00000000-0000-0000-0000-000000000000}"/>
  <bookViews>
    <workbookView xWindow="-110" yWindow="-110" windowWidth="19420" windowHeight="11500" xr2:uid="{1B193333-ACBA-485B-956A-3E7741111405}"/>
  </bookViews>
  <sheets>
    <sheet name="Multi Cap" sheetId="1" r:id="rId1"/>
    <sheet name="RMS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7">RMSCF!$A$1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1" l="1"/>
  <c r="G76" i="1"/>
  <c r="F76" i="1"/>
  <c r="F77" i="1" s="1"/>
</calcChain>
</file>

<file path=xl/sharedStrings.xml><?xml version="1.0" encoding="utf-8"?>
<sst xmlns="http://schemas.openxmlformats.org/spreadsheetml/2006/main" count="322" uniqueCount="264">
  <si>
    <t>RMSCF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</si>
  <si>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</si>
  <si>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</si>
  <si>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</si>
  <si>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</si>
  <si>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</si>
  <si>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</si>
  <si>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</si>
  <si>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</si>
  <si>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</si>
  <si>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</si>
  <si>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</si>
  <si>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</si>
  <si>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</si>
  <si>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</si>
  <si>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</si>
  <si>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</si>
  <si>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</si>
  <si>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</si>
  <si>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</si>
  <si>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</si>
  <si>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</si>
  <si>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</si>
  <si>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</si>
  <si>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HDFB03</t>
  </si>
  <si>
    <t>HDFC Bank Limited</t>
  </si>
  <si>
    <t>INE040A01034</t>
  </si>
  <si>
    <t>KIMS02</t>
  </si>
  <si>
    <t>Krishna Institute Of Medical Sciences Limited</t>
  </si>
  <si>
    <t>INE967H01025</t>
  </si>
  <si>
    <t>Healthcare Services</t>
  </si>
  <si>
    <t>BSEL02</t>
  </si>
  <si>
    <t>BSE Limited</t>
  </si>
  <si>
    <t>INE118H01025</t>
  </si>
  <si>
    <t>Capital Markets</t>
  </si>
  <si>
    <t>SAPH01</t>
  </si>
  <si>
    <t>Sai Life Sciences Limited</t>
  </si>
  <si>
    <t>INE570L01029</t>
  </si>
  <si>
    <t>Pharmaceuticals &amp; Biotechnology</t>
  </si>
  <si>
    <t>PSYL02</t>
  </si>
  <si>
    <t>Persistent Systems Ltd ‡</t>
  </si>
  <si>
    <t>INE262H01021</t>
  </si>
  <si>
    <t>IT - Software</t>
  </si>
  <si>
    <t>SAEL02</t>
  </si>
  <si>
    <t>TVS Motor Company Limited</t>
  </si>
  <si>
    <t>INE494B01023</t>
  </si>
  <si>
    <t>Automobiles</t>
  </si>
  <si>
    <t>CHOL02</t>
  </si>
  <si>
    <t>Cholamandalam Investment and Finance Company Limited</t>
  </si>
  <si>
    <t>INE121A01024</t>
  </si>
  <si>
    <t>Finance</t>
  </si>
  <si>
    <t>MAHE01</t>
  </si>
  <si>
    <t>Max Healthcare Institute Limited</t>
  </si>
  <si>
    <t>INE027H01010</t>
  </si>
  <si>
    <t>DRAH01</t>
  </si>
  <si>
    <t>Dr Agarwals Health Care Limited</t>
  </si>
  <si>
    <t>INE943P01029</t>
  </si>
  <si>
    <t>AFPL02</t>
  </si>
  <si>
    <t>AU Small Finance Bank Limited</t>
  </si>
  <si>
    <t>INE949L01017</t>
  </si>
  <si>
    <t>SSNL02</t>
  </si>
  <si>
    <t>Delhivery Limited</t>
  </si>
  <si>
    <t>INE148O01028</t>
  </si>
  <si>
    <t>Transport Services</t>
  </si>
  <si>
    <t>BTVL02</t>
  </si>
  <si>
    <t>Bharti Airtel Limited</t>
  </si>
  <si>
    <t>INE397D01024</t>
  </si>
  <si>
    <t>Telecom - Services</t>
  </si>
  <si>
    <t>GODI01</t>
  </si>
  <si>
    <t>Go Digit General Insurance Ltd</t>
  </si>
  <si>
    <t>INE03JT01014</t>
  </si>
  <si>
    <t>Insurance</t>
  </si>
  <si>
    <t>MCEX02</t>
  </si>
  <si>
    <t>Multi Commodity Exchange of India Limited</t>
  </si>
  <si>
    <t>INE745G01043</t>
  </si>
  <si>
    <t>JKCE01</t>
  </si>
  <si>
    <t>JK Cement Limited</t>
  </si>
  <si>
    <t>INE823G01014</t>
  </si>
  <si>
    <t>Cement &amp; Cement Products</t>
  </si>
  <si>
    <t>INAV01</t>
  </si>
  <si>
    <t>InterGlobe Aviation Limited</t>
  </si>
  <si>
    <t>INE646L01027</t>
  </si>
  <si>
    <t>RCAM01</t>
  </si>
  <si>
    <t>Nippon Life India Asset Management Limited</t>
  </si>
  <si>
    <t>INE298J01013</t>
  </si>
  <si>
    <t>AMBE01</t>
  </si>
  <si>
    <t>Amber Enterprises India Limited</t>
  </si>
  <si>
    <t>INE371P01015</t>
  </si>
  <si>
    <t>Consumer Durables</t>
  </si>
  <si>
    <t>LAKM02</t>
  </si>
  <si>
    <t>Trent Limited</t>
  </si>
  <si>
    <t>INE849A01020</t>
  </si>
  <si>
    <t>BLTE01</t>
  </si>
  <si>
    <t>Swiggy Limited ‡</t>
  </si>
  <si>
    <t>INE00H001014</t>
  </si>
  <si>
    <t>PREP01</t>
  </si>
  <si>
    <t>Prestige Estates Projects Limited</t>
  </si>
  <si>
    <t>INE811K01011</t>
  </si>
  <si>
    <t>Realty</t>
  </si>
  <si>
    <t>LARS02</t>
  </si>
  <si>
    <t>Larsen &amp; Toubro Limited</t>
  </si>
  <si>
    <t>INE018A01030</t>
  </si>
  <si>
    <t>Construction</t>
  </si>
  <si>
    <t>ESMC02</t>
  </si>
  <si>
    <t>PB Fintech Limited</t>
  </si>
  <si>
    <t>INE417T01026</t>
  </si>
  <si>
    <t>Financial Technology (Fintech)</t>
  </si>
  <si>
    <t>GHPL01</t>
  </si>
  <si>
    <t>Global Health Limited</t>
  </si>
  <si>
    <t>INE474Q01031</t>
  </si>
  <si>
    <t>FSNE01</t>
  </si>
  <si>
    <t>FSN E-Commerce Ventures Limited</t>
  </si>
  <si>
    <t>INE388Y01029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</si>
  <si>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</si>
  <si>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</si>
  <si>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</si>
  <si>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</si>
  <si>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</si>
  <si>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</si>
  <si>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ULCC01</t>
  </si>
  <si>
    <t>UltraTech Cement Limited</t>
  </si>
  <si>
    <t>INE481G01011</t>
  </si>
  <si>
    <t>NITL02</t>
  </si>
  <si>
    <t>Coforge Limited</t>
  </si>
  <si>
    <t>INE591G01025</t>
  </si>
  <si>
    <t>TIIN01</t>
  </si>
  <si>
    <t>Timken India Limited</t>
  </si>
  <si>
    <t>INE325A01013</t>
  </si>
  <si>
    <t>Industrial Products</t>
  </si>
  <si>
    <t>MAHI02</t>
  </si>
  <si>
    <t>Mahindra &amp; Mahindra Limited</t>
  </si>
  <si>
    <t>INE101A01026</t>
  </si>
  <si>
    <t>RATN01</t>
  </si>
  <si>
    <t>RBL Bank Limited</t>
  </si>
  <si>
    <t>INE976G01028</t>
  </si>
  <si>
    <t>BHEL02</t>
  </si>
  <si>
    <t>Bharat Electronics Limited</t>
  </si>
  <si>
    <t>INE263A01024</t>
  </si>
  <si>
    <t>Aerospace &amp; Defense</t>
  </si>
  <si>
    <t>TMLC01</t>
  </si>
  <si>
    <t>Tata Motors Ltd</t>
  </si>
  <si>
    <t>INE1TAE01010</t>
  </si>
  <si>
    <t>Agricultural, Commercial &amp; Construction Vehicles</t>
  </si>
  <si>
    <t>KEII02</t>
  </si>
  <si>
    <t>KEI Industries Limited ‡</t>
  </si>
  <si>
    <t>INE878B01027</t>
  </si>
  <si>
    <t>SAFI02</t>
  </si>
  <si>
    <t>Safari Industries (India) Limited</t>
  </si>
  <si>
    <t>INE429E01023</t>
  </si>
  <si>
    <t>BKBA02</t>
  </si>
  <si>
    <t>Bank of Baroda</t>
  </si>
  <si>
    <t>INE028A01039</t>
  </si>
  <si>
    <t>BAFL03</t>
  </si>
  <si>
    <t>Bajaj Finance Ltd</t>
  </si>
  <si>
    <t>INE296A01032</t>
  </si>
  <si>
    <t>JUFL02</t>
  </si>
  <si>
    <t>Jubilant Foodworks Limited</t>
  </si>
  <si>
    <t>INE797F01020</t>
  </si>
  <si>
    <t>Leisure Services</t>
  </si>
  <si>
    <t>APLI04</t>
  </si>
  <si>
    <t>Hexaware Technologies Limited</t>
  </si>
  <si>
    <t>INE093A01041</t>
  </si>
  <si>
    <t>HALT02</t>
  </si>
  <si>
    <t>Hindustan Aeronautics Limited</t>
  </si>
  <si>
    <t>INE066F01020</t>
  </si>
  <si>
    <t>HFFC02</t>
  </si>
  <si>
    <t>Home First Finance Company India Limited</t>
  </si>
  <si>
    <t>INE481N01025</t>
  </si>
  <si>
    <t>KAVY06</t>
  </si>
  <si>
    <t>Karur Vysya Bank Limited</t>
  </si>
  <si>
    <t>INE036D01028</t>
  </si>
  <si>
    <t>ABBP01</t>
  </si>
  <si>
    <t>Hitachi Energy India Limited</t>
  </si>
  <si>
    <t>INE07Y701011</t>
  </si>
  <si>
    <t>Electrical Equipment</t>
  </si>
  <si>
    <t>SBFC01</t>
  </si>
  <si>
    <t>SBFC Finance Limited</t>
  </si>
  <si>
    <t>INE423Y01016</t>
  </si>
  <si>
    <t>VMML01</t>
  </si>
  <si>
    <t>Vishal Mega Mart Limited</t>
  </si>
  <si>
    <t>INE01EA01019</t>
  </si>
  <si>
    <t>CORE01</t>
  </si>
  <si>
    <t>Corona Remedies Limited</t>
  </si>
  <si>
    <t>INE02ZQ01018</t>
  </si>
  <si>
    <t>IIBL01</t>
  </si>
  <si>
    <t>IndusInd Bank Limited ^^^</t>
  </si>
  <si>
    <t>INE095A01012</t>
  </si>
  <si>
    <t>FUJI02</t>
  </si>
  <si>
    <t>Zensar Technologies Limited</t>
  </si>
  <si>
    <t>INE520A01027</t>
  </si>
  <si>
    <t>ADTH01</t>
  </si>
  <si>
    <t>Aditya Infotech Limited</t>
  </si>
  <si>
    <t>INE819V01029</t>
  </si>
  <si>
    <t>Industrial Manufacturing</t>
  </si>
  <si>
    <t>HINI02</t>
  </si>
  <si>
    <t>Hindalco Industries Limited</t>
  </si>
  <si>
    <t>INE038A01020</t>
  </si>
  <si>
    <t>Non - Ferrous Metals</t>
  </si>
  <si>
    <t>ETHO01</t>
  </si>
  <si>
    <t>Ethos Ltd.</t>
  </si>
  <si>
    <t>INE04TZ01018</t>
  </si>
  <si>
    <t>CENT02</t>
  </si>
  <si>
    <t>Aditya Birla Real Estate Limited</t>
  </si>
  <si>
    <t>INE055A01016</t>
  </si>
  <si>
    <t>JYCN01</t>
  </si>
  <si>
    <t>Jyoti CNC Automation Ltd</t>
  </si>
  <si>
    <t>INE980O01024</t>
  </si>
  <si>
    <t>LTFL01</t>
  </si>
  <si>
    <t>L&amp;T Finance Limited ‡</t>
  </si>
  <si>
    <t>INE498L01015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</si>
  <si>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</si>
  <si>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</si>
  <si>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</si>
  <si>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</si>
  <si>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</si>
  <si>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</si>
  <si>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</si>
  <si>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</si>
  <si>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</si>
  <si>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</si>
  <si>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</si>
  <si>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</si>
  <si>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</si>
  <si>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</si>
  <si>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</si>
  <si>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</si>
  <si>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</si>
  <si>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</si>
  <si>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</si>
  <si>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</si>
  <si>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</si>
  <si>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KEI Industries Limited</t>
  </si>
  <si>
    <t>L&amp;T Finance Limited</t>
  </si>
  <si>
    <t>Persistent Systems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</si>
  <si>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</si>
  <si>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</si>
  <si>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</si>
  <si>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</si>
  <si>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</si>
  <si>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</si>
  <si>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</si>
  <si>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</si>
  <si>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</si>
  <si>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</si>
  <si>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</si>
  <si>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</si>
  <si>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</si>
  <si>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</si>
  <si>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</si>
  <si>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</si>
  <si>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</si>
  <si>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</si>
  <si>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</si>
  <si>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</si>
  <si>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Information Technology</t>
  </si>
  <si>
    <t>Services</t>
  </si>
  <si>
    <t>Automobile and Auto Components</t>
  </si>
  <si>
    <t>Cholamandalam Investment and Finance Company Ltd</t>
  </si>
  <si>
    <t>Construction Materials</t>
  </si>
  <si>
    <t>Telecommunication</t>
  </si>
  <si>
    <t>Others</t>
  </si>
  <si>
    <t>Metals &amp; Mining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</si>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</sst>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2" fontId="6" fillId="0" borderId="0" xfId="0" applyNumberFormat="1" applyFont="1"/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118</xdr:row>
      <xdr:rowOff>76200</xdr:rowOff>
    </xdr:from>
    <xdr:to>
      <xdr:col>1</xdr:col>
      <xdr:colOff>2724150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425DD-6E2E-4F12-853B-EC6898285C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2044700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118</xdr:row>
      <xdr:rowOff>76200</xdr:rowOff>
    </xdr:from>
    <xdr:to>
      <xdr:col>7</xdr:col>
      <xdr:colOff>501650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9E627-F688-4F0E-9CAA-3C31217601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0447000"/>
          <a:ext cx="28511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6FB5-C432-44F6-B33C-C8B369BE89A0}">
  <sheetPr codeName="Sheet27">
    <outlinePr summaryBelow="0"/>
  </sheetPr>
  <dimension ref="A1:H116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8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43"/>
      <c r="C4" s="43"/>
      <c r="D4" s="43"/>
      <c r="E4" s="43"/>
      <c r="F4" s="43"/>
      <c r="G4" s="43"/>
      <c r="H4" s="43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5822325</v>
      </c>
      <c r="F8" s="16">
        <v>13331.96</v>
      </c>
      <c r="G8" s="16">
        <v>3.76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1017061</v>
      </c>
      <c r="F9" s="16">
        <v>12264.74</v>
      </c>
      <c r="G9" s="16">
        <v>3.45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20</v>
      </c>
      <c r="E10" s="15">
        <v>911858</v>
      </c>
      <c r="F10" s="16">
        <v>10589.41</v>
      </c>
      <c r="G10" s="16">
        <v>2.98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20</v>
      </c>
      <c r="E11" s="15">
        <v>1423842</v>
      </c>
      <c r="F11" s="16">
        <v>10416.120000000001</v>
      </c>
      <c r="G11" s="16">
        <v>2.93</v>
      </c>
      <c r="H11" s="17"/>
    </row>
    <row r="12" spans="1:8" s="8" customFormat="1" ht="13" customHeight="1">
      <c r="A12" s="1" t="s">
        <v>27</v>
      </c>
      <c r="B12" s="13" t="s">
        <v>28</v>
      </c>
      <c r="C12" s="14" t="s">
        <v>29</v>
      </c>
      <c r="D12" s="10" t="s">
        <v>30</v>
      </c>
      <c r="E12" s="15">
        <v>1612627</v>
      </c>
      <c r="F12" s="16">
        <v>10022.48</v>
      </c>
      <c r="G12" s="16">
        <v>2.82</v>
      </c>
      <c r="H12" s="17"/>
    </row>
    <row r="13" spans="1:8" s="8" customFormat="1" ht="13" customHeight="1">
      <c r="A13" s="1" t="s">
        <v>31</v>
      </c>
      <c r="B13" s="13" t="s">
        <v>32</v>
      </c>
      <c r="C13" s="14" t="s">
        <v>33</v>
      </c>
      <c r="D13" s="10" t="s">
        <v>34</v>
      </c>
      <c r="E13" s="15">
        <v>368547</v>
      </c>
      <c r="F13" s="16">
        <v>9889.9599999999991</v>
      </c>
      <c r="G13" s="16">
        <v>2.79</v>
      </c>
      <c r="H13" s="17"/>
    </row>
    <row r="14" spans="1:8" s="8" customFormat="1" ht="13" customHeight="1">
      <c r="A14" s="1" t="s">
        <v>35</v>
      </c>
      <c r="B14" s="13" t="s">
        <v>36</v>
      </c>
      <c r="C14" s="14" t="s">
        <v>37</v>
      </c>
      <c r="D14" s="10" t="s">
        <v>38</v>
      </c>
      <c r="E14" s="15">
        <v>945217</v>
      </c>
      <c r="F14" s="16">
        <v>9187.51</v>
      </c>
      <c r="G14" s="16">
        <v>2.59</v>
      </c>
      <c r="H14" s="17"/>
    </row>
    <row r="15" spans="1:8" s="8" customFormat="1" ht="13" customHeight="1">
      <c r="A15" s="1" t="s">
        <v>39</v>
      </c>
      <c r="B15" s="13" t="s">
        <v>40</v>
      </c>
      <c r="C15" s="14" t="s">
        <v>41</v>
      </c>
      <c r="D15" s="10" t="s">
        <v>42</v>
      </c>
      <c r="E15" s="15">
        <v>185381</v>
      </c>
      <c r="F15" s="16">
        <v>9041.4</v>
      </c>
      <c r="G15" s="16">
        <v>2.5499999999999998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260356</v>
      </c>
      <c r="F16" s="16">
        <v>8757.86</v>
      </c>
      <c r="G16" s="16">
        <v>2.4700000000000002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50</v>
      </c>
      <c r="E17" s="15">
        <v>645548</v>
      </c>
      <c r="F17" s="16">
        <v>8745.24</v>
      </c>
      <c r="G17" s="16">
        <v>2.46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30</v>
      </c>
      <c r="E18" s="15">
        <v>893739</v>
      </c>
      <c r="F18" s="16">
        <v>8600.4500000000007</v>
      </c>
      <c r="G18" s="16">
        <v>2.42</v>
      </c>
      <c r="H18" s="17"/>
    </row>
    <row r="19" spans="1:8" s="8" customFormat="1" ht="13" customHeight="1">
      <c r="A19" s="1" t="s">
        <v>54</v>
      </c>
      <c r="B19" s="13" t="s">
        <v>55</v>
      </c>
      <c r="C19" s="14" t="s">
        <v>56</v>
      </c>
      <c r="D19" s="10" t="s">
        <v>30</v>
      </c>
      <c r="E19" s="15">
        <v>2033391</v>
      </c>
      <c r="F19" s="16">
        <v>8266.75</v>
      </c>
      <c r="G19" s="16">
        <v>2.33</v>
      </c>
      <c r="H19" s="17"/>
    </row>
    <row r="20" spans="1:8" s="8" customFormat="1" ht="13" customHeight="1">
      <c r="A20" s="1" t="s">
        <v>57</v>
      </c>
      <c r="B20" s="13" t="s">
        <v>58</v>
      </c>
      <c r="C20" s="14" t="s">
        <v>59</v>
      </c>
      <c r="D20" s="10" t="s">
        <v>20</v>
      </c>
      <c r="E20" s="15">
        <v>966200</v>
      </c>
      <c r="F20" s="16">
        <v>8142.17</v>
      </c>
      <c r="G20" s="16">
        <v>2.29</v>
      </c>
      <c r="H20" s="17"/>
    </row>
    <row r="21" spans="1:8" s="8" customFormat="1" ht="13" customHeight="1">
      <c r="A21" s="1" t="s">
        <v>60</v>
      </c>
      <c r="B21" s="13" t="s">
        <v>61</v>
      </c>
      <c r="C21" s="14" t="s">
        <v>62</v>
      </c>
      <c r="D21" s="10" t="s">
        <v>63</v>
      </c>
      <c r="E21" s="15">
        <v>1910867</v>
      </c>
      <c r="F21" s="16">
        <v>7962.58</v>
      </c>
      <c r="G21" s="16">
        <v>2.2400000000000002</v>
      </c>
      <c r="H21" s="17"/>
    </row>
    <row r="22" spans="1:8" s="8" customFormat="1" ht="13" customHeight="1">
      <c r="A22" s="1" t="s">
        <v>64</v>
      </c>
      <c r="B22" s="13" t="s">
        <v>65</v>
      </c>
      <c r="C22" s="14" t="s">
        <v>66</v>
      </c>
      <c r="D22" s="10" t="s">
        <v>67</v>
      </c>
      <c r="E22" s="15">
        <v>445134</v>
      </c>
      <c r="F22" s="16">
        <v>7934.07</v>
      </c>
      <c r="G22" s="16">
        <v>2.23</v>
      </c>
      <c r="H22" s="17"/>
    </row>
    <row r="23" spans="1:8" s="8" customFormat="1" ht="13" customHeight="1">
      <c r="A23" s="1" t="s">
        <v>68</v>
      </c>
      <c r="B23" s="13" t="s">
        <v>69</v>
      </c>
      <c r="C23" s="14" t="s">
        <v>70</v>
      </c>
      <c r="D23" s="10" t="s">
        <v>71</v>
      </c>
      <c r="E23" s="15">
        <v>2420666</v>
      </c>
      <c r="F23" s="16">
        <v>7882.9</v>
      </c>
      <c r="G23" s="16">
        <v>2.2200000000000002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34</v>
      </c>
      <c r="E24" s="15">
        <v>325770</v>
      </c>
      <c r="F24" s="16">
        <v>7783.95</v>
      </c>
      <c r="G24" s="16">
        <v>2.19</v>
      </c>
      <c r="H24" s="17"/>
    </row>
    <row r="25" spans="1:8" s="8" customFormat="1" ht="13" customHeight="1">
      <c r="A25" s="1" t="s">
        <v>75</v>
      </c>
      <c r="B25" s="13" t="s">
        <v>76</v>
      </c>
      <c r="C25" s="14" t="s">
        <v>77</v>
      </c>
      <c r="D25" s="10" t="s">
        <v>78</v>
      </c>
      <c r="E25" s="15">
        <v>152783</v>
      </c>
      <c r="F25" s="16">
        <v>7761.38</v>
      </c>
      <c r="G25" s="16">
        <v>2.19</v>
      </c>
      <c r="H25" s="17"/>
    </row>
    <row r="26" spans="1:8" s="8" customFormat="1" ht="13" customHeight="1">
      <c r="A26" s="1" t="s">
        <v>79</v>
      </c>
      <c r="B26" s="13" t="s">
        <v>80</v>
      </c>
      <c r="C26" s="14" t="s">
        <v>81</v>
      </c>
      <c r="D26" s="10" t="s">
        <v>63</v>
      </c>
      <c r="E26" s="15">
        <v>191318</v>
      </c>
      <c r="F26" s="16">
        <v>7544.63</v>
      </c>
      <c r="G26" s="16">
        <v>2.13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34</v>
      </c>
      <c r="E27" s="15">
        <v>914150</v>
      </c>
      <c r="F27" s="16">
        <v>7328.28</v>
      </c>
      <c r="G27" s="16">
        <v>2.06</v>
      </c>
      <c r="H27" s="17"/>
    </row>
    <row r="28" spans="1:8" s="8" customFormat="1" ht="13" customHeight="1">
      <c r="A28" s="1" t="s">
        <v>85</v>
      </c>
      <c r="B28" s="13" t="s">
        <v>86</v>
      </c>
      <c r="C28" s="14" t="s">
        <v>87</v>
      </c>
      <c r="D28" s="10" t="s">
        <v>88</v>
      </c>
      <c r="E28" s="15">
        <v>102662</v>
      </c>
      <c r="F28" s="16">
        <v>6723.33</v>
      </c>
      <c r="G28" s="16">
        <v>1.89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16</v>
      </c>
      <c r="E29" s="15">
        <v>202589</v>
      </c>
      <c r="F29" s="16">
        <v>6676.93</v>
      </c>
      <c r="G29" s="16">
        <v>1.88</v>
      </c>
      <c r="H29" s="17"/>
    </row>
    <row r="30" spans="1:8" s="8" customFormat="1" ht="13" customHeight="1">
      <c r="A30" s="1" t="s">
        <v>92</v>
      </c>
      <c r="B30" s="13" t="s">
        <v>93</v>
      </c>
      <c r="C30" s="14" t="s">
        <v>94</v>
      </c>
      <c r="D30" s="10" t="s">
        <v>16</v>
      </c>
      <c r="E30" s="15">
        <v>2566209</v>
      </c>
      <c r="F30" s="16">
        <v>6673.43</v>
      </c>
      <c r="G30" s="16">
        <v>1.88</v>
      </c>
      <c r="H30" s="17"/>
    </row>
    <row r="31" spans="1:8" s="8" customFormat="1" ht="13" customHeight="1">
      <c r="A31" s="1" t="s">
        <v>95</v>
      </c>
      <c r="B31" s="13" t="s">
        <v>96</v>
      </c>
      <c r="C31" s="14" t="s">
        <v>97</v>
      </c>
      <c r="D31" s="10" t="s">
        <v>98</v>
      </c>
      <c r="E31" s="15">
        <v>585514</v>
      </c>
      <c r="F31" s="16">
        <v>6595.82</v>
      </c>
      <c r="G31" s="16">
        <v>1.86</v>
      </c>
      <c r="H31" s="17"/>
    </row>
    <row r="32" spans="1:8" s="8" customFormat="1" ht="13" customHeight="1">
      <c r="A32" s="1" t="s">
        <v>99</v>
      </c>
      <c r="B32" s="13" t="s">
        <v>100</v>
      </c>
      <c r="C32" s="14" t="s">
        <v>101</v>
      </c>
      <c r="D32" s="10" t="s">
        <v>102</v>
      </c>
      <c r="E32" s="15">
        <v>184263</v>
      </c>
      <c r="F32" s="16">
        <v>6456.76</v>
      </c>
      <c r="G32" s="16">
        <v>1.82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106</v>
      </c>
      <c r="E33" s="15">
        <v>441568</v>
      </c>
      <c r="F33" s="16">
        <v>6304.71</v>
      </c>
      <c r="G33" s="16">
        <v>1.78</v>
      </c>
      <c r="H33" s="17"/>
    </row>
    <row r="34" spans="1:8" s="8" customFormat="1" ht="13" customHeight="1">
      <c r="A34" s="1" t="s">
        <v>107</v>
      </c>
      <c r="B34" s="13" t="s">
        <v>108</v>
      </c>
      <c r="C34" s="14" t="s">
        <v>109</v>
      </c>
      <c r="D34" s="10" t="s">
        <v>30</v>
      </c>
      <c r="E34" s="15">
        <v>624334</v>
      </c>
      <c r="F34" s="16">
        <v>6000.47</v>
      </c>
      <c r="G34" s="16">
        <v>1.69</v>
      </c>
      <c r="H34" s="17"/>
    </row>
    <row r="35" spans="1:8" s="8" customFormat="1" ht="13" customHeight="1">
      <c r="A35" s="1" t="s">
        <v>110</v>
      </c>
      <c r="B35" s="13" t="s">
        <v>111</v>
      </c>
      <c r="C35" s="14" t="s">
        <v>112</v>
      </c>
      <c r="D35" s="10" t="s">
        <v>16</v>
      </c>
      <c r="E35" s="15">
        <v>2466529</v>
      </c>
      <c r="F35" s="16">
        <v>5796.34</v>
      </c>
      <c r="G35" s="16">
        <v>1.63</v>
      </c>
      <c r="H35" s="17"/>
    </row>
    <row r="36" spans="1:8" s="8" customFormat="1" ht="13" customHeight="1">
      <c r="A36" s="1" t="s">
        <v>113</v>
      </c>
      <c r="B36" s="13" t="s">
        <v>114</v>
      </c>
      <c r="C36" s="14" t="s">
        <v>115</v>
      </c>
      <c r="D36" s="10" t="s">
        <v>88</v>
      </c>
      <c r="E36" s="15">
        <v>59837</v>
      </c>
      <c r="F36" s="16">
        <v>5788.03</v>
      </c>
      <c r="G36" s="16">
        <v>1.63</v>
      </c>
      <c r="H36" s="17"/>
    </row>
    <row r="37" spans="1:8" s="8" customFormat="1" ht="13" customHeight="1">
      <c r="A37" s="1" t="s">
        <v>116</v>
      </c>
      <c r="B37" s="13" t="s">
        <v>117</v>
      </c>
      <c r="C37" s="14" t="s">
        <v>118</v>
      </c>
      <c r="D37" s="10" t="s">
        <v>98</v>
      </c>
      <c r="E37" s="15">
        <v>381425</v>
      </c>
      <c r="F37" s="16">
        <v>5745.4</v>
      </c>
      <c r="G37" s="16">
        <v>1.62</v>
      </c>
      <c r="H37" s="17"/>
    </row>
    <row r="38" spans="1:8" s="8" customFormat="1" ht="13" customHeight="1">
      <c r="A38" s="1" t="s">
        <v>119</v>
      </c>
      <c r="B38" s="13" t="s">
        <v>120</v>
      </c>
      <c r="C38" s="14" t="s">
        <v>121</v>
      </c>
      <c r="D38" s="10" t="s">
        <v>78</v>
      </c>
      <c r="E38" s="15">
        <v>51938</v>
      </c>
      <c r="F38" s="16">
        <v>5580.74</v>
      </c>
      <c r="G38" s="16">
        <v>1.57</v>
      </c>
      <c r="H38" s="17"/>
    </row>
    <row r="39" spans="1:8" s="8" customFormat="1" ht="13" customHeight="1">
      <c r="A39" s="1" t="s">
        <v>122</v>
      </c>
      <c r="B39" s="13" t="s">
        <v>123</v>
      </c>
      <c r="C39" s="14" t="s">
        <v>124</v>
      </c>
      <c r="D39" s="10" t="s">
        <v>42</v>
      </c>
      <c r="E39" s="15">
        <v>483086</v>
      </c>
      <c r="F39" s="16">
        <v>5384.96</v>
      </c>
      <c r="G39" s="16">
        <v>1.52</v>
      </c>
      <c r="H39" s="17"/>
    </row>
    <row r="40" spans="1:8" s="8" customFormat="1" ht="13" customHeight="1">
      <c r="A40" s="1" t="s">
        <v>125</v>
      </c>
      <c r="B40" s="13" t="s">
        <v>126</v>
      </c>
      <c r="C40" s="14" t="s">
        <v>127</v>
      </c>
      <c r="D40" s="10" t="s">
        <v>128</v>
      </c>
      <c r="E40" s="15">
        <v>162941</v>
      </c>
      <c r="F40" s="16">
        <v>5255.34</v>
      </c>
      <c r="G40" s="16">
        <v>1.48</v>
      </c>
      <c r="H40" s="17"/>
    </row>
    <row r="41" spans="1:8" s="8" customFormat="1" ht="13" customHeight="1">
      <c r="A41" s="1" t="s">
        <v>129</v>
      </c>
      <c r="B41" s="13" t="s">
        <v>130</v>
      </c>
      <c r="C41" s="14" t="s">
        <v>131</v>
      </c>
      <c r="D41" s="10" t="s">
        <v>46</v>
      </c>
      <c r="E41" s="15">
        <v>176443</v>
      </c>
      <c r="F41" s="16">
        <v>5213.3599999999997</v>
      </c>
      <c r="G41" s="16">
        <v>1.47</v>
      </c>
      <c r="H41" s="17"/>
    </row>
    <row r="42" spans="1:8" s="8" customFormat="1" ht="13" customHeight="1">
      <c r="A42" s="1" t="s">
        <v>132</v>
      </c>
      <c r="B42" s="13" t="s">
        <v>133</v>
      </c>
      <c r="C42" s="14" t="s">
        <v>134</v>
      </c>
      <c r="D42" s="10" t="s">
        <v>20</v>
      </c>
      <c r="E42" s="15">
        <v>1599945</v>
      </c>
      <c r="F42" s="16">
        <v>4635.84</v>
      </c>
      <c r="G42" s="16">
        <v>1.31</v>
      </c>
      <c r="H42" s="17"/>
    </row>
    <row r="43" spans="1:8" s="8" customFormat="1" ht="13" customHeight="1">
      <c r="A43" s="1" t="s">
        <v>135</v>
      </c>
      <c r="B43" s="13" t="s">
        <v>136</v>
      </c>
      <c r="C43" s="14" t="s">
        <v>137</v>
      </c>
      <c r="D43" s="10" t="s">
        <v>138</v>
      </c>
      <c r="E43" s="15">
        <v>1130286</v>
      </c>
      <c r="F43" s="16">
        <v>4528.49</v>
      </c>
      <c r="G43" s="16">
        <v>1.28</v>
      </c>
      <c r="H43" s="17"/>
    </row>
    <row r="44" spans="1:8" s="8" customFormat="1" ht="13" customHeight="1">
      <c r="A44" s="1" t="s">
        <v>139</v>
      </c>
      <c r="B44" s="13" t="s">
        <v>140</v>
      </c>
      <c r="C44" s="14" t="s">
        <v>141</v>
      </c>
      <c r="D44" s="10" t="s">
        <v>142</v>
      </c>
      <c r="E44" s="15">
        <v>1133253</v>
      </c>
      <c r="F44" s="16">
        <v>4474.08</v>
      </c>
      <c r="G44" s="16">
        <v>1.26</v>
      </c>
      <c r="H44" s="17"/>
    </row>
    <row r="45" spans="1:8" s="8" customFormat="1" ht="13" customHeight="1">
      <c r="A45" s="1" t="s">
        <v>143</v>
      </c>
      <c r="B45" s="13" t="s">
        <v>144</v>
      </c>
      <c r="C45" s="14" t="s">
        <v>145</v>
      </c>
      <c r="D45" s="10" t="s">
        <v>128</v>
      </c>
      <c r="E45" s="15">
        <v>105282</v>
      </c>
      <c r="F45" s="16">
        <v>4251.29</v>
      </c>
      <c r="G45" s="16">
        <v>1.2</v>
      </c>
      <c r="H45" s="17"/>
    </row>
    <row r="46" spans="1:8" s="8" customFormat="1" ht="13" customHeight="1">
      <c r="A46" s="1" t="s">
        <v>146</v>
      </c>
      <c r="B46" s="13" t="s">
        <v>147</v>
      </c>
      <c r="C46" s="14" t="s">
        <v>148</v>
      </c>
      <c r="D46" s="10" t="s">
        <v>88</v>
      </c>
      <c r="E46" s="15">
        <v>296268</v>
      </c>
      <c r="F46" s="16">
        <v>4239.6000000000004</v>
      </c>
      <c r="G46" s="16">
        <v>1.19</v>
      </c>
      <c r="H46" s="17"/>
    </row>
    <row r="47" spans="1:8" s="8" customFormat="1" ht="13" customHeight="1">
      <c r="A47" s="1" t="s">
        <v>149</v>
      </c>
      <c r="B47" s="13" t="s">
        <v>150</v>
      </c>
      <c r="C47" s="14" t="s">
        <v>151</v>
      </c>
      <c r="D47" s="10" t="s">
        <v>20</v>
      </c>
      <c r="E47" s="15">
        <v>1669146</v>
      </c>
      <c r="F47" s="16">
        <v>4132.8100000000004</v>
      </c>
      <c r="G47" s="16">
        <v>1.1599999999999999</v>
      </c>
      <c r="H47" s="17"/>
    </row>
    <row r="48" spans="1:8" s="8" customFormat="1" ht="13" customHeight="1">
      <c r="A48" s="1" t="s">
        <v>152</v>
      </c>
      <c r="B48" s="13" t="s">
        <v>153</v>
      </c>
      <c r="C48" s="14" t="s">
        <v>154</v>
      </c>
      <c r="D48" s="10" t="s">
        <v>50</v>
      </c>
      <c r="E48" s="15">
        <v>515202</v>
      </c>
      <c r="F48" s="16">
        <v>4129.6000000000004</v>
      </c>
      <c r="G48" s="16">
        <v>1.1599999999999999</v>
      </c>
      <c r="H48" s="17"/>
    </row>
    <row r="49" spans="1:8" s="8" customFormat="1" ht="13" customHeight="1">
      <c r="A49" s="1" t="s">
        <v>155</v>
      </c>
      <c r="B49" s="13" t="s">
        <v>156</v>
      </c>
      <c r="C49" s="14" t="s">
        <v>157</v>
      </c>
      <c r="D49" s="10" t="s">
        <v>158</v>
      </c>
      <c r="E49" s="15">
        <v>947869</v>
      </c>
      <c r="F49" s="16">
        <v>4114.7</v>
      </c>
      <c r="G49" s="16">
        <v>1.1599999999999999</v>
      </c>
      <c r="H49" s="17"/>
    </row>
    <row r="50" spans="1:8" s="8" customFormat="1" ht="13" customHeight="1">
      <c r="A50" s="1" t="s">
        <v>159</v>
      </c>
      <c r="B50" s="13" t="s">
        <v>160</v>
      </c>
      <c r="C50" s="14" t="s">
        <v>161</v>
      </c>
      <c r="D50" s="10" t="s">
        <v>42</v>
      </c>
      <c r="E50" s="15">
        <v>958951</v>
      </c>
      <c r="F50" s="16">
        <v>4075.54</v>
      </c>
      <c r="G50" s="16">
        <v>1.1499999999999999</v>
      </c>
      <c r="H50" s="17"/>
    </row>
    <row r="51" spans="1:8" s="8" customFormat="1" ht="13" customHeight="1">
      <c r="A51" s="1" t="s">
        <v>162</v>
      </c>
      <c r="B51" s="13" t="s">
        <v>163</v>
      </c>
      <c r="C51" s="14" t="s">
        <v>164</v>
      </c>
      <c r="D51" s="10" t="s">
        <v>138</v>
      </c>
      <c r="E51" s="15">
        <v>115241</v>
      </c>
      <c r="F51" s="16">
        <v>4018.68</v>
      </c>
      <c r="G51" s="16">
        <v>1.1299999999999999</v>
      </c>
      <c r="H51" s="17"/>
    </row>
    <row r="52" spans="1:8" s="8" customFormat="1" ht="13" customHeight="1">
      <c r="A52" s="1" t="s">
        <v>165</v>
      </c>
      <c r="B52" s="13" t="s">
        <v>166</v>
      </c>
      <c r="C52" s="14" t="s">
        <v>167</v>
      </c>
      <c r="D52" s="10" t="s">
        <v>50</v>
      </c>
      <c r="E52" s="15">
        <v>431919</v>
      </c>
      <c r="F52" s="16">
        <v>3908</v>
      </c>
      <c r="G52" s="16">
        <v>1.1000000000000001</v>
      </c>
      <c r="H52" s="17"/>
    </row>
    <row r="53" spans="1:8" s="8" customFormat="1" ht="13" customHeight="1">
      <c r="A53" s="1" t="s">
        <v>168</v>
      </c>
      <c r="B53" s="13" t="s">
        <v>169</v>
      </c>
      <c r="C53" s="14" t="s">
        <v>170</v>
      </c>
      <c r="D53" s="10" t="s">
        <v>20</v>
      </c>
      <c r="E53" s="15">
        <v>1333982</v>
      </c>
      <c r="F53" s="16">
        <v>3860.54</v>
      </c>
      <c r="G53" s="16">
        <v>1.0900000000000001</v>
      </c>
      <c r="H53" s="17"/>
    </row>
    <row r="54" spans="1:8" s="8" customFormat="1" ht="13" customHeight="1">
      <c r="A54" s="1" t="s">
        <v>171</v>
      </c>
      <c r="B54" s="13" t="s">
        <v>172</v>
      </c>
      <c r="C54" s="14" t="s">
        <v>173</v>
      </c>
      <c r="D54" s="10" t="s">
        <v>174</v>
      </c>
      <c r="E54" s="15">
        <v>15533</v>
      </c>
      <c r="F54" s="16">
        <v>3764.42</v>
      </c>
      <c r="G54" s="16">
        <v>1.06</v>
      </c>
      <c r="H54" s="17"/>
    </row>
    <row r="55" spans="1:8" s="8" customFormat="1" ht="13" customHeight="1">
      <c r="A55" s="1" t="s">
        <v>175</v>
      </c>
      <c r="B55" s="13" t="s">
        <v>176</v>
      </c>
      <c r="C55" s="14" t="s">
        <v>177</v>
      </c>
      <c r="D55" s="10" t="s">
        <v>50</v>
      </c>
      <c r="E55" s="15">
        <v>4566108</v>
      </c>
      <c r="F55" s="16">
        <v>3696.26</v>
      </c>
      <c r="G55" s="16">
        <v>1.04</v>
      </c>
      <c r="H55" s="17"/>
    </row>
    <row r="56" spans="1:8" s="8" customFormat="1" ht="13" customHeight="1">
      <c r="A56" s="1" t="s">
        <v>178</v>
      </c>
      <c r="B56" s="13" t="s">
        <v>179</v>
      </c>
      <c r="C56" s="14" t="s">
        <v>180</v>
      </c>
      <c r="D56" s="10" t="s">
        <v>16</v>
      </c>
      <c r="E56" s="15">
        <v>3380579</v>
      </c>
      <c r="F56" s="16">
        <v>3559.75</v>
      </c>
      <c r="G56" s="16">
        <v>1</v>
      </c>
      <c r="H56" s="17"/>
    </row>
    <row r="57" spans="1:8" s="8" customFormat="1" ht="13" customHeight="1">
      <c r="A57" s="1" t="s">
        <v>181</v>
      </c>
      <c r="B57" s="13" t="s">
        <v>182</v>
      </c>
      <c r="C57" s="14" t="s">
        <v>183</v>
      </c>
      <c r="D57" s="10" t="s">
        <v>38</v>
      </c>
      <c r="E57" s="15">
        <v>224290</v>
      </c>
      <c r="F57" s="16">
        <v>3489.95</v>
      </c>
      <c r="G57" s="16">
        <v>0.98</v>
      </c>
      <c r="H57" s="17"/>
    </row>
    <row r="58" spans="1:8" s="8" customFormat="1" ht="13" customHeight="1">
      <c r="A58" s="1" t="s">
        <v>184</v>
      </c>
      <c r="B58" s="13" t="s">
        <v>185</v>
      </c>
      <c r="C58" s="14" t="s">
        <v>186</v>
      </c>
      <c r="D58" s="10" t="s">
        <v>20</v>
      </c>
      <c r="E58" s="15">
        <v>460183</v>
      </c>
      <c r="F58" s="16">
        <v>3462.65</v>
      </c>
      <c r="G58" s="16">
        <v>0.98</v>
      </c>
      <c r="H58" s="17"/>
    </row>
    <row r="59" spans="1:8" s="8" customFormat="1" ht="13" customHeight="1">
      <c r="A59" s="1" t="s">
        <v>187</v>
      </c>
      <c r="B59" s="13" t="s">
        <v>188</v>
      </c>
      <c r="C59" s="14" t="s">
        <v>189</v>
      </c>
      <c r="D59" s="10" t="s">
        <v>42</v>
      </c>
      <c r="E59" s="15">
        <v>647004</v>
      </c>
      <c r="F59" s="16">
        <v>3329.16</v>
      </c>
      <c r="G59" s="16">
        <v>0.94</v>
      </c>
      <c r="H59" s="17"/>
    </row>
    <row r="60" spans="1:8" s="8" customFormat="1" ht="13" customHeight="1">
      <c r="A60" s="1" t="s">
        <v>190</v>
      </c>
      <c r="B60" s="13" t="s">
        <v>191</v>
      </c>
      <c r="C60" s="14" t="s">
        <v>192</v>
      </c>
      <c r="D60" s="10" t="s">
        <v>193</v>
      </c>
      <c r="E60" s="15">
        <v>179883</v>
      </c>
      <c r="F60" s="16">
        <v>3234.84</v>
      </c>
      <c r="G60" s="16">
        <v>0.91</v>
      </c>
      <c r="H60" s="17"/>
    </row>
    <row r="61" spans="1:8" s="8" customFormat="1" ht="13" customHeight="1">
      <c r="A61" s="1" t="s">
        <v>194</v>
      </c>
      <c r="B61" s="13" t="s">
        <v>195</v>
      </c>
      <c r="C61" s="14" t="s">
        <v>196</v>
      </c>
      <c r="D61" s="10" t="s">
        <v>197</v>
      </c>
      <c r="E61" s="15">
        <v>340847</v>
      </c>
      <c r="F61" s="16">
        <v>3014.62</v>
      </c>
      <c r="G61" s="16">
        <v>0.85</v>
      </c>
      <c r="H61" s="17"/>
    </row>
    <row r="62" spans="1:8" s="8" customFormat="1" ht="13" customHeight="1">
      <c r="A62" s="1" t="s">
        <v>198</v>
      </c>
      <c r="B62" s="13" t="s">
        <v>199</v>
      </c>
      <c r="C62" s="14" t="s">
        <v>200</v>
      </c>
      <c r="D62" s="10" t="s">
        <v>88</v>
      </c>
      <c r="E62" s="15">
        <v>128309</v>
      </c>
      <c r="F62" s="16">
        <v>2801.37</v>
      </c>
      <c r="G62" s="16">
        <v>0.79</v>
      </c>
      <c r="H62" s="17"/>
    </row>
    <row r="63" spans="1:8" s="8" customFormat="1" ht="13" customHeight="1">
      <c r="A63" s="1" t="s">
        <v>201</v>
      </c>
      <c r="B63" s="13" t="s">
        <v>202</v>
      </c>
      <c r="C63" s="14" t="s">
        <v>203</v>
      </c>
      <c r="D63" s="10" t="s">
        <v>98</v>
      </c>
      <c r="E63" s="15">
        <v>195654</v>
      </c>
      <c r="F63" s="16">
        <v>2197.19</v>
      </c>
      <c r="G63" s="16">
        <v>0.62</v>
      </c>
      <c r="H63" s="17"/>
    </row>
    <row r="64" spans="1:8" s="8" customFormat="1" ht="13" customHeight="1">
      <c r="A64" s="1" t="s">
        <v>204</v>
      </c>
      <c r="B64" s="13" t="s">
        <v>205</v>
      </c>
      <c r="C64" s="14" t="s">
        <v>206</v>
      </c>
      <c r="D64" s="10" t="s">
        <v>193</v>
      </c>
      <c r="E64" s="15">
        <v>255183</v>
      </c>
      <c r="F64" s="16">
        <v>1842.04</v>
      </c>
      <c r="G64" s="16">
        <v>0.52</v>
      </c>
      <c r="H64" s="17"/>
    </row>
    <row r="65" spans="1:8" s="8" customFormat="1" ht="13" customHeight="1">
      <c r="A65" s="1" t="s">
        <v>207</v>
      </c>
      <c r="B65" s="13" t="s">
        <v>208</v>
      </c>
      <c r="C65" s="14" t="s">
        <v>209</v>
      </c>
      <c r="D65" s="10" t="s">
        <v>50</v>
      </c>
      <c r="E65" s="15">
        <v>709296</v>
      </c>
      <c r="F65" s="16">
        <v>1703.73</v>
      </c>
      <c r="G65" s="16">
        <v>0.48</v>
      </c>
      <c r="H65" s="17"/>
    </row>
    <row r="66" spans="1:8" s="8" customFormat="1" ht="13" customHeight="1">
      <c r="A66" s="4"/>
      <c r="B66" s="9" t="s">
        <v>210</v>
      </c>
      <c r="C66" s="10"/>
      <c r="D66" s="10"/>
      <c r="E66" s="10"/>
      <c r="F66" s="18">
        <v>352114.61</v>
      </c>
      <c r="G66" s="18">
        <v>99.179999999999993</v>
      </c>
      <c r="H66" s="19"/>
    </row>
    <row r="67" spans="1:8" s="8" customFormat="1" ht="13" customHeight="1">
      <c r="A67" s="4"/>
      <c r="B67" s="20" t="s">
        <v>211</v>
      </c>
      <c r="C67" s="21"/>
      <c r="D67" s="21"/>
      <c r="E67" s="22"/>
      <c r="F67" s="23" t="s">
        <v>212</v>
      </c>
      <c r="G67" s="23" t="s">
        <v>212</v>
      </c>
      <c r="H67" s="24" t="s">
        <v>212</v>
      </c>
    </row>
    <row r="68" spans="1:8" s="8" customFormat="1" ht="13" customHeight="1">
      <c r="A68" s="4"/>
      <c r="B68" s="25" t="s">
        <v>210</v>
      </c>
      <c r="C68" s="26"/>
      <c r="D68" s="26"/>
      <c r="E68" s="23"/>
      <c r="F68" s="23" t="s">
        <v>212</v>
      </c>
      <c r="G68" s="23" t="s">
        <v>212</v>
      </c>
      <c r="H68" s="24" t="s">
        <v>212</v>
      </c>
    </row>
    <row r="69" spans="1:8" s="8" customFormat="1" ht="13" customHeight="1">
      <c r="A69" s="4"/>
      <c r="B69" s="20" t="s">
        <v>213</v>
      </c>
      <c r="C69" s="21"/>
      <c r="D69" s="21"/>
      <c r="E69" s="27"/>
      <c r="F69" s="18">
        <v>352114.61</v>
      </c>
      <c r="G69" s="18">
        <v>99.179999999999993</v>
      </c>
      <c r="H69" s="24"/>
    </row>
    <row r="70" spans="1:8" s="8" customFormat="1" ht="13" customHeight="1">
      <c r="A70" s="4"/>
      <c r="B70" s="9" t="s">
        <v>214</v>
      </c>
      <c r="C70" s="10"/>
      <c r="D70" s="10"/>
      <c r="E70" s="10"/>
      <c r="F70" s="10"/>
      <c r="G70" s="10"/>
      <c r="H70" s="11"/>
    </row>
    <row r="71" spans="1:8" s="8" customFormat="1" ht="13" customHeight="1">
      <c r="A71" s="4"/>
      <c r="B71" s="9" t="s">
        <v>215</v>
      </c>
      <c r="C71" s="12"/>
      <c r="D71" s="12"/>
      <c r="E71" s="10"/>
      <c r="F71" s="10"/>
      <c r="G71" s="10"/>
      <c r="H71" s="11"/>
    </row>
    <row r="72" spans="1:8" s="8" customFormat="1" ht="13" customHeight="1">
      <c r="A72" s="1" t="s">
        <v>216</v>
      </c>
      <c r="B72" s="13" t="s">
        <v>217</v>
      </c>
      <c r="C72" s="14"/>
      <c r="D72" s="10"/>
      <c r="E72" s="15"/>
      <c r="F72" s="16">
        <v>3429.1</v>
      </c>
      <c r="G72" s="16">
        <v>0.97</v>
      </c>
      <c r="H72" s="17">
        <v>6.3946758703722129E-2</v>
      </c>
    </row>
    <row r="73" spans="1:8" s="8" customFormat="1" ht="13" customHeight="1">
      <c r="A73" s="4"/>
      <c r="B73" s="9" t="s">
        <v>210</v>
      </c>
      <c r="C73" s="10"/>
      <c r="D73" s="10"/>
      <c r="E73" s="10"/>
      <c r="F73" s="18">
        <v>3429.1</v>
      </c>
      <c r="G73" s="18">
        <v>0.97</v>
      </c>
      <c r="H73" s="19"/>
    </row>
    <row r="74" spans="1:8" ht="13" customHeight="1">
      <c r="B74" s="9" t="s">
        <v>218</v>
      </c>
      <c r="C74" s="10"/>
      <c r="D74" s="10"/>
      <c r="E74" s="10"/>
      <c r="F74" s="28"/>
      <c r="G74" s="29"/>
      <c r="H74" s="19"/>
    </row>
    <row r="75" spans="1:8" ht="13" customHeight="1">
      <c r="A75" s="1" t="s">
        <v>219</v>
      </c>
      <c r="B75" s="13" t="s">
        <v>220</v>
      </c>
      <c r="C75" s="14" t="s">
        <v>221</v>
      </c>
      <c r="D75" s="10" t="s">
        <v>46</v>
      </c>
      <c r="E75" s="15">
        <v>866592</v>
      </c>
      <c r="F75" s="16">
        <v>88.83</v>
      </c>
      <c r="G75" s="16">
        <v>0.03</v>
      </c>
      <c r="H75" s="17"/>
    </row>
    <row r="76" spans="1:8" ht="13" customHeight="1">
      <c r="A76" s="2"/>
      <c r="B76" s="9" t="s">
        <v>210</v>
      </c>
      <c r="C76" s="10"/>
      <c r="D76" s="10"/>
      <c r="E76" s="10"/>
      <c r="F76" s="18">
        <f>F75</f>
        <v>88.83</v>
      </c>
      <c r="G76" s="18">
        <f>G75</f>
        <v>0.03</v>
      </c>
      <c r="H76" s="19"/>
    </row>
    <row r="77" spans="1:8" s="8" customFormat="1" ht="13" customHeight="1">
      <c r="A77" s="4"/>
      <c r="B77" s="20" t="s">
        <v>213</v>
      </c>
      <c r="C77" s="21"/>
      <c r="D77" s="21"/>
      <c r="E77" s="27"/>
      <c r="F77" s="18">
        <f>F73+F76</f>
        <v>3517.93</v>
      </c>
      <c r="G77" s="18">
        <f>G73+G76</f>
        <v>1</v>
      </c>
      <c r="H77" s="24"/>
    </row>
    <row r="78" spans="1:8" s="8" customFormat="1" ht="13" customHeight="1">
      <c r="A78" s="4"/>
      <c r="B78" s="20" t="s">
        <v>222</v>
      </c>
      <c r="C78" s="21"/>
      <c r="D78" s="21"/>
      <c r="E78" s="10"/>
      <c r="F78" s="18">
        <v>-597.76</v>
      </c>
      <c r="G78" s="18">
        <v>-0.18</v>
      </c>
      <c r="H78" s="24"/>
    </row>
    <row r="79" spans="1:8" s="8" customFormat="1" ht="13" customHeight="1" thickBot="1">
      <c r="A79" s="4"/>
      <c r="B79" s="30" t="s">
        <v>223</v>
      </c>
      <c r="C79" s="31"/>
      <c r="D79" s="31"/>
      <c r="E79" s="31"/>
      <c r="F79" s="32">
        <v>355034.78</v>
      </c>
      <c r="G79" s="33">
        <v>100</v>
      </c>
      <c r="H79" s="34"/>
    </row>
    <row r="80" spans="1:8" s="8" customFormat="1" ht="13" customHeight="1">
      <c r="A80" s="4"/>
      <c r="B80" s="44"/>
      <c r="C80" s="44"/>
      <c r="D80" s="44"/>
      <c r="E80" s="44"/>
      <c r="F80" s="4"/>
      <c r="G80" s="4"/>
      <c r="H80" s="4"/>
    </row>
    <row r="81" spans="1:8" s="8" customFormat="1" ht="13" customHeight="1">
      <c r="A81" s="4"/>
      <c r="B81" s="44" t="s">
        <v>224</v>
      </c>
      <c r="C81" s="44"/>
      <c r="D81" s="44"/>
      <c r="E81" s="44"/>
      <c r="F81" s="4"/>
      <c r="G81" s="4"/>
      <c r="H81" s="4"/>
    </row>
    <row r="82" spans="1:8" s="8" customFormat="1" ht="13" customHeight="1">
      <c r="A82" s="4"/>
      <c r="B82" s="44" t="s">
        <v>225</v>
      </c>
      <c r="C82" s="44"/>
      <c r="D82" s="44"/>
      <c r="E82" s="44"/>
      <c r="F82" s="4"/>
      <c r="G82" s="4"/>
      <c r="H82" s="4"/>
    </row>
    <row r="83" spans="1:8" s="8" customFormat="1" ht="13" customHeight="1">
      <c r="A83" s="4"/>
      <c r="B83" s="44" t="s">
        <v>226</v>
      </c>
      <c r="C83" s="44"/>
      <c r="D83" s="44"/>
      <c r="E83" s="44"/>
      <c r="F83" s="4"/>
      <c r="G83" s="4"/>
      <c r="H83" s="4"/>
    </row>
    <row r="84" spans="1:8" s="8" customFormat="1" ht="13" customHeight="1">
      <c r="A84" s="4"/>
      <c r="B84" s="36" t="s">
        <v>227</v>
      </c>
      <c r="C84" s="35"/>
      <c r="D84" s="35"/>
      <c r="E84" s="35"/>
      <c r="F84" s="4"/>
      <c r="G84" s="4"/>
      <c r="H84" s="4"/>
    </row>
    <row r="85" spans="1:8" s="8" customFormat="1" ht="13" customHeight="1">
      <c r="A85" s="4"/>
      <c r="B85" s="35"/>
      <c r="C85" s="35"/>
      <c r="D85" s="35"/>
      <c r="E85" s="35"/>
      <c r="F85" s="4"/>
      <c r="G85" s="4"/>
      <c r="H85" s="4"/>
    </row>
    <row r="86" spans="1:8" s="8" customFormat="1" ht="13" customHeight="1">
      <c r="A86" s="4"/>
      <c r="B86" s="44" t="s">
        <v>228</v>
      </c>
      <c r="C86" s="44"/>
      <c r="D86" s="44"/>
      <c r="E86" s="44"/>
      <c r="F86" s="4"/>
      <c r="G86" s="4"/>
      <c r="H86" s="4"/>
    </row>
    <row r="87" spans="1:8" s="8" customFormat="1" ht="13" customHeight="1">
      <c r="A87" s="4"/>
      <c r="B87" s="37" t="s">
        <v>229</v>
      </c>
      <c r="C87" s="37" t="s">
        <v>230</v>
      </c>
      <c r="D87" s="4"/>
      <c r="E87" s="4"/>
      <c r="F87" s="4"/>
      <c r="G87" s="4"/>
      <c r="H87" s="4"/>
    </row>
    <row r="88" spans="1:8" s="8" customFormat="1" ht="13" customHeight="1">
      <c r="A88" s="4"/>
      <c r="B88" s="21" t="s">
        <v>231</v>
      </c>
      <c r="C88" s="38">
        <v>10500</v>
      </c>
      <c r="D88" s="4"/>
      <c r="E88" s="4"/>
      <c r="F88" s="4"/>
      <c r="G88" s="4"/>
      <c r="H88" s="4"/>
    </row>
    <row r="89" spans="1:8" s="8" customFormat="1" ht="13" customHeight="1">
      <c r="A89" s="4"/>
      <c r="B89" s="21" t="s">
        <v>232</v>
      </c>
      <c r="C89" s="38">
        <v>140000</v>
      </c>
      <c r="D89" s="4"/>
      <c r="E89" s="4"/>
      <c r="F89" s="4"/>
      <c r="G89" s="4"/>
      <c r="H89" s="4"/>
    </row>
    <row r="90" spans="1:8" s="8" customFormat="1" ht="13" customHeight="1">
      <c r="A90" s="4"/>
      <c r="B90" s="21" t="s">
        <v>233</v>
      </c>
      <c r="C90" s="38">
        <v>35000</v>
      </c>
      <c r="D90" s="4"/>
      <c r="E90" s="4"/>
      <c r="F90" s="4"/>
      <c r="G90" s="4"/>
      <c r="H90" s="4"/>
    </row>
    <row r="91" spans="1:8" s="8" customFormat="1" ht="13" customHeight="1">
      <c r="A91" s="4"/>
      <c r="B91" s="21" t="s">
        <v>234</v>
      </c>
      <c r="C91" s="38">
        <v>511790</v>
      </c>
      <c r="D91" s="4"/>
      <c r="E91" s="4"/>
      <c r="F91" s="4"/>
      <c r="G91" s="4"/>
      <c r="H91" s="4"/>
    </row>
    <row r="92" spans="1:8" s="8" customFormat="1" ht="13" customHeight="1">
      <c r="A92" s="4"/>
      <c r="B92" s="3"/>
      <c r="C92" s="39"/>
      <c r="D92" s="4"/>
      <c r="E92" s="4"/>
      <c r="F92" s="4"/>
      <c r="G92" s="4"/>
      <c r="H92" s="4"/>
    </row>
    <row r="93" spans="1:8" s="8" customFormat="1" ht="11.5"/>
    <row r="94" spans="1:8" s="8" customFormat="1">
      <c r="B94" s="44" t="s">
        <v>235</v>
      </c>
      <c r="C94" s="44"/>
      <c r="D94" s="44"/>
      <c r="E94" s="44"/>
      <c r="F94" s="2"/>
      <c r="G94" s="2"/>
      <c r="H94" s="2"/>
    </row>
    <row r="95" spans="1:8" s="8" customFormat="1">
      <c r="B95" s="43" t="s">
        <v>236</v>
      </c>
      <c r="C95" s="43"/>
      <c r="D95" s="43"/>
      <c r="E95" s="43"/>
      <c r="F95" s="2"/>
      <c r="G95" s="2"/>
      <c r="H95" s="2"/>
    </row>
    <row r="96" spans="1:8" s="8" customFormat="1">
      <c r="B96" s="43" t="s">
        <v>237</v>
      </c>
      <c r="C96" s="43"/>
      <c r="D96" s="43"/>
      <c r="E96" s="43"/>
      <c r="F96" s="2"/>
      <c r="G96" s="2"/>
      <c r="H96" s="2"/>
    </row>
    <row r="97" spans="2:8" s="8" customFormat="1" ht="11.5">
      <c r="B97" s="43" t="s">
        <v>238</v>
      </c>
      <c r="C97" s="43"/>
      <c r="D97" s="43"/>
      <c r="E97" s="43"/>
      <c r="F97" s="43"/>
      <c r="G97" s="43"/>
      <c r="H97" s="43"/>
    </row>
    <row r="98" spans="2:8" s="36" customFormat="1" ht="11.5">
      <c r="B98" s="43" t="s">
        <v>239</v>
      </c>
      <c r="C98" s="43"/>
      <c r="D98" s="43"/>
      <c r="E98" s="43"/>
      <c r="F98" s="43"/>
      <c r="G98" s="43"/>
      <c r="H98" s="43"/>
    </row>
    <row r="99" spans="2:8" s="8" customFormat="1">
      <c r="B99" s="43" t="s">
        <v>240</v>
      </c>
      <c r="C99" s="43"/>
      <c r="D99" s="43"/>
      <c r="E99" s="43"/>
      <c r="F99" s="2"/>
      <c r="G99" s="2"/>
      <c r="H99" s="2"/>
    </row>
    <row r="100" spans="2:8" s="8" customFormat="1" ht="11.5">
      <c r="C100" s="40"/>
      <c r="D100" s="40"/>
    </row>
    <row r="101" spans="2:8" s="8" customFormat="1" ht="11.5">
      <c r="C101" s="40"/>
      <c r="D101" s="40"/>
    </row>
    <row r="102" spans="2:8" s="8" customFormat="1" ht="11.5">
      <c r="C102" s="40"/>
      <c r="D102" s="40"/>
    </row>
    <row r="103" spans="2:8" s="8" customFormat="1" ht="11.5"/>
    <row r="104" spans="2:8" s="8" customFormat="1" ht="11.5"/>
    <row r="105" spans="2:8" s="8" customFormat="1" ht="11.5"/>
    <row r="106" spans="2:8" s="8" customFormat="1" ht="11.5"/>
    <row r="107" spans="2:8" s="8" customFormat="1" ht="11.5"/>
    <row r="108" spans="2:8" s="8" customFormat="1" ht="11.5"/>
    <row r="109" spans="2:8" s="8" customFormat="1" ht="11.5"/>
    <row r="110" spans="2:8" s="8" customFormat="1" ht="11.5"/>
    <row r="111" spans="2:8" s="8" customFormat="1" ht="11.5"/>
    <row r="112" spans="2:8" s="8" customFormat="1" ht="11.5"/>
    <row r="113" spans="2:6" s="8" customFormat="1" ht="11.5">
      <c r="B113" s="44"/>
      <c r="C113" s="44"/>
      <c r="D113" s="44"/>
      <c r="E113" s="44"/>
    </row>
    <row r="114" spans="2:6" s="41" customFormat="1" ht="12"/>
    <row r="115" spans="2:6">
      <c r="F115" s="42" t="s">
        <v>241</v>
      </c>
    </row>
    <row r="116" spans="2:6">
      <c r="B116" s="42" t="s">
        <v>242</v>
      </c>
      <c r="F116" s="42" t="s">
        <v>243</v>
      </c>
    </row>
  </sheetData>
  <mergeCells count="16">
    <mergeCell ref="B81:E81"/>
    <mergeCell ref="B1:H1"/>
    <mergeCell ref="B2:H2"/>
    <mergeCell ref="B3:H3"/>
    <mergeCell ref="B4:H4"/>
    <mergeCell ref="B80:E80"/>
    <mergeCell ref="B97:H97"/>
    <mergeCell ref="B98:H98"/>
    <mergeCell ref="B99:E99"/>
    <mergeCell ref="B113:E113"/>
    <mergeCell ref="B82:E82"/>
    <mergeCell ref="B83:E83"/>
    <mergeCell ref="B86:E86"/>
    <mergeCell ref="B94:E94"/>
    <mergeCell ref="B95:E95"/>
    <mergeCell ref="B96:E9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E22F-295C-47E8-AF93-DFA17828068A}">
  <sheetPr codeName="Sheet37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244</v>
      </c>
      <c r="B1" s="44"/>
      <c r="C1" s="44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245</v>
      </c>
      <c r="B3" s="47"/>
      <c r="C3" s="2"/>
      <c r="D3" s="2"/>
      <c r="E3" s="47" t="s">
        <v>246</v>
      </c>
      <c r="F3" s="47"/>
    </row>
    <row r="4" spans="1:6" ht="13" customHeight="1">
      <c r="A4" s="37" t="s">
        <v>247</v>
      </c>
      <c r="B4" s="37" t="s">
        <v>9</v>
      </c>
      <c r="C4" s="2"/>
      <c r="D4" s="2"/>
      <c r="E4" s="37" t="s">
        <v>248</v>
      </c>
      <c r="F4" s="37" t="s">
        <v>249</v>
      </c>
    </row>
    <row r="5" spans="1:6" ht="13" customHeight="1">
      <c r="A5" s="21" t="s">
        <v>14</v>
      </c>
      <c r="B5" s="48">
        <v>3.7600000000000001E-2</v>
      </c>
      <c r="C5" s="2"/>
      <c r="D5" s="2"/>
      <c r="E5" s="21" t="s">
        <v>250</v>
      </c>
      <c r="F5" s="48">
        <v>0.33479999999999999</v>
      </c>
    </row>
    <row r="6" spans="1:6" ht="13" customHeight="1">
      <c r="A6" s="21" t="s">
        <v>18</v>
      </c>
      <c r="B6" s="48">
        <v>3.4500000000000003E-2</v>
      </c>
      <c r="C6" s="2"/>
      <c r="D6" s="2"/>
      <c r="E6" s="21" t="s">
        <v>251</v>
      </c>
      <c r="F6" s="48">
        <v>0.1283</v>
      </c>
    </row>
    <row r="7" spans="1:6" ht="13" customHeight="1">
      <c r="A7" s="21" t="s">
        <v>22</v>
      </c>
      <c r="B7" s="48">
        <v>2.98E-2</v>
      </c>
      <c r="C7" s="2"/>
      <c r="D7" s="2"/>
      <c r="E7" s="21" t="s">
        <v>252</v>
      </c>
      <c r="F7" s="48">
        <v>0.11310000000000001</v>
      </c>
    </row>
    <row r="8" spans="1:6" ht="13" customHeight="1">
      <c r="A8" s="21" t="s">
        <v>25</v>
      </c>
      <c r="B8" s="48">
        <v>2.93E-2</v>
      </c>
      <c r="C8" s="2"/>
      <c r="D8" s="2"/>
      <c r="E8" s="21" t="s">
        <v>253</v>
      </c>
      <c r="F8" s="48">
        <v>8.8400000000000006E-2</v>
      </c>
    </row>
    <row r="9" spans="1:6" ht="13" customHeight="1">
      <c r="A9" s="21" t="s">
        <v>28</v>
      </c>
      <c r="B9" s="48">
        <v>2.8199999999999999E-2</v>
      </c>
      <c r="C9" s="2"/>
      <c r="D9" s="2"/>
      <c r="E9" s="21" t="s">
        <v>254</v>
      </c>
      <c r="F9" s="48">
        <v>6.1499999999999999E-2</v>
      </c>
    </row>
    <row r="10" spans="1:6" ht="13" customHeight="1">
      <c r="A10" s="21" t="s">
        <v>32</v>
      </c>
      <c r="B10" s="48">
        <v>2.7900000000000001E-2</v>
      </c>
      <c r="C10" s="2"/>
      <c r="D10" s="2"/>
      <c r="E10" s="21" t="s">
        <v>88</v>
      </c>
      <c r="F10" s="48">
        <v>5.5100000000000003E-2</v>
      </c>
    </row>
    <row r="11" spans="1:6" ht="13" customHeight="1">
      <c r="A11" s="21" t="s">
        <v>36</v>
      </c>
      <c r="B11" s="48">
        <v>2.5899999999999999E-2</v>
      </c>
      <c r="C11" s="2"/>
      <c r="D11" s="2"/>
      <c r="E11" s="21" t="s">
        <v>255</v>
      </c>
      <c r="F11" s="48">
        <v>4.3700000000000003E-2</v>
      </c>
    </row>
    <row r="12" spans="1:6" ht="13" customHeight="1">
      <c r="A12" s="21" t="s">
        <v>233</v>
      </c>
      <c r="B12" s="48">
        <v>2.5499999999999998E-2</v>
      </c>
      <c r="C12" s="2"/>
      <c r="D12" s="2"/>
      <c r="E12" s="21" t="s">
        <v>98</v>
      </c>
      <c r="F12" s="48">
        <v>4.0899999999999999E-2</v>
      </c>
    </row>
    <row r="13" spans="1:6" ht="13" customHeight="1">
      <c r="A13" s="21" t="s">
        <v>44</v>
      </c>
      <c r="B13" s="48">
        <v>2.47E-2</v>
      </c>
      <c r="C13" s="2"/>
      <c r="D13" s="2"/>
      <c r="E13" s="21" t="s">
        <v>256</v>
      </c>
      <c r="F13" s="48">
        <v>3.9399999999999998E-2</v>
      </c>
    </row>
    <row r="14" spans="1:6" ht="13" customHeight="1">
      <c r="A14" s="21" t="s">
        <v>257</v>
      </c>
      <c r="B14" s="48">
        <v>2.46E-2</v>
      </c>
      <c r="C14" s="2"/>
      <c r="D14" s="2"/>
      <c r="E14" s="21" t="s">
        <v>258</v>
      </c>
      <c r="F14" s="48">
        <v>3.7600000000000001E-2</v>
      </c>
    </row>
    <row r="15" spans="1:6" ht="13" customHeight="1">
      <c r="A15" s="2"/>
      <c r="B15" s="2"/>
      <c r="C15" s="2"/>
      <c r="D15" s="2"/>
      <c r="E15" s="21" t="s">
        <v>259</v>
      </c>
      <c r="F15" s="48">
        <v>2.23E-2</v>
      </c>
    </row>
    <row r="16" spans="1:6" ht="13" customHeight="1">
      <c r="A16" s="2"/>
      <c r="B16" s="2"/>
      <c r="C16" s="2"/>
      <c r="D16" s="2"/>
      <c r="E16" s="21" t="s">
        <v>102</v>
      </c>
      <c r="F16" s="48">
        <v>1.8200000000000001E-2</v>
      </c>
    </row>
    <row r="17" spans="1:6" ht="13" customHeight="1">
      <c r="A17" s="2"/>
      <c r="B17" s="2"/>
      <c r="C17" s="2"/>
      <c r="D17" s="2"/>
      <c r="E17" s="21" t="s">
        <v>260</v>
      </c>
      <c r="F17" s="48">
        <v>9.7000000000000003E-3</v>
      </c>
    </row>
    <row r="18" spans="1:6" ht="13" customHeight="1">
      <c r="A18" s="2"/>
      <c r="B18" s="2"/>
      <c r="C18" s="2"/>
      <c r="D18" s="2"/>
      <c r="E18" s="21" t="s">
        <v>261</v>
      </c>
      <c r="F18" s="48">
        <v>8.5000000000000006E-3</v>
      </c>
    </row>
    <row r="19" spans="1:6" ht="13" customHeight="1">
      <c r="A19" s="2"/>
      <c r="B19" s="2"/>
      <c r="C19" s="2"/>
      <c r="D19" s="2"/>
      <c r="E19" s="21" t="s">
        <v>262</v>
      </c>
      <c r="F19" s="48">
        <v>-1.4E-3</v>
      </c>
    </row>
    <row r="20" spans="1:6" ht="13" customHeight="1">
      <c r="A20" s="2"/>
      <c r="B20" s="2"/>
      <c r="C20" s="2"/>
      <c r="D20" s="2"/>
      <c r="E20" s="37" t="s">
        <v>263</v>
      </c>
      <c r="F20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Multi Cap</vt:lpstr>
      <vt:lpstr>RMSCF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2026-04-10T07:06:08Z</dcterms:created>
  <dcterms:modified xsi:type="dcterms:W3CDTF">2026-04-10T07:11:43Z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2026-04-10T07:06:11Z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11bd5f00-db48-44a4-a3ef-47607b38efa6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