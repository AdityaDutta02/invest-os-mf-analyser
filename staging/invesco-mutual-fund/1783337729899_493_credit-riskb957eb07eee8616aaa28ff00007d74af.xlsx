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Dec 21\"/>
    </mc:Choice>
  </mc:AlternateContent>
  <xr:revisionPtr revIDLastSave="0" documentId="13_ncr:1_{BC07A984-8F85-466B-88C3-7F068D934D8A}" xr6:coauthVersionLast="46" xr6:coauthVersionMax="46" xr10:uidLastSave="{00000000-0000-0000-0000-000000000000}"/>
  <bookViews>
    <workbookView xWindow="-110" yWindow="-110" windowWidth="19420" windowHeight="10420" xr2:uid="{9121A3C5-DE1F-435C-8B77-E9FE7A2483BB}"/>
  </bookViews>
  <sheets>
    <sheet name="Credit Risk" sheetId="1" r:id="rId1"/>
    <sheet name="RICB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>[4]RAIF!$A$1</definedName>
    <definedName name="JR_PAGE_ANCHOR_0_13">[5]RARBF!$A$1</definedName>
    <definedName name="JR_PAGE_ANCHOR_0_14">[6]RBDF!$A$1</definedName>
    <definedName name="JR_PAGE_ANCHOR_0_15">[7]RBF!$A$1</definedName>
    <definedName name="JR_PAGE_ANCHOR_0_16">[8]RBLF!$A$1</definedName>
    <definedName name="JR_PAGE_ANCHOR_0_17">[9]RCF!$A$1</definedName>
    <definedName name="JR_PAGE_ANCHOR_0_18">[10]RCOF!$A$1</definedName>
    <definedName name="JR_PAGE_ANCHOR_0_19">[11]REF!$A$1</definedName>
    <definedName name="JR_PAGE_ANCHOR_0_2">[12]IESF!$A$1</definedName>
    <definedName name="JR_PAGE_ANCHOR_0_20">[13]RGF!$A$1</definedName>
    <definedName name="JR_PAGE_ANCHOR_0_21">[14]RGILTL!$A$1</definedName>
    <definedName name="JR_PAGE_ANCHOR_0_22">'[15]RGOLDETF (2)'!$A$1</definedName>
    <definedName name="JR_PAGE_ANCHOR_0_23">'[16]RGOLDFOF (2)'!$A$1</definedName>
    <definedName name="JR_PAGE_ANCHOR_0_24" localSheetId="1">RICBOF!$A$1</definedName>
    <definedName name="JR_PAGE_ANCHOR_0_24">'Credit Risk'!$A$1</definedName>
    <definedName name="JR_PAGE_ANCHOR_0_3">[17]IESGEF!$A$1</definedName>
    <definedName name="JR_PAGE_ANCHOR_0_4">[18]IFEF!$A$1</definedName>
    <definedName name="JR_PAGE_ANCHOR_0_5">[19]IFMP31D!$A$1</definedName>
    <definedName name="JR_PAGE_ANCHOR_0_6">[20]IFMP33B!$A$1</definedName>
    <definedName name="JR_PAGE_ANCHOR_0_7">[21]IFMP33D!$A$1</definedName>
    <definedName name="JR_PAGE_ANCHOR_0_8">[22]IGCTFOF!$A$1</definedName>
    <definedName name="JR_PAGE_ANCHOR_0_9">[23]IMDF!$A$1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" i="1" l="1"/>
</calcChain>
</file>

<file path=xl/sharedStrings.xml><?xml version="1.0" encoding="utf-8"?>
<sst xmlns="http://schemas.openxmlformats.org/spreadsheetml/2006/main" count="158" uniqueCount="135">
  <si>
    <t>RICBOF</t>
  </si>
  <si>
    <t>INVESCO MUTUAL FUND</t>
  </si>
  <si>
    <t>Monthly Portfolio Statement as on December 31, 2021</t>
  </si>
  <si>
    <t>Invesco India Credit Risk Fund (An open ended debt scheme predominantly investing in AA and below rated corporate bonds (excluding AA+ rated corporate bonds))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</si>
  <si>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</si>
  <si>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</si>
  <si>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</si>
  <si>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</si>
  <si>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</si>
  <si>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</si>
  <si>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</si>
  <si>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</si>
  <si>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</t>
  </si>
  <si>
    <t>NHBA299</t>
  </si>
  <si>
    <t>7.05% National Housing Bank 2024 **</t>
  </si>
  <si>
    <t>INE557F08FG1</t>
  </si>
  <si>
    <t>CRISIL AAA</t>
  </si>
  <si>
    <t>RIND338</t>
  </si>
  <si>
    <t>7.05% Reliance Industries Limited 2023 **</t>
  </si>
  <si>
    <t>INE002A08625</t>
  </si>
  <si>
    <t>GOI2335</t>
  </si>
  <si>
    <t>6.45% Government of India 2029</t>
  </si>
  <si>
    <t>IN0020190362</t>
  </si>
  <si>
    <t>SOVEREIGN</t>
  </si>
  <si>
    <t>NBAR420</t>
  </si>
  <si>
    <t>8.60% National Bank For Agriculture and Rural Development 2022 **</t>
  </si>
  <si>
    <t>INE261F08AI7</t>
  </si>
  <si>
    <t>IRLY322</t>
  </si>
  <si>
    <t>8.25% Indian Railway Finance Corporation Limited 2024 **</t>
  </si>
  <si>
    <t>INE053F07BB3</t>
  </si>
  <si>
    <t>POWF453</t>
  </si>
  <si>
    <t>6.98% Power Finance Corporation Limited 2023 **</t>
  </si>
  <si>
    <t>INE134E08KN8</t>
  </si>
  <si>
    <t>HDBF264</t>
  </si>
  <si>
    <t>7.5% HDB Financial Services Limited 2022 **</t>
  </si>
  <si>
    <t>INE756I07CX7</t>
  </si>
  <si>
    <t>NHAI56</t>
  </si>
  <si>
    <t>7.11% National Highways Auth Of Ind 2022 **</t>
  </si>
  <si>
    <t>INE906B07FX6</t>
  </si>
  <si>
    <t>IRLY341</t>
  </si>
  <si>
    <t>6.19% Indian Railway Finance Corporation Limited 2023 **</t>
  </si>
  <si>
    <t>INE053F07CC9</t>
  </si>
  <si>
    <t>SBAI201</t>
  </si>
  <si>
    <t>6.8% State Bank of India 2035 **</t>
  </si>
  <si>
    <t>INE062A08231</t>
  </si>
  <si>
    <t>6.87% $</t>
  </si>
  <si>
    <t>GOI3103</t>
  </si>
  <si>
    <t>5.63% Government of India 2026</t>
  </si>
  <si>
    <t>IN0020210012</t>
  </si>
  <si>
    <t>GOI2491</t>
  </si>
  <si>
    <t>5.22% Government of India 2025</t>
  </si>
  <si>
    <t>IN0020200112</t>
  </si>
  <si>
    <t>TISC109</t>
  </si>
  <si>
    <t>2% Tata Steel Limited 2022 **</t>
  </si>
  <si>
    <t>INE081A08181</t>
  </si>
  <si>
    <t>CARE AA+</t>
  </si>
  <si>
    <t>BHAT38</t>
  </si>
  <si>
    <t>8.90% Bharti Telecom Limited 2022 **</t>
  </si>
  <si>
    <t>INE403D08066</t>
  </si>
  <si>
    <t>CRISIL AA+</t>
  </si>
  <si>
    <t>NUCL130</t>
  </si>
  <si>
    <t>6.8% Nuclear Power Corporation Of India Limited 2031 **</t>
  </si>
  <si>
    <t>INE206D08477</t>
  </si>
  <si>
    <t>ICRA AAA</t>
  </si>
  <si>
    <t>TPOW38</t>
  </si>
  <si>
    <t>9.15% Tata Power Company Limited 2022 **</t>
  </si>
  <si>
    <t>INE245A07234</t>
  </si>
  <si>
    <t>CRISIL AA</t>
  </si>
  <si>
    <t>HINI105</t>
  </si>
  <si>
    <t>9.55% Hindalco Industries Limited 2022 **</t>
  </si>
  <si>
    <t>INE038A07258</t>
  </si>
  <si>
    <t>OPAL34</t>
  </si>
  <si>
    <t>6.63% ONGC Petro Additions Limited 2024 **</t>
  </si>
  <si>
    <t>INE163N08180</t>
  </si>
  <si>
    <t>ICRA AA</t>
  </si>
  <si>
    <t>FCOI31</t>
  </si>
  <si>
    <t>7.64% Food Corporation Of India 2029 **</t>
  </si>
  <si>
    <t>INE861G08050</t>
  </si>
  <si>
    <t>CRISIL AAA(CE)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</si>
  <si>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</si>
  <si>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</si>
  <si>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</si>
  <si>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</si>
  <si>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</si>
  <si>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</si>
  <si>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TRP_030122</t>
  </si>
  <si>
    <t>Triparty Repo</t>
  </si>
  <si>
    <t>Net Receivables / (Payables)</t>
  </si>
  <si>
    <t>GRAND TOTAL</t>
  </si>
  <si>
    <t>**  Non Traded Security</t>
  </si>
  <si>
    <t>$ Yield to Call (YTC)- 6.874%</t>
  </si>
  <si>
    <t>Notes :</t>
  </si>
  <si>
    <t>(1)  Details of security defaulted beyond it's maturity date is as follows:</t>
  </si>
  <si>
    <t>Name of the security</t>
  </si>
  <si>
    <t>Value recognized in NAV 
As on December 31, 2021</t>
  </si>
  <si>
    <t>% to NAV
As on December 31, 2021</t>
  </si>
  <si>
    <t>Amount due to the scheme (Rs Lacs)</t>
  </si>
  <si>
    <t>IL&amp;FS Transportation Network Ltd  ZCB Ser B (23/06/19)</t>
  </si>
  <si>
    <t>INE975G08157</t>
  </si>
  <si>
    <t>-</t>
  </si>
  <si>
    <t>10.70% Sintex Ind Ltd NCD (MD30/09/21)P/C 30/09/19</t>
  </si>
  <si>
    <t>INE429C07057</t>
  </si>
  <si>
    <t>(2)  Total Value and percentage of illiquid equity shares: Nil</t>
  </si>
  <si>
    <t>(3)  Total outstanding exposure in derivative instruments as on December 31, 2021: Nil</t>
  </si>
  <si>
    <t>(4)  Total investments in Foreign Securities / Overseas ETFs as on December 31, 2021 and its percentage to NAV : Nil</t>
  </si>
  <si>
    <t>(5) Investment in Repo of Corporate Debt securities : Nil</t>
  </si>
  <si>
    <t>BENCHMARK NAME - CRISIL SHORT TERM CREDIT RISK INDEX</t>
  </si>
  <si>
    <t>SCHEME RISK-O-METER</t>
  </si>
  <si>
    <t>BENCHMARK RISK-O-METER</t>
  </si>
  <si>
    <t>Grand Total</t>
  </si>
  <si>
    <t>Consumer Goods</t>
  </si>
  <si>
    <t>State Bank of India</t>
  </si>
  <si>
    <t>Chemicals</t>
  </si>
  <si>
    <t>National Highways Auth Of Ind</t>
  </si>
  <si>
    <t>Cash &amp; Cash Equivalent:</t>
  </si>
  <si>
    <t>HDB Financial Services Limited</t>
  </si>
  <si>
    <t>Power</t>
  </si>
  <si>
    <t>Power Finance Corporation Limited</t>
  </si>
  <si>
    <t>Construction</t>
  </si>
  <si>
    <t>National Bank For Agriculture and Rural Development</t>
  </si>
  <si>
    <t>Metals</t>
  </si>
  <si>
    <t>Reliance Industries Limited</t>
  </si>
  <si>
    <t>Oil &amp; Gas</t>
  </si>
  <si>
    <t>Indian Railway Finance Corporation Limited</t>
  </si>
  <si>
    <t>Government of India</t>
  </si>
  <si>
    <t>National Housing Bank</t>
  </si>
  <si>
    <t>Others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</si>
  <si>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</si>
  <si>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</si>
  <si>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</si>
  <si>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</si>
  <si>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</si>
  <si>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</si>
  <si>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</si>
  <si>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Credit Risk Fund (An open ended debt scheme predominantly investing in AA and below rated corporate bonds (excluding AA+ rated corporate bonds))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</si>
</sst>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b/>
      <sz val="9"/>
      <name val="SansSerif"/>
    </font>
    <font>
      <sz val="9"/>
      <name val="Arial"/>
      <family val="2"/>
    </font>
    <font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69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8" fillId="0" borderId="18" xfId="1" applyFont="1" applyBorder="1" applyAlignment="1">
      <alignment horizontal="left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top" wrapText="1"/>
    </xf>
    <xf numFmtId="0" fontId="11" fillId="0" borderId="18" xfId="1" applyFont="1" applyBorder="1" applyAlignment="1">
      <alignment horizontal="center" vertical="top" wrapText="1"/>
    </xf>
    <xf numFmtId="4" fontId="11" fillId="0" borderId="18" xfId="1" applyNumberFormat="1" applyFont="1" applyFill="1" applyBorder="1" applyAlignment="1">
      <alignment horizontal="center" vertical="top" wrapText="1"/>
    </xf>
    <xf numFmtId="0" fontId="9" fillId="0" borderId="0" xfId="2" applyNumberFormat="1" applyFont="1" applyFill="1" applyBorder="1" applyAlignment="1"/>
    <xf numFmtId="0" fontId="12" fillId="0" borderId="18" xfId="0" applyFont="1" applyBorder="1" applyAlignment="1">
      <alignment wrapText="1"/>
    </xf>
    <xf numFmtId="0" fontId="12" fillId="0" borderId="18" xfId="0" applyFont="1" applyBorder="1" applyAlignment="1">
      <alignment horizontal="center" wrapText="1"/>
    </xf>
    <xf numFmtId="4" fontId="12" fillId="0" borderId="18" xfId="0" applyNumberFormat="1" applyFont="1" applyBorder="1" applyAlignment="1">
      <alignment wrapText="1"/>
    </xf>
    <xf numFmtId="0" fontId="10" fillId="0" borderId="18" xfId="0" applyFont="1" applyBorder="1" applyAlignment="1">
      <alignment horizontal="left" vertical="top" wrapText="1"/>
    </xf>
    <xf numFmtId="4" fontId="10" fillId="0" borderId="18" xfId="0" applyNumberFormat="1" applyFont="1" applyBorder="1" applyAlignment="1">
      <alignment horizontal="center" vertical="top" wrapText="1"/>
    </xf>
    <xf numFmtId="4" fontId="13" fillId="0" borderId="18" xfId="0" applyNumberFormat="1" applyFont="1" applyBorder="1" applyAlignment="1">
      <alignment horizontal="center" vertical="top" wrapText="1"/>
    </xf>
    <xf numFmtId="165" fontId="10" fillId="0" borderId="18" xfId="0" applyNumberFormat="1" applyFont="1" applyBorder="1" applyAlignment="1">
      <alignment horizontal="right" vertical="top" wrapText="1"/>
    </xf>
    <xf numFmtId="165" fontId="9" fillId="0" borderId="0" xfId="2" applyNumberFormat="1" applyFont="1" applyFill="1" applyBorder="1" applyAlignment="1"/>
    <xf numFmtId="4" fontId="0" fillId="0" borderId="0" xfId="0" applyNumberFormat="1"/>
    <xf numFmtId="0" fontId="10" fillId="0" borderId="0" xfId="0" applyFont="1" applyAlignment="1">
      <alignment horizontal="left" vertical="top" wrapText="1"/>
    </xf>
    <xf numFmtId="4" fontId="10" fillId="0" borderId="0" xfId="0" applyNumberFormat="1" applyFont="1" applyAlignment="1">
      <alignment horizontal="center" vertical="top" wrapText="1"/>
    </xf>
    <xf numFmtId="4" fontId="13" fillId="0" borderId="0" xfId="0" applyNumberFormat="1" applyFont="1" applyAlignment="1">
      <alignment horizontal="center" vertical="top" wrapText="1"/>
    </xf>
    <xf numFmtId="165" fontId="10" fillId="0" borderId="0" xfId="0" applyNumberFormat="1" applyFont="1" applyAlignment="1">
      <alignment horizontal="right" vertical="top" wrapText="1"/>
    </xf>
    <xf numFmtId="0" fontId="10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2" fillId="0" borderId="0" xfId="0" applyFont="1"/>
    <xf numFmtId="0" fontId="1" fillId="0" borderId="0" xfId="0" applyFont="1"/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</cellXfs>
  <cellStyles count="3">
    <cellStyle name="Normal" xfId="0" builtinId="0"/>
    <cellStyle name="Normal 2" xfId="2" xr:uid="{5BC0EB2C-210D-4E22-AA90-F6665A047C03}"/>
    <cellStyle name="Normal 3" xfId="1" xr:uid="{0590434A-6F50-48A3-A99F-68759BD39A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1</xdr:col>
      <xdr:colOff>2857500</xdr:colOff>
      <xdr:row>68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C4F52F-2520-44BA-924C-742C804DCA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8394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7</xdr:col>
      <xdr:colOff>609600</xdr:colOff>
      <xdr:row>68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666AB8-74A1-4CD9-86CC-5B3A188DB1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4350" y="1083945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7D88F-2DB8-4E45-8F14-5E20F2E518C9}">
  <sheetPr codeName="Sheet32">
    <outlinePr summaryBelow="0"/>
  </sheetPr>
  <dimension ref="A1:H57"/>
  <sheetViews>
    <sheetView showGridLines="0" tabSelected="1" workbookViewId="0"/>
  </sheetViews>
  <sheetFormatPr defaultRowHeight="14.5"/>
  <cols>
    <col min="1" max="1" width="3.7265625" customWidth="1"/>
    <col min="2" max="2" width="53" customWidth="1"/>
    <col min="3" max="3" width="18.453125" customWidth="1"/>
    <col min="4" max="4" width="21.81640625" customWidth="1"/>
    <col min="5" max="5" width="19.453125" customWidth="1"/>
    <col min="6" max="6" width="17.1796875" customWidth="1"/>
    <col min="7" max="7" width="16.54296875" customWidth="1"/>
    <col min="8" max="8" width="14.453125" customWidth="1"/>
  </cols>
  <sheetData>
    <row r="1" spans="1:8" ht="20.149999999999999" customHeight="1">
      <c r="A1" s="1" t="s">
        <v>0</v>
      </c>
      <c r="B1" s="63" t="s">
        <v>1</v>
      </c>
      <c r="C1" s="63"/>
      <c r="D1" s="63"/>
      <c r="E1" s="63"/>
      <c r="F1" s="63"/>
      <c r="G1" s="63"/>
      <c r="H1" s="63"/>
    </row>
    <row r="2" spans="1:8" ht="20.149999999999999" customHeight="1">
      <c r="A2" s="2"/>
      <c r="B2" s="63" t="s">
        <v>2</v>
      </c>
      <c r="C2" s="63"/>
      <c r="D2" s="63"/>
      <c r="E2" s="63"/>
      <c r="F2" s="63"/>
      <c r="G2" s="63"/>
      <c r="H2" s="63"/>
    </row>
    <row r="3" spans="1:8" ht="40.5" customHeight="1">
      <c r="A3" s="2"/>
      <c r="B3" s="63" t="s">
        <v>3</v>
      </c>
      <c r="C3" s="63"/>
      <c r="D3" s="63"/>
      <c r="E3" s="63"/>
      <c r="F3" s="63"/>
      <c r="G3" s="63"/>
      <c r="H3" s="63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1000000</v>
      </c>
      <c r="F8" s="15">
        <v>1044.1400000000001</v>
      </c>
      <c r="G8" s="15">
        <v>7.89</v>
      </c>
      <c r="H8" s="16">
        <v>5.3949999999999998E-2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950000</v>
      </c>
      <c r="F9" s="15">
        <v>978.77</v>
      </c>
      <c r="G9" s="15">
        <v>7.39</v>
      </c>
      <c r="H9" s="16">
        <v>5.1200000000000002E-2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850000</v>
      </c>
      <c r="F10" s="15">
        <v>850.43</v>
      </c>
      <c r="G10" s="15">
        <v>6.42</v>
      </c>
      <c r="H10" s="16">
        <v>6.4395999999999995E-2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780000</v>
      </c>
      <c r="F11" s="15">
        <v>783.05</v>
      </c>
      <c r="G11" s="15">
        <v>5.92</v>
      </c>
      <c r="H11" s="16">
        <v>3.5499999999999997E-2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16</v>
      </c>
      <c r="E12" s="14">
        <v>500000</v>
      </c>
      <c r="F12" s="15">
        <v>530.86</v>
      </c>
      <c r="G12" s="15">
        <v>4.01</v>
      </c>
      <c r="H12" s="16">
        <v>5.16E-2</v>
      </c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16</v>
      </c>
      <c r="E13" s="14">
        <v>500000</v>
      </c>
      <c r="F13" s="15">
        <v>511.98</v>
      </c>
      <c r="G13" s="15">
        <v>3.87</v>
      </c>
      <c r="H13" s="16">
        <v>0.05</v>
      </c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16</v>
      </c>
      <c r="E14" s="14">
        <v>500000</v>
      </c>
      <c r="F14" s="15">
        <v>511.23</v>
      </c>
      <c r="G14" s="15">
        <v>3.86</v>
      </c>
      <c r="H14" s="16">
        <v>5.0750000000000003E-2</v>
      </c>
    </row>
    <row r="15" spans="1:8" ht="13" customHeight="1">
      <c r="A15" s="11" t="s">
        <v>36</v>
      </c>
      <c r="B15" s="12" t="s">
        <v>37</v>
      </c>
      <c r="C15" s="13" t="s">
        <v>38</v>
      </c>
      <c r="D15" s="8" t="s">
        <v>16</v>
      </c>
      <c r="E15" s="14">
        <v>500000</v>
      </c>
      <c r="F15" s="15">
        <v>509.99</v>
      </c>
      <c r="G15" s="15">
        <v>3.85</v>
      </c>
      <c r="H15" s="16">
        <v>4.5999999999999999E-2</v>
      </c>
    </row>
    <row r="16" spans="1:8" ht="13" customHeight="1">
      <c r="A16" s="11" t="s">
        <v>39</v>
      </c>
      <c r="B16" s="12" t="s">
        <v>40</v>
      </c>
      <c r="C16" s="13" t="s">
        <v>41</v>
      </c>
      <c r="D16" s="8" t="s">
        <v>16</v>
      </c>
      <c r="E16" s="14">
        <v>500000</v>
      </c>
      <c r="F16" s="15">
        <v>508.06</v>
      </c>
      <c r="G16" s="15">
        <v>3.84</v>
      </c>
      <c r="H16" s="16">
        <v>4.8800000000000003E-2</v>
      </c>
    </row>
    <row r="17" spans="1:8" ht="13" customHeight="1">
      <c r="A17" s="11" t="s">
        <v>42</v>
      </c>
      <c r="B17" s="12" t="s">
        <v>43</v>
      </c>
      <c r="C17" s="13" t="s">
        <v>44</v>
      </c>
      <c r="D17" s="8" t="s">
        <v>16</v>
      </c>
      <c r="E17" s="14">
        <v>500000</v>
      </c>
      <c r="F17" s="15">
        <v>497.37</v>
      </c>
      <c r="G17" s="15">
        <v>3.76</v>
      </c>
      <c r="H17" s="16" t="s">
        <v>45</v>
      </c>
    </row>
    <row r="18" spans="1:8" ht="13" customHeight="1">
      <c r="A18" s="11" t="s">
        <v>46</v>
      </c>
      <c r="B18" s="12" t="s">
        <v>47</v>
      </c>
      <c r="C18" s="13" t="s">
        <v>48</v>
      </c>
      <c r="D18" s="8" t="s">
        <v>23</v>
      </c>
      <c r="E18" s="14">
        <v>500000</v>
      </c>
      <c r="F18" s="15">
        <v>496.82</v>
      </c>
      <c r="G18" s="15">
        <v>3.75</v>
      </c>
      <c r="H18" s="16">
        <v>5.7972000000000003E-2</v>
      </c>
    </row>
    <row r="19" spans="1:8" ht="13" customHeight="1">
      <c r="A19" s="11" t="s">
        <v>49</v>
      </c>
      <c r="B19" s="12" t="s">
        <v>50</v>
      </c>
      <c r="C19" s="13" t="s">
        <v>51</v>
      </c>
      <c r="D19" s="8" t="s">
        <v>23</v>
      </c>
      <c r="E19" s="14">
        <v>500000</v>
      </c>
      <c r="F19" s="15">
        <v>494.81</v>
      </c>
      <c r="G19" s="15">
        <v>3.74</v>
      </c>
      <c r="H19" s="16">
        <v>5.5531999999999998E-2</v>
      </c>
    </row>
    <row r="20" spans="1:8" ht="13" customHeight="1">
      <c r="A20" s="11" t="s">
        <v>52</v>
      </c>
      <c r="B20" s="12" t="s">
        <v>53</v>
      </c>
      <c r="C20" s="13" t="s">
        <v>54</v>
      </c>
      <c r="D20" s="8" t="s">
        <v>55</v>
      </c>
      <c r="E20" s="14">
        <v>200000</v>
      </c>
      <c r="F20" s="15">
        <v>366.28</v>
      </c>
      <c r="G20" s="15">
        <v>2.77</v>
      </c>
      <c r="H20" s="16">
        <v>4.4249999999999998E-2</v>
      </c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59</v>
      </c>
      <c r="E21" s="14">
        <v>300000</v>
      </c>
      <c r="F21" s="15">
        <v>301.88</v>
      </c>
      <c r="G21" s="15">
        <v>2.2799999999999998</v>
      </c>
      <c r="H21" s="16">
        <v>4.3400000000000001E-2</v>
      </c>
    </row>
    <row r="22" spans="1:8" ht="13" customHeight="1">
      <c r="A22" s="11" t="s">
        <v>60</v>
      </c>
      <c r="B22" s="12" t="s">
        <v>61</v>
      </c>
      <c r="C22" s="13" t="s">
        <v>62</v>
      </c>
      <c r="D22" s="8" t="s">
        <v>63</v>
      </c>
      <c r="E22" s="14">
        <v>250000</v>
      </c>
      <c r="F22" s="15">
        <v>249.76</v>
      </c>
      <c r="G22" s="15">
        <v>1.89</v>
      </c>
      <c r="H22" s="16">
        <v>6.8099999999999994E-2</v>
      </c>
    </row>
    <row r="23" spans="1:8" ht="13" customHeight="1">
      <c r="A23" s="11" t="s">
        <v>64</v>
      </c>
      <c r="B23" s="12" t="s">
        <v>65</v>
      </c>
      <c r="C23" s="13" t="s">
        <v>66</v>
      </c>
      <c r="D23" s="8" t="s">
        <v>67</v>
      </c>
      <c r="E23" s="14">
        <v>220000</v>
      </c>
      <c r="F23" s="15">
        <v>224.81</v>
      </c>
      <c r="G23" s="15">
        <v>1.7</v>
      </c>
      <c r="H23" s="16">
        <v>4.9149999999999999E-2</v>
      </c>
    </row>
    <row r="24" spans="1:8" ht="13" customHeight="1">
      <c r="A24" s="11" t="s">
        <v>68</v>
      </c>
      <c r="B24" s="12" t="s">
        <v>69</v>
      </c>
      <c r="C24" s="13" t="s">
        <v>70</v>
      </c>
      <c r="D24" s="8" t="s">
        <v>59</v>
      </c>
      <c r="E24" s="14">
        <v>200000</v>
      </c>
      <c r="F24" s="15">
        <v>202.93</v>
      </c>
      <c r="G24" s="15">
        <v>1.53</v>
      </c>
      <c r="H24" s="16">
        <v>4.5048999999999999E-2</v>
      </c>
    </row>
    <row r="25" spans="1:8" ht="13" customHeight="1">
      <c r="A25" s="11" t="s">
        <v>71</v>
      </c>
      <c r="B25" s="12" t="s">
        <v>72</v>
      </c>
      <c r="C25" s="13" t="s">
        <v>73</v>
      </c>
      <c r="D25" s="8" t="s">
        <v>74</v>
      </c>
      <c r="E25" s="14">
        <v>200000</v>
      </c>
      <c r="F25" s="15">
        <v>200.05</v>
      </c>
      <c r="G25" s="15">
        <v>1.51</v>
      </c>
      <c r="H25" s="16">
        <v>6.5946000000000005E-2</v>
      </c>
    </row>
    <row r="26" spans="1:8" ht="13" customHeight="1">
      <c r="A26" s="11" t="s">
        <v>75</v>
      </c>
      <c r="B26" s="12" t="s">
        <v>76</v>
      </c>
      <c r="C26" s="13" t="s">
        <v>77</v>
      </c>
      <c r="D26" s="8" t="s">
        <v>78</v>
      </c>
      <c r="E26" s="14">
        <v>30000</v>
      </c>
      <c r="F26" s="15">
        <v>31.51</v>
      </c>
      <c r="G26" s="15">
        <v>0.24</v>
      </c>
      <c r="H26" s="16">
        <v>6.7949999999999997E-2</v>
      </c>
    </row>
    <row r="27" spans="1:8" ht="13" customHeight="1">
      <c r="A27" s="2"/>
      <c r="B27" s="7" t="s">
        <v>79</v>
      </c>
      <c r="C27" s="8"/>
      <c r="D27" s="8"/>
      <c r="E27" s="8"/>
      <c r="F27" s="17">
        <v>9294.73</v>
      </c>
      <c r="G27" s="17">
        <v>70.22</v>
      </c>
      <c r="H27" s="18"/>
    </row>
    <row r="28" spans="1:8" ht="13" customHeight="1">
      <c r="A28" s="2"/>
      <c r="B28" s="19" t="s">
        <v>80</v>
      </c>
      <c r="C28" s="20"/>
      <c r="D28" s="20"/>
      <c r="E28" s="21"/>
      <c r="F28" s="22" t="s">
        <v>81</v>
      </c>
      <c r="G28" s="22" t="s">
        <v>81</v>
      </c>
      <c r="H28" s="23" t="s">
        <v>81</v>
      </c>
    </row>
    <row r="29" spans="1:8" ht="13" customHeight="1">
      <c r="A29" s="2"/>
      <c r="B29" s="24" t="s">
        <v>79</v>
      </c>
      <c r="C29" s="25"/>
      <c r="D29" s="25"/>
      <c r="E29" s="22"/>
      <c r="F29" s="22" t="s">
        <v>81</v>
      </c>
      <c r="G29" s="22" t="s">
        <v>81</v>
      </c>
      <c r="H29" s="23" t="s">
        <v>81</v>
      </c>
    </row>
    <row r="30" spans="1:8" ht="13" customHeight="1">
      <c r="A30" s="2"/>
      <c r="B30" s="19" t="s">
        <v>82</v>
      </c>
      <c r="C30" s="20"/>
      <c r="D30" s="20"/>
      <c r="E30" s="26"/>
      <c r="F30" s="17">
        <v>9294.73</v>
      </c>
      <c r="G30" s="17">
        <v>70.22</v>
      </c>
      <c r="H30" s="23"/>
    </row>
    <row r="31" spans="1:8" ht="13" customHeight="1">
      <c r="A31" s="2"/>
      <c r="B31" s="7" t="s">
        <v>83</v>
      </c>
      <c r="C31" s="8"/>
      <c r="D31" s="8"/>
      <c r="E31" s="8"/>
      <c r="F31" s="8"/>
      <c r="G31" s="8"/>
      <c r="H31" s="9"/>
    </row>
    <row r="32" spans="1:8" ht="13" customHeight="1">
      <c r="A32" s="2"/>
      <c r="B32" s="7" t="s">
        <v>84</v>
      </c>
      <c r="C32" s="10"/>
      <c r="D32" s="10"/>
      <c r="E32" s="8"/>
      <c r="F32" s="8"/>
      <c r="G32" s="8"/>
      <c r="H32" s="9"/>
    </row>
    <row r="33" spans="1:8" ht="13" customHeight="1">
      <c r="A33" s="11" t="s">
        <v>85</v>
      </c>
      <c r="B33" s="12" t="s">
        <v>86</v>
      </c>
      <c r="C33" s="13"/>
      <c r="D33" s="8"/>
      <c r="E33" s="14"/>
      <c r="F33" s="15">
        <v>3672.31</v>
      </c>
      <c r="G33" s="15">
        <v>27.74</v>
      </c>
      <c r="H33" s="16">
        <v>3.4500000000000003E-2</v>
      </c>
    </row>
    <row r="34" spans="1:8" ht="13" customHeight="1">
      <c r="A34" s="2"/>
      <c r="B34" s="7" t="s">
        <v>79</v>
      </c>
      <c r="C34" s="8"/>
      <c r="D34" s="8"/>
      <c r="E34" s="8"/>
      <c r="F34" s="17">
        <v>3672.31</v>
      </c>
      <c r="G34" s="17">
        <v>27.74</v>
      </c>
      <c r="H34" s="18"/>
    </row>
    <row r="35" spans="1:8" ht="13" customHeight="1">
      <c r="A35" s="2"/>
      <c r="B35" s="19" t="s">
        <v>82</v>
      </c>
      <c r="C35" s="20"/>
      <c r="D35" s="20"/>
      <c r="E35" s="26"/>
      <c r="F35" s="17">
        <v>3672.31</v>
      </c>
      <c r="G35" s="17">
        <v>27.74</v>
      </c>
      <c r="H35" s="23"/>
    </row>
    <row r="36" spans="1:8" ht="13" customHeight="1">
      <c r="A36" s="2"/>
      <c r="B36" s="19" t="s">
        <v>87</v>
      </c>
      <c r="C36" s="20"/>
      <c r="D36" s="20"/>
      <c r="E36" s="8"/>
      <c r="F36" s="17">
        <v>270.93</v>
      </c>
      <c r="G36" s="17">
        <v>2.04</v>
      </c>
      <c r="H36" s="23"/>
    </row>
    <row r="37" spans="1:8" ht="13" customHeight="1" thickBot="1">
      <c r="A37" s="2"/>
      <c r="B37" s="27" t="s">
        <v>88</v>
      </c>
      <c r="C37" s="28"/>
      <c r="D37" s="28"/>
      <c r="E37" s="28"/>
      <c r="F37" s="29">
        <v>13237.97</v>
      </c>
      <c r="G37" s="30">
        <v>100</v>
      </c>
      <c r="H37" s="31"/>
    </row>
    <row r="38" spans="1:8" ht="13" customHeight="1">
      <c r="A38" s="2"/>
      <c r="B38" s="59"/>
      <c r="C38" s="59"/>
      <c r="D38" s="59"/>
      <c r="E38" s="59"/>
      <c r="F38" s="2"/>
      <c r="G38" s="2"/>
      <c r="H38" s="2"/>
    </row>
    <row r="39" spans="1:8" ht="13" customHeight="1">
      <c r="A39" s="2"/>
      <c r="B39" s="59"/>
      <c r="C39" s="59"/>
      <c r="D39" s="59"/>
      <c r="E39" s="59"/>
      <c r="F39" s="2"/>
      <c r="G39" s="2"/>
      <c r="H39" s="2"/>
    </row>
    <row r="40" spans="1:8" ht="13" customHeight="1">
      <c r="A40" s="2"/>
      <c r="B40" s="59"/>
      <c r="C40" s="59"/>
      <c r="D40" s="59"/>
      <c r="E40" s="59"/>
      <c r="F40" s="2"/>
      <c r="G40" s="2"/>
      <c r="H40" s="2"/>
    </row>
    <row r="41" spans="1:8" ht="13" customHeight="1">
      <c r="A41" s="2"/>
      <c r="B41" s="58"/>
      <c r="C41" s="58"/>
      <c r="D41" s="58"/>
      <c r="E41" s="58"/>
      <c r="F41" s="2"/>
      <c r="G41" s="2"/>
      <c r="H41" s="2"/>
    </row>
    <row r="42" spans="1:8" ht="13" customHeight="1">
      <c r="A42" s="2"/>
      <c r="B42" s="59" t="s">
        <v>89</v>
      </c>
      <c r="C42" s="59"/>
      <c r="D42" s="59"/>
      <c r="E42" s="59"/>
      <c r="F42" s="2"/>
      <c r="G42" s="2"/>
      <c r="H42" s="2"/>
    </row>
    <row r="43" spans="1:8" ht="13" customHeight="1">
      <c r="A43" s="2"/>
      <c r="B43" s="60"/>
      <c r="C43" s="60"/>
      <c r="D43" s="60"/>
      <c r="E43" s="60"/>
      <c r="F43" s="2"/>
      <c r="G43" s="2"/>
      <c r="H43" s="2"/>
    </row>
    <row r="44" spans="1:8" ht="13" customHeight="1">
      <c r="A44" s="2"/>
      <c r="B44" s="59" t="s">
        <v>90</v>
      </c>
      <c r="C44" s="59"/>
      <c r="D44" s="59"/>
      <c r="E44" s="59"/>
      <c r="F44" s="2"/>
      <c r="G44" s="2"/>
      <c r="H44" s="2"/>
    </row>
    <row r="46" spans="1:8">
      <c r="B46" s="61" t="s">
        <v>91</v>
      </c>
      <c r="C46" s="61"/>
      <c r="D46" s="61"/>
      <c r="E46" s="61"/>
    </row>
    <row r="47" spans="1:8">
      <c r="B47" s="62" t="s">
        <v>92</v>
      </c>
      <c r="C47" s="62"/>
    </row>
    <row r="48" spans="1:8" ht="36.75" customHeight="1">
      <c r="B48" s="33" t="s">
        <v>93</v>
      </c>
      <c r="C48" s="34" t="s">
        <v>5</v>
      </c>
      <c r="D48" s="35" t="s">
        <v>94</v>
      </c>
      <c r="E48" s="36" t="s">
        <v>95</v>
      </c>
      <c r="F48" s="37" t="s">
        <v>96</v>
      </c>
      <c r="G48" s="38"/>
    </row>
    <row r="49" spans="2:8">
      <c r="B49" s="39" t="s">
        <v>97</v>
      </c>
      <c r="C49" s="39" t="s">
        <v>98</v>
      </c>
      <c r="D49" s="40" t="s">
        <v>99</v>
      </c>
      <c r="E49" s="40" t="s">
        <v>99</v>
      </c>
      <c r="F49" s="41">
        <v>3502.3787791000004</v>
      </c>
      <c r="G49" s="38"/>
    </row>
    <row r="50" spans="2:8">
      <c r="B50" s="42" t="s">
        <v>100</v>
      </c>
      <c r="C50" s="42" t="s">
        <v>101</v>
      </c>
      <c r="D50" s="43">
        <v>4.9849234000000004</v>
      </c>
      <c r="E50" s="44">
        <f>+D50*100/F37</f>
        <v>3.7656252431452868E-2</v>
      </c>
      <c r="F50" s="45">
        <v>1184.9999919000002</v>
      </c>
      <c r="G50" s="46"/>
      <c r="H50" s="47"/>
    </row>
    <row r="51" spans="2:8">
      <c r="B51" s="48"/>
      <c r="C51" s="48"/>
      <c r="D51" s="49"/>
      <c r="E51" s="50"/>
      <c r="F51" s="51"/>
      <c r="G51" s="46"/>
      <c r="H51" s="47"/>
    </row>
    <row r="52" spans="2:8">
      <c r="B52" s="52" t="s">
        <v>102</v>
      </c>
      <c r="C52" s="53"/>
    </row>
    <row r="53" spans="2:8">
      <c r="B53" s="52" t="s">
        <v>103</v>
      </c>
      <c r="C53" s="53"/>
    </row>
    <row r="54" spans="2:8">
      <c r="B54" s="54" t="s">
        <v>104</v>
      </c>
      <c r="C54" s="55"/>
    </row>
    <row r="55" spans="2:8">
      <c r="B55" s="56" t="s">
        <v>105</v>
      </c>
      <c r="C55" s="55"/>
    </row>
    <row r="56" spans="2:8">
      <c r="F56" s="57" t="s">
        <v>106</v>
      </c>
    </row>
    <row r="57" spans="2:8">
      <c r="B57" s="57" t="s">
        <v>107</v>
      </c>
      <c r="F57" s="57" t="s">
        <v>108</v>
      </c>
    </row>
  </sheetData>
  <mergeCells count="12">
    <mergeCell ref="B47:C47"/>
    <mergeCell ref="B1:H1"/>
    <mergeCell ref="B2:H2"/>
    <mergeCell ref="B3:H3"/>
    <mergeCell ref="B38:E38"/>
    <mergeCell ref="B39:E39"/>
    <mergeCell ref="B40:E40"/>
    <mergeCell ref="B41:E41"/>
    <mergeCell ref="B42:E42"/>
    <mergeCell ref="B43:E43"/>
    <mergeCell ref="B44:E44"/>
    <mergeCell ref="B46:E46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14760-65A7-40C0-8612-A448BDBF6FC4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59" t="s">
        <v>134</v>
      </c>
      <c r="B1" s="59"/>
      <c r="C1" s="59"/>
      <c r="D1" s="68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67" t="s">
        <v>133</v>
      </c>
      <c r="B3" s="67"/>
      <c r="C3" s="2"/>
      <c r="D3" s="2"/>
      <c r="E3" s="67" t="s">
        <v>132</v>
      </c>
      <c r="F3" s="67"/>
    </row>
    <row r="4" spans="1:6" ht="13" customHeight="1">
      <c r="A4" s="65" t="s">
        <v>131</v>
      </c>
      <c r="B4" s="65" t="s">
        <v>9</v>
      </c>
      <c r="C4" s="2"/>
      <c r="D4" s="2"/>
      <c r="E4" s="65" t="s">
        <v>130</v>
      </c>
      <c r="F4" s="65" t="s">
        <v>129</v>
      </c>
    </row>
    <row r="5" spans="1:6" ht="13" customHeight="1">
      <c r="A5" s="20" t="s">
        <v>128</v>
      </c>
      <c r="B5" s="66">
        <v>0.27739999999999998</v>
      </c>
      <c r="C5" s="2"/>
      <c r="D5" s="2"/>
      <c r="E5" s="20" t="s">
        <v>127</v>
      </c>
      <c r="F5" s="66">
        <v>0.35420000000000001</v>
      </c>
    </row>
    <row r="6" spans="1:6" ht="13" customHeight="1">
      <c r="A6" s="20" t="s">
        <v>124</v>
      </c>
      <c r="B6" s="66">
        <v>0.1391</v>
      </c>
      <c r="C6" s="2"/>
      <c r="D6" s="2"/>
      <c r="E6" s="20" t="s">
        <v>126</v>
      </c>
      <c r="F6" s="66">
        <v>0.27739999999999998</v>
      </c>
    </row>
    <row r="7" spans="1:6" ht="13" customHeight="1">
      <c r="A7" s="20" t="s">
        <v>125</v>
      </c>
      <c r="B7" s="66">
        <v>7.8899999999999998E-2</v>
      </c>
      <c r="C7" s="2"/>
      <c r="D7" s="2"/>
      <c r="E7" s="20" t="s">
        <v>124</v>
      </c>
      <c r="F7" s="66">
        <v>0.1391</v>
      </c>
    </row>
    <row r="8" spans="1:6" ht="13" customHeight="1">
      <c r="A8" s="20" t="s">
        <v>123</v>
      </c>
      <c r="B8" s="66">
        <v>7.85E-2</v>
      </c>
      <c r="C8" s="2"/>
      <c r="D8" s="2"/>
      <c r="E8" s="20" t="s">
        <v>122</v>
      </c>
      <c r="F8" s="66">
        <v>7.3899999999999993E-2</v>
      </c>
    </row>
    <row r="9" spans="1:6" ht="13" customHeight="1">
      <c r="A9" s="20" t="s">
        <v>121</v>
      </c>
      <c r="B9" s="66">
        <v>7.3899999999999993E-2</v>
      </c>
      <c r="C9" s="2"/>
      <c r="D9" s="2"/>
      <c r="E9" s="20" t="s">
        <v>120</v>
      </c>
      <c r="F9" s="66">
        <v>4.2999999999999997E-2</v>
      </c>
    </row>
    <row r="10" spans="1:6" ht="13" customHeight="1">
      <c r="A10" s="20" t="s">
        <v>119</v>
      </c>
      <c r="B10" s="66">
        <v>5.9200000000000003E-2</v>
      </c>
      <c r="C10" s="2"/>
      <c r="D10" s="2"/>
      <c r="E10" s="20" t="s">
        <v>118</v>
      </c>
      <c r="F10" s="66">
        <v>3.85E-2</v>
      </c>
    </row>
    <row r="11" spans="1:6" ht="13" customHeight="1">
      <c r="A11" s="20" t="s">
        <v>117</v>
      </c>
      <c r="B11" s="66">
        <v>3.8699999999999998E-2</v>
      </c>
      <c r="C11" s="2"/>
      <c r="D11" s="2"/>
      <c r="E11" s="20" t="s">
        <v>116</v>
      </c>
      <c r="F11" s="66">
        <v>3.5799999999999998E-2</v>
      </c>
    </row>
    <row r="12" spans="1:6" ht="13" customHeight="1">
      <c r="A12" s="20" t="s">
        <v>115</v>
      </c>
      <c r="B12" s="66">
        <v>3.8600000000000002E-2</v>
      </c>
      <c r="C12" s="2"/>
      <c r="D12" s="2"/>
      <c r="E12" s="20" t="s">
        <v>114</v>
      </c>
      <c r="F12" s="66">
        <v>2.0500000000000001E-2</v>
      </c>
    </row>
    <row r="13" spans="1:6" ht="13" customHeight="1">
      <c r="A13" s="20" t="s">
        <v>113</v>
      </c>
      <c r="B13" s="66">
        <v>3.85E-2</v>
      </c>
      <c r="C13" s="2"/>
      <c r="D13" s="2"/>
      <c r="E13" s="20" t="s">
        <v>112</v>
      </c>
      <c r="F13" s="66">
        <v>1.5100000000000001E-2</v>
      </c>
    </row>
    <row r="14" spans="1:6" ht="13" customHeight="1">
      <c r="A14" s="20" t="s">
        <v>111</v>
      </c>
      <c r="B14" s="66">
        <v>3.7600000000000001E-2</v>
      </c>
      <c r="C14" s="2"/>
      <c r="D14" s="2"/>
      <c r="E14" s="20" t="s">
        <v>110</v>
      </c>
      <c r="F14" s="66">
        <v>2.3999999999999998E-3</v>
      </c>
    </row>
    <row r="15" spans="1:6" ht="13" customHeight="1">
      <c r="A15" s="2"/>
      <c r="B15" s="2"/>
      <c r="C15" s="2"/>
      <c r="D15" s="2"/>
      <c r="E15" s="65" t="s">
        <v>109</v>
      </c>
      <c r="F15" s="6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Credit Risk</vt:lpstr>
      <vt:lpstr>RICBOF</vt:lpstr>
      <vt:lpstr>RICBOF!JR_PAGE_ANCHOR_0_24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2022-01-07T04:39:52Z</dcterms:created>
  <dcterms:modified xsi:type="dcterms:W3CDTF">2022-01-07T04:59:04Z</dcterms:modified>
</cp:coreProperties>
</file>