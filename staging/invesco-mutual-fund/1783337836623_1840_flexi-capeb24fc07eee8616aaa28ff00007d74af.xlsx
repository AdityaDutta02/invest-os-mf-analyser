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83433ADF-BF82-4F61-A483-52F4B8413AA1}" xr6:coauthVersionLast="47" xr6:coauthVersionMax="47" xr10:uidLastSave="{00000000-0000-0000-0000-000000000000}"/>
  <bookViews>
    <workbookView xWindow="-110" yWindow="-110" windowWidth="19420" windowHeight="11500" xr2:uid="{47D2FBD3-14F0-4B3A-8FC7-82AEC1B85D20}"/>
  </bookViews>
  <sheets>
    <sheet name="Flexi Cap" sheetId="1" r:id="rId1"/>
    <sheet name="IFC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5">#REF!</definedName>
    <definedName name="JR_PAGE_ANCHOR_0_6">#REF!</definedName>
    <definedName name="JR_PAGE_ANCHOR_0_7" localSheetId="1">IFCF!$A$1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" i="1" l="1"/>
  <c r="G93" i="1"/>
  <c r="F93" i="1"/>
</calcChain>
</file>

<file path=xl/sharedStrings.xml><?xml version="1.0" encoding="utf-8"?>
<sst xmlns="http://schemas.openxmlformats.org/spreadsheetml/2006/main" count="363" uniqueCount="286">
  <si>
    <t>IFCF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</si>
  <si>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</si>
  <si>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</si>
  <si>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Flexi Cap Fund
(An open ended dynamic equity scheme investing across large cap, mid cap,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</si>
  <si>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</si>
  <si>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</si>
  <si>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</si>
  <si>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</si>
  <si>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</si>
  <si>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</si>
  <si>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</si>
  <si>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</si>
  <si>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</si>
  <si>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</si>
  <si>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</si>
  <si>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</si>
  <si>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</si>
  <si>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</si>
  <si>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</si>
  <si>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</si>
  <si>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</si>
  <si>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</si>
  <si>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</si>
  <si>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</si>
  <si>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INAV01</t>
  </si>
  <si>
    <t>InterGlobe Aviation Limited</t>
  </si>
  <si>
    <t>INE646L01027</t>
  </si>
  <si>
    <t>Transport Services</t>
  </si>
  <si>
    <t>MAHE01</t>
  </si>
  <si>
    <t>Max Healthcare Institute Limited</t>
  </si>
  <si>
    <t>INE027H01010</t>
  </si>
  <si>
    <t>Healthcare Services</t>
  </si>
  <si>
    <t>SAPH01</t>
  </si>
  <si>
    <t>Sai Life Sciences Limited</t>
  </si>
  <si>
    <t>INE570L01029</t>
  </si>
  <si>
    <t>Pharmaceuticals &amp; Biotechnology</t>
  </si>
  <si>
    <t>CHOL02</t>
  </si>
  <si>
    <t>Cholamandalam Investment and Finance Company Limited</t>
  </si>
  <si>
    <t>INE121A01024</t>
  </si>
  <si>
    <t>Finance</t>
  </si>
  <si>
    <t>ZMPL01</t>
  </si>
  <si>
    <t>Eternal Limited</t>
  </si>
  <si>
    <t>INE758T01015</t>
  </si>
  <si>
    <t>Retailing</t>
  </si>
  <si>
    <t>TWAT02</t>
  </si>
  <si>
    <t>Titan Company Limited</t>
  </si>
  <si>
    <t>INE280A01028</t>
  </si>
  <si>
    <t>Consumer Durables</t>
  </si>
  <si>
    <t>BAFL03</t>
  </si>
  <si>
    <t>Bajaj Finance Ltd</t>
  </si>
  <si>
    <t>INE296A01032</t>
  </si>
  <si>
    <t>MCEX02</t>
  </si>
  <si>
    <t>Multi Commodity Exchange of India Limited</t>
  </si>
  <si>
    <t>INE745G01043</t>
  </si>
  <si>
    <t>Capital Markets</t>
  </si>
  <si>
    <t>ESMC02</t>
  </si>
  <si>
    <t>PB Fintech Limited</t>
  </si>
  <si>
    <t>INE417T01026</t>
  </si>
  <si>
    <t>Financial Technology (Fintech)</t>
  </si>
  <si>
    <t>BSEL02</t>
  </si>
  <si>
    <t>BSE Limited</t>
  </si>
  <si>
    <t>INE118H01025</t>
  </si>
  <si>
    <t>SAEL02</t>
  </si>
  <si>
    <t>TVS Motor Company Limited</t>
  </si>
  <si>
    <t>INE494B01023</t>
  </si>
  <si>
    <t>Automobiles</t>
  </si>
  <si>
    <t>TMLC01</t>
  </si>
  <si>
    <t>Tata Motors Ltd</t>
  </si>
  <si>
    <t>INE1TAE01010</t>
  </si>
  <si>
    <t>Agricultural, Commercial &amp; Construction Vehicles</t>
  </si>
  <si>
    <t>LAKM02</t>
  </si>
  <si>
    <t>Trent Limited</t>
  </si>
  <si>
    <t>INE849A01020</t>
  </si>
  <si>
    <t>AFPL02</t>
  </si>
  <si>
    <t>AU Small Finance Bank Limited</t>
  </si>
  <si>
    <t>INE949L01017</t>
  </si>
  <si>
    <t>BTVL02</t>
  </si>
  <si>
    <t>Bharti Airtel Limited</t>
  </si>
  <si>
    <t>INE397D01024</t>
  </si>
  <si>
    <t>Telecom - Services</t>
  </si>
  <si>
    <t>HDAM01</t>
  </si>
  <si>
    <t>HDFC Asset Management Company Limited</t>
  </si>
  <si>
    <t>INE127D01025</t>
  </si>
  <si>
    <t>MAHI02</t>
  </si>
  <si>
    <t>Mahindra &amp; Mahindra Limited</t>
  </si>
  <si>
    <t>INE101A01026</t>
  </si>
  <si>
    <t>LTFL01</t>
  </si>
  <si>
    <t>L&amp;T Finance Limited</t>
  </si>
  <si>
    <t>INE498L01015</t>
  </si>
  <si>
    <t>ADTH01</t>
  </si>
  <si>
    <t>Aditya Infotech Limited</t>
  </si>
  <si>
    <t>INE819V01029</t>
  </si>
  <si>
    <t>Industrial Manufacturing</t>
  </si>
  <si>
    <t>PSYL02</t>
  </si>
  <si>
    <t>Persistent Systems Ltd</t>
  </si>
  <si>
    <t>INE262H01021</t>
  </si>
  <si>
    <t>IT - Software</t>
  </si>
  <si>
    <t>KIMS02</t>
  </si>
  <si>
    <t>Krishna Institute Of Medical Sciences Limited</t>
  </si>
  <si>
    <t>INE967H01025</t>
  </si>
  <si>
    <t>BLTE01</t>
  </si>
  <si>
    <t>Swiggy Limited ‡</t>
  </si>
  <si>
    <t>INE00H001014</t>
  </si>
  <si>
    <t>JKCE01</t>
  </si>
  <si>
    <t>JK Cement Limited</t>
  </si>
  <si>
    <t>INE823G01014</t>
  </si>
  <si>
    <t>Cement &amp; Cement Products</t>
  </si>
  <si>
    <t>PREP01</t>
  </si>
  <si>
    <t>Prestige Estates Projects Limited</t>
  </si>
  <si>
    <t>INE811K01011</t>
  </si>
  <si>
    <t>Realty</t>
  </si>
  <si>
    <t>NITL02</t>
  </si>
  <si>
    <t>Coforge Limited</t>
  </si>
  <si>
    <t>INE591G01025</t>
  </si>
  <si>
    <t>APOL02</t>
  </si>
  <si>
    <t>Apollo Hospitals Enterprise Limited</t>
  </si>
  <si>
    <t>INE437A01024</t>
  </si>
  <si>
    <t>AENP01</t>
  </si>
  <si>
    <t>Ather Energy Limited</t>
  </si>
  <si>
    <t>INE0LEZ01016</t>
  </si>
  <si>
    <t>ABBP01</t>
  </si>
  <si>
    <t>Hitachi Energy India Limited</t>
  </si>
  <si>
    <t>INE07Y701011</t>
  </si>
  <si>
    <t>Electrical Equipment</t>
  </si>
  <si>
    <t>HALT02</t>
  </si>
  <si>
    <t>Hindustan Aeronautics Limited</t>
  </si>
  <si>
    <t>INE066F01020</t>
  </si>
  <si>
    <t>Aerospace &amp; Defense</t>
  </si>
  <si>
    <t>GHPL01</t>
  </si>
  <si>
    <t>Global Health Limited</t>
  </si>
  <si>
    <t>INE474Q01031</t>
  </si>
  <si>
    <t>VMML01</t>
  </si>
  <si>
    <t>Vishal Mega Mart Limited</t>
  </si>
  <si>
    <t>INE01EA01019</t>
  </si>
  <si>
    <t>BHEL02</t>
  </si>
  <si>
    <t>Bharat Electronics Limited</t>
  </si>
  <si>
    <t>INE263A01024</t>
  </si>
  <si>
    <t>KEII02</t>
  </si>
  <si>
    <t>KEI Industries Limited ‡</t>
  </si>
  <si>
    <t>INE878B01027</t>
  </si>
  <si>
    <t>Industrial Products</t>
  </si>
  <si>
    <t>DIXO02</t>
  </si>
  <si>
    <t>Dixon Technologies (India) Limited</t>
  </si>
  <si>
    <t>INE935N01020</t>
  </si>
  <si>
    <t>BELR01</t>
  </si>
  <si>
    <t>Belrise Industries Ltd.</t>
  </si>
  <si>
    <t>INE894V01022</t>
  </si>
  <si>
    <t>Auto Components</t>
  </si>
  <si>
    <t>EDEL02</t>
  </si>
  <si>
    <t>Nuvama Wealth Management Ltd</t>
  </si>
  <si>
    <t>INE531F01023</t>
  </si>
  <si>
    <t>APLI04</t>
  </si>
  <si>
    <t>Hexaware Technologies Limited</t>
  </si>
  <si>
    <t>INE093A01041</t>
  </si>
  <si>
    <t>BLUS03</t>
  </si>
  <si>
    <t>Blue Star Limited</t>
  </si>
  <si>
    <t>INE472A01039</t>
  </si>
  <si>
    <t>TEMA02</t>
  </si>
  <si>
    <t>Tech Mahindra Limited</t>
  </si>
  <si>
    <t>INE669C01036</t>
  </si>
  <si>
    <t>DRAH01</t>
  </si>
  <si>
    <t>Dr Agarwals Health Care Limited</t>
  </si>
  <si>
    <t>INE943P01029</t>
  </si>
  <si>
    <t>HCLT02</t>
  </si>
  <si>
    <t>HCL Technologies Limited</t>
  </si>
  <si>
    <t>INE860A01027</t>
  </si>
  <si>
    <t>HFFC02</t>
  </si>
  <si>
    <t>Home First Finance Company India Limited</t>
  </si>
  <si>
    <t>INE481N01025</t>
  </si>
  <si>
    <t>ARWL01</t>
  </si>
  <si>
    <t>Anand Rathi Wealth Limited</t>
  </si>
  <si>
    <t>INE463V01026</t>
  </si>
  <si>
    <t>KNMA02</t>
  </si>
  <si>
    <t>Knowledge Marine &amp; Engineering Works Limited</t>
  </si>
  <si>
    <t>INE0CJD01029</t>
  </si>
  <si>
    <t>Engineering Services</t>
  </si>
  <si>
    <t>MIIL02</t>
  </si>
  <si>
    <t>UNO Minda Limited</t>
  </si>
  <si>
    <t>INE405E01023</t>
  </si>
  <si>
    <t>JUFL02</t>
  </si>
  <si>
    <t>Jubilant Foodworks Limited</t>
  </si>
  <si>
    <t>INE797F01020</t>
  </si>
  <si>
    <t>Leisure Services</t>
  </si>
  <si>
    <t>FUJI02</t>
  </si>
  <si>
    <t>Zensar Technologies Limited</t>
  </si>
  <si>
    <t>INE520A01027</t>
  </si>
  <si>
    <t>PHMI02</t>
  </si>
  <si>
    <t>The Phoenix Mills Limited</t>
  </si>
  <si>
    <t>INE211B01039</t>
  </si>
  <si>
    <t>SAFI02</t>
  </si>
  <si>
    <t>Safari Industries (India) Limited</t>
  </si>
  <si>
    <t>INE429E01023</t>
  </si>
  <si>
    <t>ETHO01</t>
  </si>
  <si>
    <t>Ethos Ltd.</t>
  </si>
  <si>
    <t>INE04TZ01018</t>
  </si>
  <si>
    <t>SBFC01</t>
  </si>
  <si>
    <t>SBFC Finance Limited</t>
  </si>
  <si>
    <t>INE423Y01016</t>
  </si>
  <si>
    <t>MEST01</t>
  </si>
  <si>
    <t>Max Estates Limited</t>
  </si>
  <si>
    <t>INE03EI01018</t>
  </si>
  <si>
    <t>POCA01</t>
  </si>
  <si>
    <t>Polycab India Limited</t>
  </si>
  <si>
    <t>INE455K01017</t>
  </si>
  <si>
    <t>BWIN01</t>
  </si>
  <si>
    <t>Bansal Wire Industries Limited</t>
  </si>
  <si>
    <t>INE0B9K01025</t>
  </si>
  <si>
    <t>FSNE01</t>
  </si>
  <si>
    <t>FSN E-Commerce Ventures Limited</t>
  </si>
  <si>
    <t>INE388Y01029</t>
  </si>
  <si>
    <t>FRAN01</t>
  </si>
  <si>
    <t>Fractal Analytics Ltd</t>
  </si>
  <si>
    <t>INE212S01015</t>
  </si>
  <si>
    <t>CONB01</t>
  </si>
  <si>
    <t>Concord Biotech Limited</t>
  </si>
  <si>
    <t>INE338H01029</t>
  </si>
  <si>
    <t>MEBR01</t>
  </si>
  <si>
    <t>Metro Brands Limited</t>
  </si>
  <si>
    <t>INE317I01021</t>
  </si>
  <si>
    <t>SUVP01</t>
  </si>
  <si>
    <t>Cohance Lifesciences Limited</t>
  </si>
  <si>
    <t>INE03QK01018</t>
  </si>
  <si>
    <t>DCIL01</t>
  </si>
  <si>
    <t>Dredging Corporation of India Limited</t>
  </si>
  <si>
    <t>INE506A01018</t>
  </si>
  <si>
    <t>Sub Total</t>
  </si>
  <si>
    <t>(b) Unlisted</t>
  </si>
  <si>
    <t>Nil</t>
  </si>
  <si>
    <t>Total</t>
  </si>
  <si>
    <t>InvITs Instruments</t>
  </si>
  <si>
    <t>CUBE01</t>
  </si>
  <si>
    <t>Cube Highways Trust- InvIT Fund</t>
  </si>
  <si>
    <t>INE0NR623014</t>
  </si>
  <si>
    <t>Money Market Instruments</t>
  </si>
  <si>
    <t>TREPS / Reverse Repo</t>
  </si>
  <si>
    <t>TRP_020426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</si>
  <si>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</si>
  <si>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</si>
  <si>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</si>
  <si>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</si>
  <si>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</si>
  <si>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</si>
  <si>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</si>
  <si>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Preference Shares</t>
  </si>
  <si>
    <t>SAEL21PS</t>
  </si>
  <si>
    <t>TVS Motor Company Limited^^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</si>
  <si>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</si>
  <si>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</si>
  <si>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</si>
  <si>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</si>
  <si>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</si>
  <si>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$ Less than 0.005%</t>
  </si>
  <si>
    <t>^^ Awaiting listing</t>
  </si>
  <si>
    <t>‡ Includes shares lent under Securities Lending &amp; Borrowing Scheme of BSE</t>
  </si>
  <si>
    <t>Name of the Security</t>
  </si>
  <si>
    <t>Shares</t>
  </si>
  <si>
    <t>KEI Industries Limited</t>
  </si>
  <si>
    <t>Swiggy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</si>
  <si>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</si>
  <si>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</si>
  <si>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</si>
  <si>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</si>
  <si>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</si>
  <si>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</si>
  <si>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BSE 500 TRI</t>
  </si>
  <si>
    <t>SCHEME RISK-O-METER</t>
  </si>
  <si>
    <t>BENCHMARK RISK-O-METER</t>
  </si>
  <si>
    <t>Scheme Name: Invesco India Flexi Cap Fund (An open ended dynamic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</si>
  <si>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</si>
  <si>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</si>
  <si>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</si>
  <si>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</si>
  <si>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</si>
  <si>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</si>
  <si>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</si>
  <si>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Capital Goods</t>
  </si>
  <si>
    <t>Consumer Services</t>
  </si>
  <si>
    <t>Information Technology</t>
  </si>
  <si>
    <t>Automobile and Auto Components</t>
  </si>
  <si>
    <t>Cholamandalam Investment and Finance Company Ltd</t>
  </si>
  <si>
    <t>Services</t>
  </si>
  <si>
    <t>Bajaj Finance Limited</t>
  </si>
  <si>
    <t>Telecommunication</t>
  </si>
  <si>
    <t>Construction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</si>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</sst>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165" fontId="7" fillId="0" borderId="5" xfId="0" applyNumberFormat="1" applyFont="1" applyBorder="1" applyAlignment="1">
      <alignment horizontal="right" vertical="top" wrapText="1"/>
    </xf>
    <xf numFmtId="0" fontId="7" fillId="0" borderId="5" xfId="0" applyFont="1" applyBorder="1" applyAlignment="1">
      <alignment horizontal="right" vertical="top" wrapText="1"/>
    </xf>
    <xf numFmtId="0" fontId="7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7" fillId="0" borderId="10" xfId="0" applyFont="1" applyBorder="1" applyAlignment="1">
      <alignment horizontal="left" vertical="top" wrapText="1"/>
    </xf>
    <xf numFmtId="3" fontId="5" fillId="0" borderId="10" xfId="0" applyNumberFormat="1" applyFont="1" applyBorder="1" applyAlignment="1">
      <alignment horizontal="right" vertical="top" wrapText="1"/>
    </xf>
    <xf numFmtId="3" fontId="5" fillId="0" borderId="0" xfId="0" applyNumberFormat="1" applyFont="1" applyAlignment="1">
      <alignment horizontal="right" vertical="top" wrapText="1"/>
    </xf>
    <xf numFmtId="2" fontId="6" fillId="0" borderId="0" xfId="0" applyNumberFormat="1" applyFont="1"/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116</xdr:row>
      <xdr:rowOff>177800</xdr:rowOff>
    </xdr:from>
    <xdr:to>
      <xdr:col>1</xdr:col>
      <xdr:colOff>2724150</xdr:colOff>
      <xdr:row>127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846B36-86F3-434D-ADEF-18BDE693EF8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2047875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1397000</xdr:colOff>
      <xdr:row>116</xdr:row>
      <xdr:rowOff>177800</xdr:rowOff>
    </xdr:from>
    <xdr:to>
      <xdr:col>7</xdr:col>
      <xdr:colOff>501650</xdr:colOff>
      <xdr:row>127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91B685-E557-459B-ADB6-CEB9C89946C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20478750"/>
          <a:ext cx="28511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E426-9651-48E7-A679-1855FAE59B73}">
  <sheetPr codeName="Sheet8">
    <outlinePr summaryBelow="0"/>
  </sheetPr>
  <dimension ref="A1:H115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36.632812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257" max="257" width="5.1796875" customWidth="1"/>
    <col min="258" max="258" width="102.54296875" customWidth="1"/>
    <col min="259" max="259" width="21.6328125" customWidth="1"/>
    <col min="260" max="260" width="36.632812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513" max="513" width="5.1796875" customWidth="1"/>
    <col min="514" max="514" width="102.54296875" customWidth="1"/>
    <col min="515" max="515" width="21.6328125" customWidth="1"/>
    <col min="516" max="516" width="36.632812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769" max="769" width="5.1796875" customWidth="1"/>
    <col min="770" max="770" width="102.54296875" customWidth="1"/>
    <col min="771" max="771" width="21.6328125" customWidth="1"/>
    <col min="772" max="772" width="36.632812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1025" max="1025" width="5.1796875" customWidth="1"/>
    <col min="1026" max="1026" width="102.54296875" customWidth="1"/>
    <col min="1027" max="1027" width="21.6328125" customWidth="1"/>
    <col min="1028" max="1028" width="36.632812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281" max="1281" width="5.1796875" customWidth="1"/>
    <col min="1282" max="1282" width="102.54296875" customWidth="1"/>
    <col min="1283" max="1283" width="21.6328125" customWidth="1"/>
    <col min="1284" max="1284" width="36.632812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537" max="1537" width="5.1796875" customWidth="1"/>
    <col min="1538" max="1538" width="102.54296875" customWidth="1"/>
    <col min="1539" max="1539" width="21.6328125" customWidth="1"/>
    <col min="1540" max="1540" width="36.632812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793" max="1793" width="5.1796875" customWidth="1"/>
    <col min="1794" max="1794" width="102.54296875" customWidth="1"/>
    <col min="1795" max="1795" width="21.6328125" customWidth="1"/>
    <col min="1796" max="1796" width="36.632812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2049" max="2049" width="5.1796875" customWidth="1"/>
    <col min="2050" max="2050" width="102.54296875" customWidth="1"/>
    <col min="2051" max="2051" width="21.6328125" customWidth="1"/>
    <col min="2052" max="2052" width="36.632812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305" max="2305" width="5.1796875" customWidth="1"/>
    <col min="2306" max="2306" width="102.54296875" customWidth="1"/>
    <col min="2307" max="2307" width="21.6328125" customWidth="1"/>
    <col min="2308" max="2308" width="36.632812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561" max="2561" width="5.1796875" customWidth="1"/>
    <col min="2562" max="2562" width="102.54296875" customWidth="1"/>
    <col min="2563" max="2563" width="21.6328125" customWidth="1"/>
    <col min="2564" max="2564" width="36.632812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817" max="2817" width="5.1796875" customWidth="1"/>
    <col min="2818" max="2818" width="102.54296875" customWidth="1"/>
    <col min="2819" max="2819" width="21.6328125" customWidth="1"/>
    <col min="2820" max="2820" width="36.632812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3073" max="3073" width="5.1796875" customWidth="1"/>
    <col min="3074" max="3074" width="102.54296875" customWidth="1"/>
    <col min="3075" max="3075" width="21.6328125" customWidth="1"/>
    <col min="3076" max="3076" width="36.632812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329" max="3329" width="5.1796875" customWidth="1"/>
    <col min="3330" max="3330" width="102.54296875" customWidth="1"/>
    <col min="3331" max="3331" width="21.6328125" customWidth="1"/>
    <col min="3332" max="3332" width="36.632812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585" max="3585" width="5.1796875" customWidth="1"/>
    <col min="3586" max="3586" width="102.54296875" customWidth="1"/>
    <col min="3587" max="3587" width="21.6328125" customWidth="1"/>
    <col min="3588" max="3588" width="36.632812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841" max="3841" width="5.1796875" customWidth="1"/>
    <col min="3842" max="3842" width="102.54296875" customWidth="1"/>
    <col min="3843" max="3843" width="21.6328125" customWidth="1"/>
    <col min="3844" max="3844" width="36.632812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4097" max="4097" width="5.1796875" customWidth="1"/>
    <col min="4098" max="4098" width="102.54296875" customWidth="1"/>
    <col min="4099" max="4099" width="21.6328125" customWidth="1"/>
    <col min="4100" max="4100" width="36.632812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353" max="4353" width="5.1796875" customWidth="1"/>
    <col min="4354" max="4354" width="102.54296875" customWidth="1"/>
    <col min="4355" max="4355" width="21.6328125" customWidth="1"/>
    <col min="4356" max="4356" width="36.632812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609" max="4609" width="5.1796875" customWidth="1"/>
    <col min="4610" max="4610" width="102.54296875" customWidth="1"/>
    <col min="4611" max="4611" width="21.6328125" customWidth="1"/>
    <col min="4612" max="4612" width="36.632812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865" max="4865" width="5.1796875" customWidth="1"/>
    <col min="4866" max="4866" width="102.54296875" customWidth="1"/>
    <col min="4867" max="4867" width="21.6328125" customWidth="1"/>
    <col min="4868" max="4868" width="36.632812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5121" max="5121" width="5.1796875" customWidth="1"/>
    <col min="5122" max="5122" width="102.54296875" customWidth="1"/>
    <col min="5123" max="5123" width="21.6328125" customWidth="1"/>
    <col min="5124" max="5124" width="36.632812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377" max="5377" width="5.1796875" customWidth="1"/>
    <col min="5378" max="5378" width="102.54296875" customWidth="1"/>
    <col min="5379" max="5379" width="21.6328125" customWidth="1"/>
    <col min="5380" max="5380" width="36.632812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633" max="5633" width="5.1796875" customWidth="1"/>
    <col min="5634" max="5634" width="102.54296875" customWidth="1"/>
    <col min="5635" max="5635" width="21.6328125" customWidth="1"/>
    <col min="5636" max="5636" width="36.632812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889" max="5889" width="5.1796875" customWidth="1"/>
    <col min="5890" max="5890" width="102.54296875" customWidth="1"/>
    <col min="5891" max="5891" width="21.6328125" customWidth="1"/>
    <col min="5892" max="5892" width="36.632812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6145" max="6145" width="5.1796875" customWidth="1"/>
    <col min="6146" max="6146" width="102.54296875" customWidth="1"/>
    <col min="6147" max="6147" width="21.6328125" customWidth="1"/>
    <col min="6148" max="6148" width="36.632812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401" max="6401" width="5.1796875" customWidth="1"/>
    <col min="6402" max="6402" width="102.54296875" customWidth="1"/>
    <col min="6403" max="6403" width="21.6328125" customWidth="1"/>
    <col min="6404" max="6404" width="36.632812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657" max="6657" width="5.1796875" customWidth="1"/>
    <col min="6658" max="6658" width="102.54296875" customWidth="1"/>
    <col min="6659" max="6659" width="21.6328125" customWidth="1"/>
    <col min="6660" max="6660" width="36.632812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913" max="6913" width="5.1796875" customWidth="1"/>
    <col min="6914" max="6914" width="102.54296875" customWidth="1"/>
    <col min="6915" max="6915" width="21.6328125" customWidth="1"/>
    <col min="6916" max="6916" width="36.632812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7169" max="7169" width="5.1796875" customWidth="1"/>
    <col min="7170" max="7170" width="102.54296875" customWidth="1"/>
    <col min="7171" max="7171" width="21.6328125" customWidth="1"/>
    <col min="7172" max="7172" width="36.632812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425" max="7425" width="5.1796875" customWidth="1"/>
    <col min="7426" max="7426" width="102.54296875" customWidth="1"/>
    <col min="7427" max="7427" width="21.6328125" customWidth="1"/>
    <col min="7428" max="7428" width="36.632812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681" max="7681" width="5.1796875" customWidth="1"/>
    <col min="7682" max="7682" width="102.54296875" customWidth="1"/>
    <col min="7683" max="7683" width="21.6328125" customWidth="1"/>
    <col min="7684" max="7684" width="36.632812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937" max="7937" width="5.1796875" customWidth="1"/>
    <col min="7938" max="7938" width="102.54296875" customWidth="1"/>
    <col min="7939" max="7939" width="21.6328125" customWidth="1"/>
    <col min="7940" max="7940" width="36.632812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8193" max="8193" width="5.1796875" customWidth="1"/>
    <col min="8194" max="8194" width="102.54296875" customWidth="1"/>
    <col min="8195" max="8195" width="21.6328125" customWidth="1"/>
    <col min="8196" max="8196" width="36.632812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449" max="8449" width="5.1796875" customWidth="1"/>
    <col min="8450" max="8450" width="102.54296875" customWidth="1"/>
    <col min="8451" max="8451" width="21.6328125" customWidth="1"/>
    <col min="8452" max="8452" width="36.632812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705" max="8705" width="5.1796875" customWidth="1"/>
    <col min="8706" max="8706" width="102.54296875" customWidth="1"/>
    <col min="8707" max="8707" width="21.6328125" customWidth="1"/>
    <col min="8708" max="8708" width="36.632812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961" max="8961" width="5.1796875" customWidth="1"/>
    <col min="8962" max="8962" width="102.54296875" customWidth="1"/>
    <col min="8963" max="8963" width="21.6328125" customWidth="1"/>
    <col min="8964" max="8964" width="36.632812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9217" max="9217" width="5.1796875" customWidth="1"/>
    <col min="9218" max="9218" width="102.54296875" customWidth="1"/>
    <col min="9219" max="9219" width="21.6328125" customWidth="1"/>
    <col min="9220" max="9220" width="36.632812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473" max="9473" width="5.1796875" customWidth="1"/>
    <col min="9474" max="9474" width="102.54296875" customWidth="1"/>
    <col min="9475" max="9475" width="21.6328125" customWidth="1"/>
    <col min="9476" max="9476" width="36.632812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729" max="9729" width="5.1796875" customWidth="1"/>
    <col min="9730" max="9730" width="102.54296875" customWidth="1"/>
    <col min="9731" max="9731" width="21.6328125" customWidth="1"/>
    <col min="9732" max="9732" width="36.632812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985" max="9985" width="5.1796875" customWidth="1"/>
    <col min="9986" max="9986" width="102.54296875" customWidth="1"/>
    <col min="9987" max="9987" width="21.6328125" customWidth="1"/>
    <col min="9988" max="9988" width="36.632812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10241" max="10241" width="5.1796875" customWidth="1"/>
    <col min="10242" max="10242" width="102.54296875" customWidth="1"/>
    <col min="10243" max="10243" width="21.6328125" customWidth="1"/>
    <col min="10244" max="10244" width="36.632812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497" max="10497" width="5.1796875" customWidth="1"/>
    <col min="10498" max="10498" width="102.54296875" customWidth="1"/>
    <col min="10499" max="10499" width="21.6328125" customWidth="1"/>
    <col min="10500" max="10500" width="36.632812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753" max="10753" width="5.1796875" customWidth="1"/>
    <col min="10754" max="10754" width="102.54296875" customWidth="1"/>
    <col min="10755" max="10755" width="21.6328125" customWidth="1"/>
    <col min="10756" max="10756" width="36.632812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1009" max="11009" width="5.1796875" customWidth="1"/>
    <col min="11010" max="11010" width="102.54296875" customWidth="1"/>
    <col min="11011" max="11011" width="21.6328125" customWidth="1"/>
    <col min="11012" max="11012" width="36.632812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265" max="11265" width="5.1796875" customWidth="1"/>
    <col min="11266" max="11266" width="102.54296875" customWidth="1"/>
    <col min="11267" max="11267" width="21.6328125" customWidth="1"/>
    <col min="11268" max="11268" width="36.632812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521" max="11521" width="5.1796875" customWidth="1"/>
    <col min="11522" max="11522" width="102.54296875" customWidth="1"/>
    <col min="11523" max="11523" width="21.6328125" customWidth="1"/>
    <col min="11524" max="11524" width="36.632812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777" max="11777" width="5.1796875" customWidth="1"/>
    <col min="11778" max="11778" width="102.54296875" customWidth="1"/>
    <col min="11779" max="11779" width="21.6328125" customWidth="1"/>
    <col min="11780" max="11780" width="36.632812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2033" max="12033" width="5.1796875" customWidth="1"/>
    <col min="12034" max="12034" width="102.54296875" customWidth="1"/>
    <col min="12035" max="12035" width="21.6328125" customWidth="1"/>
    <col min="12036" max="12036" width="36.632812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289" max="12289" width="5.1796875" customWidth="1"/>
    <col min="12290" max="12290" width="102.54296875" customWidth="1"/>
    <col min="12291" max="12291" width="21.6328125" customWidth="1"/>
    <col min="12292" max="12292" width="36.632812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545" max="12545" width="5.1796875" customWidth="1"/>
    <col min="12546" max="12546" width="102.54296875" customWidth="1"/>
    <col min="12547" max="12547" width="21.6328125" customWidth="1"/>
    <col min="12548" max="12548" width="36.632812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801" max="12801" width="5.1796875" customWidth="1"/>
    <col min="12802" max="12802" width="102.54296875" customWidth="1"/>
    <col min="12803" max="12803" width="21.6328125" customWidth="1"/>
    <col min="12804" max="12804" width="36.632812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3057" max="13057" width="5.1796875" customWidth="1"/>
    <col min="13058" max="13058" width="102.54296875" customWidth="1"/>
    <col min="13059" max="13059" width="21.6328125" customWidth="1"/>
    <col min="13060" max="13060" width="36.632812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313" max="13313" width="5.1796875" customWidth="1"/>
    <col min="13314" max="13314" width="102.54296875" customWidth="1"/>
    <col min="13315" max="13315" width="21.6328125" customWidth="1"/>
    <col min="13316" max="13316" width="36.632812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569" max="13569" width="5.1796875" customWidth="1"/>
    <col min="13570" max="13570" width="102.54296875" customWidth="1"/>
    <col min="13571" max="13571" width="21.6328125" customWidth="1"/>
    <col min="13572" max="13572" width="36.632812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825" max="13825" width="5.1796875" customWidth="1"/>
    <col min="13826" max="13826" width="102.54296875" customWidth="1"/>
    <col min="13827" max="13827" width="21.6328125" customWidth="1"/>
    <col min="13828" max="13828" width="36.632812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4081" max="14081" width="5.1796875" customWidth="1"/>
    <col min="14082" max="14082" width="102.54296875" customWidth="1"/>
    <col min="14083" max="14083" width="21.6328125" customWidth="1"/>
    <col min="14084" max="14084" width="36.632812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337" max="14337" width="5.1796875" customWidth="1"/>
    <col min="14338" max="14338" width="102.54296875" customWidth="1"/>
    <col min="14339" max="14339" width="21.6328125" customWidth="1"/>
    <col min="14340" max="14340" width="36.632812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593" max="14593" width="5.1796875" customWidth="1"/>
    <col min="14594" max="14594" width="102.54296875" customWidth="1"/>
    <col min="14595" max="14595" width="21.6328125" customWidth="1"/>
    <col min="14596" max="14596" width="36.632812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849" max="14849" width="5.1796875" customWidth="1"/>
    <col min="14850" max="14850" width="102.54296875" customWidth="1"/>
    <col min="14851" max="14851" width="21.6328125" customWidth="1"/>
    <col min="14852" max="14852" width="36.632812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5105" max="15105" width="5.1796875" customWidth="1"/>
    <col min="15106" max="15106" width="102.54296875" customWidth="1"/>
    <col min="15107" max="15107" width="21.6328125" customWidth="1"/>
    <col min="15108" max="15108" width="36.632812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361" max="15361" width="5.1796875" customWidth="1"/>
    <col min="15362" max="15362" width="102.54296875" customWidth="1"/>
    <col min="15363" max="15363" width="21.6328125" customWidth="1"/>
    <col min="15364" max="15364" width="36.632812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617" max="15617" width="5.1796875" customWidth="1"/>
    <col min="15618" max="15618" width="102.54296875" customWidth="1"/>
    <col min="15619" max="15619" width="21.6328125" customWidth="1"/>
    <col min="15620" max="15620" width="36.632812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873" max="15873" width="5.1796875" customWidth="1"/>
    <col min="15874" max="15874" width="102.54296875" customWidth="1"/>
    <col min="15875" max="15875" width="21.6328125" customWidth="1"/>
    <col min="15876" max="15876" width="36.632812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6129" max="16129" width="5.1796875" customWidth="1"/>
    <col min="16130" max="16130" width="102.54296875" customWidth="1"/>
    <col min="16131" max="16131" width="21.6328125" customWidth="1"/>
    <col min="16132" max="16132" width="36.632812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</cols>
  <sheetData>
    <row r="1" spans="1:8" ht="20" customHeight="1">
      <c r="A1" s="1" t="s">
        <v>0</v>
      </c>
      <c r="B1" s="47" t="s">
        <v>1</v>
      </c>
      <c r="C1" s="47"/>
      <c r="D1" s="47"/>
      <c r="E1" s="47"/>
      <c r="F1" s="47"/>
      <c r="G1" s="47"/>
      <c r="H1" s="47"/>
    </row>
    <row r="2" spans="1:8" ht="20" customHeight="1">
      <c r="A2" s="2"/>
      <c r="B2" s="47" t="s">
        <v>2</v>
      </c>
      <c r="C2" s="47"/>
      <c r="D2" s="47"/>
      <c r="E2" s="47"/>
      <c r="F2" s="47"/>
      <c r="G2" s="47"/>
      <c r="H2" s="47"/>
    </row>
    <row r="3" spans="1:8" ht="68.5" customHeight="1">
      <c r="A3" s="2"/>
      <c r="B3" s="47" t="s">
        <v>3</v>
      </c>
      <c r="C3" s="47"/>
      <c r="D3" s="47"/>
      <c r="E3" s="47"/>
      <c r="F3" s="47"/>
      <c r="G3" s="47"/>
      <c r="H3" s="47"/>
    </row>
    <row r="4" spans="1:8" ht="13" customHeight="1" thickBot="1">
      <c r="A4" s="2"/>
      <c r="B4" s="44"/>
      <c r="C4" s="44"/>
      <c r="D4" s="44"/>
      <c r="E4" s="44"/>
      <c r="F4" s="44"/>
      <c r="G4" s="44"/>
      <c r="H4" s="44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3142433</v>
      </c>
      <c r="F8" s="16">
        <v>22988.47</v>
      </c>
      <c r="G8" s="16">
        <v>5.47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16</v>
      </c>
      <c r="E9" s="15">
        <v>1763156</v>
      </c>
      <c r="F9" s="16">
        <v>21261.9</v>
      </c>
      <c r="G9" s="16">
        <v>5.0599999999999996</v>
      </c>
      <c r="H9" s="17"/>
    </row>
    <row r="10" spans="1:8" s="8" customFormat="1" ht="13" customHeight="1">
      <c r="A10" s="1" t="s">
        <v>20</v>
      </c>
      <c r="B10" s="13" t="s">
        <v>21</v>
      </c>
      <c r="C10" s="14" t="s">
        <v>22</v>
      </c>
      <c r="D10" s="10" t="s">
        <v>23</v>
      </c>
      <c r="E10" s="15">
        <v>420368</v>
      </c>
      <c r="F10" s="16">
        <v>14730.12</v>
      </c>
      <c r="G10" s="16">
        <v>3.51</v>
      </c>
      <c r="H10" s="17"/>
    </row>
    <row r="11" spans="1:8" s="8" customFormat="1" ht="13" customHeight="1">
      <c r="A11" s="1" t="s">
        <v>24</v>
      </c>
      <c r="B11" s="13" t="s">
        <v>25</v>
      </c>
      <c r="C11" s="14" t="s">
        <v>26</v>
      </c>
      <c r="D11" s="10" t="s">
        <v>27</v>
      </c>
      <c r="E11" s="15">
        <v>352812</v>
      </c>
      <c r="F11" s="16">
        <v>13913.14</v>
      </c>
      <c r="G11" s="16">
        <v>3.31</v>
      </c>
      <c r="H11" s="17"/>
    </row>
    <row r="12" spans="1:8" s="8" customFormat="1" ht="13" customHeight="1">
      <c r="A12" s="1" t="s">
        <v>28</v>
      </c>
      <c r="B12" s="13" t="s">
        <v>29</v>
      </c>
      <c r="C12" s="14" t="s">
        <v>30</v>
      </c>
      <c r="D12" s="10" t="s">
        <v>31</v>
      </c>
      <c r="E12" s="15">
        <v>1318733</v>
      </c>
      <c r="F12" s="16">
        <v>12690.17</v>
      </c>
      <c r="G12" s="16">
        <v>3.02</v>
      </c>
      <c r="H12" s="17"/>
    </row>
    <row r="13" spans="1:8" s="8" customFormat="1" ht="13" customHeight="1">
      <c r="A13" s="1" t="s">
        <v>32</v>
      </c>
      <c r="B13" s="13" t="s">
        <v>33</v>
      </c>
      <c r="C13" s="14" t="s">
        <v>34</v>
      </c>
      <c r="D13" s="10" t="s">
        <v>35</v>
      </c>
      <c r="E13" s="15">
        <v>1262722</v>
      </c>
      <c r="F13" s="16">
        <v>12273.66</v>
      </c>
      <c r="G13" s="16">
        <v>2.92</v>
      </c>
      <c r="H13" s="17"/>
    </row>
    <row r="14" spans="1:8" s="8" customFormat="1" ht="13" customHeight="1">
      <c r="A14" s="1" t="s">
        <v>36</v>
      </c>
      <c r="B14" s="13" t="s">
        <v>37</v>
      </c>
      <c r="C14" s="14" t="s">
        <v>38</v>
      </c>
      <c r="D14" s="10" t="s">
        <v>39</v>
      </c>
      <c r="E14" s="15">
        <v>902264</v>
      </c>
      <c r="F14" s="16">
        <v>12222.97</v>
      </c>
      <c r="G14" s="16">
        <v>2.91</v>
      </c>
      <c r="H14" s="17"/>
    </row>
    <row r="15" spans="1:8" s="8" customFormat="1" ht="13" customHeight="1">
      <c r="A15" s="1" t="s">
        <v>40</v>
      </c>
      <c r="B15" s="13" t="s">
        <v>41</v>
      </c>
      <c r="C15" s="14" t="s">
        <v>42</v>
      </c>
      <c r="D15" s="10" t="s">
        <v>43</v>
      </c>
      <c r="E15" s="15">
        <v>5249627</v>
      </c>
      <c r="F15" s="16">
        <v>12020.6</v>
      </c>
      <c r="G15" s="16">
        <v>2.86</v>
      </c>
      <c r="H15" s="17"/>
    </row>
    <row r="16" spans="1:8" s="8" customFormat="1" ht="13" customHeight="1">
      <c r="A16" s="1" t="s">
        <v>44</v>
      </c>
      <c r="B16" s="13" t="s">
        <v>45</v>
      </c>
      <c r="C16" s="14" t="s">
        <v>46</v>
      </c>
      <c r="D16" s="10" t="s">
        <v>47</v>
      </c>
      <c r="E16" s="15">
        <v>277146</v>
      </c>
      <c r="F16" s="16">
        <v>10951.15</v>
      </c>
      <c r="G16" s="16">
        <v>2.61</v>
      </c>
      <c r="H16" s="17"/>
    </row>
    <row r="17" spans="1:8" s="8" customFormat="1" ht="13" customHeight="1">
      <c r="A17" s="1" t="s">
        <v>48</v>
      </c>
      <c r="B17" s="13" t="s">
        <v>49</v>
      </c>
      <c r="C17" s="14" t="s">
        <v>50</v>
      </c>
      <c r="D17" s="10" t="s">
        <v>39</v>
      </c>
      <c r="E17" s="15">
        <v>1317378</v>
      </c>
      <c r="F17" s="16">
        <v>10559.44</v>
      </c>
      <c r="G17" s="16">
        <v>2.5099999999999998</v>
      </c>
      <c r="H17" s="17"/>
    </row>
    <row r="18" spans="1:8" s="8" customFormat="1" ht="13" customHeight="1">
      <c r="A18" s="1" t="s">
        <v>51</v>
      </c>
      <c r="B18" s="13" t="s">
        <v>52</v>
      </c>
      <c r="C18" s="14" t="s">
        <v>53</v>
      </c>
      <c r="D18" s="10" t="s">
        <v>54</v>
      </c>
      <c r="E18" s="15">
        <v>386215</v>
      </c>
      <c r="F18" s="16">
        <v>9228.2199999999993</v>
      </c>
      <c r="G18" s="16">
        <v>2.2000000000000002</v>
      </c>
      <c r="H18" s="17"/>
    </row>
    <row r="19" spans="1:8" s="8" customFormat="1" ht="13" customHeight="1">
      <c r="A19" s="1" t="s">
        <v>55</v>
      </c>
      <c r="B19" s="13" t="s">
        <v>56</v>
      </c>
      <c r="C19" s="14" t="s">
        <v>57</v>
      </c>
      <c r="D19" s="10" t="s">
        <v>58</v>
      </c>
      <c r="E19" s="15">
        <v>628512</v>
      </c>
      <c r="F19" s="16">
        <v>8973.89</v>
      </c>
      <c r="G19" s="16">
        <v>2.14</v>
      </c>
      <c r="H19" s="17"/>
    </row>
    <row r="20" spans="1:8" s="8" customFormat="1" ht="13" customHeight="1">
      <c r="A20" s="1" t="s">
        <v>59</v>
      </c>
      <c r="B20" s="13" t="s">
        <v>60</v>
      </c>
      <c r="C20" s="14" t="s">
        <v>61</v>
      </c>
      <c r="D20" s="10" t="s">
        <v>54</v>
      </c>
      <c r="E20" s="15">
        <v>331725</v>
      </c>
      <c r="F20" s="16">
        <v>8901.84</v>
      </c>
      <c r="G20" s="16">
        <v>2.12</v>
      </c>
      <c r="H20" s="17"/>
    </row>
    <row r="21" spans="1:8" s="8" customFormat="1" ht="13" customHeight="1">
      <c r="A21" s="1" t="s">
        <v>62</v>
      </c>
      <c r="B21" s="13" t="s">
        <v>63</v>
      </c>
      <c r="C21" s="14" t="s">
        <v>64</v>
      </c>
      <c r="D21" s="10" t="s">
        <v>65</v>
      </c>
      <c r="E21" s="15">
        <v>255471</v>
      </c>
      <c r="F21" s="16">
        <v>8593.5300000000007</v>
      </c>
      <c r="G21" s="16">
        <v>2.04</v>
      </c>
      <c r="H21" s="17"/>
    </row>
    <row r="22" spans="1:8" s="8" customFormat="1" ht="13" customHeight="1">
      <c r="A22" s="1" t="s">
        <v>66</v>
      </c>
      <c r="B22" s="13" t="s">
        <v>67</v>
      </c>
      <c r="C22" s="14" t="s">
        <v>68</v>
      </c>
      <c r="D22" s="10" t="s">
        <v>69</v>
      </c>
      <c r="E22" s="15">
        <v>2167173</v>
      </c>
      <c r="F22" s="16">
        <v>8556</v>
      </c>
      <c r="G22" s="16">
        <v>2.04</v>
      </c>
      <c r="H22" s="17"/>
    </row>
    <row r="23" spans="1:8" s="8" customFormat="1" ht="13" customHeight="1">
      <c r="A23" s="1" t="s">
        <v>70</v>
      </c>
      <c r="B23" s="13" t="s">
        <v>71</v>
      </c>
      <c r="C23" s="14" t="s">
        <v>72</v>
      </c>
      <c r="D23" s="10" t="s">
        <v>43</v>
      </c>
      <c r="E23" s="15">
        <v>258082</v>
      </c>
      <c r="F23" s="16">
        <v>8505.8700000000008</v>
      </c>
      <c r="G23" s="16">
        <v>2.02</v>
      </c>
      <c r="H23" s="17"/>
    </row>
    <row r="24" spans="1:8" s="8" customFormat="1" ht="13" customHeight="1">
      <c r="A24" s="1" t="s">
        <v>73</v>
      </c>
      <c r="B24" s="13" t="s">
        <v>74</v>
      </c>
      <c r="C24" s="14" t="s">
        <v>75</v>
      </c>
      <c r="D24" s="10" t="s">
        <v>16</v>
      </c>
      <c r="E24" s="15">
        <v>1002154</v>
      </c>
      <c r="F24" s="16">
        <v>8445.15</v>
      </c>
      <c r="G24" s="16">
        <v>2.0099999999999998</v>
      </c>
      <c r="H24" s="17"/>
    </row>
    <row r="25" spans="1:8" s="8" customFormat="1" ht="13" customHeight="1">
      <c r="A25" s="1" t="s">
        <v>76</v>
      </c>
      <c r="B25" s="13" t="s">
        <v>77</v>
      </c>
      <c r="C25" s="14" t="s">
        <v>78</v>
      </c>
      <c r="D25" s="10" t="s">
        <v>79</v>
      </c>
      <c r="E25" s="15">
        <v>449483</v>
      </c>
      <c r="F25" s="16">
        <v>8011.58</v>
      </c>
      <c r="G25" s="16">
        <v>1.91</v>
      </c>
      <c r="H25" s="17"/>
    </row>
    <row r="26" spans="1:8" s="8" customFormat="1" ht="13" customHeight="1">
      <c r="A26" s="1" t="s">
        <v>80</v>
      </c>
      <c r="B26" s="13" t="s">
        <v>81</v>
      </c>
      <c r="C26" s="14" t="s">
        <v>82</v>
      </c>
      <c r="D26" s="10" t="s">
        <v>54</v>
      </c>
      <c r="E26" s="15">
        <v>352354</v>
      </c>
      <c r="F26" s="16">
        <v>7809.57</v>
      </c>
      <c r="G26" s="16">
        <v>1.86</v>
      </c>
      <c r="H26" s="17"/>
    </row>
    <row r="27" spans="1:8" s="8" customFormat="1" ht="13" customHeight="1">
      <c r="A27" s="1" t="s">
        <v>83</v>
      </c>
      <c r="B27" s="13" t="s">
        <v>84</v>
      </c>
      <c r="C27" s="14" t="s">
        <v>85</v>
      </c>
      <c r="D27" s="10" t="s">
        <v>65</v>
      </c>
      <c r="E27" s="15">
        <v>260163</v>
      </c>
      <c r="F27" s="16">
        <v>7687.04</v>
      </c>
      <c r="G27" s="16">
        <v>1.83</v>
      </c>
      <c r="H27" s="17"/>
    </row>
    <row r="28" spans="1:8" s="8" customFormat="1" ht="13" customHeight="1">
      <c r="A28" s="1" t="s">
        <v>86</v>
      </c>
      <c r="B28" s="13" t="s">
        <v>87</v>
      </c>
      <c r="C28" s="14" t="s">
        <v>88</v>
      </c>
      <c r="D28" s="10" t="s">
        <v>39</v>
      </c>
      <c r="E28" s="15">
        <v>3099803</v>
      </c>
      <c r="F28" s="16">
        <v>7445.73</v>
      </c>
      <c r="G28" s="16">
        <v>1.77</v>
      </c>
      <c r="H28" s="17"/>
    </row>
    <row r="29" spans="1:8" s="8" customFormat="1" ht="13" customHeight="1">
      <c r="A29" s="1" t="s">
        <v>89</v>
      </c>
      <c r="B29" s="13" t="s">
        <v>90</v>
      </c>
      <c r="C29" s="14" t="s">
        <v>91</v>
      </c>
      <c r="D29" s="10" t="s">
        <v>92</v>
      </c>
      <c r="E29" s="15">
        <v>411037</v>
      </c>
      <c r="F29" s="16">
        <v>7391.68</v>
      </c>
      <c r="G29" s="16">
        <v>1.76</v>
      </c>
      <c r="H29" s="17"/>
    </row>
    <row r="30" spans="1:8" s="8" customFormat="1" ht="13" customHeight="1">
      <c r="A30" s="1" t="s">
        <v>93</v>
      </c>
      <c r="B30" s="13" t="s">
        <v>94</v>
      </c>
      <c r="C30" s="14" t="s">
        <v>95</v>
      </c>
      <c r="D30" s="10" t="s">
        <v>96</v>
      </c>
      <c r="E30" s="15">
        <v>151417</v>
      </c>
      <c r="F30" s="16">
        <v>7384.91</v>
      </c>
      <c r="G30" s="16">
        <v>1.76</v>
      </c>
      <c r="H30" s="17"/>
    </row>
    <row r="31" spans="1:8" s="8" customFormat="1" ht="13" customHeight="1">
      <c r="A31" s="1" t="s">
        <v>97</v>
      </c>
      <c r="B31" s="13" t="s">
        <v>98</v>
      </c>
      <c r="C31" s="14" t="s">
        <v>99</v>
      </c>
      <c r="D31" s="10" t="s">
        <v>31</v>
      </c>
      <c r="E31" s="15">
        <v>1177513</v>
      </c>
      <c r="F31" s="16">
        <v>7318.24</v>
      </c>
      <c r="G31" s="16">
        <v>1.74</v>
      </c>
      <c r="H31" s="17"/>
    </row>
    <row r="32" spans="1:8" s="8" customFormat="1" ht="13" customHeight="1">
      <c r="A32" s="1" t="s">
        <v>100</v>
      </c>
      <c r="B32" s="13" t="s">
        <v>101</v>
      </c>
      <c r="C32" s="14" t="s">
        <v>102</v>
      </c>
      <c r="D32" s="10" t="s">
        <v>43</v>
      </c>
      <c r="E32" s="15">
        <v>2522598</v>
      </c>
      <c r="F32" s="16">
        <v>6560.02</v>
      </c>
      <c r="G32" s="16">
        <v>1.56</v>
      </c>
      <c r="H32" s="17"/>
    </row>
    <row r="33" spans="1:8" s="8" customFormat="1" ht="13" customHeight="1">
      <c r="A33" s="1" t="s">
        <v>103</v>
      </c>
      <c r="B33" s="13" t="s">
        <v>104</v>
      </c>
      <c r="C33" s="14" t="s">
        <v>105</v>
      </c>
      <c r="D33" s="10" t="s">
        <v>106</v>
      </c>
      <c r="E33" s="15">
        <v>127957</v>
      </c>
      <c r="F33" s="16">
        <v>6500.22</v>
      </c>
      <c r="G33" s="16">
        <v>1.55</v>
      </c>
      <c r="H33" s="17"/>
    </row>
    <row r="34" spans="1:8" s="8" customFormat="1" ht="13" customHeight="1">
      <c r="A34" s="1" t="s">
        <v>107</v>
      </c>
      <c r="B34" s="13" t="s">
        <v>108</v>
      </c>
      <c r="C34" s="14" t="s">
        <v>109</v>
      </c>
      <c r="D34" s="10" t="s">
        <v>110</v>
      </c>
      <c r="E34" s="15">
        <v>573179</v>
      </c>
      <c r="F34" s="16">
        <v>6456.86</v>
      </c>
      <c r="G34" s="16">
        <v>1.54</v>
      </c>
      <c r="H34" s="17"/>
    </row>
    <row r="35" spans="1:8" s="8" customFormat="1" ht="13" customHeight="1">
      <c r="A35" s="1" t="s">
        <v>111</v>
      </c>
      <c r="B35" s="13" t="s">
        <v>112</v>
      </c>
      <c r="C35" s="14" t="s">
        <v>113</v>
      </c>
      <c r="D35" s="10" t="s">
        <v>96</v>
      </c>
      <c r="E35" s="15">
        <v>574283</v>
      </c>
      <c r="F35" s="16">
        <v>6401.53</v>
      </c>
      <c r="G35" s="16">
        <v>1.52</v>
      </c>
      <c r="H35" s="17"/>
    </row>
    <row r="36" spans="1:8" s="8" customFormat="1" ht="13" customHeight="1">
      <c r="A36" s="1" t="s">
        <v>114</v>
      </c>
      <c r="B36" s="13" t="s">
        <v>115</v>
      </c>
      <c r="C36" s="14" t="s">
        <v>116</v>
      </c>
      <c r="D36" s="10" t="s">
        <v>31</v>
      </c>
      <c r="E36" s="15">
        <v>84494</v>
      </c>
      <c r="F36" s="16">
        <v>6268.61</v>
      </c>
      <c r="G36" s="16">
        <v>1.49</v>
      </c>
      <c r="H36" s="17"/>
    </row>
    <row r="37" spans="1:8" s="8" customFormat="1" ht="13" customHeight="1">
      <c r="A37" s="1" t="s">
        <v>117</v>
      </c>
      <c r="B37" s="13" t="s">
        <v>118</v>
      </c>
      <c r="C37" s="14" t="s">
        <v>119</v>
      </c>
      <c r="D37" s="10" t="s">
        <v>65</v>
      </c>
      <c r="E37" s="15">
        <v>826860</v>
      </c>
      <c r="F37" s="16">
        <v>6234.52</v>
      </c>
      <c r="G37" s="16">
        <v>1.48</v>
      </c>
      <c r="H37" s="17"/>
    </row>
    <row r="38" spans="1:8" s="8" customFormat="1" ht="13" customHeight="1">
      <c r="A38" s="1" t="s">
        <v>120</v>
      </c>
      <c r="B38" s="13" t="s">
        <v>121</v>
      </c>
      <c r="C38" s="14" t="s">
        <v>122</v>
      </c>
      <c r="D38" s="10" t="s">
        <v>123</v>
      </c>
      <c r="E38" s="15">
        <v>24557</v>
      </c>
      <c r="F38" s="16">
        <v>5951.39</v>
      </c>
      <c r="G38" s="16">
        <v>1.42</v>
      </c>
      <c r="H38" s="17"/>
    </row>
    <row r="39" spans="1:8" s="8" customFormat="1" ht="13" customHeight="1">
      <c r="A39" s="1" t="s">
        <v>124</v>
      </c>
      <c r="B39" s="13" t="s">
        <v>125</v>
      </c>
      <c r="C39" s="14" t="s">
        <v>126</v>
      </c>
      <c r="D39" s="10" t="s">
        <v>127</v>
      </c>
      <c r="E39" s="15">
        <v>167764</v>
      </c>
      <c r="F39" s="16">
        <v>5850.27</v>
      </c>
      <c r="G39" s="16">
        <v>1.39</v>
      </c>
      <c r="H39" s="17"/>
    </row>
    <row r="40" spans="1:8" s="8" customFormat="1" ht="13" customHeight="1">
      <c r="A40" s="1" t="s">
        <v>128</v>
      </c>
      <c r="B40" s="13" t="s">
        <v>129</v>
      </c>
      <c r="C40" s="14" t="s">
        <v>130</v>
      </c>
      <c r="D40" s="10" t="s">
        <v>31</v>
      </c>
      <c r="E40" s="15">
        <v>596672</v>
      </c>
      <c r="F40" s="16">
        <v>5734.61</v>
      </c>
      <c r="G40" s="16">
        <v>1.36</v>
      </c>
      <c r="H40" s="17"/>
    </row>
    <row r="41" spans="1:8" s="8" customFormat="1" ht="13" customHeight="1">
      <c r="A41" s="1" t="s">
        <v>131</v>
      </c>
      <c r="B41" s="13" t="s">
        <v>132</v>
      </c>
      <c r="C41" s="14" t="s">
        <v>133</v>
      </c>
      <c r="D41" s="10" t="s">
        <v>43</v>
      </c>
      <c r="E41" s="15">
        <v>5406363</v>
      </c>
      <c r="F41" s="16">
        <v>5692.9</v>
      </c>
      <c r="G41" s="16">
        <v>1.35</v>
      </c>
      <c r="H41" s="17"/>
    </row>
    <row r="42" spans="1:8" s="8" customFormat="1" ht="13" customHeight="1">
      <c r="A42" s="1" t="s">
        <v>134</v>
      </c>
      <c r="B42" s="13" t="s">
        <v>135</v>
      </c>
      <c r="C42" s="14" t="s">
        <v>136</v>
      </c>
      <c r="D42" s="10" t="s">
        <v>127</v>
      </c>
      <c r="E42" s="15">
        <v>1408281</v>
      </c>
      <c r="F42" s="16">
        <v>5642.28</v>
      </c>
      <c r="G42" s="16">
        <v>1.34</v>
      </c>
      <c r="H42" s="17"/>
    </row>
    <row r="43" spans="1:8" s="8" customFormat="1" ht="13" customHeight="1">
      <c r="A43" s="1" t="s">
        <v>137</v>
      </c>
      <c r="B43" s="13" t="s">
        <v>138</v>
      </c>
      <c r="C43" s="14" t="s">
        <v>139</v>
      </c>
      <c r="D43" s="10" t="s">
        <v>140</v>
      </c>
      <c r="E43" s="15">
        <v>139506</v>
      </c>
      <c r="F43" s="16">
        <v>5633.25</v>
      </c>
      <c r="G43" s="16">
        <v>1.34</v>
      </c>
      <c r="H43" s="17"/>
    </row>
    <row r="44" spans="1:8" s="8" customFormat="1" ht="13" customHeight="1">
      <c r="A44" s="1" t="s">
        <v>141</v>
      </c>
      <c r="B44" s="13" t="s">
        <v>142</v>
      </c>
      <c r="C44" s="14" t="s">
        <v>143</v>
      </c>
      <c r="D44" s="10" t="s">
        <v>47</v>
      </c>
      <c r="E44" s="15">
        <v>48195</v>
      </c>
      <c r="F44" s="16">
        <v>4661.8999999999996</v>
      </c>
      <c r="G44" s="16">
        <v>1.1100000000000001</v>
      </c>
      <c r="H44" s="17"/>
    </row>
    <row r="45" spans="1:8" s="8" customFormat="1" ht="13" customHeight="1">
      <c r="A45" s="1" t="s">
        <v>144</v>
      </c>
      <c r="B45" s="13" t="s">
        <v>145</v>
      </c>
      <c r="C45" s="14" t="s">
        <v>146</v>
      </c>
      <c r="D45" s="10" t="s">
        <v>147</v>
      </c>
      <c r="E45" s="15">
        <v>2500000</v>
      </c>
      <c r="F45" s="16">
        <v>4649.75</v>
      </c>
      <c r="G45" s="16">
        <v>1.1100000000000001</v>
      </c>
      <c r="H45" s="17"/>
    </row>
    <row r="46" spans="1:8" s="8" customFormat="1" ht="13" customHeight="1">
      <c r="A46" s="1" t="s">
        <v>148</v>
      </c>
      <c r="B46" s="13" t="s">
        <v>149</v>
      </c>
      <c r="C46" s="14" t="s">
        <v>150</v>
      </c>
      <c r="D46" s="10" t="s">
        <v>54</v>
      </c>
      <c r="E46" s="15">
        <v>396687</v>
      </c>
      <c r="F46" s="16">
        <v>4605.93</v>
      </c>
      <c r="G46" s="16">
        <v>1.1000000000000001</v>
      </c>
      <c r="H46" s="17"/>
    </row>
    <row r="47" spans="1:8" s="8" customFormat="1" ht="13" customHeight="1">
      <c r="A47" s="1" t="s">
        <v>151</v>
      </c>
      <c r="B47" s="13" t="s">
        <v>152</v>
      </c>
      <c r="C47" s="14" t="s">
        <v>153</v>
      </c>
      <c r="D47" s="10" t="s">
        <v>96</v>
      </c>
      <c r="E47" s="15">
        <v>1058032</v>
      </c>
      <c r="F47" s="16">
        <v>4496.6400000000003</v>
      </c>
      <c r="G47" s="16">
        <v>1.07</v>
      </c>
      <c r="H47" s="17"/>
    </row>
    <row r="48" spans="1:8" s="8" customFormat="1" ht="13" customHeight="1">
      <c r="A48" s="1" t="s">
        <v>154</v>
      </c>
      <c r="B48" s="13" t="s">
        <v>155</v>
      </c>
      <c r="C48" s="14" t="s">
        <v>156</v>
      </c>
      <c r="D48" s="10" t="s">
        <v>47</v>
      </c>
      <c r="E48" s="15">
        <v>265409</v>
      </c>
      <c r="F48" s="16">
        <v>4274.9399999999996</v>
      </c>
      <c r="G48" s="16">
        <v>1.02</v>
      </c>
      <c r="H48" s="17"/>
    </row>
    <row r="49" spans="1:8" s="8" customFormat="1" ht="13" customHeight="1">
      <c r="A49" s="1" t="s">
        <v>157</v>
      </c>
      <c r="B49" s="13" t="s">
        <v>158</v>
      </c>
      <c r="C49" s="14" t="s">
        <v>159</v>
      </c>
      <c r="D49" s="10" t="s">
        <v>96</v>
      </c>
      <c r="E49" s="15">
        <v>300777</v>
      </c>
      <c r="F49" s="16">
        <v>4162.75</v>
      </c>
      <c r="G49" s="16">
        <v>0.99</v>
      </c>
      <c r="H49" s="17"/>
    </row>
    <row r="50" spans="1:8" s="8" customFormat="1" ht="13" customHeight="1">
      <c r="A50" s="1" t="s">
        <v>160</v>
      </c>
      <c r="B50" s="13" t="s">
        <v>161</v>
      </c>
      <c r="C50" s="14" t="s">
        <v>162</v>
      </c>
      <c r="D50" s="10" t="s">
        <v>31</v>
      </c>
      <c r="E50" s="15">
        <v>991325</v>
      </c>
      <c r="F50" s="16">
        <v>4030.23</v>
      </c>
      <c r="G50" s="16">
        <v>0.96</v>
      </c>
      <c r="H50" s="17"/>
    </row>
    <row r="51" spans="1:8" s="8" customFormat="1" ht="13" customHeight="1">
      <c r="A51" s="1" t="s">
        <v>163</v>
      </c>
      <c r="B51" s="13" t="s">
        <v>164</v>
      </c>
      <c r="C51" s="14" t="s">
        <v>165</v>
      </c>
      <c r="D51" s="10" t="s">
        <v>96</v>
      </c>
      <c r="E51" s="15">
        <v>299383</v>
      </c>
      <c r="F51" s="16">
        <v>4016.52</v>
      </c>
      <c r="G51" s="16">
        <v>0.96</v>
      </c>
      <c r="H51" s="17"/>
    </row>
    <row r="52" spans="1:8" s="8" customFormat="1" ht="13" customHeight="1">
      <c r="A52" s="1" t="s">
        <v>166</v>
      </c>
      <c r="B52" s="13" t="s">
        <v>167</v>
      </c>
      <c r="C52" s="14" t="s">
        <v>168</v>
      </c>
      <c r="D52" s="10" t="s">
        <v>39</v>
      </c>
      <c r="E52" s="15">
        <v>420562</v>
      </c>
      <c r="F52" s="16">
        <v>3805.24</v>
      </c>
      <c r="G52" s="16">
        <v>0.91</v>
      </c>
      <c r="H52" s="17"/>
    </row>
    <row r="53" spans="1:8" s="8" customFormat="1" ht="13" customHeight="1">
      <c r="A53" s="1" t="s">
        <v>169</v>
      </c>
      <c r="B53" s="13" t="s">
        <v>170</v>
      </c>
      <c r="C53" s="14" t="s">
        <v>171</v>
      </c>
      <c r="D53" s="10" t="s">
        <v>54</v>
      </c>
      <c r="E53" s="15">
        <v>125000</v>
      </c>
      <c r="F53" s="16">
        <v>3794.25</v>
      </c>
      <c r="G53" s="16">
        <v>0.9</v>
      </c>
      <c r="H53" s="17"/>
    </row>
    <row r="54" spans="1:8" s="8" customFormat="1" ht="13" customHeight="1">
      <c r="A54" s="1" t="s">
        <v>172</v>
      </c>
      <c r="B54" s="13" t="s">
        <v>173</v>
      </c>
      <c r="C54" s="14" t="s">
        <v>174</v>
      </c>
      <c r="D54" s="10" t="s">
        <v>175</v>
      </c>
      <c r="E54" s="15">
        <v>250000</v>
      </c>
      <c r="F54" s="16">
        <v>3665.5</v>
      </c>
      <c r="G54" s="16">
        <v>0.87</v>
      </c>
      <c r="H54" s="17"/>
    </row>
    <row r="55" spans="1:8" s="8" customFormat="1" ht="13" customHeight="1">
      <c r="A55" s="1" t="s">
        <v>176</v>
      </c>
      <c r="B55" s="13" t="s">
        <v>177</v>
      </c>
      <c r="C55" s="14" t="s">
        <v>178</v>
      </c>
      <c r="D55" s="10" t="s">
        <v>147</v>
      </c>
      <c r="E55" s="15">
        <v>331289</v>
      </c>
      <c r="F55" s="16">
        <v>3417.58</v>
      </c>
      <c r="G55" s="16">
        <v>0.81</v>
      </c>
      <c r="H55" s="17"/>
    </row>
    <row r="56" spans="1:8" s="8" customFormat="1" ht="13" customHeight="1">
      <c r="A56" s="1" t="s">
        <v>179</v>
      </c>
      <c r="B56" s="13" t="s">
        <v>180</v>
      </c>
      <c r="C56" s="14" t="s">
        <v>181</v>
      </c>
      <c r="D56" s="10" t="s">
        <v>182</v>
      </c>
      <c r="E56" s="15">
        <v>781050</v>
      </c>
      <c r="F56" s="16">
        <v>3390.54</v>
      </c>
      <c r="G56" s="16">
        <v>0.81</v>
      </c>
      <c r="H56" s="17"/>
    </row>
    <row r="57" spans="1:8" s="8" customFormat="1" ht="13" customHeight="1">
      <c r="A57" s="1" t="s">
        <v>183</v>
      </c>
      <c r="B57" s="13" t="s">
        <v>184</v>
      </c>
      <c r="C57" s="14" t="s">
        <v>185</v>
      </c>
      <c r="D57" s="10" t="s">
        <v>96</v>
      </c>
      <c r="E57" s="15">
        <v>631077</v>
      </c>
      <c r="F57" s="16">
        <v>3247.21</v>
      </c>
      <c r="G57" s="16">
        <v>0.77</v>
      </c>
      <c r="H57" s="17"/>
    </row>
    <row r="58" spans="1:8" s="8" customFormat="1" ht="13" customHeight="1">
      <c r="A58" s="1" t="s">
        <v>186</v>
      </c>
      <c r="B58" s="13" t="s">
        <v>187</v>
      </c>
      <c r="C58" s="14" t="s">
        <v>188</v>
      </c>
      <c r="D58" s="10" t="s">
        <v>110</v>
      </c>
      <c r="E58" s="15">
        <v>202381</v>
      </c>
      <c r="F58" s="16">
        <v>3048.47</v>
      </c>
      <c r="G58" s="16">
        <v>0.73</v>
      </c>
      <c r="H58" s="17"/>
    </row>
    <row r="59" spans="1:8" s="8" customFormat="1" ht="13" customHeight="1">
      <c r="A59" s="1" t="s">
        <v>189</v>
      </c>
      <c r="B59" s="13" t="s">
        <v>190</v>
      </c>
      <c r="C59" s="14" t="s">
        <v>191</v>
      </c>
      <c r="D59" s="10" t="s">
        <v>47</v>
      </c>
      <c r="E59" s="15">
        <v>198418</v>
      </c>
      <c r="F59" s="16">
        <v>2839.36</v>
      </c>
      <c r="G59" s="16">
        <v>0.68</v>
      </c>
      <c r="H59" s="17"/>
    </row>
    <row r="60" spans="1:8" s="8" customFormat="1" ht="13" customHeight="1">
      <c r="A60" s="1" t="s">
        <v>192</v>
      </c>
      <c r="B60" s="13" t="s">
        <v>193</v>
      </c>
      <c r="C60" s="14" t="s">
        <v>194</v>
      </c>
      <c r="D60" s="10" t="s">
        <v>47</v>
      </c>
      <c r="E60" s="15">
        <v>122543</v>
      </c>
      <c r="F60" s="16">
        <v>2675.48</v>
      </c>
      <c r="G60" s="16">
        <v>0.64</v>
      </c>
      <c r="H60" s="17"/>
    </row>
    <row r="61" spans="1:8" s="8" customFormat="1" ht="13" customHeight="1">
      <c r="A61" s="1" t="s">
        <v>195</v>
      </c>
      <c r="B61" s="13" t="s">
        <v>196</v>
      </c>
      <c r="C61" s="14" t="s">
        <v>197</v>
      </c>
      <c r="D61" s="10" t="s">
        <v>39</v>
      </c>
      <c r="E61" s="15">
        <v>3111243</v>
      </c>
      <c r="F61" s="16">
        <v>2518.5500000000002</v>
      </c>
      <c r="G61" s="16">
        <v>0.6</v>
      </c>
      <c r="H61" s="17"/>
    </row>
    <row r="62" spans="1:8" s="8" customFormat="1" ht="13" customHeight="1">
      <c r="A62" s="1" t="s">
        <v>198</v>
      </c>
      <c r="B62" s="13" t="s">
        <v>199</v>
      </c>
      <c r="C62" s="14" t="s">
        <v>200</v>
      </c>
      <c r="D62" s="10" t="s">
        <v>110</v>
      </c>
      <c r="E62" s="15">
        <v>768956</v>
      </c>
      <c r="F62" s="16">
        <v>2374.15</v>
      </c>
      <c r="G62" s="16">
        <v>0.56000000000000005</v>
      </c>
      <c r="H62" s="17"/>
    </row>
    <row r="63" spans="1:8" s="8" customFormat="1" ht="13" customHeight="1">
      <c r="A63" s="1" t="s">
        <v>201</v>
      </c>
      <c r="B63" s="13" t="s">
        <v>202</v>
      </c>
      <c r="C63" s="14" t="s">
        <v>203</v>
      </c>
      <c r="D63" s="10" t="s">
        <v>140</v>
      </c>
      <c r="E63" s="15">
        <v>34065</v>
      </c>
      <c r="F63" s="16">
        <v>2331.2399999999998</v>
      </c>
      <c r="G63" s="16">
        <v>0.55000000000000004</v>
      </c>
      <c r="H63" s="17"/>
    </row>
    <row r="64" spans="1:8" s="8" customFormat="1" ht="13" customHeight="1">
      <c r="A64" s="1" t="s">
        <v>204</v>
      </c>
      <c r="B64" s="13" t="s">
        <v>205</v>
      </c>
      <c r="C64" s="14" t="s">
        <v>206</v>
      </c>
      <c r="D64" s="10" t="s">
        <v>140</v>
      </c>
      <c r="E64" s="15">
        <v>923248</v>
      </c>
      <c r="F64" s="16">
        <v>2076.85</v>
      </c>
      <c r="G64" s="16">
        <v>0.49</v>
      </c>
      <c r="H64" s="17"/>
    </row>
    <row r="65" spans="1:8" s="8" customFormat="1" ht="13" customHeight="1">
      <c r="A65" s="1" t="s">
        <v>207</v>
      </c>
      <c r="B65" s="13" t="s">
        <v>208</v>
      </c>
      <c r="C65" s="14" t="s">
        <v>209</v>
      </c>
      <c r="D65" s="10" t="s">
        <v>43</v>
      </c>
      <c r="E65" s="15">
        <v>877093</v>
      </c>
      <c r="F65" s="16">
        <v>2061.17</v>
      </c>
      <c r="G65" s="16">
        <v>0.49</v>
      </c>
      <c r="H65" s="17"/>
    </row>
    <row r="66" spans="1:8" s="8" customFormat="1" ht="13" customHeight="1">
      <c r="A66" s="1" t="s">
        <v>210</v>
      </c>
      <c r="B66" s="13" t="s">
        <v>211</v>
      </c>
      <c r="C66" s="14" t="s">
        <v>212</v>
      </c>
      <c r="D66" s="10" t="s">
        <v>96</v>
      </c>
      <c r="E66" s="15">
        <v>247034</v>
      </c>
      <c r="F66" s="16">
        <v>1876.1</v>
      </c>
      <c r="G66" s="16">
        <v>0.45</v>
      </c>
      <c r="H66" s="17"/>
    </row>
    <row r="67" spans="1:8" s="8" customFormat="1" ht="13" customHeight="1">
      <c r="A67" s="1" t="s">
        <v>213</v>
      </c>
      <c r="B67" s="13" t="s">
        <v>214</v>
      </c>
      <c r="C67" s="14" t="s">
        <v>215</v>
      </c>
      <c r="D67" s="10" t="s">
        <v>35</v>
      </c>
      <c r="E67" s="15">
        <v>178114</v>
      </c>
      <c r="F67" s="16">
        <v>1813.91</v>
      </c>
      <c r="G67" s="16">
        <v>0.43</v>
      </c>
      <c r="H67" s="17"/>
    </row>
    <row r="68" spans="1:8" s="8" customFormat="1" ht="13" customHeight="1">
      <c r="A68" s="1" t="s">
        <v>216</v>
      </c>
      <c r="B68" s="13" t="s">
        <v>217</v>
      </c>
      <c r="C68" s="14" t="s">
        <v>218</v>
      </c>
      <c r="D68" s="10" t="s">
        <v>47</v>
      </c>
      <c r="E68" s="15">
        <v>191149</v>
      </c>
      <c r="F68" s="16">
        <v>1712.89</v>
      </c>
      <c r="G68" s="16">
        <v>0.41</v>
      </c>
      <c r="H68" s="17"/>
    </row>
    <row r="69" spans="1:8" s="8" customFormat="1" ht="13" customHeight="1">
      <c r="A69" s="1" t="s">
        <v>219</v>
      </c>
      <c r="B69" s="13" t="s">
        <v>220</v>
      </c>
      <c r="C69" s="14" t="s">
        <v>221</v>
      </c>
      <c r="D69" s="10" t="s">
        <v>35</v>
      </c>
      <c r="E69" s="15">
        <v>502787</v>
      </c>
      <c r="F69" s="16">
        <v>1515.65</v>
      </c>
      <c r="G69" s="16">
        <v>0.36</v>
      </c>
      <c r="H69" s="17"/>
    </row>
    <row r="70" spans="1:8" s="8" customFormat="1" ht="13" customHeight="1">
      <c r="A70" s="1" t="s">
        <v>222</v>
      </c>
      <c r="B70" s="13" t="s">
        <v>223</v>
      </c>
      <c r="C70" s="14" t="s">
        <v>224</v>
      </c>
      <c r="D70" s="10" t="s">
        <v>175</v>
      </c>
      <c r="E70" s="15">
        <v>121027</v>
      </c>
      <c r="F70" s="16">
        <v>930.15</v>
      </c>
      <c r="G70" s="16">
        <v>0.22</v>
      </c>
      <c r="H70" s="17"/>
    </row>
    <row r="71" spans="1:8" s="8" customFormat="1" ht="13" customHeight="1">
      <c r="A71" s="4"/>
      <c r="B71" s="9" t="s">
        <v>225</v>
      </c>
      <c r="C71" s="10"/>
      <c r="D71" s="10"/>
      <c r="E71" s="10"/>
      <c r="F71" s="18">
        <v>414784.28</v>
      </c>
      <c r="G71" s="18">
        <v>98.72</v>
      </c>
      <c r="H71" s="19"/>
    </row>
    <row r="72" spans="1:8" s="8" customFormat="1" ht="13" customHeight="1">
      <c r="A72" s="4"/>
      <c r="B72" s="20" t="s">
        <v>226</v>
      </c>
      <c r="C72" s="21"/>
      <c r="D72" s="21"/>
      <c r="E72" s="22"/>
      <c r="F72" s="23" t="s">
        <v>227</v>
      </c>
      <c r="G72" s="23" t="s">
        <v>227</v>
      </c>
      <c r="H72" s="24" t="s">
        <v>227</v>
      </c>
    </row>
    <row r="73" spans="1:8" s="8" customFormat="1" ht="13" customHeight="1">
      <c r="A73" s="4"/>
      <c r="B73" s="25" t="s">
        <v>225</v>
      </c>
      <c r="C73" s="26"/>
      <c r="D73" s="26"/>
      <c r="E73" s="23"/>
      <c r="F73" s="23" t="s">
        <v>227</v>
      </c>
      <c r="G73" s="23" t="s">
        <v>227</v>
      </c>
      <c r="H73" s="24" t="s">
        <v>227</v>
      </c>
    </row>
    <row r="74" spans="1:8" s="8" customFormat="1" ht="13" customHeight="1">
      <c r="A74" s="4"/>
      <c r="B74" s="20" t="s">
        <v>228</v>
      </c>
      <c r="C74" s="21"/>
      <c r="D74" s="21"/>
      <c r="E74" s="27"/>
      <c r="F74" s="18">
        <v>414784.28</v>
      </c>
      <c r="G74" s="18">
        <v>98.72</v>
      </c>
      <c r="H74" s="24"/>
    </row>
    <row r="75" spans="1:8" s="8" customFormat="1" ht="13" customHeight="1">
      <c r="A75" s="4"/>
      <c r="B75" s="9" t="s">
        <v>229</v>
      </c>
      <c r="C75" s="10"/>
      <c r="D75" s="10"/>
      <c r="E75" s="10"/>
      <c r="F75" s="10"/>
      <c r="G75" s="10"/>
      <c r="H75" s="11"/>
    </row>
    <row r="76" spans="1:8" s="8" customFormat="1" ht="13" customHeight="1">
      <c r="A76" s="4"/>
      <c r="B76" s="9" t="s">
        <v>12</v>
      </c>
      <c r="C76" s="12"/>
      <c r="D76" s="12"/>
      <c r="E76" s="10"/>
      <c r="F76" s="10"/>
      <c r="G76" s="10"/>
      <c r="H76" s="11"/>
    </row>
    <row r="77" spans="1:8" s="8" customFormat="1" ht="13" customHeight="1">
      <c r="A77" s="1" t="s">
        <v>230</v>
      </c>
      <c r="B77" s="13" t="s">
        <v>231</v>
      </c>
      <c r="C77" s="14" t="s">
        <v>232</v>
      </c>
      <c r="D77" s="10"/>
      <c r="E77" s="15">
        <v>1325000</v>
      </c>
      <c r="F77" s="16">
        <v>1934.5</v>
      </c>
      <c r="G77" s="16">
        <v>0.46</v>
      </c>
      <c r="H77" s="17"/>
    </row>
    <row r="78" spans="1:8" s="8" customFormat="1" ht="13" customHeight="1">
      <c r="A78" s="4"/>
      <c r="B78" s="9" t="s">
        <v>225</v>
      </c>
      <c r="C78" s="10"/>
      <c r="D78" s="10"/>
      <c r="E78" s="10"/>
      <c r="F78" s="18">
        <v>1934.5</v>
      </c>
      <c r="G78" s="18">
        <v>0.46</v>
      </c>
      <c r="H78" s="19"/>
    </row>
    <row r="79" spans="1:8" s="8" customFormat="1" ht="13" customHeight="1">
      <c r="A79" s="4"/>
      <c r="B79" s="20" t="s">
        <v>226</v>
      </c>
      <c r="C79" s="21"/>
      <c r="D79" s="21"/>
      <c r="E79" s="22"/>
      <c r="F79" s="23" t="s">
        <v>227</v>
      </c>
      <c r="G79" s="23" t="s">
        <v>227</v>
      </c>
      <c r="H79" s="24" t="s">
        <v>227</v>
      </c>
    </row>
    <row r="80" spans="1:8" s="8" customFormat="1" ht="13" customHeight="1">
      <c r="A80" s="4"/>
      <c r="B80" s="25" t="s">
        <v>225</v>
      </c>
      <c r="C80" s="26"/>
      <c r="D80" s="26"/>
      <c r="E80" s="23"/>
      <c r="F80" s="23" t="s">
        <v>227</v>
      </c>
      <c r="G80" s="23" t="s">
        <v>227</v>
      </c>
      <c r="H80" s="24" t="s">
        <v>227</v>
      </c>
    </row>
    <row r="81" spans="1:8" s="8" customFormat="1" ht="13" customHeight="1">
      <c r="A81" s="4"/>
      <c r="B81" s="20" t="s">
        <v>228</v>
      </c>
      <c r="C81" s="21"/>
      <c r="D81" s="21"/>
      <c r="E81" s="27"/>
      <c r="F81" s="18">
        <v>1934.5</v>
      </c>
      <c r="G81" s="18">
        <v>0.46</v>
      </c>
      <c r="H81" s="24"/>
    </row>
    <row r="82" spans="1:8" s="8" customFormat="1" ht="13" customHeight="1">
      <c r="A82" s="4"/>
      <c r="B82" s="9" t="s">
        <v>233</v>
      </c>
      <c r="C82" s="10"/>
      <c r="D82" s="10"/>
      <c r="E82" s="10"/>
      <c r="F82" s="10"/>
      <c r="G82" s="10"/>
      <c r="H82" s="11"/>
    </row>
    <row r="83" spans="1:8" s="8" customFormat="1" ht="13" customHeight="1">
      <c r="A83" s="4"/>
      <c r="B83" s="9" t="s">
        <v>234</v>
      </c>
      <c r="C83" s="12"/>
      <c r="D83" s="12"/>
      <c r="E83" s="10"/>
      <c r="F83" s="10"/>
      <c r="G83" s="10"/>
      <c r="H83" s="11"/>
    </row>
    <row r="84" spans="1:8" s="8" customFormat="1" ht="13" customHeight="1">
      <c r="A84" s="1" t="s">
        <v>235</v>
      </c>
      <c r="B84" s="13" t="s">
        <v>236</v>
      </c>
      <c r="C84" s="14"/>
      <c r="D84" s="10"/>
      <c r="E84" s="15"/>
      <c r="F84" s="16">
        <v>5700.1</v>
      </c>
      <c r="G84" s="16">
        <v>1.36</v>
      </c>
      <c r="H84" s="17">
        <v>6.3946755053082643E-2</v>
      </c>
    </row>
    <row r="85" spans="1:8" s="8" customFormat="1" ht="13" customHeight="1">
      <c r="A85" s="4"/>
      <c r="B85" s="9" t="s">
        <v>225</v>
      </c>
      <c r="C85" s="10"/>
      <c r="D85" s="10"/>
      <c r="E85" s="10"/>
      <c r="F85" s="18">
        <v>5700.1</v>
      </c>
      <c r="G85" s="18">
        <v>1.36</v>
      </c>
      <c r="H85" s="19"/>
    </row>
    <row r="86" spans="1:8" s="8" customFormat="1" ht="13" customHeight="1">
      <c r="A86" s="4"/>
      <c r="B86" s="20" t="s">
        <v>228</v>
      </c>
      <c r="C86" s="21"/>
      <c r="D86" s="21"/>
      <c r="E86" s="27"/>
      <c r="F86" s="18">
        <v>5700.1</v>
      </c>
      <c r="G86" s="18">
        <v>1.36</v>
      </c>
      <c r="H86" s="24"/>
    </row>
    <row r="87" spans="1:8" s="8" customFormat="1" ht="13" customHeight="1">
      <c r="A87" s="4"/>
      <c r="B87" s="9" t="s">
        <v>237</v>
      </c>
      <c r="C87" s="10"/>
      <c r="D87" s="10"/>
      <c r="E87" s="10"/>
      <c r="F87" s="10"/>
      <c r="G87" s="10"/>
      <c r="H87" s="11"/>
    </row>
    <row r="88" spans="1:8" s="8" customFormat="1" ht="13" customHeight="1">
      <c r="A88" s="4"/>
      <c r="B88" s="9" t="s">
        <v>238</v>
      </c>
      <c r="C88" s="12"/>
      <c r="D88" s="12"/>
      <c r="E88" s="10"/>
      <c r="F88" s="10"/>
      <c r="G88" s="10"/>
      <c r="H88" s="11"/>
    </row>
    <row r="89" spans="1:8" s="8" customFormat="1" ht="13" customHeight="1">
      <c r="A89" s="1" t="s">
        <v>239</v>
      </c>
      <c r="B89" s="13" t="s">
        <v>240</v>
      </c>
      <c r="C89" s="14" t="s">
        <v>241</v>
      </c>
      <c r="D89" s="10"/>
      <c r="E89" s="28">
        <v>2E-3</v>
      </c>
      <c r="F89" s="16">
        <v>0</v>
      </c>
      <c r="G89" s="29" t="s">
        <v>242</v>
      </c>
      <c r="H89" s="17"/>
    </row>
    <row r="90" spans="1:8" s="8" customFormat="1" ht="13" customHeight="1">
      <c r="A90" s="4"/>
      <c r="B90" s="20" t="s">
        <v>225</v>
      </c>
      <c r="C90" s="21"/>
      <c r="D90" s="21"/>
      <c r="E90" s="27"/>
      <c r="F90" s="18">
        <v>0</v>
      </c>
      <c r="G90" s="18" t="s">
        <v>242</v>
      </c>
      <c r="H90" s="24"/>
    </row>
    <row r="91" spans="1:8" ht="13" customHeight="1">
      <c r="B91" s="9" t="s">
        <v>243</v>
      </c>
      <c r="C91" s="10"/>
      <c r="D91" s="10"/>
      <c r="E91" s="10"/>
      <c r="F91" s="30"/>
      <c r="G91" s="31"/>
      <c r="H91" s="19"/>
    </row>
    <row r="92" spans="1:8" s="8" customFormat="1" ht="13" customHeight="1">
      <c r="A92" s="1" t="s">
        <v>244</v>
      </c>
      <c r="B92" s="13" t="s">
        <v>245</v>
      </c>
      <c r="C92" s="14" t="s">
        <v>246</v>
      </c>
      <c r="D92" s="10" t="s">
        <v>65</v>
      </c>
      <c r="E92" s="15">
        <v>1037764</v>
      </c>
      <c r="F92" s="16">
        <v>106.37</v>
      </c>
      <c r="G92" s="16">
        <v>0.03</v>
      </c>
      <c r="H92" s="17"/>
    </row>
    <row r="93" spans="1:8" ht="13" customHeight="1">
      <c r="A93" s="2"/>
      <c r="B93" s="9" t="s">
        <v>225</v>
      </c>
      <c r="C93" s="10"/>
      <c r="D93" s="10"/>
      <c r="E93" s="10"/>
      <c r="F93" s="18">
        <f>F92</f>
        <v>106.37</v>
      </c>
      <c r="G93" s="18">
        <f>G92</f>
        <v>0.03</v>
      </c>
      <c r="H93" s="19"/>
    </row>
    <row r="94" spans="1:8" s="8" customFormat="1" ht="13" customHeight="1">
      <c r="A94" s="4"/>
      <c r="B94" s="20" t="s">
        <v>228</v>
      </c>
      <c r="C94" s="21"/>
      <c r="D94" s="21"/>
      <c r="E94" s="27"/>
      <c r="F94" s="18">
        <f>F90+F93</f>
        <v>106.37</v>
      </c>
      <c r="G94" s="18">
        <v>0.03</v>
      </c>
      <c r="H94" s="24"/>
    </row>
    <row r="95" spans="1:8" s="8" customFormat="1" ht="13" customHeight="1">
      <c r="A95" s="4"/>
      <c r="B95" s="20" t="s">
        <v>247</v>
      </c>
      <c r="C95" s="21"/>
      <c r="D95" s="21"/>
      <c r="E95" s="10"/>
      <c r="F95" s="18">
        <v>-2282.69</v>
      </c>
      <c r="G95" s="18">
        <v>-0.56999999999999995</v>
      </c>
      <c r="H95" s="24"/>
    </row>
    <row r="96" spans="1:8" s="8" customFormat="1" ht="13" customHeight="1" thickBot="1">
      <c r="A96" s="4"/>
      <c r="B96" s="32" t="s">
        <v>248</v>
      </c>
      <c r="C96" s="33"/>
      <c r="D96" s="33"/>
      <c r="E96" s="33"/>
      <c r="F96" s="34">
        <v>420242.56</v>
      </c>
      <c r="G96" s="35">
        <v>100</v>
      </c>
      <c r="H96" s="36"/>
    </row>
    <row r="97" spans="1:8" s="8" customFormat="1" ht="13" customHeight="1">
      <c r="A97" s="4"/>
      <c r="B97" s="45"/>
      <c r="C97" s="45"/>
      <c r="D97" s="45"/>
      <c r="E97" s="45"/>
      <c r="F97" s="4"/>
      <c r="G97" s="4"/>
      <c r="H97" s="4"/>
    </row>
    <row r="98" spans="1:8" s="8" customFormat="1" ht="13" customHeight="1">
      <c r="A98" s="4"/>
      <c r="B98" s="45" t="s">
        <v>249</v>
      </c>
      <c r="C98" s="45"/>
      <c r="D98" s="45"/>
      <c r="E98" s="45"/>
      <c r="F98" s="4"/>
      <c r="G98" s="4"/>
      <c r="H98" s="4"/>
    </row>
    <row r="99" spans="1:8" s="8" customFormat="1" ht="13" customHeight="1">
      <c r="A99" s="4"/>
      <c r="B99" s="45" t="s">
        <v>250</v>
      </c>
      <c r="C99" s="45"/>
      <c r="D99" s="45"/>
      <c r="E99" s="45"/>
      <c r="F99" s="4"/>
      <c r="G99" s="4"/>
      <c r="H99" s="4"/>
    </row>
    <row r="100" spans="1:8" s="8" customFormat="1" ht="13" customHeight="1">
      <c r="A100" s="4"/>
      <c r="B100" s="46" t="s">
        <v>251</v>
      </c>
      <c r="C100" s="46"/>
      <c r="D100" s="46"/>
      <c r="E100" s="46"/>
      <c r="F100" s="4"/>
      <c r="G100" s="4"/>
      <c r="H100" s="4"/>
    </row>
    <row r="101" spans="1:8" s="8" customFormat="1" ht="13" customHeight="1">
      <c r="A101" s="4"/>
      <c r="B101" s="37" t="s">
        <v>252</v>
      </c>
      <c r="C101" s="38"/>
      <c r="D101" s="38"/>
      <c r="E101" s="38"/>
      <c r="F101" s="4"/>
      <c r="G101" s="4"/>
      <c r="H101" s="4"/>
    </row>
    <row r="102" spans="1:8" s="8" customFormat="1" ht="13" customHeight="1">
      <c r="A102" s="4"/>
      <c r="B102" s="45" t="s">
        <v>253</v>
      </c>
      <c r="C102" s="45"/>
      <c r="D102" s="45"/>
      <c r="E102" s="45"/>
      <c r="F102" s="4"/>
      <c r="G102" s="4"/>
      <c r="H102" s="4"/>
    </row>
    <row r="103" spans="1:8" s="8" customFormat="1" ht="13" customHeight="1">
      <c r="A103" s="4"/>
      <c r="B103" s="39" t="s">
        <v>254</v>
      </c>
      <c r="C103" s="39" t="s">
        <v>255</v>
      </c>
      <c r="D103" s="4"/>
      <c r="E103" s="4"/>
      <c r="F103" s="4"/>
      <c r="G103" s="4"/>
      <c r="H103" s="4"/>
    </row>
    <row r="104" spans="1:8" s="8" customFormat="1" ht="13" customHeight="1">
      <c r="A104" s="4"/>
      <c r="B104" s="21" t="s">
        <v>256</v>
      </c>
      <c r="C104" s="40">
        <v>5900</v>
      </c>
      <c r="D104" s="4"/>
      <c r="E104" s="4"/>
      <c r="F104" s="4"/>
      <c r="G104" s="4"/>
      <c r="H104" s="4"/>
    </row>
    <row r="105" spans="1:8" s="8" customFormat="1" ht="13" customHeight="1">
      <c r="A105" s="4"/>
      <c r="B105" s="21" t="s">
        <v>257</v>
      </c>
      <c r="C105" s="40">
        <v>46180</v>
      </c>
      <c r="D105" s="4"/>
      <c r="E105" s="4"/>
      <c r="F105" s="4"/>
      <c r="G105" s="4"/>
      <c r="H105" s="4"/>
    </row>
    <row r="106" spans="1:8" s="8" customFormat="1" ht="13" customHeight="1">
      <c r="A106" s="4"/>
      <c r="B106" s="3"/>
      <c r="C106" s="41"/>
      <c r="D106" s="4"/>
      <c r="E106" s="4"/>
      <c r="F106" s="4"/>
      <c r="G106" s="4"/>
      <c r="H106" s="4"/>
    </row>
    <row r="107" spans="1:8" s="8" customFormat="1">
      <c r="B107" s="45" t="s">
        <v>258</v>
      </c>
      <c r="C107" s="45"/>
      <c r="D107" s="45"/>
      <c r="E107" s="45"/>
      <c r="F107" s="2"/>
      <c r="G107" s="2"/>
      <c r="H107" s="2"/>
    </row>
    <row r="108" spans="1:8" s="8" customFormat="1">
      <c r="B108" s="44" t="s">
        <v>259</v>
      </c>
      <c r="C108" s="44"/>
      <c r="D108" s="44"/>
      <c r="E108" s="44"/>
      <c r="F108" s="2"/>
      <c r="G108" s="2"/>
      <c r="H108" s="2"/>
    </row>
    <row r="109" spans="1:8" s="8" customFormat="1">
      <c r="B109" s="44" t="s">
        <v>260</v>
      </c>
      <c r="C109" s="44"/>
      <c r="D109" s="44"/>
      <c r="E109" s="44"/>
      <c r="F109" s="2"/>
      <c r="G109" s="2"/>
      <c r="H109" s="2"/>
    </row>
    <row r="110" spans="1:8" s="8" customFormat="1" ht="11.5">
      <c r="B110" s="44" t="s">
        <v>261</v>
      </c>
      <c r="C110" s="44"/>
      <c r="D110" s="44"/>
      <c r="E110" s="44"/>
      <c r="F110" s="44"/>
      <c r="G110" s="44"/>
      <c r="H110" s="44"/>
    </row>
    <row r="111" spans="1:8" s="38" customFormat="1" ht="11.5">
      <c r="B111" s="44" t="s">
        <v>262</v>
      </c>
      <c r="C111" s="44"/>
      <c r="D111" s="44"/>
      <c r="E111" s="44"/>
      <c r="F111" s="44"/>
      <c r="G111" s="44"/>
      <c r="H111" s="44"/>
    </row>
    <row r="112" spans="1:8" s="8" customFormat="1">
      <c r="B112" s="44" t="s">
        <v>263</v>
      </c>
      <c r="C112" s="44"/>
      <c r="D112" s="44"/>
      <c r="E112" s="44"/>
      <c r="F112" s="2"/>
      <c r="G112" s="2"/>
      <c r="H112" s="2"/>
    </row>
    <row r="113" spans="2:6" s="8" customFormat="1" ht="11.5">
      <c r="C113" s="42"/>
      <c r="D113" s="42"/>
    </row>
    <row r="114" spans="2:6">
      <c r="F114" s="43" t="s">
        <v>264</v>
      </c>
    </row>
    <row r="115" spans="2:6">
      <c r="B115" s="43" t="s">
        <v>265</v>
      </c>
      <c r="F115" s="43" t="s">
        <v>266</v>
      </c>
    </row>
  </sheetData>
  <mergeCells count="15">
    <mergeCell ref="B98:E98"/>
    <mergeCell ref="B1:H1"/>
    <mergeCell ref="B2:H2"/>
    <mergeCell ref="B3:H3"/>
    <mergeCell ref="B4:H4"/>
    <mergeCell ref="B97:E97"/>
    <mergeCell ref="B110:H110"/>
    <mergeCell ref="B111:H111"/>
    <mergeCell ref="B112:E112"/>
    <mergeCell ref="B99:E99"/>
    <mergeCell ref="B100:E100"/>
    <mergeCell ref="B102:E102"/>
    <mergeCell ref="B107:E107"/>
    <mergeCell ref="B108:E108"/>
    <mergeCell ref="B109:E10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0599-2878-4F8B-BC6E-CF154DF5BB07}">
  <sheetPr codeName="Sheet7"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5" t="s">
        <v>267</v>
      </c>
      <c r="B1" s="45"/>
      <c r="C1" s="45"/>
      <c r="D1" s="4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9" t="s">
        <v>268</v>
      </c>
      <c r="B3" s="49"/>
      <c r="C3" s="2"/>
      <c r="D3" s="2"/>
      <c r="E3" s="49" t="s">
        <v>269</v>
      </c>
      <c r="F3" s="49"/>
    </row>
    <row r="4" spans="1:6" ht="13" customHeight="1">
      <c r="A4" s="39" t="s">
        <v>270</v>
      </c>
      <c r="B4" s="39" t="s">
        <v>9</v>
      </c>
      <c r="C4" s="2"/>
      <c r="D4" s="2"/>
      <c r="E4" s="39" t="s">
        <v>271</v>
      </c>
      <c r="F4" s="39" t="s">
        <v>272</v>
      </c>
    </row>
    <row r="5" spans="1:6" ht="13" customHeight="1">
      <c r="A5" s="21" t="s">
        <v>14</v>
      </c>
      <c r="B5" s="50">
        <v>5.4699999999999999E-2</v>
      </c>
      <c r="C5" s="2"/>
      <c r="D5" s="2"/>
      <c r="E5" s="21" t="s">
        <v>273</v>
      </c>
      <c r="F5" s="50">
        <v>0.31540000000000001</v>
      </c>
    </row>
    <row r="6" spans="1:6" ht="13" customHeight="1">
      <c r="A6" s="21" t="s">
        <v>18</v>
      </c>
      <c r="B6" s="50">
        <v>5.0599999999999999E-2</v>
      </c>
      <c r="C6" s="2"/>
      <c r="D6" s="2"/>
      <c r="E6" s="21" t="s">
        <v>274</v>
      </c>
      <c r="F6" s="50">
        <v>0.1229</v>
      </c>
    </row>
    <row r="7" spans="1:6" ht="13" customHeight="1">
      <c r="A7" s="21" t="s">
        <v>21</v>
      </c>
      <c r="B7" s="50">
        <v>3.5099999999999999E-2</v>
      </c>
      <c r="C7" s="2"/>
      <c r="D7" s="2"/>
      <c r="E7" s="21" t="s">
        <v>275</v>
      </c>
      <c r="F7" s="50">
        <v>0.10340000000000001</v>
      </c>
    </row>
    <row r="8" spans="1:6" ht="13" customHeight="1">
      <c r="A8" s="21" t="s">
        <v>25</v>
      </c>
      <c r="B8" s="50">
        <v>3.3099999999999997E-2</v>
      </c>
      <c r="C8" s="2"/>
      <c r="D8" s="2"/>
      <c r="E8" s="21" t="s">
        <v>276</v>
      </c>
      <c r="F8" s="50">
        <v>9.0999999999999998E-2</v>
      </c>
    </row>
    <row r="9" spans="1:6" ht="13" customHeight="1">
      <c r="A9" s="21" t="s">
        <v>29</v>
      </c>
      <c r="B9" s="50">
        <v>3.0200000000000001E-2</v>
      </c>
      <c r="C9" s="2"/>
      <c r="D9" s="2"/>
      <c r="E9" s="21" t="s">
        <v>277</v>
      </c>
      <c r="F9" s="50">
        <v>7.5200000000000003E-2</v>
      </c>
    </row>
    <row r="10" spans="1:6" ht="13" customHeight="1">
      <c r="A10" s="21" t="s">
        <v>33</v>
      </c>
      <c r="B10" s="50">
        <v>2.92E-2</v>
      </c>
      <c r="C10" s="2"/>
      <c r="D10" s="2"/>
      <c r="E10" s="21" t="s">
        <v>278</v>
      </c>
      <c r="F10" s="50">
        <v>7.2800000000000004E-2</v>
      </c>
    </row>
    <row r="11" spans="1:6" ht="13" customHeight="1">
      <c r="A11" s="21" t="s">
        <v>279</v>
      </c>
      <c r="B11" s="50">
        <v>2.9100000000000001E-2</v>
      </c>
      <c r="C11" s="2"/>
      <c r="D11" s="2"/>
      <c r="E11" s="21" t="s">
        <v>47</v>
      </c>
      <c r="F11" s="50">
        <v>6.4500000000000002E-2</v>
      </c>
    </row>
    <row r="12" spans="1:6" ht="13" customHeight="1">
      <c r="A12" s="21" t="s">
        <v>41</v>
      </c>
      <c r="B12" s="50">
        <v>2.86E-2</v>
      </c>
      <c r="C12" s="2"/>
      <c r="D12" s="2"/>
      <c r="E12" s="21" t="s">
        <v>280</v>
      </c>
      <c r="F12" s="50">
        <v>4.8599999999999997E-2</v>
      </c>
    </row>
    <row r="13" spans="1:6" ht="13" customHeight="1">
      <c r="A13" s="21" t="s">
        <v>45</v>
      </c>
      <c r="B13" s="50">
        <v>2.6100000000000002E-2</v>
      </c>
      <c r="C13" s="2"/>
      <c r="D13" s="2"/>
      <c r="E13" s="21" t="s">
        <v>23</v>
      </c>
      <c r="F13" s="50">
        <v>3.5099999999999999E-2</v>
      </c>
    </row>
    <row r="14" spans="1:6" ht="13" customHeight="1">
      <c r="A14" s="21" t="s">
        <v>281</v>
      </c>
      <c r="B14" s="50">
        <v>2.5100000000000001E-2</v>
      </c>
      <c r="C14" s="2"/>
      <c r="D14" s="2"/>
      <c r="E14" s="21" t="s">
        <v>110</v>
      </c>
      <c r="F14" s="50">
        <v>2.8299999999999999E-2</v>
      </c>
    </row>
    <row r="15" spans="1:6" ht="13" customHeight="1">
      <c r="A15" s="2"/>
      <c r="B15" s="2"/>
      <c r="C15" s="2"/>
      <c r="D15" s="2"/>
      <c r="E15" s="21" t="s">
        <v>282</v>
      </c>
      <c r="F15" s="50">
        <v>1.9099999999999999E-2</v>
      </c>
    </row>
    <row r="16" spans="1:6" ht="13" customHeight="1">
      <c r="A16" s="2"/>
      <c r="B16" s="2"/>
      <c r="C16" s="2"/>
      <c r="D16" s="2"/>
      <c r="E16" s="21" t="s">
        <v>283</v>
      </c>
      <c r="F16" s="50">
        <v>1.55E-2</v>
      </c>
    </row>
    <row r="17" spans="1:6" ht="13" customHeight="1">
      <c r="A17" s="2"/>
      <c r="B17" s="2"/>
      <c r="C17" s="2"/>
      <c r="D17" s="2"/>
      <c r="E17" s="21" t="s">
        <v>237</v>
      </c>
      <c r="F17" s="50">
        <v>1.3599999999999999E-2</v>
      </c>
    </row>
    <row r="18" spans="1:6" ht="13" customHeight="1">
      <c r="A18" s="2"/>
      <c r="B18" s="2"/>
      <c r="C18" s="2"/>
      <c r="D18" s="2"/>
      <c r="E18" s="21" t="s">
        <v>284</v>
      </c>
      <c r="F18" s="50">
        <v>-5.1999999999999998E-3</v>
      </c>
    </row>
    <row r="19" spans="1:6" ht="13" customHeight="1">
      <c r="A19" s="2"/>
      <c r="B19" s="2"/>
      <c r="C19" s="2"/>
      <c r="D19" s="2"/>
      <c r="E19" s="39" t="s">
        <v>285</v>
      </c>
      <c r="F19" s="5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Flexi Cap</vt:lpstr>
      <vt:lpstr>IFCF</vt:lpstr>
      <vt:lpstr>IFCF!JR_PAGE_ANCHOR_0_7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2026-04-10T07:03:35Z</dcterms:created>
  <dcterms:modified xsi:type="dcterms:W3CDTF">2026-04-10T07:10:29Z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2026-04-10T07:03:38Z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494ddec9-dfda-495d-84a1-d3700efb909a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