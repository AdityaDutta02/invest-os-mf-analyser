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F1665E5-E80C-43A6-A1C4-497189E86740}" xr6:coauthVersionLast="47" xr6:coauthVersionMax="47" xr10:uidLastSave="{00000000-0000-0000-0000-000000000000}"/>
  <bookViews>
    <workbookView xWindow="2295" yWindow="2295" windowWidth="21495" windowHeight="10860" xr2:uid="{51D07921-C750-456D-8D9B-8DF6999D057F}"/>
  </bookViews>
  <sheets>
    <sheet name="Focused Fund" sheetId="1" r:id="rId1"/>
    <sheet name="IF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F31" i="1"/>
</calcChain>
</file>

<file path=xl/sharedStrings.xml><?xml version="1.0" encoding="utf-8"?>
<sst xmlns="http://schemas.openxmlformats.org/spreadsheetml/2006/main" count="172" uniqueCount="144">
  <si>
    <t>IFEF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</si>
  <si>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</si>
  <si>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</si>
  <si>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Focused Fund
(An open ended equity scheme investing in maximum 20 stocks across market capitalization (i.e. Multicap))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</si>
  <si>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</si>
  <si>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</si>
  <si>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</si>
  <si>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</si>
  <si>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</si>
  <si>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</si>
  <si>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</si>
  <si>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</si>
  <si>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</si>
  <si>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</si>
  <si>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</si>
  <si>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</si>
  <si>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</si>
  <si>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</si>
  <si>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</si>
  <si>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</si>
  <si>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</si>
  <si>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</si>
  <si>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</si>
  <si>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</si>
  <si>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</si>
  <si>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</si>
  <si>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</si>
  <si>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</si>
  <si>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PSYL02</t>
  </si>
  <si>
    <t>Persistent Systems Ltd</t>
  </si>
  <si>
    <t>INE262H01021</t>
  </si>
  <si>
    <t>IT - Software</t>
  </si>
  <si>
    <t>CHOL02</t>
  </si>
  <si>
    <t>Cholamandalam Investment and Finance Company Limited ‡</t>
  </si>
  <si>
    <t>INE121A01024</t>
  </si>
  <si>
    <t>Finance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</si>
  <si>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</si>
  <si>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</si>
  <si>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</si>
  <si>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</si>
  <si>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</si>
  <si>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</si>
  <si>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</si>
  <si>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Automobiles</t>
  </si>
  <si>
    <t>HALT02</t>
  </si>
  <si>
    <t>Hindustan Aeronautics Limited</t>
  </si>
  <si>
    <t>INE066F01020</t>
  </si>
  <si>
    <t>Aerospace &amp; Defense</t>
  </si>
  <si>
    <t>ABBP01</t>
  </si>
  <si>
    <t>Hitachi Energy India Limited</t>
  </si>
  <si>
    <t>INE07Y701011</t>
  </si>
  <si>
    <t>Electrical Equipment</t>
  </si>
  <si>
    <t>EDEL02</t>
  </si>
  <si>
    <t>Nuvama Wealth Management Ltd</t>
  </si>
  <si>
    <t>INE531F01023</t>
  </si>
  <si>
    <t>Capital Markets</t>
  </si>
  <si>
    <t>AENP01</t>
  </si>
  <si>
    <t>Ather Energy Limited</t>
  </si>
  <si>
    <t>INE0LEZ01016</t>
  </si>
  <si>
    <t>GHPL01</t>
  </si>
  <si>
    <t>Global Health Limited</t>
  </si>
  <si>
    <t>INE474Q01031</t>
  </si>
  <si>
    <t>Healthcare Services</t>
  </si>
  <si>
    <t>NITL02</t>
  </si>
  <si>
    <t>Coforge Limited</t>
  </si>
  <si>
    <t>INE591G01025</t>
  </si>
  <si>
    <t>VNBL03</t>
  </si>
  <si>
    <t>Varun Beverages Ltd</t>
  </si>
  <si>
    <t>INE200M01039</t>
  </si>
  <si>
    <t>Beverages</t>
  </si>
  <si>
    <t>DIXO02</t>
  </si>
  <si>
    <t>Dixon Technologies (India) Limited</t>
  </si>
  <si>
    <t>INE935N01020</t>
  </si>
  <si>
    <t>Consumer Durables</t>
  </si>
  <si>
    <t>SSNL02</t>
  </si>
  <si>
    <t>Delhivery Limited</t>
  </si>
  <si>
    <t>INE148O01028</t>
  </si>
  <si>
    <t>BHAE02</t>
  </si>
  <si>
    <t>BEML Limited</t>
  </si>
  <si>
    <t>INE258A01024</t>
  </si>
  <si>
    <t>Agricultural, Commercial &amp; Construction Vehicles</t>
  </si>
  <si>
    <t>CENT02</t>
  </si>
  <si>
    <t>Aditya Birla Real Estate Limited</t>
  </si>
  <si>
    <t>INE055A01016</t>
  </si>
  <si>
    <t>Paper, Forest &amp; Jute Products</t>
  </si>
  <si>
    <t>SUVP01</t>
  </si>
  <si>
    <t>Cohance Lifesciences Limited</t>
  </si>
  <si>
    <t>INE03QK01018</t>
  </si>
  <si>
    <t>Pharmaceuticals &amp; Biotechnology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</si>
  <si>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</si>
  <si>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</si>
  <si>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</si>
  <si>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</si>
  <si>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</si>
  <si>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</si>
  <si>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</si>
  <si>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</si>
  <si>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</si>
  <si>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</si>
  <si>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</si>
  <si>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</si>
  <si>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</si>
  <si>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</si>
  <si>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</si>
  <si>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</si>
  <si>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</si>
  <si>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</si>
  <si>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</si>
  <si>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</si>
  <si>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</si>
  <si>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</si>
  <si>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</si>
  <si>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</si>
  <si>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</si>
  <si>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</si>
  <si>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</si>
  <si>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</si>
  <si>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</si>
  <si>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</si>
  <si>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</si>
  <si>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</si>
  <si>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</si>
  <si>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</si>
  <si>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</si>
  <si>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</si>
  <si>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</si>
  <si>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</si>
  <si>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</si>
  <si>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</si>
  <si>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</si>
  <si>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</si>
  <si>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</si>
  <si>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</si>
  <si>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Clearing Corporation of India Ltd</t>
  </si>
  <si>
    <t>Information Technology</t>
  </si>
  <si>
    <t>Automobile and Auto Components</t>
  </si>
  <si>
    <t>Persistent Systems Limited</t>
  </si>
  <si>
    <t>Services</t>
  </si>
  <si>
    <t>Consumer Services</t>
  </si>
  <si>
    <t>Healthcare</t>
  </si>
  <si>
    <t>Fast Moving Consumer Goods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</si>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</sst>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55DE0-521F-4A06-9B27-256EDE2340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7443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520700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A3D55B-1033-4586-8228-1F4C07262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17443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801E-AA85-4CBE-9C00-43C4C9AD1742}">
  <sheetPr codeName="Sheet9">
    <outlinePr summaryBelow="0"/>
  </sheetPr>
  <dimension ref="A1:H64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00000000000001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3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2.95" customHeight="1" thickBo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4437491</v>
      </c>
      <c r="F8" s="14">
        <v>43984.41</v>
      </c>
      <c r="G8" s="14">
        <v>8.9499999999999993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3174245</v>
      </c>
      <c r="F9" s="14">
        <v>42626.94</v>
      </c>
      <c r="G9" s="14">
        <v>8.68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1009212</v>
      </c>
      <c r="F10" s="14">
        <v>41211.17</v>
      </c>
      <c r="G10" s="14">
        <v>8.39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9412046</v>
      </c>
      <c r="F11" s="14">
        <v>26170.19</v>
      </c>
      <c r="G11" s="14">
        <v>5.33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406451</v>
      </c>
      <c r="F12" s="14">
        <v>25492.61</v>
      </c>
      <c r="G12" s="14">
        <v>5.19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1377000</v>
      </c>
      <c r="F13" s="14">
        <v>23439.29</v>
      </c>
      <c r="G13" s="14">
        <v>4.7699999999999996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454357</v>
      </c>
      <c r="F14" s="14">
        <v>22988.19</v>
      </c>
      <c r="G14" s="14">
        <v>4.68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603968</v>
      </c>
      <c r="F15" s="14">
        <v>22466.400000000001</v>
      </c>
      <c r="G15" s="14">
        <v>4.57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483104</v>
      </c>
      <c r="F16" s="14">
        <v>21201.99</v>
      </c>
      <c r="G16" s="14">
        <v>4.32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110009</v>
      </c>
      <c r="F17" s="14">
        <v>20142.650000000001</v>
      </c>
      <c r="G17" s="14">
        <v>4.0999999999999996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1308112</v>
      </c>
      <c r="F18" s="14">
        <v>19366.599999999999</v>
      </c>
      <c r="G18" s="14">
        <v>3.94</v>
      </c>
      <c r="H18" s="15"/>
    </row>
    <row r="19" spans="1:8" ht="12.95" customHeight="1">
      <c r="A19" s="1" t="s">
        <v>56</v>
      </c>
      <c r="B19" s="11" t="s">
        <v>57</v>
      </c>
      <c r="C19" s="12" t="s">
        <v>58</v>
      </c>
      <c r="D19" s="8" t="s">
        <v>43</v>
      </c>
      <c r="E19" s="13">
        <v>2499073</v>
      </c>
      <c r="F19" s="14">
        <v>18861.75</v>
      </c>
      <c r="G19" s="14">
        <v>3.84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1503873</v>
      </c>
      <c r="F20" s="14">
        <v>17841.95</v>
      </c>
      <c r="G20" s="14">
        <v>3.63</v>
      </c>
      <c r="H20" s="15"/>
    </row>
    <row r="21" spans="1:8" ht="12.95" customHeight="1">
      <c r="A21" s="1" t="s">
        <v>63</v>
      </c>
      <c r="B21" s="11" t="s">
        <v>64</v>
      </c>
      <c r="C21" s="12" t="s">
        <v>65</v>
      </c>
      <c r="D21" s="8" t="s">
        <v>31</v>
      </c>
      <c r="E21" s="13">
        <v>1023267</v>
      </c>
      <c r="F21" s="14">
        <v>17016.93</v>
      </c>
      <c r="G21" s="14">
        <v>3.46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3362764</v>
      </c>
      <c r="F22" s="14">
        <v>16472.5</v>
      </c>
      <c r="G22" s="14">
        <v>3.35</v>
      </c>
      <c r="H22" s="15"/>
    </row>
    <row r="23" spans="1:8" ht="12.9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125487</v>
      </c>
      <c r="F23" s="14">
        <v>15186.44</v>
      </c>
      <c r="G23" s="14">
        <v>3.09</v>
      </c>
      <c r="H23" s="15"/>
    </row>
    <row r="24" spans="1:8" ht="12.95" customHeight="1">
      <c r="A24" s="1" t="s">
        <v>74</v>
      </c>
      <c r="B24" s="11" t="s">
        <v>75</v>
      </c>
      <c r="C24" s="12" t="s">
        <v>76</v>
      </c>
      <c r="D24" s="8" t="s">
        <v>39</v>
      </c>
      <c r="E24" s="13">
        <v>3674554</v>
      </c>
      <c r="F24" s="14">
        <v>14839.69</v>
      </c>
      <c r="G24" s="14">
        <v>3.02</v>
      </c>
      <c r="H24" s="15"/>
    </row>
    <row r="25" spans="1:8" ht="12.95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770280</v>
      </c>
      <c r="F25" s="14">
        <v>14326.44</v>
      </c>
      <c r="G25" s="14">
        <v>2.92</v>
      </c>
      <c r="H25" s="15"/>
    </row>
    <row r="26" spans="1:8" ht="12.95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709077</v>
      </c>
      <c r="F26" s="14">
        <v>11875.62</v>
      </c>
      <c r="G26" s="14">
        <v>2.42</v>
      </c>
      <c r="H26" s="15"/>
    </row>
    <row r="27" spans="1:8" ht="12.95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1388970</v>
      </c>
      <c r="F27" s="14">
        <v>7342.1</v>
      </c>
      <c r="G27" s="14">
        <v>1.49</v>
      </c>
      <c r="H27" s="15"/>
    </row>
    <row r="28" spans="1:8" ht="12.95" customHeight="1">
      <c r="A28" s="2"/>
      <c r="B28" s="7" t="s">
        <v>89</v>
      </c>
      <c r="C28" s="8"/>
      <c r="D28" s="8"/>
      <c r="E28" s="8"/>
      <c r="F28" s="16">
        <v>442853.86</v>
      </c>
      <c r="G28" s="16">
        <v>90.14</v>
      </c>
      <c r="H28" s="17"/>
    </row>
    <row r="29" spans="1:8" ht="12.95" customHeight="1">
      <c r="A29" s="2"/>
      <c r="B29" s="18" t="s">
        <v>90</v>
      </c>
      <c r="C29" s="19"/>
      <c r="D29" s="19"/>
      <c r="E29" s="20"/>
      <c r="F29" s="21" t="s">
        <v>91</v>
      </c>
      <c r="G29" s="21" t="s">
        <v>91</v>
      </c>
      <c r="H29" s="22" t="s">
        <v>91</v>
      </c>
    </row>
    <row r="30" spans="1:8" ht="12.95" customHeight="1">
      <c r="A30" s="2"/>
      <c r="B30" s="23" t="s">
        <v>89</v>
      </c>
      <c r="C30" s="24"/>
      <c r="D30" s="24"/>
      <c r="E30" s="21"/>
      <c r="F30" s="21" t="s">
        <v>91</v>
      </c>
      <c r="G30" s="21" t="s">
        <v>91</v>
      </c>
      <c r="H30" s="22" t="s">
        <v>91</v>
      </c>
    </row>
    <row r="31" spans="1:8" ht="12.95" customHeight="1">
      <c r="A31" s="2"/>
      <c r="B31" s="18" t="s">
        <v>92</v>
      </c>
      <c r="C31" s="19"/>
      <c r="D31" s="19"/>
      <c r="E31" s="25"/>
      <c r="F31" s="16">
        <f>F28</f>
        <v>442853.86</v>
      </c>
      <c r="G31" s="16">
        <f>G28</f>
        <v>90.14</v>
      </c>
      <c r="H31" s="22"/>
    </row>
    <row r="32" spans="1:8" ht="12.95" customHeight="1">
      <c r="A32" s="2"/>
      <c r="B32" s="7" t="s">
        <v>93</v>
      </c>
      <c r="C32" s="8"/>
      <c r="D32" s="8"/>
      <c r="E32" s="8"/>
      <c r="F32" s="8"/>
      <c r="G32" s="8"/>
      <c r="H32" s="9"/>
    </row>
    <row r="33" spans="1:8" ht="12.95" customHeight="1">
      <c r="A33" s="2"/>
      <c r="B33" s="7" t="s">
        <v>94</v>
      </c>
      <c r="C33" s="10"/>
      <c r="D33" s="10"/>
      <c r="E33" s="8"/>
      <c r="F33" s="8"/>
      <c r="G33" s="8"/>
      <c r="H33" s="9"/>
    </row>
    <row r="34" spans="1:8" ht="12.95" customHeight="1">
      <c r="A34" s="1" t="s">
        <v>95</v>
      </c>
      <c r="B34" s="11" t="s">
        <v>96</v>
      </c>
      <c r="C34" s="12"/>
      <c r="D34" s="8"/>
      <c r="E34" s="13"/>
      <c r="F34" s="14">
        <v>29737.200000000001</v>
      </c>
      <c r="G34" s="14">
        <v>6.05</v>
      </c>
      <c r="H34" s="15">
        <v>5.3290911972209892E-2</v>
      </c>
    </row>
    <row r="35" spans="1:8" ht="12.95" customHeight="1">
      <c r="A35" s="2"/>
      <c r="B35" s="7" t="s">
        <v>89</v>
      </c>
      <c r="C35" s="8"/>
      <c r="D35" s="8"/>
      <c r="E35" s="8"/>
      <c r="F35" s="16">
        <v>29737.200000000001</v>
      </c>
      <c r="G35" s="16">
        <v>6.05</v>
      </c>
      <c r="H35" s="17"/>
    </row>
    <row r="36" spans="1:8" ht="12.95" customHeight="1">
      <c r="A36" s="2"/>
      <c r="B36" s="18" t="s">
        <v>92</v>
      </c>
      <c r="C36" s="19"/>
      <c r="D36" s="19"/>
      <c r="E36" s="25"/>
      <c r="F36" s="16">
        <v>29737.200000000001</v>
      </c>
      <c r="G36" s="16">
        <v>6.05</v>
      </c>
      <c r="H36" s="22"/>
    </row>
    <row r="37" spans="1:8" ht="12.95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2.95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2.95" customHeight="1">
      <c r="A39" s="1" t="s">
        <v>99</v>
      </c>
      <c r="B39" s="11" t="s">
        <v>100</v>
      </c>
      <c r="C39" s="12" t="s">
        <v>101</v>
      </c>
      <c r="D39" s="8"/>
      <c r="E39" s="26">
        <v>415142.53399999999</v>
      </c>
      <c r="F39" s="14">
        <v>15468.74</v>
      </c>
      <c r="G39" s="14">
        <v>3.15</v>
      </c>
      <c r="H39" s="15"/>
    </row>
    <row r="40" spans="1:8" ht="12.95" customHeight="1">
      <c r="A40" s="2"/>
      <c r="B40" s="7" t="s">
        <v>89</v>
      </c>
      <c r="C40" s="8"/>
      <c r="D40" s="8"/>
      <c r="E40" s="8"/>
      <c r="F40" s="16">
        <v>15468.74</v>
      </c>
      <c r="G40" s="16">
        <v>3.15</v>
      </c>
      <c r="H40" s="17"/>
    </row>
    <row r="41" spans="1:8" ht="12.95" customHeight="1">
      <c r="A41" s="2"/>
      <c r="B41" s="7" t="s">
        <v>102</v>
      </c>
      <c r="C41" s="8"/>
      <c r="D41" s="8"/>
      <c r="E41" s="8"/>
      <c r="F41" s="27"/>
      <c r="G41" s="28"/>
      <c r="H41" s="17"/>
    </row>
    <row r="42" spans="1:8" ht="12.95" customHeight="1">
      <c r="A42" s="1" t="s">
        <v>103</v>
      </c>
      <c r="B42" s="11" t="s">
        <v>104</v>
      </c>
      <c r="C42" s="12" t="s">
        <v>105</v>
      </c>
      <c r="D42" s="8" t="s">
        <v>43</v>
      </c>
      <c r="E42" s="13">
        <v>1193784</v>
      </c>
      <c r="F42" s="14">
        <v>121.6</v>
      </c>
      <c r="G42" s="14">
        <v>0.02</v>
      </c>
      <c r="H42" s="15"/>
    </row>
    <row r="43" spans="1:8" ht="12.95" customHeight="1">
      <c r="A43" s="2"/>
      <c r="B43" s="7" t="s">
        <v>89</v>
      </c>
      <c r="C43" s="8"/>
      <c r="D43" s="8"/>
      <c r="E43" s="8"/>
      <c r="F43" s="16">
        <v>121.6</v>
      </c>
      <c r="G43" s="16">
        <v>0.02</v>
      </c>
      <c r="H43" s="17"/>
    </row>
    <row r="44" spans="1:8" ht="12.95" customHeight="1">
      <c r="A44" s="2"/>
      <c r="B44" s="18" t="s">
        <v>92</v>
      </c>
      <c r="C44" s="19"/>
      <c r="D44" s="19"/>
      <c r="E44" s="25"/>
      <c r="F44" s="16">
        <v>15590.34</v>
      </c>
      <c r="G44" s="16">
        <v>3.17</v>
      </c>
      <c r="H44" s="22"/>
    </row>
    <row r="45" spans="1:8" ht="12.95" customHeight="1">
      <c r="A45" s="2"/>
      <c r="B45" s="18" t="s">
        <v>106</v>
      </c>
      <c r="C45" s="19"/>
      <c r="D45" s="19"/>
      <c r="E45" s="8"/>
      <c r="F45" s="16">
        <v>3006.05</v>
      </c>
      <c r="G45" s="16">
        <v>0.64</v>
      </c>
      <c r="H45" s="22"/>
    </row>
    <row r="46" spans="1:8" ht="12.95" customHeight="1" thickBot="1">
      <c r="A46" s="2"/>
      <c r="B46" s="29" t="s">
        <v>107</v>
      </c>
      <c r="C46" s="30"/>
      <c r="D46" s="30"/>
      <c r="E46" s="30"/>
      <c r="F46" s="31">
        <v>491187.45</v>
      </c>
      <c r="G46" s="32">
        <v>100</v>
      </c>
      <c r="H46" s="33"/>
    </row>
    <row r="47" spans="1:8" ht="12.95" customHeight="1">
      <c r="A47" s="2"/>
      <c r="B47" s="39"/>
      <c r="C47" s="39"/>
      <c r="D47" s="39"/>
      <c r="E47" s="39"/>
      <c r="F47" s="2"/>
      <c r="G47" s="2"/>
      <c r="H47" s="2"/>
    </row>
    <row r="48" spans="1:8" ht="12.95" customHeight="1">
      <c r="A48" s="2"/>
      <c r="B48" s="39" t="s">
        <v>108</v>
      </c>
      <c r="C48" s="39"/>
      <c r="D48" s="39"/>
      <c r="E48" s="39"/>
      <c r="F48" s="34"/>
      <c r="G48" s="34"/>
      <c r="H48" s="2"/>
    </row>
    <row r="49" spans="1:8" ht="12.95" customHeight="1">
      <c r="A49" s="2"/>
      <c r="B49" s="39" t="s">
        <v>109</v>
      </c>
      <c r="C49" s="39"/>
      <c r="D49" s="39"/>
      <c r="E49" s="39"/>
      <c r="F49" s="2"/>
      <c r="G49" s="2"/>
      <c r="H49" s="2"/>
    </row>
    <row r="50" spans="1:8" ht="12.95" customHeight="1">
      <c r="A50" s="2"/>
      <c r="B50" s="39" t="s">
        <v>110</v>
      </c>
      <c r="C50" s="39"/>
      <c r="D50" s="39"/>
      <c r="E50" s="39"/>
      <c r="F50" s="2"/>
      <c r="G50" s="2"/>
      <c r="H50" s="2"/>
    </row>
    <row r="51" spans="1:8" ht="12.95" customHeight="1">
      <c r="A51" s="2"/>
      <c r="B51" s="39" t="s">
        <v>111</v>
      </c>
      <c r="C51" s="39"/>
      <c r="D51" s="39"/>
      <c r="E51" s="39"/>
      <c r="F51" s="2"/>
      <c r="G51" s="2"/>
      <c r="H51" s="2"/>
    </row>
    <row r="52" spans="1:8" ht="12.95" customHeight="1">
      <c r="A52" s="2"/>
      <c r="B52" s="40"/>
      <c r="C52" s="40"/>
      <c r="D52" s="40"/>
      <c r="E52" s="40"/>
      <c r="F52" s="2"/>
      <c r="G52" s="2"/>
      <c r="H52" s="2"/>
    </row>
    <row r="53" spans="1:8" ht="12.95" customHeight="1">
      <c r="A53" s="2"/>
      <c r="B53" s="41" t="s">
        <v>112</v>
      </c>
      <c r="C53" s="41"/>
      <c r="D53" s="41"/>
      <c r="E53" s="41"/>
      <c r="F53" s="2"/>
      <c r="G53" s="2"/>
      <c r="H53" s="2"/>
    </row>
    <row r="54" spans="1:8" ht="12.95" customHeight="1">
      <c r="A54" s="2"/>
      <c r="B54" s="35" t="s">
        <v>113</v>
      </c>
      <c r="C54" s="35" t="s">
        <v>114</v>
      </c>
      <c r="D54" s="2"/>
      <c r="E54" s="2"/>
      <c r="F54" s="2"/>
      <c r="G54" s="2"/>
      <c r="H54" s="2"/>
    </row>
    <row r="55" spans="1:8" ht="12.95" customHeight="1">
      <c r="A55" s="2"/>
      <c r="B55" s="36" t="s">
        <v>115</v>
      </c>
      <c r="C55" s="37">
        <v>96780</v>
      </c>
      <c r="D55" s="2"/>
      <c r="E55" s="2"/>
      <c r="F55" s="2"/>
      <c r="G55" s="2"/>
      <c r="H55" s="2"/>
    </row>
    <row r="56" spans="1:8" ht="12.95" customHeight="1">
      <c r="A56" s="2"/>
      <c r="B56" s="40"/>
      <c r="C56" s="40"/>
      <c r="D56" s="40"/>
      <c r="E56" s="40"/>
      <c r="F56" s="2"/>
      <c r="G56" s="2"/>
      <c r="H56" s="2"/>
    </row>
    <row r="57" spans="1:8" ht="12.95" customHeight="1">
      <c r="A57" s="2"/>
      <c r="B57" s="39" t="s">
        <v>116</v>
      </c>
      <c r="C57" s="39"/>
      <c r="D57" s="39"/>
      <c r="E57" s="39"/>
      <c r="F57" s="2"/>
      <c r="G57" s="2"/>
      <c r="H57" s="2"/>
    </row>
    <row r="58" spans="1:8" ht="12.95" customHeight="1">
      <c r="A58" s="2"/>
      <c r="B58" s="40" t="s">
        <v>117</v>
      </c>
      <c r="C58" s="40"/>
      <c r="D58" s="40"/>
      <c r="E58" s="40"/>
      <c r="F58" s="2"/>
      <c r="G58" s="2"/>
      <c r="H58" s="2"/>
    </row>
    <row r="59" spans="1:8" ht="12.95" customHeight="1">
      <c r="A59" s="2"/>
      <c r="B59" s="40" t="s">
        <v>118</v>
      </c>
      <c r="C59" s="40"/>
      <c r="D59" s="40"/>
      <c r="E59" s="40"/>
      <c r="F59" s="2"/>
      <c r="G59" s="2"/>
      <c r="H59" s="2"/>
    </row>
    <row r="60" spans="1:8" ht="12.95" customHeight="1">
      <c r="A60" s="2"/>
      <c r="B60" s="40" t="s">
        <v>119</v>
      </c>
      <c r="C60" s="40"/>
      <c r="D60" s="40"/>
      <c r="E60" s="40"/>
      <c r="F60" s="40"/>
      <c r="G60" s="40"/>
      <c r="H60" s="40"/>
    </row>
    <row r="61" spans="1:8" ht="12.95" customHeight="1">
      <c r="A61" s="2"/>
      <c r="B61" s="40" t="s">
        <v>120</v>
      </c>
      <c r="C61" s="40"/>
      <c r="D61" s="40"/>
      <c r="E61" s="40"/>
      <c r="F61" s="40"/>
      <c r="G61" s="40"/>
      <c r="H61" s="40"/>
    </row>
    <row r="62" spans="1:8" ht="12.95" customHeight="1">
      <c r="A62" s="2"/>
      <c r="B62" s="40" t="s">
        <v>121</v>
      </c>
      <c r="C62" s="40"/>
      <c r="D62" s="40"/>
      <c r="E62" s="40"/>
      <c r="F62" s="2"/>
      <c r="G62" s="2"/>
      <c r="H62" s="2"/>
    </row>
    <row r="63" spans="1:8">
      <c r="F63" s="38" t="s">
        <v>122</v>
      </c>
    </row>
    <row r="64" spans="1:8">
      <c r="B64" s="38" t="s">
        <v>123</v>
      </c>
      <c r="F64" s="38" t="s">
        <v>124</v>
      </c>
    </row>
  </sheetData>
  <mergeCells count="18">
    <mergeCell ref="B48:E48"/>
    <mergeCell ref="B1:H1"/>
    <mergeCell ref="B2:H2"/>
    <mergeCell ref="B3:H3"/>
    <mergeCell ref="B4:H4"/>
    <mergeCell ref="B47:E47"/>
    <mergeCell ref="B62:E62"/>
    <mergeCell ref="B49:E49"/>
    <mergeCell ref="B50:E50"/>
    <mergeCell ref="B51:E51"/>
    <mergeCell ref="B52:E52"/>
    <mergeCell ref="B53:E53"/>
    <mergeCell ref="B56:E56"/>
    <mergeCell ref="B57:E57"/>
    <mergeCell ref="B58:E58"/>
    <mergeCell ref="B59:E59"/>
    <mergeCell ref="B60:H60"/>
    <mergeCell ref="B61:H6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CE12-F675-44EB-BD42-7F8B4859DBEB}">
  <sheetPr codeName="Sheet8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9" t="s">
        <v>125</v>
      </c>
      <c r="B1" s="39"/>
      <c r="C1" s="39"/>
      <c r="D1" s="43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4" t="s">
        <v>126</v>
      </c>
      <c r="B3" s="44"/>
      <c r="C3" s="2"/>
      <c r="D3" s="2"/>
      <c r="E3" s="44" t="s">
        <v>127</v>
      </c>
      <c r="F3" s="44"/>
    </row>
    <row r="4" spans="1:6" ht="12.95" customHeight="1">
      <c r="A4" s="45" t="s">
        <v>128</v>
      </c>
      <c r="B4" s="45" t="s">
        <v>9</v>
      </c>
      <c r="C4" s="2"/>
      <c r="D4" s="2"/>
      <c r="E4" s="45" t="s">
        <v>129</v>
      </c>
      <c r="F4" s="45" t="s">
        <v>130</v>
      </c>
    </row>
    <row r="5" spans="1:6" ht="12.95" customHeight="1">
      <c r="A5" s="19" t="s">
        <v>14</v>
      </c>
      <c r="B5" s="46">
        <v>8.9499999999999996E-2</v>
      </c>
      <c r="C5" s="2"/>
      <c r="D5" s="2"/>
      <c r="E5" s="19" t="s">
        <v>131</v>
      </c>
      <c r="F5" s="46">
        <v>0.26350000000000001</v>
      </c>
    </row>
    <row r="6" spans="1:6" ht="12.95" customHeight="1">
      <c r="A6" s="19" t="s">
        <v>18</v>
      </c>
      <c r="B6" s="46">
        <v>8.6800000000000002E-2</v>
      </c>
      <c r="C6" s="2"/>
      <c r="D6" s="2"/>
      <c r="E6" s="19" t="s">
        <v>132</v>
      </c>
      <c r="F6" s="46">
        <v>0.1133</v>
      </c>
    </row>
    <row r="7" spans="1:6" ht="12.95" customHeight="1">
      <c r="A7" s="19" t="s">
        <v>21</v>
      </c>
      <c r="B7" s="46">
        <v>8.3900000000000002E-2</v>
      </c>
      <c r="C7" s="2"/>
      <c r="D7" s="2"/>
      <c r="E7" s="19" t="s">
        <v>97</v>
      </c>
      <c r="F7" s="46">
        <v>9.1999999999999998E-2</v>
      </c>
    </row>
    <row r="8" spans="1:6" ht="12.95" customHeight="1">
      <c r="A8" s="19" t="s">
        <v>133</v>
      </c>
      <c r="B8" s="46">
        <v>6.0499999999999998E-2</v>
      </c>
      <c r="C8" s="2"/>
      <c r="D8" s="2"/>
      <c r="E8" s="19" t="s">
        <v>134</v>
      </c>
      <c r="F8" s="46">
        <v>8.6499999999999994E-2</v>
      </c>
    </row>
    <row r="9" spans="1:6" ht="12.95" customHeight="1">
      <c r="A9" s="19" t="s">
        <v>25</v>
      </c>
      <c r="B9" s="46">
        <v>5.33E-2</v>
      </c>
      <c r="C9" s="2"/>
      <c r="D9" s="2"/>
      <c r="E9" s="19" t="s">
        <v>135</v>
      </c>
      <c r="F9" s="46">
        <v>8.4099999999999994E-2</v>
      </c>
    </row>
    <row r="10" spans="1:6" ht="12.95" customHeight="1">
      <c r="A10" s="19" t="s">
        <v>136</v>
      </c>
      <c r="B10" s="46">
        <v>5.1900000000000002E-2</v>
      </c>
      <c r="C10" s="2"/>
      <c r="D10" s="2"/>
      <c r="E10" s="19" t="s">
        <v>23</v>
      </c>
      <c r="F10" s="46">
        <v>8.3900000000000002E-2</v>
      </c>
    </row>
    <row r="11" spans="1:6" ht="12.95" customHeight="1">
      <c r="A11" s="19" t="s">
        <v>115</v>
      </c>
      <c r="B11" s="46">
        <v>4.7699999999999999E-2</v>
      </c>
      <c r="C11" s="2"/>
      <c r="D11" s="2"/>
      <c r="E11" s="19" t="s">
        <v>137</v>
      </c>
      <c r="F11" s="46">
        <v>7.6999999999999999E-2</v>
      </c>
    </row>
    <row r="12" spans="1:6" ht="12.95" customHeight="1">
      <c r="A12" s="19" t="s">
        <v>37</v>
      </c>
      <c r="B12" s="46">
        <v>4.6800000000000001E-2</v>
      </c>
      <c r="C12" s="2"/>
      <c r="D12" s="2"/>
      <c r="E12" s="19" t="s">
        <v>138</v>
      </c>
      <c r="F12" s="46">
        <v>5.33E-2</v>
      </c>
    </row>
    <row r="13" spans="1:6" ht="12.95" customHeight="1">
      <c r="A13" s="19" t="s">
        <v>41</v>
      </c>
      <c r="B13" s="46">
        <v>4.5699999999999998E-2</v>
      </c>
      <c r="C13" s="2"/>
      <c r="D13" s="2"/>
      <c r="E13" s="19" t="s">
        <v>139</v>
      </c>
      <c r="F13" s="46">
        <v>5.1299999999999998E-2</v>
      </c>
    </row>
    <row r="14" spans="1:6" ht="12.95" customHeight="1">
      <c r="A14" s="19" t="s">
        <v>45</v>
      </c>
      <c r="B14" s="46">
        <v>4.3200000000000002E-2</v>
      </c>
      <c r="C14" s="2"/>
      <c r="D14" s="2"/>
      <c r="E14" s="19" t="s">
        <v>140</v>
      </c>
      <c r="F14" s="46">
        <v>3.3500000000000002E-2</v>
      </c>
    </row>
    <row r="15" spans="1:6" ht="12.95" customHeight="1">
      <c r="A15" s="2"/>
      <c r="B15" s="2"/>
      <c r="C15" s="2"/>
      <c r="D15" s="2"/>
      <c r="E15" s="19" t="s">
        <v>73</v>
      </c>
      <c r="F15" s="46">
        <v>3.09E-2</v>
      </c>
    </row>
    <row r="16" spans="1:6" ht="12.95" customHeight="1">
      <c r="A16" s="2"/>
      <c r="B16" s="2"/>
      <c r="C16" s="2"/>
      <c r="D16" s="2"/>
      <c r="E16" s="19" t="s">
        <v>141</v>
      </c>
      <c r="F16" s="46">
        <v>2.4199999999999999E-2</v>
      </c>
    </row>
    <row r="17" spans="1:6" ht="12.95" customHeight="1">
      <c r="A17" s="2"/>
      <c r="B17" s="2"/>
      <c r="C17" s="2"/>
      <c r="D17" s="2"/>
      <c r="E17" s="19" t="s">
        <v>142</v>
      </c>
      <c r="F17" s="46">
        <v>6.4000000000000003E-3</v>
      </c>
    </row>
    <row r="18" spans="1:6" ht="12.95" customHeight="1">
      <c r="A18" s="2"/>
      <c r="B18" s="2"/>
      <c r="C18" s="2"/>
      <c r="D18" s="2"/>
      <c r="E18" s="45" t="s">
        <v>143</v>
      </c>
      <c r="F1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2026-01-09T07:26:06Z</dcterms:created>
  <dcterms:modified xsi:type="dcterms:W3CDTF">2026-01-09T07:28:40Z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2026-01-09T07:26:12Z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509a5058-65d0-462c-a05a-ab9996452724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