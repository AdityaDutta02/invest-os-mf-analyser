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4C83E9BB-A3DF-4533-92C6-F51D38675F97}" xr6:coauthVersionLast="47" xr6:coauthVersionMax="47" xr10:uidLastSave="{00000000-0000-0000-0000-000000000000}"/>
  <bookViews>
    <workbookView xWindow="2295" yWindow="2295" windowWidth="21495" windowHeight="10860" xr2:uid="{9B643A67-0192-4AAD-A1E2-8628A89AA7FE}"/>
  </bookViews>
  <sheets>
    <sheet name="Multi Cap" sheetId="1" r:id="rId1"/>
    <sheet name="RMSCF" sheetId="2" r:id="rId2"/>
  </sheets>
  <definedNames>
    <definedName name="JR_PAGE_ANCHOR_0_27">'Multi Cap'!$A$1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 localSheetId="1">RMSCF!$A$1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8" i="1" l="1"/>
  <c r="G77" i="1"/>
  <c r="G78" i="1" s="1"/>
  <c r="F77" i="1"/>
  <c r="G68" i="1"/>
  <c r="F68" i="1"/>
</calcChain>
</file>

<file path=xl/sharedStrings.xml><?xml version="1.0" encoding="utf-8"?>
<sst xmlns="http://schemas.openxmlformats.org/spreadsheetml/2006/main" count="319" uniqueCount="260">
  <si>
    <t>RMSCF</t>
  </si>
  <si>
    <t>INVESCO MUTUAL FUND</t>
  </si>
  <si>
    <t>Monthly Portfolio Statement as on December 31, 2025</t>
  </si>
  <si>
    <r>
      <rPr>
        <b/>
        <sz val="16"/>
        <color rgb="FFFFFFFF"/>
        <rFont val="Arial"/>
        <family val="2"/>
      </rPr>
      <t>Invesco India Multicap Fund
(Multi Cap Fund - An open ended equity scheme investing across large cap, mid cap, small cap stocks)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</si>
  <si>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</si>
  <si>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</si>
  <si>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</si>
  <si>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</si>
  <si>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</si>
  <si>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</si>
  <si>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</si>
  <si>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</si>
  <si>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</si>
  <si>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CHOL02</t>
  </si>
  <si>
    <t>Cholamandalam Investment and Finance Company Limited ‡</t>
  </si>
  <si>
    <t>INE121A01024</t>
  </si>
  <si>
    <t>Finance</t>
  </si>
  <si>
    <t>ZMPL01</t>
  </si>
  <si>
    <t>Eternal Limited</t>
  </si>
  <si>
    <t>INE758T01015</t>
  </si>
  <si>
    <t>Retailing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</si>
  <si>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</si>
  <si>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</si>
  <si>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</si>
  <si>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</si>
  <si>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</si>
  <si>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</si>
  <si>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</si>
  <si>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MCEX01</t>
  </si>
  <si>
    <t>Multi Commodity Exchange of India Limited</t>
  </si>
  <si>
    <t>INE745G01035</t>
  </si>
  <si>
    <t>Capital Markets</t>
  </si>
  <si>
    <t>KIMS02</t>
  </si>
  <si>
    <t>Krishna Institute Of Medical Sciences Limited</t>
  </si>
  <si>
    <t>INE967H01025</t>
  </si>
  <si>
    <t>Healthcare Services</t>
  </si>
  <si>
    <t>BSEL02</t>
  </si>
  <si>
    <t>BSE Limited</t>
  </si>
  <si>
    <t>INE118H01025</t>
  </si>
  <si>
    <t>DRAH01</t>
  </si>
  <si>
    <t>Dr Agarwals Health Care Limited</t>
  </si>
  <si>
    <t>INE943P01029</t>
  </si>
  <si>
    <t>SAPH01</t>
  </si>
  <si>
    <t>Sai Life Sciences Limited</t>
  </si>
  <si>
    <t>INE570L01029</t>
  </si>
  <si>
    <t>Pharmaceuticals &amp; Biotechnology</t>
  </si>
  <si>
    <t>BLTE01</t>
  </si>
  <si>
    <t>Swiggy Limited</t>
  </si>
  <si>
    <t>INE00H001014</t>
  </si>
  <si>
    <t>BTVL03</t>
  </si>
  <si>
    <t>Bharti Airtel Ltd Partly Paid 1.25 FV</t>
  </si>
  <si>
    <t>IN9397D01014</t>
  </si>
  <si>
    <t>Telecom - Services</t>
  </si>
  <si>
    <t>RCAM01</t>
  </si>
  <si>
    <t>Nippon Life India Asset Management Limited</t>
  </si>
  <si>
    <t>INE298J01013</t>
  </si>
  <si>
    <t>SAEL02</t>
  </si>
  <si>
    <t>TVS Motor Company Limited</t>
  </si>
  <si>
    <t>INE494B01023</t>
  </si>
  <si>
    <t>Automobiles</t>
  </si>
  <si>
    <t>AFPL02</t>
  </si>
  <si>
    <t>AU Small Finance Bank Limited</t>
  </si>
  <si>
    <t>INE949L01017</t>
  </si>
  <si>
    <t>PSYL02</t>
  </si>
  <si>
    <t>Persistent Systems Ltd</t>
  </si>
  <si>
    <t>INE262H01021</t>
  </si>
  <si>
    <t>IT - Software</t>
  </si>
  <si>
    <t>MAHE01</t>
  </si>
  <si>
    <t>Max Healthcare Institute Limited</t>
  </si>
  <si>
    <t>INE027H01010</t>
  </si>
  <si>
    <t>PREP01</t>
  </si>
  <si>
    <t>Prestige Estates Projects Limited</t>
  </si>
  <si>
    <t>INE811K01011</t>
  </si>
  <si>
    <t>Realty</t>
  </si>
  <si>
    <t>INAV01</t>
  </si>
  <si>
    <t>InterGlobe Aviation Limited</t>
  </si>
  <si>
    <t>INE646L01027</t>
  </si>
  <si>
    <t>Transport Services</t>
  </si>
  <si>
    <t>LAKM02</t>
  </si>
  <si>
    <t>Trent Limited</t>
  </si>
  <si>
    <t>INE849A01020</t>
  </si>
  <si>
    <t>JKCE01</t>
  </si>
  <si>
    <t>JK Cement Limited</t>
  </si>
  <si>
    <t>INE823G01014</t>
  </si>
  <si>
    <t>Cement &amp; Cement Products</t>
  </si>
  <si>
    <t>GODI01</t>
  </si>
  <si>
    <t>Go Digit General Insurance Ltd</t>
  </si>
  <si>
    <t>INE03JT01014</t>
  </si>
  <si>
    <t>Insurance</t>
  </si>
  <si>
    <t>ESMC02</t>
  </si>
  <si>
    <t>PB Fintech Limited</t>
  </si>
  <si>
    <t>INE417T01026</t>
  </si>
  <si>
    <t>Financial Technology (Fintech)</t>
  </si>
  <si>
    <t>BHEL02</t>
  </si>
  <si>
    <t>Bharat Electronics Limited</t>
  </si>
  <si>
    <t>INE263A01024</t>
  </si>
  <si>
    <t>Aerospace &amp; Defense</t>
  </si>
  <si>
    <t>SSNL02</t>
  </si>
  <si>
    <t>Delhivery Limited</t>
  </si>
  <si>
    <t>INE148O01028</t>
  </si>
  <si>
    <t>MAHI02</t>
  </si>
  <si>
    <t>Mahindra &amp; Mahindra Limited</t>
  </si>
  <si>
    <t>INE101A01026</t>
  </si>
  <si>
    <t>GHPL01</t>
  </si>
  <si>
    <t>Global Health Limited</t>
  </si>
  <si>
    <t>INE474Q01031</t>
  </si>
  <si>
    <t>APLI04</t>
  </si>
  <si>
    <t>Hexaware Technologies Limited</t>
  </si>
  <si>
    <t>INE093A01041</t>
  </si>
  <si>
    <t>DIXO02</t>
  </si>
  <si>
    <t>Dixon Technologies (India) Limited</t>
  </si>
  <si>
    <t>INE935N01020</t>
  </si>
  <si>
    <t>Consumer Durables</t>
  </si>
  <si>
    <t>NITL02</t>
  </si>
  <si>
    <t>Coforge Limited</t>
  </si>
  <si>
    <t>INE591G01025</t>
  </si>
  <si>
    <t>PHMI02</t>
  </si>
  <si>
    <t>The Phoenix Mills Limited</t>
  </si>
  <si>
    <t>INE211B01039</t>
  </si>
  <si>
    <t>LARS02</t>
  </si>
  <si>
    <t>Larsen &amp; Toubro Limited</t>
  </si>
  <si>
    <t>INE018A01030</t>
  </si>
  <si>
    <t>Construction</t>
  </si>
  <si>
    <t>AMBE01</t>
  </si>
  <si>
    <t>Amber Enterprises India Limited ‡</t>
  </si>
  <si>
    <t>INE371P01015</t>
  </si>
  <si>
    <t>FSNE01</t>
  </si>
  <si>
    <t>FSN E-Commerce Ventures Limited ‡</t>
  </si>
  <si>
    <t>INE388Y01029</t>
  </si>
  <si>
    <t>SAFI02</t>
  </si>
  <si>
    <t>Safari Industries (India) Limited</t>
  </si>
  <si>
    <t>INE429E01023</t>
  </si>
  <si>
    <t>HFFC02</t>
  </si>
  <si>
    <t>Home First Finance Company India Limited</t>
  </si>
  <si>
    <t>INE481N01025</t>
  </si>
  <si>
    <t>ULCC01</t>
  </si>
  <si>
    <t>UltraTech Cement Limited</t>
  </si>
  <si>
    <t>INE481G01011</t>
  </si>
  <si>
    <t>MIIL02</t>
  </si>
  <si>
    <t>UNO Minda Limited</t>
  </si>
  <si>
    <t>INE405E01023</t>
  </si>
  <si>
    <t>Auto Components</t>
  </si>
  <si>
    <t>SCLB01</t>
  </si>
  <si>
    <t>Leela Palaces Hotels &amp; Resorts Limited</t>
  </si>
  <si>
    <t>INE0AQ201015</t>
  </si>
  <si>
    <t>Leisure Services</t>
  </si>
  <si>
    <t>BAFL03</t>
  </si>
  <si>
    <t>Bajaj Finance Ltd</t>
  </si>
  <si>
    <t>INE296A01032</t>
  </si>
  <si>
    <t>JUFL02</t>
  </si>
  <si>
    <t>Jubilant Foodworks Limited</t>
  </si>
  <si>
    <t>INE797F01020</t>
  </si>
  <si>
    <t>TIIN01</t>
  </si>
  <si>
    <t>Timken India Limited</t>
  </si>
  <si>
    <t>INE325A01013</t>
  </si>
  <si>
    <t>Industrial Products</t>
  </si>
  <si>
    <t>SBFC01</t>
  </si>
  <si>
    <t>SBFC Finance Limited</t>
  </si>
  <si>
    <t>INE423Y01016</t>
  </si>
  <si>
    <t>KEII02</t>
  </si>
  <si>
    <t>KEI Industries Limited</t>
  </si>
  <si>
    <t>INE878B01027</t>
  </si>
  <si>
    <t>FUJI02</t>
  </si>
  <si>
    <t>Zensar Technologies Limited</t>
  </si>
  <si>
    <t>INE520A01027</t>
  </si>
  <si>
    <t>ABBP01</t>
  </si>
  <si>
    <t>Hitachi Energy India Limited</t>
  </si>
  <si>
    <t>INE07Y701011</t>
  </si>
  <si>
    <t>Electrical Equipment</t>
  </si>
  <si>
    <t>ETHO01</t>
  </si>
  <si>
    <t>Ethos Ltd.</t>
  </si>
  <si>
    <t>INE04TZ01018</t>
  </si>
  <si>
    <t>CONB01</t>
  </si>
  <si>
    <t>Concord Biotech Limited</t>
  </si>
  <si>
    <t>INE338H01029</t>
  </si>
  <si>
    <t>MEBR01</t>
  </si>
  <si>
    <t>Metro Brands Limited</t>
  </si>
  <si>
    <t>INE317I01021</t>
  </si>
  <si>
    <t>KAVY06</t>
  </si>
  <si>
    <t>Karur Vysya Bank Limited</t>
  </si>
  <si>
    <t>INE036D01028</t>
  </si>
  <si>
    <t>HDBF01</t>
  </si>
  <si>
    <t>HDB Financial Services Limited</t>
  </si>
  <si>
    <t>INE756I01012</t>
  </si>
  <si>
    <t>CENT02</t>
  </si>
  <si>
    <t>Aditya Birla Real Estate Limited</t>
  </si>
  <si>
    <t>INE055A01016</t>
  </si>
  <si>
    <t>Paper, Forest &amp; Jute Products</t>
  </si>
  <si>
    <t>CORE01</t>
  </si>
  <si>
    <t>Corona Remedies Limited</t>
  </si>
  <si>
    <t>INE02ZQ01018</t>
  </si>
  <si>
    <t>ADTH01</t>
  </si>
  <si>
    <t>Aditya Infotech Limited</t>
  </si>
  <si>
    <t>INE819V01029</t>
  </si>
  <si>
    <t>Industrial Manufacturing</t>
  </si>
  <si>
    <t>VMML01</t>
  </si>
  <si>
    <t>Vishal Mega Mart Limited</t>
  </si>
  <si>
    <t>INE01EA01019</t>
  </si>
  <si>
    <t>JYCN01</t>
  </si>
  <si>
    <t>Jyoti CNC Automation Ltd</t>
  </si>
  <si>
    <t>INE980O01024</t>
  </si>
  <si>
    <t>LTFL01</t>
  </si>
  <si>
    <t>L&amp;T Finance Limited</t>
  </si>
  <si>
    <t>INE498L01015</t>
  </si>
  <si>
    <t>AWFI01</t>
  </si>
  <si>
    <t>Awfis Space Solutions Limited</t>
  </si>
  <si>
    <t>INE108V01019</t>
  </si>
  <si>
    <t>Commercial Services &amp; Supplies</t>
  </si>
  <si>
    <t>Sub Total</t>
  </si>
  <si>
    <t>(b) Unlisted</t>
  </si>
  <si>
    <t>Nil</t>
  </si>
  <si>
    <t>Total</t>
  </si>
  <si>
    <t>Money Market Instruments</t>
  </si>
  <si>
    <t>TREPS / Reverse Repo</t>
  </si>
  <si>
    <t>TRP_010126</t>
  </si>
  <si>
    <t>Triparty Repo</t>
  </si>
  <si>
    <t>Others</t>
  </si>
  <si>
    <t>Preference Shares</t>
  </si>
  <si>
    <t>SAEL21PS</t>
  </si>
  <si>
    <t>TVS Motor Company Limited ^^</t>
  </si>
  <si>
    <t>INE494B04019</t>
  </si>
  <si>
    <t>Net Receivables / (Payables)</t>
  </si>
  <si>
    <t>GRAND TOTAL</t>
  </si>
  <si>
    <t>YTM - Yield To Maturity</t>
  </si>
  <si>
    <t>*  Industry Classification is as recommended by AMFI</t>
  </si>
  <si>
    <t>**  Non Traded Security</t>
  </si>
  <si>
    <t>^^ Awaiting listing</t>
  </si>
  <si>
    <t>‡ Includes shares lent under Securities Lending &amp; Borrowing Scheme of BSE</t>
  </si>
  <si>
    <t>Name of the Security</t>
  </si>
  <si>
    <t>Shares</t>
  </si>
  <si>
    <t>Amber Enterprises India Limited</t>
  </si>
  <si>
    <t>Cholamandalam Investment and Finance Company Ltd</t>
  </si>
  <si>
    <t>FSN E-Commerce Ventures Limited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</si>
  <si>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</si>
  <si>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</si>
  <si>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</si>
  <si>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December 31, 2025 Nil</t>
  </si>
  <si>
    <t>(4)  Total investments in Foreign Securities / Overseas ETFs as on December 31, 2025 Nil</t>
  </si>
  <si>
    <t>(5)  Deviation from the valuation prices given by valuation agencies during the month ended December 31, 2025: Nil</t>
  </si>
  <si>
    <t>BENCHMARK NAME - NIFTY 500 MULTICAP 50:25:25 TRI</t>
  </si>
  <si>
    <t>SCHEME RISK-O-METER</t>
  </si>
  <si>
    <t>BENCHMARK RISK-O-METER</t>
  </si>
  <si>
    <t>Scheme Name: Invesco India Multicap Fund (Multi Cap Fund - An open ended equity scheme investing across large cap, mid cap, small cap stocks)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</si>
  <si>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</si>
  <si>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</si>
  <si>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</si>
  <si>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</si>
  <si>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</si>
  <si>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</si>
  <si>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Healthcare</t>
  </si>
  <si>
    <t>Consumer Services</t>
  </si>
  <si>
    <t>Information Technology</t>
  </si>
  <si>
    <t>Capital Goods</t>
  </si>
  <si>
    <t>Automobile and Auto Components</t>
  </si>
  <si>
    <t>Services</t>
  </si>
  <si>
    <t>Construction Materials</t>
  </si>
  <si>
    <t>Telecommunication</t>
  </si>
  <si>
    <t>Forest Materials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</si>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</sst>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5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4" fontId="0" fillId="0" borderId="0" xfId="0" applyNumberFormat="1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3" fontId="7" fillId="0" borderId="10" xfId="0" applyNumberFormat="1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7" fillId="0" borderId="0" xfId="0" applyNumberFormat="1" applyFont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1</xdr:col>
      <xdr:colOff>2857500</xdr:colOff>
      <xdr:row>111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6B063C-B6B8-41F0-A826-13616381D0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573625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101</xdr:row>
      <xdr:rowOff>0</xdr:rowOff>
    </xdr:from>
    <xdr:to>
      <xdr:col>7</xdr:col>
      <xdr:colOff>520700</xdr:colOff>
      <xdr:row>111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A2EB34-FF7C-419F-AC70-E9C5B8C17D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7875" y="17573625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AEE4D-501B-4826-8027-514C93221145}">
  <sheetPr codeName="Sheet27">
    <outlinePr summaryBelow="0"/>
  </sheetPr>
  <dimension ref="A1:H100"/>
  <sheetViews>
    <sheetView showGridLines="0" tabSelected="1" workbookViewId="0">
      <selection activeCell="B2" sqref="B2:H2"/>
    </sheetView>
  </sheetViews>
  <sheetFormatPr defaultRowHeight="15"/>
  <cols>
    <col min="1" max="1" width="3.42578125" customWidth="1"/>
    <col min="2" max="2" width="78.5703125" customWidth="1"/>
    <col min="3" max="3" width="17" customWidth="1"/>
    <col min="4" max="4" width="29.140625" customWidth="1"/>
    <col min="5" max="5" width="16.85546875" customWidth="1"/>
    <col min="6" max="6" width="17.5703125" customWidth="1"/>
    <col min="7" max="7" width="15.85546875" customWidth="1"/>
    <col min="8" max="8" width="10.5703125" customWidth="1"/>
  </cols>
  <sheetData>
    <row r="1" spans="1:8" ht="20.100000000000001" customHeight="1">
      <c r="A1" s="1" t="s">
        <v>0</v>
      </c>
      <c r="B1" s="43" t="s">
        <v>1</v>
      </c>
      <c r="C1" s="43"/>
      <c r="D1" s="43"/>
      <c r="E1" s="43"/>
      <c r="F1" s="43"/>
      <c r="G1" s="43"/>
      <c r="H1" s="43"/>
    </row>
    <row r="2" spans="1:8" ht="20.100000000000001" customHeight="1">
      <c r="A2" s="2"/>
      <c r="B2" s="43" t="s">
        <v>2</v>
      </c>
      <c r="C2" s="43"/>
      <c r="D2" s="43"/>
      <c r="E2" s="43"/>
      <c r="F2" s="43"/>
      <c r="G2" s="43"/>
      <c r="H2" s="43"/>
    </row>
    <row r="3" spans="1:8" ht="73.5" customHeight="1">
      <c r="A3" s="2"/>
      <c r="B3" s="43" t="s">
        <v>3</v>
      </c>
      <c r="C3" s="43"/>
      <c r="D3" s="43"/>
      <c r="E3" s="43"/>
      <c r="F3" s="43"/>
      <c r="G3" s="43"/>
      <c r="H3" s="43"/>
    </row>
    <row r="4" spans="1:8" ht="12.95" customHeight="1" thickBot="1">
      <c r="A4" s="2"/>
      <c r="B4" s="40"/>
      <c r="C4" s="40"/>
      <c r="D4" s="40"/>
      <c r="E4" s="40"/>
      <c r="F4" s="40"/>
      <c r="G4" s="40"/>
      <c r="H4" s="40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933414</v>
      </c>
      <c r="F8" s="14">
        <v>15888.57</v>
      </c>
      <c r="G8" s="14">
        <v>3.85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5429529</v>
      </c>
      <c r="F9" s="14">
        <v>15096.81</v>
      </c>
      <c r="G9" s="14">
        <v>3.66</v>
      </c>
      <c r="H9" s="15"/>
    </row>
    <row r="10" spans="1:8" ht="12.9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1067246</v>
      </c>
      <c r="F10" s="14">
        <v>14332.05</v>
      </c>
      <c r="G10" s="14">
        <v>3.47</v>
      </c>
      <c r="H10" s="15"/>
    </row>
    <row r="11" spans="1:8" ht="12.95" customHeight="1">
      <c r="A11" s="1" t="s">
        <v>25</v>
      </c>
      <c r="B11" s="11" t="s">
        <v>26</v>
      </c>
      <c r="C11" s="12" t="s">
        <v>27</v>
      </c>
      <c r="D11" s="8" t="s">
        <v>24</v>
      </c>
      <c r="E11" s="13">
        <v>1423842</v>
      </c>
      <c r="F11" s="14">
        <v>14113.12</v>
      </c>
      <c r="G11" s="14">
        <v>3.42</v>
      </c>
      <c r="H11" s="15"/>
    </row>
    <row r="12" spans="1:8" ht="12.9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95801</v>
      </c>
      <c r="F12" s="14">
        <v>10668.4</v>
      </c>
      <c r="G12" s="14">
        <v>2.58</v>
      </c>
      <c r="H12" s="15"/>
    </row>
    <row r="13" spans="1:8" ht="12.95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1729774</v>
      </c>
      <c r="F13" s="14">
        <v>10527.4</v>
      </c>
      <c r="G13" s="14">
        <v>2.5499999999999998</v>
      </c>
      <c r="H13" s="15"/>
    </row>
    <row r="14" spans="1:8" ht="12.95" customHeight="1">
      <c r="A14" s="1" t="s">
        <v>36</v>
      </c>
      <c r="B14" s="11" t="s">
        <v>37</v>
      </c>
      <c r="C14" s="12" t="s">
        <v>38</v>
      </c>
      <c r="D14" s="8" t="s">
        <v>31</v>
      </c>
      <c r="E14" s="13">
        <v>398766</v>
      </c>
      <c r="F14" s="14">
        <v>10496.32</v>
      </c>
      <c r="G14" s="14">
        <v>2.54</v>
      </c>
      <c r="H14" s="15"/>
    </row>
    <row r="15" spans="1:8" ht="12.95" customHeight="1">
      <c r="A15" s="1" t="s">
        <v>39</v>
      </c>
      <c r="B15" s="11" t="s">
        <v>40</v>
      </c>
      <c r="C15" s="12" t="s">
        <v>41</v>
      </c>
      <c r="D15" s="8" t="s">
        <v>35</v>
      </c>
      <c r="E15" s="13">
        <v>2033391</v>
      </c>
      <c r="F15" s="14">
        <v>10336.74</v>
      </c>
      <c r="G15" s="14">
        <v>2.5</v>
      </c>
      <c r="H15" s="15"/>
    </row>
    <row r="16" spans="1:8" ht="12.95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1123728</v>
      </c>
      <c r="F16" s="14">
        <v>10207.950000000001</v>
      </c>
      <c r="G16" s="14">
        <v>2.4700000000000002</v>
      </c>
      <c r="H16" s="15"/>
    </row>
    <row r="17" spans="1:8" ht="12.95" customHeight="1">
      <c r="A17" s="1" t="s">
        <v>46</v>
      </c>
      <c r="B17" s="11" t="s">
        <v>47</v>
      </c>
      <c r="C17" s="12" t="s">
        <v>48</v>
      </c>
      <c r="D17" s="8" t="s">
        <v>20</v>
      </c>
      <c r="E17" s="13">
        <v>2566209</v>
      </c>
      <c r="F17" s="14">
        <v>9911.98</v>
      </c>
      <c r="G17" s="14">
        <v>2.4</v>
      </c>
      <c r="H17" s="15"/>
    </row>
    <row r="18" spans="1:8" ht="12.95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582893</v>
      </c>
      <c r="F18" s="14">
        <v>9857.01</v>
      </c>
      <c r="G18" s="14">
        <v>2.39</v>
      </c>
      <c r="H18" s="15"/>
    </row>
    <row r="19" spans="1:8" ht="12.95" customHeight="1">
      <c r="A19" s="1" t="s">
        <v>53</v>
      </c>
      <c r="B19" s="11" t="s">
        <v>54</v>
      </c>
      <c r="C19" s="12" t="s">
        <v>55</v>
      </c>
      <c r="D19" s="8" t="s">
        <v>31</v>
      </c>
      <c r="E19" s="13">
        <v>1102103</v>
      </c>
      <c r="F19" s="14">
        <v>9694.65</v>
      </c>
      <c r="G19" s="14">
        <v>2.35</v>
      </c>
      <c r="H19" s="15"/>
    </row>
    <row r="20" spans="1:8" ht="12.95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260356</v>
      </c>
      <c r="F20" s="14">
        <v>9684.7199999999993</v>
      </c>
      <c r="G20" s="14">
        <v>2.35</v>
      </c>
      <c r="H20" s="15"/>
    </row>
    <row r="21" spans="1:8" ht="12.95" customHeight="1">
      <c r="A21" s="1" t="s">
        <v>60</v>
      </c>
      <c r="B21" s="11" t="s">
        <v>61</v>
      </c>
      <c r="C21" s="12" t="s">
        <v>62</v>
      </c>
      <c r="D21" s="8" t="s">
        <v>24</v>
      </c>
      <c r="E21" s="13">
        <v>966200</v>
      </c>
      <c r="F21" s="14">
        <v>9608.86</v>
      </c>
      <c r="G21" s="14">
        <v>2.33</v>
      </c>
      <c r="H21" s="15"/>
    </row>
    <row r="22" spans="1:8" ht="12.95" customHeight="1">
      <c r="A22" s="1" t="s">
        <v>63</v>
      </c>
      <c r="B22" s="11" t="s">
        <v>64</v>
      </c>
      <c r="C22" s="12" t="s">
        <v>65</v>
      </c>
      <c r="D22" s="8" t="s">
        <v>66</v>
      </c>
      <c r="E22" s="13">
        <v>150250</v>
      </c>
      <c r="F22" s="14">
        <v>9423.68</v>
      </c>
      <c r="G22" s="14">
        <v>2.2799999999999998</v>
      </c>
      <c r="H22" s="15"/>
    </row>
    <row r="23" spans="1:8" ht="12.95" customHeight="1">
      <c r="A23" s="1" t="s">
        <v>67</v>
      </c>
      <c r="B23" s="11" t="s">
        <v>68</v>
      </c>
      <c r="C23" s="12" t="s">
        <v>69</v>
      </c>
      <c r="D23" s="8" t="s">
        <v>35</v>
      </c>
      <c r="E23" s="13">
        <v>893739</v>
      </c>
      <c r="F23" s="14">
        <v>9340.4699999999993</v>
      </c>
      <c r="G23" s="14">
        <v>2.2599999999999998</v>
      </c>
      <c r="H23" s="15"/>
    </row>
    <row r="24" spans="1:8" ht="12.95" customHeight="1">
      <c r="A24" s="1" t="s">
        <v>70</v>
      </c>
      <c r="B24" s="11" t="s">
        <v>71</v>
      </c>
      <c r="C24" s="12" t="s">
        <v>72</v>
      </c>
      <c r="D24" s="8" t="s">
        <v>73</v>
      </c>
      <c r="E24" s="13">
        <v>585514</v>
      </c>
      <c r="F24" s="14">
        <v>9337.7800000000007</v>
      </c>
      <c r="G24" s="14">
        <v>2.2599999999999998</v>
      </c>
      <c r="H24" s="15"/>
    </row>
    <row r="25" spans="1:8" ht="12.95" customHeight="1">
      <c r="A25" s="1" t="s">
        <v>74</v>
      </c>
      <c r="B25" s="11" t="s">
        <v>75</v>
      </c>
      <c r="C25" s="12" t="s">
        <v>76</v>
      </c>
      <c r="D25" s="8" t="s">
        <v>77</v>
      </c>
      <c r="E25" s="13">
        <v>176187</v>
      </c>
      <c r="F25" s="14">
        <v>8914.18</v>
      </c>
      <c r="G25" s="14">
        <v>2.16</v>
      </c>
      <c r="H25" s="15"/>
    </row>
    <row r="26" spans="1:8" ht="12.95" customHeight="1">
      <c r="A26" s="1" t="s">
        <v>78</v>
      </c>
      <c r="B26" s="11" t="s">
        <v>79</v>
      </c>
      <c r="C26" s="12" t="s">
        <v>80</v>
      </c>
      <c r="D26" s="8" t="s">
        <v>20</v>
      </c>
      <c r="E26" s="13">
        <v>202589</v>
      </c>
      <c r="F26" s="14">
        <v>8668.7800000000007</v>
      </c>
      <c r="G26" s="14">
        <v>2.1</v>
      </c>
      <c r="H26" s="15"/>
    </row>
    <row r="27" spans="1:8" ht="12.95" customHeight="1">
      <c r="A27" s="1" t="s">
        <v>81</v>
      </c>
      <c r="B27" s="11" t="s">
        <v>82</v>
      </c>
      <c r="C27" s="12" t="s">
        <v>83</v>
      </c>
      <c r="D27" s="8" t="s">
        <v>84</v>
      </c>
      <c r="E27" s="13">
        <v>152783</v>
      </c>
      <c r="F27" s="14">
        <v>8450.43</v>
      </c>
      <c r="G27" s="14">
        <v>2.0499999999999998</v>
      </c>
      <c r="H27" s="15"/>
    </row>
    <row r="28" spans="1:8" ht="12.95" customHeight="1">
      <c r="A28" s="1" t="s">
        <v>85</v>
      </c>
      <c r="B28" s="11" t="s">
        <v>86</v>
      </c>
      <c r="C28" s="12" t="s">
        <v>87</v>
      </c>
      <c r="D28" s="8" t="s">
        <v>88</v>
      </c>
      <c r="E28" s="13">
        <v>2420666</v>
      </c>
      <c r="F28" s="14">
        <v>8341.6200000000008</v>
      </c>
      <c r="G28" s="14">
        <v>2.02</v>
      </c>
      <c r="H28" s="15"/>
    </row>
    <row r="29" spans="1:8" ht="12.95" customHeight="1">
      <c r="A29" s="1" t="s">
        <v>89</v>
      </c>
      <c r="B29" s="11" t="s">
        <v>90</v>
      </c>
      <c r="C29" s="12" t="s">
        <v>91</v>
      </c>
      <c r="D29" s="8" t="s">
        <v>92</v>
      </c>
      <c r="E29" s="13">
        <v>441568</v>
      </c>
      <c r="F29" s="14">
        <v>8061.27</v>
      </c>
      <c r="G29" s="14">
        <v>1.95</v>
      </c>
      <c r="H29" s="15"/>
    </row>
    <row r="30" spans="1:8" ht="12.95" customHeight="1">
      <c r="A30" s="1" t="s">
        <v>93</v>
      </c>
      <c r="B30" s="11" t="s">
        <v>94</v>
      </c>
      <c r="C30" s="12" t="s">
        <v>95</v>
      </c>
      <c r="D30" s="8" t="s">
        <v>96</v>
      </c>
      <c r="E30" s="13">
        <v>2011396</v>
      </c>
      <c r="F30" s="14">
        <v>8037.54</v>
      </c>
      <c r="G30" s="14">
        <v>1.95</v>
      </c>
      <c r="H30" s="15"/>
    </row>
    <row r="31" spans="1:8" ht="12.95" customHeight="1">
      <c r="A31" s="1" t="s">
        <v>97</v>
      </c>
      <c r="B31" s="11" t="s">
        <v>98</v>
      </c>
      <c r="C31" s="12" t="s">
        <v>99</v>
      </c>
      <c r="D31" s="8" t="s">
        <v>77</v>
      </c>
      <c r="E31" s="13">
        <v>1910867</v>
      </c>
      <c r="F31" s="14">
        <v>7717.04</v>
      </c>
      <c r="G31" s="14">
        <v>1.87</v>
      </c>
      <c r="H31" s="15"/>
    </row>
    <row r="32" spans="1:8" ht="12.95" customHeight="1">
      <c r="A32" s="1" t="s">
        <v>100</v>
      </c>
      <c r="B32" s="11" t="s">
        <v>101</v>
      </c>
      <c r="C32" s="12" t="s">
        <v>102</v>
      </c>
      <c r="D32" s="8" t="s">
        <v>59</v>
      </c>
      <c r="E32" s="13">
        <v>205516</v>
      </c>
      <c r="F32" s="14">
        <v>7623</v>
      </c>
      <c r="G32" s="14">
        <v>1.85</v>
      </c>
      <c r="H32" s="15"/>
    </row>
    <row r="33" spans="1:8" ht="12.95" customHeight="1">
      <c r="A33" s="1" t="s">
        <v>103</v>
      </c>
      <c r="B33" s="11" t="s">
        <v>104</v>
      </c>
      <c r="C33" s="12" t="s">
        <v>105</v>
      </c>
      <c r="D33" s="8" t="s">
        <v>35</v>
      </c>
      <c r="E33" s="13">
        <v>624334</v>
      </c>
      <c r="F33" s="14">
        <v>7407.1</v>
      </c>
      <c r="G33" s="14">
        <v>1.79</v>
      </c>
      <c r="H33" s="15"/>
    </row>
    <row r="34" spans="1:8" ht="12.95" customHeight="1">
      <c r="A34" s="1" t="s">
        <v>106</v>
      </c>
      <c r="B34" s="11" t="s">
        <v>107</v>
      </c>
      <c r="C34" s="12" t="s">
        <v>108</v>
      </c>
      <c r="D34" s="8" t="s">
        <v>66</v>
      </c>
      <c r="E34" s="13">
        <v>958951</v>
      </c>
      <c r="F34" s="14">
        <v>7341.25</v>
      </c>
      <c r="G34" s="14">
        <v>1.78</v>
      </c>
      <c r="H34" s="15"/>
    </row>
    <row r="35" spans="1:8" ht="12.95" customHeight="1">
      <c r="A35" s="1" t="s">
        <v>109</v>
      </c>
      <c r="B35" s="11" t="s">
        <v>110</v>
      </c>
      <c r="C35" s="12" t="s">
        <v>111</v>
      </c>
      <c r="D35" s="8" t="s">
        <v>112</v>
      </c>
      <c r="E35" s="13">
        <v>59837</v>
      </c>
      <c r="F35" s="14">
        <v>7241.47</v>
      </c>
      <c r="G35" s="14">
        <v>1.75</v>
      </c>
      <c r="H35" s="15"/>
    </row>
    <row r="36" spans="1:8" ht="12.95" customHeight="1">
      <c r="A36" s="1" t="s">
        <v>113</v>
      </c>
      <c r="B36" s="11" t="s">
        <v>114</v>
      </c>
      <c r="C36" s="12" t="s">
        <v>115</v>
      </c>
      <c r="D36" s="8" t="s">
        <v>66</v>
      </c>
      <c r="E36" s="13">
        <v>429224</v>
      </c>
      <c r="F36" s="14">
        <v>7138</v>
      </c>
      <c r="G36" s="14">
        <v>1.73</v>
      </c>
      <c r="H36" s="15"/>
    </row>
    <row r="37" spans="1:8" ht="12.95" customHeight="1">
      <c r="A37" s="1" t="s">
        <v>116</v>
      </c>
      <c r="B37" s="11" t="s">
        <v>117</v>
      </c>
      <c r="C37" s="12" t="s">
        <v>118</v>
      </c>
      <c r="D37" s="8" t="s">
        <v>73</v>
      </c>
      <c r="E37" s="13">
        <v>381425</v>
      </c>
      <c r="F37" s="14">
        <v>7069.71</v>
      </c>
      <c r="G37" s="14">
        <v>1.71</v>
      </c>
      <c r="H37" s="15"/>
    </row>
    <row r="38" spans="1:8" ht="12.95" customHeight="1">
      <c r="A38" s="1" t="s">
        <v>119</v>
      </c>
      <c r="B38" s="11" t="s">
        <v>120</v>
      </c>
      <c r="C38" s="12" t="s">
        <v>121</v>
      </c>
      <c r="D38" s="8" t="s">
        <v>122</v>
      </c>
      <c r="E38" s="13">
        <v>169318</v>
      </c>
      <c r="F38" s="14">
        <v>6914.1</v>
      </c>
      <c r="G38" s="14">
        <v>1.67</v>
      </c>
      <c r="H38" s="15"/>
    </row>
    <row r="39" spans="1:8" ht="12.95" customHeight="1">
      <c r="A39" s="1" t="s">
        <v>123</v>
      </c>
      <c r="B39" s="11" t="s">
        <v>124</v>
      </c>
      <c r="C39" s="12" t="s">
        <v>125</v>
      </c>
      <c r="D39" s="8" t="s">
        <v>112</v>
      </c>
      <c r="E39" s="13">
        <v>102662</v>
      </c>
      <c r="F39" s="14">
        <v>6557.02</v>
      </c>
      <c r="G39" s="14">
        <v>1.59</v>
      </c>
      <c r="H39" s="15"/>
    </row>
    <row r="40" spans="1:8" ht="12.95" customHeight="1">
      <c r="A40" s="1" t="s">
        <v>126</v>
      </c>
      <c r="B40" s="11" t="s">
        <v>127</v>
      </c>
      <c r="C40" s="12" t="s">
        <v>128</v>
      </c>
      <c r="D40" s="8" t="s">
        <v>20</v>
      </c>
      <c r="E40" s="13">
        <v>2466529</v>
      </c>
      <c r="F40" s="14">
        <v>6540</v>
      </c>
      <c r="G40" s="14">
        <v>1.58</v>
      </c>
      <c r="H40" s="15"/>
    </row>
    <row r="41" spans="1:8" ht="12.95" customHeight="1">
      <c r="A41" s="1" t="s">
        <v>129</v>
      </c>
      <c r="B41" s="11" t="s">
        <v>130</v>
      </c>
      <c r="C41" s="12" t="s">
        <v>131</v>
      </c>
      <c r="D41" s="8" t="s">
        <v>112</v>
      </c>
      <c r="E41" s="13">
        <v>296268</v>
      </c>
      <c r="F41" s="14">
        <v>6442.05</v>
      </c>
      <c r="G41" s="14">
        <v>1.56</v>
      </c>
      <c r="H41" s="15"/>
    </row>
    <row r="42" spans="1:8" ht="12.95" customHeight="1">
      <c r="A42" s="1" t="s">
        <v>132</v>
      </c>
      <c r="B42" s="11" t="s">
        <v>133</v>
      </c>
      <c r="C42" s="12" t="s">
        <v>134</v>
      </c>
      <c r="D42" s="8" t="s">
        <v>16</v>
      </c>
      <c r="E42" s="13">
        <v>557996</v>
      </c>
      <c r="F42" s="14">
        <v>6150.23</v>
      </c>
      <c r="G42" s="14">
        <v>1.49</v>
      </c>
      <c r="H42" s="15"/>
    </row>
    <row r="43" spans="1:8" ht="12.95" customHeight="1">
      <c r="A43" s="1" t="s">
        <v>135</v>
      </c>
      <c r="B43" s="11" t="s">
        <v>136</v>
      </c>
      <c r="C43" s="12" t="s">
        <v>137</v>
      </c>
      <c r="D43" s="8" t="s">
        <v>84</v>
      </c>
      <c r="E43" s="13">
        <v>51938</v>
      </c>
      <c r="F43" s="14">
        <v>6120.37</v>
      </c>
      <c r="G43" s="14">
        <v>1.48</v>
      </c>
      <c r="H43" s="15"/>
    </row>
    <row r="44" spans="1:8" ht="12.95" customHeight="1">
      <c r="A44" s="1" t="s">
        <v>138</v>
      </c>
      <c r="B44" s="11" t="s">
        <v>139</v>
      </c>
      <c r="C44" s="12" t="s">
        <v>140</v>
      </c>
      <c r="D44" s="8" t="s">
        <v>141</v>
      </c>
      <c r="E44" s="13">
        <v>466245</v>
      </c>
      <c r="F44" s="14">
        <v>5994.98</v>
      </c>
      <c r="G44" s="14">
        <v>1.45</v>
      </c>
      <c r="H44" s="15"/>
    </row>
    <row r="45" spans="1:8" ht="12.95" customHeight="1">
      <c r="A45" s="1" t="s">
        <v>142</v>
      </c>
      <c r="B45" s="11" t="s">
        <v>143</v>
      </c>
      <c r="C45" s="12" t="s">
        <v>144</v>
      </c>
      <c r="D45" s="8" t="s">
        <v>145</v>
      </c>
      <c r="E45" s="13">
        <v>1331469</v>
      </c>
      <c r="F45" s="14">
        <v>5772.58</v>
      </c>
      <c r="G45" s="14">
        <v>1.4</v>
      </c>
      <c r="H45" s="15"/>
    </row>
    <row r="46" spans="1:8" ht="12.95" customHeight="1">
      <c r="A46" s="1" t="s">
        <v>146</v>
      </c>
      <c r="B46" s="11" t="s">
        <v>147</v>
      </c>
      <c r="C46" s="12" t="s">
        <v>148</v>
      </c>
      <c r="D46" s="8" t="s">
        <v>16</v>
      </c>
      <c r="E46" s="13">
        <v>540354</v>
      </c>
      <c r="F46" s="14">
        <v>5332.21</v>
      </c>
      <c r="G46" s="14">
        <v>1.29</v>
      </c>
      <c r="H46" s="15"/>
    </row>
    <row r="47" spans="1:8" ht="12.95" customHeight="1">
      <c r="A47" s="1" t="s">
        <v>149</v>
      </c>
      <c r="B47" s="11" t="s">
        <v>150</v>
      </c>
      <c r="C47" s="12" t="s">
        <v>151</v>
      </c>
      <c r="D47" s="8" t="s">
        <v>145</v>
      </c>
      <c r="E47" s="13">
        <v>947869</v>
      </c>
      <c r="F47" s="14">
        <v>5294.8</v>
      </c>
      <c r="G47" s="14">
        <v>1.28</v>
      </c>
      <c r="H47" s="15"/>
    </row>
    <row r="48" spans="1:8" ht="12.95" customHeight="1">
      <c r="A48" s="1" t="s">
        <v>152</v>
      </c>
      <c r="B48" s="11" t="s">
        <v>153</v>
      </c>
      <c r="C48" s="12" t="s">
        <v>154</v>
      </c>
      <c r="D48" s="8" t="s">
        <v>155</v>
      </c>
      <c r="E48" s="13">
        <v>163086</v>
      </c>
      <c r="F48" s="14">
        <v>4897.6400000000003</v>
      </c>
      <c r="G48" s="14">
        <v>1.19</v>
      </c>
      <c r="H48" s="15"/>
    </row>
    <row r="49" spans="1:8" ht="12.95" customHeight="1">
      <c r="A49" s="1" t="s">
        <v>156</v>
      </c>
      <c r="B49" s="11" t="s">
        <v>157</v>
      </c>
      <c r="C49" s="12" t="s">
        <v>158</v>
      </c>
      <c r="D49" s="8" t="s">
        <v>16</v>
      </c>
      <c r="E49" s="13">
        <v>4566108</v>
      </c>
      <c r="F49" s="14">
        <v>4751.04</v>
      </c>
      <c r="G49" s="14">
        <v>1.1499999999999999</v>
      </c>
      <c r="H49" s="15"/>
    </row>
    <row r="50" spans="1:8" ht="12.95" customHeight="1">
      <c r="A50" s="1" t="s">
        <v>159</v>
      </c>
      <c r="B50" s="11" t="s">
        <v>160</v>
      </c>
      <c r="C50" s="12" t="s">
        <v>161</v>
      </c>
      <c r="D50" s="8" t="s">
        <v>155</v>
      </c>
      <c r="E50" s="13">
        <v>105282</v>
      </c>
      <c r="F50" s="14">
        <v>4695.79</v>
      </c>
      <c r="G50" s="14">
        <v>1.1399999999999999</v>
      </c>
      <c r="H50" s="15"/>
    </row>
    <row r="51" spans="1:8" ht="12.95" customHeight="1">
      <c r="A51" s="1" t="s">
        <v>162</v>
      </c>
      <c r="B51" s="11" t="s">
        <v>163</v>
      </c>
      <c r="C51" s="12" t="s">
        <v>164</v>
      </c>
      <c r="D51" s="8" t="s">
        <v>66</v>
      </c>
      <c r="E51" s="13">
        <v>647004</v>
      </c>
      <c r="F51" s="14">
        <v>4552.6400000000003</v>
      </c>
      <c r="G51" s="14">
        <v>1.1000000000000001</v>
      </c>
      <c r="H51" s="15"/>
    </row>
    <row r="52" spans="1:8" ht="12.95" customHeight="1">
      <c r="A52" s="1" t="s">
        <v>165</v>
      </c>
      <c r="B52" s="11" t="s">
        <v>166</v>
      </c>
      <c r="C52" s="12" t="s">
        <v>167</v>
      </c>
      <c r="D52" s="8" t="s">
        <v>168</v>
      </c>
      <c r="E52" s="13">
        <v>22202</v>
      </c>
      <c r="F52" s="14">
        <v>4065.19</v>
      </c>
      <c r="G52" s="14">
        <v>0.98</v>
      </c>
      <c r="H52" s="15"/>
    </row>
    <row r="53" spans="1:8" ht="12.95" customHeight="1">
      <c r="A53" s="1" t="s">
        <v>169</v>
      </c>
      <c r="B53" s="11" t="s">
        <v>170</v>
      </c>
      <c r="C53" s="12" t="s">
        <v>171</v>
      </c>
      <c r="D53" s="8" t="s">
        <v>112</v>
      </c>
      <c r="E53" s="13">
        <v>128309</v>
      </c>
      <c r="F53" s="14">
        <v>3819.63</v>
      </c>
      <c r="G53" s="14">
        <v>0.92</v>
      </c>
      <c r="H53" s="15"/>
    </row>
    <row r="54" spans="1:8" ht="12.95" customHeight="1">
      <c r="A54" s="1" t="s">
        <v>172</v>
      </c>
      <c r="B54" s="11" t="s">
        <v>173</v>
      </c>
      <c r="C54" s="12" t="s">
        <v>174</v>
      </c>
      <c r="D54" s="8" t="s">
        <v>45</v>
      </c>
      <c r="E54" s="13">
        <v>282437</v>
      </c>
      <c r="F54" s="14">
        <v>3800.47</v>
      </c>
      <c r="G54" s="14">
        <v>0.92</v>
      </c>
      <c r="H54" s="15"/>
    </row>
    <row r="55" spans="1:8" ht="12.95" customHeight="1">
      <c r="A55" s="1" t="s">
        <v>175</v>
      </c>
      <c r="B55" s="11" t="s">
        <v>176</v>
      </c>
      <c r="C55" s="12" t="s">
        <v>177</v>
      </c>
      <c r="D55" s="8" t="s">
        <v>112</v>
      </c>
      <c r="E55" s="13">
        <v>283396</v>
      </c>
      <c r="F55" s="14">
        <v>3420.87</v>
      </c>
      <c r="G55" s="14">
        <v>0.83</v>
      </c>
      <c r="H55" s="15"/>
    </row>
    <row r="56" spans="1:8" ht="12.95" customHeight="1">
      <c r="A56" s="1" t="s">
        <v>178</v>
      </c>
      <c r="B56" s="11" t="s">
        <v>179</v>
      </c>
      <c r="C56" s="12" t="s">
        <v>180</v>
      </c>
      <c r="D56" s="8" t="s">
        <v>24</v>
      </c>
      <c r="E56" s="13">
        <v>1291929</v>
      </c>
      <c r="F56" s="14">
        <v>3408.5</v>
      </c>
      <c r="G56" s="14">
        <v>0.83</v>
      </c>
      <c r="H56" s="15"/>
    </row>
    <row r="57" spans="1:8" ht="12.95" customHeight="1">
      <c r="A57" s="1" t="s">
        <v>181</v>
      </c>
      <c r="B57" s="11" t="s">
        <v>182</v>
      </c>
      <c r="C57" s="12" t="s">
        <v>183</v>
      </c>
      <c r="D57" s="8" t="s">
        <v>16</v>
      </c>
      <c r="E57" s="13">
        <v>436334</v>
      </c>
      <c r="F57" s="14">
        <v>3340.35</v>
      </c>
      <c r="G57" s="14">
        <v>0.81</v>
      </c>
      <c r="H57" s="15"/>
    </row>
    <row r="58" spans="1:8" ht="12.95" customHeight="1">
      <c r="A58" s="1" t="s">
        <v>184</v>
      </c>
      <c r="B58" s="11" t="s">
        <v>185</v>
      </c>
      <c r="C58" s="12" t="s">
        <v>186</v>
      </c>
      <c r="D58" s="8" t="s">
        <v>187</v>
      </c>
      <c r="E58" s="13">
        <v>195654</v>
      </c>
      <c r="F58" s="14">
        <v>3276.81</v>
      </c>
      <c r="G58" s="14">
        <v>0.79</v>
      </c>
      <c r="H58" s="15"/>
    </row>
    <row r="59" spans="1:8" ht="12.95" customHeight="1">
      <c r="A59" s="1" t="s">
        <v>188</v>
      </c>
      <c r="B59" s="11" t="s">
        <v>189</v>
      </c>
      <c r="C59" s="12" t="s">
        <v>190</v>
      </c>
      <c r="D59" s="8" t="s">
        <v>45</v>
      </c>
      <c r="E59" s="13">
        <v>224290</v>
      </c>
      <c r="F59" s="14">
        <v>3106.19</v>
      </c>
      <c r="G59" s="14">
        <v>0.75</v>
      </c>
      <c r="H59" s="15"/>
    </row>
    <row r="60" spans="1:8" ht="12.95" customHeight="1">
      <c r="A60" s="1" t="s">
        <v>191</v>
      </c>
      <c r="B60" s="11" t="s">
        <v>192</v>
      </c>
      <c r="C60" s="12" t="s">
        <v>193</v>
      </c>
      <c r="D60" s="8" t="s">
        <v>194</v>
      </c>
      <c r="E60" s="13">
        <v>179883</v>
      </c>
      <c r="F60" s="14">
        <v>2680.8</v>
      </c>
      <c r="G60" s="14">
        <v>0.65</v>
      </c>
      <c r="H60" s="15"/>
    </row>
    <row r="61" spans="1:8" ht="12.95" customHeight="1">
      <c r="A61" s="1" t="s">
        <v>195</v>
      </c>
      <c r="B61" s="11" t="s">
        <v>196</v>
      </c>
      <c r="C61" s="12" t="s">
        <v>197</v>
      </c>
      <c r="D61" s="8" t="s">
        <v>20</v>
      </c>
      <c r="E61" s="13">
        <v>1881713</v>
      </c>
      <c r="F61" s="14">
        <v>2566.09</v>
      </c>
      <c r="G61" s="14">
        <v>0.62</v>
      </c>
      <c r="H61" s="15"/>
    </row>
    <row r="62" spans="1:8" ht="12.95" customHeight="1">
      <c r="A62" s="1" t="s">
        <v>198</v>
      </c>
      <c r="B62" s="11" t="s">
        <v>199</v>
      </c>
      <c r="C62" s="12" t="s">
        <v>200</v>
      </c>
      <c r="D62" s="8" t="s">
        <v>194</v>
      </c>
      <c r="E62" s="13">
        <v>255183</v>
      </c>
      <c r="F62" s="14">
        <v>2524.5300000000002</v>
      </c>
      <c r="G62" s="14">
        <v>0.61</v>
      </c>
      <c r="H62" s="15"/>
    </row>
    <row r="63" spans="1:8" ht="12.95" customHeight="1">
      <c r="A63" s="1" t="s">
        <v>201</v>
      </c>
      <c r="B63" s="11" t="s">
        <v>202</v>
      </c>
      <c r="C63" s="12" t="s">
        <v>203</v>
      </c>
      <c r="D63" s="8" t="s">
        <v>16</v>
      </c>
      <c r="E63" s="13">
        <v>709296</v>
      </c>
      <c r="F63" s="14">
        <v>2241.02</v>
      </c>
      <c r="G63" s="14">
        <v>0.54</v>
      </c>
      <c r="H63" s="15"/>
    </row>
    <row r="64" spans="1:8" ht="12.95" customHeight="1">
      <c r="A64" s="1" t="s">
        <v>204</v>
      </c>
      <c r="B64" s="11" t="s">
        <v>205</v>
      </c>
      <c r="C64" s="12" t="s">
        <v>206</v>
      </c>
      <c r="D64" s="8" t="s">
        <v>207</v>
      </c>
      <c r="E64" s="13">
        <v>409893</v>
      </c>
      <c r="F64" s="14">
        <v>2019.95</v>
      </c>
      <c r="G64" s="14">
        <v>0.49</v>
      </c>
      <c r="H64" s="15"/>
    </row>
    <row r="65" spans="1:8" ht="12.95" customHeight="1">
      <c r="A65" s="2"/>
      <c r="B65" s="7" t="s">
        <v>208</v>
      </c>
      <c r="C65" s="8"/>
      <c r="D65" s="8"/>
      <c r="E65" s="8"/>
      <c r="F65" s="16">
        <v>410823.75</v>
      </c>
      <c r="G65" s="16">
        <v>99.48</v>
      </c>
      <c r="H65" s="17"/>
    </row>
    <row r="66" spans="1:8" ht="12.95" customHeight="1">
      <c r="A66" s="2"/>
      <c r="B66" s="18" t="s">
        <v>209</v>
      </c>
      <c r="C66" s="19"/>
      <c r="D66" s="19"/>
      <c r="E66" s="20"/>
      <c r="F66" s="21" t="s">
        <v>210</v>
      </c>
      <c r="G66" s="21" t="s">
        <v>210</v>
      </c>
      <c r="H66" s="22" t="s">
        <v>210</v>
      </c>
    </row>
    <row r="67" spans="1:8" ht="12.95" customHeight="1">
      <c r="A67" s="2"/>
      <c r="B67" s="23" t="s">
        <v>208</v>
      </c>
      <c r="C67" s="24"/>
      <c r="D67" s="24"/>
      <c r="E67" s="21"/>
      <c r="F67" s="21" t="s">
        <v>210</v>
      </c>
      <c r="G67" s="21" t="s">
        <v>210</v>
      </c>
      <c r="H67" s="22" t="s">
        <v>210</v>
      </c>
    </row>
    <row r="68" spans="1:8" ht="12.95" customHeight="1">
      <c r="A68" s="2"/>
      <c r="B68" s="18" t="s">
        <v>211</v>
      </c>
      <c r="C68" s="19"/>
      <c r="D68" s="19"/>
      <c r="E68" s="25"/>
      <c r="F68" s="16">
        <f>F65</f>
        <v>410823.75</v>
      </c>
      <c r="G68" s="16">
        <f>G65</f>
        <v>99.48</v>
      </c>
      <c r="H68" s="22"/>
    </row>
    <row r="69" spans="1:8" ht="12.95" customHeight="1">
      <c r="A69" s="2"/>
      <c r="B69" s="7" t="s">
        <v>212</v>
      </c>
      <c r="C69" s="8"/>
      <c r="D69" s="8"/>
      <c r="E69" s="8"/>
      <c r="F69" s="8"/>
      <c r="G69" s="8"/>
      <c r="H69" s="9"/>
    </row>
    <row r="70" spans="1:8" ht="12.95" customHeight="1">
      <c r="A70" s="2"/>
      <c r="B70" s="7" t="s">
        <v>213</v>
      </c>
      <c r="C70" s="10"/>
      <c r="D70" s="10"/>
      <c r="E70" s="8"/>
      <c r="F70" s="8"/>
      <c r="G70" s="8"/>
      <c r="H70" s="9"/>
    </row>
    <row r="71" spans="1:8" ht="12.95" customHeight="1">
      <c r="A71" s="1" t="s">
        <v>214</v>
      </c>
      <c r="B71" s="11" t="s">
        <v>215</v>
      </c>
      <c r="C71" s="12"/>
      <c r="D71" s="8"/>
      <c r="E71" s="13"/>
      <c r="F71" s="14">
        <v>2388.8000000000002</v>
      </c>
      <c r="G71" s="14">
        <v>0.57999999999999996</v>
      </c>
      <c r="H71" s="15">
        <v>5.3290916778298725E-2</v>
      </c>
    </row>
    <row r="72" spans="1:8" ht="12.95" customHeight="1">
      <c r="A72" s="2"/>
      <c r="B72" s="7" t="s">
        <v>208</v>
      </c>
      <c r="C72" s="8"/>
      <c r="D72" s="8"/>
      <c r="E72" s="8"/>
      <c r="F72" s="16">
        <v>2388.8000000000002</v>
      </c>
      <c r="G72" s="16">
        <v>0.57999999999999996</v>
      </c>
      <c r="H72" s="17"/>
    </row>
    <row r="73" spans="1:8" ht="12.95" customHeight="1">
      <c r="A73" s="2"/>
      <c r="B73" s="18" t="s">
        <v>211</v>
      </c>
      <c r="C73" s="19"/>
      <c r="D73" s="19"/>
      <c r="E73" s="25"/>
      <c r="F73" s="16">
        <v>2388.8000000000002</v>
      </c>
      <c r="G73" s="16">
        <v>0.57999999999999996</v>
      </c>
      <c r="H73" s="22"/>
    </row>
    <row r="74" spans="1:8" ht="12.95" customHeight="1">
      <c r="A74" s="2"/>
      <c r="B74" s="7" t="s">
        <v>216</v>
      </c>
      <c r="C74" s="8"/>
      <c r="D74" s="8"/>
      <c r="E74" s="8"/>
      <c r="F74" s="8"/>
      <c r="G74" s="8"/>
      <c r="H74" s="9"/>
    </row>
    <row r="75" spans="1:8" ht="12.95" customHeight="1">
      <c r="A75" s="2"/>
      <c r="B75" s="7" t="s">
        <v>217</v>
      </c>
      <c r="C75" s="8"/>
      <c r="D75" s="8"/>
      <c r="E75" s="8"/>
      <c r="F75" s="26"/>
      <c r="G75" s="27"/>
      <c r="H75" s="17"/>
    </row>
    <row r="76" spans="1:8" ht="12.95" customHeight="1">
      <c r="A76" s="1" t="s">
        <v>218</v>
      </c>
      <c r="B76" s="11" t="s">
        <v>219</v>
      </c>
      <c r="C76" s="12" t="s">
        <v>220</v>
      </c>
      <c r="D76" s="8" t="s">
        <v>59</v>
      </c>
      <c r="E76" s="13">
        <v>866592</v>
      </c>
      <c r="F76" s="14">
        <v>88.27</v>
      </c>
      <c r="G76" s="14">
        <v>0.02</v>
      </c>
      <c r="H76" s="15"/>
    </row>
    <row r="77" spans="1:8" ht="12.95" customHeight="1">
      <c r="A77" s="2"/>
      <c r="B77" s="7" t="s">
        <v>208</v>
      </c>
      <c r="C77" s="8"/>
      <c r="D77" s="8"/>
      <c r="E77" s="8"/>
      <c r="F77" s="16">
        <f>F76</f>
        <v>88.27</v>
      </c>
      <c r="G77" s="16">
        <f>G76</f>
        <v>0.02</v>
      </c>
      <c r="H77" s="17"/>
    </row>
    <row r="78" spans="1:8" ht="12.95" customHeight="1">
      <c r="A78" s="2"/>
      <c r="B78" s="18" t="s">
        <v>211</v>
      </c>
      <c r="C78" s="19"/>
      <c r="D78" s="19"/>
      <c r="E78" s="25"/>
      <c r="F78" s="16">
        <f>F77</f>
        <v>88.27</v>
      </c>
      <c r="G78" s="16">
        <f>G77</f>
        <v>0.02</v>
      </c>
      <c r="H78" s="22"/>
    </row>
    <row r="79" spans="1:8" ht="12.95" customHeight="1">
      <c r="A79" s="2"/>
      <c r="B79" s="18" t="s">
        <v>221</v>
      </c>
      <c r="C79" s="19"/>
      <c r="D79" s="19"/>
      <c r="E79" s="8"/>
      <c r="F79" s="16">
        <v>-313.61</v>
      </c>
      <c r="G79" s="16">
        <v>-0.08</v>
      </c>
      <c r="H79" s="22"/>
    </row>
    <row r="80" spans="1:8" ht="12.95" customHeight="1" thickBot="1">
      <c r="A80" s="2"/>
      <c r="B80" s="28" t="s">
        <v>222</v>
      </c>
      <c r="C80" s="29"/>
      <c r="D80" s="29"/>
      <c r="E80" s="29"/>
      <c r="F80" s="30">
        <v>412987.21</v>
      </c>
      <c r="G80" s="31">
        <v>100</v>
      </c>
      <c r="H80" s="32"/>
    </row>
    <row r="81" spans="1:8" ht="12.95" customHeight="1">
      <c r="A81" s="2"/>
      <c r="B81" s="41"/>
      <c r="C81" s="41"/>
      <c r="D81" s="41"/>
      <c r="E81" s="41"/>
      <c r="F81" s="2"/>
      <c r="G81" s="2"/>
      <c r="H81" s="2"/>
    </row>
    <row r="82" spans="1:8" ht="12.95" customHeight="1">
      <c r="A82" s="2"/>
      <c r="B82" s="41" t="s">
        <v>223</v>
      </c>
      <c r="C82" s="41"/>
      <c r="D82" s="41"/>
      <c r="E82" s="41"/>
      <c r="F82" s="33"/>
      <c r="G82" s="33"/>
      <c r="H82" s="2"/>
    </row>
    <row r="83" spans="1:8" ht="12.95" customHeight="1">
      <c r="A83" s="2"/>
      <c r="B83" s="41" t="s">
        <v>224</v>
      </c>
      <c r="C83" s="41"/>
      <c r="D83" s="41"/>
      <c r="E83" s="41"/>
      <c r="F83" s="2"/>
      <c r="G83" s="2"/>
      <c r="H83" s="2"/>
    </row>
    <row r="84" spans="1:8" ht="12.95" customHeight="1">
      <c r="A84" s="2"/>
      <c r="B84" s="41" t="s">
        <v>225</v>
      </c>
      <c r="C84" s="41"/>
      <c r="D84" s="41"/>
      <c r="E84" s="41"/>
      <c r="F84" s="2"/>
      <c r="G84" s="2"/>
      <c r="H84" s="2"/>
    </row>
    <row r="85" spans="1:8" ht="12.95" customHeight="1">
      <c r="A85" s="2"/>
      <c r="B85" s="41" t="s">
        <v>226</v>
      </c>
      <c r="C85" s="41"/>
      <c r="D85" s="41"/>
      <c r="E85" s="41"/>
      <c r="F85" s="2"/>
      <c r="G85" s="2"/>
      <c r="H85" s="2"/>
    </row>
    <row r="86" spans="1:8" ht="12.95" customHeight="1">
      <c r="A86" s="2"/>
      <c r="B86" s="40"/>
      <c r="C86" s="40"/>
      <c r="D86" s="40"/>
      <c r="E86" s="40"/>
      <c r="F86" s="2"/>
      <c r="G86" s="2"/>
      <c r="H86" s="2"/>
    </row>
    <row r="87" spans="1:8" ht="12.95" customHeight="1">
      <c r="A87" s="2"/>
      <c r="B87" s="42" t="s">
        <v>227</v>
      </c>
      <c r="C87" s="42"/>
      <c r="D87" s="42"/>
      <c r="E87" s="42"/>
      <c r="F87" s="2"/>
      <c r="G87" s="2"/>
      <c r="H87" s="2"/>
    </row>
    <row r="88" spans="1:8" ht="12.95" customHeight="1">
      <c r="A88" s="2"/>
      <c r="B88" s="34" t="s">
        <v>228</v>
      </c>
      <c r="C88" s="34" t="s">
        <v>229</v>
      </c>
      <c r="D88" s="2"/>
      <c r="E88" s="2"/>
      <c r="F88" s="2"/>
      <c r="G88" s="2"/>
      <c r="H88" s="2"/>
    </row>
    <row r="89" spans="1:8" ht="12.95" customHeight="1">
      <c r="A89" s="2"/>
      <c r="B89" s="35" t="s">
        <v>230</v>
      </c>
      <c r="C89" s="36">
        <v>4950</v>
      </c>
      <c r="D89" s="2"/>
      <c r="E89" s="2"/>
      <c r="F89" s="2"/>
      <c r="G89" s="2"/>
      <c r="H89" s="2"/>
    </row>
    <row r="90" spans="1:8" ht="12.95" customHeight="1">
      <c r="A90" s="2"/>
      <c r="B90" s="35" t="s">
        <v>231</v>
      </c>
      <c r="C90" s="36">
        <v>36200</v>
      </c>
      <c r="D90" s="2"/>
      <c r="E90" s="2"/>
      <c r="F90" s="2"/>
      <c r="G90" s="2"/>
      <c r="H90" s="2"/>
    </row>
    <row r="91" spans="1:8" ht="12.95" customHeight="1">
      <c r="A91" s="2"/>
      <c r="B91" s="35" t="s">
        <v>232</v>
      </c>
      <c r="C91" s="36">
        <v>114300</v>
      </c>
      <c r="D91" s="2"/>
      <c r="E91" s="2"/>
      <c r="F91" s="2"/>
      <c r="G91" s="2"/>
      <c r="H91" s="2"/>
    </row>
    <row r="92" spans="1:8" ht="12.95" customHeight="1">
      <c r="A92" s="2"/>
      <c r="B92" s="37"/>
      <c r="C92" s="38"/>
      <c r="D92" s="2"/>
      <c r="E92" s="2"/>
      <c r="F92" s="2"/>
      <c r="G92" s="2"/>
      <c r="H92" s="2"/>
    </row>
    <row r="93" spans="1:8" ht="12.95" customHeight="1">
      <c r="A93" s="2"/>
      <c r="B93" s="41" t="s">
        <v>233</v>
      </c>
      <c r="C93" s="41"/>
      <c r="D93" s="41"/>
      <c r="E93" s="41"/>
      <c r="F93" s="2"/>
      <c r="G93" s="2"/>
      <c r="H93" s="2"/>
    </row>
    <row r="94" spans="1:8" ht="12.95" customHeight="1">
      <c r="A94" s="2"/>
      <c r="B94" s="40" t="s">
        <v>234</v>
      </c>
      <c r="C94" s="40"/>
      <c r="D94" s="40"/>
      <c r="E94" s="40"/>
      <c r="F94" s="2"/>
      <c r="G94" s="2"/>
      <c r="H94" s="2"/>
    </row>
    <row r="95" spans="1:8" ht="12.95" customHeight="1">
      <c r="A95" s="2"/>
      <c r="B95" s="40" t="s">
        <v>235</v>
      </c>
      <c r="C95" s="40"/>
      <c r="D95" s="40"/>
      <c r="E95" s="40"/>
      <c r="F95" s="2"/>
      <c r="G95" s="2"/>
      <c r="H95" s="2"/>
    </row>
    <row r="96" spans="1:8" ht="12.95" customHeight="1">
      <c r="A96" s="2"/>
      <c r="B96" s="40" t="s">
        <v>236</v>
      </c>
      <c r="C96" s="40"/>
      <c r="D96" s="40"/>
      <c r="E96" s="40"/>
      <c r="F96" s="40"/>
      <c r="G96" s="40"/>
      <c r="H96" s="40"/>
    </row>
    <row r="97" spans="1:8" ht="12.95" customHeight="1">
      <c r="A97" s="2"/>
      <c r="B97" s="40" t="s">
        <v>237</v>
      </c>
      <c r="C97" s="40"/>
      <c r="D97" s="40"/>
      <c r="E97" s="40"/>
      <c r="F97" s="40"/>
      <c r="G97" s="40"/>
      <c r="H97" s="40"/>
    </row>
    <row r="98" spans="1:8" ht="12.95" customHeight="1">
      <c r="A98" s="2"/>
      <c r="B98" s="40" t="s">
        <v>238</v>
      </c>
      <c r="C98" s="40"/>
      <c r="D98" s="40"/>
      <c r="E98" s="40"/>
      <c r="F98" s="2"/>
      <c r="G98" s="2"/>
      <c r="H98" s="2"/>
    </row>
    <row r="99" spans="1:8">
      <c r="F99" s="39" t="s">
        <v>239</v>
      </c>
    </row>
    <row r="100" spans="1:8">
      <c r="B100" s="39" t="s">
        <v>240</v>
      </c>
      <c r="F100" s="39" t="s">
        <v>241</v>
      </c>
    </row>
  </sheetData>
  <mergeCells count="17">
    <mergeCell ref="B93:E93"/>
    <mergeCell ref="B1:H1"/>
    <mergeCell ref="B2:H2"/>
    <mergeCell ref="B3:H3"/>
    <mergeCell ref="B4:H4"/>
    <mergeCell ref="B81:E81"/>
    <mergeCell ref="B82:E82"/>
    <mergeCell ref="B83:E83"/>
    <mergeCell ref="B84:E84"/>
    <mergeCell ref="B85:E85"/>
    <mergeCell ref="B86:E86"/>
    <mergeCell ref="B87:E87"/>
    <mergeCell ref="B94:E94"/>
    <mergeCell ref="B95:E95"/>
    <mergeCell ref="B96:H96"/>
    <mergeCell ref="B97:H97"/>
    <mergeCell ref="B98:E98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E8390-2A2B-43CA-BA8E-295BB13C4C0E}">
  <sheetPr codeName="Sheet37">
    <outlinePr summaryBelow="0"/>
  </sheetPr>
  <dimension ref="A1:F20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41" t="s">
        <v>242</v>
      </c>
      <c r="B1" s="41"/>
      <c r="C1" s="41"/>
      <c r="D1" s="37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44" t="s">
        <v>243</v>
      </c>
      <c r="B3" s="44"/>
      <c r="C3" s="2"/>
      <c r="D3" s="2"/>
      <c r="E3" s="44" t="s">
        <v>244</v>
      </c>
      <c r="F3" s="44"/>
    </row>
    <row r="4" spans="1:6" ht="12.95" customHeight="1">
      <c r="A4" s="45" t="s">
        <v>245</v>
      </c>
      <c r="B4" s="45" t="s">
        <v>9</v>
      </c>
      <c r="C4" s="2"/>
      <c r="D4" s="2"/>
      <c r="E4" s="45" t="s">
        <v>246</v>
      </c>
      <c r="F4" s="45" t="s">
        <v>247</v>
      </c>
    </row>
    <row r="5" spans="1:6" ht="12.95" customHeight="1">
      <c r="A5" s="19" t="s">
        <v>231</v>
      </c>
      <c r="B5" s="46">
        <v>3.85E-2</v>
      </c>
      <c r="C5" s="2"/>
      <c r="D5" s="2"/>
      <c r="E5" s="19" t="s">
        <v>248</v>
      </c>
      <c r="F5" s="46">
        <v>0.30609999999999998</v>
      </c>
    </row>
    <row r="6" spans="1:6" ht="12.95" customHeight="1">
      <c r="A6" s="19" t="s">
        <v>18</v>
      </c>
      <c r="B6" s="46">
        <v>3.6600000000000001E-2</v>
      </c>
      <c r="C6" s="2"/>
      <c r="D6" s="2"/>
      <c r="E6" s="19" t="s">
        <v>249</v>
      </c>
      <c r="F6" s="46">
        <v>0.13250000000000001</v>
      </c>
    </row>
    <row r="7" spans="1:6" ht="12.95" customHeight="1">
      <c r="A7" s="19" t="s">
        <v>22</v>
      </c>
      <c r="B7" s="46">
        <v>3.4700000000000002E-2</v>
      </c>
      <c r="C7" s="2"/>
      <c r="D7" s="2"/>
      <c r="E7" s="19" t="s">
        <v>250</v>
      </c>
      <c r="F7" s="46">
        <v>0.13039999999999999</v>
      </c>
    </row>
    <row r="8" spans="1:6" ht="12.95" customHeight="1">
      <c r="A8" s="19" t="s">
        <v>26</v>
      </c>
      <c r="B8" s="46">
        <v>3.4200000000000001E-2</v>
      </c>
      <c r="C8" s="2"/>
      <c r="D8" s="2"/>
      <c r="E8" s="19" t="s">
        <v>251</v>
      </c>
      <c r="F8" s="46">
        <v>6.8900000000000003E-2</v>
      </c>
    </row>
    <row r="9" spans="1:6" ht="12.95" customHeight="1">
      <c r="A9" s="19" t="s">
        <v>29</v>
      </c>
      <c r="B9" s="46">
        <v>2.58E-2</v>
      </c>
      <c r="C9" s="2"/>
      <c r="D9" s="2"/>
      <c r="E9" s="19" t="s">
        <v>112</v>
      </c>
      <c r="F9" s="46">
        <v>6.6500000000000004E-2</v>
      </c>
    </row>
    <row r="10" spans="1:6" ht="12.95" customHeight="1">
      <c r="A10" s="19" t="s">
        <v>33</v>
      </c>
      <c r="B10" s="46">
        <v>2.5499999999999998E-2</v>
      </c>
      <c r="C10" s="2"/>
      <c r="D10" s="2"/>
      <c r="E10" s="19" t="s">
        <v>252</v>
      </c>
      <c r="F10" s="46">
        <v>6.5100000000000005E-2</v>
      </c>
    </row>
    <row r="11" spans="1:6" ht="12.95" customHeight="1">
      <c r="A11" s="19" t="s">
        <v>37</v>
      </c>
      <c r="B11" s="46">
        <v>2.5399999999999999E-2</v>
      </c>
      <c r="C11" s="2"/>
      <c r="D11" s="2"/>
      <c r="E11" s="19" t="s">
        <v>253</v>
      </c>
      <c r="F11" s="46">
        <v>5.6399999999999999E-2</v>
      </c>
    </row>
    <row r="12" spans="1:6" ht="12.95" customHeight="1">
      <c r="A12" s="19" t="s">
        <v>40</v>
      </c>
      <c r="B12" s="46">
        <v>2.5000000000000001E-2</v>
      </c>
      <c r="C12" s="2"/>
      <c r="D12" s="2"/>
      <c r="E12" s="19" t="s">
        <v>254</v>
      </c>
      <c r="F12" s="46">
        <v>4.5199999999999997E-2</v>
      </c>
    </row>
    <row r="13" spans="1:6" ht="12.95" customHeight="1">
      <c r="A13" s="19" t="s">
        <v>43</v>
      </c>
      <c r="B13" s="46">
        <v>2.47E-2</v>
      </c>
      <c r="C13" s="2"/>
      <c r="D13" s="2"/>
      <c r="E13" s="19" t="s">
        <v>73</v>
      </c>
      <c r="F13" s="46">
        <v>3.9699999999999999E-2</v>
      </c>
    </row>
    <row r="14" spans="1:6" ht="12.95" customHeight="1">
      <c r="A14" s="19" t="s">
        <v>47</v>
      </c>
      <c r="B14" s="46">
        <v>2.4E-2</v>
      </c>
      <c r="C14" s="2"/>
      <c r="D14" s="2"/>
      <c r="E14" s="19" t="s">
        <v>255</v>
      </c>
      <c r="F14" s="46">
        <v>3.5299999999999998E-2</v>
      </c>
    </row>
    <row r="15" spans="1:6" ht="12.95" customHeight="1">
      <c r="A15" s="2"/>
      <c r="B15" s="2"/>
      <c r="C15" s="2"/>
      <c r="D15" s="2"/>
      <c r="E15" s="19" t="s">
        <v>256</v>
      </c>
      <c r="F15" s="46">
        <v>2.3900000000000001E-2</v>
      </c>
    </row>
    <row r="16" spans="1:6" ht="12.95" customHeight="1">
      <c r="A16" s="2"/>
      <c r="B16" s="2"/>
      <c r="C16" s="2"/>
      <c r="D16" s="2"/>
      <c r="E16" s="19" t="s">
        <v>122</v>
      </c>
      <c r="F16" s="46">
        <v>1.67E-2</v>
      </c>
    </row>
    <row r="17" spans="1:6" ht="12.95" customHeight="1">
      <c r="A17" s="2"/>
      <c r="B17" s="2"/>
      <c r="C17" s="2"/>
      <c r="D17" s="2"/>
      <c r="E17" s="19" t="s">
        <v>257</v>
      </c>
      <c r="F17" s="46">
        <v>7.9000000000000008E-3</v>
      </c>
    </row>
    <row r="18" spans="1:6" ht="12.95" customHeight="1">
      <c r="A18" s="2"/>
      <c r="B18" s="2"/>
      <c r="C18" s="2"/>
      <c r="D18" s="2"/>
      <c r="E18" s="19" t="s">
        <v>216</v>
      </c>
      <c r="F18" s="46">
        <v>5.7999999999999996E-3</v>
      </c>
    </row>
    <row r="19" spans="1:6" ht="12.95" customHeight="1">
      <c r="A19" s="2"/>
      <c r="B19" s="2"/>
      <c r="C19" s="2"/>
      <c r="D19" s="2"/>
      <c r="E19" s="19" t="s">
        <v>258</v>
      </c>
      <c r="F19" s="46">
        <v>-5.0000000000000001E-4</v>
      </c>
    </row>
    <row r="20" spans="1:6" ht="12.95" customHeight="1">
      <c r="A20" s="2"/>
      <c r="B20" s="2"/>
      <c r="C20" s="2"/>
      <c r="D20" s="2"/>
      <c r="E20" s="45" t="s">
        <v>259</v>
      </c>
      <c r="F20" s="4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Multi Cap</vt:lpstr>
      <vt:lpstr>RMSCF</vt:lpstr>
      <vt:lpstr>JR_PAGE_ANCHOR_0_27</vt:lpstr>
      <vt:lpstr>RMSCF!JR_PAGE_ANCHOR_0_37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2026-01-09T07:27:12Z</dcterms:created>
  <dcterms:modified xsi:type="dcterms:W3CDTF">2026-01-09T07:29:25Z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2026-01-09T07:27:14Z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c0391a5f-e39e-4635-9599-5b0d36776f87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