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IAMI-All Employee\Digital Customer Connect\Monthly Holdings Working folder\Monthly_Portfolio\"/>
    </mc:Choice>
  </mc:AlternateContent>
  <xr:revisionPtr revIDLastSave="0" documentId="13_ncr:1_{C3E49485-6CC4-4DD7-8C83-E0E5BAF0AC21}" xr6:coauthVersionLast="47" xr6:coauthVersionMax="47" xr10:uidLastSave="{00000000-0000-0000-0000-000000000000}"/>
  <bookViews>
    <workbookView xWindow="-110" yWindow="-110" windowWidth="19420" windowHeight="11500" xr2:uid="{6B09AC3A-82D0-41B4-A9FC-E4FB4999C7D2}"/>
  </bookViews>
  <sheets>
    <sheet name="Focused Fund" sheetId="1" r:id="rId1"/>
    <sheet name="IFE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8" localSheetId="1">IFEF!$A$1</definedName>
    <definedName name="JR_PAGE_ANCHOR_0_8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F43" i="1"/>
</calcChain>
</file>

<file path=xl/sharedStrings.xml><?xml version="1.0" encoding="utf-8"?>
<sst xmlns="http://schemas.openxmlformats.org/spreadsheetml/2006/main" count="168" uniqueCount="141">
  <si>
    <t>IFEF</t>
  </si>
  <si>
    <t>INVESCO MUTUAL FUND</t>
  </si>
  <si>
    <t>Monthly Portfolio Statement as on January 31, 2026</t>
  </si>
  <si>
    <r>
      <rPr>
        <b/>
        <sz val="16"/>
        <color rgb="FFFFFFFF"/>
        <rFont val="Arial"/>
        <family val="2"/>
      </rPr>
      <t>Invesco India Focused Fund
(An open ended equity scheme investing in maximum 20 stocks across market capitalization (i.e. Multicap))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</si>
  <si>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</si>
  <si>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</si>
  <si>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</si>
  <si>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</si>
  <si>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</si>
  <si>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</si>
  <si>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</si>
  <si>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</si>
  <si>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</si>
  <si>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</si>
  <si>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</si>
  <si>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</si>
  <si>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</si>
  <si>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</si>
  <si>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</si>
  <si>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</si>
  <si>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LARS02</t>
  </si>
  <si>
    <t>Larsen &amp; Toubro Limited</t>
  </si>
  <si>
    <t>INE018A01030</t>
  </si>
  <si>
    <t>Construction</t>
  </si>
  <si>
    <t>INAV01</t>
  </si>
  <si>
    <t>InterGlobe Aviation Limited</t>
  </si>
  <si>
    <t>INE646L01027</t>
  </si>
  <si>
    <t>Transport Services</t>
  </si>
  <si>
    <t>ZMPL01</t>
  </si>
  <si>
    <t>Eternal Limited</t>
  </si>
  <si>
    <t>INE758T01015</t>
  </si>
  <si>
    <t>Retailing</t>
  </si>
  <si>
    <t>PSYL02</t>
  </si>
  <si>
    <t>Persistent Systems Ltd</t>
  </si>
  <si>
    <t>INE262H01021</t>
  </si>
  <si>
    <t>IT - Software</t>
  </si>
  <si>
    <t>CHOL02</t>
  </si>
  <si>
    <t>Cholamandalam Investment and Finance Company Limited</t>
  </si>
  <si>
    <t>INE121A01024</t>
  </si>
  <si>
    <t>Finance</t>
  </si>
  <si>
    <t>HALT02</t>
  </si>
  <si>
    <t>Hindustan Aeronautics Limited</t>
  </si>
  <si>
    <t>INE066F01020</t>
  </si>
  <si>
    <t>Aerospace &amp; Defense</t>
  </si>
  <si>
    <t>SAEL02</t>
  </si>
  <si>
    <t>TVS Motor Company Limited</t>
  </si>
  <si>
    <t>INE494B01023</t>
  </si>
  <si>
    <t>Automobiles</t>
  </si>
  <si>
    <t>ABBP01</t>
  </si>
  <si>
    <t>Hitachi Energy India Limited</t>
  </si>
  <si>
    <t>INE07Y701011</t>
  </si>
  <si>
    <t>Electrical Equipment</t>
  </si>
  <si>
    <t>EDEL02</t>
  </si>
  <si>
    <t>Nuvama Wealth Management Ltd</t>
  </si>
  <si>
    <t>INE531F01023</t>
  </si>
  <si>
    <t>Capital Markets</t>
  </si>
  <si>
    <t>DIXO02</t>
  </si>
  <si>
    <t>Dixon Technologies (India) Limited</t>
  </si>
  <si>
    <t>INE935N01020</t>
  </si>
  <si>
    <t>Consumer Durables</t>
  </si>
  <si>
    <t>NITL02</t>
  </si>
  <si>
    <t>Coforge Limited</t>
  </si>
  <si>
    <t>INE591G01025</t>
  </si>
  <si>
    <t>SSNL02</t>
  </si>
  <si>
    <t>Delhivery Limited</t>
  </si>
  <si>
    <t>INE148O01028</t>
  </si>
  <si>
    <t>GHPL01</t>
  </si>
  <si>
    <t>Global Health Limited</t>
  </si>
  <si>
    <t>INE474Q01031</t>
  </si>
  <si>
    <t>Healthcare Services</t>
  </si>
  <si>
    <t>VNBL03</t>
  </si>
  <si>
    <t>Varun Beverages Ltd</t>
  </si>
  <si>
    <t>INE200M01039</t>
  </si>
  <si>
    <t>Beverages</t>
  </si>
  <si>
    <t>AENP01</t>
  </si>
  <si>
    <t>Ather Energy Limited</t>
  </si>
  <si>
    <t>INE0LEZ01016</t>
  </si>
  <si>
    <t>BHAE02</t>
  </si>
  <si>
    <t>BEML Limited</t>
  </si>
  <si>
    <t>INE258A01024</t>
  </si>
  <si>
    <t>Agricultural, Commercial &amp; Construction Vehicles</t>
  </si>
  <si>
    <t>CENT02</t>
  </si>
  <si>
    <t>Aditya Birla Real Estate Limited</t>
  </si>
  <si>
    <t>INE055A01016</t>
  </si>
  <si>
    <t>Paper, Forest &amp; Jute Products</t>
  </si>
  <si>
    <t>SUVP01</t>
  </si>
  <si>
    <t>Cohance Lifesciences Limited</t>
  </si>
  <si>
    <t>INE03QK01018</t>
  </si>
  <si>
    <t>Pharmaceuticals &amp; Biotechnology</t>
  </si>
  <si>
    <t>Sub Total</t>
  </si>
  <si>
    <t>(b) Unlisted</t>
  </si>
  <si>
    <t>Nil</t>
  </si>
  <si>
    <t>Total</t>
  </si>
  <si>
    <t>Money Market Instruments</t>
  </si>
  <si>
    <t>TREPS / Reverse Repo</t>
  </si>
  <si>
    <t>TRP_020226</t>
  </si>
  <si>
    <t>Triparty Repo</t>
  </si>
  <si>
    <t>Others</t>
  </si>
  <si>
    <t>Mutual Fund Units</t>
  </si>
  <si>
    <t>120560</t>
  </si>
  <si>
    <t>Invesco India Short Duration Fund - Direct Plan - Growth</t>
  </si>
  <si>
    <t>INF205K01UH8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</si>
  <si>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</si>
  <si>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</si>
  <si>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</si>
  <si>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</si>
  <si>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</si>
  <si>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</si>
  <si>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</si>
  <si>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</si>
  <si>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</si>
  <si>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</si>
  <si>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</si>
  <si>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</si>
  <si>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</si>
  <si>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January 31, 2026 Nil</t>
  </si>
  <si>
    <t>(4)  Total investments in Foreign Securities / Overseas ETFs as on January 31, 2026 Nil</t>
  </si>
  <si>
    <t>(5)  Deviation from the valuation prices given by valuation agencies during the month ended January 31, 2026: Nil</t>
  </si>
  <si>
    <t>BENCHMARK NAME - BSE 500 TRI</t>
  </si>
  <si>
    <t>SCHEME RISK-O-METER</t>
  </si>
  <si>
    <t>BENCHMARK RISK-O-METER</t>
  </si>
  <si>
    <t>Scheme Name: Invesco India Focused Fund (An open ended equity scheme investing in maximum 20 stocks across market capitalization (i.e. Multicap))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</si>
  <si>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</si>
  <si>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</si>
  <si>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</si>
  <si>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</si>
  <si>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</si>
  <si>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</si>
  <si>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</si>
  <si>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Invesco Mutual Fund</t>
  </si>
  <si>
    <t>Services</t>
  </si>
  <si>
    <t>Information Technology</t>
  </si>
  <si>
    <t>Persistent Systems Limited</t>
  </si>
  <si>
    <t>Automobile and Auto Components</t>
  </si>
  <si>
    <t>Cholamandalam Investment and Finance Company Ltd</t>
  </si>
  <si>
    <t>Consumer Services</t>
  </si>
  <si>
    <t>Healthcare</t>
  </si>
  <si>
    <t>Fast Moving Consumer Goods</t>
  </si>
  <si>
    <t>Forest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</si>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</sst>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234950</xdr:colOff>
      <xdr:row>60</xdr:row>
      <xdr:rowOff>107950</xdr:rowOff>
    </xdr:from>
    <xdr:to>
      <xdr:col>1</xdr:col>
      <xdr:colOff>2782887</xdr:colOff>
      <xdr:row>71</xdr:row>
      <xdr:rowOff>4762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ADF17A-33A4-4AA6-B42C-8B262F3008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1163300"/>
          <a:ext cx="2859087" cy="1922462"/>
        </a:xfrm>
        <a:prstGeom prst="rect">
          <a:avLst/>
        </a:prstGeom>
      </xdr:spPr>
    </xdr:pic>
    <xdr:clientData/>
  </xdr:twoCellAnchor>
  <xdr:twoCellAnchor editAs="oneCell">
    <xdr:from>
      <xdr:col>4</xdr:col>
      <xdr:colOff>1390650</xdr:colOff>
      <xdr:row>60</xdr:row>
      <xdr:rowOff>107950</xdr:rowOff>
    </xdr:from>
    <xdr:to>
      <xdr:col>7</xdr:col>
      <xdr:colOff>452438</xdr:colOff>
      <xdr:row>71</xdr:row>
      <xdr:rowOff>4762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C7C18A-E3A8-48E1-B158-ED05F6BD97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1163300"/>
          <a:ext cx="2859088" cy="19224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10B19-063A-44D8-A78F-666783DCDEFC}">
  <sheetPr codeName="Sheet9">
    <outlinePr summaryBelow="0"/>
  </sheetPr>
  <dimension ref="A1:H60"/>
  <sheetViews>
    <sheetView showGridLines="0" tabSelected="1" zoomScale="80" zoomScaleNormal="80" workbookViewId="0">
      <selection activeCell="B2" sqref="B2:H2"/>
    </sheetView>
  </sheetViews>
  <sheetFormatPr defaultRowHeight="14.5"/>
  <cols>
    <col min="1" max="1" width="4.453125" customWidth="1"/>
    <col min="2" max="2" width="74.81640625" customWidth="1"/>
    <col min="3" max="3" width="16" customWidth="1"/>
    <col min="4" max="4" width="27.453125" customWidth="1"/>
    <col min="5" max="5" width="14.1796875" customWidth="1"/>
    <col min="6" max="6" width="14.453125" customWidth="1"/>
    <col min="7" max="7" width="20" customWidth="1"/>
    <col min="8" max="8" width="7.2695312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71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6"/>
      <c r="C4" s="36"/>
      <c r="D4" s="36"/>
      <c r="E4" s="36"/>
      <c r="F4" s="36"/>
      <c r="G4" s="36"/>
      <c r="H4" s="36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3174245</v>
      </c>
      <c r="F8" s="14">
        <v>43011.02</v>
      </c>
      <c r="G8" s="14">
        <v>8.84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4437491</v>
      </c>
      <c r="F9" s="14">
        <v>41235.39</v>
      </c>
      <c r="G9" s="14">
        <v>8.4700000000000006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1009212</v>
      </c>
      <c r="F10" s="14">
        <v>39685.24</v>
      </c>
      <c r="G10" s="14">
        <v>8.15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627892</v>
      </c>
      <c r="F11" s="14">
        <v>28861.06</v>
      </c>
      <c r="G11" s="14">
        <v>5.93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9412046</v>
      </c>
      <c r="F12" s="14">
        <v>25751.360000000001</v>
      </c>
      <c r="G12" s="14">
        <v>5.29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406451</v>
      </c>
      <c r="F13" s="14">
        <v>24529.32</v>
      </c>
      <c r="G13" s="14">
        <v>5.04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1377000</v>
      </c>
      <c r="F14" s="14">
        <v>22467.13</v>
      </c>
      <c r="G14" s="14">
        <v>4.62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483104</v>
      </c>
      <c r="F15" s="14">
        <v>22316.51</v>
      </c>
      <c r="G15" s="14">
        <v>4.59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603968</v>
      </c>
      <c r="F16" s="14">
        <v>22210.32</v>
      </c>
      <c r="G16" s="14">
        <v>4.5599999999999996</v>
      </c>
      <c r="H16" s="15"/>
    </row>
    <row r="17" spans="1:8" ht="13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110009</v>
      </c>
      <c r="F17" s="14">
        <v>20749.900000000001</v>
      </c>
      <c r="G17" s="14">
        <v>4.26</v>
      </c>
      <c r="H17" s="15"/>
    </row>
    <row r="18" spans="1:8" ht="13" customHeight="1">
      <c r="A18" s="1" t="s">
        <v>52</v>
      </c>
      <c r="B18" s="11" t="s">
        <v>53</v>
      </c>
      <c r="C18" s="12" t="s">
        <v>54</v>
      </c>
      <c r="D18" s="8" t="s">
        <v>55</v>
      </c>
      <c r="E18" s="13">
        <v>1460085</v>
      </c>
      <c r="F18" s="14">
        <v>19643.98</v>
      </c>
      <c r="G18" s="14">
        <v>4.04</v>
      </c>
      <c r="H18" s="15"/>
    </row>
    <row r="19" spans="1:8" ht="13" customHeight="1">
      <c r="A19" s="1" t="s">
        <v>56</v>
      </c>
      <c r="B19" s="11" t="s">
        <v>57</v>
      </c>
      <c r="C19" s="12" t="s">
        <v>58</v>
      </c>
      <c r="D19" s="8" t="s">
        <v>59</v>
      </c>
      <c r="E19" s="13">
        <v>186605</v>
      </c>
      <c r="F19" s="14">
        <v>19492.759999999998</v>
      </c>
      <c r="G19" s="14">
        <v>4</v>
      </c>
      <c r="H19" s="15"/>
    </row>
    <row r="20" spans="1:8" ht="13" customHeight="1">
      <c r="A20" s="1" t="s">
        <v>60</v>
      </c>
      <c r="B20" s="11" t="s">
        <v>61</v>
      </c>
      <c r="C20" s="12" t="s">
        <v>62</v>
      </c>
      <c r="D20" s="8" t="s">
        <v>35</v>
      </c>
      <c r="E20" s="13">
        <v>1023267</v>
      </c>
      <c r="F20" s="14">
        <v>16922.79</v>
      </c>
      <c r="G20" s="14">
        <v>3.48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27</v>
      </c>
      <c r="E21" s="13">
        <v>3973428</v>
      </c>
      <c r="F21" s="14">
        <v>16805.61</v>
      </c>
      <c r="G21" s="14">
        <v>3.45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1531813</v>
      </c>
      <c r="F22" s="14">
        <v>16142.25</v>
      </c>
      <c r="G22" s="14">
        <v>3.32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3362764</v>
      </c>
      <c r="F23" s="14">
        <v>15847.03</v>
      </c>
      <c r="G23" s="14">
        <v>3.26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47</v>
      </c>
      <c r="E24" s="13">
        <v>2499073</v>
      </c>
      <c r="F24" s="14">
        <v>15525.49</v>
      </c>
      <c r="G24" s="14">
        <v>3.19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80</v>
      </c>
      <c r="E25" s="13">
        <v>770280</v>
      </c>
      <c r="F25" s="14">
        <v>13825.76</v>
      </c>
      <c r="G25" s="14">
        <v>2.84</v>
      </c>
      <c r="H25" s="15"/>
    </row>
    <row r="26" spans="1:8" ht="13" customHeight="1">
      <c r="A26" s="1" t="s">
        <v>81</v>
      </c>
      <c r="B26" s="11" t="s">
        <v>82</v>
      </c>
      <c r="C26" s="12" t="s">
        <v>83</v>
      </c>
      <c r="D26" s="8" t="s">
        <v>84</v>
      </c>
      <c r="E26" s="13">
        <v>709077</v>
      </c>
      <c r="F26" s="14">
        <v>8979.75</v>
      </c>
      <c r="G26" s="14">
        <v>1.84</v>
      </c>
      <c r="H26" s="15"/>
    </row>
    <row r="27" spans="1:8" ht="13" customHeight="1">
      <c r="A27" s="1" t="s">
        <v>85</v>
      </c>
      <c r="B27" s="11" t="s">
        <v>86</v>
      </c>
      <c r="C27" s="12" t="s">
        <v>87</v>
      </c>
      <c r="D27" s="8" t="s">
        <v>88</v>
      </c>
      <c r="E27" s="13">
        <v>1388970</v>
      </c>
      <c r="F27" s="14">
        <v>5296.14</v>
      </c>
      <c r="G27" s="14">
        <v>1.0900000000000001</v>
      </c>
      <c r="H27" s="15"/>
    </row>
    <row r="28" spans="1:8" ht="13" customHeight="1">
      <c r="A28" s="2"/>
      <c r="B28" s="7" t="s">
        <v>89</v>
      </c>
      <c r="C28" s="8"/>
      <c r="D28" s="8"/>
      <c r="E28" s="8"/>
      <c r="F28" s="16">
        <v>439298.81</v>
      </c>
      <c r="G28" s="16">
        <v>90.26</v>
      </c>
      <c r="H28" s="17"/>
    </row>
    <row r="29" spans="1:8" ht="13" customHeight="1">
      <c r="A29" s="2"/>
      <c r="B29" s="18" t="s">
        <v>90</v>
      </c>
      <c r="C29" s="19"/>
      <c r="D29" s="19"/>
      <c r="E29" s="20"/>
      <c r="F29" s="21" t="s">
        <v>91</v>
      </c>
      <c r="G29" s="21" t="s">
        <v>91</v>
      </c>
      <c r="H29" s="22" t="s">
        <v>91</v>
      </c>
    </row>
    <row r="30" spans="1:8" ht="13" customHeight="1">
      <c r="A30" s="2"/>
      <c r="B30" s="23" t="s">
        <v>89</v>
      </c>
      <c r="C30" s="24"/>
      <c r="D30" s="24"/>
      <c r="E30" s="21"/>
      <c r="F30" s="21" t="s">
        <v>91</v>
      </c>
      <c r="G30" s="21" t="s">
        <v>91</v>
      </c>
      <c r="H30" s="22" t="s">
        <v>91</v>
      </c>
    </row>
    <row r="31" spans="1:8" ht="13" customHeight="1">
      <c r="A31" s="2"/>
      <c r="B31" s="18" t="s">
        <v>92</v>
      </c>
      <c r="C31" s="19"/>
      <c r="D31" s="19"/>
      <c r="E31" s="25"/>
      <c r="F31" s="16">
        <v>439298.81</v>
      </c>
      <c r="G31" s="16">
        <v>90.26</v>
      </c>
      <c r="H31" s="22"/>
    </row>
    <row r="32" spans="1:8" ht="13" customHeight="1">
      <c r="A32" s="2"/>
      <c r="B32" s="7" t="s">
        <v>93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94</v>
      </c>
      <c r="C33" s="10"/>
      <c r="D33" s="10"/>
      <c r="E33" s="8"/>
      <c r="F33" s="8"/>
      <c r="G33" s="8"/>
      <c r="H33" s="9"/>
    </row>
    <row r="34" spans="1:8" ht="13" customHeight="1">
      <c r="A34" s="1" t="s">
        <v>95</v>
      </c>
      <c r="B34" s="11" t="s">
        <v>96</v>
      </c>
      <c r="C34" s="12"/>
      <c r="D34" s="8"/>
      <c r="E34" s="13"/>
      <c r="F34" s="14">
        <v>14665.73</v>
      </c>
      <c r="G34" s="14">
        <v>3.01</v>
      </c>
      <c r="H34" s="15">
        <v>5.1464553972819085E-2</v>
      </c>
    </row>
    <row r="35" spans="1:8" ht="13" customHeight="1">
      <c r="A35" s="2"/>
      <c r="B35" s="7" t="s">
        <v>89</v>
      </c>
      <c r="C35" s="8"/>
      <c r="D35" s="8"/>
      <c r="E35" s="8"/>
      <c r="F35" s="16">
        <v>14665.73</v>
      </c>
      <c r="G35" s="16">
        <v>3.01</v>
      </c>
      <c r="H35" s="17"/>
    </row>
    <row r="36" spans="1:8" ht="13" customHeight="1">
      <c r="A36" s="2"/>
      <c r="B36" s="18" t="s">
        <v>92</v>
      </c>
      <c r="C36" s="19"/>
      <c r="D36" s="19"/>
      <c r="E36" s="25"/>
      <c r="F36" s="16">
        <v>14665.73</v>
      </c>
      <c r="G36" s="16">
        <v>3.01</v>
      </c>
      <c r="H36" s="22"/>
    </row>
    <row r="37" spans="1:8" ht="13" customHeight="1">
      <c r="A37" s="2"/>
      <c r="B37" s="7" t="s">
        <v>97</v>
      </c>
      <c r="C37" s="8"/>
      <c r="D37" s="8"/>
      <c r="E37" s="8"/>
      <c r="F37" s="8"/>
      <c r="G37" s="8"/>
      <c r="H37" s="9"/>
    </row>
    <row r="38" spans="1:8" ht="13" customHeight="1">
      <c r="A38" s="2"/>
      <c r="B38" s="7" t="s">
        <v>98</v>
      </c>
      <c r="C38" s="10"/>
      <c r="D38" s="10"/>
      <c r="E38" s="8"/>
      <c r="F38" s="8"/>
      <c r="G38" s="8"/>
      <c r="H38" s="9"/>
    </row>
    <row r="39" spans="1:8" ht="13" customHeight="1">
      <c r="A39" s="1" t="s">
        <v>99</v>
      </c>
      <c r="B39" s="11" t="s">
        <v>100</v>
      </c>
      <c r="C39" s="12" t="s">
        <v>101</v>
      </c>
      <c r="D39" s="8"/>
      <c r="E39" s="26">
        <v>800486.10600000003</v>
      </c>
      <c r="F39" s="14">
        <v>32522.23</v>
      </c>
      <c r="G39" s="14">
        <v>6.68</v>
      </c>
      <c r="H39" s="15"/>
    </row>
    <row r="40" spans="1:8" ht="13" customHeight="1">
      <c r="A40" s="2"/>
      <c r="B40" s="7" t="s">
        <v>89</v>
      </c>
      <c r="C40" s="8"/>
      <c r="D40" s="8"/>
      <c r="E40" s="8"/>
      <c r="F40" s="16">
        <v>32522.23</v>
      </c>
      <c r="G40" s="16">
        <v>6.68</v>
      </c>
      <c r="H40" s="17"/>
    </row>
    <row r="41" spans="1:8" ht="13" customHeight="1">
      <c r="A41" s="2"/>
      <c r="B41" s="7" t="s">
        <v>102</v>
      </c>
      <c r="C41" s="8"/>
      <c r="D41" s="8"/>
      <c r="E41" s="8"/>
      <c r="F41" s="27"/>
      <c r="G41" s="28"/>
      <c r="H41" s="17"/>
    </row>
    <row r="42" spans="1:8" ht="13" customHeight="1">
      <c r="A42" s="1" t="s">
        <v>103</v>
      </c>
      <c r="B42" s="11" t="s">
        <v>104</v>
      </c>
      <c r="C42" s="12" t="s">
        <v>105</v>
      </c>
      <c r="D42" s="8" t="s">
        <v>47</v>
      </c>
      <c r="E42" s="13">
        <v>1193784</v>
      </c>
      <c r="F42" s="14">
        <v>122.04</v>
      </c>
      <c r="G42" s="14">
        <v>0.03</v>
      </c>
      <c r="H42" s="15"/>
    </row>
    <row r="43" spans="1:8" ht="13" customHeight="1">
      <c r="A43" s="2"/>
      <c r="B43" s="7" t="s">
        <v>89</v>
      </c>
      <c r="C43" s="8"/>
      <c r="D43" s="8"/>
      <c r="E43" s="8"/>
      <c r="F43" s="16">
        <f>F42</f>
        <v>122.04</v>
      </c>
      <c r="G43" s="16">
        <f>G42</f>
        <v>0.03</v>
      </c>
      <c r="H43" s="17"/>
    </row>
    <row r="44" spans="1:8" ht="13" customHeight="1">
      <c r="A44" s="2"/>
      <c r="B44" s="18" t="s">
        <v>92</v>
      </c>
      <c r="C44" s="19"/>
      <c r="D44" s="19"/>
      <c r="E44" s="25"/>
      <c r="F44" s="16">
        <v>32644.27</v>
      </c>
      <c r="G44" s="16">
        <v>6.71</v>
      </c>
      <c r="H44" s="22"/>
    </row>
    <row r="45" spans="1:8" ht="13" customHeight="1">
      <c r="A45" s="2"/>
      <c r="B45" s="18" t="s">
        <v>106</v>
      </c>
      <c r="C45" s="19"/>
      <c r="D45" s="19"/>
      <c r="E45" s="8"/>
      <c r="F45" s="16">
        <v>119.38</v>
      </c>
      <c r="G45" s="16">
        <v>0.02</v>
      </c>
      <c r="H45" s="22"/>
    </row>
    <row r="46" spans="1:8" ht="13" customHeight="1" thickBot="1">
      <c r="A46" s="2"/>
      <c r="B46" s="29" t="s">
        <v>107</v>
      </c>
      <c r="C46" s="30"/>
      <c r="D46" s="30"/>
      <c r="E46" s="30"/>
      <c r="F46" s="31">
        <v>486728.19</v>
      </c>
      <c r="G46" s="32">
        <v>100</v>
      </c>
      <c r="H46" s="33"/>
    </row>
    <row r="47" spans="1:8" ht="13" customHeight="1">
      <c r="A47" s="2"/>
      <c r="B47" s="37"/>
      <c r="C47" s="37"/>
      <c r="D47" s="37"/>
      <c r="E47" s="37"/>
      <c r="F47" s="2"/>
      <c r="G47" s="2"/>
      <c r="H47" s="2"/>
    </row>
    <row r="48" spans="1:8" ht="13" customHeight="1">
      <c r="A48" s="2"/>
      <c r="B48" s="37" t="s">
        <v>108</v>
      </c>
      <c r="C48" s="37"/>
      <c r="D48" s="37"/>
      <c r="E48" s="37"/>
      <c r="F48" s="34"/>
      <c r="G48" s="34"/>
      <c r="H48" s="2"/>
    </row>
    <row r="49" spans="1:8" ht="13" customHeight="1">
      <c r="A49" s="2"/>
      <c r="B49" s="37" t="s">
        <v>109</v>
      </c>
      <c r="C49" s="37"/>
      <c r="D49" s="37"/>
      <c r="E49" s="37"/>
      <c r="F49" s="2"/>
      <c r="G49" s="2"/>
      <c r="H49" s="2"/>
    </row>
    <row r="50" spans="1:8" ht="13" customHeight="1">
      <c r="A50" s="2"/>
      <c r="B50" s="37" t="s">
        <v>110</v>
      </c>
      <c r="C50" s="37"/>
      <c r="D50" s="37"/>
      <c r="E50" s="37"/>
      <c r="F50" s="2"/>
      <c r="G50" s="2"/>
      <c r="H50" s="2"/>
    </row>
    <row r="51" spans="1:8" ht="13" customHeight="1">
      <c r="A51" s="2"/>
      <c r="B51" s="37" t="s">
        <v>111</v>
      </c>
      <c r="C51" s="37"/>
      <c r="D51" s="37"/>
      <c r="E51" s="37"/>
      <c r="F51" s="2"/>
      <c r="G51" s="2"/>
      <c r="H51" s="2"/>
    </row>
    <row r="52" spans="1:8" ht="13" customHeight="1">
      <c r="A52" s="2"/>
      <c r="B52" s="36"/>
      <c r="C52" s="36"/>
      <c r="D52" s="36"/>
      <c r="E52" s="36"/>
      <c r="F52" s="2"/>
      <c r="G52" s="2"/>
      <c r="H52" s="2"/>
    </row>
    <row r="53" spans="1:8" ht="13" customHeight="1">
      <c r="A53" s="2"/>
      <c r="B53" s="37" t="s">
        <v>112</v>
      </c>
      <c r="C53" s="37"/>
      <c r="D53" s="37"/>
      <c r="E53" s="37"/>
      <c r="F53" s="2"/>
      <c r="G53" s="2"/>
      <c r="H53" s="2"/>
    </row>
    <row r="54" spans="1:8" ht="13" customHeight="1">
      <c r="A54" s="2"/>
      <c r="B54" s="36" t="s">
        <v>113</v>
      </c>
      <c r="C54" s="36"/>
      <c r="D54" s="36"/>
      <c r="E54" s="36"/>
      <c r="F54" s="2"/>
      <c r="G54" s="2"/>
      <c r="H54" s="2"/>
    </row>
    <row r="55" spans="1:8" ht="13" customHeight="1">
      <c r="A55" s="2"/>
      <c r="B55" s="36" t="s">
        <v>114</v>
      </c>
      <c r="C55" s="36"/>
      <c r="D55" s="36"/>
      <c r="E55" s="36"/>
      <c r="F55" s="2"/>
      <c r="G55" s="2"/>
      <c r="H55" s="2"/>
    </row>
    <row r="56" spans="1:8" ht="13" customHeight="1">
      <c r="A56" s="2"/>
      <c r="B56" s="36" t="s">
        <v>115</v>
      </c>
      <c r="C56" s="36"/>
      <c r="D56" s="36"/>
      <c r="E56" s="36"/>
      <c r="F56" s="36"/>
      <c r="G56" s="36"/>
      <c r="H56" s="36"/>
    </row>
    <row r="57" spans="1:8" ht="13" customHeight="1">
      <c r="A57" s="2"/>
      <c r="B57" s="36" t="s">
        <v>116</v>
      </c>
      <c r="C57" s="36"/>
      <c r="D57" s="36"/>
      <c r="E57" s="36"/>
      <c r="F57" s="36"/>
      <c r="G57" s="36"/>
      <c r="H57" s="36"/>
    </row>
    <row r="58" spans="1:8" ht="13" customHeight="1">
      <c r="A58" s="2"/>
      <c r="B58" s="36" t="s">
        <v>117</v>
      </c>
      <c r="C58" s="36"/>
      <c r="D58" s="36"/>
      <c r="E58" s="36"/>
      <c r="F58" s="2"/>
      <c r="G58" s="2"/>
      <c r="H58" s="2"/>
    </row>
    <row r="59" spans="1:8">
      <c r="F59" s="35" t="s">
        <v>118</v>
      </c>
    </row>
    <row r="60" spans="1:8">
      <c r="B60" s="35" t="s">
        <v>119</v>
      </c>
      <c r="F60" s="35" t="s">
        <v>120</v>
      </c>
    </row>
  </sheetData>
  <mergeCells count="16">
    <mergeCell ref="B48:E48"/>
    <mergeCell ref="B1:H1"/>
    <mergeCell ref="B2:H2"/>
    <mergeCell ref="B3:H3"/>
    <mergeCell ref="B4:H4"/>
    <mergeCell ref="B47:E47"/>
    <mergeCell ref="B55:E55"/>
    <mergeCell ref="B56:H56"/>
    <mergeCell ref="B57:H57"/>
    <mergeCell ref="B58:E58"/>
    <mergeCell ref="B49:E49"/>
    <mergeCell ref="B50:E50"/>
    <mergeCell ref="B51:E51"/>
    <mergeCell ref="B52:E52"/>
    <mergeCell ref="B53:E53"/>
    <mergeCell ref="B54:E54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E317-8C12-4C6E-A75A-8771ABF3740E}">
  <sheetPr codeName="Sheet8">
    <outlinePr summaryBelow="0"/>
  </sheetPr>
  <dimension ref="A1:F1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121</v>
      </c>
      <c r="B1" s="37"/>
      <c r="C1" s="37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122</v>
      </c>
      <c r="B3" s="40"/>
      <c r="C3" s="2"/>
      <c r="D3" s="2"/>
      <c r="E3" s="40" t="s">
        <v>123</v>
      </c>
      <c r="F3" s="40"/>
    </row>
    <row r="4" spans="1:6" ht="13" customHeight="1">
      <c r="A4" s="41" t="s">
        <v>124</v>
      </c>
      <c r="B4" s="41" t="s">
        <v>9</v>
      </c>
      <c r="C4" s="2"/>
      <c r="D4" s="2"/>
      <c r="E4" s="41" t="s">
        <v>125</v>
      </c>
      <c r="F4" s="41" t="s">
        <v>126</v>
      </c>
    </row>
    <row r="5" spans="1:6" ht="13" customHeight="1">
      <c r="A5" s="19" t="s">
        <v>14</v>
      </c>
      <c r="B5" s="42">
        <v>8.8400000000000006E-2</v>
      </c>
      <c r="C5" s="2"/>
      <c r="D5" s="2"/>
      <c r="E5" s="19" t="s">
        <v>127</v>
      </c>
      <c r="F5" s="42">
        <v>0.2596</v>
      </c>
    </row>
    <row r="6" spans="1:6" ht="13" customHeight="1">
      <c r="A6" s="19" t="s">
        <v>18</v>
      </c>
      <c r="B6" s="42">
        <v>8.4699999999999998E-2</v>
      </c>
      <c r="C6" s="2"/>
      <c r="D6" s="2"/>
      <c r="E6" s="19" t="s">
        <v>128</v>
      </c>
      <c r="F6" s="42">
        <v>0.1169</v>
      </c>
    </row>
    <row r="7" spans="1:6" ht="13" customHeight="1">
      <c r="A7" s="19" t="s">
        <v>21</v>
      </c>
      <c r="B7" s="42">
        <v>8.1500000000000003E-2</v>
      </c>
      <c r="C7" s="2"/>
      <c r="D7" s="2"/>
      <c r="E7" s="19" t="s">
        <v>97</v>
      </c>
      <c r="F7" s="42">
        <v>9.69E-2</v>
      </c>
    </row>
    <row r="8" spans="1:6" ht="13" customHeight="1">
      <c r="A8" s="19" t="s">
        <v>129</v>
      </c>
      <c r="B8" s="42">
        <v>6.6799999999999998E-2</v>
      </c>
      <c r="C8" s="2"/>
      <c r="D8" s="2"/>
      <c r="E8" s="19" t="s">
        <v>130</v>
      </c>
      <c r="F8" s="42">
        <v>9.3799999999999994E-2</v>
      </c>
    </row>
    <row r="9" spans="1:6" ht="13" customHeight="1">
      <c r="A9" s="19" t="s">
        <v>25</v>
      </c>
      <c r="B9" s="42">
        <v>5.9299999999999999E-2</v>
      </c>
      <c r="C9" s="2"/>
      <c r="D9" s="2"/>
      <c r="E9" s="19" t="s">
        <v>131</v>
      </c>
      <c r="F9" s="42">
        <v>8.5199999999999998E-2</v>
      </c>
    </row>
    <row r="10" spans="1:6" ht="13" customHeight="1">
      <c r="A10" s="19" t="s">
        <v>29</v>
      </c>
      <c r="B10" s="42">
        <v>5.2900000000000003E-2</v>
      </c>
      <c r="C10" s="2"/>
      <c r="D10" s="2"/>
      <c r="E10" s="19" t="s">
        <v>23</v>
      </c>
      <c r="F10" s="42">
        <v>8.1500000000000003E-2</v>
      </c>
    </row>
    <row r="11" spans="1:6" ht="13" customHeight="1">
      <c r="A11" s="19" t="s">
        <v>132</v>
      </c>
      <c r="B11" s="42">
        <v>5.04E-2</v>
      </c>
      <c r="C11" s="2"/>
      <c r="D11" s="2"/>
      <c r="E11" s="19" t="s">
        <v>133</v>
      </c>
      <c r="F11" s="42">
        <v>7.7499999999999999E-2</v>
      </c>
    </row>
    <row r="12" spans="1:6" ht="13" customHeight="1">
      <c r="A12" s="19" t="s">
        <v>134</v>
      </c>
      <c r="B12" s="42">
        <v>4.6199999999999998E-2</v>
      </c>
      <c r="C12" s="2"/>
      <c r="D12" s="2"/>
      <c r="E12" s="19" t="s">
        <v>135</v>
      </c>
      <c r="F12" s="42">
        <v>5.2900000000000003E-2</v>
      </c>
    </row>
    <row r="13" spans="1:6" ht="13" customHeight="1">
      <c r="A13" s="19" t="s">
        <v>41</v>
      </c>
      <c r="B13" s="42">
        <v>4.5900000000000003E-2</v>
      </c>
      <c r="C13" s="2"/>
      <c r="D13" s="2"/>
      <c r="E13" s="19" t="s">
        <v>136</v>
      </c>
      <c r="F13" s="42">
        <v>4.3999999999999997E-2</v>
      </c>
    </row>
    <row r="14" spans="1:6" ht="13" customHeight="1">
      <c r="A14" s="19" t="s">
        <v>45</v>
      </c>
      <c r="B14" s="42">
        <v>4.5600000000000002E-2</v>
      </c>
      <c r="C14" s="2"/>
      <c r="D14" s="2"/>
      <c r="E14" s="19" t="s">
        <v>59</v>
      </c>
      <c r="F14" s="42">
        <v>0.04</v>
      </c>
    </row>
    <row r="15" spans="1:6" ht="13" customHeight="1">
      <c r="A15" s="2"/>
      <c r="B15" s="2"/>
      <c r="C15" s="2"/>
      <c r="D15" s="2"/>
      <c r="E15" s="19" t="s">
        <v>137</v>
      </c>
      <c r="F15" s="42">
        <v>3.2599999999999997E-2</v>
      </c>
    </row>
    <row r="16" spans="1:6" ht="13" customHeight="1">
      <c r="A16" s="2"/>
      <c r="B16" s="2"/>
      <c r="C16" s="2"/>
      <c r="D16" s="2"/>
      <c r="E16" s="19" t="s">
        <v>138</v>
      </c>
      <c r="F16" s="42">
        <v>1.84E-2</v>
      </c>
    </row>
    <row r="17" spans="1:6" ht="13" customHeight="1">
      <c r="A17" s="2"/>
      <c r="B17" s="2"/>
      <c r="C17" s="2"/>
      <c r="D17" s="2"/>
      <c r="E17" s="19" t="s">
        <v>139</v>
      </c>
      <c r="F17" s="42">
        <v>5.0000000000000001E-4</v>
      </c>
    </row>
    <row r="18" spans="1:6" ht="13" customHeight="1">
      <c r="A18" s="2"/>
      <c r="B18" s="2"/>
      <c r="C18" s="2"/>
      <c r="D18" s="2"/>
      <c r="E18" s="41" t="s">
        <v>140</v>
      </c>
      <c r="F18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2026-02-10T05:16:36Z</dcterms:created>
  <dcterms:modified xsi:type="dcterms:W3CDTF">2026-02-10T05:20:42Z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2026-02-10T05:16:38Z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27f22c44-1bd4-4f4d-86bf-aebc75a54b64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