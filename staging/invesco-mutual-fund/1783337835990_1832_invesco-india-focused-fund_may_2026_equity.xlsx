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cused Fund" sheetId="1" state="visible" r:id="rId1"/>
    <sheet name="IF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2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167" fontId="4" fillId="0" borderId="5" applyAlignment="1" pivotButton="0" quotePrefix="0" xfId="0">
      <alignment horizontal="right" vertical="top" wrapText="1"/>
    </xf>
    <xf numFmtId="165" fontId="5" fillId="0" borderId="5" applyAlignment="1" pivotButton="0" quotePrefix="0" xfId="0">
      <alignment horizontal="right" vertical="top" wrapText="1"/>
    </xf>
    <xf numFmtId="0" fontId="5" fillId="0" borderId="5" applyAlignment="1" pivotButton="0" quotePrefix="0" xfId="0">
      <alignment horizontal="righ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4" fontId="3" fillId="0" borderId="0" applyAlignment="1" applyProtection="1" pivotButton="0" quotePrefix="0" xfId="0">
      <alignment wrapText="1"/>
      <protection locked="0" hidden="0"/>
    </xf>
    <xf numFmtId="0" fontId="6" fillId="0" borderId="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3" fontId="7" fillId="0" borderId="1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/>
    </xf>
    <xf numFmtId="2" fontId="3" fillId="0" borderId="0" pivotButton="0" quotePrefix="0" xfId="0"/>
    <xf numFmtId="0" fontId="8" fillId="0" borderId="0" pivotButton="0" quotePrefix="0" xfId="0"/>
    <xf numFmtId="0" fontId="9" fillId="0" borderId="18" applyAlignment="1" pivotButton="0" quotePrefix="0" xfId="0">
      <alignment horizontal="left" vertical="top" wrapText="1"/>
    </xf>
    <xf numFmtId="0" fontId="10" fillId="0" borderId="18" applyAlignment="1" pivotButton="0" quotePrefix="0" xfId="0">
      <alignment horizontal="left" vertical="top" wrapText="1"/>
    </xf>
    <xf numFmtId="0" fontId="11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9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11" fillId="0" borderId="19" applyAlignment="1" pivotButton="0" quotePrefix="0" xfId="0">
      <alignment horizontal="left" vertical="top" wrapText="1"/>
    </xf>
    <xf numFmtId="166" fontId="11" fillId="0" borderId="19" applyAlignment="1" pivotButton="0" quotePrefix="0" xfId="0">
      <alignment horizontal="right" vertical="top" wrapText="1"/>
    </xf>
    <xf numFmtId="166" fontId="10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83</row>
      <rowOff>0</rowOff>
    </from>
    <to>
      <col>1</col>
      <colOff>2857500</colOff>
      <row>93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49034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83</row>
      <rowOff>0</rowOff>
    </from>
    <to>
      <col>7</col>
      <colOff>641350</colOff>
      <row>93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49034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IFEF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Focused Fund
(An open ended equity scheme investing in maximum 30 stocks across market capitalization (i.e. Multicap))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IBCL05</t>
        </is>
      </c>
      <c r="B8" s="12" t="inlineStr">
        <is>
          <t>ICICI Bank Limited</t>
        </is>
      </c>
      <c r="C8" s="13" t="inlineStr">
        <is>
          <t>INE090A01021</t>
        </is>
      </c>
      <c r="D8" s="9" t="inlineStr">
        <is>
          <t>Banks</t>
        </is>
      </c>
      <c r="E8" s="14" t="n">
        <v>3752445</v>
      </c>
      <c r="F8" s="15" t="n">
        <v>47145.72</v>
      </c>
      <c r="G8" s="15" t="n">
        <v>8.94</v>
      </c>
      <c r="H8" s="16" t="n"/>
    </row>
    <row r="9" ht="13" customHeight="1">
      <c r="A9" s="1" t="inlineStr">
        <is>
          <t>LARS02</t>
        </is>
      </c>
      <c r="B9" s="12" t="inlineStr">
        <is>
          <t>Larsen &amp; Toubro Limited</t>
        </is>
      </c>
      <c r="C9" s="13" t="inlineStr">
        <is>
          <t>INE018A01030</t>
        </is>
      </c>
      <c r="D9" s="9" t="inlineStr">
        <is>
          <t>Construction</t>
        </is>
      </c>
      <c r="E9" s="14" t="n">
        <v>1009212</v>
      </c>
      <c r="F9" s="15" t="n">
        <v>41140.53</v>
      </c>
      <c r="G9" s="15" t="n">
        <v>7.8</v>
      </c>
      <c r="H9" s="16" t="n"/>
    </row>
    <row r="10" ht="13" customHeight="1">
      <c r="A10" s="1" t="inlineStr">
        <is>
          <t>HDFB03</t>
        </is>
      </c>
      <c r="B10" s="12" t="inlineStr">
        <is>
          <t>HDFC Bank Limited</t>
        </is>
      </c>
      <c r="C10" s="13" t="inlineStr">
        <is>
          <t>INE040A01034</t>
        </is>
      </c>
      <c r="D10" s="9" t="inlineStr">
        <is>
          <t>Banks</t>
        </is>
      </c>
      <c r="E10" s="14" t="n">
        <v>4757064</v>
      </c>
      <c r="F10" s="15" t="n">
        <v>35418.72</v>
      </c>
      <c r="G10" s="15" t="n">
        <v>6.72</v>
      </c>
      <c r="H10" s="16" t="n"/>
    </row>
    <row r="11" ht="13" customHeight="1">
      <c r="A11" s="1" t="inlineStr">
        <is>
          <t>INAV01</t>
        </is>
      </c>
      <c r="B11" s="12" t="inlineStr">
        <is>
          <t>InterGlobe Aviation Limited</t>
        </is>
      </c>
      <c r="C11" s="13" t="inlineStr">
        <is>
          <t>INE646L01027</t>
        </is>
      </c>
      <c r="D11" s="9" t="inlineStr">
        <is>
          <t>Transport Services</t>
        </is>
      </c>
      <c r="E11" s="14" t="n">
        <v>692388</v>
      </c>
      <c r="F11" s="15" t="n">
        <v>30499.69</v>
      </c>
      <c r="G11" s="15" t="n">
        <v>5.78</v>
      </c>
      <c r="H11" s="16" t="n"/>
    </row>
    <row r="12" ht="13" customHeight="1">
      <c r="A12" s="1" t="inlineStr">
        <is>
          <t>EDEL02</t>
        </is>
      </c>
      <c r="B12" s="12" t="inlineStr">
        <is>
          <t>Nuvama Wealth Management Ltd</t>
        </is>
      </c>
      <c r="C12" s="13" t="inlineStr">
        <is>
          <t>INE531F01023</t>
        </is>
      </c>
      <c r="D12" s="9" t="inlineStr">
        <is>
          <t>Capital Markets</t>
        </is>
      </c>
      <c r="E12" s="14" t="n">
        <v>1786085</v>
      </c>
      <c r="F12" s="15" t="n">
        <v>27766.48</v>
      </c>
      <c r="G12" s="15" t="n">
        <v>5.27</v>
      </c>
      <c r="H12" s="16" t="n"/>
    </row>
    <row r="13" ht="13" customHeight="1">
      <c r="A13" s="1" t="inlineStr">
        <is>
          <t>NITL02</t>
        </is>
      </c>
      <c r="B13" s="12" t="inlineStr">
        <is>
          <t>Coforge Limited</t>
        </is>
      </c>
      <c r="C13" s="13" t="inlineStr">
        <is>
          <t>INE591G01025</t>
        </is>
      </c>
      <c r="D13" s="9" t="inlineStr">
        <is>
          <t>IT - Software</t>
        </is>
      </c>
      <c r="E13" s="14" t="n">
        <v>1854238</v>
      </c>
      <c r="F13" s="15" t="n">
        <v>26363.56</v>
      </c>
      <c r="G13" s="15" t="n">
        <v>5</v>
      </c>
      <c r="H13" s="16" t="n"/>
    </row>
    <row r="14" ht="13" customHeight="1">
      <c r="A14" s="1" t="inlineStr">
        <is>
          <t>HALT02</t>
        </is>
      </c>
      <c r="B14" s="12" t="inlineStr">
        <is>
          <t>Hindustan Aeronautics Limited</t>
        </is>
      </c>
      <c r="C14" s="13" t="inlineStr">
        <is>
          <t>INE066F01020</t>
        </is>
      </c>
      <c r="D14" s="9" t="inlineStr">
        <is>
          <t>Aerospace &amp; Defense</t>
        </is>
      </c>
      <c r="E14" s="14" t="n">
        <v>595076</v>
      </c>
      <c r="F14" s="15" t="n">
        <v>25610.88</v>
      </c>
      <c r="G14" s="15" t="n">
        <v>4.86</v>
      </c>
      <c r="H14" s="16" t="n"/>
    </row>
    <row r="15" ht="13" customHeight="1">
      <c r="A15" s="1" t="inlineStr">
        <is>
          <t>AENP01</t>
        </is>
      </c>
      <c r="B15" s="12" t="inlineStr">
        <is>
          <t>Ather Energy Limited</t>
        </is>
      </c>
      <c r="C15" s="13" t="inlineStr">
        <is>
          <t>INE0LEZ01016</t>
        </is>
      </c>
      <c r="D15" s="9" t="inlineStr">
        <is>
          <t>Automobiles</t>
        </is>
      </c>
      <c r="E15" s="14" t="n">
        <v>2422909</v>
      </c>
      <c r="F15" s="15" t="n">
        <v>23359.27</v>
      </c>
      <c r="G15" s="15" t="n">
        <v>4.43</v>
      </c>
      <c r="H15" s="16" t="n"/>
    </row>
    <row r="16" ht="13" customHeight="1">
      <c r="A16" s="1" t="inlineStr">
        <is>
          <t>PSYL02</t>
        </is>
      </c>
      <c r="B16" s="12" t="inlineStr">
        <is>
          <t>Persistent Systems Ltd ‡</t>
        </is>
      </c>
      <c r="C16" s="13" t="inlineStr">
        <is>
          <t>INE262H01021</t>
        </is>
      </c>
      <c r="D16" s="9" t="inlineStr">
        <is>
          <t>IT - Software</t>
        </is>
      </c>
      <c r="E16" s="14" t="n">
        <v>447147</v>
      </c>
      <c r="F16" s="15" t="n">
        <v>23226.16</v>
      </c>
      <c r="G16" s="15" t="n">
        <v>4.41</v>
      </c>
      <c r="H16" s="16" t="n"/>
    </row>
    <row r="17" ht="13" customHeight="1">
      <c r="A17" s="1" t="inlineStr">
        <is>
          <t>CHOL02</t>
        </is>
      </c>
      <c r="B17" s="12" t="inlineStr">
        <is>
          <t>Cholamandalam Investment and Finance Company Limited</t>
        </is>
      </c>
      <c r="C17" s="13" t="inlineStr">
        <is>
          <t>INE121A01024</t>
        </is>
      </c>
      <c r="D17" s="9" t="inlineStr">
        <is>
          <t>Finance</t>
        </is>
      </c>
      <c r="E17" s="14" t="n">
        <v>1480565</v>
      </c>
      <c r="F17" s="15" t="n">
        <v>22766.65</v>
      </c>
      <c r="G17" s="15" t="n">
        <v>4.32</v>
      </c>
      <c r="H17" s="16" t="n"/>
    </row>
    <row r="18" ht="13" customHeight="1">
      <c r="A18" s="1" t="inlineStr">
        <is>
          <t>ABBP01</t>
        </is>
      </c>
      <c r="B18" s="12" t="inlineStr">
        <is>
          <t>Hitachi Energy India Limited</t>
        </is>
      </c>
      <c r="C18" s="13" t="inlineStr">
        <is>
          <t>INE07Y701011</t>
        </is>
      </c>
      <c r="D18" s="9" t="inlineStr">
        <is>
          <t>Electrical Equipment</t>
        </is>
      </c>
      <c r="E18" s="14" t="n">
        <v>58914</v>
      </c>
      <c r="F18" s="15" t="n">
        <v>22649.49</v>
      </c>
      <c r="G18" s="15" t="n">
        <v>4.3</v>
      </c>
      <c r="H18" s="16" t="n"/>
    </row>
    <row r="19" ht="13" customHeight="1">
      <c r="A19" s="1" t="inlineStr">
        <is>
          <t>DIXO02</t>
        </is>
      </c>
      <c r="B19" s="12" t="inlineStr">
        <is>
          <t>Dixon Technologies (India) Limited</t>
        </is>
      </c>
      <c r="C19" s="13" t="inlineStr">
        <is>
          <t>INE935N01020</t>
        </is>
      </c>
      <c r="D19" s="9" t="inlineStr">
        <is>
          <t>Consumer Durables</t>
        </is>
      </c>
      <c r="E19" s="14" t="n">
        <v>186605</v>
      </c>
      <c r="F19" s="15" t="n">
        <v>21504.36</v>
      </c>
      <c r="G19" s="15" t="n">
        <v>4.08</v>
      </c>
      <c r="H19" s="16" t="n"/>
    </row>
    <row r="20" ht="13" customHeight="1">
      <c r="A20" s="1" t="inlineStr">
        <is>
          <t>ZMPL01</t>
        </is>
      </c>
      <c r="B20" s="12" t="inlineStr">
        <is>
          <t>Eternal Limited</t>
        </is>
      </c>
      <c r="C20" s="13" t="inlineStr">
        <is>
          <t>INE758T01015</t>
        </is>
      </c>
      <c r="D20" s="9" t="inlineStr">
        <is>
          <t>Retailing</t>
        </is>
      </c>
      <c r="E20" s="14" t="n">
        <v>8432444</v>
      </c>
      <c r="F20" s="15" t="n">
        <v>21130.02</v>
      </c>
      <c r="G20" s="15" t="n">
        <v>4.01</v>
      </c>
      <c r="H20" s="16" t="n"/>
    </row>
    <row r="21" ht="13" customHeight="1">
      <c r="A21" s="1" t="inlineStr">
        <is>
          <t>SSNL02</t>
        </is>
      </c>
      <c r="B21" s="12" t="inlineStr">
        <is>
          <t>Delhivery Limited</t>
        </is>
      </c>
      <c r="C21" s="13" t="inlineStr">
        <is>
          <t>INE148O01028</t>
        </is>
      </c>
      <c r="D21" s="9" t="inlineStr">
        <is>
          <t>Transport Services</t>
        </is>
      </c>
      <c r="E21" s="14" t="n">
        <v>4632177</v>
      </c>
      <c r="F21" s="15" t="n">
        <v>20953.65</v>
      </c>
      <c r="G21" s="15" t="n">
        <v>3.97</v>
      </c>
      <c r="H21" s="16" t="n"/>
    </row>
    <row r="22" ht="13" customHeight="1">
      <c r="A22" s="1" t="inlineStr">
        <is>
          <t>SAEL02</t>
        </is>
      </c>
      <c r="B22" s="12" t="inlineStr">
        <is>
          <t>TVS Motor Company Limited</t>
        </is>
      </c>
      <c r="C22" s="13" t="inlineStr">
        <is>
          <t>INE494B01023</t>
        </is>
      </c>
      <c r="D22" s="9" t="inlineStr">
        <is>
          <t>Automobiles</t>
        </is>
      </c>
      <c r="E22" s="14" t="n">
        <v>603968</v>
      </c>
      <c r="F22" s="15" t="n">
        <v>20267.35</v>
      </c>
      <c r="G22" s="15" t="n">
        <v>3.84</v>
      </c>
      <c r="H22" s="16" t="n"/>
    </row>
    <row r="23" ht="13" customHeight="1">
      <c r="A23" s="1" t="inlineStr">
        <is>
          <t>GHPL01</t>
        </is>
      </c>
      <c r="B23" s="12" t="inlineStr">
        <is>
          <t>Global Health Limited</t>
        </is>
      </c>
      <c r="C23" s="13" t="inlineStr">
        <is>
          <t>INE474Q01031</t>
        </is>
      </c>
      <c r="D23" s="9" t="inlineStr">
        <is>
          <t>Healthcare Services</t>
        </is>
      </c>
      <c r="E23" s="14" t="n">
        <v>1631956</v>
      </c>
      <c r="F23" s="15" t="n">
        <v>19403.96</v>
      </c>
      <c r="G23" s="15" t="n">
        <v>3.68</v>
      </c>
      <c r="H23" s="16" t="n"/>
    </row>
    <row r="24" ht="13" customHeight="1">
      <c r="A24" s="1" t="inlineStr">
        <is>
          <t>MCEX02</t>
        </is>
      </c>
      <c r="B24" s="12" t="inlineStr">
        <is>
          <t>Multi Commodity Exchange of India Limited</t>
        </is>
      </c>
      <c r="C24" s="13" t="inlineStr">
        <is>
          <t>INE745G01043</t>
        </is>
      </c>
      <c r="D24" s="9" t="inlineStr">
        <is>
          <t>Capital Markets</t>
        </is>
      </c>
      <c r="E24" s="14" t="n">
        <v>595599</v>
      </c>
      <c r="F24" s="15" t="n">
        <v>17596.97</v>
      </c>
      <c r="G24" s="15" t="n">
        <v>3.34</v>
      </c>
      <c r="H24" s="16" t="n"/>
    </row>
    <row r="25" ht="13" customHeight="1">
      <c r="A25" s="1" t="inlineStr">
        <is>
          <t>BHAE02</t>
        </is>
      </c>
      <c r="B25" s="12" t="inlineStr">
        <is>
          <t>BEML Limited</t>
        </is>
      </c>
      <c r="C25" s="13" t="inlineStr">
        <is>
          <t>INE258A01024</t>
        </is>
      </c>
      <c r="D25" s="9" t="inlineStr">
        <is>
          <t>Agricultural, Commercial &amp; Construction Vehicles</t>
        </is>
      </c>
      <c r="E25" s="14" t="n">
        <v>770280</v>
      </c>
      <c r="F25" s="15" t="n">
        <v>13267.3</v>
      </c>
      <c r="G25" s="15" t="n">
        <v>2.52</v>
      </c>
      <c r="H25" s="16" t="n"/>
    </row>
    <row r="26" ht="13" customHeight="1">
      <c r="A26" s="1" t="inlineStr">
        <is>
          <t>PHMI02</t>
        </is>
      </c>
      <c r="B26" s="12" t="inlineStr">
        <is>
          <t>The Phoenix Mills Limited</t>
        </is>
      </c>
      <c r="C26" s="13" t="inlineStr">
        <is>
          <t>INE211B01039</t>
        </is>
      </c>
      <c r="D26" s="9" t="inlineStr">
        <is>
          <t>Realty</t>
        </is>
      </c>
      <c r="E26" s="14" t="n">
        <v>718429</v>
      </c>
      <c r="F26" s="15" t="n">
        <v>12724.81</v>
      </c>
      <c r="G26" s="15" t="n">
        <v>2.41</v>
      </c>
      <c r="H26" s="16" t="n"/>
    </row>
    <row r="27" ht="13" customHeight="1">
      <c r="A27" s="1" t="inlineStr">
        <is>
          <t>CENT02</t>
        </is>
      </c>
      <c r="B27" s="12" t="inlineStr">
        <is>
          <t>Aditya Birla Real Estate Limited</t>
        </is>
      </c>
      <c r="C27" s="13" t="inlineStr">
        <is>
          <t>INE055A01016</t>
        </is>
      </c>
      <c r="D27" s="9" t="inlineStr">
        <is>
          <t>Realty</t>
        </is>
      </c>
      <c r="E27" s="14" t="n">
        <v>709077</v>
      </c>
      <c r="F27" s="15" t="n">
        <v>8819.5</v>
      </c>
      <c r="G27" s="15" t="n">
        <v>1.67</v>
      </c>
      <c r="H27" s="16" t="n"/>
    </row>
    <row r="28" ht="13" customHeight="1">
      <c r="A28" s="1" t="inlineStr">
        <is>
          <t>LAKM02</t>
        </is>
      </c>
      <c r="B28" s="12" t="inlineStr">
        <is>
          <t>Trent Limited</t>
        </is>
      </c>
      <c r="C28" s="13" t="inlineStr">
        <is>
          <t>INE849A01020</t>
        </is>
      </c>
      <c r="D28" s="9" t="inlineStr">
        <is>
          <t>Retailing</t>
        </is>
      </c>
      <c r="E28" s="14" t="n">
        <v>188853</v>
      </c>
      <c r="F28" s="15" t="n">
        <v>7977.15</v>
      </c>
      <c r="G28" s="15" t="n">
        <v>1.51</v>
      </c>
      <c r="H28" s="16" t="n"/>
    </row>
    <row r="29" ht="13" customHeight="1">
      <c r="A29" s="1" t="inlineStr">
        <is>
          <t>SUVP01</t>
        </is>
      </c>
      <c r="B29" s="12" t="inlineStr">
        <is>
          <t>Cohance Lifesciences Limited</t>
        </is>
      </c>
      <c r="C29" s="13" t="inlineStr">
        <is>
          <t>INE03QK01018</t>
        </is>
      </c>
      <c r="D29" s="9" t="inlineStr">
        <is>
          <t>Pharmaceuticals &amp; Biotechnology</t>
        </is>
      </c>
      <c r="E29" s="14" t="n">
        <v>1763647</v>
      </c>
      <c r="F29" s="15" t="n">
        <v>7610.14</v>
      </c>
      <c r="G29" s="15" t="n">
        <v>1.44</v>
      </c>
      <c r="H29" s="16" t="n"/>
    </row>
    <row r="30" ht="13" customHeight="1">
      <c r="A30" s="1" t="inlineStr">
        <is>
          <t>PREP01</t>
        </is>
      </c>
      <c r="B30" s="12" t="inlineStr">
        <is>
          <t>Prestige Estates Projects Limited</t>
        </is>
      </c>
      <c r="C30" s="13" t="inlineStr">
        <is>
          <t>INE811K01011</t>
        </is>
      </c>
      <c r="D30" s="9" t="inlineStr">
        <is>
          <t>Realty</t>
        </is>
      </c>
      <c r="E30" s="14" t="n">
        <v>549935</v>
      </c>
      <c r="F30" s="15" t="n">
        <v>7529.71</v>
      </c>
      <c r="G30" s="15" t="n">
        <v>1.43</v>
      </c>
      <c r="H30" s="16" t="n"/>
    </row>
    <row r="31" ht="13" customHeight="1">
      <c r="A31" s="3" t="n"/>
      <c r="B31" s="8" t="inlineStr">
        <is>
          <t>Sub Total</t>
        </is>
      </c>
      <c r="C31" s="9" t="n"/>
      <c r="D31" s="9" t="n"/>
      <c r="E31" s="9" t="n"/>
      <c r="F31" s="17">
        <f>SUM(F8:F30)</f>
        <v/>
      </c>
      <c r="G31" s="17">
        <f>SUM(G8:G30)</f>
        <v/>
      </c>
      <c r="H31" s="18" t="n"/>
    </row>
    <row r="32" ht="13" customHeight="1">
      <c r="A32" s="3" t="n"/>
      <c r="B32" s="19" t="inlineStr">
        <is>
          <t>(b) Unlisted</t>
        </is>
      </c>
      <c r="C32" s="20" t="n"/>
      <c r="D32" s="20" t="n"/>
      <c r="E32" s="21" t="n"/>
      <c r="F32" s="22" t="inlineStr">
        <is>
          <t>Nil</t>
        </is>
      </c>
      <c r="G32" s="22" t="inlineStr">
        <is>
          <t>Nil</t>
        </is>
      </c>
      <c r="H32" s="23" t="inlineStr">
        <is>
          <t>Nil</t>
        </is>
      </c>
    </row>
    <row r="33" ht="13" customHeight="1">
      <c r="A33" s="3" t="n"/>
      <c r="B33" s="24" t="inlineStr">
        <is>
          <t>Sub Total</t>
        </is>
      </c>
      <c r="C33" s="25" t="n"/>
      <c r="D33" s="25" t="n"/>
      <c r="E33" s="22" t="n"/>
      <c r="F33" s="22" t="inlineStr">
        <is>
          <t>Nil</t>
        </is>
      </c>
      <c r="G33" s="22" t="inlineStr">
        <is>
          <t>Nil</t>
        </is>
      </c>
      <c r="H33" s="23" t="inlineStr">
        <is>
          <t>Nil</t>
        </is>
      </c>
    </row>
    <row r="34" ht="13" customHeight="1">
      <c r="A34" s="3" t="n"/>
      <c r="B34" s="19" t="inlineStr">
        <is>
          <t>Total</t>
        </is>
      </c>
      <c r="C34" s="20" t="n"/>
      <c r="D34" s="20" t="n"/>
      <c r="E34" s="26" t="n"/>
      <c r="F34" s="17" t="n">
        <v>504732.0700000001</v>
      </c>
      <c r="G34" s="17" t="n">
        <v>95.73000000000002</v>
      </c>
      <c r="H34" s="23" t="n"/>
    </row>
    <row r="35" ht="13" customHeight="1">
      <c r="A35" s="3" t="n"/>
      <c r="B35" s="8" t="inlineStr">
        <is>
          <t>Money Market Instruments</t>
        </is>
      </c>
      <c r="C35" s="9" t="n"/>
      <c r="D35" s="9" t="n"/>
      <c r="E35" s="9" t="n"/>
      <c r="F35" s="9" t="n"/>
      <c r="G35" s="9" t="n"/>
      <c r="H35" s="10" t="n"/>
    </row>
    <row r="36" ht="13" customHeight="1">
      <c r="A36" s="3" t="n"/>
      <c r="B36" s="8" t="inlineStr">
        <is>
          <t>TREPS / Reverse Repo</t>
        </is>
      </c>
      <c r="C36" s="11" t="n"/>
      <c r="D36" s="11" t="n"/>
      <c r="E36" s="9" t="n"/>
      <c r="F36" s="9" t="n"/>
      <c r="G36" s="9" t="n"/>
      <c r="H36" s="10" t="n"/>
    </row>
    <row r="37" ht="13" customHeight="1">
      <c r="A37" s="1" t="inlineStr">
        <is>
          <t>TRP_010626</t>
        </is>
      </c>
      <c r="B37" s="12" t="inlineStr">
        <is>
          <t>Triparty Repo</t>
        </is>
      </c>
      <c r="C37" s="13" t="n"/>
      <c r="D37" s="9" t="n"/>
      <c r="E37" s="14" t="n"/>
      <c r="F37" s="15" t="n">
        <v>13930.5</v>
      </c>
      <c r="G37" s="15" t="n">
        <v>2.64</v>
      </c>
      <c r="H37" s="16" t="n">
        <v>0.0533923679</v>
      </c>
    </row>
    <row r="38" ht="13" customHeight="1">
      <c r="A38" s="3" t="n"/>
      <c r="B38" s="8" t="inlineStr">
        <is>
          <t>Sub Total</t>
        </is>
      </c>
      <c r="C38" s="9" t="n"/>
      <c r="D38" s="9" t="n"/>
      <c r="E38" s="9" t="n"/>
      <c r="F38" s="17" t="n">
        <v>13930.5</v>
      </c>
      <c r="G38" s="17" t="n">
        <v>2.64</v>
      </c>
      <c r="H38" s="18" t="n"/>
    </row>
    <row r="39" ht="13" customHeight="1">
      <c r="A39" s="3" t="n"/>
      <c r="B39" s="19" t="inlineStr">
        <is>
          <t>Total</t>
        </is>
      </c>
      <c r="C39" s="20" t="n"/>
      <c r="D39" s="20" t="n"/>
      <c r="E39" s="26" t="n"/>
      <c r="F39" s="17" t="n">
        <v>13930.5</v>
      </c>
      <c r="G39" s="17" t="n">
        <v>2.64</v>
      </c>
      <c r="H39" s="23" t="n"/>
    </row>
    <row r="40" ht="13" customHeight="1">
      <c r="A40" s="3" t="n"/>
      <c r="B40" s="8" t="inlineStr">
        <is>
          <t>Others</t>
        </is>
      </c>
      <c r="C40" s="9" t="n"/>
      <c r="D40" s="9" t="n"/>
      <c r="E40" s="9" t="n"/>
      <c r="F40" s="9" t="n"/>
      <c r="G40" s="9" t="n"/>
      <c r="H40" s="10" t="n"/>
    </row>
    <row r="41" ht="13" customHeight="1">
      <c r="A41" s="3" t="n"/>
      <c r="B41" s="8" t="inlineStr">
        <is>
          <t>Mutual Fund Units</t>
        </is>
      </c>
      <c r="C41" s="11" t="n"/>
      <c r="D41" s="11" t="n"/>
      <c r="E41" s="9" t="n"/>
      <c r="F41" s="9" t="n"/>
      <c r="G41" s="9" t="n"/>
      <c r="H41" s="10" t="n"/>
    </row>
    <row r="42" ht="13" customHeight="1">
      <c r="A42" s="1" t="inlineStr">
        <is>
          <t>120560</t>
        </is>
      </c>
      <c r="B42" s="12" t="inlineStr">
        <is>
          <t>Invesco India Short Duration Fund - Direct Plan - Growth</t>
        </is>
      </c>
      <c r="C42" s="13" t="inlineStr">
        <is>
          <t>INF205K01UH8</t>
        </is>
      </c>
      <c r="D42" s="9" t="n"/>
      <c r="E42" s="27" t="n">
        <v>185774.095</v>
      </c>
      <c r="F42" s="15" t="n">
        <v>7632.19</v>
      </c>
      <c r="G42" s="15" t="n">
        <v>1.45</v>
      </c>
      <c r="H42" s="16" t="n"/>
    </row>
    <row r="43" ht="13" customHeight="1">
      <c r="A43" s="3" t="n"/>
      <c r="B43" s="8" t="inlineStr">
        <is>
          <t>Sub Total</t>
        </is>
      </c>
      <c r="C43" s="9" t="n"/>
      <c r="D43" s="9" t="n"/>
      <c r="E43" s="9" t="n"/>
      <c r="F43" s="17" t="n">
        <v>7632.19</v>
      </c>
      <c r="G43" s="17" t="n">
        <v>1.45</v>
      </c>
      <c r="H43" s="18" t="n"/>
    </row>
    <row r="44" ht="13" customHeight="1">
      <c r="B44" s="8" t="inlineStr">
        <is>
          <t>Preference Shares</t>
        </is>
      </c>
      <c r="C44" s="9" t="n"/>
      <c r="D44" s="9" t="n"/>
      <c r="E44" s="9" t="n"/>
      <c r="F44" s="28" t="n"/>
      <c r="G44" s="29" t="n"/>
      <c r="H44" s="18" t="n"/>
    </row>
    <row r="45" ht="13" customHeight="1">
      <c r="A45" s="1" t="inlineStr">
        <is>
          <t>SAEL21PS</t>
        </is>
      </c>
      <c r="B45" s="12" t="inlineStr">
        <is>
          <t>TVS Motor Company Limited ^^</t>
        </is>
      </c>
      <c r="C45" s="13" t="inlineStr">
        <is>
          <t>INE494B04019</t>
        </is>
      </c>
      <c r="D45" s="9" t="inlineStr">
        <is>
          <t>Automobiles</t>
        </is>
      </c>
      <c r="E45" s="14" t="n">
        <v>1193784</v>
      </c>
      <c r="F45" s="15" t="n">
        <v>123.56</v>
      </c>
      <c r="G45" s="15" t="n">
        <v>0.02</v>
      </c>
      <c r="H45" s="16" t="n"/>
    </row>
    <row r="46" ht="13" customHeight="1">
      <c r="A46" s="3" t="n"/>
      <c r="B46" s="8" t="inlineStr">
        <is>
          <t>Sub Total</t>
        </is>
      </c>
      <c r="C46" s="9" t="n"/>
      <c r="D46" s="9" t="n"/>
      <c r="E46" s="9" t="n"/>
      <c r="F46" s="17">
        <f>F45</f>
        <v/>
      </c>
      <c r="G46" s="17">
        <f>G45</f>
        <v/>
      </c>
      <c r="H46" s="18" t="n"/>
    </row>
    <row r="47" ht="13" customHeight="1">
      <c r="A47" s="3" t="n"/>
      <c r="B47" s="19" t="inlineStr">
        <is>
          <t>Total</t>
        </is>
      </c>
      <c r="C47" s="20" t="n"/>
      <c r="D47" s="20" t="n"/>
      <c r="E47" s="26" t="n"/>
      <c r="F47" s="17">
        <f>F43+F46</f>
        <v/>
      </c>
      <c r="G47" s="17">
        <f>G43+G46</f>
        <v/>
      </c>
      <c r="H47" s="23" t="n"/>
    </row>
    <row r="48" ht="13" customHeight="1">
      <c r="A48" s="3" t="n"/>
      <c r="B48" s="19" t="inlineStr">
        <is>
          <t>Net Receivables / (Payables)</t>
        </is>
      </c>
      <c r="C48" s="20" t="n"/>
      <c r="D48" s="20" t="n"/>
      <c r="E48" s="9" t="n"/>
      <c r="F48" s="17" t="n">
        <v>849.4299999999999</v>
      </c>
      <c r="G48" s="17" t="n">
        <v>0.16</v>
      </c>
      <c r="H48" s="23" t="n"/>
    </row>
    <row r="49" ht="13" customHeight="1">
      <c r="A49" s="3" t="n"/>
      <c r="B49" s="30" t="inlineStr">
        <is>
          <t>GRAND TOTAL</t>
        </is>
      </c>
      <c r="C49" s="31" t="n"/>
      <c r="D49" s="31" t="n"/>
      <c r="E49" s="31" t="n"/>
      <c r="F49" s="32" t="n">
        <v>527267.75</v>
      </c>
      <c r="G49" s="33" t="n">
        <v>100</v>
      </c>
      <c r="H49" s="34" t="n"/>
    </row>
    <row r="50" ht="13" customHeight="1">
      <c r="A50" s="3" t="n"/>
      <c r="B50" s="35" t="n"/>
      <c r="F50" s="3" t="n"/>
      <c r="G50" s="3" t="n"/>
      <c r="H50" s="3" t="n"/>
    </row>
    <row r="51" ht="13" customHeight="1">
      <c r="A51" s="3" t="n"/>
      <c r="B51" s="35" t="inlineStr">
        <is>
          <t>YTM - Yield To Maturity</t>
        </is>
      </c>
      <c r="F51" s="3" t="n"/>
      <c r="G51" s="3" t="n"/>
      <c r="H51" s="3" t="n"/>
    </row>
    <row r="52" ht="13" customHeight="1">
      <c r="A52" s="3" t="n"/>
      <c r="B52" s="35" t="inlineStr">
        <is>
          <t>*  Industry Classification is as recommended by AMFI</t>
        </is>
      </c>
      <c r="F52" s="36" t="n"/>
      <c r="G52" s="36" t="n"/>
      <c r="H52" s="3" t="n"/>
    </row>
    <row r="53" ht="13" customHeight="1">
      <c r="A53" s="3" t="n"/>
      <c r="B53" s="35" t="inlineStr">
        <is>
          <t>^^ Awaiting listing</t>
        </is>
      </c>
      <c r="F53" s="3" t="n"/>
      <c r="G53" s="3" t="n"/>
      <c r="H53" s="3" t="n"/>
    </row>
    <row r="54" ht="13" customHeight="1">
      <c r="A54" s="3" t="n"/>
      <c r="B54" s="35" t="n"/>
      <c r="C54" s="35" t="n"/>
      <c r="D54" s="35" t="n"/>
      <c r="E54" s="35" t="n"/>
      <c r="F54" s="3" t="n"/>
      <c r="G54" s="3" t="n"/>
      <c r="H54" s="3" t="n"/>
    </row>
    <row r="55" ht="13" customHeight="1">
      <c r="A55" s="3" t="n"/>
      <c r="B55" s="37" t="inlineStr">
        <is>
          <t>‡ Includes shares lent under Securities Lending &amp; Borrowing Scheme of BSE</t>
        </is>
      </c>
      <c r="F55" s="3" t="n"/>
      <c r="G55" s="3" t="n"/>
      <c r="H55" s="3" t="n"/>
    </row>
    <row r="56" ht="13" customHeight="1">
      <c r="A56" s="3" t="n"/>
      <c r="B56" s="38" t="inlineStr">
        <is>
          <t>Name of the Security</t>
        </is>
      </c>
      <c r="C56" s="38" t="inlineStr">
        <is>
          <t>Shares</t>
        </is>
      </c>
      <c r="D56" s="3" t="n"/>
      <c r="E56" s="3" t="n"/>
      <c r="F56" s="3" t="n"/>
      <c r="G56" s="3" t="n"/>
      <c r="H56" s="3" t="n"/>
    </row>
    <row r="57" ht="13" customHeight="1">
      <c r="A57" s="3" t="n"/>
      <c r="B57" s="39" t="inlineStr">
        <is>
          <t>Persistent Systems Limited</t>
        </is>
      </c>
      <c r="C57" s="40" t="n">
        <v>44625</v>
      </c>
      <c r="D57" s="3" t="n"/>
      <c r="E57" s="3" t="n"/>
      <c r="F57" s="3" t="n"/>
      <c r="G57" s="3" t="n"/>
      <c r="H57" s="3" t="n"/>
    </row>
    <row r="58" ht="13" customHeight="1">
      <c r="A58" s="3" t="n"/>
      <c r="B58" s="4" t="n"/>
      <c r="F58" s="3" t="n"/>
      <c r="G58" s="3" t="n"/>
      <c r="H58" s="3" t="n"/>
    </row>
    <row r="59"/>
    <row r="60">
      <c r="B60" t="inlineStr">
        <is>
          <t>Notes :</t>
        </is>
      </c>
    </row>
    <row r="61">
      <c r="B61" t="inlineStr">
        <is>
          <t>(1)  Details of security in default beyond it's maturity date: Nil</t>
        </is>
      </c>
    </row>
    <row r="62">
      <c r="B62" t="inlineStr">
        <is>
          <t>(2)  Total Value and percentage of illiquid equity shares: Nil</t>
        </is>
      </c>
    </row>
    <row r="63">
      <c r="B63" t="inlineStr">
        <is>
          <t>(3)  Net Assets Value per unit (in `) are as follows:</t>
        </is>
      </c>
    </row>
    <row r="64">
      <c r="B64" t="inlineStr">
        <is>
          <t xml:space="preserve">       Plan / Option</t>
        </is>
      </c>
      <c r="C64" t="inlineStr">
        <is>
          <t>As on May 31, 2026</t>
        </is>
      </c>
      <c r="D64" s="41" t="inlineStr">
        <is>
          <t>As on April 30, 2026</t>
        </is>
      </c>
    </row>
    <row r="65">
      <c r="B65" t="inlineStr">
        <is>
          <t xml:space="preserve">       Growth Option</t>
        </is>
      </c>
      <c r="C65" s="42" t="n">
        <v>26.39</v>
      </c>
      <c r="D65" s="42" t="n">
        <v>25.89</v>
      </c>
    </row>
    <row r="66">
      <c r="B66" t="inlineStr">
        <is>
          <t xml:space="preserve">       IDCW Option</t>
        </is>
      </c>
      <c r="C66" s="42" t="n">
        <v>18.99</v>
      </c>
      <c r="D66" s="42" t="n">
        <v>18.63</v>
      </c>
    </row>
    <row r="67">
      <c r="B67" t="inlineStr">
        <is>
          <t xml:space="preserve">       Direct Plan - Growth Option</t>
        </is>
      </c>
      <c r="C67" s="42" t="n">
        <v>28.71</v>
      </c>
      <c r="D67" s="42" t="n">
        <v>28.14</v>
      </c>
    </row>
    <row r="68">
      <c r="B68" t="inlineStr">
        <is>
          <t xml:space="preserve">       Direct Plan - IDCW Option</t>
        </is>
      </c>
      <c r="C68" s="42" t="n">
        <v>21.12</v>
      </c>
      <c r="D68" s="42" t="n">
        <v>20.69</v>
      </c>
    </row>
    <row r="69"/>
    <row r="70"/>
    <row r="71">
      <c r="B71" t="inlineStr">
        <is>
          <t>(4)  IDCW /  Bonus declared during the month ended As on May 31, 2026: Nil</t>
        </is>
      </c>
    </row>
    <row r="72">
      <c r="B72" t="inlineStr">
        <is>
          <t>(5)  Total outstanding exposure in derivative instruments As on May 31, 2026: Nil</t>
        </is>
      </c>
    </row>
    <row r="73">
      <c r="B73" t="inlineStr">
        <is>
          <t>(6)  Total investments in Foreign Securities / American Depository Receipts / Global Depository Receipts / Overseas ETFs As on As on May 31, 2026 and its percentage to NAV : Nil</t>
        </is>
      </c>
    </row>
    <row r="74">
      <c r="B74" t="inlineStr">
        <is>
          <t>(7)  During the period, the portfolio turnover ratio was 0.3 times. ¥</t>
        </is>
      </c>
    </row>
    <row r="75">
      <c r="B75" t="inlineStr">
        <is>
          <t>(8)  Investment in Repo of Corporate Debt securities : Nil</t>
        </is>
      </c>
    </row>
    <row r="76">
      <c r="B76" t="inlineStr">
        <is>
          <t>(9)  Deviation from the valuation prices given by valuation agencies during the month ended  As on May 31, 2026: Nil</t>
        </is>
      </c>
    </row>
    <row r="77"/>
    <row r="78">
      <c r="B78" t="inlineStr">
        <is>
          <t>¥ Portfolio Turnover Ratio: Lower of purchases or sales of securities during the year ended As on May 31, 2026 / average net assets during the year ended As on May 31, 2026.</t>
        </is>
      </c>
    </row>
    <row r="79">
      <c r="B79" t="inlineStr">
        <is>
          <t>The Face value per unit is ` 10.</t>
        </is>
      </c>
    </row>
    <row r="80">
      <c r="B80" t="inlineStr">
        <is>
          <t>In line with SEBI clarification, NAV as on May 29, 2026 were disclosed, due to non-business day on 30th &amp; 31st May</t>
        </is>
      </c>
    </row>
    <row r="81">
      <c r="F81" s="43" t="inlineStr">
        <is>
          <t>BENCHMARK NAME - BSE 500 TRI</t>
        </is>
      </c>
    </row>
    <row r="82">
      <c r="B82" s="43" t="inlineStr">
        <is>
          <t>SCHEME RISK-O-METER</t>
        </is>
      </c>
      <c r="F82" s="43" t="inlineStr">
        <is>
          <t>BENCHMARK RISK-O-METER</t>
        </is>
      </c>
    </row>
  </sheetData>
  <mergeCells count="10">
    <mergeCell ref="B50:E50"/>
    <mergeCell ref="B1:H1"/>
    <mergeCell ref="B53:E53"/>
    <mergeCell ref="B58:E58"/>
    <mergeCell ref="B4:H4"/>
    <mergeCell ref="B52:E52"/>
    <mergeCell ref="B2:H2"/>
    <mergeCell ref="B55:E55"/>
    <mergeCell ref="B51:E51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44" t="inlineStr">
        <is>
          <t>Scheme Name: Invesco India Focused Fund (An open ended equity scheme investing in maximum 30 stocks across market capitalization (i.e. Multicap))</t>
        </is>
      </c>
      <c r="D1" s="45" t="n"/>
      <c r="E1" s="46" t="n"/>
      <c r="F1" s="47" t="n"/>
    </row>
    <row r="2" ht="13" customHeight="1">
      <c r="A2" s="46" t="n"/>
      <c r="B2" s="47" t="n"/>
      <c r="C2" s="47" t="n"/>
      <c r="D2" s="47" t="n"/>
      <c r="E2" s="46" t="n"/>
      <c r="F2" s="47" t="n"/>
    </row>
    <row r="3" ht="13" customHeight="1">
      <c r="A3" s="48" t="inlineStr">
        <is>
          <t>Top 10 holdings by issuer</t>
        </is>
      </c>
      <c r="B3" s="49" t="n"/>
      <c r="C3" s="47" t="n"/>
      <c r="D3" s="47" t="n"/>
      <c r="E3" s="48" t="inlineStr">
        <is>
          <t>Fund allocation towards various sectors</t>
        </is>
      </c>
      <c r="F3" s="49" t="n"/>
    </row>
    <row r="4" ht="13" customHeight="1">
      <c r="A4" s="48" t="inlineStr">
        <is>
          <t>Issuer Name</t>
        </is>
      </c>
      <c r="B4" s="48" t="inlineStr">
        <is>
          <t>% to Net Assets</t>
        </is>
      </c>
      <c r="C4" s="47" t="n"/>
      <c r="D4" s="47" t="n"/>
      <c r="E4" s="48" t="inlineStr">
        <is>
          <t>Sectors</t>
        </is>
      </c>
      <c r="F4" s="48" t="inlineStr">
        <is>
          <t>% Exposure</t>
        </is>
      </c>
    </row>
    <row r="5" ht="13" customHeight="1">
      <c r="A5" s="50" t="inlineStr">
        <is>
          <t>ICICI Bank Limited</t>
        </is>
      </c>
      <c r="B5" s="51" t="n">
        <v>0.08939999999999999</v>
      </c>
      <c r="C5" s="47" t="n"/>
      <c r="D5" s="47" t="n"/>
      <c r="E5" s="50" t="inlineStr">
        <is>
          <t>Financial Services</t>
        </is>
      </c>
      <c r="F5" s="51" t="n">
        <v>0.2858</v>
      </c>
    </row>
    <row r="6" ht="13" customHeight="1">
      <c r="A6" s="50" t="inlineStr">
        <is>
          <t>Larsen &amp; Toubro Limited</t>
        </is>
      </c>
      <c r="B6" s="51" t="n">
        <v>0.078</v>
      </c>
      <c r="C6" s="47" t="n"/>
      <c r="D6" s="47" t="n"/>
      <c r="E6" s="50" t="inlineStr">
        <is>
          <t>Capital Goods</t>
        </is>
      </c>
      <c r="F6" s="51" t="n">
        <v>0.1167</v>
      </c>
    </row>
    <row r="7" ht="13" customHeight="1">
      <c r="A7" s="50" t="inlineStr">
        <is>
          <t>HDFC Bank Limited</t>
        </is>
      </c>
      <c r="B7" s="51" t="n">
        <v>0.0672</v>
      </c>
      <c r="C7" s="47" t="n"/>
      <c r="D7" s="47" t="n"/>
      <c r="E7" s="50" t="inlineStr">
        <is>
          <t>Services</t>
        </is>
      </c>
      <c r="F7" s="51" t="n">
        <v>0.09760000000000001</v>
      </c>
    </row>
    <row r="8" ht="13" customHeight="1">
      <c r="A8" s="50" t="inlineStr">
        <is>
          <t>InterGlobe Aviation Limited</t>
        </is>
      </c>
      <c r="B8" s="51" t="n">
        <v>0.0578</v>
      </c>
      <c r="C8" s="47" t="n"/>
      <c r="D8" s="47" t="n"/>
      <c r="E8" s="50" t="inlineStr">
        <is>
          <t>Information Technology</t>
        </is>
      </c>
      <c r="F8" s="51" t="n">
        <v>0.0941</v>
      </c>
    </row>
    <row r="9" ht="13" customHeight="1">
      <c r="A9" s="50" t="inlineStr">
        <is>
          <t>Nuvama Wealth Management Limited</t>
        </is>
      </c>
      <c r="B9" s="51" t="n">
        <v>0.0527</v>
      </c>
      <c r="C9" s="47" t="n"/>
      <c r="D9" s="47" t="n"/>
      <c r="E9" s="50" t="inlineStr">
        <is>
          <t>Automobile and Auto Components</t>
        </is>
      </c>
      <c r="F9" s="51" t="n">
        <v>0.0827</v>
      </c>
    </row>
    <row r="10" ht="13" customHeight="1">
      <c r="A10" s="50" t="inlineStr">
        <is>
          <t>Coforge Limited</t>
        </is>
      </c>
      <c r="B10" s="51" t="n">
        <v>0.05</v>
      </c>
      <c r="C10" s="47" t="n"/>
      <c r="D10" s="47" t="n"/>
      <c r="E10" s="50" t="inlineStr">
        <is>
          <t>Construction</t>
        </is>
      </c>
      <c r="F10" s="51" t="n">
        <v>0.078</v>
      </c>
    </row>
    <row r="11" ht="13" customHeight="1">
      <c r="A11" s="50" t="inlineStr">
        <is>
          <t>Hindustan Aeronautics Limited</t>
        </is>
      </c>
      <c r="B11" s="51" t="n">
        <v>0.0486</v>
      </c>
      <c r="C11" s="47" t="n"/>
      <c r="D11" s="47" t="n"/>
      <c r="E11" s="50" t="inlineStr">
        <is>
          <t>Consumer Services</t>
        </is>
      </c>
      <c r="F11" s="51" t="n">
        <v>0.0552</v>
      </c>
    </row>
    <row r="12" ht="13" customHeight="1">
      <c r="A12" s="50" t="inlineStr">
        <is>
          <t>Ather Energy Limited</t>
        </is>
      </c>
      <c r="B12" s="51" t="n">
        <v>0.0443</v>
      </c>
      <c r="C12" s="47" t="n"/>
      <c r="D12" s="47" t="n"/>
      <c r="E12" s="50" t="inlineStr">
        <is>
          <t>Realty</t>
        </is>
      </c>
      <c r="F12" s="51" t="n">
        <v>0.0551</v>
      </c>
    </row>
    <row r="13" ht="13" customHeight="1">
      <c r="A13" s="50" t="inlineStr">
        <is>
          <t>Persistent Systems Limited</t>
        </is>
      </c>
      <c r="B13" s="51" t="n">
        <v>0.0441</v>
      </c>
      <c r="C13" s="47" t="n"/>
      <c r="D13" s="47" t="n"/>
      <c r="E13" s="50" t="inlineStr">
        <is>
          <t>Healthcare</t>
        </is>
      </c>
      <c r="F13" s="51" t="n">
        <v>0.0512</v>
      </c>
    </row>
    <row r="14" ht="13" customHeight="1">
      <c r="A14" s="50" t="inlineStr">
        <is>
          <t>Cholamandalam Investment and Finance Company Ltd</t>
        </is>
      </c>
      <c r="B14" s="51" t="n">
        <v>0.0432</v>
      </c>
      <c r="C14" s="47" t="n"/>
      <c r="D14" s="47" t="n"/>
      <c r="E14" s="50" t="inlineStr">
        <is>
          <t>Others</t>
        </is>
      </c>
      <c r="F14" s="51" t="n">
        <v>0.0409</v>
      </c>
    </row>
    <row r="15" ht="13" customHeight="1">
      <c r="A15" s="47" t="n"/>
      <c r="B15" s="47" t="n"/>
      <c r="C15" s="47" t="n"/>
      <c r="D15" s="47" t="n"/>
      <c r="E15" s="50" t="inlineStr">
        <is>
          <t>Consumer Durables</t>
        </is>
      </c>
      <c r="F15" s="51" t="n">
        <v>0.0408</v>
      </c>
    </row>
    <row r="16" ht="13" customHeight="1">
      <c r="A16" s="47" t="n"/>
      <c r="B16" s="47" t="n"/>
      <c r="C16" s="47" t="n"/>
      <c r="D16" s="47" t="n"/>
      <c r="E16" s="50" t="inlineStr">
        <is>
          <t>Cash &amp; Cash Equivalent:</t>
        </is>
      </c>
      <c r="F16" s="51" t="n">
        <v>0.0018</v>
      </c>
    </row>
    <row r="17" ht="13" customHeight="1">
      <c r="A17" s="47" t="n"/>
      <c r="B17" s="47" t="n"/>
      <c r="C17" s="47" t="n"/>
      <c r="D17" s="47" t="n"/>
      <c r="E17" s="48" t="inlineStr">
        <is>
          <t>Grand Total</t>
        </is>
      </c>
      <c r="F17" s="52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2026-06-10T05:27:35Z</dcterms:created>
  <dcterms:modified xsi:type="dcterms:W3CDTF">2026-06-10T05:27:35Z</dcterms:modified>
</cp:coreProperties>
</file>