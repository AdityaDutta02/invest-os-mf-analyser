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48D34591-DB08-48F1-BAC0-DDB827FD8AA4}" xr6:coauthVersionLast="46" xr6:coauthVersionMax="46" xr10:uidLastSave="{00000000-0000-0000-0000-000000000000}"/>
  <bookViews>
    <workbookView xWindow="1520" yWindow="1520" windowWidth="14400" windowHeight="7360" xr2:uid="{E26E71C6-F2A5-42D3-98CB-84936CFE9262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 localSheetId="1">RGF!$A$1</definedName>
    <definedName name="JR_PAGE_ANCHOR_0_20">'Growth Opportunities'!$A$1</definedName>
    <definedName name="JR_PAGE_ANCHOR_0_3">[13]IESGEF!$A$1</definedName>
    <definedName name="JR_PAGE_ANCHOR_0_4">[14]IFEF!$A$1</definedName>
    <definedName name="JR_PAGE_ANCHOR_0_5">[15]IFMP31D!$A$1</definedName>
    <definedName name="JR_PAGE_ANCHOR_0_6">[16]IFMP33B!$A$1</definedName>
    <definedName name="JR_PAGE_ANCHOR_0_7">[17]IFMP33D!$A$1</definedName>
    <definedName name="JR_PAGE_ANCHOR_0_8">[18]IGCTFOF!$A$1</definedName>
    <definedName name="JR_PAGE_ANCHOR_0_9">[19]IMDF!$A$1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2" i="1" l="1"/>
</calcChain>
</file>

<file path=xl/sharedStrings.xml><?xml version="1.0" encoding="utf-8"?>
<sst xmlns="http://schemas.openxmlformats.org/spreadsheetml/2006/main" count="256" uniqueCount="213">
  <si>
    <t>RGF</t>
  </si>
  <si>
    <t>INVESCO MUTUAL FUND</t>
  </si>
  <si>
    <t>Monthly Portfolio Statement as on September 30, 2021</t>
  </si>
  <si>
    <t>Invesco India Growth Opportunities Fund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</si>
  <si>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</si>
  <si>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</si>
  <si>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</si>
  <si>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</si>
  <si>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</si>
  <si>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</si>
  <si>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</si>
  <si>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</si>
  <si>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</si>
  <si>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</si>
  <si>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</si>
  <si>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</si>
  <si>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</si>
  <si>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</si>
  <si>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</si>
  <si>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</si>
  <si>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</si>
  <si>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</si>
  <si>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</si>
  <si>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</si>
  <si>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</si>
  <si>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</si>
  <si>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</si>
  <si>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</si>
  <si>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BFLS01</t>
  </si>
  <si>
    <t>MphasiS Limited</t>
  </si>
  <si>
    <t>INE356A01018</t>
  </si>
  <si>
    <t>LTTS01</t>
  </si>
  <si>
    <t>L&amp;T Technology Services Limited</t>
  </si>
  <si>
    <t>INE010V01017</t>
  </si>
  <si>
    <t>VOLT02</t>
  </si>
  <si>
    <t>Voltas Limited</t>
  </si>
  <si>
    <t>INE226A01021</t>
  </si>
  <si>
    <t>Consumer Durables</t>
  </si>
  <si>
    <t>UTIB02</t>
  </si>
  <si>
    <t>Axis Bank Limited</t>
  </si>
  <si>
    <t>INE238A01034</t>
  </si>
  <si>
    <t>BHEL02</t>
  </si>
  <si>
    <t>Bharat Electronics Limited</t>
  </si>
  <si>
    <t>INE263A01024</t>
  </si>
  <si>
    <t>Aerospace &amp; Defense</t>
  </si>
  <si>
    <t>BAFL02</t>
  </si>
  <si>
    <t>Bajaj Finance Limited</t>
  </si>
  <si>
    <t>INE296A01024</t>
  </si>
  <si>
    <t>Finance</t>
  </si>
  <si>
    <t>CGCE01</t>
  </si>
  <si>
    <t>Crompton Greaves Consumer Electricals Limited</t>
  </si>
  <si>
    <t>INE299U01018</t>
  </si>
  <si>
    <t>HLEL02</t>
  </si>
  <si>
    <t>Hindustan Unilever Limited</t>
  </si>
  <si>
    <t>INE030A01027</t>
  </si>
  <si>
    <t>Consumer Non Durables</t>
  </si>
  <si>
    <t>IIBL01</t>
  </si>
  <si>
    <t>IndusInd Bank Limited</t>
  </si>
  <si>
    <t>INE095A01012</t>
  </si>
  <si>
    <t>SBAI02</t>
  </si>
  <si>
    <t>State Bank of India</t>
  </si>
  <si>
    <t>INE062A01020</t>
  </si>
  <si>
    <t>VORL03</t>
  </si>
  <si>
    <t>Vinati Organics Limited</t>
  </si>
  <si>
    <t>INE410B01037</t>
  </si>
  <si>
    <t>Chemicals</t>
  </si>
  <si>
    <t>MIIL02</t>
  </si>
  <si>
    <t>Minda Industries Limited</t>
  </si>
  <si>
    <t>INE405E01023</t>
  </si>
  <si>
    <t>Auto Ancillaries</t>
  </si>
  <si>
    <t>GLAN02</t>
  </si>
  <si>
    <t>Gland Pharma Limited</t>
  </si>
  <si>
    <t>INE068V01023</t>
  </si>
  <si>
    <t>Pharmaceuticals</t>
  </si>
  <si>
    <t>KACE03</t>
  </si>
  <si>
    <t>Kajaria Ceramics Limited</t>
  </si>
  <si>
    <t>INE217B01036</t>
  </si>
  <si>
    <t>ASHL02</t>
  </si>
  <si>
    <t>Ashok Leyland Limited</t>
  </si>
  <si>
    <t>INE208A01029</t>
  </si>
  <si>
    <t>Auto</t>
  </si>
  <si>
    <t>LARS02</t>
  </si>
  <si>
    <t>Larsen &amp; Toubro Limited</t>
  </si>
  <si>
    <t>INE018A01030</t>
  </si>
  <si>
    <t>Construction Project</t>
  </si>
  <si>
    <t>SLIF01</t>
  </si>
  <si>
    <t>SBI Life Insurance Company Limited</t>
  </si>
  <si>
    <t>INE123W01016</t>
  </si>
  <si>
    <t>Insurance</t>
  </si>
  <si>
    <t>ULCC01</t>
  </si>
  <si>
    <t>UltraTech Cement Limited</t>
  </si>
  <si>
    <t>INE481G01011</t>
  </si>
  <si>
    <t>Cement &amp; Cement Products</t>
  </si>
  <si>
    <t>DRRL02</t>
  </si>
  <si>
    <t>Dr. Reddy's Laboratories Limited</t>
  </si>
  <si>
    <t>INE089A01023</t>
  </si>
  <si>
    <t>AIEL02</t>
  </si>
  <si>
    <t>AIA Engineering Limited</t>
  </si>
  <si>
    <t>INE212H01026</t>
  </si>
  <si>
    <t>Industrial Products</t>
  </si>
  <si>
    <t>KIMS01</t>
  </si>
  <si>
    <t>Krishna Institute Of Medical Sciences Limited</t>
  </si>
  <si>
    <t>INE967H01017</t>
  </si>
  <si>
    <t>Healthcare Services</t>
  </si>
  <si>
    <t>UBBL02</t>
  </si>
  <si>
    <t>United Breweries Limited</t>
  </si>
  <si>
    <t>INE686F01025</t>
  </si>
  <si>
    <t>BTVL02</t>
  </si>
  <si>
    <t>Bharti Airtel Limited</t>
  </si>
  <si>
    <t>INE397D01024</t>
  </si>
  <si>
    <t>Telecom - Services</t>
  </si>
  <si>
    <t>TISC01</t>
  </si>
  <si>
    <t>Tata Steel Limited</t>
  </si>
  <si>
    <t>INE081A01012</t>
  </si>
  <si>
    <t>Ferrous Metals</t>
  </si>
  <si>
    <t>VMAR01</t>
  </si>
  <si>
    <t>V-Mart Retail Limited</t>
  </si>
  <si>
    <t>INE665J01013</t>
  </si>
  <si>
    <t>Retailing</t>
  </si>
  <si>
    <t>ENDT01</t>
  </si>
  <si>
    <t>Endurance Technologies Limited</t>
  </si>
  <si>
    <t>INE913H01037</t>
  </si>
  <si>
    <t>NTPC01</t>
  </si>
  <si>
    <t>NTPC Limited</t>
  </si>
  <si>
    <t>INE733E01010</t>
  </si>
  <si>
    <t>Power</t>
  </si>
  <si>
    <t>PSYL01</t>
  </si>
  <si>
    <t>Persistent Systems Limited</t>
  </si>
  <si>
    <t>INE262H01013</t>
  </si>
  <si>
    <t>SUMI01</t>
  </si>
  <si>
    <t>Sumitomo Chemical India Limited</t>
  </si>
  <si>
    <t>INE258G01013</t>
  </si>
  <si>
    <t>Pesticides</t>
  </si>
  <si>
    <t>BALI02</t>
  </si>
  <si>
    <t>Balkrishna Industries Limited</t>
  </si>
  <si>
    <t>INE787D01026</t>
  </si>
  <si>
    <t>SONB01</t>
  </si>
  <si>
    <t>Sona BLW Precision Forgings Limited</t>
  </si>
  <si>
    <t>INE073K01018</t>
  </si>
  <si>
    <t>TEMA02</t>
  </si>
  <si>
    <t>Tech Mahindra Limited</t>
  </si>
  <si>
    <t>INE669C01036</t>
  </si>
  <si>
    <t>GGLT02</t>
  </si>
  <si>
    <t>Gujarat Gas Limited</t>
  </si>
  <si>
    <t>INE844O01030</t>
  </si>
  <si>
    <t>Gas</t>
  </si>
  <si>
    <t>TAHO01</t>
  </si>
  <si>
    <t>Honeywell Automation India Limited</t>
  </si>
  <si>
    <t>INE671A01010</t>
  </si>
  <si>
    <t>Industrial Capital Goods</t>
  </si>
  <si>
    <t>HERO02</t>
  </si>
  <si>
    <t>Hero MotoCorp Limited</t>
  </si>
  <si>
    <t>INE158A01026</t>
  </si>
  <si>
    <t>CIPL03</t>
  </si>
  <si>
    <t>Cipla Limited</t>
  </si>
  <si>
    <t>INE059A01026</t>
  </si>
  <si>
    <t>KRSN01</t>
  </si>
  <si>
    <t>Krsnaa Diagnostics Limited</t>
  </si>
  <si>
    <t>INE08LI01020</t>
  </si>
  <si>
    <t>IIFM01</t>
  </si>
  <si>
    <t>IIFL Wealth Management Limited</t>
  </si>
  <si>
    <t>INE466L01020</t>
  </si>
  <si>
    <t>MCEL03</t>
  </si>
  <si>
    <t>The Ramco Cements Limited</t>
  </si>
  <si>
    <t>INE331A01037</t>
  </si>
  <si>
    <t>BTVL03RF</t>
  </si>
  <si>
    <t>Bharti Airtel Limited - Rights Entitlement</t>
  </si>
  <si>
    <t>INE397D20024</t>
  </si>
  <si>
    <t>Sub Total</t>
  </si>
  <si>
    <t>(b) Unlisted</t>
  </si>
  <si>
    <t>Nil</t>
  </si>
  <si>
    <t>Total</t>
  </si>
  <si>
    <t>Money Market Instruments</t>
  </si>
  <si>
    <t>TREPS / Reverse Repo</t>
  </si>
  <si>
    <t>TRP_011021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</si>
  <si>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</si>
  <si>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</si>
  <si>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</si>
  <si>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</si>
  <si>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</si>
  <si>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</si>
  <si>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</si>
  <si>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</si>
  <si>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</si>
  <si>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</si>
  <si>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</si>
  <si>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</si>
  <si>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(6)  Deviation from the valuation prices given by valuation agencies during the month ended September 30, 2021: Nil</t>
  </si>
  <si>
    <t>BENCHMARK NAME - S&amp;P BSE 250 LARGE MIDCAP 65:35 TRI</t>
  </si>
  <si>
    <t>SCHEME RISK-O-METER</t>
  </si>
  <si>
    <t>BENCHMARK RISK-O-METER</t>
  </si>
  <si>
    <t>Grand Total</t>
  </si>
  <si>
    <t>Cash &amp; Cash Equivalent:</t>
  </si>
  <si>
    <t>Fertilisers &amp; Pesticides</t>
  </si>
  <si>
    <t>Consumer Services</t>
  </si>
  <si>
    <t>Metals</t>
  </si>
  <si>
    <t>Telecom</t>
  </si>
  <si>
    <t>Construction</t>
  </si>
  <si>
    <t>Others</t>
  </si>
  <si>
    <t>Pharma</t>
  </si>
  <si>
    <t>Industrial Manufacturing</t>
  </si>
  <si>
    <t>Oil &amp; Gas</t>
  </si>
  <si>
    <t>Clearing Corporation of India Ltd</t>
  </si>
  <si>
    <t>Automobile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</si>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</sst>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0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166" fontId="4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84F4CC5D-5CD5-418C-AF1F-26A2C08B7C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2857500</xdr:colOff>
      <xdr:row>90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05C90-FB26-49B3-914C-01F575D363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843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7</xdr:col>
      <xdr:colOff>571500</xdr:colOff>
      <xdr:row>90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060D3A-206E-4E16-9BEA-BA9FCBDC4A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40843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0DFF-0680-4DE8-BE18-8FAAC7924BE7}">
  <sheetPr codeName="Sheet25">
    <outlinePr summaryBelow="0"/>
  </sheetPr>
  <dimension ref="A1:H79"/>
  <sheetViews>
    <sheetView showGridLines="0" tabSelected="1" workbookViewId="0">
      <selection activeCell="B6" sqref="B6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49999999999999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40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1101499</v>
      </c>
      <c r="F8" s="15">
        <v>27749.51</v>
      </c>
      <c r="G8" s="15">
        <v>6.57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3612686</v>
      </c>
      <c r="F9" s="15">
        <v>25319.51</v>
      </c>
      <c r="G9" s="15">
        <v>5.99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1319625</v>
      </c>
      <c r="F10" s="15">
        <v>22106.36</v>
      </c>
      <c r="G10" s="15">
        <v>5.23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20</v>
      </c>
      <c r="E11" s="14">
        <v>1372049</v>
      </c>
      <c r="F11" s="15">
        <v>21883.5</v>
      </c>
      <c r="G11" s="15">
        <v>5.18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24</v>
      </c>
      <c r="E12" s="14">
        <v>456190</v>
      </c>
      <c r="F12" s="15">
        <v>14161.96</v>
      </c>
      <c r="G12" s="15">
        <v>3.35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24</v>
      </c>
      <c r="E13" s="14">
        <v>295716</v>
      </c>
      <c r="F13" s="15">
        <v>13891.41</v>
      </c>
      <c r="G13" s="15">
        <v>3.29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1076992</v>
      </c>
      <c r="F14" s="15">
        <v>13118.3</v>
      </c>
      <c r="G14" s="15">
        <v>3.1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20</v>
      </c>
      <c r="E15" s="14">
        <v>1672058</v>
      </c>
      <c r="F15" s="15">
        <v>12817.16</v>
      </c>
      <c r="G15" s="15">
        <v>3.03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5863826</v>
      </c>
      <c r="F16" s="15">
        <v>11900.63</v>
      </c>
      <c r="G16" s="15">
        <v>2.82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154261</v>
      </c>
      <c r="F17" s="15">
        <v>11828.89</v>
      </c>
      <c r="G17" s="15">
        <v>2.8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37</v>
      </c>
      <c r="E18" s="14">
        <v>2371406</v>
      </c>
      <c r="F18" s="15">
        <v>11356.66</v>
      </c>
      <c r="G18" s="15">
        <v>2.69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409361</v>
      </c>
      <c r="F19" s="15">
        <v>11060.12</v>
      </c>
      <c r="G19" s="15">
        <v>2.62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20</v>
      </c>
      <c r="E20" s="14">
        <v>983013</v>
      </c>
      <c r="F20" s="15">
        <v>10930.12</v>
      </c>
      <c r="G20" s="15">
        <v>2.59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20</v>
      </c>
      <c r="E21" s="14">
        <v>2398686</v>
      </c>
      <c r="F21" s="15">
        <v>10866.05</v>
      </c>
      <c r="G21" s="15">
        <v>2.57</v>
      </c>
      <c r="H21" s="16"/>
    </row>
    <row r="22" spans="1:8" ht="13" customHeight="1">
      <c r="A22" s="11" t="s">
        <v>62</v>
      </c>
      <c r="B22" s="12" t="s">
        <v>63</v>
      </c>
      <c r="C22" s="13" t="s">
        <v>64</v>
      </c>
      <c r="D22" s="8" t="s">
        <v>65</v>
      </c>
      <c r="E22" s="14">
        <v>559777</v>
      </c>
      <c r="F22" s="15">
        <v>10848.76</v>
      </c>
      <c r="G22" s="15">
        <v>2.57</v>
      </c>
      <c r="H22" s="16"/>
    </row>
    <row r="23" spans="1:8" ht="13" customHeight="1">
      <c r="A23" s="11" t="s">
        <v>66</v>
      </c>
      <c r="B23" s="12" t="s">
        <v>67</v>
      </c>
      <c r="C23" s="13" t="s">
        <v>68</v>
      </c>
      <c r="D23" s="8" t="s">
        <v>69</v>
      </c>
      <c r="E23" s="14">
        <v>1292396</v>
      </c>
      <c r="F23" s="15">
        <v>9546.93</v>
      </c>
      <c r="G23" s="15">
        <v>2.2599999999999998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252154</v>
      </c>
      <c r="F24" s="15">
        <v>9379.8799999999992</v>
      </c>
      <c r="G24" s="15">
        <v>2.2200000000000002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37</v>
      </c>
      <c r="E25" s="14">
        <v>771782</v>
      </c>
      <c r="F25" s="15">
        <v>9238.23</v>
      </c>
      <c r="G25" s="15">
        <v>2.19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80</v>
      </c>
      <c r="E26" s="14">
        <v>6767033</v>
      </c>
      <c r="F26" s="15">
        <v>9054.2900000000009</v>
      </c>
      <c r="G26" s="15">
        <v>2.14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84</v>
      </c>
      <c r="E27" s="14">
        <v>522754</v>
      </c>
      <c r="F27" s="15">
        <v>8902.24</v>
      </c>
      <c r="G27" s="15">
        <v>2.11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715610</v>
      </c>
      <c r="F28" s="15">
        <v>8695.3799999999992</v>
      </c>
      <c r="G28" s="15">
        <v>2.06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107763</v>
      </c>
      <c r="F29" s="15">
        <v>7970.26</v>
      </c>
      <c r="G29" s="15">
        <v>1.89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73</v>
      </c>
      <c r="E30" s="14">
        <v>161827</v>
      </c>
      <c r="F30" s="15">
        <v>7898.29</v>
      </c>
      <c r="G30" s="15">
        <v>1.87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390292</v>
      </c>
      <c r="F31" s="15">
        <v>7631.38</v>
      </c>
      <c r="G31" s="15">
        <v>1.81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103</v>
      </c>
      <c r="E32" s="14">
        <v>623375</v>
      </c>
      <c r="F32" s="15">
        <v>7613.28</v>
      </c>
      <c r="G32" s="15">
        <v>1.8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55</v>
      </c>
      <c r="E33" s="14">
        <v>426533</v>
      </c>
      <c r="F33" s="15">
        <v>6702.97</v>
      </c>
      <c r="G33" s="15">
        <v>1.59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971929</v>
      </c>
      <c r="F34" s="15">
        <v>6689.79</v>
      </c>
      <c r="G34" s="15">
        <v>1.58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114</v>
      </c>
      <c r="E35" s="14">
        <v>512225</v>
      </c>
      <c r="F35" s="15">
        <v>6602.07</v>
      </c>
      <c r="G35" s="15">
        <v>1.56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118</v>
      </c>
      <c r="E36" s="14">
        <v>173392</v>
      </c>
      <c r="F36" s="15">
        <v>6154.2</v>
      </c>
      <c r="G36" s="15">
        <v>1.46</v>
      </c>
      <c r="H36" s="16"/>
    </row>
    <row r="37" spans="1:8" ht="13" customHeight="1">
      <c r="A37" s="11" t="s">
        <v>119</v>
      </c>
      <c r="B37" s="12" t="s">
        <v>120</v>
      </c>
      <c r="C37" s="13" t="s">
        <v>121</v>
      </c>
      <c r="D37" s="8" t="s">
        <v>69</v>
      </c>
      <c r="E37" s="14">
        <v>385822</v>
      </c>
      <c r="F37" s="15">
        <v>6113.16</v>
      </c>
      <c r="G37" s="15">
        <v>1.45</v>
      </c>
      <c r="H37" s="16"/>
    </row>
    <row r="38" spans="1:8" ht="13" customHeight="1">
      <c r="A38" s="11" t="s">
        <v>122</v>
      </c>
      <c r="B38" s="12" t="s">
        <v>123</v>
      </c>
      <c r="C38" s="13" t="s">
        <v>124</v>
      </c>
      <c r="D38" s="8" t="s">
        <v>125</v>
      </c>
      <c r="E38" s="14">
        <v>4289817</v>
      </c>
      <c r="F38" s="15">
        <v>6085.11</v>
      </c>
      <c r="G38" s="15">
        <v>1.44</v>
      </c>
      <c r="H38" s="16"/>
    </row>
    <row r="39" spans="1:8" ht="13" customHeight="1">
      <c r="A39" s="11" t="s">
        <v>126</v>
      </c>
      <c r="B39" s="12" t="s">
        <v>127</v>
      </c>
      <c r="C39" s="13" t="s">
        <v>128</v>
      </c>
      <c r="D39" s="8" t="s">
        <v>24</v>
      </c>
      <c r="E39" s="14">
        <v>161538</v>
      </c>
      <c r="F39" s="15">
        <v>6003.24</v>
      </c>
      <c r="G39" s="15">
        <v>1.42</v>
      </c>
      <c r="H39" s="16"/>
    </row>
    <row r="40" spans="1:8" ht="13" customHeight="1">
      <c r="A40" s="11" t="s">
        <v>129</v>
      </c>
      <c r="B40" s="12" t="s">
        <v>130</v>
      </c>
      <c r="C40" s="13" t="s">
        <v>131</v>
      </c>
      <c r="D40" s="8" t="s">
        <v>132</v>
      </c>
      <c r="E40" s="14">
        <v>1408593</v>
      </c>
      <c r="F40" s="15">
        <v>5664.66</v>
      </c>
      <c r="G40" s="15">
        <v>1.34</v>
      </c>
      <c r="H40" s="16"/>
    </row>
    <row r="41" spans="1:8" ht="13" customHeight="1">
      <c r="A41" s="11" t="s">
        <v>133</v>
      </c>
      <c r="B41" s="12" t="s">
        <v>134</v>
      </c>
      <c r="C41" s="13" t="s">
        <v>135</v>
      </c>
      <c r="D41" s="8" t="s">
        <v>69</v>
      </c>
      <c r="E41" s="14">
        <v>220127</v>
      </c>
      <c r="F41" s="15">
        <v>5577.25</v>
      </c>
      <c r="G41" s="15">
        <v>1.32</v>
      </c>
      <c r="H41" s="16"/>
    </row>
    <row r="42" spans="1:8" ht="13" customHeight="1">
      <c r="A42" s="11" t="s">
        <v>136</v>
      </c>
      <c r="B42" s="12" t="s">
        <v>137</v>
      </c>
      <c r="C42" s="13" t="s">
        <v>138</v>
      </c>
      <c r="D42" s="8" t="s">
        <v>69</v>
      </c>
      <c r="E42" s="14">
        <v>941529</v>
      </c>
      <c r="F42" s="15">
        <v>5233.49</v>
      </c>
      <c r="G42" s="15">
        <v>1.24</v>
      </c>
      <c r="H42" s="16"/>
    </row>
    <row r="43" spans="1:8" ht="13" customHeight="1">
      <c r="A43" s="11" t="s">
        <v>139</v>
      </c>
      <c r="B43" s="12" t="s">
        <v>140</v>
      </c>
      <c r="C43" s="13" t="s">
        <v>141</v>
      </c>
      <c r="D43" s="8" t="s">
        <v>24</v>
      </c>
      <c r="E43" s="14">
        <v>359704</v>
      </c>
      <c r="F43" s="15">
        <v>4966.07</v>
      </c>
      <c r="G43" s="15">
        <v>1.18</v>
      </c>
      <c r="H43" s="16"/>
    </row>
    <row r="44" spans="1:8" ht="13" customHeight="1">
      <c r="A44" s="11" t="s">
        <v>142</v>
      </c>
      <c r="B44" s="12" t="s">
        <v>143</v>
      </c>
      <c r="C44" s="13" t="s">
        <v>144</v>
      </c>
      <c r="D44" s="8" t="s">
        <v>145</v>
      </c>
      <c r="E44" s="14">
        <v>749562</v>
      </c>
      <c r="F44" s="15">
        <v>4778.08</v>
      </c>
      <c r="G44" s="15">
        <v>1.1299999999999999</v>
      </c>
      <c r="H44" s="16"/>
    </row>
    <row r="45" spans="1:8" ht="13" customHeight="1">
      <c r="A45" s="11" t="s">
        <v>146</v>
      </c>
      <c r="B45" s="12" t="s">
        <v>147</v>
      </c>
      <c r="C45" s="13" t="s">
        <v>148</v>
      </c>
      <c r="D45" s="8" t="s">
        <v>149</v>
      </c>
      <c r="E45" s="14">
        <v>10298</v>
      </c>
      <c r="F45" s="15">
        <v>4707.68</v>
      </c>
      <c r="G45" s="15">
        <v>1.1100000000000001</v>
      </c>
      <c r="H45" s="16"/>
    </row>
    <row r="46" spans="1:8" ht="13" customHeight="1">
      <c r="A46" s="11" t="s">
        <v>150</v>
      </c>
      <c r="B46" s="12" t="s">
        <v>151</v>
      </c>
      <c r="C46" s="13" t="s">
        <v>152</v>
      </c>
      <c r="D46" s="8" t="s">
        <v>80</v>
      </c>
      <c r="E46" s="14">
        <v>158901</v>
      </c>
      <c r="F46" s="15">
        <v>4500.87</v>
      </c>
      <c r="G46" s="15">
        <v>1.06</v>
      </c>
      <c r="H46" s="16"/>
    </row>
    <row r="47" spans="1:8" ht="13" customHeight="1">
      <c r="A47" s="11" t="s">
        <v>153</v>
      </c>
      <c r="B47" s="12" t="s">
        <v>154</v>
      </c>
      <c r="C47" s="13" t="s">
        <v>155</v>
      </c>
      <c r="D47" s="8" t="s">
        <v>73</v>
      </c>
      <c r="E47" s="14">
        <v>443873</v>
      </c>
      <c r="F47" s="15">
        <v>4365.71</v>
      </c>
      <c r="G47" s="15">
        <v>1.03</v>
      </c>
      <c r="H47" s="16"/>
    </row>
    <row r="48" spans="1:8" ht="13" customHeight="1">
      <c r="A48" s="11" t="s">
        <v>156</v>
      </c>
      <c r="B48" s="12" t="s">
        <v>157</v>
      </c>
      <c r="C48" s="13" t="s">
        <v>158</v>
      </c>
      <c r="D48" s="8" t="s">
        <v>103</v>
      </c>
      <c r="E48" s="14">
        <v>541852</v>
      </c>
      <c r="F48" s="15">
        <v>4178.22</v>
      </c>
      <c r="G48" s="15">
        <v>0.99</v>
      </c>
      <c r="H48" s="16"/>
    </row>
    <row r="49" spans="1:8" ht="13" customHeight="1">
      <c r="A49" s="11" t="s">
        <v>159</v>
      </c>
      <c r="B49" s="12" t="s">
        <v>160</v>
      </c>
      <c r="C49" s="13" t="s">
        <v>161</v>
      </c>
      <c r="D49" s="8" t="s">
        <v>48</v>
      </c>
      <c r="E49" s="14">
        <v>216760</v>
      </c>
      <c r="F49" s="15">
        <v>3407.47</v>
      </c>
      <c r="G49" s="15">
        <v>0.81</v>
      </c>
      <c r="H49" s="16"/>
    </row>
    <row r="50" spans="1:8" ht="13" customHeight="1">
      <c r="A50" s="11" t="s">
        <v>162</v>
      </c>
      <c r="B50" s="12" t="s">
        <v>163</v>
      </c>
      <c r="C50" s="13" t="s">
        <v>164</v>
      </c>
      <c r="D50" s="8" t="s">
        <v>92</v>
      </c>
      <c r="E50" s="14">
        <v>154331</v>
      </c>
      <c r="F50" s="15">
        <v>1519.62</v>
      </c>
      <c r="G50" s="15">
        <v>0.36</v>
      </c>
      <c r="H50" s="16"/>
    </row>
    <row r="51" spans="1:8" ht="13" customHeight="1">
      <c r="A51" s="11" t="s">
        <v>165</v>
      </c>
      <c r="B51" s="12" t="s">
        <v>166</v>
      </c>
      <c r="C51" s="13" t="s">
        <v>167</v>
      </c>
      <c r="D51" s="8" t="s">
        <v>110</v>
      </c>
      <c r="E51" s="14">
        <v>69423</v>
      </c>
      <c r="F51" s="15">
        <v>85.14</v>
      </c>
      <c r="G51" s="15">
        <v>0.02</v>
      </c>
      <c r="H51" s="16"/>
    </row>
    <row r="52" spans="1:8" ht="13" customHeight="1">
      <c r="A52" s="2"/>
      <c r="B52" s="7" t="s">
        <v>168</v>
      </c>
      <c r="C52" s="8"/>
      <c r="D52" s="8"/>
      <c r="E52" s="8"/>
      <c r="F52" s="17">
        <f>SUM(F8:F51)</f>
        <v>409103.89999999985</v>
      </c>
      <c r="G52" s="17">
        <v>96.839999999999989</v>
      </c>
      <c r="H52" s="18"/>
    </row>
    <row r="53" spans="1:8" ht="13" customHeight="1">
      <c r="A53" s="2"/>
      <c r="B53" s="7" t="s">
        <v>169</v>
      </c>
      <c r="C53" s="10"/>
      <c r="D53" s="10"/>
      <c r="E53" s="8"/>
      <c r="F53" s="19" t="s">
        <v>170</v>
      </c>
      <c r="G53" s="19" t="s">
        <v>170</v>
      </c>
      <c r="H53" s="20" t="s">
        <v>170</v>
      </c>
    </row>
    <row r="54" spans="1:8" ht="13" customHeight="1">
      <c r="A54" s="2"/>
      <c r="B54" s="7" t="s">
        <v>168</v>
      </c>
      <c r="C54" s="8"/>
      <c r="D54" s="8"/>
      <c r="E54" s="8"/>
      <c r="F54" s="19" t="s">
        <v>170</v>
      </c>
      <c r="G54" s="19" t="s">
        <v>170</v>
      </c>
      <c r="H54" s="20" t="s">
        <v>170</v>
      </c>
    </row>
    <row r="55" spans="1:8" ht="13" customHeight="1">
      <c r="A55" s="2"/>
      <c r="B55" s="21" t="s">
        <v>171</v>
      </c>
      <c r="C55" s="22"/>
      <c r="D55" s="22"/>
      <c r="E55" s="23"/>
      <c r="F55" s="17">
        <v>409103.9</v>
      </c>
      <c r="G55" s="17">
        <v>96.84</v>
      </c>
      <c r="H55" s="20"/>
    </row>
    <row r="56" spans="1:8" ht="13" customHeight="1">
      <c r="A56" s="2"/>
      <c r="B56" s="7" t="s">
        <v>172</v>
      </c>
      <c r="C56" s="8"/>
      <c r="D56" s="8"/>
      <c r="E56" s="8"/>
      <c r="F56" s="8"/>
      <c r="G56" s="8"/>
      <c r="H56" s="9"/>
    </row>
    <row r="57" spans="1:8" ht="13" customHeight="1">
      <c r="A57" s="2"/>
      <c r="B57" s="7" t="s">
        <v>173</v>
      </c>
      <c r="C57" s="10"/>
      <c r="D57" s="10"/>
      <c r="E57" s="8"/>
      <c r="F57" s="8"/>
      <c r="G57" s="8"/>
      <c r="H57" s="9"/>
    </row>
    <row r="58" spans="1:8" ht="13" customHeight="1">
      <c r="A58" s="11" t="s">
        <v>174</v>
      </c>
      <c r="B58" s="12" t="s">
        <v>175</v>
      </c>
      <c r="C58" s="13"/>
      <c r="D58" s="8"/>
      <c r="E58" s="14"/>
      <c r="F58" s="15">
        <v>14263.7</v>
      </c>
      <c r="G58" s="15">
        <v>3.38</v>
      </c>
      <c r="H58" s="16">
        <v>3.2800000000000003E-2</v>
      </c>
    </row>
    <row r="59" spans="1:8" ht="13" customHeight="1">
      <c r="A59" s="2"/>
      <c r="B59" s="7" t="s">
        <v>168</v>
      </c>
      <c r="C59" s="8"/>
      <c r="D59" s="8"/>
      <c r="E59" s="8"/>
      <c r="F59" s="17">
        <v>14263.7</v>
      </c>
      <c r="G59" s="17">
        <v>3.38</v>
      </c>
      <c r="H59" s="24"/>
    </row>
    <row r="60" spans="1:8" ht="13" customHeight="1">
      <c r="A60" s="2"/>
      <c r="B60" s="21" t="s">
        <v>171</v>
      </c>
      <c r="C60" s="22"/>
      <c r="D60" s="22"/>
      <c r="E60" s="23"/>
      <c r="F60" s="17">
        <v>14263.7</v>
      </c>
      <c r="G60" s="17">
        <v>3.38</v>
      </c>
      <c r="H60" s="20"/>
    </row>
    <row r="61" spans="1:8" ht="13" customHeight="1">
      <c r="A61" s="2"/>
      <c r="B61" s="21" t="s">
        <v>176</v>
      </c>
      <c r="C61" s="22"/>
      <c r="D61" s="22"/>
      <c r="E61" s="8"/>
      <c r="F61" s="17">
        <v>-741.04</v>
      </c>
      <c r="G61" s="17">
        <v>-0.22</v>
      </c>
      <c r="H61" s="20"/>
    </row>
    <row r="62" spans="1:8" ht="13" customHeight="1" thickBot="1">
      <c r="A62" s="2"/>
      <c r="B62" s="25" t="s">
        <v>177</v>
      </c>
      <c r="C62" s="26"/>
      <c r="D62" s="26"/>
      <c r="E62" s="26"/>
      <c r="F62" s="27">
        <v>422626.56</v>
      </c>
      <c r="G62" s="28">
        <v>100</v>
      </c>
      <c r="H62" s="29"/>
    </row>
    <row r="63" spans="1:8" ht="13" customHeight="1">
      <c r="A63" s="2"/>
      <c r="B63" s="39"/>
      <c r="C63" s="39"/>
      <c r="D63" s="39"/>
      <c r="E63" s="39"/>
      <c r="F63" s="2"/>
      <c r="G63" s="2"/>
      <c r="H63" s="2"/>
    </row>
    <row r="64" spans="1:8" ht="13" customHeight="1">
      <c r="A64" s="2"/>
      <c r="B64" s="39"/>
      <c r="C64" s="39"/>
      <c r="D64" s="39"/>
      <c r="E64" s="39"/>
      <c r="F64" s="2"/>
      <c r="G64" s="2"/>
      <c r="H64" s="2"/>
    </row>
    <row r="65" spans="1:8" ht="13" customHeight="1">
      <c r="A65" s="2"/>
      <c r="B65" s="39"/>
      <c r="C65" s="39"/>
      <c r="D65" s="39"/>
      <c r="E65" s="39"/>
      <c r="F65" s="2"/>
      <c r="G65" s="2"/>
      <c r="H65" s="2"/>
    </row>
    <row r="66" spans="1:8" ht="13" customHeight="1">
      <c r="A66" s="2"/>
      <c r="B66" s="38"/>
      <c r="C66" s="38"/>
      <c r="D66" s="38"/>
      <c r="E66" s="38"/>
      <c r="F66" s="2"/>
      <c r="G66" s="2"/>
      <c r="H66" s="2"/>
    </row>
    <row r="67" spans="1:8" ht="13" customHeight="1">
      <c r="A67" s="2"/>
      <c r="B67" s="39" t="s">
        <v>178</v>
      </c>
      <c r="C67" s="39"/>
      <c r="D67" s="39"/>
      <c r="E67" s="39"/>
      <c r="F67" s="2"/>
      <c r="G67" s="2"/>
      <c r="H67" s="2"/>
    </row>
    <row r="68" spans="1:8" ht="13" customHeight="1">
      <c r="A68" s="2"/>
      <c r="B68" s="39" t="s">
        <v>179</v>
      </c>
      <c r="C68" s="39"/>
      <c r="D68" s="39"/>
      <c r="E68" s="39"/>
      <c r="F68" s="2"/>
      <c r="G68" s="2"/>
      <c r="H68" s="2"/>
    </row>
    <row r="69" spans="1:8" ht="13" customHeight="1">
      <c r="A69" s="2"/>
      <c r="B69" s="39" t="s">
        <v>180</v>
      </c>
      <c r="C69" s="39"/>
      <c r="D69" s="39"/>
      <c r="E69" s="39"/>
      <c r="F69" s="2"/>
      <c r="G69" s="2"/>
      <c r="H69" s="2"/>
    </row>
    <row r="70" spans="1:8" ht="13" customHeight="1">
      <c r="A70" s="2"/>
      <c r="B70" s="40"/>
      <c r="C70" s="40"/>
      <c r="D70" s="40"/>
      <c r="E70" s="40"/>
      <c r="F70" s="2"/>
      <c r="G70" s="2"/>
      <c r="H70" s="2"/>
    </row>
    <row r="71" spans="1:8">
      <c r="B71" s="41" t="s">
        <v>181</v>
      </c>
      <c r="C71" s="41"/>
      <c r="D71" s="41"/>
      <c r="E71" s="41"/>
    </row>
    <row r="72" spans="1:8" ht="12.75" customHeight="1">
      <c r="B72" s="37" t="s">
        <v>182</v>
      </c>
      <c r="C72" s="37"/>
    </row>
    <row r="73" spans="1:8">
      <c r="B73" s="31" t="s">
        <v>183</v>
      </c>
      <c r="C73" s="32"/>
    </row>
    <row r="74" spans="1:8">
      <c r="B74" s="31" t="s">
        <v>184</v>
      </c>
      <c r="C74" s="32"/>
    </row>
    <row r="75" spans="1:8">
      <c r="B75" s="33" t="s">
        <v>185</v>
      </c>
      <c r="C75" s="34"/>
    </row>
    <row r="76" spans="1:8">
      <c r="B76" s="35" t="s">
        <v>186</v>
      </c>
      <c r="C76" s="34"/>
    </row>
    <row r="77" spans="1:8">
      <c r="B77" s="31" t="s">
        <v>187</v>
      </c>
      <c r="C77" s="34"/>
    </row>
    <row r="78" spans="1:8">
      <c r="F78" s="36" t="s">
        <v>188</v>
      </c>
    </row>
    <row r="79" spans="1:8">
      <c r="B79" s="36" t="s">
        <v>189</v>
      </c>
      <c r="F79" s="36" t="s">
        <v>190</v>
      </c>
    </row>
  </sheetData>
  <mergeCells count="13">
    <mergeCell ref="B65:E65"/>
    <mergeCell ref="B1:H1"/>
    <mergeCell ref="B2:H2"/>
    <mergeCell ref="B3:H3"/>
    <mergeCell ref="B63:E63"/>
    <mergeCell ref="B64:E64"/>
    <mergeCell ref="B72:C72"/>
    <mergeCell ref="B66:E66"/>
    <mergeCell ref="B67:E67"/>
    <mergeCell ref="B68:E68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9570-CEB9-4105-BC3E-AA83D260FBDB}">
  <sheetPr codeName="Sheet20"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9" t="s">
        <v>212</v>
      </c>
      <c r="B1" s="39"/>
      <c r="C1" s="39"/>
      <c r="D1" s="47"/>
      <c r="E1" s="30"/>
      <c r="F1" s="2"/>
    </row>
    <row r="2" spans="1:6" ht="13" customHeight="1">
      <c r="A2" s="30"/>
      <c r="B2" s="2"/>
      <c r="C2" s="2"/>
      <c r="D2" s="2"/>
      <c r="E2" s="30"/>
      <c r="F2" s="2"/>
    </row>
    <row r="3" spans="1:6" ht="13" customHeight="1">
      <c r="A3" s="46" t="s">
        <v>211</v>
      </c>
      <c r="B3" s="46"/>
      <c r="C3" s="2"/>
      <c r="D3" s="2"/>
      <c r="E3" s="46" t="s">
        <v>210</v>
      </c>
      <c r="F3" s="46"/>
    </row>
    <row r="4" spans="1:6" ht="13" customHeight="1">
      <c r="A4" s="44" t="s">
        <v>209</v>
      </c>
      <c r="B4" s="44" t="s">
        <v>9</v>
      </c>
      <c r="C4" s="2"/>
      <c r="D4" s="2"/>
      <c r="E4" s="44" t="s">
        <v>208</v>
      </c>
      <c r="F4" s="44" t="s">
        <v>207</v>
      </c>
    </row>
    <row r="5" spans="1:6" ht="13" customHeight="1">
      <c r="A5" s="22" t="s">
        <v>14</v>
      </c>
      <c r="B5" s="45">
        <v>6.5699999999999995E-2</v>
      </c>
      <c r="C5" s="2"/>
      <c r="D5" s="2"/>
      <c r="E5" s="22" t="s">
        <v>206</v>
      </c>
      <c r="F5" s="45">
        <v>0.25019999999999998</v>
      </c>
    </row>
    <row r="6" spans="1:6" ht="13" customHeight="1">
      <c r="A6" s="22" t="s">
        <v>18</v>
      </c>
      <c r="B6" s="45">
        <v>5.9900000000000002E-2</v>
      </c>
      <c r="C6" s="2"/>
      <c r="D6" s="2"/>
      <c r="E6" s="22" t="s">
        <v>205</v>
      </c>
      <c r="F6" s="45">
        <v>0.14460000000000001</v>
      </c>
    </row>
    <row r="7" spans="1:6" ht="13" customHeight="1">
      <c r="A7" s="22" t="s">
        <v>22</v>
      </c>
      <c r="B7" s="45">
        <v>5.2299999999999999E-2</v>
      </c>
      <c r="C7" s="2"/>
      <c r="D7" s="2"/>
      <c r="E7" s="22" t="s">
        <v>204</v>
      </c>
      <c r="F7" s="45">
        <v>0.12180000000000001</v>
      </c>
    </row>
    <row r="8" spans="1:6" ht="13" customHeight="1">
      <c r="A8" s="22" t="s">
        <v>26</v>
      </c>
      <c r="B8" s="45">
        <v>5.1799999999999999E-2</v>
      </c>
      <c r="C8" s="2"/>
      <c r="D8" s="2"/>
      <c r="E8" s="22" t="s">
        <v>203</v>
      </c>
      <c r="F8" s="45">
        <v>9.4700000000000006E-2</v>
      </c>
    </row>
    <row r="9" spans="1:6" ht="13" customHeight="1">
      <c r="A9" s="22" t="s">
        <v>202</v>
      </c>
      <c r="B9" s="45">
        <v>3.3799999999999997E-2</v>
      </c>
      <c r="C9" s="2"/>
      <c r="D9" s="2"/>
      <c r="E9" s="22" t="s">
        <v>201</v>
      </c>
      <c r="F9" s="45">
        <v>7.6999999999999999E-2</v>
      </c>
    </row>
    <row r="10" spans="1:6" ht="13" customHeight="1">
      <c r="A10" s="22" t="s">
        <v>29</v>
      </c>
      <c r="B10" s="45">
        <v>3.3500000000000002E-2</v>
      </c>
      <c r="C10" s="2"/>
      <c r="D10" s="2"/>
      <c r="E10" s="22" t="s">
        <v>200</v>
      </c>
      <c r="F10" s="45">
        <v>5.74E-2</v>
      </c>
    </row>
    <row r="11" spans="1:6" ht="13" customHeight="1">
      <c r="A11" s="22" t="s">
        <v>32</v>
      </c>
      <c r="B11" s="45">
        <v>3.2899999999999999E-2</v>
      </c>
      <c r="C11" s="2"/>
      <c r="D11" s="2"/>
      <c r="E11" s="22" t="s">
        <v>199</v>
      </c>
      <c r="F11" s="45">
        <v>5.1200000000000002E-2</v>
      </c>
    </row>
    <row r="12" spans="1:6" ht="13" customHeight="1">
      <c r="A12" s="22" t="s">
        <v>35</v>
      </c>
      <c r="B12" s="45">
        <v>3.1E-2</v>
      </c>
      <c r="C12" s="2"/>
      <c r="D12" s="2"/>
      <c r="E12" s="22" t="s">
        <v>198</v>
      </c>
      <c r="F12" s="45">
        <v>3.3799999999999997E-2</v>
      </c>
    </row>
    <row r="13" spans="1:6" ht="13" customHeight="1">
      <c r="A13" s="22" t="s">
        <v>39</v>
      </c>
      <c r="B13" s="45">
        <v>3.0300000000000001E-2</v>
      </c>
      <c r="C13" s="2"/>
      <c r="D13" s="2"/>
      <c r="E13" s="22" t="s">
        <v>103</v>
      </c>
      <c r="F13" s="45">
        <v>2.7900000000000001E-2</v>
      </c>
    </row>
    <row r="14" spans="1:6" ht="13" customHeight="1">
      <c r="A14" s="22" t="s">
        <v>42</v>
      </c>
      <c r="B14" s="45">
        <v>2.8199999999999999E-2</v>
      </c>
      <c r="C14" s="2"/>
      <c r="D14" s="2"/>
      <c r="E14" s="22" t="s">
        <v>65</v>
      </c>
      <c r="F14" s="45">
        <v>2.5700000000000001E-2</v>
      </c>
    </row>
    <row r="15" spans="1:6" ht="13" customHeight="1">
      <c r="A15" s="2"/>
      <c r="B15" s="2"/>
      <c r="C15" s="2"/>
      <c r="D15" s="2"/>
      <c r="E15" s="22" t="s">
        <v>92</v>
      </c>
      <c r="F15" s="45">
        <v>2.2499999999999999E-2</v>
      </c>
    </row>
    <row r="16" spans="1:6" ht="13" customHeight="1">
      <c r="A16" s="2"/>
      <c r="B16" s="2"/>
      <c r="C16" s="2"/>
      <c r="D16" s="2"/>
      <c r="E16" s="22" t="s">
        <v>197</v>
      </c>
      <c r="F16" s="45">
        <v>2.1100000000000001E-2</v>
      </c>
    </row>
    <row r="17" spans="1:6" ht="13" customHeight="1">
      <c r="A17" s="2"/>
      <c r="B17" s="2"/>
      <c r="C17" s="2"/>
      <c r="D17" s="2"/>
      <c r="E17" s="22" t="s">
        <v>196</v>
      </c>
      <c r="F17" s="45">
        <v>1.6E-2</v>
      </c>
    </row>
    <row r="18" spans="1:6" ht="13" customHeight="1">
      <c r="A18" s="2"/>
      <c r="B18" s="2"/>
      <c r="C18" s="2"/>
      <c r="D18" s="2"/>
      <c r="E18" s="22" t="s">
        <v>195</v>
      </c>
      <c r="F18" s="45">
        <v>1.5599999999999999E-2</v>
      </c>
    </row>
    <row r="19" spans="1:6" ht="13" customHeight="1">
      <c r="A19" s="2"/>
      <c r="B19" s="2"/>
      <c r="C19" s="2"/>
      <c r="D19" s="2"/>
      <c r="E19" s="22" t="s">
        <v>194</v>
      </c>
      <c r="F19" s="45">
        <v>1.46E-2</v>
      </c>
    </row>
    <row r="20" spans="1:6" ht="13" customHeight="1">
      <c r="A20" s="2"/>
      <c r="B20" s="2"/>
      <c r="C20" s="2"/>
      <c r="D20" s="2"/>
      <c r="E20" s="22" t="s">
        <v>125</v>
      </c>
      <c r="F20" s="45">
        <v>1.44E-2</v>
      </c>
    </row>
    <row r="21" spans="1:6" ht="13" customHeight="1">
      <c r="A21" s="2"/>
      <c r="B21" s="2"/>
      <c r="C21" s="2"/>
      <c r="D21" s="2"/>
      <c r="E21" s="22" t="s">
        <v>193</v>
      </c>
      <c r="F21" s="45">
        <v>1.34E-2</v>
      </c>
    </row>
    <row r="22" spans="1:6" ht="13" customHeight="1">
      <c r="A22" s="2"/>
      <c r="B22" s="2"/>
      <c r="C22" s="2"/>
      <c r="D22" s="2"/>
      <c r="E22" s="22" t="s">
        <v>192</v>
      </c>
      <c r="F22" s="45">
        <v>-1.8E-3</v>
      </c>
    </row>
    <row r="23" spans="1:6" ht="13" customHeight="1">
      <c r="A23" s="2"/>
      <c r="B23" s="2"/>
      <c r="C23" s="2"/>
      <c r="D23" s="2"/>
      <c r="E23" s="44" t="s">
        <v>191</v>
      </c>
      <c r="F23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RGF!JR_PAGE_ANCHOR_0_20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2021-10-06T09:39:50Z</dcterms:created>
  <dcterms:modified xsi:type="dcterms:W3CDTF">2021-10-06T09:59:01Z</dcterms:modified>
</cp:coreProperties>
</file>