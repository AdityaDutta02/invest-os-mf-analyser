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61996085-EFD8-40A0-955B-85D9F38BC298}" xr6:coauthVersionLast="47" xr6:coauthVersionMax="47" xr10:uidLastSave="{00000000-0000-0000-0000-000000000000}"/>
  <bookViews>
    <workbookView xWindow="0" yWindow="820" windowWidth="19200" windowHeight="11180" xr2:uid="{9641ECBC-A32A-40C6-8C72-67E7E6A48609}"/>
  </bookViews>
  <sheets>
    <sheet name="Large &amp; Mid Cap" sheetId="1" r:id="rId1"/>
    <sheet name="RGF" sheetId="2" r:id="rId2"/>
  </sheets>
  <definedNames>
    <definedName name="JR_PAGE_ANCHOR_0_20">'Large &amp; Mid Cap'!$A$1</definedName>
    <definedName name="JR_PAGE_ANCHOR_0_27">RGF!$A$1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F63" i="1"/>
</calcChain>
</file>

<file path=xl/sharedStrings.xml><?xml version="1.0" encoding="utf-8"?>
<sst xmlns="http://schemas.openxmlformats.org/spreadsheetml/2006/main" count="274" uniqueCount="226">
  <si>
    <t>RGF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</si>
  <si>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</si>
  <si>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</si>
  <si>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Large &amp; Mid Cap Fund
(Large &amp; Mid Cap Fund - An open ended equity scheme investing in both large cap and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</si>
  <si>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</si>
  <si>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</si>
  <si>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</si>
  <si>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</si>
  <si>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</si>
  <si>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</si>
  <si>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</si>
  <si>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</si>
  <si>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</si>
  <si>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</si>
  <si>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</si>
  <si>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</si>
  <si>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</si>
  <si>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</si>
  <si>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</si>
  <si>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</si>
  <si>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</si>
  <si>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</si>
  <si>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</si>
  <si>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</si>
  <si>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</si>
  <si>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IBCL05</t>
  </si>
  <si>
    <t>ICICI Bank Limited</t>
  </si>
  <si>
    <t>INE090A01021</t>
  </si>
  <si>
    <t>Banks</t>
  </si>
  <si>
    <t>SAPH01</t>
  </si>
  <si>
    <t>Sai Life Sciences Limited</t>
  </si>
  <si>
    <t>INE570L01029</t>
  </si>
  <si>
    <t>Pharmaceuticals &amp; Biotechnology</t>
  </si>
  <si>
    <t>LAKM02</t>
  </si>
  <si>
    <t>Trent Limited</t>
  </si>
  <si>
    <t>INE849A01020</t>
  </si>
  <si>
    <t>PREP01</t>
  </si>
  <si>
    <t>Prestige Estates Projects Limited</t>
  </si>
  <si>
    <t>INE811K01011</t>
  </si>
  <si>
    <t>Realty</t>
  </si>
  <si>
    <t>BSEL02</t>
  </si>
  <si>
    <t>BSE Limited</t>
  </si>
  <si>
    <t>INE118H01025</t>
  </si>
  <si>
    <t>Capital Markets</t>
  </si>
  <si>
    <t>ASEA02</t>
  </si>
  <si>
    <t>ABB India Limited</t>
  </si>
  <si>
    <t>INE117A01022</t>
  </si>
  <si>
    <t>Electrical Equipment</t>
  </si>
  <si>
    <t>GLPH03</t>
  </si>
  <si>
    <t>Glenmark Pharmaceuticals Limited</t>
  </si>
  <si>
    <t>INE935A01035</t>
  </si>
  <si>
    <t>LTFL01</t>
  </si>
  <si>
    <t>L&amp;T Finance Limited</t>
  </si>
  <si>
    <t>INE498L01015</t>
  </si>
  <si>
    <t>Finance</t>
  </si>
  <si>
    <t>FEBA02</t>
  </si>
  <si>
    <t>The Federal Bank  Limited</t>
  </si>
  <si>
    <t>INE171A01029</t>
  </si>
  <si>
    <t>AMBE01</t>
  </si>
  <si>
    <t>Amber Enterprises India Limited</t>
  </si>
  <si>
    <t>INE371P01015</t>
  </si>
  <si>
    <t>Consumer Durables</t>
  </si>
  <si>
    <t>AFPL02</t>
  </si>
  <si>
    <t>AU Small Finance Bank Limited</t>
  </si>
  <si>
    <t>INE949L01017</t>
  </si>
  <si>
    <t>IIBL01</t>
  </si>
  <si>
    <t>IndusInd Bank Limited ^^^</t>
  </si>
  <si>
    <t>INE095A01012</t>
  </si>
  <si>
    <t>CHOL02</t>
  </si>
  <si>
    <t>Cholamandalam Investment and Finance Company Limited</t>
  </si>
  <si>
    <t>INE121A01024</t>
  </si>
  <si>
    <t>ADTH01</t>
  </si>
  <si>
    <t>Aditya Infotech Limited</t>
  </si>
  <si>
    <t>INE819V01029</t>
  </si>
  <si>
    <t>Industrial Manufacturing</t>
  </si>
  <si>
    <t>JKCE01</t>
  </si>
  <si>
    <t>JK Cement Limited</t>
  </si>
  <si>
    <t>INE823G01014</t>
  </si>
  <si>
    <t>Cement &amp; Cement Products</t>
  </si>
  <si>
    <t>GHPL01</t>
  </si>
  <si>
    <t>Global Health Limited</t>
  </si>
  <si>
    <t>INE474Q01031</t>
  </si>
  <si>
    <t>BTVL02</t>
  </si>
  <si>
    <t>Bharti Airtel Limited</t>
  </si>
  <si>
    <t>INE397D01024</t>
  </si>
  <si>
    <t>Telecom - Services</t>
  </si>
  <si>
    <t>BLTE01</t>
  </si>
  <si>
    <t>Swiggy Limited</t>
  </si>
  <si>
    <t>INE00H001014</t>
  </si>
  <si>
    <t>SRFL01</t>
  </si>
  <si>
    <t>SRF Limited</t>
  </si>
  <si>
    <t>INE647A01010</t>
  </si>
  <si>
    <t>Chemicals &amp; Petrochemicals</t>
  </si>
  <si>
    <t>APLI04</t>
  </si>
  <si>
    <t>Hexaware Technologies Limited</t>
  </si>
  <si>
    <t>INE093A01041</t>
  </si>
  <si>
    <t>IT - Software</t>
  </si>
  <si>
    <t>MAXI02</t>
  </si>
  <si>
    <t>Max Financial Services Limited</t>
  </si>
  <si>
    <t>INE180A01020</t>
  </si>
  <si>
    <t>Insurance</t>
  </si>
  <si>
    <t>KIMS02</t>
  </si>
  <si>
    <t>Krishna Institute Of Medical Sciences Limited</t>
  </si>
  <si>
    <t>INE967H01025</t>
  </si>
  <si>
    <t>ULCC01</t>
  </si>
  <si>
    <t>UltraTech Cement Limited</t>
  </si>
  <si>
    <t>INE481G01011</t>
  </si>
  <si>
    <t>HDAM01</t>
  </si>
  <si>
    <t>HDFC Asset Management Company Limited</t>
  </si>
  <si>
    <t>INE127D01025</t>
  </si>
  <si>
    <t>PHMI02</t>
  </si>
  <si>
    <t>The Phoenix Mills Limited</t>
  </si>
  <si>
    <t>INE211B01039</t>
  </si>
  <si>
    <t>TIIN01</t>
  </si>
  <si>
    <t>Timken India Limited</t>
  </si>
  <si>
    <t>INE325A01013</t>
  </si>
  <si>
    <t>Industrial Products</t>
  </si>
  <si>
    <t>ETHO01</t>
  </si>
  <si>
    <t>Ethos Ltd.</t>
  </si>
  <si>
    <t>INE04TZ01018</t>
  </si>
  <si>
    <t>CARU03</t>
  </si>
  <si>
    <t>Carborundum Universal Limited</t>
  </si>
  <si>
    <t>INE120A01034</t>
  </si>
  <si>
    <t>SOSO03</t>
  </si>
  <si>
    <t>Sonata Software Limited</t>
  </si>
  <si>
    <t>INE269A01021</t>
  </si>
  <si>
    <t>GODI01</t>
  </si>
  <si>
    <t>Go Digit General Insurance Ltd</t>
  </si>
  <si>
    <t>INE03JT01014</t>
  </si>
  <si>
    <t>SODL01</t>
  </si>
  <si>
    <t>Sobha Limited</t>
  </si>
  <si>
    <t>INE671H01015</t>
  </si>
  <si>
    <t>MEST01</t>
  </si>
  <si>
    <t>Max Estates Limited</t>
  </si>
  <si>
    <t>INE03EI01018</t>
  </si>
  <si>
    <t>TOPL01</t>
  </si>
  <si>
    <t>Torrent Power Limited</t>
  </si>
  <si>
    <t>INE813H01021</t>
  </si>
  <si>
    <t>Power</t>
  </si>
  <si>
    <t>BWIN01</t>
  </si>
  <si>
    <t>Bansal Wire Industries Limited</t>
  </si>
  <si>
    <t>INE0B9K01025</t>
  </si>
  <si>
    <t>CRAF01</t>
  </si>
  <si>
    <t>Craftsman Automation Limited</t>
  </si>
  <si>
    <t>INE00LO01017</t>
  </si>
  <si>
    <t>Auto Components</t>
  </si>
  <si>
    <t>GRIN02</t>
  </si>
  <si>
    <t>Grindwell Norton Limited</t>
  </si>
  <si>
    <t>INE536A01023</t>
  </si>
  <si>
    <t>CORE01</t>
  </si>
  <si>
    <t>Corona Remedies Limited</t>
  </si>
  <si>
    <t>INE02ZQ01018</t>
  </si>
  <si>
    <t>WIML01</t>
  </si>
  <si>
    <t>Wework India Management Limited</t>
  </si>
  <si>
    <t>INE085001019</t>
  </si>
  <si>
    <t>Commercial Services &amp; Supplies</t>
  </si>
  <si>
    <t>SAFI02</t>
  </si>
  <si>
    <t>Safari Industries (India) Limited</t>
  </si>
  <si>
    <t>INE429E01023</t>
  </si>
  <si>
    <t>ILOM01</t>
  </si>
  <si>
    <t>ICICI Lombard General Insurance Company Limited</t>
  </si>
  <si>
    <t>INE765G01017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</si>
  <si>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</si>
  <si>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</si>
  <si>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</si>
  <si>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</si>
  <si>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</si>
  <si>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</si>
  <si>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</si>
  <si>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</si>
  <si>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</si>
  <si>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</si>
  <si>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</si>
  <si>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Preference Shares</t>
  </si>
  <si>
    <t>SAEL21PS</t>
  </si>
  <si>
    <t>TVS Motor Company Limited ^^</t>
  </si>
  <si>
    <t>INE494B04019</t>
  </si>
  <si>
    <t>Automobiles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</si>
  <si>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</si>
  <si>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</si>
  <si>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</si>
  <si>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</si>
  <si>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</si>
  <si>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^^ Awaiting listing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</si>
  <si>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</si>
  <si>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</si>
  <si>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</si>
  <si>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</si>
  <si>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</si>
  <si>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</si>
  <si>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</si>
  <si>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</si>
  <si>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</si>
  <si>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</si>
  <si>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</si>
  <si>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/>
  </si>
  <si>
    <t>(4)  IDCW /  Bonus declared during the month ended As on April 30, 2026: Nil</t>
  </si>
  <si>
    <t>(5)  Total outstanding exposure in derivative instruments April 30, 2026: Nil</t>
  </si>
  <si>
    <t>(6)  Total investments in Foreign Securities / American Depository Receipts / Global Depository Receipts / Overseas ETFs As on April 30, 2026 and its percentage to NAV : Nil</t>
  </si>
  <si>
    <t>(7)  During the period, the portfolio turnover ratio was 0.32 times. ¥</t>
  </si>
  <si>
    <t>(8)  Investment in Repo of Corporate Debt securities : Nil</t>
  </si>
  <si>
    <t>(9)  Deviation from the valuation prices given by valuation agencies during the month ended 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</si>
  <si>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</si>
  <si>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</si>
  <si>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NIFTY LARGE MIDCAP 250 TRI</t>
  </si>
  <si>
    <t>SCHEME RISK-O-METER</t>
  </si>
  <si>
    <t>BENCHMARK RISK-O-METER</t>
  </si>
  <si>
    <t>Scheme Name: Invesco India Large &amp; Mid Cap Fund (Large &amp; Mid Cap Fund - An open ended equity scheme investing in both large cap and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</si>
  <si>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</si>
  <si>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</si>
  <si>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</si>
  <si>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</si>
  <si>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</si>
  <si>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</si>
  <si>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</si>
  <si>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</si>
  <si>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</si>
  <si>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</si>
  <si>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Construction Materials</t>
  </si>
  <si>
    <t>Information Technology</t>
  </si>
  <si>
    <t>Telecommunication</t>
  </si>
  <si>
    <t>Chemicals</t>
  </si>
  <si>
    <t>Automobile and Auto Components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</si>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</sst>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 applyProtection="1">
      <alignment wrapText="1"/>
      <protection locked="0"/>
    </xf>
    <xf numFmtId="0" fontId="6" fillId="0" borderId="0" xfId="0" applyFont="1"/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84B5A-BAC7-4BF9-A418-29BD79E860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7075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8</xdr:col>
      <xdr:colOff>228600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E56386-7CB4-479D-9C89-D8165CC19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70751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CBB5-EE93-4322-B272-7A7AB634344E}">
  <sheetPr codeName="Sheet18">
    <outlinePr summaryBelow="0"/>
  </sheetPr>
  <dimension ref="A1:H130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2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42"/>
      <c r="C4" s="42"/>
      <c r="D4" s="42"/>
      <c r="E4" s="42"/>
      <c r="F4" s="42"/>
      <c r="G4" s="42"/>
      <c r="H4" s="4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6948724</v>
      </c>
      <c r="F8" s="14">
        <v>69004.3</v>
      </c>
      <c r="G8" s="14">
        <v>7.07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24729692</v>
      </c>
      <c r="F9" s="14">
        <v>61089.760000000002</v>
      </c>
      <c r="G9" s="14">
        <v>6.26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1389777</v>
      </c>
      <c r="F10" s="14">
        <v>59695.09</v>
      </c>
      <c r="G10" s="14">
        <v>6.12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4629833</v>
      </c>
      <c r="F11" s="14">
        <v>58493.31</v>
      </c>
      <c r="G11" s="14">
        <v>5.99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4283799</v>
      </c>
      <c r="F12" s="14">
        <v>45813.09</v>
      </c>
      <c r="G12" s="14">
        <v>4.6900000000000004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20</v>
      </c>
      <c r="E13" s="13">
        <v>1089122</v>
      </c>
      <c r="F13" s="14">
        <v>45139.75</v>
      </c>
      <c r="G13" s="14">
        <v>4.62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3129905</v>
      </c>
      <c r="F14" s="14">
        <v>44269.38</v>
      </c>
      <c r="G14" s="14">
        <v>4.54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1104598</v>
      </c>
      <c r="F15" s="14">
        <v>40212.89</v>
      </c>
      <c r="G15" s="14">
        <v>4.12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465045</v>
      </c>
      <c r="F16" s="14">
        <v>33622.75</v>
      </c>
      <c r="G16" s="14">
        <v>3.44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32</v>
      </c>
      <c r="E17" s="13">
        <v>1342939</v>
      </c>
      <c r="F17" s="14">
        <v>32315.14</v>
      </c>
      <c r="G17" s="14">
        <v>3.31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11339315</v>
      </c>
      <c r="F18" s="14">
        <v>31719.47</v>
      </c>
      <c r="G18" s="14">
        <v>3.25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28</v>
      </c>
      <c r="E19" s="13">
        <v>10987013</v>
      </c>
      <c r="F19" s="14">
        <v>31527.23</v>
      </c>
      <c r="G19" s="14">
        <v>3.23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376065</v>
      </c>
      <c r="F20" s="14">
        <v>30175.46</v>
      </c>
      <c r="G20" s="14">
        <v>3.09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28</v>
      </c>
      <c r="E21" s="13">
        <v>2885189</v>
      </c>
      <c r="F21" s="14">
        <v>29312.080000000002</v>
      </c>
      <c r="G21" s="14">
        <v>3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28</v>
      </c>
      <c r="E22" s="13">
        <v>2943272</v>
      </c>
      <c r="F22" s="14">
        <v>26961.84</v>
      </c>
      <c r="G22" s="14">
        <v>2.76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54</v>
      </c>
      <c r="E23" s="13">
        <v>1632560</v>
      </c>
      <c r="F23" s="14">
        <v>25515.279999999999</v>
      </c>
      <c r="G23" s="14">
        <v>2.61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1028145</v>
      </c>
      <c r="F24" s="14">
        <v>23910.54</v>
      </c>
      <c r="G24" s="14">
        <v>2.4500000000000002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411308</v>
      </c>
      <c r="F25" s="14">
        <v>21745.85</v>
      </c>
      <c r="G25" s="14">
        <v>2.23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16</v>
      </c>
      <c r="E26" s="13">
        <v>1704265</v>
      </c>
      <c r="F26" s="14">
        <v>19040.900000000001</v>
      </c>
      <c r="G26" s="14">
        <v>1.95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949730</v>
      </c>
      <c r="F27" s="14">
        <v>17919.509999999998</v>
      </c>
      <c r="G27" s="14">
        <v>1.84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20</v>
      </c>
      <c r="E28" s="13">
        <v>6267553</v>
      </c>
      <c r="F28" s="14">
        <v>16941.2</v>
      </c>
      <c r="G28" s="14">
        <v>1.74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670255</v>
      </c>
      <c r="F29" s="14">
        <v>16881.04</v>
      </c>
      <c r="G29" s="14">
        <v>1.73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3688812</v>
      </c>
      <c r="F30" s="14">
        <v>16512.97</v>
      </c>
      <c r="G30" s="14">
        <v>1.69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1030734</v>
      </c>
      <c r="F31" s="14">
        <v>16344.35</v>
      </c>
      <c r="G31" s="14">
        <v>1.67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16</v>
      </c>
      <c r="E32" s="13">
        <v>2439026</v>
      </c>
      <c r="F32" s="14">
        <v>16260.99</v>
      </c>
      <c r="G32" s="14">
        <v>1.67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78</v>
      </c>
      <c r="E33" s="13">
        <v>136154</v>
      </c>
      <c r="F33" s="14">
        <v>15774.8</v>
      </c>
      <c r="G33" s="14">
        <v>1.62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43</v>
      </c>
      <c r="E34" s="13">
        <v>543172</v>
      </c>
      <c r="F34" s="14">
        <v>14734.08</v>
      </c>
      <c r="G34" s="14">
        <v>1.51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39</v>
      </c>
      <c r="E35" s="13">
        <v>774088</v>
      </c>
      <c r="F35" s="14">
        <v>13662.65</v>
      </c>
      <c r="G35" s="14">
        <v>1.4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366420</v>
      </c>
      <c r="F36" s="14">
        <v>12563.81</v>
      </c>
      <c r="G36" s="14">
        <v>1.29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61</v>
      </c>
      <c r="E37" s="13">
        <v>455674</v>
      </c>
      <c r="F37" s="14">
        <v>10944.38</v>
      </c>
      <c r="G37" s="14">
        <v>1.1200000000000001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116</v>
      </c>
      <c r="E38" s="13">
        <v>1001110</v>
      </c>
      <c r="F38" s="14">
        <v>9528.06</v>
      </c>
      <c r="G38" s="14">
        <v>0.98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96</v>
      </c>
      <c r="E39" s="13">
        <v>3293854</v>
      </c>
      <c r="F39" s="14">
        <v>8400.32</v>
      </c>
      <c r="G39" s="14">
        <v>0.86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100</v>
      </c>
      <c r="E40" s="13">
        <v>2700000</v>
      </c>
      <c r="F40" s="14">
        <v>8344.35</v>
      </c>
      <c r="G40" s="14">
        <v>0.85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39</v>
      </c>
      <c r="E41" s="13">
        <v>497233</v>
      </c>
      <c r="F41" s="14">
        <v>7127.34</v>
      </c>
      <c r="G41" s="14">
        <v>0.73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39</v>
      </c>
      <c r="E42" s="13">
        <v>1609854</v>
      </c>
      <c r="F42" s="14">
        <v>6299.36</v>
      </c>
      <c r="G42" s="14">
        <v>0.65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350000</v>
      </c>
      <c r="F43" s="14">
        <v>6076</v>
      </c>
      <c r="G43" s="14">
        <v>0.62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116</v>
      </c>
      <c r="E44" s="13">
        <v>1842705</v>
      </c>
      <c r="F44" s="14">
        <v>5462.88</v>
      </c>
      <c r="G44" s="14">
        <v>0.56000000000000005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70000</v>
      </c>
      <c r="F45" s="14">
        <v>5381.6</v>
      </c>
      <c r="G45" s="14">
        <v>0.55000000000000004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116</v>
      </c>
      <c r="E46" s="13">
        <v>326542</v>
      </c>
      <c r="F46" s="14">
        <v>5145.9799999999996</v>
      </c>
      <c r="G46" s="14">
        <v>0.53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32</v>
      </c>
      <c r="E47" s="13">
        <v>250208</v>
      </c>
      <c r="F47" s="14">
        <v>4320.09</v>
      </c>
      <c r="G47" s="14">
        <v>0.44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669835</v>
      </c>
      <c r="F48" s="14">
        <v>3662.66</v>
      </c>
      <c r="G48" s="14">
        <v>0.38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61</v>
      </c>
      <c r="E49" s="13">
        <v>217362</v>
      </c>
      <c r="F49" s="14">
        <v>3070.24</v>
      </c>
      <c r="G49" s="14">
        <v>0.31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100</v>
      </c>
      <c r="E50" s="13">
        <v>124759</v>
      </c>
      <c r="F50" s="14">
        <v>2199.75</v>
      </c>
      <c r="G50" s="14">
        <v>0.23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20</v>
      </c>
      <c r="E51" s="13">
        <v>650000</v>
      </c>
      <c r="F51" s="14">
        <v>1720.94</v>
      </c>
      <c r="G51" s="14">
        <v>0.18</v>
      </c>
      <c r="H51" s="15"/>
    </row>
    <row r="52" spans="1:8" ht="13" customHeight="1">
      <c r="A52" s="2"/>
      <c r="B52" s="7" t="s">
        <v>165</v>
      </c>
      <c r="C52" s="8"/>
      <c r="D52" s="8"/>
      <c r="E52" s="8"/>
      <c r="F52" s="16">
        <v>974843.45999999985</v>
      </c>
      <c r="G52" s="16">
        <v>99.880000000000052</v>
      </c>
      <c r="H52" s="17"/>
    </row>
    <row r="53" spans="1:8" ht="13" customHeight="1">
      <c r="A53" s="2"/>
      <c r="B53" s="18" t="s">
        <v>166</v>
      </c>
      <c r="C53" s="19"/>
      <c r="D53" s="19"/>
      <c r="E53" s="20"/>
      <c r="F53" s="21" t="s">
        <v>167</v>
      </c>
      <c r="G53" s="21" t="s">
        <v>167</v>
      </c>
      <c r="H53" s="22" t="s">
        <v>167</v>
      </c>
    </row>
    <row r="54" spans="1:8" ht="13" customHeight="1">
      <c r="A54" s="2"/>
      <c r="B54" s="23" t="s">
        <v>165</v>
      </c>
      <c r="C54" s="24"/>
      <c r="D54" s="24"/>
      <c r="E54" s="21"/>
      <c r="F54" s="21" t="s">
        <v>167</v>
      </c>
      <c r="G54" s="21" t="s">
        <v>167</v>
      </c>
      <c r="H54" s="22" t="s">
        <v>167</v>
      </c>
    </row>
    <row r="55" spans="1:8" ht="13" customHeight="1">
      <c r="A55" s="2"/>
      <c r="B55" s="18" t="s">
        <v>168</v>
      </c>
      <c r="C55" s="19"/>
      <c r="D55" s="19"/>
      <c r="E55" s="25"/>
      <c r="F55" s="16">
        <v>974843.45999999985</v>
      </c>
      <c r="G55" s="16">
        <v>99.880000000000052</v>
      </c>
      <c r="H55" s="22"/>
    </row>
    <row r="56" spans="1:8" ht="13" customHeight="1">
      <c r="A56" s="2"/>
      <c r="B56" s="7" t="s">
        <v>169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170</v>
      </c>
      <c r="C57" s="10"/>
      <c r="D57" s="10"/>
      <c r="E57" s="8"/>
      <c r="F57" s="8"/>
      <c r="G57" s="8"/>
      <c r="H57" s="9"/>
    </row>
    <row r="58" spans="1:8" ht="13" customHeight="1">
      <c r="A58" s="1" t="s">
        <v>171</v>
      </c>
      <c r="B58" s="11" t="s">
        <v>172</v>
      </c>
      <c r="C58" s="12"/>
      <c r="D58" s="8"/>
      <c r="E58" s="13"/>
      <c r="F58" s="14">
        <v>4153.71</v>
      </c>
      <c r="G58" s="14">
        <v>0.43</v>
      </c>
      <c r="H58" s="15">
        <v>5.252812286355147E-2</v>
      </c>
    </row>
    <row r="59" spans="1:8" ht="13" customHeight="1">
      <c r="A59" s="2"/>
      <c r="B59" s="7" t="s">
        <v>165</v>
      </c>
      <c r="C59" s="8"/>
      <c r="D59" s="8"/>
      <c r="E59" s="8"/>
      <c r="F59" s="16">
        <v>4153.71</v>
      </c>
      <c r="G59" s="16">
        <v>0.43</v>
      </c>
      <c r="H59" s="17"/>
    </row>
    <row r="60" spans="1:8" ht="13" customHeight="1">
      <c r="A60" s="2"/>
      <c r="B60" s="18" t="s">
        <v>168</v>
      </c>
      <c r="C60" s="19"/>
      <c r="D60" s="19"/>
      <c r="E60" s="25"/>
      <c r="F60" s="16">
        <v>4153.71</v>
      </c>
      <c r="G60" s="16">
        <v>0.43</v>
      </c>
      <c r="H60" s="22"/>
    </row>
    <row r="61" spans="1:8" ht="13" customHeight="1">
      <c r="B61" s="7" t="s">
        <v>173</v>
      </c>
      <c r="C61" s="8"/>
      <c r="D61" s="8"/>
      <c r="E61" s="8"/>
      <c r="F61" s="26"/>
      <c r="G61" s="27"/>
      <c r="H61" s="17"/>
    </row>
    <row r="62" spans="1:8" ht="13" customHeight="1">
      <c r="A62" s="1" t="s">
        <v>174</v>
      </c>
      <c r="B62" s="11" t="s">
        <v>175</v>
      </c>
      <c r="C62" s="12" t="s">
        <v>176</v>
      </c>
      <c r="D62" s="8" t="s">
        <v>177</v>
      </c>
      <c r="E62" s="13">
        <v>1682880</v>
      </c>
      <c r="F62" s="14">
        <v>171.65</v>
      </c>
      <c r="G62" s="14">
        <v>0.02</v>
      </c>
      <c r="H62" s="15"/>
    </row>
    <row r="63" spans="1:8" ht="13" customHeight="1">
      <c r="A63" s="2"/>
      <c r="B63" s="7" t="s">
        <v>165</v>
      </c>
      <c r="C63" s="8"/>
      <c r="D63" s="8"/>
      <c r="E63" s="8"/>
      <c r="F63" s="16">
        <f>F62</f>
        <v>171.65</v>
      </c>
      <c r="G63" s="16">
        <f>G62</f>
        <v>0.02</v>
      </c>
      <c r="H63" s="17"/>
    </row>
    <row r="64" spans="1:8" s="29" customFormat="1" ht="13" customHeight="1">
      <c r="A64" s="28"/>
      <c r="B64" s="18" t="s">
        <v>168</v>
      </c>
      <c r="C64" s="19"/>
      <c r="D64" s="19"/>
      <c r="E64" s="25"/>
      <c r="F64" s="16">
        <v>171.65</v>
      </c>
      <c r="G64" s="16">
        <v>0.02</v>
      </c>
      <c r="H64" s="22"/>
    </row>
    <row r="65" spans="1:8" ht="13" customHeight="1">
      <c r="A65" s="2"/>
      <c r="B65" s="18" t="s">
        <v>178</v>
      </c>
      <c r="C65" s="19"/>
      <c r="D65" s="19"/>
      <c r="E65" s="8"/>
      <c r="F65" s="16">
        <v>-3053.87</v>
      </c>
      <c r="G65" s="16">
        <v>-0.33</v>
      </c>
      <c r="H65" s="22"/>
    </row>
    <row r="66" spans="1:8" ht="13" customHeight="1" thickBot="1">
      <c r="A66" s="2"/>
      <c r="B66" s="30" t="s">
        <v>179</v>
      </c>
      <c r="C66" s="31"/>
      <c r="D66" s="31"/>
      <c r="E66" s="31"/>
      <c r="F66" s="32">
        <v>976114.95</v>
      </c>
      <c r="G66" s="33">
        <v>100</v>
      </c>
      <c r="H66" s="34"/>
    </row>
    <row r="67" spans="1:8" ht="13" customHeight="1">
      <c r="A67" s="2"/>
      <c r="B67" s="40"/>
      <c r="C67" s="40"/>
      <c r="D67" s="40"/>
      <c r="E67" s="40"/>
      <c r="F67" s="2"/>
      <c r="G67" s="2"/>
      <c r="H67" s="2"/>
    </row>
    <row r="68" spans="1:8" ht="13" customHeight="1">
      <c r="A68" s="2"/>
      <c r="B68" s="40" t="s">
        <v>180</v>
      </c>
      <c r="C68" s="40"/>
      <c r="D68" s="40"/>
      <c r="E68" s="40"/>
      <c r="F68" s="35"/>
      <c r="G68" s="35"/>
      <c r="H68" s="2"/>
    </row>
    <row r="69" spans="1:8" ht="13" customHeight="1">
      <c r="A69" s="2"/>
      <c r="B69" s="40" t="s">
        <v>181</v>
      </c>
      <c r="C69" s="40"/>
      <c r="D69" s="40"/>
      <c r="E69" s="40"/>
      <c r="F69" s="2"/>
      <c r="G69" s="2"/>
      <c r="H69" s="2"/>
    </row>
    <row r="70" spans="1:8" ht="13" customHeight="1">
      <c r="A70" s="2"/>
      <c r="B70" s="40" t="s">
        <v>182</v>
      </c>
      <c r="C70" s="40"/>
      <c r="D70" s="40"/>
      <c r="E70" s="40"/>
      <c r="F70" s="2"/>
      <c r="G70" s="2"/>
      <c r="H70" s="2"/>
    </row>
    <row r="71" spans="1:8" ht="13" customHeight="1">
      <c r="A71" s="2"/>
      <c r="B71" s="40" t="s">
        <v>183</v>
      </c>
      <c r="C71" s="40"/>
      <c r="D71" s="40"/>
      <c r="E71" s="40"/>
      <c r="F71" s="2"/>
      <c r="G71" s="2"/>
      <c r="H71" s="2"/>
    </row>
    <row r="73" spans="1:8">
      <c r="B73" s="36" t="s">
        <v>184</v>
      </c>
    </row>
    <row r="74" spans="1:8">
      <c r="B74" t="s">
        <v>185</v>
      </c>
    </row>
    <row r="75" spans="1:8">
      <c r="B75" t="s">
        <v>186</v>
      </c>
    </row>
    <row r="76" spans="1:8">
      <c r="B76" t="s">
        <v>187</v>
      </c>
    </row>
    <row r="77" spans="1:8">
      <c r="B77" s="36" t="s">
        <v>188</v>
      </c>
      <c r="C77" s="37" t="s">
        <v>189</v>
      </c>
      <c r="D77" s="37" t="s">
        <v>190</v>
      </c>
    </row>
    <row r="78" spans="1:8">
      <c r="B78" t="s">
        <v>191</v>
      </c>
      <c r="C78" s="38">
        <v>98.29</v>
      </c>
      <c r="D78" s="38">
        <v>86.67</v>
      </c>
    </row>
    <row r="79" spans="1:8">
      <c r="B79" t="s">
        <v>192</v>
      </c>
      <c r="C79" s="38">
        <v>39.76</v>
      </c>
      <c r="D79" s="38">
        <v>35.06</v>
      </c>
    </row>
    <row r="80" spans="1:8">
      <c r="B80" t="s">
        <v>193</v>
      </c>
      <c r="C80" s="38">
        <v>117.39</v>
      </c>
      <c r="D80" s="38">
        <v>103.42</v>
      </c>
    </row>
    <row r="81" spans="2:6">
      <c r="B81" t="s">
        <v>194</v>
      </c>
      <c r="C81" s="38">
        <v>50</v>
      </c>
      <c r="D81" s="38">
        <v>44.05</v>
      </c>
    </row>
    <row r="82" spans="2:6">
      <c r="B82" t="s">
        <v>195</v>
      </c>
    </row>
    <row r="83" spans="2:6">
      <c r="B83" t="s">
        <v>196</v>
      </c>
    </row>
    <row r="84" spans="2:6">
      <c r="B84" t="s">
        <v>197</v>
      </c>
    </row>
    <row r="85" spans="2:6">
      <c r="B85" t="s">
        <v>198</v>
      </c>
    </row>
    <row r="86" spans="2:6">
      <c r="B86" t="s">
        <v>199</v>
      </c>
    </row>
    <row r="87" spans="2:6">
      <c r="B87" t="s">
        <v>200</v>
      </c>
    </row>
    <row r="88" spans="2:6">
      <c r="B88" t="s">
        <v>201</v>
      </c>
    </row>
    <row r="90" spans="2:6">
      <c r="B90" s="39" t="s">
        <v>202</v>
      </c>
    </row>
    <row r="91" spans="2:6">
      <c r="B91" t="s">
        <v>203</v>
      </c>
    </row>
    <row r="92" spans="2:6">
      <c r="F92" s="36" t="s">
        <v>204</v>
      </c>
    </row>
    <row r="93" spans="2:6">
      <c r="B93" s="36" t="s">
        <v>205</v>
      </c>
      <c r="F93" s="36" t="s">
        <v>206</v>
      </c>
    </row>
    <row r="108" spans="2:4">
      <c r="B108" s="29"/>
      <c r="C108" s="29"/>
      <c r="D108" s="29"/>
    </row>
    <row r="109" spans="2:4">
      <c r="B109" s="29"/>
      <c r="C109" s="29"/>
      <c r="D109" s="29"/>
    </row>
    <row r="110" spans="2:4">
      <c r="B110" s="29"/>
      <c r="C110" s="29"/>
      <c r="D110" s="29"/>
    </row>
    <row r="111" spans="2:4">
      <c r="B111" s="29"/>
      <c r="C111" s="29"/>
      <c r="D111" s="29"/>
    </row>
    <row r="112" spans="2:4">
      <c r="B112" s="29"/>
      <c r="C112" s="29"/>
      <c r="D112" s="29"/>
    </row>
    <row r="113" spans="2:4">
      <c r="B113" s="29"/>
      <c r="C113" s="29"/>
      <c r="D113" s="29"/>
    </row>
    <row r="114" spans="2:4">
      <c r="B114" s="29"/>
      <c r="C114" s="29"/>
      <c r="D114" s="29"/>
    </row>
    <row r="115" spans="2:4">
      <c r="B115" s="29"/>
      <c r="C115" s="29"/>
      <c r="D115" s="29"/>
    </row>
    <row r="116" spans="2:4">
      <c r="B116" s="29"/>
      <c r="C116" s="29"/>
      <c r="D116" s="29"/>
    </row>
    <row r="117" spans="2:4">
      <c r="B117" s="29"/>
      <c r="C117" s="29"/>
      <c r="D117" s="29"/>
    </row>
    <row r="118" spans="2:4">
      <c r="B118" s="29"/>
      <c r="C118" s="29"/>
      <c r="D118" s="29"/>
    </row>
    <row r="119" spans="2:4">
      <c r="B119" s="29"/>
      <c r="C119" s="29"/>
      <c r="D119" s="29"/>
    </row>
    <row r="120" spans="2:4">
      <c r="B120" s="29"/>
      <c r="C120" s="29"/>
      <c r="D120" s="29"/>
    </row>
    <row r="121" spans="2:4">
      <c r="B121" s="29"/>
      <c r="C121" s="29"/>
      <c r="D121" s="29"/>
    </row>
    <row r="122" spans="2:4">
      <c r="B122" s="29"/>
      <c r="C122" s="29"/>
      <c r="D122" s="29"/>
    </row>
    <row r="123" spans="2:4">
      <c r="B123" s="29"/>
      <c r="C123" s="29"/>
      <c r="D123" s="29"/>
    </row>
    <row r="124" spans="2:4">
      <c r="B124" s="29"/>
      <c r="C124" s="29"/>
      <c r="D124" s="29"/>
    </row>
    <row r="125" spans="2:4">
      <c r="B125" s="29"/>
      <c r="C125" s="29"/>
      <c r="D125" s="29"/>
    </row>
    <row r="126" spans="2:4">
      <c r="B126" s="29"/>
      <c r="C126" s="29"/>
      <c r="D126" s="29"/>
    </row>
    <row r="127" spans="2:4">
      <c r="B127" s="29"/>
      <c r="C127" s="29"/>
      <c r="D127" s="29"/>
    </row>
    <row r="128" spans="2:4">
      <c r="B128" s="29"/>
      <c r="C128" s="29"/>
      <c r="D128" s="29"/>
    </row>
    <row r="129" spans="2:4">
      <c r="B129" s="29"/>
      <c r="C129" s="29"/>
      <c r="D129" s="29"/>
    </row>
    <row r="130" spans="2:4">
      <c r="B130" s="29"/>
      <c r="C130" s="29"/>
      <c r="D130" s="29"/>
    </row>
  </sheetData>
  <mergeCells count="9">
    <mergeCell ref="B69:E69"/>
    <mergeCell ref="B70:E70"/>
    <mergeCell ref="B71:E71"/>
    <mergeCell ref="B1:H1"/>
    <mergeCell ref="B2:H2"/>
    <mergeCell ref="B3:H3"/>
    <mergeCell ref="B4:H4"/>
    <mergeCell ref="B67:E67"/>
    <mergeCell ref="B68:E68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11FE-3C03-43BE-A48A-52255B14B844}">
  <sheetPr codeName="Sheet27"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207</v>
      </c>
      <c r="B1" s="40"/>
      <c r="C1" s="40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208</v>
      </c>
      <c r="B3" s="44"/>
      <c r="C3" s="2"/>
      <c r="D3" s="2"/>
      <c r="E3" s="44" t="s">
        <v>209</v>
      </c>
      <c r="F3" s="44"/>
    </row>
    <row r="4" spans="1:6" ht="13" customHeight="1">
      <c r="A4" s="45" t="s">
        <v>210</v>
      </c>
      <c r="B4" s="45" t="s">
        <v>9</v>
      </c>
      <c r="C4" s="2"/>
      <c r="D4" s="2"/>
      <c r="E4" s="45" t="s">
        <v>211</v>
      </c>
      <c r="F4" s="45" t="s">
        <v>212</v>
      </c>
    </row>
    <row r="5" spans="1:6" ht="13" customHeight="1">
      <c r="A5" s="19" t="s">
        <v>14</v>
      </c>
      <c r="B5" s="46">
        <v>7.0699999999999999E-2</v>
      </c>
      <c r="C5" s="2"/>
      <c r="D5" s="2"/>
      <c r="E5" s="19" t="s">
        <v>213</v>
      </c>
      <c r="F5" s="46">
        <v>0.2923</v>
      </c>
    </row>
    <row r="6" spans="1:6" ht="13" customHeight="1">
      <c r="A6" s="19" t="s">
        <v>18</v>
      </c>
      <c r="B6" s="46">
        <v>6.2600000000000003E-2</v>
      </c>
      <c r="C6" s="2"/>
      <c r="D6" s="2"/>
      <c r="E6" s="19" t="s">
        <v>214</v>
      </c>
      <c r="F6" s="46">
        <v>0.1913</v>
      </c>
    </row>
    <row r="7" spans="1:6" ht="13" customHeight="1">
      <c r="A7" s="19" t="s">
        <v>22</v>
      </c>
      <c r="B7" s="46">
        <v>6.1199999999999997E-2</v>
      </c>
      <c r="C7" s="2"/>
      <c r="D7" s="2"/>
      <c r="E7" s="19" t="s">
        <v>215</v>
      </c>
      <c r="F7" s="46">
        <v>0.12790000000000001</v>
      </c>
    </row>
    <row r="8" spans="1:6" ht="13" customHeight="1">
      <c r="A8" s="19" t="s">
        <v>26</v>
      </c>
      <c r="B8" s="46">
        <v>5.9900000000000002E-2</v>
      </c>
      <c r="C8" s="2"/>
      <c r="D8" s="2"/>
      <c r="E8" s="19" t="s">
        <v>216</v>
      </c>
      <c r="F8" s="46">
        <v>9.2399999999999996E-2</v>
      </c>
    </row>
    <row r="9" spans="1:6" ht="13" customHeight="1">
      <c r="A9" s="19" t="s">
        <v>30</v>
      </c>
      <c r="B9" s="46">
        <v>4.6899999999999997E-2</v>
      </c>
      <c r="C9" s="2"/>
      <c r="D9" s="2"/>
      <c r="E9" s="19" t="s">
        <v>39</v>
      </c>
      <c r="F9" s="46">
        <v>7.3099999999999998E-2</v>
      </c>
    </row>
    <row r="10" spans="1:6" ht="13" customHeight="1">
      <c r="A10" s="19" t="s">
        <v>34</v>
      </c>
      <c r="B10" s="46">
        <v>4.6199999999999998E-2</v>
      </c>
      <c r="C10" s="2"/>
      <c r="D10" s="2"/>
      <c r="E10" s="19" t="s">
        <v>217</v>
      </c>
      <c r="F10" s="46">
        <v>6.4899999999999999E-2</v>
      </c>
    </row>
    <row r="11" spans="1:6" ht="13" customHeight="1">
      <c r="A11" s="19" t="s">
        <v>37</v>
      </c>
      <c r="B11" s="46">
        <v>4.5400000000000003E-2</v>
      </c>
      <c r="C11" s="2"/>
      <c r="D11" s="2"/>
      <c r="E11" s="19" t="s">
        <v>61</v>
      </c>
      <c r="F11" s="46">
        <v>4.53E-2</v>
      </c>
    </row>
    <row r="12" spans="1:6" ht="13" customHeight="1">
      <c r="A12" s="19" t="s">
        <v>41</v>
      </c>
      <c r="B12" s="46">
        <v>4.1200000000000001E-2</v>
      </c>
      <c r="C12" s="2"/>
      <c r="D12" s="2"/>
      <c r="E12" s="19" t="s">
        <v>218</v>
      </c>
      <c r="F12" s="46">
        <v>3.8399999999999997E-2</v>
      </c>
    </row>
    <row r="13" spans="1:6" ht="13" customHeight="1">
      <c r="A13" s="19" t="s">
        <v>45</v>
      </c>
      <c r="B13" s="46">
        <v>3.44E-2</v>
      </c>
      <c r="C13" s="2"/>
      <c r="D13" s="2"/>
      <c r="E13" s="19" t="s">
        <v>219</v>
      </c>
      <c r="F13" s="46">
        <v>2.5499999999999998E-2</v>
      </c>
    </row>
    <row r="14" spans="1:6" ht="13" customHeight="1">
      <c r="A14" s="19" t="s">
        <v>49</v>
      </c>
      <c r="B14" s="46">
        <v>3.3099999999999997E-2</v>
      </c>
      <c r="C14" s="2"/>
      <c r="D14" s="2"/>
      <c r="E14" s="19" t="s">
        <v>220</v>
      </c>
      <c r="F14" s="46">
        <v>1.84E-2</v>
      </c>
    </row>
    <row r="15" spans="1:6" ht="13" customHeight="1">
      <c r="A15" s="2"/>
      <c r="B15" s="2"/>
      <c r="C15" s="2"/>
      <c r="D15" s="2"/>
      <c r="E15" s="19" t="s">
        <v>221</v>
      </c>
      <c r="F15" s="46">
        <v>1.7299999999999999E-2</v>
      </c>
    </row>
    <row r="16" spans="1:6" ht="13" customHeight="1">
      <c r="A16" s="2"/>
      <c r="B16" s="2"/>
      <c r="C16" s="2"/>
      <c r="D16" s="2"/>
      <c r="E16" s="19" t="s">
        <v>138</v>
      </c>
      <c r="F16" s="46">
        <v>6.1999999999999998E-3</v>
      </c>
    </row>
    <row r="17" spans="1:6" ht="13" customHeight="1">
      <c r="A17" s="2"/>
      <c r="B17" s="2"/>
      <c r="C17" s="2"/>
      <c r="D17" s="2"/>
      <c r="E17" s="19" t="s">
        <v>222</v>
      </c>
      <c r="F17" s="46">
        <v>5.4999999999999997E-3</v>
      </c>
    </row>
    <row r="18" spans="1:6" ht="13" customHeight="1">
      <c r="A18" s="2"/>
      <c r="B18" s="2"/>
      <c r="C18" s="2"/>
      <c r="D18" s="2"/>
      <c r="E18" s="19" t="s">
        <v>223</v>
      </c>
      <c r="F18" s="46">
        <v>4.3E-3</v>
      </c>
    </row>
    <row r="19" spans="1:6" ht="13" customHeight="1">
      <c r="A19" s="2"/>
      <c r="B19" s="2"/>
      <c r="C19" s="2"/>
      <c r="D19" s="2"/>
      <c r="E19" s="19" t="s">
        <v>224</v>
      </c>
      <c r="F19" s="46">
        <v>-3.0000000000000001E-3</v>
      </c>
    </row>
    <row r="20" spans="1:6" ht="13" customHeight="1">
      <c r="A20" s="2"/>
      <c r="B20" s="2"/>
      <c r="C20" s="2"/>
      <c r="D20" s="2"/>
      <c r="E20" s="45" t="s">
        <v>225</v>
      </c>
      <c r="F20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 Cap</vt:lpstr>
      <vt:lpstr>RGF</vt:lpstr>
      <vt:lpstr>JR_PAGE_ANCHOR_0_20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2026-05-09T13:42:46Z</dcterms:created>
  <dcterms:modified xsi:type="dcterms:W3CDTF">2026-05-09T15:25:08Z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2026-05-09T13:42:51Z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40c25724-a116-444e-9422-f98abf5d8e26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