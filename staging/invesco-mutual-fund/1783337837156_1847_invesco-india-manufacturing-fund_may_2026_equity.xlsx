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ing Fund" sheetId="1" state="visible" r:id="rId1"/>
    <sheet name="IMFG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#,##0.00;\(#,##0.00\)"/>
    <numFmt numFmtId="166" formatCode="#,##0.00%"/>
  </numFmts>
  <fonts count="11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color theme="1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165" fontId="5" fillId="0" borderId="5" applyAlignment="1" pivotButton="0" quotePrefix="0" xfId="0">
      <alignment horizontal="right" vertical="top" wrapText="1"/>
    </xf>
    <xf numFmtId="0" fontId="5" fillId="0" borderId="5" applyAlignment="1" pivotButton="0" quotePrefix="0" xfId="0">
      <alignment horizontal="right" vertical="top" wrapText="1"/>
    </xf>
    <xf numFmtId="0" fontId="6" fillId="0" borderId="0" applyAlignment="1" applyProtection="1" pivotButton="0" quotePrefix="0" xfId="0">
      <alignment wrapText="1"/>
      <protection locked="0" hidden="0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4" fontId="3" fillId="0" borderId="0" applyAlignment="1" applyProtection="1" pivotButton="0" quotePrefix="0" xfId="0">
      <alignment wrapText="1"/>
      <protection locked="0" hidden="0"/>
    </xf>
    <xf numFmtId="2" fontId="3" fillId="0" borderId="0" pivotButton="0" quotePrefix="0" xfId="0"/>
    <xf numFmtId="0" fontId="7" fillId="0" borderId="0" pivotButton="0" quotePrefix="0" xfId="0"/>
    <xf numFmtId="0" fontId="8" fillId="0" borderId="18" applyAlignment="1" pivotButton="0" quotePrefix="0" xfId="0">
      <alignment horizontal="left" vertical="top" wrapText="1"/>
    </xf>
    <xf numFmtId="0" fontId="9" fillId="0" borderId="18" applyAlignment="1" pivotButton="0" quotePrefix="0" xfId="0">
      <alignment horizontal="left" vertical="top" wrapText="1"/>
    </xf>
    <xf numFmtId="0" fontId="10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8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10" fillId="0" borderId="19" applyAlignment="1" pivotButton="0" quotePrefix="0" xfId="0">
      <alignment horizontal="left" vertical="top" wrapText="1"/>
    </xf>
    <xf numFmtId="166" fontId="10" fillId="0" borderId="19" applyAlignment="1" pivotButton="0" quotePrefix="0" xfId="0">
      <alignment horizontal="right" vertical="top" wrapText="1"/>
    </xf>
    <xf numFmtId="166" fontId="9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99</row>
      <rowOff>0</rowOff>
    </from>
    <to>
      <col>1</col>
      <colOff>2857500</colOff>
      <row>109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173418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99</row>
      <rowOff>0</rowOff>
    </from>
    <to>
      <col>7</col>
      <colOff>641350</colOff>
      <row>109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173418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IMFGF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Manufacturing Fund
(An open ended equity scheme following manufacturing theme)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MAHI02</t>
        </is>
      </c>
      <c r="B8" s="12" t="inlineStr">
        <is>
          <t>Mahindra &amp; Mahindra Limited</t>
        </is>
      </c>
      <c r="C8" s="13" t="inlineStr">
        <is>
          <t>INE101A01026</t>
        </is>
      </c>
      <c r="D8" s="9" t="inlineStr">
        <is>
          <t>Automobiles</t>
        </is>
      </c>
      <c r="E8" s="14" t="n">
        <v>136125</v>
      </c>
      <c r="F8" s="15" t="n">
        <v>4145.82</v>
      </c>
      <c r="G8" s="15" t="n">
        <v>6.15</v>
      </c>
      <c r="H8" s="16" t="n"/>
    </row>
    <row r="9" ht="13" customHeight="1">
      <c r="A9" s="1" t="inlineStr">
        <is>
          <t>POCA01</t>
        </is>
      </c>
      <c r="B9" s="12" t="inlineStr">
        <is>
          <t>Polycab India Limited</t>
        </is>
      </c>
      <c r="C9" s="13" t="inlineStr">
        <is>
          <t>INE455K01017</t>
        </is>
      </c>
      <c r="D9" s="9" t="inlineStr">
        <is>
          <t>Industrial Products</t>
        </is>
      </c>
      <c r="E9" s="14" t="n">
        <v>26015</v>
      </c>
      <c r="F9" s="15" t="n">
        <v>2465.57</v>
      </c>
      <c r="G9" s="15" t="n">
        <v>3.66</v>
      </c>
      <c r="H9" s="16" t="n"/>
    </row>
    <row r="10" ht="13" customHeight="1">
      <c r="A10" s="1" t="inlineStr">
        <is>
          <t>BHEL02</t>
        </is>
      </c>
      <c r="B10" s="12" t="inlineStr">
        <is>
          <t>Bharat Electronics Limited</t>
        </is>
      </c>
      <c r="C10" s="13" t="inlineStr">
        <is>
          <t>INE263A01024</t>
        </is>
      </c>
      <c r="D10" s="9" t="inlineStr">
        <is>
          <t>Aerospace &amp; Defense</t>
        </is>
      </c>
      <c r="E10" s="14" t="n">
        <v>578308</v>
      </c>
      <c r="F10" s="15" t="n">
        <v>2375.4</v>
      </c>
      <c r="G10" s="15" t="n">
        <v>3.52</v>
      </c>
      <c r="H10" s="16" t="n"/>
    </row>
    <row r="11" ht="13" customHeight="1">
      <c r="A11" s="1" t="inlineStr">
        <is>
          <t>DIVI02</t>
        </is>
      </c>
      <c r="B11" s="12" t="inlineStr">
        <is>
          <t>Divi's Laboratories Limited</t>
        </is>
      </c>
      <c r="C11" s="13" t="inlineStr">
        <is>
          <t>INE361B01024</t>
        </is>
      </c>
      <c r="D11" s="9" t="inlineStr">
        <is>
          <t>Pharmaceuticals &amp; Biotechnology</t>
        </is>
      </c>
      <c r="E11" s="14" t="n">
        <v>35036</v>
      </c>
      <c r="F11" s="15" t="n">
        <v>2335.85</v>
      </c>
      <c r="G11" s="15" t="n">
        <v>3.46</v>
      </c>
      <c r="H11" s="16" t="n"/>
    </row>
    <row r="12" ht="13" customHeight="1">
      <c r="A12" s="1" t="inlineStr">
        <is>
          <t>SEDE01</t>
        </is>
      </c>
      <c r="B12" s="12" t="inlineStr">
        <is>
          <t>Sedemac Mechatronics Limited</t>
        </is>
      </c>
      <c r="C12" s="13" t="inlineStr">
        <is>
          <t>INE00XB01019</t>
        </is>
      </c>
      <c r="D12" s="9" t="inlineStr">
        <is>
          <t>Auto Components</t>
        </is>
      </c>
      <c r="E12" s="14" t="n">
        <v>95090</v>
      </c>
      <c r="F12" s="15" t="n">
        <v>2039.59</v>
      </c>
      <c r="G12" s="15" t="n">
        <v>3.02</v>
      </c>
      <c r="H12" s="16" t="n"/>
    </row>
    <row r="13" ht="13" customHeight="1">
      <c r="A13" s="1" t="inlineStr">
        <is>
          <t>AMBE01</t>
        </is>
      </c>
      <c r="B13" s="12" t="inlineStr">
        <is>
          <t>Amber Enterprises India Limited</t>
        </is>
      </c>
      <c r="C13" s="13" t="inlineStr">
        <is>
          <t>INE371P01015</t>
        </is>
      </c>
      <c r="D13" s="9" t="inlineStr">
        <is>
          <t>Consumer Durables</t>
        </is>
      </c>
      <c r="E13" s="14" t="n">
        <v>26758</v>
      </c>
      <c r="F13" s="15" t="n">
        <v>2037.62</v>
      </c>
      <c r="G13" s="15" t="n">
        <v>3.02</v>
      </c>
      <c r="H13" s="16" t="n"/>
    </row>
    <row r="14" ht="13" customHeight="1">
      <c r="A14" s="1" t="inlineStr">
        <is>
          <t>CIPL03</t>
        </is>
      </c>
      <c r="B14" s="12" t="inlineStr">
        <is>
          <t>Cipla Limited</t>
        </is>
      </c>
      <c r="C14" s="13" t="inlineStr">
        <is>
          <t>INE059A01026</t>
        </is>
      </c>
      <c r="D14" s="9" t="inlineStr">
        <is>
          <t>Pharmaceuticals &amp; Biotechnology</t>
        </is>
      </c>
      <c r="E14" s="14" t="n">
        <v>138718</v>
      </c>
      <c r="F14" s="15" t="n">
        <v>1943.44</v>
      </c>
      <c r="G14" s="15" t="n">
        <v>2.88</v>
      </c>
      <c r="H14" s="16" t="n"/>
    </row>
    <row r="15" ht="13" customHeight="1">
      <c r="A15" s="1" t="inlineStr">
        <is>
          <t>EIML02</t>
        </is>
      </c>
      <c r="B15" s="12" t="inlineStr">
        <is>
          <t>Eicher Motors Limited</t>
        </is>
      </c>
      <c r="C15" s="13" t="inlineStr">
        <is>
          <t>INE066A01021</t>
        </is>
      </c>
      <c r="D15" s="9" t="inlineStr">
        <is>
          <t>Automobiles</t>
        </is>
      </c>
      <c r="E15" s="14" t="n">
        <v>27045</v>
      </c>
      <c r="F15" s="15" t="n">
        <v>1941.02</v>
      </c>
      <c r="G15" s="15" t="n">
        <v>2.88</v>
      </c>
      <c r="H15" s="16" t="n"/>
    </row>
    <row r="16" ht="13" customHeight="1">
      <c r="A16" s="1" t="inlineStr">
        <is>
          <t>HINI02</t>
        </is>
      </c>
      <c r="B16" s="12" t="inlineStr">
        <is>
          <t>Hindalco Industries Limited</t>
        </is>
      </c>
      <c r="C16" s="13" t="inlineStr">
        <is>
          <t>INE038A01020</t>
        </is>
      </c>
      <c r="D16" s="9" t="inlineStr">
        <is>
          <t>Non - Ferrous Metals</t>
        </is>
      </c>
      <c r="E16" s="14" t="n">
        <v>160942</v>
      </c>
      <c r="F16" s="15" t="n">
        <v>1813.33</v>
      </c>
      <c r="G16" s="15" t="n">
        <v>2.69</v>
      </c>
      <c r="H16" s="16" t="n"/>
    </row>
    <row r="17" ht="13" customHeight="1">
      <c r="A17" s="1" t="inlineStr">
        <is>
          <t>TENN01</t>
        </is>
      </c>
      <c r="B17" s="12" t="inlineStr">
        <is>
          <t>Tenneco Clean Air India Limited</t>
        </is>
      </c>
      <c r="C17" s="13" t="inlineStr">
        <is>
          <t>INE19RI01016</t>
        </is>
      </c>
      <c r="D17" s="9" t="inlineStr">
        <is>
          <t>Auto Components</t>
        </is>
      </c>
      <c r="E17" s="14" t="n">
        <v>305799</v>
      </c>
      <c r="F17" s="15" t="n">
        <v>1799.02</v>
      </c>
      <c r="G17" s="15" t="n">
        <v>2.67</v>
      </c>
      <c r="H17" s="16" t="n"/>
    </row>
    <row r="18" ht="13" customHeight="1">
      <c r="A18" s="1" t="inlineStr">
        <is>
          <t>SAEL02</t>
        </is>
      </c>
      <c r="B18" s="12" t="inlineStr">
        <is>
          <t>TVS Motor Company Limited</t>
        </is>
      </c>
      <c r="C18" s="13" t="inlineStr">
        <is>
          <t>INE494B01023</t>
        </is>
      </c>
      <c r="D18" s="9" t="inlineStr">
        <is>
          <t>Automobiles</t>
        </is>
      </c>
      <c r="E18" s="14" t="n">
        <v>52891</v>
      </c>
      <c r="F18" s="15" t="n">
        <v>1774.86</v>
      </c>
      <c r="G18" s="15" t="n">
        <v>2.63</v>
      </c>
      <c r="H18" s="16" t="n"/>
    </row>
    <row r="19" ht="13" customHeight="1">
      <c r="A19" s="1" t="inlineStr">
        <is>
          <t>GRAS02</t>
        </is>
      </c>
      <c r="B19" s="12" t="inlineStr">
        <is>
          <t>Grasim Industries Limited</t>
        </is>
      </c>
      <c r="C19" s="13" t="inlineStr">
        <is>
          <t>INE047A01021</t>
        </is>
      </c>
      <c r="D19" s="9" t="inlineStr">
        <is>
          <t>Cement &amp; Cement Products</t>
        </is>
      </c>
      <c r="E19" s="14" t="n">
        <v>55138</v>
      </c>
      <c r="F19" s="15" t="n">
        <v>1721.63</v>
      </c>
      <c r="G19" s="15" t="n">
        <v>2.55</v>
      </c>
      <c r="H19" s="16" t="n"/>
    </row>
    <row r="20" ht="13" customHeight="1">
      <c r="A20" s="1" t="inlineStr">
        <is>
          <t>JKCE01</t>
        </is>
      </c>
      <c r="B20" s="12" t="inlineStr">
        <is>
          <t>JK Cement Limited</t>
        </is>
      </c>
      <c r="C20" s="13" t="inlineStr">
        <is>
          <t>INE823G01014</t>
        </is>
      </c>
      <c r="D20" s="9" t="inlineStr">
        <is>
          <t>Cement &amp; Cement Products</t>
        </is>
      </c>
      <c r="E20" s="14" t="n">
        <v>33285</v>
      </c>
      <c r="F20" s="15" t="n">
        <v>1721.17</v>
      </c>
      <c r="G20" s="15" t="n">
        <v>2.55</v>
      </c>
      <c r="H20" s="16" t="n"/>
    </row>
    <row r="21" ht="13" customHeight="1">
      <c r="A21" s="1" t="inlineStr">
        <is>
          <t>SPIL03</t>
        </is>
      </c>
      <c r="B21" s="12" t="inlineStr">
        <is>
          <t>Sun Pharmaceutical Industries Limited</t>
        </is>
      </c>
      <c r="C21" s="13" t="inlineStr">
        <is>
          <t>INE044A01036</t>
        </is>
      </c>
      <c r="D21" s="9" t="inlineStr">
        <is>
          <t>Pharmaceuticals &amp; Biotechnology</t>
        </is>
      </c>
      <c r="E21" s="14" t="n">
        <v>95499</v>
      </c>
      <c r="F21" s="15" t="n">
        <v>1718.22</v>
      </c>
      <c r="G21" s="15" t="n">
        <v>2.55</v>
      </c>
      <c r="H21" s="16" t="n"/>
    </row>
    <row r="22" ht="13" customHeight="1">
      <c r="A22" s="1" t="inlineStr">
        <is>
          <t>CRAF01</t>
        </is>
      </c>
      <c r="B22" s="12" t="inlineStr">
        <is>
          <t>Craftsman Automation Limited</t>
        </is>
      </c>
      <c r="C22" s="13" t="inlineStr">
        <is>
          <t>INE00LO01017</t>
        </is>
      </c>
      <c r="D22" s="9" t="inlineStr">
        <is>
          <t>Auto Components</t>
        </is>
      </c>
      <c r="E22" s="14" t="n">
        <v>18308</v>
      </c>
      <c r="F22" s="15" t="n">
        <v>1661.27</v>
      </c>
      <c r="G22" s="15" t="n">
        <v>2.46</v>
      </c>
      <c r="H22" s="16" t="n"/>
    </row>
    <row r="23" ht="13" customHeight="1">
      <c r="A23" s="1" t="inlineStr">
        <is>
          <t>SAPH01</t>
        </is>
      </c>
      <c r="B23" s="12" t="inlineStr">
        <is>
          <t>Sai Life Sciences Limited</t>
        </is>
      </c>
      <c r="C23" s="13" t="inlineStr">
        <is>
          <t>INE570L01029</t>
        </is>
      </c>
      <c r="D23" s="9" t="inlineStr">
        <is>
          <t>Pharmaceuticals &amp; Biotechnology</t>
        </is>
      </c>
      <c r="E23" s="14" t="n">
        <v>140011</v>
      </c>
      <c r="F23" s="15" t="n">
        <v>1624.13</v>
      </c>
      <c r="G23" s="15" t="n">
        <v>2.41</v>
      </c>
      <c r="H23" s="16" t="n"/>
    </row>
    <row r="24" ht="13" customHeight="1">
      <c r="A24" s="1" t="inlineStr">
        <is>
          <t>BWIN01</t>
        </is>
      </c>
      <c r="B24" s="12" t="inlineStr">
        <is>
          <t>Bansal Wire Industries Limited</t>
        </is>
      </c>
      <c r="C24" s="13" t="inlineStr">
        <is>
          <t>INE0B9K01025</t>
        </is>
      </c>
      <c r="D24" s="9" t="inlineStr">
        <is>
          <t>Industrial Products</t>
        </is>
      </c>
      <c r="E24" s="14" t="n">
        <v>501391</v>
      </c>
      <c r="F24" s="15" t="n">
        <v>1595.68</v>
      </c>
      <c r="G24" s="15" t="n">
        <v>2.37</v>
      </c>
      <c r="H24" s="16" t="n"/>
    </row>
    <row r="25" ht="13" customHeight="1">
      <c r="A25" s="1" t="inlineStr">
        <is>
          <t>ABBP01</t>
        </is>
      </c>
      <c r="B25" s="12" t="inlineStr">
        <is>
          <t>Hitachi Energy India Limited</t>
        </is>
      </c>
      <c r="C25" s="13" t="inlineStr">
        <is>
          <t>INE07Y701011</t>
        </is>
      </c>
      <c r="D25" s="9" t="inlineStr">
        <is>
          <t>Electrical Equipment</t>
        </is>
      </c>
      <c r="E25" s="14" t="n">
        <v>4150</v>
      </c>
      <c r="F25" s="15" t="n">
        <v>1595.47</v>
      </c>
      <c r="G25" s="15" t="n">
        <v>2.37</v>
      </c>
      <c r="H25" s="16" t="n"/>
    </row>
    <row r="26" ht="13" customHeight="1">
      <c r="A26" s="1" t="inlineStr">
        <is>
          <t>HALT02</t>
        </is>
      </c>
      <c r="B26" s="12" t="inlineStr">
        <is>
          <t>Hindustan Aeronautics Limited</t>
        </is>
      </c>
      <c r="C26" s="13" t="inlineStr">
        <is>
          <t>INE066F01020</t>
        </is>
      </c>
      <c r="D26" s="9" t="inlineStr">
        <is>
          <t>Aerospace &amp; Defense</t>
        </is>
      </c>
      <c r="E26" s="14" t="n">
        <v>35398</v>
      </c>
      <c r="F26" s="15" t="n">
        <v>1523.46</v>
      </c>
      <c r="G26" s="15" t="n">
        <v>2.26</v>
      </c>
      <c r="H26" s="16" t="n"/>
    </row>
    <row r="27" ht="13" customHeight="1">
      <c r="A27" s="1" t="inlineStr">
        <is>
          <t>ADTH01</t>
        </is>
      </c>
      <c r="B27" s="12" t="inlineStr">
        <is>
          <t>Aditya Infotech Limited</t>
        </is>
      </c>
      <c r="C27" s="13" t="inlineStr">
        <is>
          <t>INE819V01029</t>
        </is>
      </c>
      <c r="D27" s="9" t="inlineStr">
        <is>
          <t>Industrial Manufacturing</t>
        </is>
      </c>
      <c r="E27" s="14" t="n">
        <v>51316</v>
      </c>
      <c r="F27" s="15" t="n">
        <v>1489.96</v>
      </c>
      <c r="G27" s="15" t="n">
        <v>2.21</v>
      </c>
      <c r="H27" s="16" t="n"/>
    </row>
    <row r="28" ht="13" customHeight="1">
      <c r="A28" s="1" t="inlineStr">
        <is>
          <t>SHYA01</t>
        </is>
      </c>
      <c r="B28" s="12" t="inlineStr">
        <is>
          <t>Shyam Metalics and Energy Limited</t>
        </is>
      </c>
      <c r="C28" s="13" t="inlineStr">
        <is>
          <t>INE810G01011</t>
        </is>
      </c>
      <c r="D28" s="9" t="inlineStr">
        <is>
          <t>Industrial Products</t>
        </is>
      </c>
      <c r="E28" s="14" t="n">
        <v>152093</v>
      </c>
      <c r="F28" s="15" t="n">
        <v>1480.4</v>
      </c>
      <c r="G28" s="15" t="n">
        <v>2.2</v>
      </c>
      <c r="H28" s="16" t="n"/>
    </row>
    <row r="29" ht="13" customHeight="1">
      <c r="A29" s="1" t="inlineStr">
        <is>
          <t>CROM02</t>
        </is>
      </c>
      <c r="B29" s="12" t="inlineStr">
        <is>
          <t>CG Power and Industrial Solutions Limited</t>
        </is>
      </c>
      <c r="C29" s="13" t="inlineStr">
        <is>
          <t>INE067A01029</t>
        </is>
      </c>
      <c r="D29" s="9" t="inlineStr">
        <is>
          <t>Electrical Equipment</t>
        </is>
      </c>
      <c r="E29" s="14" t="n">
        <v>160269</v>
      </c>
      <c r="F29" s="15" t="n">
        <v>1470.39</v>
      </c>
      <c r="G29" s="15" t="n">
        <v>2.18</v>
      </c>
      <c r="H29" s="16" t="n"/>
    </row>
    <row r="30" ht="13" customHeight="1">
      <c r="A30" s="1" t="inlineStr">
        <is>
          <t>TLFH01</t>
        </is>
      </c>
      <c r="B30" s="12" t="inlineStr">
        <is>
          <t>Tube Investments Of India Limited</t>
        </is>
      </c>
      <c r="C30" s="13" t="inlineStr">
        <is>
          <t>INE974X01010</t>
        </is>
      </c>
      <c r="D30" s="9" t="inlineStr">
        <is>
          <t>Auto Components</t>
        </is>
      </c>
      <c r="E30" s="14" t="n">
        <v>43680</v>
      </c>
      <c r="F30" s="15" t="n">
        <v>1372.16</v>
      </c>
      <c r="G30" s="15" t="n">
        <v>2.03</v>
      </c>
      <c r="H30" s="16" t="n"/>
    </row>
    <row r="31" ht="13" customHeight="1">
      <c r="A31" s="1" t="inlineStr">
        <is>
          <t>TMLC01</t>
        </is>
      </c>
      <c r="B31" s="12" t="inlineStr">
        <is>
          <t>Tata Motors Ltd</t>
        </is>
      </c>
      <c r="C31" s="13" t="inlineStr">
        <is>
          <t>INE1TAE01010</t>
        </is>
      </c>
      <c r="D31" s="9" t="inlineStr">
        <is>
          <t>Agricultural, Commercial &amp; Construction Vehicles</t>
        </is>
      </c>
      <c r="E31" s="14" t="n">
        <v>357500</v>
      </c>
      <c r="F31" s="15" t="n">
        <v>1356.71</v>
      </c>
      <c r="G31" s="15" t="n">
        <v>2.01</v>
      </c>
      <c r="H31" s="16" t="n"/>
    </row>
    <row r="32" ht="13" customHeight="1">
      <c r="A32" s="1" t="inlineStr">
        <is>
          <t>KEII02</t>
        </is>
      </c>
      <c r="B32" s="12" t="inlineStr">
        <is>
          <t>KEI Industries Limited</t>
        </is>
      </c>
      <c r="C32" s="13" t="inlineStr">
        <is>
          <t>INE878B01027</t>
        </is>
      </c>
      <c r="D32" s="9" t="inlineStr">
        <is>
          <t>Industrial Products</t>
        </is>
      </c>
      <c r="E32" s="14" t="n">
        <v>25573</v>
      </c>
      <c r="F32" s="15" t="n">
        <v>1347.06</v>
      </c>
      <c r="G32" s="15" t="n">
        <v>2</v>
      </c>
      <c r="H32" s="16" t="n"/>
    </row>
    <row r="33" ht="13" customHeight="1">
      <c r="A33" s="1" t="inlineStr">
        <is>
          <t>ASEA02</t>
        </is>
      </c>
      <c r="B33" s="12" t="inlineStr">
        <is>
          <t>ABB India Limited</t>
        </is>
      </c>
      <c r="C33" s="13" t="inlineStr">
        <is>
          <t>INE117A01022</t>
        </is>
      </c>
      <c r="D33" s="9" t="inlineStr">
        <is>
          <t>Electrical Equipment</t>
        </is>
      </c>
      <c r="E33" s="14" t="n">
        <v>17075</v>
      </c>
      <c r="F33" s="15" t="n">
        <v>1238.45</v>
      </c>
      <c r="G33" s="15" t="n">
        <v>1.84</v>
      </c>
      <c r="H33" s="16" t="n"/>
    </row>
    <row r="34" ht="13" customHeight="1">
      <c r="A34" s="1" t="inlineStr">
        <is>
          <t>BTUL02</t>
        </is>
      </c>
      <c r="B34" s="12" t="inlineStr">
        <is>
          <t>APL Apollo Tubes Limited</t>
        </is>
      </c>
      <c r="C34" s="13" t="inlineStr">
        <is>
          <t>INE702C01027</t>
        </is>
      </c>
      <c r="D34" s="9" t="inlineStr">
        <is>
          <t>Industrial Products</t>
        </is>
      </c>
      <c r="E34" s="14" t="n">
        <v>64670</v>
      </c>
      <c r="F34" s="15" t="n">
        <v>1184.17</v>
      </c>
      <c r="G34" s="15" t="n">
        <v>1.76</v>
      </c>
      <c r="H34" s="16" t="n"/>
    </row>
    <row r="35" ht="13" customHeight="1">
      <c r="A35" s="1" t="inlineStr">
        <is>
          <t>SOEL02</t>
        </is>
      </c>
      <c r="B35" s="12" t="inlineStr">
        <is>
          <t>Solar Industries India Limited</t>
        </is>
      </c>
      <c r="C35" s="13" t="inlineStr">
        <is>
          <t>INE343H01029</t>
        </is>
      </c>
      <c r="D35" s="9" t="inlineStr">
        <is>
          <t>Chemicals &amp; Petrochemicals</t>
        </is>
      </c>
      <c r="E35" s="14" t="n">
        <v>6469</v>
      </c>
      <c r="F35" s="15" t="n">
        <v>1180.4</v>
      </c>
      <c r="G35" s="15" t="n">
        <v>1.75</v>
      </c>
      <c r="H35" s="16" t="n"/>
    </row>
    <row r="36" ht="13" customHeight="1">
      <c r="A36" s="1" t="inlineStr">
        <is>
          <t>ALLI02</t>
        </is>
      </c>
      <c r="B36" s="12" t="inlineStr">
        <is>
          <t>GE Vernova T&amp;D India Limited</t>
        </is>
      </c>
      <c r="C36" s="13" t="inlineStr">
        <is>
          <t>INE200A01026</t>
        </is>
      </c>
      <c r="D36" s="9" t="inlineStr">
        <is>
          <t>Electrical Equipment</t>
        </is>
      </c>
      <c r="E36" s="14" t="n">
        <v>22561</v>
      </c>
      <c r="F36" s="15" t="n">
        <v>1161.58</v>
      </c>
      <c r="G36" s="15" t="n">
        <v>1.72</v>
      </c>
      <c r="H36" s="16" t="n"/>
    </row>
    <row r="37" ht="13" customHeight="1">
      <c r="A37" s="1" t="inlineStr">
        <is>
          <t>GIND02</t>
        </is>
      </c>
      <c r="B37" s="12" t="inlineStr">
        <is>
          <t>Gabriel India Limited</t>
        </is>
      </c>
      <c r="C37" s="13" t="inlineStr">
        <is>
          <t>INE524A01029</t>
        </is>
      </c>
      <c r="D37" s="9" t="inlineStr">
        <is>
          <t>Auto Components</t>
        </is>
      </c>
      <c r="E37" s="14" t="n">
        <v>99829</v>
      </c>
      <c r="F37" s="15" t="n">
        <v>1098.22</v>
      </c>
      <c r="G37" s="15" t="n">
        <v>1.63</v>
      </c>
      <c r="H37" s="16" t="n"/>
    </row>
    <row r="38" ht="13" customHeight="1">
      <c r="A38" s="1" t="inlineStr">
        <is>
          <t>FAGP02</t>
        </is>
      </c>
      <c r="B38" s="12" t="inlineStr">
        <is>
          <t>Schaeffler India Limited</t>
        </is>
      </c>
      <c r="C38" s="13" t="inlineStr">
        <is>
          <t>INE513A01022</t>
        </is>
      </c>
      <c r="D38" s="9" t="inlineStr">
        <is>
          <t>Auto Components</t>
        </is>
      </c>
      <c r="E38" s="14" t="n">
        <v>26116</v>
      </c>
      <c r="F38" s="15" t="n">
        <v>1078.25</v>
      </c>
      <c r="G38" s="15" t="n">
        <v>1.6</v>
      </c>
      <c r="H38" s="16" t="n"/>
    </row>
    <row r="39" ht="13" customHeight="1">
      <c r="A39" s="1" t="inlineStr">
        <is>
          <t>GRIN02</t>
        </is>
      </c>
      <c r="B39" s="12" t="inlineStr">
        <is>
          <t>Grindwell Norton Limited</t>
        </is>
      </c>
      <c r="C39" s="13" t="inlineStr">
        <is>
          <t>INE536A01023</t>
        </is>
      </c>
      <c r="D39" s="9" t="inlineStr">
        <is>
          <t>Industrial Products</t>
        </is>
      </c>
      <c r="E39" s="14" t="n">
        <v>58033</v>
      </c>
      <c r="F39" s="15" t="n">
        <v>1067.69</v>
      </c>
      <c r="G39" s="15" t="n">
        <v>1.58</v>
      </c>
      <c r="H39" s="16" t="n"/>
    </row>
    <row r="40" ht="13" customHeight="1">
      <c r="A40" s="1" t="inlineStr">
        <is>
          <t>ASHL02</t>
        </is>
      </c>
      <c r="B40" s="12" t="inlineStr">
        <is>
          <t>Ashok Leyland Limited ^^^</t>
        </is>
      </c>
      <c r="C40" s="13" t="inlineStr">
        <is>
          <t>INE208A01029</t>
        </is>
      </c>
      <c r="D40" s="9" t="inlineStr">
        <is>
          <t>Agricultural, Commercial &amp; Construction Vehicles</t>
        </is>
      </c>
      <c r="E40" s="14" t="n">
        <v>650039</v>
      </c>
      <c r="F40" s="15" t="n">
        <v>1010.42</v>
      </c>
      <c r="G40" s="15" t="n">
        <v>1.5</v>
      </c>
      <c r="H40" s="16" t="n"/>
    </row>
    <row r="41" ht="13" customHeight="1">
      <c r="A41" s="1" t="inlineStr">
        <is>
          <t>TOPH02</t>
        </is>
      </c>
      <c r="B41" s="12" t="inlineStr">
        <is>
          <t>Torrent Pharmaceuticals Limited</t>
        </is>
      </c>
      <c r="C41" s="13" t="inlineStr">
        <is>
          <t>INE685A01028</t>
        </is>
      </c>
      <c r="D41" s="9" t="inlineStr">
        <is>
          <t>Pharmaceuticals &amp; Biotechnology</t>
        </is>
      </c>
      <c r="E41" s="14" t="n">
        <v>22729</v>
      </c>
      <c r="F41" s="15" t="n">
        <v>1002.53</v>
      </c>
      <c r="G41" s="15" t="n">
        <v>1.49</v>
      </c>
      <c r="H41" s="16" t="n"/>
    </row>
    <row r="42" ht="13" customHeight="1">
      <c r="A42" s="1" t="inlineStr">
        <is>
          <t>TAHO01</t>
        </is>
      </c>
      <c r="B42" s="12" t="inlineStr">
        <is>
          <t>Honeywell Automation India Limited</t>
        </is>
      </c>
      <c r="C42" s="13" t="inlineStr">
        <is>
          <t>INE671A01010</t>
        </is>
      </c>
      <c r="D42" s="9" t="inlineStr">
        <is>
          <t>Industrial Manufacturing</t>
        </is>
      </c>
      <c r="E42" s="14" t="n">
        <v>2512</v>
      </c>
      <c r="F42" s="15" t="n">
        <v>892.26</v>
      </c>
      <c r="G42" s="15" t="n">
        <v>1.32</v>
      </c>
      <c r="H42" s="16" t="n"/>
    </row>
    <row r="43" ht="13" customHeight="1">
      <c r="A43" s="1" t="inlineStr">
        <is>
          <t>PGEL02</t>
        </is>
      </c>
      <c r="B43" s="12" t="inlineStr">
        <is>
          <t>PG Electroplast Limited</t>
        </is>
      </c>
      <c r="C43" s="13" t="inlineStr">
        <is>
          <t>INE457L01029</t>
        </is>
      </c>
      <c r="D43" s="9" t="inlineStr">
        <is>
          <t>Consumer Durables</t>
        </is>
      </c>
      <c r="E43" s="14" t="n">
        <v>184649</v>
      </c>
      <c r="F43" s="15" t="n">
        <v>891.02</v>
      </c>
      <c r="G43" s="15" t="n">
        <v>1.32</v>
      </c>
      <c r="H43" s="16" t="n"/>
    </row>
    <row r="44" ht="13" customHeight="1">
      <c r="A44" s="1" t="inlineStr">
        <is>
          <t>DIXO02</t>
        </is>
      </c>
      <c r="B44" s="12" t="inlineStr">
        <is>
          <t>Dixon Technologies (India) Limited</t>
        </is>
      </c>
      <c r="C44" s="13" t="inlineStr">
        <is>
          <t>INE935N01020</t>
        </is>
      </c>
      <c r="D44" s="9" t="inlineStr">
        <is>
          <t>Consumer Durables</t>
        </is>
      </c>
      <c r="E44" s="14" t="n">
        <v>7416</v>
      </c>
      <c r="F44" s="15" t="n">
        <v>854.62</v>
      </c>
      <c r="G44" s="15" t="n">
        <v>1.27</v>
      </c>
      <c r="H44" s="16" t="n"/>
    </row>
    <row r="45" ht="13" customHeight="1">
      <c r="A45" s="1" t="inlineStr">
        <is>
          <t>MOSU03</t>
        </is>
      </c>
      <c r="B45" s="12" t="inlineStr">
        <is>
          <t>Samvardhana Motherson International Limited</t>
        </is>
      </c>
      <c r="C45" s="13" t="inlineStr">
        <is>
          <t>INE775A01035</t>
        </is>
      </c>
      <c r="D45" s="9" t="inlineStr">
        <is>
          <t>Auto Components</t>
        </is>
      </c>
      <c r="E45" s="14" t="n">
        <v>551605</v>
      </c>
      <c r="F45" s="15" t="n">
        <v>803.91</v>
      </c>
      <c r="G45" s="15" t="n">
        <v>1.19</v>
      </c>
      <c r="H45" s="16" t="n"/>
    </row>
    <row r="46" ht="13" customHeight="1">
      <c r="A46" s="1" t="inlineStr">
        <is>
          <t>BLUS03</t>
        </is>
      </c>
      <c r="B46" s="12" t="inlineStr">
        <is>
          <t>Blue Star Limited</t>
        </is>
      </c>
      <c r="C46" s="13" t="inlineStr">
        <is>
          <t>INE472A01039</t>
        </is>
      </c>
      <c r="D46" s="9" t="inlineStr">
        <is>
          <t>Consumer Durables</t>
        </is>
      </c>
      <c r="E46" s="14" t="n">
        <v>48819</v>
      </c>
      <c r="F46" s="15" t="n">
        <v>775.73</v>
      </c>
      <c r="G46" s="15" t="n">
        <v>1.15</v>
      </c>
      <c r="H46" s="16" t="n"/>
    </row>
    <row r="47" ht="13" customHeight="1">
      <c r="A47" s="1" t="inlineStr">
        <is>
          <t>CEAT02</t>
        </is>
      </c>
      <c r="B47" s="12" t="inlineStr">
        <is>
          <t>CEAT Limited</t>
        </is>
      </c>
      <c r="C47" s="13" t="inlineStr">
        <is>
          <t>INE482A01020</t>
        </is>
      </c>
      <c r="D47" s="9" t="inlineStr">
        <is>
          <t>Auto Components</t>
        </is>
      </c>
      <c r="E47" s="14" t="n">
        <v>23384</v>
      </c>
      <c r="F47" s="15" t="n">
        <v>757.88</v>
      </c>
      <c r="G47" s="15" t="n">
        <v>1.12</v>
      </c>
      <c r="H47" s="16" t="n"/>
    </row>
    <row r="48" ht="13" customHeight="1">
      <c r="A48" s="1" t="inlineStr">
        <is>
          <t>TIIN01</t>
        </is>
      </c>
      <c r="B48" s="12" t="inlineStr">
        <is>
          <t>Timken India Limited</t>
        </is>
      </c>
      <c r="C48" s="13" t="inlineStr">
        <is>
          <t>INE325A01013</t>
        </is>
      </c>
      <c r="D48" s="9" t="inlineStr">
        <is>
          <t>Industrial Products</t>
        </is>
      </c>
      <c r="E48" s="14" t="n">
        <v>19188</v>
      </c>
      <c r="F48" s="15" t="n">
        <v>696.6</v>
      </c>
      <c r="G48" s="15" t="n">
        <v>1.03</v>
      </c>
      <c r="H48" s="16" t="n"/>
    </row>
    <row r="49" ht="13" customHeight="1">
      <c r="A49" s="1" t="inlineStr">
        <is>
          <t>AENP01</t>
        </is>
      </c>
      <c r="B49" s="12" t="inlineStr">
        <is>
          <t>Ather Energy Limited</t>
        </is>
      </c>
      <c r="C49" s="13" t="inlineStr">
        <is>
          <t>INE0LEZ01016</t>
        </is>
      </c>
      <c r="D49" s="9" t="inlineStr">
        <is>
          <t>Automobiles</t>
        </is>
      </c>
      <c r="E49" s="14" t="n">
        <v>71179</v>
      </c>
      <c r="F49" s="15" t="n">
        <v>686.24</v>
      </c>
      <c r="G49" s="15" t="n">
        <v>1.02</v>
      </c>
      <c r="H49" s="16" t="n"/>
    </row>
    <row r="50" ht="13" customHeight="1">
      <c r="A50" s="1" t="inlineStr">
        <is>
          <t>INCA01</t>
        </is>
      </c>
      <c r="B50" s="12" t="inlineStr">
        <is>
          <t>Innova Captab Limited</t>
        </is>
      </c>
      <c r="C50" s="13" t="inlineStr">
        <is>
          <t>INE0DUT01020</t>
        </is>
      </c>
      <c r="D50" s="9" t="inlineStr">
        <is>
          <t>Pharmaceuticals &amp; Biotechnology</t>
        </is>
      </c>
      <c r="E50" s="14" t="n">
        <v>79883</v>
      </c>
      <c r="F50" s="15" t="n">
        <v>679.33</v>
      </c>
      <c r="G50" s="15" t="n">
        <v>1.01</v>
      </c>
      <c r="H50" s="16" t="n"/>
    </row>
    <row r="51" ht="13" customHeight="1">
      <c r="A51" s="1" t="inlineStr">
        <is>
          <t>DOMS01</t>
        </is>
      </c>
      <c r="B51" s="12" t="inlineStr">
        <is>
          <t>Doms Industries Limited</t>
        </is>
      </c>
      <c r="C51" s="13" t="inlineStr">
        <is>
          <t>INE321T01012</t>
        </is>
      </c>
      <c r="D51" s="9" t="inlineStr">
        <is>
          <t>Household Products</t>
        </is>
      </c>
      <c r="E51" s="14" t="n">
        <v>30210</v>
      </c>
      <c r="F51" s="15" t="n">
        <v>660.12</v>
      </c>
      <c r="G51" s="15" t="n">
        <v>0.98</v>
      </c>
      <c r="H51" s="16" t="n"/>
    </row>
    <row r="52" ht="13" customHeight="1">
      <c r="A52" s="1" t="inlineStr">
        <is>
          <t>BIKA02</t>
        </is>
      </c>
      <c r="B52" s="12" t="inlineStr">
        <is>
          <t>Bikaji Foods International Limited</t>
        </is>
      </c>
      <c r="C52" s="13" t="inlineStr">
        <is>
          <t>INE00E101023</t>
        </is>
      </c>
      <c r="D52" s="9" t="inlineStr">
        <is>
          <t>Food Products</t>
        </is>
      </c>
      <c r="E52" s="14" t="n">
        <v>100039</v>
      </c>
      <c r="F52" s="15" t="n">
        <v>650.3</v>
      </c>
      <c r="G52" s="15" t="n">
        <v>0.96</v>
      </c>
      <c r="H52" s="16" t="n"/>
    </row>
    <row r="53" ht="13" customHeight="1">
      <c r="A53" s="1" t="inlineStr">
        <is>
          <t>SAFI02</t>
        </is>
      </c>
      <c r="B53" s="12" t="inlineStr">
        <is>
          <t>Safari Industries (India) Limited</t>
        </is>
      </c>
      <c r="C53" s="13" t="inlineStr">
        <is>
          <t>INE429E01023</t>
        </is>
      </c>
      <c r="D53" s="9" t="inlineStr">
        <is>
          <t>Consumer Durables</t>
        </is>
      </c>
      <c r="E53" s="14" t="n">
        <v>40629</v>
      </c>
      <c r="F53" s="15" t="n">
        <v>610.9400000000001</v>
      </c>
      <c r="G53" s="15" t="n">
        <v>0.91</v>
      </c>
      <c r="H53" s="16" t="n"/>
    </row>
    <row r="54" ht="13" customHeight="1">
      <c r="A54" s="1" t="inlineStr">
        <is>
          <t>SUPI02</t>
        </is>
      </c>
      <c r="B54" s="12" t="inlineStr">
        <is>
          <t>Supreme Industries Limited</t>
        </is>
      </c>
      <c r="C54" s="13" t="inlineStr">
        <is>
          <t>INE195A01028</t>
        </is>
      </c>
      <c r="D54" s="9" t="inlineStr">
        <is>
          <t>Industrial Products</t>
        </is>
      </c>
      <c r="E54" s="14" t="n">
        <v>16021</v>
      </c>
      <c r="F54" s="15" t="n">
        <v>568.59</v>
      </c>
      <c r="G54" s="15" t="n">
        <v>0.84</v>
      </c>
      <c r="H54" s="16" t="n"/>
    </row>
    <row r="55" ht="13" customHeight="1">
      <c r="A55" s="1" t="inlineStr">
        <is>
          <t>AETH01</t>
        </is>
      </c>
      <c r="B55" s="12" t="inlineStr">
        <is>
          <t>Aether Industries Limited</t>
        </is>
      </c>
      <c r="C55" s="13" t="inlineStr">
        <is>
          <t>INE0BWX01014</t>
        </is>
      </c>
      <c r="D55" s="9" t="inlineStr">
        <is>
          <t>Chemicals &amp; Petrochemicals</t>
        </is>
      </c>
      <c r="E55" s="14" t="n">
        <v>49027</v>
      </c>
      <c r="F55" s="15" t="n">
        <v>538.3200000000001</v>
      </c>
      <c r="G55" s="15" t="n">
        <v>0.8</v>
      </c>
      <c r="H55" s="16" t="n"/>
    </row>
    <row r="56" ht="13" customHeight="1">
      <c r="A56" s="3" t="n"/>
      <c r="B56" s="8" t="inlineStr">
        <is>
          <t>Sub Total</t>
        </is>
      </c>
      <c r="C56" s="9" t="n"/>
      <c r="D56" s="9" t="n"/>
      <c r="E56" s="9" t="n"/>
      <c r="F56" s="17">
        <f>SUM(F8:F55)</f>
        <v/>
      </c>
      <c r="G56" s="17">
        <f>SUM(G8:G55)</f>
        <v/>
      </c>
      <c r="H56" s="18" t="n"/>
    </row>
    <row r="57" ht="13" customHeight="1">
      <c r="A57" s="3" t="n"/>
      <c r="B57" s="19" t="inlineStr">
        <is>
          <t>(b) Unlisted</t>
        </is>
      </c>
      <c r="C57" s="20" t="n"/>
      <c r="D57" s="20" t="n"/>
      <c r="E57" s="21" t="n"/>
      <c r="F57" s="22" t="inlineStr">
        <is>
          <t>Nil</t>
        </is>
      </c>
      <c r="G57" s="22" t="inlineStr">
        <is>
          <t>Nil</t>
        </is>
      </c>
      <c r="H57" s="23" t="inlineStr">
        <is>
          <t>Nil</t>
        </is>
      </c>
    </row>
    <row r="58" ht="13" customHeight="1">
      <c r="A58" s="3" t="n"/>
      <c r="B58" s="24" t="inlineStr">
        <is>
          <t>Sub Total</t>
        </is>
      </c>
      <c r="C58" s="25" t="n"/>
      <c r="D58" s="25" t="n"/>
      <c r="E58" s="22" t="n"/>
      <c r="F58" s="22" t="inlineStr">
        <is>
          <t>Nil</t>
        </is>
      </c>
      <c r="G58" s="22" t="inlineStr">
        <is>
          <t>Nil</t>
        </is>
      </c>
      <c r="H58" s="23" t="inlineStr">
        <is>
          <t>Nil</t>
        </is>
      </c>
    </row>
    <row r="59" ht="13" customHeight="1">
      <c r="A59" s="3" t="n"/>
      <c r="B59" s="19" t="inlineStr">
        <is>
          <t>Total</t>
        </is>
      </c>
      <c r="C59" s="20" t="n"/>
      <c r="D59" s="20" t="n"/>
      <c r="E59" s="26" t="n"/>
      <c r="F59" s="17" t="n">
        <v>66436.80000000002</v>
      </c>
      <c r="G59" s="17" t="n">
        <v>98.51999999999997</v>
      </c>
      <c r="H59" s="23" t="n"/>
    </row>
    <row r="60" ht="13" customHeight="1">
      <c r="A60" s="3" t="n"/>
      <c r="B60" s="8" t="inlineStr">
        <is>
          <t>Money Market Instruments</t>
        </is>
      </c>
      <c r="C60" s="9" t="n"/>
      <c r="D60" s="9" t="n"/>
      <c r="E60" s="9" t="n"/>
      <c r="F60" s="9" t="n"/>
      <c r="G60" s="9" t="n"/>
      <c r="H60" s="10" t="n"/>
    </row>
    <row r="61" ht="13" customHeight="1">
      <c r="A61" s="3" t="n"/>
      <c r="B61" s="8" t="inlineStr">
        <is>
          <t>TREPS / Reverse Repo</t>
        </is>
      </c>
      <c r="C61" s="11" t="n"/>
      <c r="D61" s="11" t="n"/>
      <c r="E61" s="9" t="n"/>
      <c r="F61" s="9" t="n"/>
      <c r="G61" s="9" t="n"/>
      <c r="H61" s="10" t="n"/>
    </row>
    <row r="62" ht="13" customHeight="1">
      <c r="A62" s="1" t="inlineStr">
        <is>
          <t>TRP_010626</t>
        </is>
      </c>
      <c r="B62" s="12" t="inlineStr">
        <is>
          <t>Triparty Repo</t>
        </is>
      </c>
      <c r="C62" s="13" t="n"/>
      <c r="D62" s="9" t="n"/>
      <c r="E62" s="14" t="n"/>
      <c r="F62" s="15" t="n">
        <v>1119</v>
      </c>
      <c r="G62" s="15" t="n">
        <v>1.66</v>
      </c>
      <c r="H62" s="16" t="n">
        <v>0.05339235695</v>
      </c>
    </row>
    <row r="63" ht="13" customHeight="1">
      <c r="A63" s="3" t="n"/>
      <c r="B63" s="8" t="inlineStr">
        <is>
          <t>Sub Total</t>
        </is>
      </c>
      <c r="C63" s="9" t="n"/>
      <c r="D63" s="9" t="n"/>
      <c r="E63" s="9" t="n"/>
      <c r="F63" s="17" t="n">
        <v>1119</v>
      </c>
      <c r="G63" s="17" t="n">
        <v>1.66</v>
      </c>
      <c r="H63" s="18" t="n"/>
    </row>
    <row r="64" ht="13" customHeight="1">
      <c r="A64" s="3" t="n"/>
      <c r="B64" s="19" t="inlineStr">
        <is>
          <t>Total</t>
        </is>
      </c>
      <c r="C64" s="20" t="n"/>
      <c r="D64" s="20" t="n"/>
      <c r="E64" s="26" t="n"/>
      <c r="F64" s="17" t="n">
        <v>1119</v>
      </c>
      <c r="G64" s="17" t="n">
        <v>1.66</v>
      </c>
      <c r="H64" s="23" t="n"/>
    </row>
    <row r="65" ht="13" customHeight="1">
      <c r="B65" s="8" t="inlineStr">
        <is>
          <t>Preference Shares</t>
        </is>
      </c>
      <c r="C65" s="9" t="n"/>
      <c r="D65" s="9" t="n"/>
      <c r="E65" s="9" t="n"/>
      <c r="F65" s="27" t="n"/>
      <c r="G65" s="28" t="n"/>
      <c r="H65" s="18" t="n"/>
    </row>
    <row r="66" ht="13" customHeight="1">
      <c r="A66" s="1" t="inlineStr">
        <is>
          <t>SAEL21PS</t>
        </is>
      </c>
      <c r="B66" s="12" t="inlineStr">
        <is>
          <t>TVS Motor Company Limited ^^</t>
        </is>
      </c>
      <c r="C66" s="13" t="inlineStr">
        <is>
          <t>INE494B04019</t>
        </is>
      </c>
      <c r="D66" s="9" t="inlineStr">
        <is>
          <t>Automobiles</t>
        </is>
      </c>
      <c r="E66" s="14" t="n">
        <v>404384</v>
      </c>
      <c r="F66" s="15" t="n">
        <v>41.85</v>
      </c>
      <c r="G66" s="15" t="n">
        <v>0.06</v>
      </c>
      <c r="H66" s="16" t="n"/>
    </row>
    <row r="67" ht="13" customHeight="1">
      <c r="A67" s="3" t="n"/>
      <c r="B67" s="8" t="inlineStr">
        <is>
          <t>Sub Total</t>
        </is>
      </c>
      <c r="C67" s="9" t="n"/>
      <c r="D67" s="9" t="n"/>
      <c r="E67" s="9" t="n"/>
      <c r="F67" s="17">
        <f>F66</f>
        <v/>
      </c>
      <c r="G67" s="17">
        <f>G66</f>
        <v/>
      </c>
      <c r="H67" s="18" t="n"/>
    </row>
    <row r="68" ht="13" customHeight="1">
      <c r="A68" s="29" t="n"/>
      <c r="B68" s="19" t="inlineStr">
        <is>
          <t>Total</t>
        </is>
      </c>
      <c r="C68" s="20" t="n"/>
      <c r="D68" s="20" t="n"/>
      <c r="E68" s="26" t="n"/>
      <c r="F68" s="17">
        <f>F67</f>
        <v/>
      </c>
      <c r="G68" s="17">
        <f>G67</f>
        <v/>
      </c>
      <c r="H68" s="23" t="n"/>
    </row>
    <row r="69" ht="13" customHeight="1">
      <c r="A69" s="3" t="n"/>
      <c r="B69" s="19" t="inlineStr">
        <is>
          <t>Net Receivables / (Payables)</t>
        </is>
      </c>
      <c r="C69" s="20" t="n"/>
      <c r="D69" s="20" t="n"/>
      <c r="E69" s="9" t="n"/>
      <c r="F69" s="17" t="n">
        <v>-155.75</v>
      </c>
      <c r="G69" s="17" t="n">
        <v>-0.24</v>
      </c>
      <c r="H69" s="23" t="n"/>
    </row>
    <row r="70" ht="13" customHeight="1">
      <c r="A70" s="3" t="n"/>
      <c r="B70" s="30" t="inlineStr">
        <is>
          <t>GRAND TOTAL</t>
        </is>
      </c>
      <c r="C70" s="31" t="n"/>
      <c r="D70" s="31" t="n"/>
      <c r="E70" s="31" t="n"/>
      <c r="F70" s="32" t="n">
        <v>67441.89999999999</v>
      </c>
      <c r="G70" s="33" t="n">
        <v>100</v>
      </c>
      <c r="H70" s="34" t="n"/>
    </row>
    <row r="71" ht="13" customHeight="1">
      <c r="A71" s="3" t="n"/>
      <c r="B71" s="35" t="n"/>
      <c r="F71" s="3" t="n"/>
      <c r="G71" s="3" t="n"/>
      <c r="H71" s="3" t="n"/>
    </row>
    <row r="72" ht="13" customHeight="1">
      <c r="A72" s="3" t="n"/>
      <c r="B72" s="35" t="inlineStr">
        <is>
          <t>YTM - Yield To Maturity</t>
        </is>
      </c>
      <c r="F72" s="3" t="n"/>
      <c r="G72" s="3" t="n"/>
      <c r="H72" s="3" t="n"/>
    </row>
    <row r="73" ht="13" customHeight="1">
      <c r="A73" s="3" t="n"/>
      <c r="B73" s="35" t="inlineStr">
        <is>
          <t>*  Industry Classification is as recommended by AMFI</t>
        </is>
      </c>
      <c r="F73" s="36" t="n"/>
      <c r="G73" s="36" t="n"/>
      <c r="H73" s="3" t="n"/>
    </row>
    <row r="74" ht="13" customHeight="1">
      <c r="A74" s="3" t="n"/>
      <c r="B74" s="35" t="inlineStr">
        <is>
          <t>^^^ Associate Company / Group co.</t>
        </is>
      </c>
      <c r="F74" s="3" t="n"/>
      <c r="G74" s="3" t="n"/>
      <c r="H74" s="3" t="n"/>
    </row>
    <row r="75" ht="13" customHeight="1">
      <c r="A75" s="3" t="n"/>
      <c r="B75" s="35" t="inlineStr">
        <is>
          <t>^^ Awaiting listing</t>
        </is>
      </c>
      <c r="F75" s="3" t="n"/>
      <c r="G75" s="3" t="n"/>
      <c r="H75" s="3" t="n"/>
    </row>
    <row r="76" ht="13" customHeight="1">
      <c r="A76" s="3" t="n"/>
      <c r="B76" s="35" t="n"/>
      <c r="C76" s="35" t="n"/>
      <c r="D76" s="35" t="n"/>
      <c r="E76" s="35" t="n"/>
      <c r="F76" s="3" t="n"/>
      <c r="G76" s="3" t="n"/>
      <c r="H76" s="3" t="n"/>
    </row>
    <row r="77">
      <c r="B77" t="inlineStr">
        <is>
          <t>Notes :</t>
        </is>
      </c>
    </row>
    <row r="78">
      <c r="B78" t="inlineStr">
        <is>
          <t>(1)  Details of security in default beyond it's maturity date: Nil</t>
        </is>
      </c>
    </row>
    <row r="79">
      <c r="B79" t="inlineStr">
        <is>
          <t>(2)  Total Value and percentage of illiquid equity shares: Nil</t>
        </is>
      </c>
    </row>
    <row r="80">
      <c r="B80" t="inlineStr">
        <is>
          <t>(3)  Net Assets Value per unit (in `) are as follows:</t>
        </is>
      </c>
    </row>
    <row r="81">
      <c r="B81" t="inlineStr">
        <is>
          <t xml:space="preserve">       Plan / Option</t>
        </is>
      </c>
      <c r="C81" t="inlineStr">
        <is>
          <t>As on May 31, 2026</t>
        </is>
      </c>
      <c r="D81" t="inlineStr">
        <is>
          <t>As on April 30, 2026</t>
        </is>
      </c>
    </row>
    <row r="82">
      <c r="B82" t="inlineStr">
        <is>
          <t xml:space="preserve">       Growth Option</t>
        </is>
      </c>
      <c r="C82" s="37" t="n">
        <v>10.61</v>
      </c>
      <c r="D82" s="37" t="n">
        <v>10.22</v>
      </c>
    </row>
    <row r="83">
      <c r="B83" t="inlineStr">
        <is>
          <t xml:space="preserve">       IDCW Option</t>
        </is>
      </c>
      <c r="C83" s="37" t="n">
        <v>10.62</v>
      </c>
      <c r="D83" s="37" t="n">
        <v>10.23</v>
      </c>
    </row>
    <row r="84">
      <c r="B84" t="inlineStr">
        <is>
          <t xml:space="preserve">       Direct Plan - Growth Option</t>
        </is>
      </c>
      <c r="C84" s="37" t="n">
        <v>10.91</v>
      </c>
      <c r="D84" s="37" t="n">
        <v>10.5</v>
      </c>
    </row>
    <row r="85">
      <c r="B85" t="inlineStr">
        <is>
          <t xml:space="preserve">       Direct Plan - IDCW Option</t>
        </is>
      </c>
      <c r="C85" s="37" t="n">
        <v>10.91</v>
      </c>
      <c r="D85" s="37" t="n">
        <v>10.5</v>
      </c>
    </row>
    <row r="86">
      <c r="B86" t="inlineStr"/>
    </row>
    <row r="87">
      <c r="B87" t="inlineStr">
        <is>
          <t>(4)  IDCW /  Bonus declared during the month ended May 31, 2026: Nil</t>
        </is>
      </c>
    </row>
    <row r="88">
      <c r="B88" t="inlineStr">
        <is>
          <t>(5)  Total outstanding exposure in derivative instruments As on May 31, 2026: Nil</t>
        </is>
      </c>
    </row>
    <row r="89">
      <c r="B89" t="inlineStr">
        <is>
          <t>(6)  Total investments in Foreign Securities / American Depository Receipts / Global Depository Receipts / Overseas ETFs As on May 31, 2026 and its percentage to NAV : Nil</t>
        </is>
      </c>
    </row>
    <row r="90">
      <c r="B90" t="inlineStr">
        <is>
          <t>(7)  During the period, the portfolio turnover ratio was 0.55 times. ¥</t>
        </is>
      </c>
    </row>
    <row r="91">
      <c r="B91" t="inlineStr">
        <is>
          <t>(8)  Investment in Repo of Corporate Debt securities : Nil</t>
        </is>
      </c>
    </row>
    <row r="92">
      <c r="B92" t="inlineStr">
        <is>
          <t>(9)  Deviation from the valuation prices given by valuation agencies during the month ended May 31, 2026: Nil</t>
        </is>
      </c>
    </row>
    <row r="93"/>
    <row r="94">
      <c r="B94" t="inlineStr">
        <is>
          <t>¥ Portfolio Turnover Ratio: Lower of purchases or sales of securities during the year ended May 31, 2026 / average net assets during the year ended May 31, 2026.</t>
        </is>
      </c>
    </row>
    <row r="95">
      <c r="B95" t="inlineStr">
        <is>
          <t>The Face value per unit is ` 10.</t>
        </is>
      </c>
    </row>
    <row r="96">
      <c r="B96" t="inlineStr">
        <is>
          <t>In line with SEBI clarification, NAV as on May 29, 2026 were disclosed, due to non-business day on 30th &amp; 31st May</t>
        </is>
      </c>
    </row>
    <row r="97">
      <c r="F97" s="38" t="inlineStr">
        <is>
          <t>BENCHMARK NAME - NIFTY INDIA MANUFACTURING TRI</t>
        </is>
      </c>
    </row>
    <row r="98">
      <c r="B98" s="38" t="inlineStr">
        <is>
          <t>SCHEME RISK-O-METER</t>
        </is>
      </c>
      <c r="F98" s="38" t="inlineStr">
        <is>
          <t>BENCHMARK RISK-O-METER</t>
        </is>
      </c>
    </row>
  </sheetData>
  <mergeCells count="9">
    <mergeCell ref="B71:E71"/>
    <mergeCell ref="B1:H1"/>
    <mergeCell ref="B75:E75"/>
    <mergeCell ref="B73:E73"/>
    <mergeCell ref="B74:E74"/>
    <mergeCell ref="B4:H4"/>
    <mergeCell ref="B72:E72"/>
    <mergeCell ref="B2:H2"/>
    <mergeCell ref="B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9" t="inlineStr">
        <is>
          <t>Scheme Name: Invesco India Manufacturing Fund (An open ended equity scheme following manufacturing theme)</t>
        </is>
      </c>
      <c r="D1" s="40" t="n"/>
      <c r="E1" s="41" t="n"/>
      <c r="F1" s="42" t="n"/>
    </row>
    <row r="2" ht="13" customHeight="1">
      <c r="A2" s="41" t="n"/>
      <c r="B2" s="42" t="n"/>
      <c r="C2" s="42" t="n"/>
      <c r="D2" s="42" t="n"/>
      <c r="E2" s="41" t="n"/>
      <c r="F2" s="42" t="n"/>
    </row>
    <row r="3" ht="13" customHeight="1">
      <c r="A3" s="43" t="inlineStr">
        <is>
          <t>Top 10 holdings by issuer</t>
        </is>
      </c>
      <c r="B3" s="44" t="n"/>
      <c r="C3" s="42" t="n"/>
      <c r="D3" s="42" t="n"/>
      <c r="E3" s="43" t="inlineStr">
        <is>
          <t>Fund allocation towards various sectors</t>
        </is>
      </c>
      <c r="F3" s="44" t="n"/>
    </row>
    <row r="4" ht="13" customHeight="1">
      <c r="A4" s="43" t="inlineStr">
        <is>
          <t>Issuer Name</t>
        </is>
      </c>
      <c r="B4" s="43" t="inlineStr">
        <is>
          <t>% to Net Assets</t>
        </is>
      </c>
      <c r="C4" s="42" t="n"/>
      <c r="D4" s="42" t="n"/>
      <c r="E4" s="43" t="inlineStr">
        <is>
          <t>Sectors</t>
        </is>
      </c>
      <c r="F4" s="43" t="inlineStr">
        <is>
          <t>% Exposure</t>
        </is>
      </c>
    </row>
    <row r="5" ht="13" customHeight="1">
      <c r="A5" s="45" t="inlineStr">
        <is>
          <t>Mahindra &amp; Mahindra Limited</t>
        </is>
      </c>
      <c r="B5" s="46" t="n">
        <v>0.0615</v>
      </c>
      <c r="C5" s="42" t="n"/>
      <c r="D5" s="42" t="n"/>
      <c r="E5" s="45" t="inlineStr">
        <is>
          <t>Capital Goods</t>
        </is>
      </c>
      <c r="F5" s="46" t="n">
        <v>0.3636</v>
      </c>
    </row>
    <row r="6" ht="13" customHeight="1">
      <c r="A6" s="45" t="inlineStr">
        <is>
          <t>Polycab India Limited</t>
        </is>
      </c>
      <c r="B6" s="46" t="n">
        <v>0.0366</v>
      </c>
      <c r="C6" s="42" t="n"/>
      <c r="D6" s="42" t="n"/>
      <c r="E6" s="45" t="inlineStr">
        <is>
          <t>Automobile and Auto Components</t>
        </is>
      </c>
      <c r="F6" s="46" t="n">
        <v>0.2841</v>
      </c>
    </row>
    <row r="7" ht="13" customHeight="1">
      <c r="A7" s="45" t="inlineStr">
        <is>
          <t>Bharat Electronics Limited</t>
        </is>
      </c>
      <c r="B7" s="46" t="n">
        <v>0.0352</v>
      </c>
      <c r="C7" s="42" t="n"/>
      <c r="D7" s="42" t="n"/>
      <c r="E7" s="45" t="inlineStr">
        <is>
          <t>Healthcare</t>
        </is>
      </c>
      <c r="F7" s="46" t="n">
        <v>0.1379</v>
      </c>
    </row>
    <row r="8" ht="13" customHeight="1">
      <c r="A8" s="45" t="inlineStr">
        <is>
          <t>Divi's Laboratories Limited</t>
        </is>
      </c>
      <c r="B8" s="46" t="n">
        <v>0.0346</v>
      </c>
      <c r="C8" s="42" t="n"/>
      <c r="D8" s="42" t="n"/>
      <c r="E8" s="45" t="inlineStr">
        <is>
          <t>Consumer Durables</t>
        </is>
      </c>
      <c r="F8" s="46" t="n">
        <v>0.0767</v>
      </c>
    </row>
    <row r="9" ht="13" customHeight="1">
      <c r="A9" s="45" t="inlineStr">
        <is>
          <t>Amber Enterprises India Limited</t>
        </is>
      </c>
      <c r="B9" s="46" t="n">
        <v>0.0302</v>
      </c>
      <c r="C9" s="42" t="n"/>
      <c r="D9" s="42" t="n"/>
      <c r="E9" s="45" t="inlineStr">
        <is>
          <t>Construction Materials</t>
        </is>
      </c>
      <c r="F9" s="46" t="n">
        <v>0.051</v>
      </c>
    </row>
    <row r="10" ht="13" customHeight="1">
      <c r="A10" s="45" t="inlineStr">
        <is>
          <t>Sedemac Mechatronics Limited</t>
        </is>
      </c>
      <c r="B10" s="46" t="n">
        <v>0.0302</v>
      </c>
      <c r="C10" s="42" t="n"/>
      <c r="D10" s="42" t="n"/>
      <c r="E10" s="45" t="inlineStr">
        <is>
          <t>Metals &amp; Mining</t>
        </is>
      </c>
      <c r="F10" s="46" t="n">
        <v>0.0269</v>
      </c>
    </row>
    <row r="11" ht="13" customHeight="1">
      <c r="A11" s="45" t="inlineStr">
        <is>
          <t>Cipla Limited</t>
        </is>
      </c>
      <c r="B11" s="46" t="n">
        <v>0.0288</v>
      </c>
      <c r="C11" s="42" t="n"/>
      <c r="D11" s="42" t="n"/>
      <c r="E11" s="45" t="inlineStr">
        <is>
          <t>Chemicals</t>
        </is>
      </c>
      <c r="F11" s="46" t="n">
        <v>0.0255</v>
      </c>
    </row>
    <row r="12" ht="13" customHeight="1">
      <c r="A12" s="45" t="inlineStr">
        <is>
          <t>Eicher Motors Limited</t>
        </is>
      </c>
      <c r="B12" s="46" t="n">
        <v>0.0288</v>
      </c>
      <c r="C12" s="42" t="n"/>
      <c r="D12" s="42" t="n"/>
      <c r="E12" s="45" t="inlineStr">
        <is>
          <t>Fast Moving Consumer Goods</t>
        </is>
      </c>
      <c r="F12" s="46" t="n">
        <v>0.0194</v>
      </c>
    </row>
    <row r="13" ht="13" customHeight="1">
      <c r="A13" s="45" t="inlineStr">
        <is>
          <t>Hindalco Industries Limited</t>
        </is>
      </c>
      <c r="B13" s="46" t="n">
        <v>0.0269</v>
      </c>
      <c r="C13" s="42" t="n"/>
      <c r="D13" s="42" t="n"/>
      <c r="E13" s="45" t="inlineStr">
        <is>
          <t>Others</t>
        </is>
      </c>
      <c r="F13" s="46" t="n">
        <v>0.0166</v>
      </c>
    </row>
    <row r="14" ht="13" customHeight="1">
      <c r="A14" s="45" t="inlineStr">
        <is>
          <t>Tenneco Clean Air India Limited</t>
        </is>
      </c>
      <c r="B14" s="46" t="n">
        <v>0.0267</v>
      </c>
      <c r="C14" s="42" t="n"/>
      <c r="D14" s="42" t="n"/>
      <c r="E14" s="45" t="inlineStr">
        <is>
          <t>Cash &amp; Cash Equivalent:</t>
        </is>
      </c>
      <c r="F14" s="46" t="n">
        <v>-0.0017</v>
      </c>
    </row>
    <row r="15" ht="13" customHeight="1">
      <c r="A15" s="42" t="n"/>
      <c r="B15" s="42" t="n"/>
      <c r="C15" s="42" t="n"/>
      <c r="D15" s="42" t="n"/>
      <c r="E15" s="43" t="inlineStr">
        <is>
          <t>Grand Total</t>
        </is>
      </c>
      <c r="F15" s="47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2026-06-10T05:27:40Z</dcterms:created>
  <dcterms:modified xsi:type="dcterms:W3CDTF">2026-06-10T05:27:40Z</dcterms:modified>
</cp:coreProperties>
</file>