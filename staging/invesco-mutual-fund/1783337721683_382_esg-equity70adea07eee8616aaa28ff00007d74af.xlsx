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C231A7EF-6CBF-4E31-93DF-7D7B23C2E284}" xr6:coauthVersionLast="46" xr6:coauthVersionMax="46" xr10:uidLastSave="{00000000-0000-0000-0000-000000000000}"/>
  <bookViews>
    <workbookView xWindow="1520" yWindow="1520" windowWidth="14400" windowHeight="7360" xr2:uid="{151041AF-78C7-4E23-8C81-69CC1F42D310}"/>
  </bookViews>
  <sheets>
    <sheet name="ESG Equity" sheetId="1" r:id="rId1"/>
    <sheet name="IESGEF" sheetId="2" r:id="rId2"/>
  </sheets>
  <externalReferences>
    <externalReference r:id="rId3"/>
    <externalReference r:id="rId4"/>
  </externalReferences>
  <definedNames>
    <definedName name="JR_PAGE_ANCHOR_0_1">[1]IEBF!$A$1</definedName>
    <definedName name="JR_PAGE_ANCHOR_0_2">[2]IESF!$A$1</definedName>
    <definedName name="JR_PAGE_ANCHOR_0_3" localSheetId="1">IESGEF!$A$1</definedName>
    <definedName name="JR_PAGE_ANCHOR_0_3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<sst xmlns="http://schemas.openxmlformats.org/spreadsheetml/2006/main" count="227" uniqueCount="188">
  <si>
    <t>IESGEF</t>
  </si>
  <si>
    <t>INVESCO MUTUAL FUND</t>
  </si>
  <si>
    <t>Monthly Portfolio Statement as on September 30, 2021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</si>
  <si>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</si>
  <si>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</si>
  <si>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</si>
  <si>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</si>
  <si>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</si>
  <si>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</si>
  <si>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</si>
  <si>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</si>
  <si>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</si>
  <si>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</si>
  <si>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</si>
  <si>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</si>
  <si>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</si>
  <si>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</si>
  <si>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</si>
  <si>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</si>
  <si>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</si>
  <si>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</si>
  <si>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</si>
  <si>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</si>
  <si>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</si>
  <si>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IBCL05</t>
  </si>
  <si>
    <t>ICICI Bank Limited</t>
  </si>
  <si>
    <t>INE090A01021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</si>
  <si>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</si>
  <si>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</si>
  <si>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</si>
  <si>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</si>
  <si>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</si>
  <si>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</si>
  <si>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</si>
  <si>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TAHO01</t>
  </si>
  <si>
    <t>Honeywell Automation India Limited</t>
  </si>
  <si>
    <t>INE671A01010</t>
  </si>
  <si>
    <t>Industrial Capital Goods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</si>
  <si>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</si>
  <si>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</si>
  <si>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</si>
  <si>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</si>
  <si>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</si>
  <si>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</si>
  <si>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</si>
  <si>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</si>
  <si>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DIVI02</t>
  </si>
  <si>
    <t>Divi's Laboratories Limited</t>
  </si>
  <si>
    <t>INE361B01024</t>
  </si>
  <si>
    <t>Pharmaceuticals</t>
  </si>
  <si>
    <t>LTIL01</t>
  </si>
  <si>
    <t>Larsen &amp; Toubro Infotech Limited</t>
  </si>
  <si>
    <t>INE214T01019</t>
  </si>
  <si>
    <t>LTTS01</t>
  </si>
  <si>
    <t>L&amp;T Technology Services Limited</t>
  </si>
  <si>
    <t>INE010V01017</t>
  </si>
  <si>
    <t>KEII02</t>
  </si>
  <si>
    <t>KEI Industries Limited</t>
  </si>
  <si>
    <t>INE878B01027</t>
  </si>
  <si>
    <t>Industrial Products</t>
  </si>
  <si>
    <t>HDAM01</t>
  </si>
  <si>
    <t>HDFC Asset Management Company Limited</t>
  </si>
  <si>
    <t>INE127D01025</t>
  </si>
  <si>
    <t>Capital Markets</t>
  </si>
  <si>
    <t>IRCT01</t>
  </si>
  <si>
    <t>Indian Railway Catering And Tourism Corporation Limited</t>
  </si>
  <si>
    <t>INE335Y01012</t>
  </si>
  <si>
    <t>Transportation</t>
  </si>
  <si>
    <t>BAND01</t>
  </si>
  <si>
    <t>Bandhan Bank Limited</t>
  </si>
  <si>
    <t>INE545U01014</t>
  </si>
  <si>
    <t>BTVL02</t>
  </si>
  <si>
    <t>Bharti Airtel Limited</t>
  </si>
  <si>
    <t>INE397D01024</t>
  </si>
  <si>
    <t>Telecom - Services</t>
  </si>
  <si>
    <t>GLAN02</t>
  </si>
  <si>
    <t>Gland Pharma Limited</t>
  </si>
  <si>
    <t>INE068V01023</t>
  </si>
  <si>
    <t>KELV01</t>
  </si>
  <si>
    <t>Whirlpool of India Limited</t>
  </si>
  <si>
    <t>INE716A01013</t>
  </si>
  <si>
    <t>BFLS01</t>
  </si>
  <si>
    <t>MphasiS Limited</t>
  </si>
  <si>
    <t>INE356A01018</t>
  </si>
  <si>
    <t>MOSU03</t>
  </si>
  <si>
    <t>Motherson Sumi Systems Limited</t>
  </si>
  <si>
    <t>INE775A01035</t>
  </si>
  <si>
    <t>Auto Ancillaries</t>
  </si>
  <si>
    <t>MTAR01</t>
  </si>
  <si>
    <t>MTAR Technologies Limited</t>
  </si>
  <si>
    <t>INE864I01014</t>
  </si>
  <si>
    <t>Aerospace &amp; Defense</t>
  </si>
  <si>
    <t>VMAR01</t>
  </si>
  <si>
    <t>V-Mart Retail Limited</t>
  </si>
  <si>
    <t>INE665J01013</t>
  </si>
  <si>
    <t>IGAS02</t>
  </si>
  <si>
    <t>Indraprastha Gas Limited</t>
  </si>
  <si>
    <t>INE203G01027</t>
  </si>
  <si>
    <t>Gas</t>
  </si>
  <si>
    <t>SUFA02</t>
  </si>
  <si>
    <t>Sundram Fasteners Limited</t>
  </si>
  <si>
    <t>INE387A01021</t>
  </si>
  <si>
    <t>JBCH02</t>
  </si>
  <si>
    <t>JB Chemicals &amp; Pharmaceuticals Limited</t>
  </si>
  <si>
    <t>INE572A01028</t>
  </si>
  <si>
    <t>ILOM01</t>
  </si>
  <si>
    <t>ICICI Lombard General Insurance Company Limited</t>
  </si>
  <si>
    <t>INE765G01017</t>
  </si>
  <si>
    <t>Insurance</t>
  </si>
  <si>
    <t>BALN01</t>
  </si>
  <si>
    <t>Bajaj Auto Limited</t>
  </si>
  <si>
    <t>INE917I01010</t>
  </si>
  <si>
    <t>Auto</t>
  </si>
  <si>
    <t>MIIL02</t>
  </si>
  <si>
    <t>Minda Industries Limited</t>
  </si>
  <si>
    <t>INE405E01023</t>
  </si>
  <si>
    <t>KEIN02</t>
  </si>
  <si>
    <t>KEC International Limited</t>
  </si>
  <si>
    <t>INE389H01022</t>
  </si>
  <si>
    <t>Power</t>
  </si>
  <si>
    <t>OREL01</t>
  </si>
  <si>
    <t>Orient Electric Limited</t>
  </si>
  <si>
    <t>INE142Z01019</t>
  </si>
  <si>
    <t>MANO01L</t>
  </si>
  <si>
    <t>Manorama Industries Limited Lock in Shares</t>
  </si>
  <si>
    <t>INE00VM01010</t>
  </si>
  <si>
    <t>Consumer Non Durables</t>
  </si>
  <si>
    <t>1.34 $$</t>
  </si>
  <si>
    <t>KNRC02</t>
  </si>
  <si>
    <t>KNR Constructions Limited</t>
  </si>
  <si>
    <t>INE634I01029</t>
  </si>
  <si>
    <t>Construction</t>
  </si>
  <si>
    <t>SONB01</t>
  </si>
  <si>
    <t>Sona BLW Precision Forgings Limited</t>
  </si>
  <si>
    <t>INE073K01018</t>
  </si>
  <si>
    <t>VORL03</t>
  </si>
  <si>
    <t>Vinati Organics Limited</t>
  </si>
  <si>
    <t>INE410B01037</t>
  </si>
  <si>
    <t>Chemicals</t>
  </si>
  <si>
    <t>GRIF02</t>
  </si>
  <si>
    <t>G R Infraprojects Limited</t>
  </si>
  <si>
    <t>INE201P01022</t>
  </si>
  <si>
    <t>BTVL03RF</t>
  </si>
  <si>
    <t>Bharti Airtel Limited - Rights Entitlement</t>
  </si>
  <si>
    <t>INE397D20024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</si>
  <si>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</si>
  <si>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</si>
  <si>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</si>
  <si>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</si>
  <si>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</si>
  <si>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</si>
  <si>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</si>
  <si>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</si>
  <si>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</si>
  <si>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</si>
  <si>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</si>
  <si>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</si>
  <si>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</si>
  <si>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</si>
  <si>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</si>
  <si>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</si>
  <si>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</si>
  <si>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</si>
  <si>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</si>
  <si>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</si>
  <si>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</si>
  <si>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NIFTY 100 ENHANCED ESG TRI</t>
  </si>
  <si>
    <t>SCHEME RISK-O-METER</t>
  </si>
  <si>
    <t>BENCHMARK RISK-O-METER</t>
  </si>
  <si>
    <t>Grand Total</t>
  </si>
  <si>
    <t>Cash &amp; Cash Equivalent:</t>
  </si>
  <si>
    <t>Others</t>
  </si>
  <si>
    <t>Oil &amp; Gas</t>
  </si>
  <si>
    <t>Telecom</t>
  </si>
  <si>
    <t>Services</t>
  </si>
  <si>
    <t>Consumer Services</t>
  </si>
  <si>
    <t>Pharma</t>
  </si>
  <si>
    <t>Industrial Manufacturing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</si>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</sst>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1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8D67E6F-4B2D-4F2D-ADA9-E64197A4F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87E2C-AD7B-45E6-82AC-A10858547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93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571500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E1438-C315-4159-8A29-6B0A63FB0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30937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06C4-BE88-4029-BC52-E144360D6FFC}">
  <sheetPr codeName="Sheet15">
    <outlinePr summaryBelow="0"/>
  </sheetPr>
  <dimension ref="A1:H73"/>
  <sheetViews>
    <sheetView showGridLines="0" tabSelected="1" workbookViewId="0">
      <selection activeCell="B9" sqref="B9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40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6694.17</v>
      </c>
      <c r="G8" s="15">
        <v>8.61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247368</v>
      </c>
      <c r="F9" s="15">
        <v>4960.97</v>
      </c>
      <c r="G9" s="15">
        <v>6.38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125436</v>
      </c>
      <c r="F10" s="15">
        <v>4735.8999999999996</v>
      </c>
      <c r="G10" s="15">
        <v>6.09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535306</v>
      </c>
      <c r="F11" s="15">
        <v>3751.69</v>
      </c>
      <c r="G11" s="15">
        <v>4.82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452463</v>
      </c>
      <c r="F12" s="15">
        <v>3468.36</v>
      </c>
      <c r="G12" s="15">
        <v>4.46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144952</v>
      </c>
      <c r="F13" s="15">
        <v>3133.64</v>
      </c>
      <c r="G13" s="15">
        <v>4.03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5588</v>
      </c>
      <c r="F14" s="15">
        <v>2554.5300000000002</v>
      </c>
      <c r="G14" s="15">
        <v>3.29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30838</v>
      </c>
      <c r="F15" s="15">
        <v>2364.69</v>
      </c>
      <c r="G15" s="15">
        <v>3.04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54461</v>
      </c>
      <c r="F16" s="15">
        <v>2314.6999999999998</v>
      </c>
      <c r="G16" s="15">
        <v>2.98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47770</v>
      </c>
      <c r="F17" s="15">
        <v>2292.34</v>
      </c>
      <c r="G17" s="15">
        <v>2.95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16</v>
      </c>
      <c r="E18" s="14">
        <v>37518</v>
      </c>
      <c r="F18" s="15">
        <v>2162.9699999999998</v>
      </c>
      <c r="G18" s="15">
        <v>2.78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45912</v>
      </c>
      <c r="F19" s="15">
        <v>2156.7399999999998</v>
      </c>
      <c r="G19" s="15">
        <v>2.77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223594</v>
      </c>
      <c r="F20" s="15">
        <v>2072.94</v>
      </c>
      <c r="G20" s="15">
        <v>2.67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70295</v>
      </c>
      <c r="F21" s="15">
        <v>2044.6</v>
      </c>
      <c r="G21" s="15">
        <v>2.63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53815</v>
      </c>
      <c r="F22" s="15">
        <v>2044.16</v>
      </c>
      <c r="G22" s="15">
        <v>2.63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20</v>
      </c>
      <c r="E23" s="14">
        <v>683478</v>
      </c>
      <c r="F23" s="15">
        <v>1934.24</v>
      </c>
      <c r="G23" s="15">
        <v>2.4900000000000002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273652</v>
      </c>
      <c r="F24" s="15">
        <v>1883.55</v>
      </c>
      <c r="G24" s="15">
        <v>2.42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49</v>
      </c>
      <c r="E25" s="14">
        <v>49006</v>
      </c>
      <c r="F25" s="15">
        <v>1822.97</v>
      </c>
      <c r="G25" s="15">
        <v>2.34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33</v>
      </c>
      <c r="E26" s="14">
        <v>79703</v>
      </c>
      <c r="F26" s="15">
        <v>1821.17</v>
      </c>
      <c r="G26" s="15">
        <v>2.34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16</v>
      </c>
      <c r="E27" s="14">
        <v>54827</v>
      </c>
      <c r="F27" s="15">
        <v>1702.05</v>
      </c>
      <c r="G27" s="15">
        <v>2.19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749687</v>
      </c>
      <c r="F28" s="15">
        <v>1693.92</v>
      </c>
      <c r="G28" s="15">
        <v>2.1800000000000002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113452</v>
      </c>
      <c r="F29" s="15">
        <v>1658.27</v>
      </c>
      <c r="G29" s="15">
        <v>2.13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45</v>
      </c>
      <c r="E30" s="14">
        <v>46227</v>
      </c>
      <c r="F30" s="15">
        <v>1640.73</v>
      </c>
      <c r="G30" s="15">
        <v>2.11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306041</v>
      </c>
      <c r="F31" s="15">
        <v>1631.5</v>
      </c>
      <c r="G31" s="15">
        <v>2.1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87</v>
      </c>
      <c r="E32" s="14">
        <v>177917</v>
      </c>
      <c r="F32" s="15">
        <v>1627.67</v>
      </c>
      <c r="G32" s="15">
        <v>2.09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49</v>
      </c>
      <c r="E33" s="14">
        <v>86570</v>
      </c>
      <c r="F33" s="15">
        <v>1616.22</v>
      </c>
      <c r="G33" s="15">
        <v>2.08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98443</v>
      </c>
      <c r="F34" s="15">
        <v>1564.75</v>
      </c>
      <c r="G34" s="15">
        <v>2.0099999999999998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40238</v>
      </c>
      <c r="F35" s="15">
        <v>1542.18</v>
      </c>
      <c r="G35" s="15">
        <v>1.98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87</v>
      </c>
      <c r="E36" s="14">
        <v>180200</v>
      </c>
      <c r="F36" s="15">
        <v>1331.14</v>
      </c>
      <c r="G36" s="15">
        <v>1.71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297154</v>
      </c>
      <c r="F37" s="15">
        <v>1316.69</v>
      </c>
      <c r="G37" s="15">
        <v>1.69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33</v>
      </c>
      <c r="E38" s="14">
        <v>317853</v>
      </c>
      <c r="F38" s="15">
        <v>1054.8</v>
      </c>
      <c r="G38" s="15">
        <v>1.36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78495</v>
      </c>
      <c r="F39" s="15">
        <v>1038.83</v>
      </c>
      <c r="G39" s="15" t="s">
        <v>127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347651</v>
      </c>
      <c r="F40" s="15">
        <v>996.89</v>
      </c>
      <c r="G40" s="15">
        <v>1.28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87</v>
      </c>
      <c r="E41" s="14">
        <v>152369</v>
      </c>
      <c r="F41" s="15">
        <v>846.94</v>
      </c>
      <c r="G41" s="15">
        <v>1.0900000000000001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138</v>
      </c>
      <c r="E42" s="14">
        <v>38603</v>
      </c>
      <c r="F42" s="15">
        <v>748.15</v>
      </c>
      <c r="G42" s="15">
        <v>0.96</v>
      </c>
      <c r="H42" s="16"/>
    </row>
    <row r="43" spans="1:8" ht="13" customHeight="1">
      <c r="A43" s="11" t="s">
        <v>139</v>
      </c>
      <c r="B43" s="12" t="s">
        <v>140</v>
      </c>
      <c r="C43" s="13" t="s">
        <v>141</v>
      </c>
      <c r="D43" s="8" t="s">
        <v>131</v>
      </c>
      <c r="E43" s="14">
        <v>10863</v>
      </c>
      <c r="F43" s="15">
        <v>202.77</v>
      </c>
      <c r="G43" s="15">
        <v>0.26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74</v>
      </c>
      <c r="E44" s="14">
        <v>19546</v>
      </c>
      <c r="F44" s="15">
        <v>23.97</v>
      </c>
      <c r="G44" s="15">
        <v>0.03</v>
      </c>
      <c r="H44" s="16"/>
    </row>
    <row r="45" spans="1:8" ht="13" customHeight="1">
      <c r="A45" s="2"/>
      <c r="B45" s="7" t="s">
        <v>145</v>
      </c>
      <c r="C45" s="8"/>
      <c r="D45" s="8"/>
      <c r="E45" s="8"/>
      <c r="F45" s="17">
        <f>SUM(F8:F44)</f>
        <v>76451.799999999988</v>
      </c>
      <c r="G45" s="17">
        <v>98.31</v>
      </c>
      <c r="H45" s="18"/>
    </row>
    <row r="46" spans="1:8" ht="13" customHeight="1">
      <c r="A46" s="2"/>
      <c r="B46" s="19" t="s">
        <v>146</v>
      </c>
      <c r="C46" s="20"/>
      <c r="D46" s="20"/>
      <c r="E46" s="21"/>
      <c r="F46" s="22" t="s">
        <v>147</v>
      </c>
      <c r="G46" s="22" t="s">
        <v>147</v>
      </c>
      <c r="H46" s="23" t="s">
        <v>147</v>
      </c>
    </row>
    <row r="47" spans="1:8" ht="13" customHeight="1">
      <c r="A47" s="2"/>
      <c r="B47" s="24" t="s">
        <v>145</v>
      </c>
      <c r="C47" s="25"/>
      <c r="D47" s="25"/>
      <c r="E47" s="22"/>
      <c r="F47" s="22" t="s">
        <v>147</v>
      </c>
      <c r="G47" s="22" t="s">
        <v>147</v>
      </c>
      <c r="H47" s="23" t="s">
        <v>147</v>
      </c>
    </row>
    <row r="48" spans="1:8" ht="13" customHeight="1">
      <c r="A48" s="2"/>
      <c r="B48" s="19" t="s">
        <v>148</v>
      </c>
      <c r="C48" s="20"/>
      <c r="D48" s="20"/>
      <c r="E48" s="26"/>
      <c r="F48" s="17">
        <v>76451.799999999988</v>
      </c>
      <c r="G48" s="17">
        <v>98.31</v>
      </c>
      <c r="H48" s="23"/>
    </row>
    <row r="49" spans="1:8" ht="13" customHeight="1">
      <c r="A49" s="2"/>
      <c r="B49" s="7" t="s">
        <v>149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150</v>
      </c>
      <c r="C50" s="10"/>
      <c r="D50" s="10"/>
      <c r="E50" s="8"/>
      <c r="F50" s="8"/>
      <c r="G50" s="8"/>
      <c r="H50" s="9"/>
    </row>
    <row r="51" spans="1:8" ht="13" customHeight="1">
      <c r="A51" s="11" t="s">
        <v>151</v>
      </c>
      <c r="B51" s="12" t="s">
        <v>152</v>
      </c>
      <c r="C51" s="13"/>
      <c r="D51" s="8"/>
      <c r="E51" s="14"/>
      <c r="F51" s="15">
        <v>1528.5</v>
      </c>
      <c r="G51" s="15">
        <v>1.97</v>
      </c>
      <c r="H51" s="16">
        <v>3.2800000000000003E-2</v>
      </c>
    </row>
    <row r="52" spans="1:8" ht="13" customHeight="1">
      <c r="A52" s="2"/>
      <c r="B52" s="7" t="s">
        <v>145</v>
      </c>
      <c r="C52" s="8"/>
      <c r="D52" s="8"/>
      <c r="E52" s="8"/>
      <c r="F52" s="17">
        <v>1528.5</v>
      </c>
      <c r="G52" s="17">
        <v>1.97</v>
      </c>
      <c r="H52" s="27"/>
    </row>
    <row r="53" spans="1:8" ht="13" customHeight="1">
      <c r="A53" s="2"/>
      <c r="B53" s="19" t="s">
        <v>148</v>
      </c>
      <c r="C53" s="20"/>
      <c r="D53" s="20"/>
      <c r="E53" s="26"/>
      <c r="F53" s="17">
        <v>1528.5</v>
      </c>
      <c r="G53" s="17">
        <v>1.97</v>
      </c>
      <c r="H53" s="23"/>
    </row>
    <row r="54" spans="1:8" ht="13" customHeight="1">
      <c r="A54" s="2"/>
      <c r="B54" s="19" t="s">
        <v>153</v>
      </c>
      <c r="C54" s="20"/>
      <c r="D54" s="20"/>
      <c r="E54" s="8"/>
      <c r="F54" s="17">
        <v>-220.89</v>
      </c>
      <c r="G54" s="17">
        <v>-0.28000000000000003</v>
      </c>
      <c r="H54" s="23"/>
    </row>
    <row r="55" spans="1:8" ht="13" customHeight="1" thickBot="1">
      <c r="A55" s="2"/>
      <c r="B55" s="28" t="s">
        <v>154</v>
      </c>
      <c r="C55" s="29"/>
      <c r="D55" s="29"/>
      <c r="E55" s="29"/>
      <c r="F55" s="30">
        <v>77759.41</v>
      </c>
      <c r="G55" s="31">
        <v>100</v>
      </c>
      <c r="H55" s="32"/>
    </row>
    <row r="56" spans="1:8" ht="13" customHeight="1">
      <c r="A56" s="2"/>
      <c r="B56" s="44"/>
      <c r="C56" s="44"/>
      <c r="D56" s="44"/>
      <c r="E56" s="44"/>
      <c r="F56" s="2"/>
      <c r="G56" s="2"/>
      <c r="H56" s="2"/>
    </row>
    <row r="57" spans="1:8" ht="13" customHeight="1">
      <c r="A57" s="2"/>
      <c r="B57" s="44"/>
      <c r="C57" s="44"/>
      <c r="D57" s="44"/>
      <c r="E57" s="44"/>
      <c r="F57" s="2"/>
      <c r="G57" s="2"/>
      <c r="H57" s="2"/>
    </row>
    <row r="58" spans="1:8" ht="13" customHeight="1">
      <c r="A58" s="2"/>
      <c r="B58" s="44"/>
      <c r="C58" s="44"/>
      <c r="D58" s="44"/>
      <c r="E58" s="44"/>
      <c r="F58" s="2"/>
      <c r="G58" s="2"/>
      <c r="H58" s="2"/>
    </row>
    <row r="59" spans="1:8" ht="13" customHeight="1">
      <c r="A59" s="2"/>
      <c r="B59" s="43"/>
      <c r="C59" s="43"/>
      <c r="D59" s="43"/>
      <c r="E59" s="43"/>
      <c r="F59" s="2"/>
      <c r="G59" s="2"/>
      <c r="H59" s="2"/>
    </row>
    <row r="60" spans="1:8" ht="13" customHeight="1">
      <c r="A60" s="2"/>
      <c r="B60" s="44" t="s">
        <v>155</v>
      </c>
      <c r="C60" s="44"/>
      <c r="D60" s="44"/>
      <c r="E60" s="44"/>
      <c r="F60" s="2"/>
      <c r="G60" s="2"/>
      <c r="H60" s="2"/>
    </row>
    <row r="61" spans="1:8" ht="13" customHeight="1">
      <c r="A61" s="2"/>
      <c r="B61" s="44" t="s">
        <v>156</v>
      </c>
      <c r="C61" s="44"/>
      <c r="D61" s="44"/>
      <c r="E61" s="44"/>
      <c r="F61" s="2"/>
      <c r="G61" s="2"/>
      <c r="H61" s="2"/>
    </row>
    <row r="62" spans="1:8" ht="13" customHeight="1">
      <c r="A62" s="2"/>
      <c r="B62" s="44" t="s">
        <v>157</v>
      </c>
      <c r="C62" s="44"/>
      <c r="D62" s="44"/>
      <c r="E62" s="44"/>
      <c r="F62" s="2"/>
      <c r="G62" s="2"/>
      <c r="H62" s="2"/>
    </row>
    <row r="63" spans="1:8" ht="13" customHeight="1">
      <c r="A63" s="33"/>
      <c r="B63" s="34" t="s">
        <v>158</v>
      </c>
      <c r="F63" s="33"/>
      <c r="G63" s="33"/>
      <c r="H63" s="33"/>
    </row>
    <row r="64" spans="1:8" ht="13" customHeight="1">
      <c r="A64" s="2"/>
      <c r="B64" s="45"/>
      <c r="C64" s="45"/>
      <c r="D64" s="45"/>
      <c r="E64" s="45"/>
      <c r="F64" s="2"/>
      <c r="G64" s="2"/>
      <c r="H64" s="2"/>
    </row>
    <row r="65" spans="2:6">
      <c r="B65" s="46" t="s">
        <v>159</v>
      </c>
      <c r="C65" s="46"/>
      <c r="D65" s="46"/>
      <c r="E65" s="46"/>
    </row>
    <row r="66" spans="2:6" ht="12.75" customHeight="1">
      <c r="B66" s="42" t="s">
        <v>160</v>
      </c>
      <c r="C66" s="42"/>
    </row>
    <row r="67" spans="2:6">
      <c r="B67" s="36" t="s">
        <v>161</v>
      </c>
      <c r="C67" s="37"/>
    </row>
    <row r="68" spans="2:6">
      <c r="B68" s="36" t="s">
        <v>162</v>
      </c>
      <c r="C68" s="37"/>
    </row>
    <row r="69" spans="2:6">
      <c r="B69" s="38" t="s">
        <v>163</v>
      </c>
      <c r="C69" s="39"/>
    </row>
    <row r="70" spans="2:6">
      <c r="B70" s="40" t="s">
        <v>164</v>
      </c>
      <c r="C70" s="39"/>
    </row>
    <row r="71" spans="2:6">
      <c r="B71" s="36" t="s">
        <v>165</v>
      </c>
      <c r="C71" s="39"/>
    </row>
    <row r="72" spans="2:6">
      <c r="F72" s="41" t="s">
        <v>166</v>
      </c>
    </row>
    <row r="73" spans="2:6">
      <c r="B73" s="41" t="s">
        <v>167</v>
      </c>
      <c r="F73" s="41" t="s">
        <v>168</v>
      </c>
    </row>
  </sheetData>
  <mergeCells count="13">
    <mergeCell ref="B58:E58"/>
    <mergeCell ref="B1:H1"/>
    <mergeCell ref="B2:H2"/>
    <mergeCell ref="B3:H3"/>
    <mergeCell ref="B56:E56"/>
    <mergeCell ref="B57:E57"/>
    <mergeCell ref="B66:C66"/>
    <mergeCell ref="B59:E59"/>
    <mergeCell ref="B60:E60"/>
    <mergeCell ref="B61:E61"/>
    <mergeCell ref="B62:E62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B215-3383-494D-8734-86BCAC993C28}">
  <sheetPr codeName="Sheet3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4" t="s">
        <v>187</v>
      </c>
      <c r="B1" s="44"/>
      <c r="C1" s="44"/>
      <c r="D1" s="52"/>
      <c r="E1" s="35"/>
      <c r="F1" s="2"/>
    </row>
    <row r="2" spans="1:6" ht="13" customHeight="1">
      <c r="A2" s="35"/>
      <c r="B2" s="2"/>
      <c r="C2" s="2"/>
      <c r="D2" s="2"/>
      <c r="E2" s="35"/>
      <c r="F2" s="2"/>
    </row>
    <row r="3" spans="1:6" ht="13" customHeight="1">
      <c r="A3" s="51" t="s">
        <v>186</v>
      </c>
      <c r="B3" s="51"/>
      <c r="C3" s="2"/>
      <c r="D3" s="2"/>
      <c r="E3" s="51" t="s">
        <v>185</v>
      </c>
      <c r="F3" s="51"/>
    </row>
    <row r="4" spans="1:6" ht="13" customHeight="1">
      <c r="A4" s="49" t="s">
        <v>184</v>
      </c>
      <c r="B4" s="49" t="s">
        <v>9</v>
      </c>
      <c r="C4" s="2"/>
      <c r="D4" s="2"/>
      <c r="E4" s="49" t="s">
        <v>183</v>
      </c>
      <c r="F4" s="49" t="s">
        <v>182</v>
      </c>
    </row>
    <row r="5" spans="1:6" ht="13" customHeight="1">
      <c r="A5" s="20" t="s">
        <v>14</v>
      </c>
      <c r="B5" s="50">
        <v>8.6099999999999996E-2</v>
      </c>
      <c r="C5" s="2"/>
      <c r="D5" s="2"/>
      <c r="E5" s="20" t="s">
        <v>181</v>
      </c>
      <c r="F5" s="50">
        <v>0.25840000000000002</v>
      </c>
    </row>
    <row r="6" spans="1:6" ht="13" customHeight="1">
      <c r="A6" s="20" t="s">
        <v>18</v>
      </c>
      <c r="B6" s="50">
        <v>6.3799999999999996E-2</v>
      </c>
      <c r="C6" s="2"/>
      <c r="D6" s="2"/>
      <c r="E6" s="20" t="s">
        <v>180</v>
      </c>
      <c r="F6" s="50">
        <v>0.22439999999999999</v>
      </c>
    </row>
    <row r="7" spans="1:6" ht="13" customHeight="1">
      <c r="A7" s="20" t="s">
        <v>22</v>
      </c>
      <c r="B7" s="50">
        <v>6.0900000000000003E-2</v>
      </c>
      <c r="C7" s="2"/>
      <c r="D7" s="2"/>
      <c r="E7" s="20" t="s">
        <v>179</v>
      </c>
      <c r="F7" s="50">
        <v>9.06E-2</v>
      </c>
    </row>
    <row r="8" spans="1:6" ht="13" customHeight="1">
      <c r="A8" s="20" t="s">
        <v>25</v>
      </c>
      <c r="B8" s="50">
        <v>4.82E-2</v>
      </c>
      <c r="C8" s="2"/>
      <c r="D8" s="2"/>
      <c r="E8" s="20" t="s">
        <v>178</v>
      </c>
      <c r="F8" s="50">
        <v>9.06E-2</v>
      </c>
    </row>
    <row r="9" spans="1:6" ht="13" customHeight="1">
      <c r="A9" s="20" t="s">
        <v>28</v>
      </c>
      <c r="B9" s="50">
        <v>4.4600000000000001E-2</v>
      </c>
      <c r="C9" s="2"/>
      <c r="D9" s="2"/>
      <c r="E9" s="20" t="s">
        <v>177</v>
      </c>
      <c r="F9" s="50">
        <v>8.0799999999999997E-2</v>
      </c>
    </row>
    <row r="10" spans="1:6" ht="13" customHeight="1">
      <c r="A10" s="20" t="s">
        <v>31</v>
      </c>
      <c r="B10" s="50">
        <v>4.0300000000000002E-2</v>
      </c>
      <c r="C10" s="2"/>
      <c r="D10" s="2"/>
      <c r="E10" s="20" t="s">
        <v>176</v>
      </c>
      <c r="F10" s="50">
        <v>7.3700000000000002E-2</v>
      </c>
    </row>
    <row r="11" spans="1:6" ht="13" customHeight="1">
      <c r="A11" s="20" t="s">
        <v>35</v>
      </c>
      <c r="B11" s="50">
        <v>3.2899999999999999E-2</v>
      </c>
      <c r="C11" s="2"/>
      <c r="D11" s="2"/>
      <c r="E11" s="20" t="s">
        <v>175</v>
      </c>
      <c r="F11" s="50">
        <v>5.0900000000000001E-2</v>
      </c>
    </row>
    <row r="12" spans="1:6" ht="13" customHeight="1">
      <c r="A12" s="20" t="s">
        <v>39</v>
      </c>
      <c r="B12" s="50">
        <v>3.04E-2</v>
      </c>
      <c r="C12" s="2"/>
      <c r="D12" s="2"/>
      <c r="E12" s="20" t="s">
        <v>174</v>
      </c>
      <c r="F12" s="50">
        <v>2.63E-2</v>
      </c>
    </row>
    <row r="13" spans="1:6" ht="13" customHeight="1">
      <c r="A13" s="20" t="s">
        <v>43</v>
      </c>
      <c r="B13" s="50">
        <v>2.98E-2</v>
      </c>
      <c r="C13" s="2"/>
      <c r="D13" s="2"/>
      <c r="E13" s="20" t="s">
        <v>173</v>
      </c>
      <c r="F13" s="50">
        <v>2.4500000000000001E-2</v>
      </c>
    </row>
    <row r="14" spans="1:6" ht="13" customHeight="1">
      <c r="A14" s="20" t="s">
        <v>47</v>
      </c>
      <c r="B14" s="50">
        <v>2.9499999999999998E-2</v>
      </c>
      <c r="C14" s="2"/>
      <c r="D14" s="2"/>
      <c r="E14" s="20" t="s">
        <v>172</v>
      </c>
      <c r="F14" s="50">
        <v>2.1000000000000001E-2</v>
      </c>
    </row>
    <row r="15" spans="1:6" ht="13" customHeight="1">
      <c r="A15" s="2"/>
      <c r="B15" s="2"/>
      <c r="C15" s="2"/>
      <c r="D15" s="2"/>
      <c r="E15" s="20" t="s">
        <v>171</v>
      </c>
      <c r="F15" s="50">
        <v>1.9699999999999999E-2</v>
      </c>
    </row>
    <row r="16" spans="1:6" ht="13" customHeight="1">
      <c r="A16" s="2"/>
      <c r="B16" s="2"/>
      <c r="C16" s="2"/>
      <c r="D16" s="2"/>
      <c r="E16" s="20" t="s">
        <v>119</v>
      </c>
      <c r="F16" s="50">
        <v>1.6899999999999998E-2</v>
      </c>
    </row>
    <row r="17" spans="1:6" ht="13" customHeight="1">
      <c r="A17" s="2"/>
      <c r="B17" s="2"/>
      <c r="C17" s="2"/>
      <c r="D17" s="2"/>
      <c r="E17" s="20" t="s">
        <v>131</v>
      </c>
      <c r="F17" s="50">
        <v>1.54E-2</v>
      </c>
    </row>
    <row r="18" spans="1:6" ht="13" customHeight="1">
      <c r="A18" s="2"/>
      <c r="B18" s="2"/>
      <c r="C18" s="2"/>
      <c r="D18" s="2"/>
      <c r="E18" s="20" t="s">
        <v>138</v>
      </c>
      <c r="F18" s="50">
        <v>9.5999999999999992E-3</v>
      </c>
    </row>
    <row r="19" spans="1:6" ht="13" customHeight="1">
      <c r="A19" s="2"/>
      <c r="B19" s="2"/>
      <c r="C19" s="2"/>
      <c r="D19" s="2"/>
      <c r="E19" s="20" t="s">
        <v>170</v>
      </c>
      <c r="F19" s="50">
        <v>-2.8E-3</v>
      </c>
    </row>
    <row r="20" spans="1:6" ht="13" customHeight="1">
      <c r="A20" s="2"/>
      <c r="B20" s="2"/>
      <c r="C20" s="2"/>
      <c r="D20" s="2"/>
      <c r="E20" s="49" t="s">
        <v>169</v>
      </c>
      <c r="F20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2021-10-06T09:39:39Z</dcterms:created>
  <dcterms:modified xsi:type="dcterms:W3CDTF">2021-10-06T09:43:27Z</dcterms:modified>
</cp:coreProperties>
</file>