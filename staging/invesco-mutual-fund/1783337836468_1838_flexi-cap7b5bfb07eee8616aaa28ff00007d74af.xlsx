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3B910FE-FB1E-4713-802C-20FAD331F728}" xr6:coauthVersionLast="47" xr6:coauthVersionMax="47" xr10:uidLastSave="{00000000-0000-0000-0000-000000000000}"/>
  <bookViews>
    <workbookView xWindow="-110" yWindow="-110" windowWidth="19420" windowHeight="11500" xr2:uid="{62A7E242-9253-4046-8AC9-42300C52C0DC}"/>
  </bookViews>
  <sheets>
    <sheet name="Flexi Cap" sheetId="1" r:id="rId1"/>
    <sheet name="IFC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G92" i="1" s="1"/>
  <c r="F91" i="1"/>
  <c r="F92" i="1" s="1"/>
</calcChain>
</file>

<file path=xl/sharedStrings.xml><?xml version="1.0" encoding="utf-8"?>
<sst xmlns="http://schemas.openxmlformats.org/spreadsheetml/2006/main" count="351" uniqueCount="275">
  <si>
    <t>IFCF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</si>
  <si>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</si>
  <si>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</si>
  <si>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</si>
  <si>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</si>
  <si>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</si>
  <si>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</si>
  <si>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</si>
  <si>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</si>
  <si>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</si>
  <si>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</si>
  <si>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</si>
  <si>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</si>
  <si>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</si>
  <si>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</si>
  <si>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</si>
  <si>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</si>
  <si>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</si>
  <si>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</si>
  <si>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</si>
  <si>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</si>
  <si>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</si>
  <si>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</si>
  <si>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</si>
  <si>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</si>
  <si>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</si>
  <si>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</si>
  <si>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</si>
  <si>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</si>
  <si>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</si>
  <si>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</si>
  <si>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</si>
  <si>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</si>
  <si>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</si>
  <si>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</si>
  <si>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</si>
  <si>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</si>
  <si>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</si>
  <si>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</si>
  <si>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</si>
  <si>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</si>
  <si>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</si>
  <si>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</si>
  <si>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TWAT02</t>
  </si>
  <si>
    <t>Titan Company Limited</t>
  </si>
  <si>
    <t>INE280A01028</t>
  </si>
  <si>
    <t>Consumer Durables</t>
  </si>
  <si>
    <t>SAPH01</t>
  </si>
  <si>
    <t>Sai Life Sciences Limited</t>
  </si>
  <si>
    <t>INE570L01029</t>
  </si>
  <si>
    <t>Pharmaceuticals &amp; Biotechnology</t>
  </si>
  <si>
    <t>ESMC02</t>
  </si>
  <si>
    <t>PB Fintech Limited</t>
  </si>
  <si>
    <t>INE417T01026</t>
  </si>
  <si>
    <t>Financial Technology (Fintech)</t>
  </si>
  <si>
    <t>MCEX02</t>
  </si>
  <si>
    <t>Multi Commodity Exchange of India Limited</t>
  </si>
  <si>
    <t>INE745G01043</t>
  </si>
  <si>
    <t>Capital Markets</t>
  </si>
  <si>
    <t>AFPL02</t>
  </si>
  <si>
    <t>AU Small Finance Bank Limited</t>
  </si>
  <si>
    <t>INE949L01017</t>
  </si>
  <si>
    <t>BAFL03</t>
  </si>
  <si>
    <t>Bajaj Finance Ltd</t>
  </si>
  <si>
    <t>INE296A01032</t>
  </si>
  <si>
    <t>BSEL02</t>
  </si>
  <si>
    <t>BSE Limited</t>
  </si>
  <si>
    <t>INE118H01025</t>
  </si>
  <si>
    <t>NITL02</t>
  </si>
  <si>
    <t>Coforge Limited</t>
  </si>
  <si>
    <t>INE591G01025</t>
  </si>
  <si>
    <t>IT - Software</t>
  </si>
  <si>
    <t>SAEL02</t>
  </si>
  <si>
    <t>TVS Motor Company Limited</t>
  </si>
  <si>
    <t>INE494B01023</t>
  </si>
  <si>
    <t>Automobiles</t>
  </si>
  <si>
    <t>PSYL02</t>
  </si>
  <si>
    <t>Persistent Systems Ltd</t>
  </si>
  <si>
    <t>INE262H01021</t>
  </si>
  <si>
    <t>MAHI02</t>
  </si>
  <si>
    <t>Mahindra &amp; Mahindra Limited</t>
  </si>
  <si>
    <t>INE101A01026</t>
  </si>
  <si>
    <t>LTFL01</t>
  </si>
  <si>
    <t>L&amp;T Finance Limited</t>
  </si>
  <si>
    <t>INE498L01015</t>
  </si>
  <si>
    <t>HDAM01</t>
  </si>
  <si>
    <t>HDFC Asset Management Company Limited</t>
  </si>
  <si>
    <t>INE127D01025</t>
  </si>
  <si>
    <t>PREP01</t>
  </si>
  <si>
    <t>Prestige Estates Projects Limited</t>
  </si>
  <si>
    <t>INE811K01011</t>
  </si>
  <si>
    <t>Realty</t>
  </si>
  <si>
    <t>BLTE01</t>
  </si>
  <si>
    <t>Swiggy Limited</t>
  </si>
  <si>
    <t>INE00H001014</t>
  </si>
  <si>
    <t>MAUD01</t>
  </si>
  <si>
    <t>Maruti Suzuki India Limited</t>
  </si>
  <si>
    <t>INE585B01010</t>
  </si>
  <si>
    <t>APLI04</t>
  </si>
  <si>
    <t>Hexaware Technologies Limited</t>
  </si>
  <si>
    <t>INE093A01041</t>
  </si>
  <si>
    <t>KIMS02</t>
  </si>
  <si>
    <t>Krishna Institute Of Medical Sciences Limited</t>
  </si>
  <si>
    <t>INE967H01025</t>
  </si>
  <si>
    <t>JKCE01</t>
  </si>
  <si>
    <t>JK Cement Limited</t>
  </si>
  <si>
    <t>INE823G01014</t>
  </si>
  <si>
    <t>Cement &amp; Cement Products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</si>
  <si>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</si>
  <si>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</si>
  <si>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</si>
  <si>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</si>
  <si>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</si>
  <si>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</si>
  <si>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</si>
  <si>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</si>
  <si>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GHPL01</t>
  </si>
  <si>
    <t>Global Health Limited</t>
  </si>
  <si>
    <t>INE474Q01031</t>
  </si>
  <si>
    <t>HALT02</t>
  </si>
  <si>
    <t>Hindustan Aeronautics Limited</t>
  </si>
  <si>
    <t>INE066F01020</t>
  </si>
  <si>
    <t>APOL02</t>
  </si>
  <si>
    <t>Apollo Hospitals Enterprise Limited</t>
  </si>
  <si>
    <t>INE437A01024</t>
  </si>
  <si>
    <t>EDEL02</t>
  </si>
  <si>
    <t>Nuvama Wealth Management Ltd</t>
  </si>
  <si>
    <t>INE531F01023</t>
  </si>
  <si>
    <t>TEMA02</t>
  </si>
  <si>
    <t>Tech Mahindra Limited</t>
  </si>
  <si>
    <t>INE669C01036</t>
  </si>
  <si>
    <t>KEII02</t>
  </si>
  <si>
    <t>KEI Industries Limited</t>
  </si>
  <si>
    <t>INE878B01027</t>
  </si>
  <si>
    <t>Industrial Products</t>
  </si>
  <si>
    <t>AENP01</t>
  </si>
  <si>
    <t>Ather Energy Limited</t>
  </si>
  <si>
    <t>INE0LEZ01016</t>
  </si>
  <si>
    <t>ABBP01</t>
  </si>
  <si>
    <t>Hitachi Energy India Limited</t>
  </si>
  <si>
    <t>INE07Y701011</t>
  </si>
  <si>
    <t>Electrical Equipment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</si>
  <si>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</si>
  <si>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</si>
  <si>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</si>
  <si>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</si>
  <si>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</si>
  <si>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</si>
  <si>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BLUS03</t>
  </si>
  <si>
    <t>Blue Star Limited</t>
  </si>
  <si>
    <t>INE472A01039</t>
  </si>
  <si>
    <t>VMML01</t>
  </si>
  <si>
    <t>Vishal Mega Mart Limited</t>
  </si>
  <si>
    <t>INE01EA01019</t>
  </si>
  <si>
    <t>DRAH01</t>
  </si>
  <si>
    <t>Dr Agarwals Health Care Limited</t>
  </si>
  <si>
    <t>INE943P01029</t>
  </si>
  <si>
    <t>ADTH01</t>
  </si>
  <si>
    <t>Aditya Infotech Limited</t>
  </si>
  <si>
    <t>INE819V01029</t>
  </si>
  <si>
    <t>Industrial Manufacturing</t>
  </si>
  <si>
    <t>FUJI02</t>
  </si>
  <si>
    <t>Zensar Technologies Limited</t>
  </si>
  <si>
    <t>INE520A01027</t>
  </si>
  <si>
    <t>SAFI02</t>
  </si>
  <si>
    <t>Safari Industries (India) Limited</t>
  </si>
  <si>
    <t>INE429E01023</t>
  </si>
  <si>
    <t>MIIL02</t>
  </si>
  <si>
    <t>UNO Minda Limited</t>
  </si>
  <si>
    <t>INE405E01023</t>
  </si>
  <si>
    <t>Auto Components</t>
  </si>
  <si>
    <t>JUFL02</t>
  </si>
  <si>
    <t>Jubilant Foodworks Limited</t>
  </si>
  <si>
    <t>INE797F01020</t>
  </si>
  <si>
    <t>Leisure Services</t>
  </si>
  <si>
    <t>ARWL01</t>
  </si>
  <si>
    <t>Anand Rathi Wealth Limited</t>
  </si>
  <si>
    <t>INE463V01026</t>
  </si>
  <si>
    <t>TMLC01</t>
  </si>
  <si>
    <t>Tata Motors Ltd</t>
  </si>
  <si>
    <t>INE1TAE01010</t>
  </si>
  <si>
    <t>Agricultural, Commercial &amp; Construction Vehicles</t>
  </si>
  <si>
    <t>ETHO01</t>
  </si>
  <si>
    <t>Ethos Ltd.</t>
  </si>
  <si>
    <t>INE04TZ01018</t>
  </si>
  <si>
    <t>HCLT02</t>
  </si>
  <si>
    <t>HCL Technologies Limited</t>
  </si>
  <si>
    <t>INE860A01027</t>
  </si>
  <si>
    <t>MEST01</t>
  </si>
  <si>
    <t>Max Estates Limited</t>
  </si>
  <si>
    <t>INE03EI01018</t>
  </si>
  <si>
    <t>SBFC01</t>
  </si>
  <si>
    <t>SBFC Finance Limited</t>
  </si>
  <si>
    <t>INE423Y01016</t>
  </si>
  <si>
    <t>BWIN01</t>
  </si>
  <si>
    <t>Bansal Wire Industries Limited</t>
  </si>
  <si>
    <t>INE0B9K01025</t>
  </si>
  <si>
    <t>PHMI02</t>
  </si>
  <si>
    <t>The Phoenix Mills Limited</t>
  </si>
  <si>
    <t>INE211B01039</t>
  </si>
  <si>
    <t>CONB01</t>
  </si>
  <si>
    <t>Concord Biotech Limited</t>
  </si>
  <si>
    <t>INE338H01029</t>
  </si>
  <si>
    <t>MEBR01</t>
  </si>
  <si>
    <t>Metro Brands Limited</t>
  </si>
  <si>
    <t>INE317I01021</t>
  </si>
  <si>
    <t>SUVP01</t>
  </si>
  <si>
    <t>Cohance Lifesciences Limited</t>
  </si>
  <si>
    <t>INE03QK01018</t>
  </si>
  <si>
    <t>KNMA02</t>
  </si>
  <si>
    <t>Knowledge Marine &amp; Engineering Works Limited</t>
  </si>
  <si>
    <t>INE0CJD01029</t>
  </si>
  <si>
    <t>Engineering Services</t>
  </si>
  <si>
    <t>DCIL01</t>
  </si>
  <si>
    <t>Dredging Corporation of India Limited</t>
  </si>
  <si>
    <t>INE506A01018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</si>
  <si>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</si>
  <si>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</si>
  <si>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</si>
  <si>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</si>
  <si>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</si>
  <si>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</si>
  <si>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</si>
  <si>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</si>
  <si>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</si>
  <si>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</si>
  <si>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</si>
  <si>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</si>
  <si>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</si>
  <si>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TRP_020226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</si>
  <si>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</si>
  <si>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</si>
  <si>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</si>
  <si>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</si>
  <si>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</si>
  <si>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</si>
  <si>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</si>
  <si>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</si>
  <si>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</si>
  <si>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</si>
  <si>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</si>
  <si>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</si>
  <si>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</si>
  <si>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</si>
  <si>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</si>
  <si>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</si>
  <si>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$ Less than 0.005%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</si>
  <si>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</si>
  <si>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</si>
  <si>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</si>
  <si>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</si>
  <si>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</si>
  <si>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</si>
  <si>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</si>
  <si>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</si>
  <si>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</si>
  <si>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</si>
  <si>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</si>
  <si>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</si>
  <si>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</si>
  <si>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</si>
  <si>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</si>
  <si>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</si>
  <si>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</si>
  <si>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</si>
  <si>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</si>
  <si>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Information Technology</t>
  </si>
  <si>
    <t>Automobile and Auto Components</t>
  </si>
  <si>
    <t>Cholamandalam Investment and Finance Company Ltd</t>
  </si>
  <si>
    <t>Capital Goods</t>
  </si>
  <si>
    <t>Services</t>
  </si>
  <si>
    <t>Construction Materials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</si>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</sst>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26913-1F65-4EF6-B2E2-48BC78410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9329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7</xdr:col>
      <xdr:colOff>450850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B778A-642B-4F28-81CB-96E90EE8E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9329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C287-7563-4958-8E6C-E08D95A64272}">
  <sheetPr codeName="Sheet8">
    <outlinePr summaryBelow="0"/>
  </sheetPr>
  <dimension ref="A1:H109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71.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3142433</v>
      </c>
      <c r="F8" s="14">
        <v>29201.06</v>
      </c>
      <c r="G8" s="14">
        <v>6.37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1763156</v>
      </c>
      <c r="F9" s="14">
        <v>23890.76</v>
      </c>
      <c r="G9" s="14">
        <v>5.21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6210269</v>
      </c>
      <c r="F10" s="14">
        <v>16991.3</v>
      </c>
      <c r="G10" s="14">
        <v>3.71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420368</v>
      </c>
      <c r="F11" s="14">
        <v>16530.13</v>
      </c>
      <c r="G11" s="14">
        <v>3.61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322775</v>
      </c>
      <c r="F12" s="14">
        <v>14836.35</v>
      </c>
      <c r="G12" s="14">
        <v>3.24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902264</v>
      </c>
      <c r="F13" s="14">
        <v>14721.34</v>
      </c>
      <c r="G13" s="14">
        <v>3.21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340514</v>
      </c>
      <c r="F14" s="14">
        <v>12890.16</v>
      </c>
      <c r="G14" s="14">
        <v>2.81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1318733</v>
      </c>
      <c r="F15" s="14">
        <v>12617.64</v>
      </c>
      <c r="G15" s="14">
        <v>2.75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277146</v>
      </c>
      <c r="F16" s="14">
        <v>11023.21</v>
      </c>
      <c r="G16" s="14">
        <v>2.4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1262722</v>
      </c>
      <c r="F17" s="14">
        <v>10545.62</v>
      </c>
      <c r="G17" s="14">
        <v>2.2999999999999998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628512</v>
      </c>
      <c r="F18" s="14">
        <v>10398.73</v>
      </c>
      <c r="G18" s="14">
        <v>2.27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404320</v>
      </c>
      <c r="F19" s="14">
        <v>10221.209999999999</v>
      </c>
      <c r="G19" s="14">
        <v>2.23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1002154</v>
      </c>
      <c r="F20" s="14">
        <v>9844.66</v>
      </c>
      <c r="G20" s="14">
        <v>2.15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35</v>
      </c>
      <c r="E21" s="13">
        <v>1050716</v>
      </c>
      <c r="F21" s="14">
        <v>9770.08</v>
      </c>
      <c r="G21" s="14">
        <v>2.13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58</v>
      </c>
      <c r="E22" s="13">
        <v>347149</v>
      </c>
      <c r="F22" s="14">
        <v>9709.76</v>
      </c>
      <c r="G22" s="14">
        <v>2.12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574283</v>
      </c>
      <c r="F23" s="14">
        <v>9497.49</v>
      </c>
      <c r="G23" s="14">
        <v>2.0699999999999998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255471</v>
      </c>
      <c r="F24" s="14">
        <v>9394.69</v>
      </c>
      <c r="G24" s="14">
        <v>2.0499999999999998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71</v>
      </c>
      <c r="E25" s="13">
        <v>151417</v>
      </c>
      <c r="F25" s="14">
        <v>9138.02</v>
      </c>
      <c r="G25" s="14">
        <v>1.99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75</v>
      </c>
      <c r="E26" s="13">
        <v>260163</v>
      </c>
      <c r="F26" s="14">
        <v>8928.27</v>
      </c>
      <c r="G26" s="14">
        <v>1.95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35</v>
      </c>
      <c r="E27" s="13">
        <v>3099803</v>
      </c>
      <c r="F27" s="14">
        <v>8876.2900000000009</v>
      </c>
      <c r="G27" s="14">
        <v>1.94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58</v>
      </c>
      <c r="E28" s="13">
        <v>352354</v>
      </c>
      <c r="F28" s="14">
        <v>8864.17</v>
      </c>
      <c r="G28" s="14">
        <v>1.93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573179</v>
      </c>
      <c r="F29" s="14">
        <v>8377.01</v>
      </c>
      <c r="G29" s="14">
        <v>1.83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23</v>
      </c>
      <c r="E30" s="13">
        <v>2522598</v>
      </c>
      <c r="F30" s="14">
        <v>7813.75</v>
      </c>
      <c r="G30" s="14">
        <v>1.7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75</v>
      </c>
      <c r="E31" s="13">
        <v>50756</v>
      </c>
      <c r="F31" s="14">
        <v>7409.87</v>
      </c>
      <c r="G31" s="14">
        <v>1.62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71</v>
      </c>
      <c r="E32" s="13">
        <v>1058032</v>
      </c>
      <c r="F32" s="14">
        <v>7380.3</v>
      </c>
      <c r="G32" s="14">
        <v>1.61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42</v>
      </c>
      <c r="E33" s="13">
        <v>1177513</v>
      </c>
      <c r="F33" s="14">
        <v>7109.23</v>
      </c>
      <c r="G33" s="14">
        <v>1.55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127957</v>
      </c>
      <c r="F34" s="14">
        <v>7067.7</v>
      </c>
      <c r="G34" s="14">
        <v>1.54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449483</v>
      </c>
      <c r="F35" s="14">
        <v>7030.36</v>
      </c>
      <c r="G35" s="14">
        <v>1.53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1408281</v>
      </c>
      <c r="F36" s="14">
        <v>6323.18</v>
      </c>
      <c r="G36" s="14">
        <v>1.38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42</v>
      </c>
      <c r="E37" s="13">
        <v>596672</v>
      </c>
      <c r="F37" s="14">
        <v>6287.73</v>
      </c>
      <c r="G37" s="14">
        <v>1.37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115</v>
      </c>
      <c r="E38" s="13">
        <v>134244</v>
      </c>
      <c r="F38" s="14">
        <v>6201.27</v>
      </c>
      <c r="G38" s="14">
        <v>1.35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42</v>
      </c>
      <c r="E39" s="13">
        <v>84494</v>
      </c>
      <c r="F39" s="14">
        <v>5881.2</v>
      </c>
      <c r="G39" s="14">
        <v>1.28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58</v>
      </c>
      <c r="E40" s="13">
        <v>396687</v>
      </c>
      <c r="F40" s="14">
        <v>5337.03</v>
      </c>
      <c r="G40" s="14">
        <v>1.1599999999999999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71</v>
      </c>
      <c r="E41" s="13">
        <v>300777</v>
      </c>
      <c r="F41" s="14">
        <v>5242.84</v>
      </c>
      <c r="G41" s="14">
        <v>1.1399999999999999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129425</v>
      </c>
      <c r="F42" s="14">
        <v>5204.3100000000004</v>
      </c>
      <c r="G42" s="14">
        <v>1.1399999999999999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75</v>
      </c>
      <c r="E43" s="13">
        <v>826860</v>
      </c>
      <c r="F43" s="14">
        <v>5136.87</v>
      </c>
      <c r="G43" s="14">
        <v>1.1200000000000001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26887</v>
      </c>
      <c r="F44" s="14">
        <v>5071.43</v>
      </c>
      <c r="G44" s="14">
        <v>1.1100000000000001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46</v>
      </c>
      <c r="E45" s="13">
        <v>48195</v>
      </c>
      <c r="F45" s="14">
        <v>5034.45</v>
      </c>
      <c r="G45" s="14">
        <v>1.1000000000000001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35</v>
      </c>
      <c r="E46" s="13">
        <v>420562</v>
      </c>
      <c r="F46" s="14">
        <v>4957.16</v>
      </c>
      <c r="G46" s="14">
        <v>1.08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46</v>
      </c>
      <c r="E47" s="13">
        <v>265409</v>
      </c>
      <c r="F47" s="14">
        <v>4822.22</v>
      </c>
      <c r="G47" s="14">
        <v>1.05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23</v>
      </c>
      <c r="E48" s="13">
        <v>3505393</v>
      </c>
      <c r="F48" s="14">
        <v>4415.04</v>
      </c>
      <c r="G48" s="14">
        <v>0.96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42</v>
      </c>
      <c r="E49" s="13">
        <v>991325</v>
      </c>
      <c r="F49" s="14">
        <v>4289.96</v>
      </c>
      <c r="G49" s="14">
        <v>0.94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160</v>
      </c>
      <c r="E50" s="13">
        <v>308690</v>
      </c>
      <c r="F50" s="14">
        <v>4266.1000000000004</v>
      </c>
      <c r="G50" s="14">
        <v>0.93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71</v>
      </c>
      <c r="E51" s="13">
        <v>631077</v>
      </c>
      <c r="F51" s="14">
        <v>4103.26</v>
      </c>
      <c r="G51" s="14">
        <v>0.9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46</v>
      </c>
      <c r="E52" s="13">
        <v>198418</v>
      </c>
      <c r="F52" s="14">
        <v>4031.66</v>
      </c>
      <c r="G52" s="14">
        <v>0.88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170</v>
      </c>
      <c r="E53" s="13">
        <v>331289</v>
      </c>
      <c r="F53" s="14">
        <v>3916.83</v>
      </c>
      <c r="G53" s="14">
        <v>0.85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781050</v>
      </c>
      <c r="F54" s="14">
        <v>3882.21</v>
      </c>
      <c r="G54" s="14">
        <v>0.85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58</v>
      </c>
      <c r="E55" s="13">
        <v>125000</v>
      </c>
      <c r="F55" s="14">
        <v>3606.75</v>
      </c>
      <c r="G55" s="14">
        <v>0.79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699056</v>
      </c>
      <c r="F56" s="14">
        <v>3205.17</v>
      </c>
      <c r="G56" s="14">
        <v>0.7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46</v>
      </c>
      <c r="E57" s="13">
        <v>122543</v>
      </c>
      <c r="F57" s="14">
        <v>3127.79</v>
      </c>
      <c r="G57" s="14">
        <v>0.68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71</v>
      </c>
      <c r="E58" s="13">
        <v>179834</v>
      </c>
      <c r="F58" s="14">
        <v>3049.27</v>
      </c>
      <c r="G58" s="14">
        <v>0.67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91</v>
      </c>
      <c r="E59" s="13">
        <v>768956</v>
      </c>
      <c r="F59" s="14">
        <v>2962.02</v>
      </c>
      <c r="G59" s="14">
        <v>0.65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35</v>
      </c>
      <c r="E60" s="13">
        <v>3111243</v>
      </c>
      <c r="F60" s="14">
        <v>2657.62</v>
      </c>
      <c r="G60" s="14">
        <v>0.57999999999999996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134</v>
      </c>
      <c r="E61" s="13">
        <v>923248</v>
      </c>
      <c r="F61" s="14">
        <v>2538.4699999999998</v>
      </c>
      <c r="G61" s="14">
        <v>0.55000000000000004</v>
      </c>
      <c r="H61" s="15"/>
    </row>
    <row r="62" spans="1:8" ht="13" customHeight="1">
      <c r="A62" s="1" t="s">
        <v>197</v>
      </c>
      <c r="B62" s="11" t="s">
        <v>198</v>
      </c>
      <c r="C62" s="12" t="s">
        <v>199</v>
      </c>
      <c r="D62" s="8" t="s">
        <v>91</v>
      </c>
      <c r="E62" s="13">
        <v>145647</v>
      </c>
      <c r="F62" s="14">
        <v>2433.3200000000002</v>
      </c>
      <c r="G62" s="14">
        <v>0.53</v>
      </c>
      <c r="H62" s="15"/>
    </row>
    <row r="63" spans="1:8" ht="13" customHeight="1">
      <c r="A63" s="1" t="s">
        <v>200</v>
      </c>
      <c r="B63" s="11" t="s">
        <v>201</v>
      </c>
      <c r="C63" s="12" t="s">
        <v>202</v>
      </c>
      <c r="D63" s="8" t="s">
        <v>50</v>
      </c>
      <c r="E63" s="13">
        <v>178114</v>
      </c>
      <c r="F63" s="14">
        <v>2093.1999999999998</v>
      </c>
      <c r="G63" s="14">
        <v>0.46</v>
      </c>
      <c r="H63" s="15"/>
    </row>
    <row r="64" spans="1:8" ht="13" customHeight="1">
      <c r="A64" s="1" t="s">
        <v>203</v>
      </c>
      <c r="B64" s="11" t="s">
        <v>204</v>
      </c>
      <c r="C64" s="12" t="s">
        <v>205</v>
      </c>
      <c r="D64" s="8" t="s">
        <v>46</v>
      </c>
      <c r="E64" s="13">
        <v>191149</v>
      </c>
      <c r="F64" s="14">
        <v>2008.02</v>
      </c>
      <c r="G64" s="14">
        <v>0.44</v>
      </c>
      <c r="H64" s="15"/>
    </row>
    <row r="65" spans="1:8" ht="13" customHeight="1">
      <c r="A65" s="1" t="s">
        <v>206</v>
      </c>
      <c r="B65" s="11" t="s">
        <v>207</v>
      </c>
      <c r="C65" s="12" t="s">
        <v>208</v>
      </c>
      <c r="D65" s="8" t="s">
        <v>50</v>
      </c>
      <c r="E65" s="13">
        <v>502787</v>
      </c>
      <c r="F65" s="14">
        <v>1917.13</v>
      </c>
      <c r="G65" s="14">
        <v>0.42</v>
      </c>
      <c r="H65" s="15"/>
    </row>
    <row r="66" spans="1:8" ht="13" customHeight="1">
      <c r="A66" s="1" t="s">
        <v>209</v>
      </c>
      <c r="B66" s="11" t="s">
        <v>210</v>
      </c>
      <c r="C66" s="12" t="s">
        <v>211</v>
      </c>
      <c r="D66" s="8" t="s">
        <v>212</v>
      </c>
      <c r="E66" s="13">
        <v>100000</v>
      </c>
      <c r="F66" s="14">
        <v>1785.5</v>
      </c>
      <c r="G66" s="14">
        <v>0.39</v>
      </c>
      <c r="H66" s="15"/>
    </row>
    <row r="67" spans="1:8" ht="13" customHeight="1">
      <c r="A67" s="1" t="s">
        <v>213</v>
      </c>
      <c r="B67" s="11" t="s">
        <v>214</v>
      </c>
      <c r="C67" s="12" t="s">
        <v>215</v>
      </c>
      <c r="D67" s="8" t="s">
        <v>212</v>
      </c>
      <c r="E67" s="13">
        <v>121027</v>
      </c>
      <c r="F67" s="14">
        <v>1362.46</v>
      </c>
      <c r="G67" s="14">
        <v>0.3</v>
      </c>
      <c r="H67" s="15"/>
    </row>
    <row r="68" spans="1:8" ht="13" customHeight="1">
      <c r="A68" s="1" t="s">
        <v>216</v>
      </c>
      <c r="B68" s="11" t="s">
        <v>217</v>
      </c>
      <c r="C68" s="12" t="s">
        <v>218</v>
      </c>
      <c r="D68" s="8" t="s">
        <v>71</v>
      </c>
      <c r="E68" s="13">
        <v>260362</v>
      </c>
      <c r="F68" s="14">
        <v>826.13</v>
      </c>
      <c r="G68" s="14">
        <v>0.18</v>
      </c>
      <c r="H68" s="15"/>
    </row>
    <row r="69" spans="1:8" ht="13" customHeight="1">
      <c r="A69" s="2"/>
      <c r="B69" s="7" t="s">
        <v>219</v>
      </c>
      <c r="C69" s="8"/>
      <c r="D69" s="8"/>
      <c r="E69" s="8"/>
      <c r="F69" s="16">
        <v>448056.76</v>
      </c>
      <c r="G69" s="16">
        <v>97.75</v>
      </c>
      <c r="H69" s="17"/>
    </row>
    <row r="70" spans="1:8" ht="13" customHeight="1">
      <c r="A70" s="2"/>
      <c r="B70" s="18" t="s">
        <v>220</v>
      </c>
      <c r="C70" s="19"/>
      <c r="D70" s="19"/>
      <c r="E70" s="20"/>
      <c r="F70" s="21" t="s">
        <v>221</v>
      </c>
      <c r="G70" s="21" t="s">
        <v>221</v>
      </c>
      <c r="H70" s="22" t="s">
        <v>221</v>
      </c>
    </row>
    <row r="71" spans="1:8" ht="13" customHeight="1">
      <c r="A71" s="2"/>
      <c r="B71" s="23" t="s">
        <v>219</v>
      </c>
      <c r="C71" s="24"/>
      <c r="D71" s="24"/>
      <c r="E71" s="21"/>
      <c r="F71" s="21" t="s">
        <v>221</v>
      </c>
      <c r="G71" s="21" t="s">
        <v>221</v>
      </c>
      <c r="H71" s="22" t="s">
        <v>221</v>
      </c>
    </row>
    <row r="72" spans="1:8" ht="13" customHeight="1">
      <c r="A72" s="2"/>
      <c r="B72" s="18" t="s">
        <v>222</v>
      </c>
      <c r="C72" s="19"/>
      <c r="D72" s="19"/>
      <c r="E72" s="25"/>
      <c r="F72" s="16">
        <v>448056.76</v>
      </c>
      <c r="G72" s="16">
        <v>97.75</v>
      </c>
      <c r="H72" s="22"/>
    </row>
    <row r="73" spans="1:8" ht="13" customHeight="1">
      <c r="A73" s="2"/>
      <c r="B73" s="7" t="s">
        <v>223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12</v>
      </c>
      <c r="C74" s="10"/>
      <c r="D74" s="10"/>
      <c r="E74" s="8"/>
      <c r="F74" s="8"/>
      <c r="G74" s="8"/>
      <c r="H74" s="9"/>
    </row>
    <row r="75" spans="1:8" ht="13" customHeight="1">
      <c r="A75" s="1" t="s">
        <v>224</v>
      </c>
      <c r="B75" s="11" t="s">
        <v>225</v>
      </c>
      <c r="C75" s="12" t="s">
        <v>226</v>
      </c>
      <c r="D75" s="8"/>
      <c r="E75" s="13">
        <v>1325000</v>
      </c>
      <c r="F75" s="14">
        <v>1855</v>
      </c>
      <c r="G75" s="14">
        <v>0.4</v>
      </c>
      <c r="H75" s="15"/>
    </row>
    <row r="76" spans="1:8" ht="13" customHeight="1">
      <c r="A76" s="2"/>
      <c r="B76" s="7" t="s">
        <v>219</v>
      </c>
      <c r="C76" s="8"/>
      <c r="D76" s="8"/>
      <c r="E76" s="8"/>
      <c r="F76" s="16">
        <v>1855</v>
      </c>
      <c r="G76" s="16">
        <v>0.4</v>
      </c>
      <c r="H76" s="17"/>
    </row>
    <row r="77" spans="1:8" ht="13" customHeight="1">
      <c r="A77" s="2"/>
      <c r="B77" s="18" t="s">
        <v>220</v>
      </c>
      <c r="C77" s="19"/>
      <c r="D77" s="19"/>
      <c r="E77" s="20"/>
      <c r="F77" s="21" t="s">
        <v>221</v>
      </c>
      <c r="G77" s="21" t="s">
        <v>221</v>
      </c>
      <c r="H77" s="22" t="s">
        <v>221</v>
      </c>
    </row>
    <row r="78" spans="1:8" ht="13" customHeight="1">
      <c r="A78" s="2"/>
      <c r="B78" s="23" t="s">
        <v>219</v>
      </c>
      <c r="C78" s="24"/>
      <c r="D78" s="24"/>
      <c r="E78" s="21"/>
      <c r="F78" s="21" t="s">
        <v>221</v>
      </c>
      <c r="G78" s="21" t="s">
        <v>221</v>
      </c>
      <c r="H78" s="22" t="s">
        <v>221</v>
      </c>
    </row>
    <row r="79" spans="1:8" ht="13" customHeight="1">
      <c r="A79" s="2"/>
      <c r="B79" s="18" t="s">
        <v>222</v>
      </c>
      <c r="C79" s="19"/>
      <c r="D79" s="19"/>
      <c r="E79" s="25"/>
      <c r="F79" s="16">
        <v>1855</v>
      </c>
      <c r="G79" s="16">
        <v>0.4</v>
      </c>
      <c r="H79" s="22"/>
    </row>
    <row r="80" spans="1:8" ht="13" customHeight="1">
      <c r="A80" s="2"/>
      <c r="B80" s="7" t="s">
        <v>227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228</v>
      </c>
      <c r="C81" s="10"/>
      <c r="D81" s="10"/>
      <c r="E81" s="8"/>
      <c r="F81" s="8"/>
      <c r="G81" s="8"/>
      <c r="H81" s="9"/>
    </row>
    <row r="82" spans="1:8" ht="13" customHeight="1">
      <c r="A82" s="1" t="s">
        <v>229</v>
      </c>
      <c r="B82" s="11" t="s">
        <v>230</v>
      </c>
      <c r="C82" s="12"/>
      <c r="D82" s="8"/>
      <c r="E82" s="13"/>
      <c r="F82" s="14">
        <v>8725.3700000000008</v>
      </c>
      <c r="G82" s="14">
        <v>1.9</v>
      </c>
      <c r="H82" s="15">
        <v>5.146455762333374E-2</v>
      </c>
    </row>
    <row r="83" spans="1:8" ht="13" customHeight="1">
      <c r="A83" s="2"/>
      <c r="B83" s="7" t="s">
        <v>219</v>
      </c>
      <c r="C83" s="8"/>
      <c r="D83" s="8"/>
      <c r="E83" s="8"/>
      <c r="F83" s="16">
        <v>8725.3700000000008</v>
      </c>
      <c r="G83" s="16">
        <v>1.9</v>
      </c>
      <c r="H83" s="17"/>
    </row>
    <row r="84" spans="1:8" ht="13" customHeight="1">
      <c r="A84" s="2"/>
      <c r="B84" s="18" t="s">
        <v>222</v>
      </c>
      <c r="C84" s="19"/>
      <c r="D84" s="19"/>
      <c r="E84" s="25"/>
      <c r="F84" s="16">
        <v>8725.3700000000008</v>
      </c>
      <c r="G84" s="16">
        <v>1.9</v>
      </c>
      <c r="H84" s="22"/>
    </row>
    <row r="85" spans="1:8" ht="13" customHeight="1">
      <c r="A85" s="2"/>
      <c r="B85" s="7" t="s">
        <v>231</v>
      </c>
      <c r="C85" s="8"/>
      <c r="D85" s="8"/>
      <c r="E85" s="8"/>
      <c r="F85" s="8"/>
      <c r="G85" s="8"/>
      <c r="H85" s="9"/>
    </row>
    <row r="86" spans="1:8" ht="13" customHeight="1">
      <c r="A86" s="2"/>
      <c r="B86" s="7" t="s">
        <v>232</v>
      </c>
      <c r="C86" s="10"/>
      <c r="D86" s="10"/>
      <c r="E86" s="8"/>
      <c r="F86" s="8"/>
      <c r="G86" s="8"/>
      <c r="H86" s="9"/>
    </row>
    <row r="87" spans="1:8" ht="13" customHeight="1">
      <c r="A87" s="1" t="s">
        <v>233</v>
      </c>
      <c r="B87" s="11" t="s">
        <v>234</v>
      </c>
      <c r="C87" s="12" t="s">
        <v>235</v>
      </c>
      <c r="D87" s="8"/>
      <c r="E87" s="26">
        <v>2E-3</v>
      </c>
      <c r="F87" s="14">
        <v>0</v>
      </c>
      <c r="G87" s="27" t="s">
        <v>236</v>
      </c>
      <c r="H87" s="15"/>
    </row>
    <row r="88" spans="1:8" ht="13" customHeight="1">
      <c r="A88" s="2"/>
      <c r="B88" s="7" t="s">
        <v>219</v>
      </c>
      <c r="C88" s="8"/>
      <c r="D88" s="8"/>
      <c r="E88" s="8"/>
      <c r="F88" s="16">
        <v>0</v>
      </c>
      <c r="G88" s="28" t="s">
        <v>236</v>
      </c>
      <c r="H88" s="17"/>
    </row>
    <row r="89" spans="1:8" ht="13" customHeight="1">
      <c r="A89" s="2"/>
      <c r="B89" s="7" t="s">
        <v>237</v>
      </c>
      <c r="C89" s="8"/>
      <c r="D89" s="8"/>
      <c r="E89" s="8"/>
      <c r="F89" s="29"/>
      <c r="G89" s="30"/>
      <c r="H89" s="17"/>
    </row>
    <row r="90" spans="1:8" ht="13" customHeight="1">
      <c r="A90" s="1" t="s">
        <v>238</v>
      </c>
      <c r="B90" s="11" t="s">
        <v>239</v>
      </c>
      <c r="C90" s="12" t="s">
        <v>240</v>
      </c>
      <c r="D90" s="8" t="s">
        <v>75</v>
      </c>
      <c r="E90" s="13">
        <v>1037764</v>
      </c>
      <c r="F90" s="14">
        <v>106.09</v>
      </c>
      <c r="G90" s="14">
        <v>0.02</v>
      </c>
      <c r="H90" s="15"/>
    </row>
    <row r="91" spans="1:8" ht="13" customHeight="1">
      <c r="A91" s="2"/>
      <c r="B91" s="7" t="s">
        <v>219</v>
      </c>
      <c r="C91" s="8"/>
      <c r="D91" s="8"/>
      <c r="E91" s="8"/>
      <c r="F91" s="16">
        <f>F90</f>
        <v>106.09</v>
      </c>
      <c r="G91" s="16">
        <f>G90</f>
        <v>0.02</v>
      </c>
      <c r="H91" s="17"/>
    </row>
    <row r="92" spans="1:8" ht="13" customHeight="1">
      <c r="A92" s="2"/>
      <c r="B92" s="18" t="s">
        <v>222</v>
      </c>
      <c r="C92" s="19"/>
      <c r="D92" s="19"/>
      <c r="E92" s="25"/>
      <c r="F92" s="16">
        <f>F87+F91</f>
        <v>106.09</v>
      </c>
      <c r="G92" s="16">
        <f>G91</f>
        <v>0.02</v>
      </c>
      <c r="H92" s="22"/>
    </row>
    <row r="93" spans="1:8" ht="13" customHeight="1">
      <c r="A93" s="2"/>
      <c r="B93" s="18" t="s">
        <v>241</v>
      </c>
      <c r="C93" s="19"/>
      <c r="D93" s="19"/>
      <c r="E93" s="8"/>
      <c r="F93" s="16">
        <v>-329.35</v>
      </c>
      <c r="G93" s="16">
        <v>-7.0000000000000007E-2</v>
      </c>
      <c r="H93" s="22"/>
    </row>
    <row r="94" spans="1:8" ht="13" customHeight="1" thickBot="1">
      <c r="A94" s="2"/>
      <c r="B94" s="31" t="s">
        <v>242</v>
      </c>
      <c r="C94" s="32"/>
      <c r="D94" s="32"/>
      <c r="E94" s="32"/>
      <c r="F94" s="33">
        <v>458413.87</v>
      </c>
      <c r="G94" s="34">
        <v>100</v>
      </c>
      <c r="H94" s="35"/>
    </row>
    <row r="95" spans="1:8" ht="13" customHeight="1">
      <c r="A95" s="2"/>
      <c r="B95" s="40"/>
      <c r="C95" s="40"/>
      <c r="D95" s="40"/>
      <c r="E95" s="40"/>
      <c r="F95" s="2"/>
      <c r="G95" s="2"/>
      <c r="H95" s="2"/>
    </row>
    <row r="96" spans="1:8" ht="13" customHeight="1">
      <c r="A96" s="2"/>
      <c r="B96" s="40" t="s">
        <v>243</v>
      </c>
      <c r="C96" s="40"/>
      <c r="D96" s="40"/>
      <c r="E96" s="40"/>
      <c r="F96" s="37"/>
      <c r="G96" s="37"/>
      <c r="H96" s="2"/>
    </row>
    <row r="97" spans="1:8" ht="13" customHeight="1">
      <c r="A97" s="2"/>
      <c r="B97" s="40" t="s">
        <v>244</v>
      </c>
      <c r="C97" s="40"/>
      <c r="D97" s="40"/>
      <c r="E97" s="40"/>
      <c r="F97" s="2"/>
      <c r="G97" s="2"/>
      <c r="H97" s="2"/>
    </row>
    <row r="98" spans="1:8" ht="13" customHeight="1">
      <c r="A98" s="2"/>
      <c r="B98" s="40" t="s">
        <v>245</v>
      </c>
      <c r="C98" s="40"/>
      <c r="D98" s="40"/>
      <c r="E98" s="40"/>
      <c r="F98" s="2"/>
      <c r="G98" s="2"/>
      <c r="H98" s="2"/>
    </row>
    <row r="99" spans="1:8" ht="13" customHeight="1">
      <c r="A99" s="2"/>
      <c r="B99" s="41" t="s">
        <v>246</v>
      </c>
      <c r="C99" s="42"/>
      <c r="D99" s="42"/>
      <c r="E99" s="42"/>
      <c r="F99" s="2"/>
      <c r="G99" s="2"/>
      <c r="H99" s="2"/>
    </row>
    <row r="100" spans="1:8" ht="13" customHeight="1">
      <c r="A100" s="2"/>
      <c r="B100" s="40" t="s">
        <v>247</v>
      </c>
      <c r="C100" s="40"/>
      <c r="D100" s="40"/>
      <c r="E100" s="40"/>
      <c r="F100" s="2"/>
      <c r="G100" s="2"/>
      <c r="H100" s="2"/>
    </row>
    <row r="101" spans="1:8" ht="13" customHeight="1">
      <c r="A101" s="2"/>
      <c r="B101" s="36"/>
      <c r="C101" s="36"/>
      <c r="D101" s="36"/>
      <c r="E101" s="36"/>
      <c r="F101" s="2"/>
      <c r="G101" s="2"/>
      <c r="H101" s="2"/>
    </row>
    <row r="102" spans="1:8" ht="13" customHeight="1">
      <c r="A102" s="2"/>
      <c r="B102" s="40" t="s">
        <v>248</v>
      </c>
      <c r="C102" s="40"/>
      <c r="D102" s="40"/>
      <c r="E102" s="40"/>
      <c r="F102" s="2"/>
      <c r="G102" s="2"/>
      <c r="H102" s="2"/>
    </row>
    <row r="103" spans="1:8" ht="13" customHeight="1">
      <c r="A103" s="2"/>
      <c r="B103" s="39" t="s">
        <v>249</v>
      </c>
      <c r="C103" s="39"/>
      <c r="D103" s="39"/>
      <c r="E103" s="39"/>
      <c r="F103" s="2"/>
      <c r="G103" s="2"/>
      <c r="H103" s="2"/>
    </row>
    <row r="104" spans="1:8" ht="13" customHeight="1">
      <c r="A104" s="2"/>
      <c r="B104" s="39" t="s">
        <v>250</v>
      </c>
      <c r="C104" s="39"/>
      <c r="D104" s="39"/>
      <c r="E104" s="39"/>
      <c r="F104" s="2"/>
      <c r="G104" s="2"/>
      <c r="H104" s="2"/>
    </row>
    <row r="105" spans="1:8" ht="13" customHeight="1">
      <c r="A105" s="2"/>
      <c r="B105" s="39" t="s">
        <v>251</v>
      </c>
      <c r="C105" s="39"/>
      <c r="D105" s="39"/>
      <c r="E105" s="39"/>
      <c r="F105" s="39"/>
      <c r="G105" s="39"/>
      <c r="H105" s="39"/>
    </row>
    <row r="106" spans="1:8" ht="13" customHeight="1">
      <c r="A106" s="2"/>
      <c r="B106" s="39" t="s">
        <v>252</v>
      </c>
      <c r="C106" s="39"/>
      <c r="D106" s="39"/>
      <c r="E106" s="39"/>
      <c r="F106" s="39"/>
      <c r="G106" s="39"/>
      <c r="H106" s="39"/>
    </row>
    <row r="107" spans="1:8" ht="13" customHeight="1">
      <c r="A107" s="2"/>
      <c r="B107" s="39" t="s">
        <v>253</v>
      </c>
      <c r="C107" s="39"/>
      <c r="D107" s="39"/>
      <c r="E107" s="39"/>
      <c r="F107" s="2"/>
      <c r="G107" s="2"/>
      <c r="H107" s="2"/>
    </row>
    <row r="108" spans="1:8">
      <c r="F108" s="38" t="s">
        <v>254</v>
      </c>
    </row>
    <row r="109" spans="1:8">
      <c r="B109" s="38" t="s">
        <v>255</v>
      </c>
      <c r="F109" s="38" t="s">
        <v>256</v>
      </c>
    </row>
  </sheetData>
  <mergeCells count="16">
    <mergeCell ref="B96:E96"/>
    <mergeCell ref="B1:H1"/>
    <mergeCell ref="B2:H2"/>
    <mergeCell ref="B3:H3"/>
    <mergeCell ref="B4:H4"/>
    <mergeCell ref="B95:E95"/>
    <mergeCell ref="B104:E104"/>
    <mergeCell ref="B105:H105"/>
    <mergeCell ref="B106:H106"/>
    <mergeCell ref="B107:E107"/>
    <mergeCell ref="B97:E97"/>
    <mergeCell ref="B98:E98"/>
    <mergeCell ref="B99:E99"/>
    <mergeCell ref="B100:E100"/>
    <mergeCell ref="B102:E102"/>
    <mergeCell ref="B103:E10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5020-9961-4BD7-A251-477FEE401EE3}">
  <sheetPr codeName="Sheet7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257</v>
      </c>
      <c r="B1" s="40"/>
      <c r="C1" s="40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258</v>
      </c>
      <c r="B3" s="45"/>
      <c r="C3" s="2"/>
      <c r="D3" s="2"/>
      <c r="E3" s="45" t="s">
        <v>259</v>
      </c>
      <c r="F3" s="45"/>
    </row>
    <row r="4" spans="1:6" ht="13" customHeight="1">
      <c r="A4" s="46" t="s">
        <v>260</v>
      </c>
      <c r="B4" s="46" t="s">
        <v>9</v>
      </c>
      <c r="C4" s="2"/>
      <c r="D4" s="2"/>
      <c r="E4" s="46" t="s">
        <v>261</v>
      </c>
      <c r="F4" s="46" t="s">
        <v>262</v>
      </c>
    </row>
    <row r="5" spans="1:6" ht="13" customHeight="1">
      <c r="A5" s="19" t="s">
        <v>14</v>
      </c>
      <c r="B5" s="47">
        <v>6.3700000000000007E-2</v>
      </c>
      <c r="C5" s="2"/>
      <c r="D5" s="2"/>
      <c r="E5" s="19" t="s">
        <v>263</v>
      </c>
      <c r="F5" s="47">
        <v>0.33169999999999999</v>
      </c>
    </row>
    <row r="6" spans="1:6" ht="13" customHeight="1">
      <c r="A6" s="19" t="s">
        <v>18</v>
      </c>
      <c r="B6" s="47">
        <v>5.21E-2</v>
      </c>
      <c r="C6" s="2"/>
      <c r="D6" s="2"/>
      <c r="E6" s="19" t="s">
        <v>264</v>
      </c>
      <c r="F6" s="47">
        <v>0.11070000000000001</v>
      </c>
    </row>
    <row r="7" spans="1:6" ht="13" customHeight="1">
      <c r="A7" s="19" t="s">
        <v>21</v>
      </c>
      <c r="B7" s="47">
        <v>3.7100000000000001E-2</v>
      </c>
      <c r="C7" s="2"/>
      <c r="D7" s="2"/>
      <c r="E7" s="19" t="s">
        <v>265</v>
      </c>
      <c r="F7" s="47">
        <v>0.1003</v>
      </c>
    </row>
    <row r="8" spans="1:6" ht="13" customHeight="1">
      <c r="A8" s="19" t="s">
        <v>25</v>
      </c>
      <c r="B8" s="47">
        <v>3.61E-2</v>
      </c>
      <c r="C8" s="2"/>
      <c r="D8" s="2"/>
      <c r="E8" s="19" t="s">
        <v>266</v>
      </c>
      <c r="F8" s="47">
        <v>8.5599999999999996E-2</v>
      </c>
    </row>
    <row r="9" spans="1:6" ht="13" customHeight="1">
      <c r="A9" s="19" t="s">
        <v>29</v>
      </c>
      <c r="B9" s="47">
        <v>3.2399999999999998E-2</v>
      </c>
      <c r="C9" s="2"/>
      <c r="D9" s="2"/>
      <c r="E9" s="19" t="s">
        <v>267</v>
      </c>
      <c r="F9" s="47">
        <v>7.5899999999999995E-2</v>
      </c>
    </row>
    <row r="10" spans="1:6" ht="13" customHeight="1">
      <c r="A10" s="19" t="s">
        <v>268</v>
      </c>
      <c r="B10" s="47">
        <v>3.2099999999999997E-2</v>
      </c>
      <c r="C10" s="2"/>
      <c r="D10" s="2"/>
      <c r="E10" s="19" t="s">
        <v>269</v>
      </c>
      <c r="F10" s="47">
        <v>7.1599999999999997E-2</v>
      </c>
    </row>
    <row r="11" spans="1:6" ht="13" customHeight="1">
      <c r="A11" s="19" t="s">
        <v>37</v>
      </c>
      <c r="B11" s="47">
        <v>2.81E-2</v>
      </c>
      <c r="C11" s="2"/>
      <c r="D11" s="2"/>
      <c r="E11" s="19" t="s">
        <v>46</v>
      </c>
      <c r="F11" s="47">
        <v>6.5500000000000003E-2</v>
      </c>
    </row>
    <row r="12" spans="1:6" ht="13" customHeight="1">
      <c r="A12" s="19" t="s">
        <v>40</v>
      </c>
      <c r="B12" s="47">
        <v>2.75E-2</v>
      </c>
      <c r="C12" s="2"/>
      <c r="D12" s="2"/>
      <c r="E12" s="19" t="s">
        <v>270</v>
      </c>
      <c r="F12" s="47">
        <v>4.3299999999999998E-2</v>
      </c>
    </row>
    <row r="13" spans="1:6" ht="13" customHeight="1">
      <c r="A13" s="19" t="s">
        <v>44</v>
      </c>
      <c r="B13" s="47">
        <v>2.4E-2</v>
      </c>
      <c r="C13" s="2"/>
      <c r="D13" s="2"/>
      <c r="E13" s="19" t="s">
        <v>27</v>
      </c>
      <c r="F13" s="47">
        <v>3.61E-2</v>
      </c>
    </row>
    <row r="14" spans="1:6" ht="13" customHeight="1">
      <c r="A14" s="19" t="s">
        <v>48</v>
      </c>
      <c r="B14" s="47">
        <v>2.3E-2</v>
      </c>
      <c r="C14" s="2"/>
      <c r="D14" s="2"/>
      <c r="E14" s="19" t="s">
        <v>91</v>
      </c>
      <c r="F14" s="47">
        <v>0.03</v>
      </c>
    </row>
    <row r="15" spans="1:6" ht="13" customHeight="1">
      <c r="A15" s="2"/>
      <c r="B15" s="2"/>
      <c r="C15" s="2"/>
      <c r="D15" s="2"/>
      <c r="E15" s="19" t="s">
        <v>231</v>
      </c>
      <c r="F15" s="47">
        <v>1.9E-2</v>
      </c>
    </row>
    <row r="16" spans="1:6" ht="13" customHeight="1">
      <c r="A16" s="2"/>
      <c r="B16" s="2"/>
      <c r="C16" s="2"/>
      <c r="D16" s="2"/>
      <c r="E16" s="19" t="s">
        <v>271</v>
      </c>
      <c r="F16" s="47">
        <v>1.54E-2</v>
      </c>
    </row>
    <row r="17" spans="1:6" ht="13" customHeight="1">
      <c r="A17" s="2"/>
      <c r="B17" s="2"/>
      <c r="C17" s="2"/>
      <c r="D17" s="2"/>
      <c r="E17" s="19" t="s">
        <v>272</v>
      </c>
      <c r="F17" s="47">
        <v>1.5299999999999999E-2</v>
      </c>
    </row>
    <row r="18" spans="1:6" ht="13" customHeight="1">
      <c r="A18" s="2"/>
      <c r="B18" s="2"/>
      <c r="C18" s="2"/>
      <c r="D18" s="2"/>
      <c r="E18" s="19" t="s">
        <v>273</v>
      </c>
      <c r="F18" s="47">
        <v>-5.0000000000000001E-4</v>
      </c>
    </row>
    <row r="19" spans="1:6" ht="13" customHeight="1">
      <c r="A19" s="2"/>
      <c r="B19" s="2"/>
      <c r="C19" s="2"/>
      <c r="D19" s="2"/>
      <c r="E19" s="46" t="s">
        <v>274</v>
      </c>
      <c r="F19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2026-02-10T05:16:32Z</dcterms:created>
  <dcterms:modified xsi:type="dcterms:W3CDTF">2026-02-10T05:20:40Z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2026-02-10T05:16:34Z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ae43786c-c40e-4b47-bc11-e4e4c00b5e83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