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5723DC36-044A-4CE8-A03A-714F447DC5A7}" xr6:coauthVersionLast="47" xr6:coauthVersionMax="47" xr10:uidLastSave="{00000000-0000-0000-0000-000000000000}"/>
  <bookViews>
    <workbookView xWindow="-120" yWindow="-120" windowWidth="29040" windowHeight="15720" xr2:uid="{C6C6FF0D-5317-4067-9E03-66473D7432A3}"/>
  </bookViews>
  <sheets>
    <sheet name="Manufacturing Fund" sheetId="1" r:id="rId1"/>
    <sheet name="IMFGF" sheetId="2" r:id="rId2"/>
  </sheets>
  <definedNames>
    <definedName name="JR_PAGE_ANCHOR_0_12">'Manufacturing Fund'!$A$1</definedName>
    <definedName name="JR_PAGE_ANCHOR_0_13">IMFGF!$A$1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1" l="1"/>
  <c r="G73" i="1"/>
  <c r="G74" i="1" s="1"/>
  <c r="F73" i="1"/>
</calcChain>
</file>

<file path=xl/sharedStrings.xml><?xml version="1.0" encoding="utf-8"?>
<sst xmlns="http://schemas.openxmlformats.org/spreadsheetml/2006/main" count="298" uniqueCount="237">
  <si>
    <t>IMFGF</t>
  </si>
  <si>
    <t>INVESCO MUTUAL FUND</t>
  </si>
  <si>
    <t>Monthly Portfolio Statement as on November 30, 2025</t>
  </si>
  <si>
    <r>
      <rPr>
        <b/>
        <sz val="16"/>
        <color rgb="FFFFFFFF"/>
        <rFont val="Arial"/>
        <family val="2"/>
      </rPr>
      <t>Invesco India Manufacturing Fund
(An open ended equity scheme following manufacturing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</si>
  <si>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</si>
  <si>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</si>
  <si>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</si>
  <si>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</si>
  <si>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</si>
  <si>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</si>
  <si>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</si>
  <si>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</si>
  <si>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</si>
  <si>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</si>
  <si>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</si>
  <si>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</si>
  <si>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</si>
  <si>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</si>
  <si>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</si>
  <si>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</si>
  <si>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</si>
  <si>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CIPL03</t>
  </si>
  <si>
    <t>Cipla Limited</t>
  </si>
  <si>
    <t>INE059A01026</t>
  </si>
  <si>
    <t>Pharmaceuticals &amp; Biotechnology</t>
  </si>
  <si>
    <t>MAUD01</t>
  </si>
  <si>
    <t>Maruti Suzuki India Limited</t>
  </si>
  <si>
    <t>INE585B01010</t>
  </si>
  <si>
    <t>SAEL02</t>
  </si>
  <si>
    <t>TVS Motor Company Limited</t>
  </si>
  <si>
    <t>INE494B01023</t>
  </si>
  <si>
    <t>JKCE01</t>
  </si>
  <si>
    <t>JK Cement Limited</t>
  </si>
  <si>
    <t>INE823G01014</t>
  </si>
  <si>
    <t>Cement &amp; Cement Products</t>
  </si>
  <si>
    <t>AENP01</t>
  </si>
  <si>
    <t>Ather Energy Limited</t>
  </si>
  <si>
    <t>INE0LEZ01016</t>
  </si>
  <si>
    <t>GLPH03</t>
  </si>
  <si>
    <t>Glenmark Pharmaceuticals Limited</t>
  </si>
  <si>
    <t>INE935A01035</t>
  </si>
  <si>
    <t>LUPL02</t>
  </si>
  <si>
    <t>Lupin Limited</t>
  </si>
  <si>
    <t>INE326A01037</t>
  </si>
  <si>
    <t>DIVI02</t>
  </si>
  <si>
    <t>Divi's Laboratories Limited</t>
  </si>
  <si>
    <t>INE361B01024</t>
  </si>
  <si>
    <t>ABBP01</t>
  </si>
  <si>
    <t>Hitachi Energy India Limited</t>
  </si>
  <si>
    <t>INE07Y701011</t>
  </si>
  <si>
    <t>Electrical Equipment</t>
  </si>
  <si>
    <t>HALT02</t>
  </si>
  <si>
    <t>Hindustan Aeronautics Limited</t>
  </si>
  <si>
    <t>INE066F01020</t>
  </si>
  <si>
    <t>DIXO02</t>
  </si>
  <si>
    <t>Dixon Technologies (India) Limited</t>
  </si>
  <si>
    <t>INE935N01020</t>
  </si>
  <si>
    <t>Consumer Durables</t>
  </si>
  <si>
    <t>POCA01</t>
  </si>
  <si>
    <t>Polycab India Limited</t>
  </si>
  <si>
    <t>INE455K01017</t>
  </si>
  <si>
    <t>Industrial Products</t>
  </si>
  <si>
    <t>FAGP02</t>
  </si>
  <si>
    <t>Schaeffler India Limited</t>
  </si>
  <si>
    <t>INE513A01022</t>
  </si>
  <si>
    <t>Auto Components</t>
  </si>
  <si>
    <t>TENN01</t>
  </si>
  <si>
    <t>Tenneco Clean Air India Limited</t>
  </si>
  <si>
    <t>INE19RI01016</t>
  </si>
  <si>
    <t>KAYN01</t>
  </si>
  <si>
    <t>Kaynes Technology India Limited</t>
  </si>
  <si>
    <t>INE918Z01012</t>
  </si>
  <si>
    <t>Industrial Manufacturing</t>
  </si>
  <si>
    <t>PPHA01</t>
  </si>
  <si>
    <t>Piramal Pharma Limited</t>
  </si>
  <si>
    <t>INE0DK501011</t>
  </si>
  <si>
    <t>GRAS02</t>
  </si>
  <si>
    <t>Grasim Industries Limited</t>
  </si>
  <si>
    <t>INE047A01021</t>
  </si>
  <si>
    <t>BPCL01</t>
  </si>
  <si>
    <t>Bharat Petroleum Corporation Limited</t>
  </si>
  <si>
    <t>INE029A01011</t>
  </si>
  <si>
    <t>Petroleum Products</t>
  </si>
  <si>
    <t>MKIP01</t>
  </si>
  <si>
    <t>Mankind Pharma Limited</t>
  </si>
  <si>
    <t>INE634S01028</t>
  </si>
  <si>
    <t>ASEA02</t>
  </si>
  <si>
    <t>ABB India Limited</t>
  </si>
  <si>
    <t>INE117A01022</t>
  </si>
  <si>
    <t>CROM02</t>
  </si>
  <si>
    <t>CG Power and Industrial Solutions Limited</t>
  </si>
  <si>
    <t>INE067A01029</t>
  </si>
  <si>
    <t>SAPH01</t>
  </si>
  <si>
    <t>Sai Life Sciences Limited</t>
  </si>
  <si>
    <t>INE570L01029</t>
  </si>
  <si>
    <t>KEII02</t>
  </si>
  <si>
    <t>KEI Industries Limited</t>
  </si>
  <si>
    <t>INE878B01027</t>
  </si>
  <si>
    <t>BWIN01</t>
  </si>
  <si>
    <t>Bansal Wire Industries Limited</t>
  </si>
  <si>
    <t>INE0B9K01025</t>
  </si>
  <si>
    <t>SAFI02</t>
  </si>
  <si>
    <t>Safari Industries (India) Limited</t>
  </si>
  <si>
    <t>INE429E01023</t>
  </si>
  <si>
    <t>BIKA02</t>
  </si>
  <si>
    <t>Bikaji Foods International Limited</t>
  </si>
  <si>
    <t>INE00E101023</t>
  </si>
  <si>
    <t>Food Products</t>
  </si>
  <si>
    <t>SONB01</t>
  </si>
  <si>
    <t>Sona BLW Precision Forgings Limited</t>
  </si>
  <si>
    <t>INE073K01018</t>
  </si>
  <si>
    <t>ALLI02</t>
  </si>
  <si>
    <t>GE Vernova T&amp;D India Limited</t>
  </si>
  <si>
    <t>INE200A01026</t>
  </si>
  <si>
    <t>CONB01</t>
  </si>
  <si>
    <t>Concord Biotech Limited</t>
  </si>
  <si>
    <t>INE338H01029</t>
  </si>
  <si>
    <t>POME02</t>
  </si>
  <si>
    <t>Poly Medicure Limited</t>
  </si>
  <si>
    <t>INE205C01021</t>
  </si>
  <si>
    <t>Healthcare Equipment &amp; Supplies</t>
  </si>
  <si>
    <t>BTUL02</t>
  </si>
  <si>
    <t>APL Apollo Tubes Limited</t>
  </si>
  <si>
    <t>INE702C01027</t>
  </si>
  <si>
    <t>MOSU03</t>
  </si>
  <si>
    <t>Samvardhana Motherson International Limited</t>
  </si>
  <si>
    <t>INE775A01035</t>
  </si>
  <si>
    <t>SOEL02</t>
  </si>
  <si>
    <t>Solar Industries India Limited</t>
  </si>
  <si>
    <t>INE343H01029</t>
  </si>
  <si>
    <t>Chemicals &amp; Petrochemicals</t>
  </si>
  <si>
    <t>JYCN01</t>
  </si>
  <si>
    <t>Jyoti CNC Automation Ltd</t>
  </si>
  <si>
    <t>INE980O01024</t>
  </si>
  <si>
    <t>DOMS01</t>
  </si>
  <si>
    <t>Doms Industries Limited</t>
  </si>
  <si>
    <t>INE321T01012</t>
  </si>
  <si>
    <t>Household Products</t>
  </si>
  <si>
    <t>BLUS03</t>
  </si>
  <si>
    <t>Blue Star Limited</t>
  </si>
  <si>
    <t>INE472A01039</t>
  </si>
  <si>
    <t>CSTL01</t>
  </si>
  <si>
    <t>Clean Science and Technology Limited</t>
  </si>
  <si>
    <t>INE227W01023</t>
  </si>
  <si>
    <t>HYUN01</t>
  </si>
  <si>
    <t>Hyundai Motor India Ltd</t>
  </si>
  <si>
    <t>INE0V6F01027</t>
  </si>
  <si>
    <t>SHYA01</t>
  </si>
  <si>
    <t>Shyam Metalics and Energy Limited</t>
  </si>
  <si>
    <t>INE810G01011</t>
  </si>
  <si>
    <t>TAHO01</t>
  </si>
  <si>
    <t>Honeywell Automation India Limited</t>
  </si>
  <si>
    <t>INE671A01010</t>
  </si>
  <si>
    <t>AMBE01</t>
  </si>
  <si>
    <t>Amber Enterprises India Limited ‡</t>
  </si>
  <si>
    <t>INE371P01015</t>
  </si>
  <si>
    <t>PTIN01</t>
  </si>
  <si>
    <t>PTC Industries Ltd</t>
  </si>
  <si>
    <t>INE596F01018</t>
  </si>
  <si>
    <t>SUVP01</t>
  </si>
  <si>
    <t>Cohance Lifesciences Limited</t>
  </si>
  <si>
    <t>INE03QK01018</t>
  </si>
  <si>
    <t>INCA01</t>
  </si>
  <si>
    <t>Innova Captab Limited</t>
  </si>
  <si>
    <t>INE0DUT01020</t>
  </si>
  <si>
    <t>GRIN02</t>
  </si>
  <si>
    <t>Grindwell Norton Limited</t>
  </si>
  <si>
    <t>INE536A01023</t>
  </si>
  <si>
    <t>GOEX02</t>
  </si>
  <si>
    <t>Gokaldas Exports Limited</t>
  </si>
  <si>
    <t>INE887G01027</t>
  </si>
  <si>
    <t>Textiles &amp; Apparels</t>
  </si>
  <si>
    <t>FOIL01</t>
  </si>
  <si>
    <t>Fine Organic Industries Limited</t>
  </si>
  <si>
    <t>INE686Y01026</t>
  </si>
  <si>
    <t>AETH01</t>
  </si>
  <si>
    <t>Aether Industries Limited</t>
  </si>
  <si>
    <t>INE0BWX01014</t>
  </si>
  <si>
    <t>SUPI02</t>
  </si>
  <si>
    <t>Supreme Industries Limited</t>
  </si>
  <si>
    <t>INE195A01028</t>
  </si>
  <si>
    <t>NETW01</t>
  </si>
  <si>
    <t>Net web Technologies India Limited</t>
  </si>
  <si>
    <t>INE0NT901020</t>
  </si>
  <si>
    <t>IT - Services</t>
  </si>
  <si>
    <t>TARL02</t>
  </si>
  <si>
    <t>Transformers And Rectifiers (India) Limited</t>
  </si>
  <si>
    <t>INE763I01026</t>
  </si>
  <si>
    <t>Sub Total</t>
  </si>
  <si>
    <t>(b) Unlisted</t>
  </si>
  <si>
    <t>Nil</t>
  </si>
  <si>
    <t>Total</t>
  </si>
  <si>
    <t>Money Market Instruments</t>
  </si>
  <si>
    <t>TREPS / Reverse Repo</t>
  </si>
  <si>
    <t>TRP_011225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</si>
  <si>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</si>
  <si>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</si>
  <si>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</si>
  <si>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</si>
  <si>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</si>
  <si>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</si>
  <si>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</si>
  <si>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</si>
  <si>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</si>
  <si>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</si>
  <si>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</si>
  <si>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</si>
  <si>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‡ Includes shares lent under Securities Lending &amp; Borrowing Scheme of BSE</t>
  </si>
  <si>
    <t>Name of the Security</t>
  </si>
  <si>
    <t>Shares</t>
  </si>
  <si>
    <t>Amber Enterprises India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</si>
  <si>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</si>
  <si>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</si>
  <si>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</si>
  <si>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November 30, 2025 Nil</t>
  </si>
  <si>
    <t>(4)  Total investments in Foreign Securities / Overseas ETFs as on November 30, 2025 Nil</t>
  </si>
  <si>
    <t>(5)  Deviation from the valuation prices given by valuation agencies during the month ended November 30, 2025: Nil</t>
  </si>
  <si>
    <t>BENCHMARK NAME - NIFTY INDIA MANUFACTURING TRI</t>
  </si>
  <si>
    <t>SCHEME RISK-O-METER</t>
  </si>
  <si>
    <t>BENCHMARK RISK-O-METER</t>
  </si>
  <si>
    <t>Scheme Name: Invesco India Manufacturing Fund (An open ended equity scheme following manufacturing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</si>
  <si>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</si>
  <si>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</si>
  <si>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</si>
  <si>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</si>
  <si>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</si>
  <si>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</si>
  <si>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Healthcare</t>
  </si>
  <si>
    <t>Automobile and Auto Components</t>
  </si>
  <si>
    <t>Construction Materials</t>
  </si>
  <si>
    <t>Chemicals</t>
  </si>
  <si>
    <t>Fast Moving Consumer Goods</t>
  </si>
  <si>
    <t>Oil Gas &amp; Consumable Fuels</t>
  </si>
  <si>
    <t>Textiles</t>
  </si>
  <si>
    <t>Information Technology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</si>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</sst>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376FC-230C-4262-93BF-EB61F47CBF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68783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8</xdr:col>
      <xdr:colOff>317500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690E93-D37F-4930-B22F-AE79035AEB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6878300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D44A-8803-445E-AC03-C3E5E65FDC4D}">
  <sheetPr codeName="Sheet15">
    <outlinePr summaryBelow="0"/>
  </sheetPr>
  <dimension ref="A1:H95"/>
  <sheetViews>
    <sheetView showGridLines="0" tabSelected="1" workbookViewId="0">
      <selection activeCell="B2" sqref="B2:H2"/>
    </sheetView>
  </sheetViews>
  <sheetFormatPr defaultRowHeight="15"/>
  <cols>
    <col min="1" max="1" width="2.85546875" customWidth="1"/>
    <col min="2" max="2" width="72.85546875" customWidth="1"/>
    <col min="3" max="3" width="16.42578125" customWidth="1"/>
    <col min="4" max="4" width="28.5703125" customWidth="1"/>
    <col min="5" max="5" width="14.140625" customWidth="1"/>
    <col min="6" max="6" width="15" customWidth="1"/>
    <col min="7" max="7" width="13.5703125" customWidth="1"/>
    <col min="8" max="8" width="7.85546875" customWidth="1"/>
  </cols>
  <sheetData>
    <row r="1" spans="1:8" ht="20.100000000000001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00000000000001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82.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2.95" customHeight="1" thickBot="1">
      <c r="A4" s="2"/>
      <c r="B4" s="40"/>
      <c r="C4" s="40"/>
      <c r="D4" s="40"/>
      <c r="E4" s="40"/>
      <c r="F4" s="40"/>
      <c r="G4" s="40"/>
      <c r="H4" s="40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73823</v>
      </c>
      <c r="F8" s="14">
        <v>2773.75</v>
      </c>
      <c r="G8" s="14">
        <v>3.81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627318</v>
      </c>
      <c r="F9" s="14">
        <v>2582.98</v>
      </c>
      <c r="G9" s="14">
        <v>3.55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168671</v>
      </c>
      <c r="F10" s="14">
        <v>2582.86</v>
      </c>
      <c r="G10" s="14">
        <v>3.55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15971</v>
      </c>
      <c r="F11" s="14">
        <v>2539.39</v>
      </c>
      <c r="G11" s="14">
        <v>3.49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69323</v>
      </c>
      <c r="F12" s="14">
        <v>2448.14</v>
      </c>
      <c r="G12" s="14">
        <v>3.36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41165</v>
      </c>
      <c r="F13" s="14">
        <v>2370.2800000000002</v>
      </c>
      <c r="G13" s="14">
        <v>3.25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327296</v>
      </c>
      <c r="F14" s="14">
        <v>2349.8200000000002</v>
      </c>
      <c r="G14" s="14">
        <v>3.23</v>
      </c>
      <c r="H14" s="15"/>
    </row>
    <row r="15" spans="1:8" ht="12.95" customHeight="1">
      <c r="A15" s="1" t="s">
        <v>38</v>
      </c>
      <c r="B15" s="11" t="s">
        <v>39</v>
      </c>
      <c r="C15" s="12" t="s">
        <v>40</v>
      </c>
      <c r="D15" s="8" t="s">
        <v>24</v>
      </c>
      <c r="E15" s="13">
        <v>120554</v>
      </c>
      <c r="F15" s="14">
        <v>2346.2199999999998</v>
      </c>
      <c r="G15" s="14">
        <v>3.22</v>
      </c>
      <c r="H15" s="15"/>
    </row>
    <row r="16" spans="1:8" ht="12.95" customHeight="1">
      <c r="A16" s="1" t="s">
        <v>41</v>
      </c>
      <c r="B16" s="11" t="s">
        <v>42</v>
      </c>
      <c r="C16" s="12" t="s">
        <v>43</v>
      </c>
      <c r="D16" s="8" t="s">
        <v>24</v>
      </c>
      <c r="E16" s="13">
        <v>109976</v>
      </c>
      <c r="F16" s="14">
        <v>2289.92</v>
      </c>
      <c r="G16" s="14">
        <v>3.14</v>
      </c>
      <c r="H16" s="15"/>
    </row>
    <row r="17" spans="1:8" ht="12.95" customHeight="1">
      <c r="A17" s="1" t="s">
        <v>44</v>
      </c>
      <c r="B17" s="11" t="s">
        <v>45</v>
      </c>
      <c r="C17" s="12" t="s">
        <v>46</v>
      </c>
      <c r="D17" s="8" t="s">
        <v>24</v>
      </c>
      <c r="E17" s="13">
        <v>34512</v>
      </c>
      <c r="F17" s="14">
        <v>2235.34</v>
      </c>
      <c r="G17" s="14">
        <v>3.07</v>
      </c>
      <c r="H17" s="15"/>
    </row>
    <row r="18" spans="1:8" ht="12.95" customHeight="1">
      <c r="A18" s="1" t="s">
        <v>47</v>
      </c>
      <c r="B18" s="11" t="s">
        <v>48</v>
      </c>
      <c r="C18" s="12" t="s">
        <v>49</v>
      </c>
      <c r="D18" s="8" t="s">
        <v>50</v>
      </c>
      <c r="E18" s="13">
        <v>9243</v>
      </c>
      <c r="F18" s="14">
        <v>2038.64</v>
      </c>
      <c r="G18" s="14">
        <v>2.8</v>
      </c>
      <c r="H18" s="15"/>
    </row>
    <row r="19" spans="1:8" ht="12.95" customHeight="1">
      <c r="A19" s="1" t="s">
        <v>51</v>
      </c>
      <c r="B19" s="11" t="s">
        <v>52</v>
      </c>
      <c r="C19" s="12" t="s">
        <v>53</v>
      </c>
      <c r="D19" s="8" t="s">
        <v>20</v>
      </c>
      <c r="E19" s="13">
        <v>42947</v>
      </c>
      <c r="F19" s="14">
        <v>1950.82</v>
      </c>
      <c r="G19" s="14">
        <v>2.68</v>
      </c>
      <c r="H19" s="15"/>
    </row>
    <row r="20" spans="1:8" ht="12.95" customHeight="1">
      <c r="A20" s="1" t="s">
        <v>54</v>
      </c>
      <c r="B20" s="11" t="s">
        <v>55</v>
      </c>
      <c r="C20" s="12" t="s">
        <v>56</v>
      </c>
      <c r="D20" s="8" t="s">
        <v>57</v>
      </c>
      <c r="E20" s="13">
        <v>13327</v>
      </c>
      <c r="F20" s="14">
        <v>1945.88</v>
      </c>
      <c r="G20" s="14">
        <v>2.67</v>
      </c>
      <c r="H20" s="15"/>
    </row>
    <row r="21" spans="1:8" ht="12.95" customHeight="1">
      <c r="A21" s="1" t="s">
        <v>58</v>
      </c>
      <c r="B21" s="11" t="s">
        <v>59</v>
      </c>
      <c r="C21" s="12" t="s">
        <v>60</v>
      </c>
      <c r="D21" s="8" t="s">
        <v>61</v>
      </c>
      <c r="E21" s="13">
        <v>25359</v>
      </c>
      <c r="F21" s="14">
        <v>1894.32</v>
      </c>
      <c r="G21" s="14">
        <v>2.6</v>
      </c>
      <c r="H21" s="15"/>
    </row>
    <row r="22" spans="1:8" ht="12.95" customHeight="1">
      <c r="A22" s="1" t="s">
        <v>62</v>
      </c>
      <c r="B22" s="11" t="s">
        <v>63</v>
      </c>
      <c r="C22" s="12" t="s">
        <v>64</v>
      </c>
      <c r="D22" s="8" t="s">
        <v>65</v>
      </c>
      <c r="E22" s="13">
        <v>48571</v>
      </c>
      <c r="F22" s="14">
        <v>1893.98</v>
      </c>
      <c r="G22" s="14">
        <v>2.6</v>
      </c>
      <c r="H22" s="15"/>
    </row>
    <row r="23" spans="1:8" ht="12.95" customHeight="1">
      <c r="A23" s="1" t="s">
        <v>66</v>
      </c>
      <c r="B23" s="11" t="s">
        <v>67</v>
      </c>
      <c r="C23" s="12" t="s">
        <v>68</v>
      </c>
      <c r="D23" s="8" t="s">
        <v>65</v>
      </c>
      <c r="E23" s="13">
        <v>377844</v>
      </c>
      <c r="F23" s="14">
        <v>1828.58</v>
      </c>
      <c r="G23" s="14">
        <v>2.5099999999999998</v>
      </c>
      <c r="H23" s="15"/>
    </row>
    <row r="24" spans="1:8" ht="12.95" customHeight="1">
      <c r="A24" s="1" t="s">
        <v>69</v>
      </c>
      <c r="B24" s="11" t="s">
        <v>70</v>
      </c>
      <c r="C24" s="12" t="s">
        <v>71</v>
      </c>
      <c r="D24" s="8" t="s">
        <v>72</v>
      </c>
      <c r="E24" s="13">
        <v>30961</v>
      </c>
      <c r="F24" s="14">
        <v>1699.76</v>
      </c>
      <c r="G24" s="14">
        <v>2.33</v>
      </c>
      <c r="H24" s="15"/>
    </row>
    <row r="25" spans="1:8" ht="12.95" customHeight="1">
      <c r="A25" s="1" t="s">
        <v>73</v>
      </c>
      <c r="B25" s="11" t="s">
        <v>74</v>
      </c>
      <c r="C25" s="12" t="s">
        <v>75</v>
      </c>
      <c r="D25" s="8" t="s">
        <v>24</v>
      </c>
      <c r="E25" s="13">
        <v>874139</v>
      </c>
      <c r="F25" s="14">
        <v>1636.48</v>
      </c>
      <c r="G25" s="14">
        <v>2.25</v>
      </c>
      <c r="H25" s="15"/>
    </row>
    <row r="26" spans="1:8" ht="12.95" customHeight="1">
      <c r="A26" s="1" t="s">
        <v>76</v>
      </c>
      <c r="B26" s="11" t="s">
        <v>77</v>
      </c>
      <c r="C26" s="12" t="s">
        <v>78</v>
      </c>
      <c r="D26" s="8" t="s">
        <v>34</v>
      </c>
      <c r="E26" s="13">
        <v>58727</v>
      </c>
      <c r="F26" s="14">
        <v>1608.77</v>
      </c>
      <c r="G26" s="14">
        <v>2.21</v>
      </c>
      <c r="H26" s="15"/>
    </row>
    <row r="27" spans="1:8" ht="12.95" customHeight="1">
      <c r="A27" s="1" t="s">
        <v>79</v>
      </c>
      <c r="B27" s="11" t="s">
        <v>80</v>
      </c>
      <c r="C27" s="12" t="s">
        <v>81</v>
      </c>
      <c r="D27" s="8" t="s">
        <v>82</v>
      </c>
      <c r="E27" s="13">
        <v>447423</v>
      </c>
      <c r="F27" s="14">
        <v>1606.7</v>
      </c>
      <c r="G27" s="14">
        <v>2.21</v>
      </c>
      <c r="H27" s="15"/>
    </row>
    <row r="28" spans="1:8" ht="12.95" customHeight="1">
      <c r="A28" s="1" t="s">
        <v>83</v>
      </c>
      <c r="B28" s="11" t="s">
        <v>84</v>
      </c>
      <c r="C28" s="12" t="s">
        <v>85</v>
      </c>
      <c r="D28" s="8" t="s">
        <v>24</v>
      </c>
      <c r="E28" s="13">
        <v>61655</v>
      </c>
      <c r="F28" s="14">
        <v>1387.85</v>
      </c>
      <c r="G28" s="14">
        <v>1.91</v>
      </c>
      <c r="H28" s="15"/>
    </row>
    <row r="29" spans="1:8" ht="12.95" customHeight="1">
      <c r="A29" s="1" t="s">
        <v>86</v>
      </c>
      <c r="B29" s="11" t="s">
        <v>87</v>
      </c>
      <c r="C29" s="12" t="s">
        <v>88</v>
      </c>
      <c r="D29" s="8" t="s">
        <v>50</v>
      </c>
      <c r="E29" s="13">
        <v>25966</v>
      </c>
      <c r="F29" s="14">
        <v>1343.74</v>
      </c>
      <c r="G29" s="14">
        <v>1.84</v>
      </c>
      <c r="H29" s="15"/>
    </row>
    <row r="30" spans="1:8" ht="12.95" customHeight="1">
      <c r="A30" s="1" t="s">
        <v>89</v>
      </c>
      <c r="B30" s="11" t="s">
        <v>90</v>
      </c>
      <c r="C30" s="12" t="s">
        <v>91</v>
      </c>
      <c r="D30" s="8" t="s">
        <v>50</v>
      </c>
      <c r="E30" s="13">
        <v>186463</v>
      </c>
      <c r="F30" s="14">
        <v>1254.71</v>
      </c>
      <c r="G30" s="14">
        <v>1.72</v>
      </c>
      <c r="H30" s="15"/>
    </row>
    <row r="31" spans="1:8" ht="12.95" customHeight="1">
      <c r="A31" s="1" t="s">
        <v>92</v>
      </c>
      <c r="B31" s="11" t="s">
        <v>93</v>
      </c>
      <c r="C31" s="12" t="s">
        <v>94</v>
      </c>
      <c r="D31" s="8" t="s">
        <v>24</v>
      </c>
      <c r="E31" s="13">
        <v>140011</v>
      </c>
      <c r="F31" s="14">
        <v>1238.26</v>
      </c>
      <c r="G31" s="14">
        <v>1.7</v>
      </c>
      <c r="H31" s="15"/>
    </row>
    <row r="32" spans="1:8" ht="12.95" customHeight="1">
      <c r="A32" s="1" t="s">
        <v>95</v>
      </c>
      <c r="B32" s="11" t="s">
        <v>96</v>
      </c>
      <c r="C32" s="12" t="s">
        <v>97</v>
      </c>
      <c r="D32" s="8" t="s">
        <v>61</v>
      </c>
      <c r="E32" s="13">
        <v>29235</v>
      </c>
      <c r="F32" s="14">
        <v>1211.97</v>
      </c>
      <c r="G32" s="14">
        <v>1.66</v>
      </c>
      <c r="H32" s="15"/>
    </row>
    <row r="33" spans="1:8" ht="12.95" customHeight="1">
      <c r="A33" s="1" t="s">
        <v>98</v>
      </c>
      <c r="B33" s="11" t="s">
        <v>99</v>
      </c>
      <c r="C33" s="12" t="s">
        <v>100</v>
      </c>
      <c r="D33" s="8" t="s">
        <v>61</v>
      </c>
      <c r="E33" s="13">
        <v>369023</v>
      </c>
      <c r="F33" s="14">
        <v>1195.82</v>
      </c>
      <c r="G33" s="14">
        <v>1.64</v>
      </c>
      <c r="H33" s="15"/>
    </row>
    <row r="34" spans="1:8" ht="12.95" customHeight="1">
      <c r="A34" s="1" t="s">
        <v>101</v>
      </c>
      <c r="B34" s="11" t="s">
        <v>102</v>
      </c>
      <c r="C34" s="12" t="s">
        <v>103</v>
      </c>
      <c r="D34" s="8" t="s">
        <v>57</v>
      </c>
      <c r="E34" s="13">
        <v>48292</v>
      </c>
      <c r="F34" s="14">
        <v>1173.4000000000001</v>
      </c>
      <c r="G34" s="14">
        <v>1.61</v>
      </c>
      <c r="H34" s="15"/>
    </row>
    <row r="35" spans="1:8" ht="12.95" customHeight="1">
      <c r="A35" s="1" t="s">
        <v>104</v>
      </c>
      <c r="B35" s="11" t="s">
        <v>105</v>
      </c>
      <c r="C35" s="12" t="s">
        <v>106</v>
      </c>
      <c r="D35" s="8" t="s">
        <v>107</v>
      </c>
      <c r="E35" s="13">
        <v>160149</v>
      </c>
      <c r="F35" s="14">
        <v>1148.51</v>
      </c>
      <c r="G35" s="14">
        <v>1.58</v>
      </c>
      <c r="H35" s="15"/>
    </row>
    <row r="36" spans="1:8" ht="12.95" customHeight="1">
      <c r="A36" s="1" t="s">
        <v>108</v>
      </c>
      <c r="B36" s="11" t="s">
        <v>109</v>
      </c>
      <c r="C36" s="12" t="s">
        <v>110</v>
      </c>
      <c r="D36" s="8" t="s">
        <v>65</v>
      </c>
      <c r="E36" s="13">
        <v>213486</v>
      </c>
      <c r="F36" s="14">
        <v>1092.51</v>
      </c>
      <c r="G36" s="14">
        <v>1.5</v>
      </c>
      <c r="H36" s="15"/>
    </row>
    <row r="37" spans="1:8" ht="12.95" customHeight="1">
      <c r="A37" s="1" t="s">
        <v>111</v>
      </c>
      <c r="B37" s="11" t="s">
        <v>112</v>
      </c>
      <c r="C37" s="12" t="s">
        <v>113</v>
      </c>
      <c r="D37" s="8" t="s">
        <v>50</v>
      </c>
      <c r="E37" s="13">
        <v>35657</v>
      </c>
      <c r="F37" s="14">
        <v>1027.42</v>
      </c>
      <c r="G37" s="14">
        <v>1.41</v>
      </c>
      <c r="H37" s="15"/>
    </row>
    <row r="38" spans="1:8" ht="12.95" customHeight="1">
      <c r="A38" s="1" t="s">
        <v>114</v>
      </c>
      <c r="B38" s="11" t="s">
        <v>115</v>
      </c>
      <c r="C38" s="12" t="s">
        <v>116</v>
      </c>
      <c r="D38" s="8" t="s">
        <v>24</v>
      </c>
      <c r="E38" s="13">
        <v>70219</v>
      </c>
      <c r="F38" s="14">
        <v>995.42</v>
      </c>
      <c r="G38" s="14">
        <v>1.37</v>
      </c>
      <c r="H38" s="15"/>
    </row>
    <row r="39" spans="1:8" ht="12.95" customHeight="1">
      <c r="A39" s="1" t="s">
        <v>117</v>
      </c>
      <c r="B39" s="11" t="s">
        <v>118</v>
      </c>
      <c r="C39" s="12" t="s">
        <v>119</v>
      </c>
      <c r="D39" s="8" t="s">
        <v>120</v>
      </c>
      <c r="E39" s="13">
        <v>50022</v>
      </c>
      <c r="F39" s="14">
        <v>969.98</v>
      </c>
      <c r="G39" s="14">
        <v>1.33</v>
      </c>
      <c r="H39" s="15"/>
    </row>
    <row r="40" spans="1:8" ht="12.95" customHeight="1">
      <c r="A40" s="1" t="s">
        <v>121</v>
      </c>
      <c r="B40" s="11" t="s">
        <v>122</v>
      </c>
      <c r="C40" s="12" t="s">
        <v>123</v>
      </c>
      <c r="D40" s="8" t="s">
        <v>61</v>
      </c>
      <c r="E40" s="13">
        <v>51591</v>
      </c>
      <c r="F40" s="14">
        <v>886.8</v>
      </c>
      <c r="G40" s="14">
        <v>1.22</v>
      </c>
      <c r="H40" s="15"/>
    </row>
    <row r="41" spans="1:8" ht="12.95" customHeight="1">
      <c r="A41" s="1" t="s">
        <v>124</v>
      </c>
      <c r="B41" s="11" t="s">
        <v>125</v>
      </c>
      <c r="C41" s="12" t="s">
        <v>126</v>
      </c>
      <c r="D41" s="8" t="s">
        <v>65</v>
      </c>
      <c r="E41" s="13">
        <v>759950</v>
      </c>
      <c r="F41" s="14">
        <v>883.9</v>
      </c>
      <c r="G41" s="14">
        <v>1.21</v>
      </c>
      <c r="H41" s="15"/>
    </row>
    <row r="42" spans="1:8" ht="12.95" customHeight="1">
      <c r="A42" s="1" t="s">
        <v>127</v>
      </c>
      <c r="B42" s="11" t="s">
        <v>128</v>
      </c>
      <c r="C42" s="12" t="s">
        <v>129</v>
      </c>
      <c r="D42" s="8" t="s">
        <v>130</v>
      </c>
      <c r="E42" s="13">
        <v>6469</v>
      </c>
      <c r="F42" s="14">
        <v>858.57</v>
      </c>
      <c r="G42" s="14">
        <v>1.18</v>
      </c>
      <c r="H42" s="15"/>
    </row>
    <row r="43" spans="1:8" ht="12.95" customHeight="1">
      <c r="A43" s="1" t="s">
        <v>131</v>
      </c>
      <c r="B43" s="11" t="s">
        <v>132</v>
      </c>
      <c r="C43" s="12" t="s">
        <v>133</v>
      </c>
      <c r="D43" s="8" t="s">
        <v>72</v>
      </c>
      <c r="E43" s="13">
        <v>84681</v>
      </c>
      <c r="F43" s="14">
        <v>855.49</v>
      </c>
      <c r="G43" s="14">
        <v>1.17</v>
      </c>
      <c r="H43" s="15"/>
    </row>
    <row r="44" spans="1:8" ht="12.95" customHeight="1">
      <c r="A44" s="1" t="s">
        <v>134</v>
      </c>
      <c r="B44" s="11" t="s">
        <v>135</v>
      </c>
      <c r="C44" s="12" t="s">
        <v>136</v>
      </c>
      <c r="D44" s="8" t="s">
        <v>137</v>
      </c>
      <c r="E44" s="13">
        <v>33573</v>
      </c>
      <c r="F44" s="14">
        <v>842.68</v>
      </c>
      <c r="G44" s="14">
        <v>1.1599999999999999</v>
      </c>
      <c r="H44" s="15"/>
    </row>
    <row r="45" spans="1:8" ht="12.95" customHeight="1">
      <c r="A45" s="1" t="s">
        <v>138</v>
      </c>
      <c r="B45" s="11" t="s">
        <v>139</v>
      </c>
      <c r="C45" s="12" t="s">
        <v>140</v>
      </c>
      <c r="D45" s="8" t="s">
        <v>57</v>
      </c>
      <c r="E45" s="13">
        <v>45982</v>
      </c>
      <c r="F45" s="14">
        <v>811.77</v>
      </c>
      <c r="G45" s="14">
        <v>1.1100000000000001</v>
      </c>
      <c r="H45" s="15"/>
    </row>
    <row r="46" spans="1:8" ht="12.95" customHeight="1">
      <c r="A46" s="1" t="s">
        <v>141</v>
      </c>
      <c r="B46" s="11" t="s">
        <v>142</v>
      </c>
      <c r="C46" s="12" t="s">
        <v>143</v>
      </c>
      <c r="D46" s="8" t="s">
        <v>130</v>
      </c>
      <c r="E46" s="13">
        <v>87941</v>
      </c>
      <c r="F46" s="14">
        <v>803.34</v>
      </c>
      <c r="G46" s="14">
        <v>1.1000000000000001</v>
      </c>
      <c r="H46" s="15"/>
    </row>
    <row r="47" spans="1:8" ht="12.95" customHeight="1">
      <c r="A47" s="1" t="s">
        <v>144</v>
      </c>
      <c r="B47" s="11" t="s">
        <v>145</v>
      </c>
      <c r="C47" s="12" t="s">
        <v>146</v>
      </c>
      <c r="D47" s="8" t="s">
        <v>16</v>
      </c>
      <c r="E47" s="13">
        <v>34453</v>
      </c>
      <c r="F47" s="14">
        <v>801.38</v>
      </c>
      <c r="G47" s="14">
        <v>1.1000000000000001</v>
      </c>
      <c r="H47" s="15"/>
    </row>
    <row r="48" spans="1:8" ht="12.95" customHeight="1">
      <c r="A48" s="1" t="s">
        <v>147</v>
      </c>
      <c r="B48" s="11" t="s">
        <v>148</v>
      </c>
      <c r="C48" s="12" t="s">
        <v>149</v>
      </c>
      <c r="D48" s="8" t="s">
        <v>61</v>
      </c>
      <c r="E48" s="13">
        <v>97891</v>
      </c>
      <c r="F48" s="14">
        <v>796.73</v>
      </c>
      <c r="G48" s="14">
        <v>1.0900000000000001</v>
      </c>
      <c r="H48" s="15"/>
    </row>
    <row r="49" spans="1:8" ht="12.95" customHeight="1">
      <c r="A49" s="1" t="s">
        <v>150</v>
      </c>
      <c r="B49" s="11" t="s">
        <v>151</v>
      </c>
      <c r="C49" s="12" t="s">
        <v>152</v>
      </c>
      <c r="D49" s="8" t="s">
        <v>72</v>
      </c>
      <c r="E49" s="13">
        <v>1984</v>
      </c>
      <c r="F49" s="14">
        <v>702.24</v>
      </c>
      <c r="G49" s="14">
        <v>0.96</v>
      </c>
      <c r="H49" s="15"/>
    </row>
    <row r="50" spans="1:8" ht="12.95" customHeight="1">
      <c r="A50" s="1" t="s">
        <v>153</v>
      </c>
      <c r="B50" s="11" t="s">
        <v>154</v>
      </c>
      <c r="C50" s="12" t="s">
        <v>155</v>
      </c>
      <c r="D50" s="8" t="s">
        <v>57</v>
      </c>
      <c r="E50" s="13">
        <v>9716</v>
      </c>
      <c r="F50" s="14">
        <v>697.71</v>
      </c>
      <c r="G50" s="14">
        <v>0.96</v>
      </c>
      <c r="H50" s="15"/>
    </row>
    <row r="51" spans="1:8" ht="12.95" customHeight="1">
      <c r="A51" s="1" t="s">
        <v>156</v>
      </c>
      <c r="B51" s="11" t="s">
        <v>157</v>
      </c>
      <c r="C51" s="12" t="s">
        <v>158</v>
      </c>
      <c r="D51" s="8" t="s">
        <v>61</v>
      </c>
      <c r="E51" s="13">
        <v>3565</v>
      </c>
      <c r="F51" s="14">
        <v>648.01</v>
      </c>
      <c r="G51" s="14">
        <v>0.89</v>
      </c>
      <c r="H51" s="15"/>
    </row>
    <row r="52" spans="1:8" ht="12.95" customHeight="1">
      <c r="A52" s="1" t="s">
        <v>159</v>
      </c>
      <c r="B52" s="11" t="s">
        <v>160</v>
      </c>
      <c r="C52" s="12" t="s">
        <v>161</v>
      </c>
      <c r="D52" s="8" t="s">
        <v>24</v>
      </c>
      <c r="E52" s="13">
        <v>114108</v>
      </c>
      <c r="F52" s="14">
        <v>644.03</v>
      </c>
      <c r="G52" s="14">
        <v>0.88</v>
      </c>
      <c r="H52" s="15"/>
    </row>
    <row r="53" spans="1:8" ht="12.95" customHeight="1">
      <c r="A53" s="1" t="s">
        <v>162</v>
      </c>
      <c r="B53" s="11" t="s">
        <v>163</v>
      </c>
      <c r="C53" s="12" t="s">
        <v>164</v>
      </c>
      <c r="D53" s="8" t="s">
        <v>24</v>
      </c>
      <c r="E53" s="13">
        <v>79883</v>
      </c>
      <c r="F53" s="14">
        <v>573.76</v>
      </c>
      <c r="G53" s="14">
        <v>0.79</v>
      </c>
      <c r="H53" s="15"/>
    </row>
    <row r="54" spans="1:8" ht="12.95" customHeight="1">
      <c r="A54" s="1" t="s">
        <v>165</v>
      </c>
      <c r="B54" s="11" t="s">
        <v>166</v>
      </c>
      <c r="C54" s="12" t="s">
        <v>167</v>
      </c>
      <c r="D54" s="8" t="s">
        <v>61</v>
      </c>
      <c r="E54" s="13">
        <v>35868</v>
      </c>
      <c r="F54" s="14">
        <v>557.96</v>
      </c>
      <c r="G54" s="14">
        <v>0.77</v>
      </c>
      <c r="H54" s="15"/>
    </row>
    <row r="55" spans="1:8" ht="12.95" customHeight="1">
      <c r="A55" s="1" t="s">
        <v>168</v>
      </c>
      <c r="B55" s="11" t="s">
        <v>169</v>
      </c>
      <c r="C55" s="12" t="s">
        <v>170</v>
      </c>
      <c r="D55" s="8" t="s">
        <v>171</v>
      </c>
      <c r="E55" s="13">
        <v>59656</v>
      </c>
      <c r="F55" s="14">
        <v>553.30999999999995</v>
      </c>
      <c r="G55" s="14">
        <v>0.76</v>
      </c>
      <c r="H55" s="15"/>
    </row>
    <row r="56" spans="1:8" ht="12.95" customHeight="1">
      <c r="A56" s="1" t="s">
        <v>172</v>
      </c>
      <c r="B56" s="11" t="s">
        <v>173</v>
      </c>
      <c r="C56" s="12" t="s">
        <v>174</v>
      </c>
      <c r="D56" s="8" t="s">
        <v>130</v>
      </c>
      <c r="E56" s="13">
        <v>11859</v>
      </c>
      <c r="F56" s="14">
        <v>524</v>
      </c>
      <c r="G56" s="14">
        <v>0.72</v>
      </c>
      <c r="H56" s="15"/>
    </row>
    <row r="57" spans="1:8" ht="12.95" customHeight="1">
      <c r="A57" s="1" t="s">
        <v>175</v>
      </c>
      <c r="B57" s="11" t="s">
        <v>176</v>
      </c>
      <c r="C57" s="12" t="s">
        <v>177</v>
      </c>
      <c r="D57" s="8" t="s">
        <v>130</v>
      </c>
      <c r="E57" s="13">
        <v>57933</v>
      </c>
      <c r="F57" s="14">
        <v>508.19</v>
      </c>
      <c r="G57" s="14">
        <v>0.7</v>
      </c>
      <c r="H57" s="15"/>
    </row>
    <row r="58" spans="1:8" ht="12.95" customHeight="1">
      <c r="A58" s="1" t="s">
        <v>178</v>
      </c>
      <c r="B58" s="11" t="s">
        <v>179</v>
      </c>
      <c r="C58" s="12" t="s">
        <v>180</v>
      </c>
      <c r="D58" s="8" t="s">
        <v>61</v>
      </c>
      <c r="E58" s="13">
        <v>14774</v>
      </c>
      <c r="F58" s="14">
        <v>501.07</v>
      </c>
      <c r="G58" s="14">
        <v>0.69</v>
      </c>
      <c r="H58" s="15"/>
    </row>
    <row r="59" spans="1:8" ht="12.95" customHeight="1">
      <c r="A59" s="1" t="s">
        <v>181</v>
      </c>
      <c r="B59" s="11" t="s">
        <v>182</v>
      </c>
      <c r="C59" s="12" t="s">
        <v>183</v>
      </c>
      <c r="D59" s="8" t="s">
        <v>184</v>
      </c>
      <c r="E59" s="13">
        <v>14420</v>
      </c>
      <c r="F59" s="14">
        <v>474.62</v>
      </c>
      <c r="G59" s="14">
        <v>0.65</v>
      </c>
      <c r="H59" s="15"/>
    </row>
    <row r="60" spans="1:8" ht="12.95" customHeight="1">
      <c r="A60" s="1" t="s">
        <v>185</v>
      </c>
      <c r="B60" s="11" t="s">
        <v>186</v>
      </c>
      <c r="C60" s="12" t="s">
        <v>187</v>
      </c>
      <c r="D60" s="8" t="s">
        <v>50</v>
      </c>
      <c r="E60" s="13">
        <v>129276</v>
      </c>
      <c r="F60" s="14">
        <v>350.4</v>
      </c>
      <c r="G60" s="14">
        <v>0.48</v>
      </c>
      <c r="H60" s="15"/>
    </row>
    <row r="61" spans="1:8" ht="12.95" customHeight="1">
      <c r="A61" s="2"/>
      <c r="B61" s="7" t="s">
        <v>188</v>
      </c>
      <c r="C61" s="8"/>
      <c r="D61" s="8"/>
      <c r="E61" s="8"/>
      <c r="F61" s="16">
        <v>70938.179999999993</v>
      </c>
      <c r="G61" s="16">
        <v>97.39</v>
      </c>
      <c r="H61" s="17"/>
    </row>
    <row r="62" spans="1:8" ht="12.95" customHeight="1">
      <c r="A62" s="2"/>
      <c r="B62" s="18" t="s">
        <v>189</v>
      </c>
      <c r="C62" s="19"/>
      <c r="D62" s="19"/>
      <c r="E62" s="20"/>
      <c r="F62" s="21" t="s">
        <v>190</v>
      </c>
      <c r="G62" s="21" t="s">
        <v>190</v>
      </c>
      <c r="H62" s="22" t="s">
        <v>190</v>
      </c>
    </row>
    <row r="63" spans="1:8" ht="12.95" customHeight="1">
      <c r="A63" s="2"/>
      <c r="B63" s="23" t="s">
        <v>188</v>
      </c>
      <c r="C63" s="24"/>
      <c r="D63" s="24"/>
      <c r="E63" s="21"/>
      <c r="F63" s="21" t="s">
        <v>190</v>
      </c>
      <c r="G63" s="21" t="s">
        <v>190</v>
      </c>
      <c r="H63" s="22" t="s">
        <v>190</v>
      </c>
    </row>
    <row r="64" spans="1:8" ht="12.95" customHeight="1">
      <c r="A64" s="2"/>
      <c r="B64" s="18" t="s">
        <v>191</v>
      </c>
      <c r="C64" s="19"/>
      <c r="D64" s="19"/>
      <c r="E64" s="25"/>
      <c r="F64" s="16">
        <v>70938.179999999993</v>
      </c>
      <c r="G64" s="16">
        <v>97.39</v>
      </c>
      <c r="H64" s="22"/>
    </row>
    <row r="65" spans="1:8" ht="12.95" customHeight="1">
      <c r="A65" s="2"/>
      <c r="B65" s="7" t="s">
        <v>192</v>
      </c>
      <c r="C65" s="8"/>
      <c r="D65" s="8"/>
      <c r="E65" s="8"/>
      <c r="F65" s="8"/>
      <c r="G65" s="8"/>
      <c r="H65" s="9"/>
    </row>
    <row r="66" spans="1:8" ht="12.95" customHeight="1">
      <c r="A66" s="2"/>
      <c r="B66" s="7" t="s">
        <v>193</v>
      </c>
      <c r="C66" s="10"/>
      <c r="D66" s="10"/>
      <c r="E66" s="8"/>
      <c r="F66" s="8"/>
      <c r="G66" s="8"/>
      <c r="H66" s="9"/>
    </row>
    <row r="67" spans="1:8" ht="12.95" customHeight="1">
      <c r="A67" s="1" t="s">
        <v>194</v>
      </c>
      <c r="B67" s="11" t="s">
        <v>195</v>
      </c>
      <c r="C67" s="12"/>
      <c r="D67" s="8"/>
      <c r="E67" s="13"/>
      <c r="F67" s="14">
        <v>2076</v>
      </c>
      <c r="G67" s="14">
        <v>2.85</v>
      </c>
      <c r="H67" s="15">
        <v>5.3964738999999998E-2</v>
      </c>
    </row>
    <row r="68" spans="1:8" ht="12.95" customHeight="1">
      <c r="A68" s="2"/>
      <c r="B68" s="7" t="s">
        <v>188</v>
      </c>
      <c r="C68" s="8"/>
      <c r="D68" s="8"/>
      <c r="E68" s="8"/>
      <c r="F68" s="16">
        <v>2076</v>
      </c>
      <c r="G68" s="16">
        <v>2.85</v>
      </c>
      <c r="H68" s="17"/>
    </row>
    <row r="69" spans="1:8" ht="12.95" customHeight="1">
      <c r="A69" s="2"/>
      <c r="B69" s="18" t="s">
        <v>191</v>
      </c>
      <c r="C69" s="19"/>
      <c r="D69" s="19"/>
      <c r="E69" s="25"/>
      <c r="F69" s="16">
        <v>2076</v>
      </c>
      <c r="G69" s="16">
        <v>2.85</v>
      </c>
      <c r="H69" s="22"/>
    </row>
    <row r="70" spans="1:8" ht="12.95" customHeight="1">
      <c r="A70" s="2"/>
      <c r="B70" s="7" t="s">
        <v>196</v>
      </c>
      <c r="C70" s="8"/>
      <c r="D70" s="8"/>
      <c r="E70" s="8"/>
      <c r="F70" s="8"/>
      <c r="G70" s="8"/>
      <c r="H70" s="9"/>
    </row>
    <row r="71" spans="1:8" ht="12.95" customHeight="1">
      <c r="A71" s="2"/>
      <c r="B71" s="7" t="s">
        <v>197</v>
      </c>
      <c r="C71" s="8"/>
      <c r="D71" s="8"/>
      <c r="E71" s="8"/>
      <c r="F71" s="26"/>
      <c r="G71" s="27"/>
      <c r="H71" s="17"/>
    </row>
    <row r="72" spans="1:8" ht="12.95" customHeight="1">
      <c r="A72" s="1" t="s">
        <v>198</v>
      </c>
      <c r="B72" s="11" t="s">
        <v>199</v>
      </c>
      <c r="C72" s="12" t="s">
        <v>200</v>
      </c>
      <c r="D72" s="8" t="s">
        <v>16</v>
      </c>
      <c r="E72" s="13">
        <v>404384</v>
      </c>
      <c r="F72" s="14">
        <v>41.01</v>
      </c>
      <c r="G72" s="14">
        <v>0.06</v>
      </c>
      <c r="H72" s="15"/>
    </row>
    <row r="73" spans="1:8" ht="12.95" customHeight="1">
      <c r="A73" s="2"/>
      <c r="B73" s="7" t="s">
        <v>188</v>
      </c>
      <c r="C73" s="8"/>
      <c r="D73" s="8"/>
      <c r="E73" s="8"/>
      <c r="F73" s="16">
        <f>F72</f>
        <v>41.01</v>
      </c>
      <c r="G73" s="16">
        <f>G72</f>
        <v>0.06</v>
      </c>
      <c r="H73" s="17"/>
    </row>
    <row r="74" spans="1:8" ht="12.95" customHeight="1">
      <c r="A74" s="2"/>
      <c r="B74" s="18" t="s">
        <v>191</v>
      </c>
      <c r="C74" s="19"/>
      <c r="D74" s="19"/>
      <c r="E74" s="25"/>
      <c r="F74" s="16">
        <f>F73</f>
        <v>41.01</v>
      </c>
      <c r="G74" s="16">
        <f>G73</f>
        <v>0.06</v>
      </c>
      <c r="H74" s="22"/>
    </row>
    <row r="75" spans="1:8" ht="12.95" customHeight="1">
      <c r="A75" s="2"/>
      <c r="B75" s="18" t="s">
        <v>201</v>
      </c>
      <c r="C75" s="19"/>
      <c r="D75" s="19"/>
      <c r="E75" s="8"/>
      <c r="F75" s="16">
        <v>-211.12</v>
      </c>
      <c r="G75" s="16">
        <v>-0.3</v>
      </c>
      <c r="H75" s="22"/>
    </row>
    <row r="76" spans="1:8" ht="12.95" customHeight="1" thickBot="1">
      <c r="A76" s="2"/>
      <c r="B76" s="28" t="s">
        <v>202</v>
      </c>
      <c r="C76" s="29"/>
      <c r="D76" s="29"/>
      <c r="E76" s="29"/>
      <c r="F76" s="30">
        <v>72844.070000000007</v>
      </c>
      <c r="G76" s="31">
        <v>100</v>
      </c>
      <c r="H76" s="32"/>
    </row>
    <row r="77" spans="1:8" ht="12.95" customHeight="1">
      <c r="A77" s="2"/>
      <c r="B77" s="39"/>
      <c r="C77" s="39"/>
      <c r="D77" s="39"/>
      <c r="E77" s="39"/>
      <c r="F77" s="2"/>
      <c r="G77" s="2"/>
      <c r="H77" s="2"/>
    </row>
    <row r="78" spans="1:8" ht="12.95" customHeight="1">
      <c r="A78" s="2"/>
      <c r="B78" s="39" t="s">
        <v>203</v>
      </c>
      <c r="C78" s="39"/>
      <c r="D78" s="39"/>
      <c r="E78" s="39"/>
      <c r="F78" s="34"/>
      <c r="G78" s="34"/>
      <c r="H78" s="2"/>
    </row>
    <row r="79" spans="1:8" ht="12.95" customHeight="1">
      <c r="A79" s="2"/>
      <c r="B79" s="39" t="s">
        <v>204</v>
      </c>
      <c r="C79" s="39"/>
      <c r="D79" s="39"/>
      <c r="E79" s="39"/>
      <c r="F79" s="2"/>
      <c r="G79" s="2"/>
      <c r="H79" s="2"/>
    </row>
    <row r="80" spans="1:8" ht="12.95" customHeight="1">
      <c r="A80" s="2"/>
      <c r="B80" s="39" t="s">
        <v>205</v>
      </c>
      <c r="C80" s="39"/>
      <c r="D80" s="39"/>
      <c r="E80" s="39"/>
      <c r="F80" s="2"/>
      <c r="G80" s="2"/>
      <c r="H80" s="2"/>
    </row>
    <row r="81" spans="1:8" ht="12.95" customHeight="1">
      <c r="A81" s="2"/>
      <c r="B81" s="39" t="s">
        <v>206</v>
      </c>
      <c r="C81" s="39"/>
      <c r="D81" s="39"/>
      <c r="E81" s="39"/>
      <c r="F81" s="2"/>
      <c r="G81" s="2"/>
      <c r="H81" s="2"/>
    </row>
    <row r="82" spans="1:8" ht="12.95" customHeight="1">
      <c r="A82" s="2"/>
      <c r="B82" s="33"/>
      <c r="C82" s="33"/>
      <c r="D82" s="33"/>
      <c r="E82" s="33"/>
      <c r="F82" s="2"/>
      <c r="G82" s="2"/>
      <c r="H82" s="2"/>
    </row>
    <row r="83" spans="1:8" ht="12.95" customHeight="1">
      <c r="A83" s="2"/>
      <c r="B83" s="40"/>
      <c r="C83" s="40"/>
      <c r="D83" s="40"/>
      <c r="E83" s="40"/>
      <c r="F83" s="2"/>
      <c r="G83" s="2"/>
      <c r="H83" s="2"/>
    </row>
    <row r="84" spans="1:8" ht="12.95" customHeight="1">
      <c r="A84" s="2"/>
      <c r="B84" s="41" t="s">
        <v>207</v>
      </c>
      <c r="C84" s="41"/>
      <c r="D84" s="41"/>
      <c r="E84" s="41"/>
      <c r="F84" s="2"/>
      <c r="G84" s="2"/>
      <c r="H84" s="2"/>
    </row>
    <row r="85" spans="1:8" ht="12.95" customHeight="1">
      <c r="A85" s="2"/>
      <c r="B85" s="35" t="s">
        <v>208</v>
      </c>
      <c r="C85" s="35" t="s">
        <v>209</v>
      </c>
      <c r="D85" s="2"/>
      <c r="E85" s="2"/>
      <c r="F85" s="2"/>
      <c r="G85" s="2"/>
      <c r="H85" s="2"/>
    </row>
    <row r="86" spans="1:8" ht="12.95" customHeight="1">
      <c r="A86" s="2"/>
      <c r="B86" s="36" t="s">
        <v>210</v>
      </c>
      <c r="C86" s="37">
        <v>850</v>
      </c>
      <c r="D86" s="2"/>
      <c r="E86" s="2"/>
      <c r="F86" s="2"/>
      <c r="G86" s="2"/>
      <c r="H86" s="2"/>
    </row>
    <row r="87" spans="1:8" ht="12.95" customHeight="1">
      <c r="A87" s="2"/>
      <c r="B87" s="40"/>
      <c r="C87" s="40"/>
      <c r="D87" s="40"/>
      <c r="E87" s="40"/>
      <c r="F87" s="2"/>
      <c r="G87" s="2"/>
      <c r="H87" s="2"/>
    </row>
    <row r="88" spans="1:8" ht="12.95" customHeight="1">
      <c r="A88" s="2"/>
      <c r="B88" s="39" t="s">
        <v>211</v>
      </c>
      <c r="C88" s="39"/>
      <c r="D88" s="39"/>
      <c r="E88" s="39"/>
      <c r="F88" s="2"/>
      <c r="G88" s="2"/>
      <c r="H88" s="2"/>
    </row>
    <row r="89" spans="1:8" ht="12.95" customHeight="1">
      <c r="A89" s="2"/>
      <c r="B89" s="40" t="s">
        <v>212</v>
      </c>
      <c r="C89" s="40"/>
      <c r="D89" s="40"/>
      <c r="E89" s="40"/>
      <c r="F89" s="2"/>
      <c r="G89" s="2"/>
      <c r="H89" s="2"/>
    </row>
    <row r="90" spans="1:8" ht="12.95" customHeight="1">
      <c r="A90" s="2"/>
      <c r="B90" s="40" t="s">
        <v>213</v>
      </c>
      <c r="C90" s="40"/>
      <c r="D90" s="40"/>
      <c r="E90" s="40"/>
      <c r="F90" s="2"/>
      <c r="G90" s="2"/>
      <c r="H90" s="2"/>
    </row>
    <row r="91" spans="1:8" ht="12.95" customHeight="1">
      <c r="A91" s="2"/>
      <c r="B91" s="40" t="s">
        <v>214</v>
      </c>
      <c r="C91" s="40"/>
      <c r="D91" s="40"/>
      <c r="E91" s="40"/>
      <c r="F91" s="40"/>
      <c r="G91" s="40"/>
      <c r="H91" s="40"/>
    </row>
    <row r="92" spans="1:8" ht="12.95" customHeight="1">
      <c r="A92" s="2"/>
      <c r="B92" s="40" t="s">
        <v>215</v>
      </c>
      <c r="C92" s="40"/>
      <c r="D92" s="40"/>
      <c r="E92" s="40"/>
      <c r="F92" s="40"/>
      <c r="G92" s="40"/>
      <c r="H92" s="40"/>
    </row>
    <row r="93" spans="1:8" ht="12.95" customHeight="1">
      <c r="A93" s="2"/>
      <c r="B93" s="40" t="s">
        <v>216</v>
      </c>
      <c r="C93" s="40"/>
      <c r="D93" s="40"/>
      <c r="E93" s="40"/>
      <c r="F93" s="2"/>
      <c r="G93" s="2"/>
      <c r="H93" s="2"/>
    </row>
    <row r="94" spans="1:8">
      <c r="F94" s="38" t="s">
        <v>217</v>
      </c>
    </row>
    <row r="95" spans="1:8">
      <c r="B95" s="38" t="s">
        <v>218</v>
      </c>
      <c r="F95" s="38" t="s">
        <v>219</v>
      </c>
    </row>
  </sheetData>
  <mergeCells count="18">
    <mergeCell ref="B78:E78"/>
    <mergeCell ref="B1:H1"/>
    <mergeCell ref="B2:H2"/>
    <mergeCell ref="B3:H3"/>
    <mergeCell ref="B4:H4"/>
    <mergeCell ref="B77:E77"/>
    <mergeCell ref="B93:E93"/>
    <mergeCell ref="B79:E79"/>
    <mergeCell ref="B80:E80"/>
    <mergeCell ref="B81:E81"/>
    <mergeCell ref="B83:E83"/>
    <mergeCell ref="B84:E84"/>
    <mergeCell ref="B87:E87"/>
    <mergeCell ref="B88:E88"/>
    <mergeCell ref="B89:E89"/>
    <mergeCell ref="B90:E90"/>
    <mergeCell ref="B91:H91"/>
    <mergeCell ref="B92:H9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A02E-6531-45FE-B15E-EDF8537996E9}">
  <sheetPr codeName="Sheet13">
    <outlinePr summaryBelow="0"/>
  </sheetPr>
  <dimension ref="A1:F17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9" t="s">
        <v>220</v>
      </c>
      <c r="B1" s="39"/>
      <c r="C1" s="39"/>
      <c r="D1" s="43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4" t="s">
        <v>221</v>
      </c>
      <c r="B3" s="44"/>
      <c r="C3" s="2"/>
      <c r="D3" s="2"/>
      <c r="E3" s="44" t="s">
        <v>222</v>
      </c>
      <c r="F3" s="44"/>
    </row>
    <row r="4" spans="1:6" ht="12.95" customHeight="1">
      <c r="A4" s="45" t="s">
        <v>223</v>
      </c>
      <c r="B4" s="45" t="s">
        <v>9</v>
      </c>
      <c r="C4" s="2"/>
      <c r="D4" s="2"/>
      <c r="E4" s="45" t="s">
        <v>224</v>
      </c>
      <c r="F4" s="45" t="s">
        <v>225</v>
      </c>
    </row>
    <row r="5" spans="1:6" ht="12.95" customHeight="1">
      <c r="A5" s="19" t="s">
        <v>14</v>
      </c>
      <c r="B5" s="46">
        <v>3.8100000000000002E-2</v>
      </c>
      <c r="C5" s="2"/>
      <c r="D5" s="2"/>
      <c r="E5" s="19" t="s">
        <v>226</v>
      </c>
      <c r="F5" s="46">
        <v>0.29509999999999997</v>
      </c>
    </row>
    <row r="6" spans="1:6" ht="12.95" customHeight="1">
      <c r="A6" s="19" t="s">
        <v>18</v>
      </c>
      <c r="B6" s="46">
        <v>3.5499999999999997E-2</v>
      </c>
      <c r="C6" s="2"/>
      <c r="D6" s="2"/>
      <c r="E6" s="19" t="s">
        <v>227</v>
      </c>
      <c r="F6" s="46">
        <v>0.23200000000000001</v>
      </c>
    </row>
    <row r="7" spans="1:6" ht="12.95" customHeight="1">
      <c r="A7" s="19" t="s">
        <v>22</v>
      </c>
      <c r="B7" s="46">
        <v>3.5499999999999997E-2</v>
      </c>
      <c r="C7" s="2"/>
      <c r="D7" s="2"/>
      <c r="E7" s="19" t="s">
        <v>228</v>
      </c>
      <c r="F7" s="46">
        <v>0.22800000000000001</v>
      </c>
    </row>
    <row r="8" spans="1:6" ht="12.95" customHeight="1">
      <c r="A8" s="19" t="s">
        <v>26</v>
      </c>
      <c r="B8" s="46">
        <v>3.49E-2</v>
      </c>
      <c r="C8" s="2"/>
      <c r="D8" s="2"/>
      <c r="E8" s="19" t="s">
        <v>57</v>
      </c>
      <c r="F8" s="46">
        <v>6.3500000000000001E-2</v>
      </c>
    </row>
    <row r="9" spans="1:6" ht="12.95" customHeight="1">
      <c r="A9" s="19" t="s">
        <v>29</v>
      </c>
      <c r="B9" s="46">
        <v>3.3599999999999998E-2</v>
      </c>
      <c r="C9" s="2"/>
      <c r="D9" s="2"/>
      <c r="E9" s="19" t="s">
        <v>229</v>
      </c>
      <c r="F9" s="46">
        <v>5.4600000000000003E-2</v>
      </c>
    </row>
    <row r="10" spans="1:6" ht="12.95" customHeight="1">
      <c r="A10" s="19" t="s">
        <v>32</v>
      </c>
      <c r="B10" s="46">
        <v>3.2500000000000001E-2</v>
      </c>
      <c r="C10" s="2"/>
      <c r="D10" s="2"/>
      <c r="E10" s="19" t="s">
        <v>230</v>
      </c>
      <c r="F10" s="46">
        <v>3.6999999999999998E-2</v>
      </c>
    </row>
    <row r="11" spans="1:6" ht="12.95" customHeight="1">
      <c r="A11" s="19" t="s">
        <v>36</v>
      </c>
      <c r="B11" s="46">
        <v>3.2300000000000002E-2</v>
      </c>
      <c r="C11" s="2"/>
      <c r="D11" s="2"/>
      <c r="E11" s="19" t="s">
        <v>196</v>
      </c>
      <c r="F11" s="46">
        <v>2.8500000000000001E-2</v>
      </c>
    </row>
    <row r="12" spans="1:6" ht="12.95" customHeight="1">
      <c r="A12" s="19" t="s">
        <v>39</v>
      </c>
      <c r="B12" s="46">
        <v>3.2199999999999999E-2</v>
      </c>
      <c r="C12" s="2"/>
      <c r="D12" s="2"/>
      <c r="E12" s="19" t="s">
        <v>231</v>
      </c>
      <c r="F12" s="46">
        <v>2.7300000000000001E-2</v>
      </c>
    </row>
    <row r="13" spans="1:6" ht="12.95" customHeight="1">
      <c r="A13" s="19" t="s">
        <v>42</v>
      </c>
      <c r="B13" s="46">
        <v>3.1399999999999997E-2</v>
      </c>
      <c r="C13" s="2"/>
      <c r="D13" s="2"/>
      <c r="E13" s="19" t="s">
        <v>232</v>
      </c>
      <c r="F13" s="46">
        <v>2.2100000000000002E-2</v>
      </c>
    </row>
    <row r="14" spans="1:6" ht="12.95" customHeight="1">
      <c r="A14" s="19" t="s">
        <v>45</v>
      </c>
      <c r="B14" s="46">
        <v>3.0700000000000002E-2</v>
      </c>
      <c r="C14" s="2"/>
      <c r="D14" s="2"/>
      <c r="E14" s="19" t="s">
        <v>233</v>
      </c>
      <c r="F14" s="46">
        <v>7.6E-3</v>
      </c>
    </row>
    <row r="15" spans="1:6" ht="12.95" customHeight="1">
      <c r="A15" s="2"/>
      <c r="B15" s="2"/>
      <c r="C15" s="2"/>
      <c r="D15" s="2"/>
      <c r="E15" s="19" t="s">
        <v>234</v>
      </c>
      <c r="F15" s="46">
        <v>6.4999999999999997E-3</v>
      </c>
    </row>
    <row r="16" spans="1:6" ht="12.95" customHeight="1">
      <c r="A16" s="2"/>
      <c r="B16" s="2"/>
      <c r="C16" s="2"/>
      <c r="D16" s="2"/>
      <c r="E16" s="19" t="s">
        <v>235</v>
      </c>
      <c r="F16" s="46">
        <v>-2.3E-3</v>
      </c>
    </row>
    <row r="17" spans="1:6" ht="12.95" customHeight="1">
      <c r="A17" s="2"/>
      <c r="B17" s="2"/>
      <c r="C17" s="2"/>
      <c r="D17" s="2"/>
      <c r="E17" s="45" t="s">
        <v>236</v>
      </c>
      <c r="F17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Manufacturing Fund</vt:lpstr>
      <vt:lpstr>IMFGF</vt:lpstr>
      <vt:lpstr>JR_PAGE_ANCHOR_0_12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2025-12-08T09:20:56Z</dcterms:created>
  <dcterms:modified xsi:type="dcterms:W3CDTF">2025-12-08T09:26:46Z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2025-12-08T09:20:58Z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b8e623e4-4438-4310-bef7-d0bc994d3290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