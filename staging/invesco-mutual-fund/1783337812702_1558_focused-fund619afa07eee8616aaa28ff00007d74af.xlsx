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D7D691E6-46BB-4562-9283-B4302365C7A0}" xr6:coauthVersionLast="47" xr6:coauthVersionMax="47" xr10:uidLastSave="{00000000-0000-0000-0000-000000000000}"/>
  <bookViews>
    <workbookView xWindow="-120" yWindow="-120" windowWidth="29040" windowHeight="15720" xr2:uid="{40404F55-5918-4066-BC03-6D67F9EB98C7}"/>
  </bookViews>
  <sheets>
    <sheet name="Focused Fund" sheetId="1" r:id="rId1"/>
    <sheet name="IFEF" sheetId="2" r:id="rId2"/>
  </sheets>
  <definedNames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8" localSheetId="1">IFEF!$A$1</definedName>
    <definedName name="JR_PAGE_ANCHOR_0_8">'Focused Fund'!$A$1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3" i="1" l="1"/>
  <c r="G44" i="1" s="1"/>
  <c r="F43" i="1"/>
  <c r="F44" i="1" s="1"/>
  <c r="G31" i="1"/>
  <c r="F31" i="1"/>
</calcChain>
</file>

<file path=xl/sharedStrings.xml><?xml version="1.0" encoding="utf-8"?>
<sst xmlns="http://schemas.openxmlformats.org/spreadsheetml/2006/main" count="172" uniqueCount="144">
  <si>
    <t>IFEF</t>
  </si>
  <si>
    <t>INVESCO MUTUAL FUND</t>
  </si>
  <si>
    <t>Monthly Portfolio Statement as on November 30, 2025</t>
  </si>
  <si>
    <r>
      <rPr>
        <b/>
        <sz val="16"/>
        <color rgb="FFFFFFFF"/>
        <rFont val="Arial"/>
        <family val="2"/>
      </rPr>
      <t>Invesco India Focused Fund
(An open ended equity scheme investing in maximum 20 stocks across market capitalization (i.e. Multicap))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</si>
  <si>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</si>
  <si>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</si>
  <si>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</si>
  <si>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</si>
  <si>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</si>
  <si>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</si>
  <si>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</si>
  <si>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</si>
  <si>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</si>
  <si>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</si>
  <si>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</si>
  <si>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</si>
  <si>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</si>
  <si>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</si>
  <si>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</si>
  <si>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</si>
  <si>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LARS02</t>
  </si>
  <si>
    <t>Larsen &amp; Toubro Limited</t>
  </si>
  <si>
    <t>INE018A01030</t>
  </si>
  <si>
    <t>Construction</t>
  </si>
  <si>
    <t>ZMPL01</t>
  </si>
  <si>
    <t>Eternal Limited</t>
  </si>
  <si>
    <t>INE758T01015</t>
  </si>
  <si>
    <t>Retailing</t>
  </si>
  <si>
    <t>INAV01</t>
  </si>
  <si>
    <t>InterGlobe Aviation Limited</t>
  </si>
  <si>
    <t>INE646L01027</t>
  </si>
  <si>
    <t>Transport Services</t>
  </si>
  <si>
    <t>PSYL02</t>
  </si>
  <si>
    <t>Persistent Systems Ltd</t>
  </si>
  <si>
    <t>INE262H01021</t>
  </si>
  <si>
    <t>IT - Software</t>
  </si>
  <si>
    <t>ABBP01</t>
  </si>
  <si>
    <t>Hitachi Energy India Limited</t>
  </si>
  <si>
    <t>INE07Y701011</t>
  </si>
  <si>
    <t>Electrical Equipment</t>
  </si>
  <si>
    <t>CHOL02</t>
  </si>
  <si>
    <t>Cholamandalam Investment and Finance Company Limited ‡</t>
  </si>
  <si>
    <t>INE121A01024</t>
  </si>
  <si>
    <t>Finance</t>
  </si>
  <si>
    <t>HALT02</t>
  </si>
  <si>
    <t>Hindustan Aeronautics Limited</t>
  </si>
  <si>
    <t>INE066F01020</t>
  </si>
  <si>
    <t>Aerospace &amp; Defense</t>
  </si>
  <si>
    <t>SAEL02</t>
  </si>
  <si>
    <t>TVS Motor Company Limited</t>
  </si>
  <si>
    <t>INE494B01023</t>
  </si>
  <si>
    <t>Automobiles</t>
  </si>
  <si>
    <t>GHPL01</t>
  </si>
  <si>
    <t>Global Health Limited</t>
  </si>
  <si>
    <t>INE474Q01031</t>
  </si>
  <si>
    <t>Healthcare Services</t>
  </si>
  <si>
    <t>DIXO02</t>
  </si>
  <si>
    <t>Dixon Technologies (India) Limited</t>
  </si>
  <si>
    <t>INE935N01020</t>
  </si>
  <si>
    <t>Consumer Durables</t>
  </si>
  <si>
    <t>VNBL03</t>
  </si>
  <si>
    <t>Varun Beverages Ltd</t>
  </si>
  <si>
    <t>INE200M01039</t>
  </si>
  <si>
    <t>Beverages</t>
  </si>
  <si>
    <t>AENP01</t>
  </si>
  <si>
    <t>Ather Energy Limited</t>
  </si>
  <si>
    <t>INE0LEZ01016</t>
  </si>
  <si>
    <t>SSNL02</t>
  </si>
  <si>
    <t>Delhivery Limited</t>
  </si>
  <si>
    <t>INE148O01028</t>
  </si>
  <si>
    <t>EDEL01</t>
  </si>
  <si>
    <t>Nuvama Wealth Management Limited</t>
  </si>
  <si>
    <t>INE531F01015</t>
  </si>
  <si>
    <t>Capital Markets</t>
  </si>
  <si>
    <t>BHAE02</t>
  </si>
  <si>
    <t>BEML Limited</t>
  </si>
  <si>
    <t>INE258A01024</t>
  </si>
  <si>
    <t>Agricultural, Commercial &amp; Construction Vehicles</t>
  </si>
  <si>
    <t>CENT02</t>
  </si>
  <si>
    <t>Aditya Birla Real Estate Limited</t>
  </si>
  <si>
    <t>INE055A01016</t>
  </si>
  <si>
    <t>Paper, Forest &amp; Jute Products</t>
  </si>
  <si>
    <t>NITL02</t>
  </si>
  <si>
    <t>Coforge Limited</t>
  </si>
  <si>
    <t>INE591G01025</t>
  </si>
  <si>
    <t>SUVP01</t>
  </si>
  <si>
    <t>Cohance Lifesciences Limited</t>
  </si>
  <si>
    <t>INE03QK01018</t>
  </si>
  <si>
    <t>Pharmaceuticals &amp; Biotechnology</t>
  </si>
  <si>
    <t>Sub Total</t>
  </si>
  <si>
    <t>(b) Unlisted</t>
  </si>
  <si>
    <t>Nil</t>
  </si>
  <si>
    <t>Total</t>
  </si>
  <si>
    <t>Money Market Instruments</t>
  </si>
  <si>
    <t>TREPS / Reverse Repo</t>
  </si>
  <si>
    <t>TRP_011225</t>
  </si>
  <si>
    <t>Triparty Repo</t>
  </si>
  <si>
    <t>Others</t>
  </si>
  <si>
    <t>Mutual Fund Units</t>
  </si>
  <si>
    <t>120537</t>
  </si>
  <si>
    <t>Invesco India Liquid Fund - Direct Plan - Growth</t>
  </si>
  <si>
    <t>INF205K01MF9</t>
  </si>
  <si>
    <t>Preference Shares</t>
  </si>
  <si>
    <t>SAEL21PS</t>
  </si>
  <si>
    <t>TVS Motor Company Limited ^^</t>
  </si>
  <si>
    <t>INE494B04019</t>
  </si>
  <si>
    <t>Net Receivables / (Payables)</t>
  </si>
  <si>
    <t>GRAND TOTAL</t>
  </si>
  <si>
    <t>YTM - Yield To Maturity</t>
  </si>
  <si>
    <t>*  Industry Classification is as recommended by AMFI</t>
  </si>
  <si>
    <t>**  Non Traded Security</t>
  </si>
  <si>
    <t>^^ Awaiting listing</t>
  </si>
  <si>
    <t>‡ Includes shares lent under Securities Lending &amp; Borrowing Scheme of BSE</t>
  </si>
  <si>
    <t>Name of the Security</t>
  </si>
  <si>
    <t>Shares</t>
  </si>
  <si>
    <t>Cholamandalam Investment and Finance Company Ltd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</si>
  <si>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</si>
  <si>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</si>
  <si>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</si>
  <si>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November 30, 2025 Nil</t>
  </si>
  <si>
    <t>(4)  Total investments in Foreign Securities / Overseas ETFs as on November 30, 2025 Nil</t>
  </si>
  <si>
    <t>(5)  Deviation from the valuation prices given by valuation agencies during the month ended November 30, 2025: Nil</t>
  </si>
  <si>
    <t>BENCHMARK NAME - BSE 500 TRI</t>
  </si>
  <si>
    <t>SCHEME RISK-O-METER</t>
  </si>
  <si>
    <t>BENCHMARK RISK-O-METER</t>
  </si>
  <si>
    <t>Scheme Name: Invesco India Focused Fund (An open ended equity scheme investing in maximum 20 stocks across market capitalization (i.e. Multicap))</t>
  </si>
  <si>
    <t>Top 10 holdings by issuer</t>
  </si>
  <si>
    <t>Fund allocation towards various sectors</t>
  </si>
  <si>
    <t>Issuer Name</t>
  </si>
  <si>
    <t>Sectors</t>
  </si>
  <si>
    <t>% Exposure</t>
  </si>
  <si>
    <t>Clearing Corporation of India Ltd</t>
  </si>
  <si>
    <t>Financial Services</t>
  </si>
  <si>
    <t>Capital Goods</t>
  </si>
  <si>
    <t>Services</t>
  </si>
  <si>
    <t>Information Technology</t>
  </si>
  <si>
    <t>Persistent Systems Limited</t>
  </si>
  <si>
    <t>Automobile and Auto Components</t>
  </si>
  <si>
    <t>Consumer Services</t>
  </si>
  <si>
    <t>Healthcare</t>
  </si>
  <si>
    <t>Fast Moving Consumer Goods</t>
  </si>
  <si>
    <t>Forest Materials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</si>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</sst>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0;\(#,##0.000\)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167" fontId="4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5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4" fontId="0" fillId="0" borderId="0" xfId="0" applyNumberFormat="1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3" fontId="7" fillId="0" borderId="10" xfId="0" applyNumberFormat="1" applyFont="1" applyBorder="1" applyAlignment="1">
      <alignment horizontal="right" vertical="top" wrapText="1"/>
    </xf>
    <xf numFmtId="3" fontId="0" fillId="0" borderId="0" xfId="0" applyNumberFormat="1" applyAlignment="1" applyProtection="1">
      <alignment wrapText="1"/>
      <protection locked="0"/>
    </xf>
    <xf numFmtId="0" fontId="7" fillId="0" borderId="0" xfId="0" applyFont="1" applyAlignment="1">
      <alignment horizontal="left" vertical="top" wrapText="1"/>
    </xf>
    <xf numFmtId="3" fontId="7" fillId="0" borderId="0" xfId="0" applyNumberFormat="1" applyFont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1</xdr:col>
      <xdr:colOff>2857500</xdr:colOff>
      <xdr:row>75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7D9C87-C2AF-4DFA-BCF2-84AEC6447D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1858625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65</xdr:row>
      <xdr:rowOff>0</xdr:rowOff>
    </xdr:from>
    <xdr:to>
      <xdr:col>8</xdr:col>
      <xdr:colOff>317500</xdr:colOff>
      <xdr:row>75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99E79B-934B-4F2E-B3A8-0C39C54FF7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1600" y="11858625"/>
          <a:ext cx="2746375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7E301-F022-497B-9CEA-4D213659C59B}">
  <sheetPr codeName="Sheet9">
    <outlinePr summaryBelow="0"/>
  </sheetPr>
  <dimension ref="A1:H64"/>
  <sheetViews>
    <sheetView showGridLines="0" tabSelected="1" workbookViewId="0">
      <selection activeCell="B2" sqref="B2:H2"/>
    </sheetView>
  </sheetViews>
  <sheetFormatPr defaultRowHeight="15"/>
  <cols>
    <col min="1" max="1" width="2.85546875" customWidth="1"/>
    <col min="2" max="2" width="72.85546875" customWidth="1"/>
    <col min="3" max="3" width="16.42578125" customWidth="1"/>
    <col min="4" max="4" width="28.5703125" customWidth="1"/>
    <col min="5" max="5" width="14.140625" customWidth="1"/>
    <col min="6" max="6" width="15" customWidth="1"/>
    <col min="7" max="7" width="13.5703125" customWidth="1"/>
    <col min="8" max="8" width="7.85546875" customWidth="1"/>
  </cols>
  <sheetData>
    <row r="1" spans="1:8" ht="20.100000000000001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00000000000001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82.5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2.95" customHeight="1" thickBot="1">
      <c r="A4" s="2"/>
      <c r="B4" s="42"/>
      <c r="C4" s="42"/>
      <c r="D4" s="42"/>
      <c r="E4" s="42"/>
      <c r="F4" s="42"/>
      <c r="G4" s="42"/>
      <c r="H4" s="42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2991946</v>
      </c>
      <c r="F8" s="14">
        <v>41552.15</v>
      </c>
      <c r="G8" s="14">
        <v>8.65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4104921</v>
      </c>
      <c r="F9" s="14">
        <v>41361.18</v>
      </c>
      <c r="G9" s="14">
        <v>8.61</v>
      </c>
      <c r="H9" s="15"/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947337</v>
      </c>
      <c r="F10" s="14">
        <v>38552.83</v>
      </c>
      <c r="G10" s="14">
        <v>8.0299999999999994</v>
      </c>
      <c r="H10" s="15"/>
    </row>
    <row r="11" spans="1:8" ht="12.95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9412046</v>
      </c>
      <c r="F11" s="14">
        <v>28245.55</v>
      </c>
      <c r="G11" s="14">
        <v>5.88</v>
      </c>
      <c r="H11" s="15"/>
    </row>
    <row r="12" spans="1:8" ht="12.9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454357</v>
      </c>
      <c r="F12" s="14">
        <v>26813.88</v>
      </c>
      <c r="G12" s="14">
        <v>5.58</v>
      </c>
      <c r="H12" s="15"/>
    </row>
    <row r="13" spans="1:8" ht="12.95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406451</v>
      </c>
      <c r="F13" s="14">
        <v>25821.83</v>
      </c>
      <c r="G13" s="14">
        <v>5.38</v>
      </c>
      <c r="H13" s="15"/>
    </row>
    <row r="14" spans="1:8" ht="12.95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110009</v>
      </c>
      <c r="F14" s="14">
        <v>24263.59</v>
      </c>
      <c r="G14" s="14">
        <v>5.05</v>
      </c>
      <c r="H14" s="15"/>
    </row>
    <row r="15" spans="1:8" ht="12.95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1377000</v>
      </c>
      <c r="F15" s="14">
        <v>23904.720000000001</v>
      </c>
      <c r="G15" s="14">
        <v>4.9800000000000004</v>
      </c>
      <c r="H15" s="15"/>
    </row>
    <row r="16" spans="1:8" ht="12.95" customHeight="1">
      <c r="A16" s="1" t="s">
        <v>44</v>
      </c>
      <c r="B16" s="11" t="s">
        <v>45</v>
      </c>
      <c r="C16" s="12" t="s">
        <v>46</v>
      </c>
      <c r="D16" s="8" t="s">
        <v>47</v>
      </c>
      <c r="E16" s="13">
        <v>483104</v>
      </c>
      <c r="F16" s="14">
        <v>21944.52</v>
      </c>
      <c r="G16" s="14">
        <v>4.57</v>
      </c>
      <c r="H16" s="15"/>
    </row>
    <row r="17" spans="1:8" ht="12.95" customHeight="1">
      <c r="A17" s="1" t="s">
        <v>48</v>
      </c>
      <c r="B17" s="11" t="s">
        <v>49</v>
      </c>
      <c r="C17" s="12" t="s">
        <v>50</v>
      </c>
      <c r="D17" s="8" t="s">
        <v>51</v>
      </c>
      <c r="E17" s="13">
        <v>603968</v>
      </c>
      <c r="F17" s="14">
        <v>21329.13</v>
      </c>
      <c r="G17" s="14">
        <v>4.4400000000000004</v>
      </c>
      <c r="H17" s="15"/>
    </row>
    <row r="18" spans="1:8" ht="12.95" customHeight="1">
      <c r="A18" s="1" t="s">
        <v>52</v>
      </c>
      <c r="B18" s="11" t="s">
        <v>53</v>
      </c>
      <c r="C18" s="12" t="s">
        <v>54</v>
      </c>
      <c r="D18" s="8" t="s">
        <v>55</v>
      </c>
      <c r="E18" s="13">
        <v>1503873</v>
      </c>
      <c r="F18" s="14">
        <v>18738.259999999998</v>
      </c>
      <c r="G18" s="14">
        <v>3.9</v>
      </c>
      <c r="H18" s="15"/>
    </row>
    <row r="19" spans="1:8" ht="12.95" customHeight="1">
      <c r="A19" s="1" t="s">
        <v>56</v>
      </c>
      <c r="B19" s="11" t="s">
        <v>57</v>
      </c>
      <c r="C19" s="12" t="s">
        <v>58</v>
      </c>
      <c r="D19" s="8" t="s">
        <v>59</v>
      </c>
      <c r="E19" s="13">
        <v>125487</v>
      </c>
      <c r="F19" s="14">
        <v>18322.36</v>
      </c>
      <c r="G19" s="14">
        <v>3.82</v>
      </c>
      <c r="H19" s="15"/>
    </row>
    <row r="20" spans="1:8" ht="12.95" customHeight="1">
      <c r="A20" s="1" t="s">
        <v>60</v>
      </c>
      <c r="B20" s="11" t="s">
        <v>61</v>
      </c>
      <c r="C20" s="12" t="s">
        <v>62</v>
      </c>
      <c r="D20" s="8" t="s">
        <v>63</v>
      </c>
      <c r="E20" s="13">
        <v>3362764</v>
      </c>
      <c r="F20" s="14">
        <v>16193.39</v>
      </c>
      <c r="G20" s="14">
        <v>3.37</v>
      </c>
      <c r="H20" s="15"/>
    </row>
    <row r="21" spans="1:8" ht="12.95" customHeight="1">
      <c r="A21" s="1" t="s">
        <v>64</v>
      </c>
      <c r="B21" s="11" t="s">
        <v>65</v>
      </c>
      <c r="C21" s="12" t="s">
        <v>66</v>
      </c>
      <c r="D21" s="8" t="s">
        <v>51</v>
      </c>
      <c r="E21" s="13">
        <v>2194608</v>
      </c>
      <c r="F21" s="14">
        <v>15756.19</v>
      </c>
      <c r="G21" s="14">
        <v>3.28</v>
      </c>
      <c r="H21" s="15"/>
    </row>
    <row r="22" spans="1:8" ht="12.95" customHeight="1">
      <c r="A22" s="1" t="s">
        <v>67</v>
      </c>
      <c r="B22" s="11" t="s">
        <v>68</v>
      </c>
      <c r="C22" s="12" t="s">
        <v>69</v>
      </c>
      <c r="D22" s="8" t="s">
        <v>31</v>
      </c>
      <c r="E22" s="13">
        <v>3674554</v>
      </c>
      <c r="F22" s="14">
        <v>15660.95</v>
      </c>
      <c r="G22" s="14">
        <v>3.26</v>
      </c>
      <c r="H22" s="15"/>
    </row>
    <row r="23" spans="1:8" ht="12.95" customHeight="1">
      <c r="A23" s="1" t="s">
        <v>70</v>
      </c>
      <c r="B23" s="11" t="s">
        <v>71</v>
      </c>
      <c r="C23" s="12" t="s">
        <v>72</v>
      </c>
      <c r="D23" s="8" t="s">
        <v>73</v>
      </c>
      <c r="E23" s="13">
        <v>201301</v>
      </c>
      <c r="F23" s="14">
        <v>15022.09</v>
      </c>
      <c r="G23" s="14">
        <v>3.13</v>
      </c>
      <c r="H23" s="15"/>
    </row>
    <row r="24" spans="1:8" ht="12.95" customHeight="1">
      <c r="A24" s="1" t="s">
        <v>74</v>
      </c>
      <c r="B24" s="11" t="s">
        <v>75</v>
      </c>
      <c r="C24" s="12" t="s">
        <v>76</v>
      </c>
      <c r="D24" s="8" t="s">
        <v>77</v>
      </c>
      <c r="E24" s="13">
        <v>770280</v>
      </c>
      <c r="F24" s="14">
        <v>14080.72</v>
      </c>
      <c r="G24" s="14">
        <v>2.93</v>
      </c>
      <c r="H24" s="15"/>
    </row>
    <row r="25" spans="1:8" ht="12.95" customHeight="1">
      <c r="A25" s="1" t="s">
        <v>78</v>
      </c>
      <c r="B25" s="11" t="s">
        <v>79</v>
      </c>
      <c r="C25" s="12" t="s">
        <v>80</v>
      </c>
      <c r="D25" s="8" t="s">
        <v>81</v>
      </c>
      <c r="E25" s="13">
        <v>709077</v>
      </c>
      <c r="F25" s="14">
        <v>12576.19</v>
      </c>
      <c r="G25" s="14">
        <v>2.62</v>
      </c>
      <c r="H25" s="15"/>
    </row>
    <row r="26" spans="1:8" ht="12.95" customHeight="1">
      <c r="A26" s="1" t="s">
        <v>82</v>
      </c>
      <c r="B26" s="11" t="s">
        <v>83</v>
      </c>
      <c r="C26" s="12" t="s">
        <v>84</v>
      </c>
      <c r="D26" s="8" t="s">
        <v>35</v>
      </c>
      <c r="E26" s="13">
        <v>623185</v>
      </c>
      <c r="F26" s="14">
        <v>11894.73</v>
      </c>
      <c r="G26" s="14">
        <v>2.48</v>
      </c>
      <c r="H26" s="15"/>
    </row>
    <row r="27" spans="1:8" ht="12.95" customHeight="1">
      <c r="A27" s="1" t="s">
        <v>85</v>
      </c>
      <c r="B27" s="11" t="s">
        <v>86</v>
      </c>
      <c r="C27" s="12" t="s">
        <v>87</v>
      </c>
      <c r="D27" s="8" t="s">
        <v>88</v>
      </c>
      <c r="E27" s="13">
        <v>1388970</v>
      </c>
      <c r="F27" s="14">
        <v>7839.35</v>
      </c>
      <c r="G27" s="14">
        <v>1.63</v>
      </c>
      <c r="H27" s="15"/>
    </row>
    <row r="28" spans="1:8" ht="12.95" customHeight="1">
      <c r="A28" s="2"/>
      <c r="B28" s="7" t="s">
        <v>89</v>
      </c>
      <c r="C28" s="8"/>
      <c r="D28" s="8"/>
      <c r="E28" s="8"/>
      <c r="F28" s="16">
        <v>439873.61</v>
      </c>
      <c r="G28" s="16">
        <v>91.59</v>
      </c>
      <c r="H28" s="17"/>
    </row>
    <row r="29" spans="1:8" ht="12.95" customHeight="1">
      <c r="A29" s="2"/>
      <c r="B29" s="18" t="s">
        <v>90</v>
      </c>
      <c r="C29" s="19"/>
      <c r="D29" s="19"/>
      <c r="E29" s="20"/>
      <c r="F29" s="21" t="s">
        <v>91</v>
      </c>
      <c r="G29" s="21" t="s">
        <v>91</v>
      </c>
      <c r="H29" s="22" t="s">
        <v>91</v>
      </c>
    </row>
    <row r="30" spans="1:8" ht="12.95" customHeight="1">
      <c r="A30" s="2"/>
      <c r="B30" s="23" t="s">
        <v>89</v>
      </c>
      <c r="C30" s="24"/>
      <c r="D30" s="24"/>
      <c r="E30" s="21"/>
      <c r="F30" s="21" t="s">
        <v>91</v>
      </c>
      <c r="G30" s="21" t="s">
        <v>91</v>
      </c>
      <c r="H30" s="22" t="s">
        <v>91</v>
      </c>
    </row>
    <row r="31" spans="1:8" ht="12.95" customHeight="1">
      <c r="A31" s="2"/>
      <c r="B31" s="18" t="s">
        <v>92</v>
      </c>
      <c r="C31" s="19"/>
      <c r="D31" s="19"/>
      <c r="E31" s="25"/>
      <c r="F31" s="16">
        <f>F28</f>
        <v>439873.61</v>
      </c>
      <c r="G31" s="16">
        <f>G28</f>
        <v>91.59</v>
      </c>
      <c r="H31" s="22"/>
    </row>
    <row r="32" spans="1:8" ht="12.95" customHeight="1">
      <c r="A32" s="2"/>
      <c r="B32" s="7" t="s">
        <v>93</v>
      </c>
      <c r="C32" s="8"/>
      <c r="D32" s="8"/>
      <c r="E32" s="8"/>
      <c r="F32" s="8"/>
      <c r="G32" s="8"/>
      <c r="H32" s="9"/>
    </row>
    <row r="33" spans="1:8" ht="12.95" customHeight="1">
      <c r="A33" s="2"/>
      <c r="B33" s="7" t="s">
        <v>94</v>
      </c>
      <c r="C33" s="10"/>
      <c r="D33" s="10"/>
      <c r="E33" s="8"/>
      <c r="F33" s="8"/>
      <c r="G33" s="8"/>
      <c r="H33" s="9"/>
    </row>
    <row r="34" spans="1:8" ht="12.95" customHeight="1">
      <c r="A34" s="1" t="s">
        <v>95</v>
      </c>
      <c r="B34" s="11" t="s">
        <v>96</v>
      </c>
      <c r="C34" s="12"/>
      <c r="D34" s="8"/>
      <c r="E34" s="13"/>
      <c r="F34" s="14">
        <v>43055</v>
      </c>
      <c r="G34" s="14">
        <v>8.9700000000000006</v>
      </c>
      <c r="H34" s="15">
        <v>5.3964738999999998E-2</v>
      </c>
    </row>
    <row r="35" spans="1:8" ht="12.95" customHeight="1">
      <c r="A35" s="2"/>
      <c r="B35" s="7" t="s">
        <v>89</v>
      </c>
      <c r="C35" s="8"/>
      <c r="D35" s="8"/>
      <c r="E35" s="8"/>
      <c r="F35" s="16">
        <v>43055</v>
      </c>
      <c r="G35" s="16">
        <v>8.9700000000000006</v>
      </c>
      <c r="H35" s="17"/>
    </row>
    <row r="36" spans="1:8" ht="12.95" customHeight="1">
      <c r="A36" s="2"/>
      <c r="B36" s="18" t="s">
        <v>92</v>
      </c>
      <c r="C36" s="19"/>
      <c r="D36" s="19"/>
      <c r="E36" s="25"/>
      <c r="F36" s="16">
        <v>43055</v>
      </c>
      <c r="G36" s="16">
        <v>8.9700000000000006</v>
      </c>
      <c r="H36" s="22"/>
    </row>
    <row r="37" spans="1:8" ht="12.95" customHeight="1">
      <c r="A37" s="2"/>
      <c r="B37" s="7" t="s">
        <v>97</v>
      </c>
      <c r="C37" s="8"/>
      <c r="D37" s="8"/>
      <c r="E37" s="8"/>
      <c r="F37" s="8"/>
      <c r="G37" s="8"/>
      <c r="H37" s="9"/>
    </row>
    <row r="38" spans="1:8" ht="12.95" customHeight="1">
      <c r="A38" s="2"/>
      <c r="B38" s="7" t="s">
        <v>98</v>
      </c>
      <c r="C38" s="10"/>
      <c r="D38" s="10"/>
      <c r="E38" s="8"/>
      <c r="F38" s="8"/>
      <c r="G38" s="8"/>
      <c r="H38" s="9"/>
    </row>
    <row r="39" spans="1:8" ht="12.95" customHeight="1">
      <c r="A39" s="1" t="s">
        <v>99</v>
      </c>
      <c r="B39" s="11" t="s">
        <v>100</v>
      </c>
      <c r="C39" s="12" t="s">
        <v>101</v>
      </c>
      <c r="D39" s="8"/>
      <c r="E39" s="26">
        <v>415142.53399999999</v>
      </c>
      <c r="F39" s="14">
        <v>15386.73</v>
      </c>
      <c r="G39" s="14">
        <v>3.2</v>
      </c>
      <c r="H39" s="15"/>
    </row>
    <row r="40" spans="1:8" ht="12.95" customHeight="1">
      <c r="A40" s="2"/>
      <c r="B40" s="7" t="s">
        <v>89</v>
      </c>
      <c r="C40" s="8"/>
      <c r="D40" s="8"/>
      <c r="E40" s="8"/>
      <c r="F40" s="16">
        <v>15386.73</v>
      </c>
      <c r="G40" s="16">
        <v>3.2</v>
      </c>
      <c r="H40" s="17"/>
    </row>
    <row r="41" spans="1:8" ht="12.95" customHeight="1">
      <c r="A41" s="2"/>
      <c r="B41" s="7" t="s">
        <v>102</v>
      </c>
      <c r="C41" s="8"/>
      <c r="D41" s="8"/>
      <c r="E41" s="8"/>
      <c r="F41" s="27"/>
      <c r="G41" s="28"/>
      <c r="H41" s="17"/>
    </row>
    <row r="42" spans="1:8" ht="12.95" customHeight="1">
      <c r="A42" s="1" t="s">
        <v>103</v>
      </c>
      <c r="B42" s="11" t="s">
        <v>104</v>
      </c>
      <c r="C42" s="12" t="s">
        <v>105</v>
      </c>
      <c r="D42" s="8" t="s">
        <v>51</v>
      </c>
      <c r="E42" s="13">
        <v>1193784</v>
      </c>
      <c r="F42" s="14">
        <v>121.06</v>
      </c>
      <c r="G42" s="14">
        <v>0.03</v>
      </c>
      <c r="H42" s="15"/>
    </row>
    <row r="43" spans="1:8" ht="12.95" customHeight="1">
      <c r="A43" s="2"/>
      <c r="B43" s="7" t="s">
        <v>89</v>
      </c>
      <c r="C43" s="8"/>
      <c r="D43" s="8"/>
      <c r="E43" s="8"/>
      <c r="F43" s="16">
        <f>F42</f>
        <v>121.06</v>
      </c>
      <c r="G43" s="16">
        <f>G42</f>
        <v>0.03</v>
      </c>
      <c r="H43" s="17"/>
    </row>
    <row r="44" spans="1:8" ht="12.95" customHeight="1">
      <c r="A44" s="2"/>
      <c r="B44" s="18" t="s">
        <v>92</v>
      </c>
      <c r="C44" s="19"/>
      <c r="D44" s="19"/>
      <c r="E44" s="25"/>
      <c r="F44" s="16">
        <f>F40+F43</f>
        <v>15507.789999999999</v>
      </c>
      <c r="G44" s="16">
        <f>G40+G43</f>
        <v>3.23</v>
      </c>
      <c r="H44" s="22"/>
    </row>
    <row r="45" spans="1:8" ht="12.95" customHeight="1">
      <c r="A45" s="2"/>
      <c r="B45" s="18" t="s">
        <v>106</v>
      </c>
      <c r="C45" s="19"/>
      <c r="D45" s="19"/>
      <c r="E45" s="8"/>
      <c r="F45" s="16">
        <v>-18328.009999999998</v>
      </c>
      <c r="G45" s="16">
        <v>-3.79</v>
      </c>
      <c r="H45" s="22"/>
    </row>
    <row r="46" spans="1:8" ht="12.95" customHeight="1" thickBot="1">
      <c r="A46" s="2"/>
      <c r="B46" s="29" t="s">
        <v>107</v>
      </c>
      <c r="C46" s="30"/>
      <c r="D46" s="30"/>
      <c r="E46" s="30"/>
      <c r="F46" s="31">
        <v>480108.39</v>
      </c>
      <c r="G46" s="32">
        <v>100</v>
      </c>
      <c r="H46" s="33"/>
    </row>
    <row r="47" spans="1:8" ht="12.95" customHeight="1">
      <c r="A47" s="2"/>
      <c r="B47" s="43"/>
      <c r="C47" s="43"/>
      <c r="D47" s="43"/>
      <c r="E47" s="43"/>
      <c r="F47" s="2"/>
      <c r="G47" s="2"/>
      <c r="H47" s="2"/>
    </row>
    <row r="48" spans="1:8" ht="12.95" customHeight="1">
      <c r="A48" s="2"/>
      <c r="B48" s="43" t="s">
        <v>108</v>
      </c>
      <c r="C48" s="43"/>
      <c r="D48" s="43"/>
      <c r="E48" s="43"/>
      <c r="F48" s="34"/>
      <c r="G48" s="34"/>
      <c r="H48" s="2"/>
    </row>
    <row r="49" spans="1:8" ht="12.95" customHeight="1">
      <c r="A49" s="2"/>
      <c r="B49" s="43" t="s">
        <v>109</v>
      </c>
      <c r="C49" s="43"/>
      <c r="D49" s="43"/>
      <c r="E49" s="43"/>
      <c r="F49" s="2"/>
      <c r="G49" s="2"/>
      <c r="H49" s="2"/>
    </row>
    <row r="50" spans="1:8" ht="12.95" customHeight="1">
      <c r="A50" s="2"/>
      <c r="B50" s="43" t="s">
        <v>110</v>
      </c>
      <c r="C50" s="43"/>
      <c r="D50" s="43"/>
      <c r="E50" s="43"/>
      <c r="F50" s="2"/>
      <c r="G50" s="2"/>
      <c r="H50" s="2"/>
    </row>
    <row r="51" spans="1:8" ht="12.95" customHeight="1">
      <c r="A51" s="2"/>
      <c r="B51" s="43" t="s">
        <v>111</v>
      </c>
      <c r="C51" s="43"/>
      <c r="D51" s="43"/>
      <c r="E51" s="43"/>
      <c r="F51" s="2"/>
      <c r="G51" s="2"/>
      <c r="H51" s="2"/>
    </row>
    <row r="52" spans="1:8" ht="12.95" customHeight="1">
      <c r="A52" s="2"/>
      <c r="B52" s="42"/>
      <c r="C52" s="42"/>
      <c r="D52" s="42"/>
      <c r="E52" s="42"/>
      <c r="F52" s="2"/>
      <c r="G52" s="2"/>
      <c r="H52" s="2"/>
    </row>
    <row r="53" spans="1:8" ht="12.95" customHeight="1">
      <c r="A53" s="2"/>
      <c r="B53" s="44" t="s">
        <v>112</v>
      </c>
      <c r="C53" s="44"/>
      <c r="D53" s="44"/>
      <c r="E53" s="44"/>
      <c r="F53" s="2"/>
      <c r="G53" s="2"/>
      <c r="H53" s="2"/>
    </row>
    <row r="54" spans="1:8" ht="12.95" customHeight="1">
      <c r="A54" s="2"/>
      <c r="B54" s="35" t="s">
        <v>113</v>
      </c>
      <c r="C54" s="35" t="s">
        <v>114</v>
      </c>
      <c r="D54" s="2"/>
      <c r="E54" s="2"/>
      <c r="F54" s="2"/>
      <c r="G54" s="2"/>
      <c r="H54" s="2"/>
    </row>
    <row r="55" spans="1:8" ht="12.95" customHeight="1">
      <c r="A55" s="2"/>
      <c r="B55" s="36" t="s">
        <v>115</v>
      </c>
      <c r="C55" s="37">
        <v>225120</v>
      </c>
      <c r="D55" s="38"/>
      <c r="E55" s="2"/>
      <c r="F55" s="2"/>
      <c r="G55" s="2"/>
      <c r="H55" s="2"/>
    </row>
    <row r="56" spans="1:8" ht="12.95" customHeight="1">
      <c r="A56" s="2"/>
      <c r="B56" s="39"/>
      <c r="C56" s="40"/>
      <c r="D56" s="38"/>
      <c r="E56" s="2"/>
      <c r="F56" s="2"/>
      <c r="G56" s="2"/>
      <c r="H56" s="2"/>
    </row>
    <row r="57" spans="1:8" ht="12.95" customHeight="1">
      <c r="A57" s="2"/>
      <c r="B57" s="43" t="s">
        <v>116</v>
      </c>
      <c r="C57" s="43"/>
      <c r="D57" s="43"/>
      <c r="E57" s="43"/>
      <c r="F57" s="2"/>
      <c r="G57" s="2"/>
      <c r="H57" s="2"/>
    </row>
    <row r="58" spans="1:8" ht="12.95" customHeight="1">
      <c r="A58" s="2"/>
      <c r="B58" s="42" t="s">
        <v>117</v>
      </c>
      <c r="C58" s="42"/>
      <c r="D58" s="42"/>
      <c r="E58" s="42"/>
      <c r="F58" s="2"/>
      <c r="G58" s="2"/>
      <c r="H58" s="2"/>
    </row>
    <row r="59" spans="1:8" ht="12.95" customHeight="1">
      <c r="A59" s="2"/>
      <c r="B59" s="42" t="s">
        <v>118</v>
      </c>
      <c r="C59" s="42"/>
      <c r="D59" s="42"/>
      <c r="E59" s="42"/>
      <c r="F59" s="2"/>
      <c r="G59" s="2"/>
      <c r="H59" s="2"/>
    </row>
    <row r="60" spans="1:8" ht="12.95" customHeight="1">
      <c r="A60" s="2"/>
      <c r="B60" s="42" t="s">
        <v>119</v>
      </c>
      <c r="C60" s="42"/>
      <c r="D60" s="42"/>
      <c r="E60" s="42"/>
      <c r="F60" s="42"/>
      <c r="G60" s="42"/>
      <c r="H60" s="42"/>
    </row>
    <row r="61" spans="1:8" ht="12.95" customHeight="1">
      <c r="A61" s="2"/>
      <c r="B61" s="42" t="s">
        <v>120</v>
      </c>
      <c r="C61" s="42"/>
      <c r="D61" s="42"/>
      <c r="E61" s="42"/>
      <c r="F61" s="42"/>
      <c r="G61" s="42"/>
      <c r="H61" s="42"/>
    </row>
    <row r="62" spans="1:8" ht="12.95" customHeight="1">
      <c r="A62" s="2"/>
      <c r="B62" s="42" t="s">
        <v>121</v>
      </c>
      <c r="C62" s="42"/>
      <c r="D62" s="42"/>
      <c r="E62" s="42"/>
      <c r="F62" s="2"/>
      <c r="G62" s="2"/>
      <c r="H62" s="2"/>
    </row>
    <row r="63" spans="1:8">
      <c r="F63" s="41" t="s">
        <v>122</v>
      </c>
    </row>
    <row r="64" spans="1:8">
      <c r="B64" s="41" t="s">
        <v>123</v>
      </c>
      <c r="F64" s="41" t="s">
        <v>124</v>
      </c>
    </row>
  </sheetData>
  <mergeCells count="17">
    <mergeCell ref="B57:E57"/>
    <mergeCell ref="B1:H1"/>
    <mergeCell ref="B2:H2"/>
    <mergeCell ref="B3:H3"/>
    <mergeCell ref="B4:H4"/>
    <mergeCell ref="B47:E47"/>
    <mergeCell ref="B48:E48"/>
    <mergeCell ref="B49:E49"/>
    <mergeCell ref="B50:E50"/>
    <mergeCell ref="B51:E51"/>
    <mergeCell ref="B52:E52"/>
    <mergeCell ref="B53:E53"/>
    <mergeCell ref="B58:E58"/>
    <mergeCell ref="B59:E59"/>
    <mergeCell ref="B60:H60"/>
    <mergeCell ref="B61:H61"/>
    <mergeCell ref="B62:E62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FAED8-F6E3-4077-AFB3-54E1343C8888}">
  <sheetPr codeName="Sheet8">
    <outlinePr summaryBelow="0"/>
  </sheetPr>
  <dimension ref="A1:F18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43" t="s">
        <v>125</v>
      </c>
      <c r="B1" s="43"/>
      <c r="C1" s="43"/>
      <c r="D1" s="39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46" t="s">
        <v>126</v>
      </c>
      <c r="B3" s="46"/>
      <c r="C3" s="2"/>
      <c r="D3" s="2"/>
      <c r="E3" s="46" t="s">
        <v>127</v>
      </c>
      <c r="F3" s="46"/>
    </row>
    <row r="4" spans="1:6" ht="12.95" customHeight="1">
      <c r="A4" s="47" t="s">
        <v>128</v>
      </c>
      <c r="B4" s="47" t="s">
        <v>9</v>
      </c>
      <c r="C4" s="2"/>
      <c r="D4" s="2"/>
      <c r="E4" s="47" t="s">
        <v>129</v>
      </c>
      <c r="F4" s="47" t="s">
        <v>130</v>
      </c>
    </row>
    <row r="5" spans="1:6" ht="12.95" customHeight="1">
      <c r="A5" s="19" t="s">
        <v>131</v>
      </c>
      <c r="B5" s="48">
        <v>8.9700000000000002E-2</v>
      </c>
      <c r="C5" s="2"/>
      <c r="D5" s="2"/>
      <c r="E5" s="19" t="s">
        <v>132</v>
      </c>
      <c r="F5" s="48">
        <v>0.25380000000000003</v>
      </c>
    </row>
    <row r="6" spans="1:6" ht="12.95" customHeight="1">
      <c r="A6" s="19" t="s">
        <v>14</v>
      </c>
      <c r="B6" s="48">
        <v>8.6499999999999994E-2</v>
      </c>
      <c r="C6" s="2"/>
      <c r="D6" s="2"/>
      <c r="E6" s="19" t="s">
        <v>133</v>
      </c>
      <c r="F6" s="48">
        <v>0.12559999999999999</v>
      </c>
    </row>
    <row r="7" spans="1:6" ht="12.95" customHeight="1">
      <c r="A7" s="19" t="s">
        <v>18</v>
      </c>
      <c r="B7" s="48">
        <v>8.6099999999999996E-2</v>
      </c>
      <c r="C7" s="2"/>
      <c r="D7" s="2"/>
      <c r="E7" s="19" t="s">
        <v>97</v>
      </c>
      <c r="F7" s="48">
        <v>0.1217</v>
      </c>
    </row>
    <row r="8" spans="1:6" ht="12.95" customHeight="1">
      <c r="A8" s="19" t="s">
        <v>21</v>
      </c>
      <c r="B8" s="48">
        <v>8.0299999999999996E-2</v>
      </c>
      <c r="C8" s="2"/>
      <c r="D8" s="2"/>
      <c r="E8" s="19" t="s">
        <v>134</v>
      </c>
      <c r="F8" s="48">
        <v>8.8499999999999995E-2</v>
      </c>
    </row>
    <row r="9" spans="1:6" ht="12.95" customHeight="1">
      <c r="A9" s="19" t="s">
        <v>25</v>
      </c>
      <c r="B9" s="48">
        <v>5.8799999999999998E-2</v>
      </c>
      <c r="C9" s="2"/>
      <c r="D9" s="2"/>
      <c r="E9" s="19" t="s">
        <v>23</v>
      </c>
      <c r="F9" s="48">
        <v>8.0299999999999996E-2</v>
      </c>
    </row>
    <row r="10" spans="1:6" ht="12.95" customHeight="1">
      <c r="A10" s="19" t="s">
        <v>29</v>
      </c>
      <c r="B10" s="48">
        <v>5.5800000000000002E-2</v>
      </c>
      <c r="C10" s="2"/>
      <c r="D10" s="2"/>
      <c r="E10" s="19" t="s">
        <v>135</v>
      </c>
      <c r="F10" s="48">
        <v>7.8600000000000003E-2</v>
      </c>
    </row>
    <row r="11" spans="1:6" ht="12.95" customHeight="1">
      <c r="A11" s="19" t="s">
        <v>136</v>
      </c>
      <c r="B11" s="48">
        <v>5.3800000000000001E-2</v>
      </c>
      <c r="C11" s="2"/>
      <c r="D11" s="2"/>
      <c r="E11" s="19" t="s">
        <v>137</v>
      </c>
      <c r="F11" s="48">
        <v>7.7200000000000005E-2</v>
      </c>
    </row>
    <row r="12" spans="1:6" ht="12.95" customHeight="1">
      <c r="A12" s="19" t="s">
        <v>37</v>
      </c>
      <c r="B12" s="48">
        <v>5.0500000000000003E-2</v>
      </c>
      <c r="C12" s="2"/>
      <c r="D12" s="2"/>
      <c r="E12" s="19" t="s">
        <v>138</v>
      </c>
      <c r="F12" s="48">
        <v>5.8799999999999998E-2</v>
      </c>
    </row>
    <row r="13" spans="1:6" ht="12.95" customHeight="1">
      <c r="A13" s="19" t="s">
        <v>115</v>
      </c>
      <c r="B13" s="48">
        <v>4.9799999999999997E-2</v>
      </c>
      <c r="C13" s="2"/>
      <c r="D13" s="2"/>
      <c r="E13" s="19" t="s">
        <v>139</v>
      </c>
      <c r="F13" s="48">
        <v>5.5399999999999998E-2</v>
      </c>
    </row>
    <row r="14" spans="1:6" ht="12.95" customHeight="1">
      <c r="A14" s="19" t="s">
        <v>45</v>
      </c>
      <c r="B14" s="48">
        <v>4.5699999999999998E-2</v>
      </c>
      <c r="C14" s="2"/>
      <c r="D14" s="2"/>
      <c r="E14" s="19" t="s">
        <v>59</v>
      </c>
      <c r="F14" s="48">
        <v>3.8199999999999998E-2</v>
      </c>
    </row>
    <row r="15" spans="1:6" ht="12.95" customHeight="1">
      <c r="A15" s="2"/>
      <c r="B15" s="2"/>
      <c r="C15" s="2"/>
      <c r="D15" s="2"/>
      <c r="E15" s="19" t="s">
        <v>140</v>
      </c>
      <c r="F15" s="48">
        <v>3.3700000000000001E-2</v>
      </c>
    </row>
    <row r="16" spans="1:6" ht="12.95" customHeight="1">
      <c r="A16" s="2"/>
      <c r="B16" s="2"/>
      <c r="C16" s="2"/>
      <c r="D16" s="2"/>
      <c r="E16" s="19" t="s">
        <v>141</v>
      </c>
      <c r="F16" s="48">
        <v>2.6200000000000001E-2</v>
      </c>
    </row>
    <row r="17" spans="1:6" ht="12.95" customHeight="1">
      <c r="A17" s="2"/>
      <c r="B17" s="2"/>
      <c r="C17" s="2"/>
      <c r="D17" s="2"/>
      <c r="E17" s="19" t="s">
        <v>142</v>
      </c>
      <c r="F17" s="48">
        <v>-3.7900000000000003E-2</v>
      </c>
    </row>
    <row r="18" spans="1:6" ht="12.95" customHeight="1">
      <c r="A18" s="2"/>
      <c r="B18" s="2"/>
      <c r="C18" s="2"/>
      <c r="D18" s="2"/>
      <c r="E18" s="47" t="s">
        <v>143</v>
      </c>
      <c r="F18" s="4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Focused Fund</vt:lpstr>
      <vt:lpstr>IFEF</vt:lpstr>
      <vt:lpstr>IFEF!JR_PAGE_ANCHOR_0_8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2025-12-08T09:20:31Z</dcterms:created>
  <dcterms:modified xsi:type="dcterms:W3CDTF">2025-12-08T09:26:39Z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2025-12-08T09:20:34Z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4e496927-a0aa-4ada-8fb8-52e09d6435cf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