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Monthly Portfolio - April 2026\Monthly_Portfolio\"/>
    </mc:Choice>
  </mc:AlternateContent>
  <xr:revisionPtr revIDLastSave="0" documentId="13_ncr:1_{FD1E9CD8-2B5D-4A53-B63F-860440AC9490}" xr6:coauthVersionLast="47" xr6:coauthVersionMax="47" xr10:uidLastSave="{00000000-0000-0000-0000-000000000000}"/>
  <bookViews>
    <workbookView xWindow="0" yWindow="380" windowWidth="19200" windowHeight="11180" xr2:uid="{CFCD37CE-5604-44A9-8717-3BC309272F37}"/>
  </bookViews>
  <sheets>
    <sheet name="Multi Cap" sheetId="1" r:id="rId1"/>
    <sheet name="RMSCF" sheetId="2" r:id="rId2"/>
  </sheets>
  <definedNames>
    <definedName name="JR_PAGE_ANCHOR_0_27">'Multi Cap'!$A$1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 localSheetId="1">RMSCF!$A$1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" i="1" l="1"/>
  <c r="G82" i="1" s="1"/>
  <c r="F81" i="1"/>
  <c r="F82" i="1" s="1"/>
</calcChain>
</file>

<file path=xl/sharedStrings.xml><?xml version="1.0" encoding="utf-8"?>
<sst xmlns="http://schemas.openxmlformats.org/spreadsheetml/2006/main" count="351" uniqueCount="288">
  <si>
    <t>RMSCF</t>
  </si>
  <si>
    <t>INVESCO MUTUAL FUND</t>
  </si>
  <si>
    <t>Monthly Portfolio Statement as on April 30, 2026</t>
  </si>
  <si>
    <r>
      <rPr>
        <b/>
        <sz val="16"/>
        <color rgb="FFFFFFFF"/>
        <rFont val="Arial"/>
        <family val="2"/>
      </rPr>
      <t>Invesco India Multicap Fund
(Multi Cap Fund - An open ended equity scheme investing across large cap, mid cap, small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</si>
  <si>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</si>
  <si>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</si>
  <si>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</si>
  <si>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</si>
  <si>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</si>
  <si>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</si>
  <si>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</si>
  <si>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</si>
  <si>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</si>
  <si>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</si>
  <si>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</si>
  <si>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</si>
  <si>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</si>
  <si>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</si>
  <si>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</si>
  <si>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</si>
  <si>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</si>
  <si>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</si>
  <si>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</si>
  <si>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</si>
  <si>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INAV01</t>
  </si>
  <si>
    <t>InterGlobe Aviation Limited</t>
  </si>
  <si>
    <t>INE646L01027</t>
  </si>
  <si>
    <t>Transport Services</t>
  </si>
  <si>
    <t>BSEL02</t>
  </si>
  <si>
    <t>BSE Limited</t>
  </si>
  <si>
    <t>INE118H01025</t>
  </si>
  <si>
    <t>Capital Markets</t>
  </si>
  <si>
    <t>KIMS02</t>
  </si>
  <si>
    <t>Krishna Institute Of Medical Sciences Limited</t>
  </si>
  <si>
    <t>INE967H01025</t>
  </si>
  <si>
    <t>Healthcare Services</t>
  </si>
  <si>
    <t>HDFB03</t>
  </si>
  <si>
    <t>HDFC Bank Limited</t>
  </si>
  <si>
    <t>INE040A01034</t>
  </si>
  <si>
    <t>SAPH01</t>
  </si>
  <si>
    <t>Sai Life Sciences Limited</t>
  </si>
  <si>
    <t>INE570L01029</t>
  </si>
  <si>
    <t>Pharmaceuticals &amp; Biotechnology</t>
  </si>
  <si>
    <t>AFPL02</t>
  </si>
  <si>
    <t>AU Small Finance Bank Limited</t>
  </si>
  <si>
    <t>INE949L01017</t>
  </si>
  <si>
    <t>RCAM01</t>
  </si>
  <si>
    <t>Nippon Life India Asset Management Limited</t>
  </si>
  <si>
    <t>INE298J01013</t>
  </si>
  <si>
    <t>SAEL02</t>
  </si>
  <si>
    <t>TVS Motor Company Limited</t>
  </si>
  <si>
    <t>INE494B01023</t>
  </si>
  <si>
    <t>Automobiles</t>
  </si>
  <si>
    <t>DRAH01</t>
  </si>
  <si>
    <t>Dr Agarwals Health Care Limited</t>
  </si>
  <si>
    <t>INE943P01029</t>
  </si>
  <si>
    <t>SSNL02</t>
  </si>
  <si>
    <t>Delhivery Limited</t>
  </si>
  <si>
    <t>INE148O01028</t>
  </si>
  <si>
    <t>MCEX02</t>
  </si>
  <si>
    <t>Multi Commodity Exchange of India Limited</t>
  </si>
  <si>
    <t>INE745G01043</t>
  </si>
  <si>
    <t>MAHE01</t>
  </si>
  <si>
    <t>Max Healthcare Institute Limited</t>
  </si>
  <si>
    <t>INE027H01010</t>
  </si>
  <si>
    <t>CHOL02</t>
  </si>
  <si>
    <t>Cholamandalam Investment and Finance Company Limited</t>
  </si>
  <si>
    <t>INE121A01024</t>
  </si>
  <si>
    <t>Finance</t>
  </si>
  <si>
    <t>BTVL02</t>
  </si>
  <si>
    <t>Bharti Airtel Limited</t>
  </si>
  <si>
    <t>INE397D01024</t>
  </si>
  <si>
    <t>Telecom - Services</t>
  </si>
  <si>
    <t>PREP01</t>
  </si>
  <si>
    <t>Prestige Estates Projects Limited</t>
  </si>
  <si>
    <t>INE811K01011</t>
  </si>
  <si>
    <t>Realty</t>
  </si>
  <si>
    <t>AMBE01</t>
  </si>
  <si>
    <t>Amber Enterprises India Limited</t>
  </si>
  <si>
    <t>INE371P01015</t>
  </si>
  <si>
    <t>Consumer Durables</t>
  </si>
  <si>
    <t>PSYL02</t>
  </si>
  <si>
    <t>Persistent Systems Ltd ‡</t>
  </si>
  <si>
    <t>INE262H01021</t>
  </si>
  <si>
    <t>IT - Software</t>
  </si>
  <si>
    <t>JKCE01</t>
  </si>
  <si>
    <t>JK Cement Limited</t>
  </si>
  <si>
    <t>INE823G01014</t>
  </si>
  <si>
    <t>Cement &amp; Cement Products</t>
  </si>
  <si>
    <t>GODI01</t>
  </si>
  <si>
    <t>Go Digit General Insurance Ltd</t>
  </si>
  <si>
    <t>INE03JT01014</t>
  </si>
  <si>
    <t>Insurance</t>
  </si>
  <si>
    <t>LARS02</t>
  </si>
  <si>
    <t>Larsen &amp; Toubro Limited</t>
  </si>
  <si>
    <t>INE018A01030</t>
  </si>
  <si>
    <t>Construction</t>
  </si>
  <si>
    <t>LAKM02</t>
  </si>
  <si>
    <t>Trent Limited</t>
  </si>
  <si>
    <t>INE849A01020</t>
  </si>
  <si>
    <t>GHPL01</t>
  </si>
  <si>
    <t>Global Health Limited</t>
  </si>
  <si>
    <t>INE474Q01031</t>
  </si>
  <si>
    <t>PHMI02</t>
  </si>
  <si>
    <t>The Phoenix Mills Limited</t>
  </si>
  <si>
    <t>INE211B01039</t>
  </si>
  <si>
    <t>FSNE01</t>
  </si>
  <si>
    <t>FSN E-Commerce Ventures Limited</t>
  </si>
  <si>
    <t>INE388Y01029</t>
  </si>
  <si>
    <t>IIBL01</t>
  </si>
  <si>
    <t>IndusInd Bank Limited ^^^</t>
  </si>
  <si>
    <t>INE095A01012</t>
  </si>
  <si>
    <t>NITL02</t>
  </si>
  <si>
    <t>Coforge Limited</t>
  </si>
  <si>
    <t>INE591G01025</t>
  </si>
  <si>
    <t>RATN01</t>
  </si>
  <si>
    <t>RBL Bank Limited</t>
  </si>
  <si>
    <t>INE976G01028</t>
  </si>
  <si>
    <t>TMLC01</t>
  </si>
  <si>
    <t>Tata Motors Ltd</t>
  </si>
  <si>
    <t>INE1TAE01010</t>
  </si>
  <si>
    <t>Agricultural, Commercial &amp; Construction Vehicles</t>
  </si>
  <si>
    <t>ULCC01</t>
  </si>
  <si>
    <t>UltraTech Cement Limited</t>
  </si>
  <si>
    <t>INE481G01011</t>
  </si>
  <si>
    <t>ESMC02</t>
  </si>
  <si>
    <t>PB Fintech Limited</t>
  </si>
  <si>
    <t>INE417T01026</t>
  </si>
  <si>
    <t>Financial Technology (Fintech)</t>
  </si>
  <si>
    <t>KEII02</t>
  </si>
  <si>
    <t>KEI Industries Limited ‡</t>
  </si>
  <si>
    <t>INE878B01027</t>
  </si>
  <si>
    <t>Industrial Products</t>
  </si>
  <si>
    <t>TIIN01</t>
  </si>
  <si>
    <t>Timken India Limited</t>
  </si>
  <si>
    <t>INE325A01013</t>
  </si>
  <si>
    <t>BLTE01</t>
  </si>
  <si>
    <t>Swiggy Limited</t>
  </si>
  <si>
    <t>INE00H001014</t>
  </si>
  <si>
    <t>HALT02</t>
  </si>
  <si>
    <t>Hindustan Aeronautics Limited</t>
  </si>
  <si>
    <t>INE066F01020</t>
  </si>
  <si>
    <t>Aerospace &amp; Defense</t>
  </si>
  <si>
    <t>BHEL02</t>
  </si>
  <si>
    <t>Bharat Electronics Limited</t>
  </si>
  <si>
    <t>INE263A01024</t>
  </si>
  <si>
    <t>BAFL03</t>
  </si>
  <si>
    <t>Bajaj Finance Ltd</t>
  </si>
  <si>
    <t>INE296A01032</t>
  </si>
  <si>
    <t>CORE01</t>
  </si>
  <si>
    <t>Corona Remedies Limited</t>
  </si>
  <si>
    <t>INE02ZQ01018</t>
  </si>
  <si>
    <t>VMML01</t>
  </si>
  <si>
    <t>Vishal Mega Mart Limited</t>
  </si>
  <si>
    <t>INE01EA01019</t>
  </si>
  <si>
    <t>BKBA02</t>
  </si>
  <si>
    <t>Bank of Baroda</t>
  </si>
  <si>
    <t>INE028A01039</t>
  </si>
  <si>
    <t>APLI04</t>
  </si>
  <si>
    <t>Hexaware Technologies Limited</t>
  </si>
  <si>
    <t>INE093A01041</t>
  </si>
  <si>
    <t>MAHI02</t>
  </si>
  <si>
    <t>Mahindra &amp; Mahindra Limited</t>
  </si>
  <si>
    <t>INE101A01026</t>
  </si>
  <si>
    <t>SBFC01</t>
  </si>
  <si>
    <t>SBFC Finance Limited</t>
  </si>
  <si>
    <t>INE423Y01016</t>
  </si>
  <si>
    <t>SAFI02</t>
  </si>
  <si>
    <t>Safari Industries (India) Limited</t>
  </si>
  <si>
    <t>INE429E01023</t>
  </si>
  <si>
    <t>ADTH01</t>
  </si>
  <si>
    <t>Aditya Infotech Limited</t>
  </si>
  <si>
    <t>INE819V01029</t>
  </si>
  <si>
    <t>Industrial Manufacturing</t>
  </si>
  <si>
    <t>KAVY06</t>
  </si>
  <si>
    <t>Karur Vysya Bank Limited</t>
  </si>
  <si>
    <t>INE036D01028</t>
  </si>
  <si>
    <t>BSLM02</t>
  </si>
  <si>
    <t>Aditya Birla Sun Life AMC Limited</t>
  </si>
  <si>
    <t>INE404A01024</t>
  </si>
  <si>
    <t>ABBP01</t>
  </si>
  <si>
    <t>Hitachi Energy India Limited</t>
  </si>
  <si>
    <t>INE07Y701011</t>
  </si>
  <si>
    <t>Electrical Equipment</t>
  </si>
  <si>
    <t>HINI02</t>
  </si>
  <si>
    <t>Hindalco Industries Limited</t>
  </si>
  <si>
    <t>INE038A01020</t>
  </si>
  <si>
    <t>Non - Ferrous Metals</t>
  </si>
  <si>
    <t>HFFC02</t>
  </si>
  <si>
    <t>Home First Finance Company India Limited</t>
  </si>
  <si>
    <t>INE481N01025</t>
  </si>
  <si>
    <t>FUJI02</t>
  </si>
  <si>
    <t>Zensar Technologies Limited</t>
  </si>
  <si>
    <t>INE520A01027</t>
  </si>
  <si>
    <t>AVSP01</t>
  </si>
  <si>
    <t>Avenue Supermarts Limited</t>
  </si>
  <si>
    <t>INE192R01011</t>
  </si>
  <si>
    <t>DIXO02</t>
  </si>
  <si>
    <t>Dixon Technologies (India) Limited</t>
  </si>
  <si>
    <t>INE935N01020</t>
  </si>
  <si>
    <t>ETHO01</t>
  </si>
  <si>
    <t>Ethos Ltd.</t>
  </si>
  <si>
    <t>INE04TZ01018</t>
  </si>
  <si>
    <t>TLFH01</t>
  </si>
  <si>
    <t>Tube Investments Of India Limited</t>
  </si>
  <si>
    <t>INE974X01010</t>
  </si>
  <si>
    <t>Auto Components</t>
  </si>
  <si>
    <t>LTFL01</t>
  </si>
  <si>
    <t>L&amp;T Finance Limited</t>
  </si>
  <si>
    <t>INE498L01015</t>
  </si>
  <si>
    <t>TTEA02</t>
  </si>
  <si>
    <t>Tata Consumer Products Limited</t>
  </si>
  <si>
    <t>INE192A01025</t>
  </si>
  <si>
    <t>Agricultural Food &amp; other Products</t>
  </si>
  <si>
    <t>JYCN01</t>
  </si>
  <si>
    <t>Jyoti CNC Automation Ltd</t>
  </si>
  <si>
    <t>INE980O01024</t>
  </si>
  <si>
    <t>CPIL02</t>
  </si>
  <si>
    <t>CCL Products (India) Limited</t>
  </si>
  <si>
    <t>INE421D01022</t>
  </si>
  <si>
    <t>SEDE01</t>
  </si>
  <si>
    <t>Sedemac Mechatronics Limited</t>
  </si>
  <si>
    <t>INE00XB01019</t>
  </si>
  <si>
    <t>Sub Total</t>
  </si>
  <si>
    <t>(b) Unlisted</t>
  </si>
  <si>
    <t>Nil</t>
  </si>
  <si>
    <t>Total</t>
  </si>
  <si>
    <t>Money Market Instruments</t>
  </si>
  <si>
    <t>TREPS / Reverse Repo</t>
  </si>
  <si>
    <t>TRP_040526</t>
  </si>
  <si>
    <t>Triparty Repo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</si>
  <si>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</si>
  <si>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</si>
  <si>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</si>
  <si>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</si>
  <si>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</si>
  <si>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</si>
  <si>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</si>
  <si>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</si>
  <si>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^^^ Associate Company / Group co.</t>
  </si>
  <si>
    <t>^^ Awaiting listing</t>
  </si>
  <si>
    <t>‡ Includes shares lent under Securities Lending &amp; Borrowing Scheme of BSE</t>
  </si>
  <si>
    <t>Name of the Security</t>
  </si>
  <si>
    <t>Shares</t>
  </si>
  <si>
    <t>KEI Industries Limited</t>
  </si>
  <si>
    <t>Persistent Systems Limited</t>
  </si>
  <si>
    <t>Notes :</t>
  </si>
  <si>
    <t>(1)  Details of security in default beyond it's maturity date: Nil</t>
  </si>
  <si>
    <t>(2)  Total Value and percentage of illiquid equity shares: Nil</t>
  </si>
  <si>
    <t>(3)  Net Assets Value per unit (in `) are as follows:</t>
  </si>
  <si>
    <t xml:space="preserve">       Plan / Option</t>
  </si>
  <si>
    <t>As on April 30, 2026</t>
  </si>
  <si>
    <t>As on March 31, 2026</t>
  </si>
  <si>
    <t xml:space="preserve">       Growth Option</t>
  </si>
  <si>
    <t xml:space="preserve">       IDCW Option</t>
  </si>
  <si>
    <t xml:space="preserve">       Direct Plan - Growth Option</t>
  </si>
  <si>
    <t xml:space="preserve">       Direct Plan - IDCW Option</t>
  </si>
  <si>
    <t>(4)  IDCW /  Bonus declared during the month ended As on April 30, 2026: Nil</t>
  </si>
  <si>
    <t>(5)  Total outstanding exposure in derivative instruments As on April 30, 2026: Nil</t>
  </si>
  <si>
    <t>(6)  Total investments in Foreign Securities / American Depository Receipts / Global Depository Receipts / Overseas ETFs As on As on April 30, 2026 and its percentage to NAV : Nil</t>
  </si>
  <si>
    <t>(7)  During the period, the portfolio turnover ratio was 0.83 times. ¥</t>
  </si>
  <si>
    <t>(8)  Investment in Repo of Corporate Debt securities : Nil</t>
  </si>
  <si>
    <t>(9)  Deviation from the valuation prices given by valuation agencies during the month ended  As on April 30, 2026: Nil</t>
  </si>
  <si>
    <t>¥ Portfolio Turnover Ratio: Lower of purchases or sales of securities during the year ended April 30, 2026 / average net assets during the year ended April 30, 2026.</t>
  </si>
  <si>
    <t>The Face value per unit is ` 10.</t>
  </si>
  <si>
    <t>BENCHMARK NAME - NIFTY 500 MULTICAP 50:25:25 TRI</t>
  </si>
  <si>
    <t>SCHEME RISK-O-METER</t>
  </si>
  <si>
    <t>BENCHMARK RISK-O-METER</t>
  </si>
  <si>
    <t>Scheme Name: Invesco India Multicap Fund (Multi Cap Fund - An open ended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</si>
  <si>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</si>
  <si>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</si>
  <si>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</si>
  <si>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</si>
  <si>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</si>
  <si>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</si>
  <si>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</si>
  <si>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</si>
  <si>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</si>
  <si>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Information Technology</t>
  </si>
  <si>
    <t>Services</t>
  </si>
  <si>
    <t>Automobile and Auto Components</t>
  </si>
  <si>
    <t>Construction Materials</t>
  </si>
  <si>
    <t>Telecommunication</t>
  </si>
  <si>
    <t>Others</t>
  </si>
  <si>
    <t>Fast Moving Consumer Goods</t>
  </si>
  <si>
    <t>Metals &amp; Mining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</si>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</sst>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0.00000000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 applyProtection="1">
      <alignment wrapText="1"/>
      <protection locked="0"/>
    </xf>
    <xf numFmtId="0" fontId="6" fillId="0" borderId="0" xfId="0" applyFont="1"/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7" fillId="0" borderId="10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3" fontId="8" fillId="0" borderId="10" xfId="0" applyNumberFormat="1" applyFont="1" applyBorder="1" applyAlignment="1">
      <alignment horizontal="right" vertical="top" wrapText="1"/>
    </xf>
    <xf numFmtId="3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3" fontId="8" fillId="0" borderId="0" xfId="0" applyNumberFormat="1" applyFont="1" applyAlignment="1">
      <alignment horizontal="right" vertical="top" wrapText="1"/>
    </xf>
    <xf numFmtId="0" fontId="1" fillId="0" borderId="0" xfId="0" applyFont="1"/>
    <xf numFmtId="0" fontId="1" fillId="0" borderId="0" xfId="0" applyFont="1" applyAlignment="1">
      <alignment horizontal="right"/>
    </xf>
    <xf numFmtId="2" fontId="0" fillId="0" borderId="0" xfId="0" applyNumberFormat="1"/>
    <xf numFmtId="167" fontId="0" fillId="0" borderId="0" xfId="0" applyNumberFormat="1"/>
    <xf numFmtId="0" fontId="4" fillId="0" borderId="0" xfId="0" applyFont="1" applyAlignment="1">
      <alignment horizontal="left" vertical="top"/>
    </xf>
    <xf numFmtId="0" fontId="9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1</xdr:col>
      <xdr:colOff>2857500</xdr:colOff>
      <xdr:row>127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4870AF-AEF0-474D-B321-13266A99EF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0853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117</xdr:row>
      <xdr:rowOff>0</xdr:rowOff>
    </xdr:from>
    <xdr:to>
      <xdr:col>8</xdr:col>
      <xdr:colOff>228600</xdr:colOff>
      <xdr:row>127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3E651A-9C15-4BF4-BF1E-B70E26389F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4650" y="208534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572D-9525-4E69-882D-23D93269B30C}">
  <sheetPr codeName="Sheet27">
    <outlinePr summaryBelow="0"/>
  </sheetPr>
  <dimension ref="A1:H132"/>
  <sheetViews>
    <sheetView showGridLines="0" tabSelected="1" workbookViewId="0">
      <selection activeCell="B2" sqref="B2:H2"/>
    </sheetView>
  </sheetViews>
  <sheetFormatPr defaultRowHeight="14.5"/>
  <cols>
    <col min="1" max="1" width="4.08984375" customWidth="1"/>
    <col min="2" max="2" width="69.81640625" customWidth="1"/>
    <col min="3" max="3" width="17.08984375" customWidth="1"/>
    <col min="4" max="4" width="28.36328125" customWidth="1"/>
    <col min="5" max="5" width="13.26953125" customWidth="1"/>
    <col min="6" max="6" width="16.08984375" customWidth="1"/>
    <col min="7" max="7" width="13.81640625" customWidth="1"/>
    <col min="8" max="8" width="7.7265625" customWidth="1"/>
  </cols>
  <sheetData>
    <row r="1" spans="1:8" ht="20" customHeight="1">
      <c r="A1" s="1" t="s">
        <v>0</v>
      </c>
      <c r="B1" s="51" t="s">
        <v>1</v>
      </c>
      <c r="C1" s="51"/>
      <c r="D1" s="51"/>
      <c r="E1" s="51"/>
      <c r="F1" s="51"/>
      <c r="G1" s="51"/>
      <c r="H1" s="51"/>
    </row>
    <row r="2" spans="1:8" ht="20" customHeight="1">
      <c r="A2" s="2"/>
      <c r="B2" s="51" t="s">
        <v>2</v>
      </c>
      <c r="C2" s="51"/>
      <c r="D2" s="51"/>
      <c r="E2" s="51"/>
      <c r="F2" s="51"/>
      <c r="G2" s="51"/>
      <c r="H2" s="51"/>
    </row>
    <row r="3" spans="1:8" ht="72" customHeight="1">
      <c r="A3" s="2"/>
      <c r="B3" s="51" t="s">
        <v>3</v>
      </c>
      <c r="C3" s="51"/>
      <c r="D3" s="51"/>
      <c r="E3" s="51"/>
      <c r="F3" s="51"/>
      <c r="G3" s="51"/>
      <c r="H3" s="51"/>
    </row>
    <row r="4" spans="1:8" ht="13" customHeight="1" thickBot="1">
      <c r="A4" s="2"/>
      <c r="B4" s="52"/>
      <c r="C4" s="52"/>
      <c r="D4" s="52"/>
      <c r="E4" s="52"/>
      <c r="F4" s="52"/>
      <c r="G4" s="52"/>
      <c r="H4" s="5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5822325</v>
      </c>
      <c r="F8" s="14">
        <v>14382.89</v>
      </c>
      <c r="G8" s="14">
        <v>3.6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1067489</v>
      </c>
      <c r="F9" s="14">
        <v>13486.66</v>
      </c>
      <c r="G9" s="14">
        <v>3.38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911858</v>
      </c>
      <c r="F10" s="14">
        <v>11565.1</v>
      </c>
      <c r="G10" s="14">
        <v>2.89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268532</v>
      </c>
      <c r="F11" s="14">
        <v>11534.25</v>
      </c>
      <c r="G11" s="14">
        <v>2.89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306903</v>
      </c>
      <c r="F12" s="14">
        <v>11172.8</v>
      </c>
      <c r="G12" s="14">
        <v>2.8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1612627</v>
      </c>
      <c r="F13" s="14">
        <v>10751.38</v>
      </c>
      <c r="G13" s="14">
        <v>2.69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20</v>
      </c>
      <c r="E14" s="13">
        <v>1346365</v>
      </c>
      <c r="F14" s="14">
        <v>10389.9</v>
      </c>
      <c r="G14" s="14">
        <v>2.6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945217</v>
      </c>
      <c r="F15" s="14">
        <v>10108.620000000001</v>
      </c>
      <c r="G15" s="14">
        <v>2.5299999999999998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20</v>
      </c>
      <c r="E16" s="13">
        <v>966200</v>
      </c>
      <c r="F16" s="14">
        <v>9816.11</v>
      </c>
      <c r="G16" s="14">
        <v>2.46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31</v>
      </c>
      <c r="E17" s="13">
        <v>914150</v>
      </c>
      <c r="F17" s="14">
        <v>9232.4599999999991</v>
      </c>
      <c r="G17" s="14">
        <v>2.31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260356</v>
      </c>
      <c r="F18" s="14">
        <v>9093.9699999999993</v>
      </c>
      <c r="G18" s="14">
        <v>2.2799999999999998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35</v>
      </c>
      <c r="E19" s="13">
        <v>2033391</v>
      </c>
      <c r="F19" s="14">
        <v>9050.6200000000008</v>
      </c>
      <c r="G19" s="14">
        <v>2.27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27</v>
      </c>
      <c r="E20" s="13">
        <v>1910867</v>
      </c>
      <c r="F20" s="14">
        <v>8924.7000000000007</v>
      </c>
      <c r="G20" s="14">
        <v>2.23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31</v>
      </c>
      <c r="E21" s="13">
        <v>300167</v>
      </c>
      <c r="F21" s="14">
        <v>8919.4599999999991</v>
      </c>
      <c r="G21" s="14">
        <v>2.23</v>
      </c>
      <c r="H21" s="15"/>
    </row>
    <row r="22" spans="1:8" ht="13" customHeight="1">
      <c r="A22" s="1" t="s">
        <v>62</v>
      </c>
      <c r="B22" s="11" t="s">
        <v>63</v>
      </c>
      <c r="C22" s="12" t="s">
        <v>64</v>
      </c>
      <c r="D22" s="8" t="s">
        <v>35</v>
      </c>
      <c r="E22" s="13">
        <v>893739</v>
      </c>
      <c r="F22" s="14">
        <v>8875.2800000000007</v>
      </c>
      <c r="G22" s="14">
        <v>2.2200000000000002</v>
      </c>
      <c r="H22" s="15"/>
    </row>
    <row r="23" spans="1:8" ht="13" customHeight="1">
      <c r="A23" s="1" t="s">
        <v>65</v>
      </c>
      <c r="B23" s="11" t="s">
        <v>66</v>
      </c>
      <c r="C23" s="12" t="s">
        <v>67</v>
      </c>
      <c r="D23" s="8" t="s">
        <v>68</v>
      </c>
      <c r="E23" s="13">
        <v>566794</v>
      </c>
      <c r="F23" s="14">
        <v>8858.42</v>
      </c>
      <c r="G23" s="14">
        <v>2.2200000000000002</v>
      </c>
      <c r="H23" s="15"/>
    </row>
    <row r="24" spans="1:8" ht="13" customHeight="1">
      <c r="A24" s="1" t="s">
        <v>69</v>
      </c>
      <c r="B24" s="11" t="s">
        <v>70</v>
      </c>
      <c r="C24" s="12" t="s">
        <v>71</v>
      </c>
      <c r="D24" s="8" t="s">
        <v>72</v>
      </c>
      <c r="E24" s="13">
        <v>445134</v>
      </c>
      <c r="F24" s="14">
        <v>8398.7900000000009</v>
      </c>
      <c r="G24" s="14">
        <v>2.1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585514</v>
      </c>
      <c r="F25" s="14">
        <v>8281.51</v>
      </c>
      <c r="G25" s="14">
        <v>2.0699999999999998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102662</v>
      </c>
      <c r="F26" s="14">
        <v>8237.6</v>
      </c>
      <c r="G26" s="14">
        <v>2.06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169660</v>
      </c>
      <c r="F27" s="14">
        <v>8143.68</v>
      </c>
      <c r="G27" s="14">
        <v>2.04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152129</v>
      </c>
      <c r="F28" s="14">
        <v>8043.06</v>
      </c>
      <c r="G28" s="14">
        <v>2.0099999999999998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2420666</v>
      </c>
      <c r="F29" s="14">
        <v>7481.07</v>
      </c>
      <c r="G29" s="14">
        <v>1.87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184263</v>
      </c>
      <c r="F30" s="14">
        <v>7396.32</v>
      </c>
      <c r="G30" s="14">
        <v>1.85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16</v>
      </c>
      <c r="E31" s="13">
        <v>172216</v>
      </c>
      <c r="F31" s="14">
        <v>7137.66</v>
      </c>
      <c r="G31" s="14">
        <v>1.79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35</v>
      </c>
      <c r="E32" s="13">
        <v>624334</v>
      </c>
      <c r="F32" s="14">
        <v>6975.37</v>
      </c>
      <c r="G32" s="14">
        <v>1.75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76</v>
      </c>
      <c r="E33" s="13">
        <v>381425</v>
      </c>
      <c r="F33" s="14">
        <v>6732.15</v>
      </c>
      <c r="G33" s="14">
        <v>1.68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16</v>
      </c>
      <c r="E34" s="13">
        <v>2466529</v>
      </c>
      <c r="F34" s="14">
        <v>6530.38</v>
      </c>
      <c r="G34" s="14">
        <v>1.63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20</v>
      </c>
      <c r="E35" s="13">
        <v>711696</v>
      </c>
      <c r="F35" s="14">
        <v>6519.49</v>
      </c>
      <c r="G35" s="14">
        <v>1.63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84</v>
      </c>
      <c r="E36" s="13">
        <v>539541</v>
      </c>
      <c r="F36" s="14">
        <v>6452.37</v>
      </c>
      <c r="G36" s="14">
        <v>1.61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20</v>
      </c>
      <c r="E37" s="13">
        <v>1911808</v>
      </c>
      <c r="F37" s="14">
        <v>6434.19</v>
      </c>
      <c r="G37" s="14">
        <v>1.61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121</v>
      </c>
      <c r="E38" s="13">
        <v>1474040</v>
      </c>
      <c r="F38" s="14">
        <v>6042.09</v>
      </c>
      <c r="G38" s="14">
        <v>1.51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88</v>
      </c>
      <c r="E39" s="13">
        <v>51938</v>
      </c>
      <c r="F39" s="14">
        <v>6017.54</v>
      </c>
      <c r="G39" s="14">
        <v>1.51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361042</v>
      </c>
      <c r="F40" s="14">
        <v>6015.68</v>
      </c>
      <c r="G40" s="14">
        <v>1.51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117191</v>
      </c>
      <c r="F41" s="14">
        <v>5692.55</v>
      </c>
      <c r="G41" s="14">
        <v>1.42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132</v>
      </c>
      <c r="E42" s="13">
        <v>162941</v>
      </c>
      <c r="F42" s="14">
        <v>5586.92</v>
      </c>
      <c r="G42" s="14">
        <v>1.4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16</v>
      </c>
      <c r="E43" s="13">
        <v>1850856</v>
      </c>
      <c r="F43" s="14">
        <v>5002.8599999999997</v>
      </c>
      <c r="G43" s="14">
        <v>1.25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115241</v>
      </c>
      <c r="F44" s="14">
        <v>5000.08</v>
      </c>
      <c r="G44" s="14">
        <v>1.25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142</v>
      </c>
      <c r="E45" s="13">
        <v>1130286</v>
      </c>
      <c r="F45" s="14">
        <v>4874.92</v>
      </c>
      <c r="G45" s="14">
        <v>1.22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68</v>
      </c>
      <c r="E46" s="13">
        <v>515202</v>
      </c>
      <c r="F46" s="14">
        <v>4827.4399999999996</v>
      </c>
      <c r="G46" s="14">
        <v>1.21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42</v>
      </c>
      <c r="E47" s="13">
        <v>279353</v>
      </c>
      <c r="F47" s="14">
        <v>4823.3100000000004</v>
      </c>
      <c r="G47" s="14">
        <v>1.21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16</v>
      </c>
      <c r="E48" s="13">
        <v>3917302</v>
      </c>
      <c r="F48" s="14">
        <v>4790.47</v>
      </c>
      <c r="G48" s="14">
        <v>1.2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20</v>
      </c>
      <c r="E49" s="13">
        <v>1669146</v>
      </c>
      <c r="F49" s="14">
        <v>4397.53</v>
      </c>
      <c r="G49" s="14">
        <v>1.1000000000000001</v>
      </c>
      <c r="H49" s="15"/>
    </row>
    <row r="50" spans="1:8" ht="13" customHeight="1">
      <c r="A50" s="1" t="s">
        <v>158</v>
      </c>
      <c r="B50" s="11" t="s">
        <v>159</v>
      </c>
      <c r="C50" s="12" t="s">
        <v>160</v>
      </c>
      <c r="D50" s="8" t="s">
        <v>84</v>
      </c>
      <c r="E50" s="13">
        <v>958951</v>
      </c>
      <c r="F50" s="14">
        <v>4292.74</v>
      </c>
      <c r="G50" s="14">
        <v>1.07</v>
      </c>
      <c r="H50" s="15"/>
    </row>
    <row r="51" spans="1:8" ht="13" customHeight="1">
      <c r="A51" s="1" t="s">
        <v>161</v>
      </c>
      <c r="B51" s="11" t="s">
        <v>162</v>
      </c>
      <c r="C51" s="12" t="s">
        <v>163</v>
      </c>
      <c r="D51" s="8" t="s">
        <v>52</v>
      </c>
      <c r="E51" s="13">
        <v>138413</v>
      </c>
      <c r="F51" s="14">
        <v>4287.34</v>
      </c>
      <c r="G51" s="14">
        <v>1.07</v>
      </c>
      <c r="H51" s="15"/>
    </row>
    <row r="52" spans="1:8" ht="13" customHeight="1">
      <c r="A52" s="1" t="s">
        <v>164</v>
      </c>
      <c r="B52" s="11" t="s">
        <v>165</v>
      </c>
      <c r="C52" s="12" t="s">
        <v>166</v>
      </c>
      <c r="D52" s="8" t="s">
        <v>68</v>
      </c>
      <c r="E52" s="13">
        <v>4566108</v>
      </c>
      <c r="F52" s="14">
        <v>4214.97</v>
      </c>
      <c r="G52" s="14">
        <v>1.05</v>
      </c>
      <c r="H52" s="15"/>
    </row>
    <row r="53" spans="1:8" ht="13" customHeight="1">
      <c r="A53" s="1" t="s">
        <v>167</v>
      </c>
      <c r="B53" s="11" t="s">
        <v>168</v>
      </c>
      <c r="C53" s="12" t="s">
        <v>169</v>
      </c>
      <c r="D53" s="8" t="s">
        <v>80</v>
      </c>
      <c r="E53" s="13">
        <v>296268</v>
      </c>
      <c r="F53" s="14">
        <v>4184.79</v>
      </c>
      <c r="G53" s="14">
        <v>1.05</v>
      </c>
      <c r="H53" s="15"/>
    </row>
    <row r="54" spans="1:8" ht="13" customHeight="1">
      <c r="A54" s="1" t="s">
        <v>170</v>
      </c>
      <c r="B54" s="11" t="s">
        <v>171</v>
      </c>
      <c r="C54" s="12" t="s">
        <v>172</v>
      </c>
      <c r="D54" s="8" t="s">
        <v>173</v>
      </c>
      <c r="E54" s="13">
        <v>179883</v>
      </c>
      <c r="F54" s="14">
        <v>4183.3599999999997</v>
      </c>
      <c r="G54" s="14">
        <v>1.05</v>
      </c>
      <c r="H54" s="15"/>
    </row>
    <row r="55" spans="1:8" ht="13" customHeight="1">
      <c r="A55" s="1" t="s">
        <v>174</v>
      </c>
      <c r="B55" s="11" t="s">
        <v>175</v>
      </c>
      <c r="C55" s="12" t="s">
        <v>176</v>
      </c>
      <c r="D55" s="8" t="s">
        <v>20</v>
      </c>
      <c r="E55" s="13">
        <v>1333982</v>
      </c>
      <c r="F55" s="14">
        <v>3915.24</v>
      </c>
      <c r="G55" s="14">
        <v>0.98</v>
      </c>
      <c r="H55" s="15"/>
    </row>
    <row r="56" spans="1:8" ht="13" customHeight="1">
      <c r="A56" s="1" t="s">
        <v>177</v>
      </c>
      <c r="B56" s="11" t="s">
        <v>178</v>
      </c>
      <c r="C56" s="12" t="s">
        <v>179</v>
      </c>
      <c r="D56" s="8" t="s">
        <v>31</v>
      </c>
      <c r="E56" s="13">
        <v>381808</v>
      </c>
      <c r="F56" s="14">
        <v>3876.11</v>
      </c>
      <c r="G56" s="14">
        <v>0.97</v>
      </c>
      <c r="H56" s="15"/>
    </row>
    <row r="57" spans="1:8" ht="13" customHeight="1">
      <c r="A57" s="1" t="s">
        <v>180</v>
      </c>
      <c r="B57" s="11" t="s">
        <v>181</v>
      </c>
      <c r="C57" s="12" t="s">
        <v>182</v>
      </c>
      <c r="D57" s="8" t="s">
        <v>183</v>
      </c>
      <c r="E57" s="13">
        <v>11293</v>
      </c>
      <c r="F57" s="14">
        <v>3788.8</v>
      </c>
      <c r="G57" s="14">
        <v>0.95</v>
      </c>
      <c r="H57" s="15"/>
    </row>
    <row r="58" spans="1:8" ht="13" customHeight="1">
      <c r="A58" s="1" t="s">
        <v>184</v>
      </c>
      <c r="B58" s="11" t="s">
        <v>185</v>
      </c>
      <c r="C58" s="12" t="s">
        <v>186</v>
      </c>
      <c r="D58" s="8" t="s">
        <v>187</v>
      </c>
      <c r="E58" s="13">
        <v>340847</v>
      </c>
      <c r="F58" s="14">
        <v>3537.99</v>
      </c>
      <c r="G58" s="14">
        <v>0.89</v>
      </c>
      <c r="H58" s="15"/>
    </row>
    <row r="59" spans="1:8" ht="13" customHeight="1">
      <c r="A59" s="1" t="s">
        <v>188</v>
      </c>
      <c r="B59" s="11" t="s">
        <v>189</v>
      </c>
      <c r="C59" s="12" t="s">
        <v>190</v>
      </c>
      <c r="D59" s="8" t="s">
        <v>68</v>
      </c>
      <c r="E59" s="13">
        <v>286618</v>
      </c>
      <c r="F59" s="14">
        <v>3329.64</v>
      </c>
      <c r="G59" s="14">
        <v>0.83</v>
      </c>
      <c r="H59" s="15"/>
    </row>
    <row r="60" spans="1:8" ht="13" customHeight="1">
      <c r="A60" s="1" t="s">
        <v>191</v>
      </c>
      <c r="B60" s="11" t="s">
        <v>192</v>
      </c>
      <c r="C60" s="12" t="s">
        <v>193</v>
      </c>
      <c r="D60" s="8" t="s">
        <v>84</v>
      </c>
      <c r="E60" s="13">
        <v>647004</v>
      </c>
      <c r="F60" s="14">
        <v>3324.63</v>
      </c>
      <c r="G60" s="14">
        <v>0.83</v>
      </c>
      <c r="H60" s="15"/>
    </row>
    <row r="61" spans="1:8" ht="13" customHeight="1">
      <c r="A61" s="1" t="s">
        <v>194</v>
      </c>
      <c r="B61" s="11" t="s">
        <v>195</v>
      </c>
      <c r="C61" s="12" t="s">
        <v>196</v>
      </c>
      <c r="D61" s="8" t="s">
        <v>16</v>
      </c>
      <c r="E61" s="13">
        <v>66852</v>
      </c>
      <c r="F61" s="14">
        <v>3065.77</v>
      </c>
      <c r="G61" s="14">
        <v>0.77</v>
      </c>
      <c r="H61" s="15"/>
    </row>
    <row r="62" spans="1:8" ht="13" customHeight="1">
      <c r="A62" s="1" t="s">
        <v>197</v>
      </c>
      <c r="B62" s="11" t="s">
        <v>198</v>
      </c>
      <c r="C62" s="12" t="s">
        <v>199</v>
      </c>
      <c r="D62" s="8" t="s">
        <v>80</v>
      </c>
      <c r="E62" s="13">
        <v>27271</v>
      </c>
      <c r="F62" s="14">
        <v>3045.22</v>
      </c>
      <c r="G62" s="14">
        <v>0.76</v>
      </c>
      <c r="H62" s="15"/>
    </row>
    <row r="63" spans="1:8" ht="13" customHeight="1">
      <c r="A63" s="1" t="s">
        <v>200</v>
      </c>
      <c r="B63" s="11" t="s">
        <v>201</v>
      </c>
      <c r="C63" s="12" t="s">
        <v>202</v>
      </c>
      <c r="D63" s="8" t="s">
        <v>80</v>
      </c>
      <c r="E63" s="13">
        <v>100248</v>
      </c>
      <c r="F63" s="14">
        <v>2407.7600000000002</v>
      </c>
      <c r="G63" s="14">
        <v>0.6</v>
      </c>
      <c r="H63" s="15"/>
    </row>
    <row r="64" spans="1:8" ht="13" customHeight="1">
      <c r="A64" s="1" t="s">
        <v>203</v>
      </c>
      <c r="B64" s="11" t="s">
        <v>204</v>
      </c>
      <c r="C64" s="12" t="s">
        <v>205</v>
      </c>
      <c r="D64" s="8" t="s">
        <v>206</v>
      </c>
      <c r="E64" s="13">
        <v>67310</v>
      </c>
      <c r="F64" s="14">
        <v>1984.23</v>
      </c>
      <c r="G64" s="14">
        <v>0.5</v>
      </c>
      <c r="H64" s="15"/>
    </row>
    <row r="65" spans="1:8" ht="13" customHeight="1">
      <c r="A65" s="1" t="s">
        <v>207</v>
      </c>
      <c r="B65" s="11" t="s">
        <v>208</v>
      </c>
      <c r="C65" s="12" t="s">
        <v>209</v>
      </c>
      <c r="D65" s="8" t="s">
        <v>68</v>
      </c>
      <c r="E65" s="13">
        <v>709296</v>
      </c>
      <c r="F65" s="14">
        <v>1984.11</v>
      </c>
      <c r="G65" s="14">
        <v>0.5</v>
      </c>
      <c r="H65" s="15"/>
    </row>
    <row r="66" spans="1:8" ht="13" customHeight="1">
      <c r="A66" s="1" t="s">
        <v>210</v>
      </c>
      <c r="B66" s="11" t="s">
        <v>211</v>
      </c>
      <c r="C66" s="12" t="s">
        <v>212</v>
      </c>
      <c r="D66" s="8" t="s">
        <v>213</v>
      </c>
      <c r="E66" s="13">
        <v>170954</v>
      </c>
      <c r="F66" s="14">
        <v>1956.74</v>
      </c>
      <c r="G66" s="14">
        <v>0.49</v>
      </c>
      <c r="H66" s="15"/>
    </row>
    <row r="67" spans="1:8" ht="13" customHeight="1">
      <c r="A67" s="1" t="s">
        <v>214</v>
      </c>
      <c r="B67" s="11" t="s">
        <v>215</v>
      </c>
      <c r="C67" s="12" t="s">
        <v>216</v>
      </c>
      <c r="D67" s="8" t="s">
        <v>173</v>
      </c>
      <c r="E67" s="13">
        <v>255183</v>
      </c>
      <c r="F67" s="14">
        <v>1913.74</v>
      </c>
      <c r="G67" s="14">
        <v>0.48</v>
      </c>
      <c r="H67" s="15"/>
    </row>
    <row r="68" spans="1:8" ht="13" customHeight="1">
      <c r="A68" s="1" t="s">
        <v>217</v>
      </c>
      <c r="B68" s="11" t="s">
        <v>218</v>
      </c>
      <c r="C68" s="12" t="s">
        <v>219</v>
      </c>
      <c r="D68" s="8" t="s">
        <v>213</v>
      </c>
      <c r="E68" s="13">
        <v>144265</v>
      </c>
      <c r="F68" s="14">
        <v>1637.55</v>
      </c>
      <c r="G68" s="14">
        <v>0.41</v>
      </c>
      <c r="H68" s="15"/>
    </row>
    <row r="69" spans="1:8" ht="13" customHeight="1">
      <c r="A69" s="1" t="s">
        <v>220</v>
      </c>
      <c r="B69" s="11" t="s">
        <v>221</v>
      </c>
      <c r="C69" s="12" t="s">
        <v>222</v>
      </c>
      <c r="D69" s="8" t="s">
        <v>206</v>
      </c>
      <c r="E69" s="13">
        <v>36419</v>
      </c>
      <c r="F69" s="14">
        <v>670.47</v>
      </c>
      <c r="G69" s="14">
        <v>0.17</v>
      </c>
      <c r="H69" s="15"/>
    </row>
    <row r="70" spans="1:8" ht="13" customHeight="1">
      <c r="A70" s="2"/>
      <c r="B70" s="7" t="s">
        <v>223</v>
      </c>
      <c r="C70" s="8"/>
      <c r="D70" s="8"/>
      <c r="E70" s="8"/>
      <c r="F70" s="16">
        <v>393598.8499999998</v>
      </c>
      <c r="G70" s="16">
        <v>98.509999999999977</v>
      </c>
      <c r="H70" s="17"/>
    </row>
    <row r="71" spans="1:8" ht="13" customHeight="1">
      <c r="A71" s="2"/>
      <c r="B71" s="18" t="s">
        <v>224</v>
      </c>
      <c r="C71" s="19"/>
      <c r="D71" s="19"/>
      <c r="E71" s="20"/>
      <c r="F71" s="21" t="s">
        <v>225</v>
      </c>
      <c r="G71" s="21" t="s">
        <v>225</v>
      </c>
      <c r="H71" s="22" t="s">
        <v>225</v>
      </c>
    </row>
    <row r="72" spans="1:8" ht="13" customHeight="1">
      <c r="A72" s="2"/>
      <c r="B72" s="23" t="s">
        <v>223</v>
      </c>
      <c r="C72" s="24"/>
      <c r="D72" s="24"/>
      <c r="E72" s="21"/>
      <c r="F72" s="21" t="s">
        <v>225</v>
      </c>
      <c r="G72" s="21" t="s">
        <v>225</v>
      </c>
      <c r="H72" s="22" t="s">
        <v>225</v>
      </c>
    </row>
    <row r="73" spans="1:8" ht="13" customHeight="1">
      <c r="A73" s="2"/>
      <c r="B73" s="18" t="s">
        <v>226</v>
      </c>
      <c r="C73" s="19"/>
      <c r="D73" s="19"/>
      <c r="E73" s="25"/>
      <c r="F73" s="16">
        <v>393598.8499999998</v>
      </c>
      <c r="G73" s="16">
        <v>98.509999999999977</v>
      </c>
      <c r="H73" s="22"/>
    </row>
    <row r="74" spans="1:8" ht="13" customHeight="1">
      <c r="A74" s="2"/>
      <c r="B74" s="7" t="s">
        <v>227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228</v>
      </c>
      <c r="C75" s="10"/>
      <c r="D75" s="10"/>
      <c r="E75" s="8"/>
      <c r="F75" s="8"/>
      <c r="G75" s="8"/>
      <c r="H75" s="9"/>
    </row>
    <row r="76" spans="1:8" ht="13" customHeight="1">
      <c r="A76" s="1" t="s">
        <v>229</v>
      </c>
      <c r="B76" s="11" t="s">
        <v>230</v>
      </c>
      <c r="C76" s="12"/>
      <c r="D76" s="8"/>
      <c r="E76" s="13"/>
      <c r="F76" s="14">
        <v>6064.38</v>
      </c>
      <c r="G76" s="14">
        <v>1.52</v>
      </c>
      <c r="H76" s="15">
        <v>5.252812005855477E-2</v>
      </c>
    </row>
    <row r="77" spans="1:8" ht="13" customHeight="1">
      <c r="A77" s="2"/>
      <c r="B77" s="7" t="s">
        <v>223</v>
      </c>
      <c r="C77" s="8"/>
      <c r="D77" s="8"/>
      <c r="E77" s="8"/>
      <c r="F77" s="16">
        <v>6064.38</v>
      </c>
      <c r="G77" s="16">
        <v>1.52</v>
      </c>
      <c r="H77" s="17"/>
    </row>
    <row r="78" spans="1:8" ht="13" customHeight="1">
      <c r="A78" s="2"/>
      <c r="B78" s="18" t="s">
        <v>226</v>
      </c>
      <c r="C78" s="19"/>
      <c r="D78" s="19"/>
      <c r="E78" s="25"/>
      <c r="F78" s="16">
        <v>6064.38</v>
      </c>
      <c r="G78" s="16">
        <v>1.52</v>
      </c>
      <c r="H78" s="22"/>
    </row>
    <row r="79" spans="1:8" ht="13" customHeight="1">
      <c r="B79" s="7" t="s">
        <v>231</v>
      </c>
      <c r="C79" s="8"/>
      <c r="D79" s="8"/>
      <c r="E79" s="8"/>
      <c r="F79" s="26"/>
      <c r="G79" s="27"/>
      <c r="H79" s="17"/>
    </row>
    <row r="80" spans="1:8" ht="13" customHeight="1">
      <c r="A80" s="1" t="s">
        <v>232</v>
      </c>
      <c r="B80" s="11" t="s">
        <v>233</v>
      </c>
      <c r="C80" s="12" t="s">
        <v>234</v>
      </c>
      <c r="D80" s="8" t="s">
        <v>52</v>
      </c>
      <c r="E80" s="13">
        <v>866592</v>
      </c>
      <c r="F80" s="14">
        <v>88.39</v>
      </c>
      <c r="G80" s="14">
        <v>0.02</v>
      </c>
      <c r="H80" s="15"/>
    </row>
    <row r="81" spans="1:8" ht="13" customHeight="1">
      <c r="A81" s="2"/>
      <c r="B81" s="7" t="s">
        <v>223</v>
      </c>
      <c r="C81" s="8"/>
      <c r="D81" s="8"/>
      <c r="E81" s="8"/>
      <c r="F81" s="16">
        <f>F80</f>
        <v>88.39</v>
      </c>
      <c r="G81" s="16">
        <f>G80</f>
        <v>0.02</v>
      </c>
      <c r="H81" s="17"/>
    </row>
    <row r="82" spans="1:8" s="29" customFormat="1" ht="13" customHeight="1">
      <c r="A82" s="28"/>
      <c r="B82" s="18" t="s">
        <v>226</v>
      </c>
      <c r="C82" s="19"/>
      <c r="D82" s="19"/>
      <c r="E82" s="25"/>
      <c r="F82" s="16">
        <f>F81</f>
        <v>88.39</v>
      </c>
      <c r="G82" s="16">
        <f>G81</f>
        <v>0.02</v>
      </c>
      <c r="H82" s="22"/>
    </row>
    <row r="83" spans="1:8" ht="13" customHeight="1">
      <c r="A83" s="2"/>
      <c r="B83" s="18" t="s">
        <v>235</v>
      </c>
      <c r="C83" s="19"/>
      <c r="D83" s="19"/>
      <c r="E83" s="8"/>
      <c r="F83" s="16">
        <v>-211.53</v>
      </c>
      <c r="G83" s="16">
        <v>-0.05</v>
      </c>
      <c r="H83" s="22"/>
    </row>
    <row r="84" spans="1:8" ht="13" customHeight="1" thickBot="1">
      <c r="A84" s="2"/>
      <c r="B84" s="30" t="s">
        <v>236</v>
      </c>
      <c r="C84" s="31"/>
      <c r="D84" s="31"/>
      <c r="E84" s="31"/>
      <c r="F84" s="32">
        <v>399540.09</v>
      </c>
      <c r="G84" s="33">
        <v>100</v>
      </c>
      <c r="H84" s="34"/>
    </row>
    <row r="85" spans="1:8" ht="13" customHeight="1">
      <c r="A85" s="2"/>
      <c r="B85" s="49"/>
      <c r="C85" s="49"/>
      <c r="D85" s="49"/>
      <c r="E85" s="49"/>
      <c r="F85" s="2"/>
      <c r="G85" s="2"/>
      <c r="H85" s="2"/>
    </row>
    <row r="86" spans="1:8" ht="13" customHeight="1">
      <c r="A86" s="2"/>
      <c r="B86" s="49" t="s">
        <v>237</v>
      </c>
      <c r="C86" s="49"/>
      <c r="D86" s="49"/>
      <c r="E86" s="49"/>
      <c r="F86" s="36"/>
      <c r="G86" s="36"/>
      <c r="H86" s="2"/>
    </row>
    <row r="87" spans="1:8" ht="13" customHeight="1">
      <c r="A87" s="2"/>
      <c r="B87" s="49" t="s">
        <v>238</v>
      </c>
      <c r="C87" s="49"/>
      <c r="D87" s="49"/>
      <c r="E87" s="49"/>
      <c r="F87" s="2"/>
      <c r="G87" s="2"/>
      <c r="H87" s="2"/>
    </row>
    <row r="88" spans="1:8" ht="13" customHeight="1">
      <c r="A88" s="2"/>
      <c r="B88" s="49" t="s">
        <v>239</v>
      </c>
      <c r="C88" s="49"/>
      <c r="D88" s="49"/>
      <c r="E88" s="49"/>
      <c r="F88" s="2"/>
      <c r="G88" s="2"/>
      <c r="H88" s="2"/>
    </row>
    <row r="89" spans="1:8" ht="13" customHeight="1">
      <c r="A89" s="2"/>
      <c r="B89" s="49" t="s">
        <v>240</v>
      </c>
      <c r="C89" s="49"/>
      <c r="D89" s="49"/>
      <c r="E89" s="49"/>
      <c r="F89" s="2"/>
      <c r="G89" s="2"/>
      <c r="H89" s="2"/>
    </row>
    <row r="90" spans="1:8" ht="13" customHeight="1">
      <c r="A90" s="2"/>
      <c r="B90" s="35"/>
      <c r="C90" s="35"/>
      <c r="D90" s="35"/>
      <c r="E90" s="35"/>
      <c r="F90" s="2"/>
      <c r="G90" s="2"/>
      <c r="H90" s="2"/>
    </row>
    <row r="91" spans="1:8" ht="13" customHeight="1">
      <c r="A91" s="2"/>
      <c r="B91" s="50" t="s">
        <v>241</v>
      </c>
      <c r="C91" s="50"/>
      <c r="D91" s="50"/>
      <c r="E91" s="50"/>
      <c r="F91" s="2"/>
      <c r="G91" s="2"/>
      <c r="H91" s="2"/>
    </row>
    <row r="92" spans="1:8" ht="13" customHeight="1">
      <c r="A92" s="2"/>
      <c r="B92" s="37" t="s">
        <v>242</v>
      </c>
      <c r="C92" s="37" t="s">
        <v>243</v>
      </c>
      <c r="D92" s="2"/>
      <c r="E92" s="2"/>
      <c r="F92" s="2"/>
      <c r="G92" s="2"/>
      <c r="H92" s="2"/>
    </row>
    <row r="93" spans="1:8" ht="13" customHeight="1">
      <c r="A93" s="2"/>
      <c r="B93" s="38" t="s">
        <v>244</v>
      </c>
      <c r="C93" s="39">
        <v>21000</v>
      </c>
      <c r="D93" s="2"/>
      <c r="E93" s="2"/>
      <c r="F93" s="2"/>
      <c r="G93" s="2"/>
      <c r="H93" s="2"/>
    </row>
    <row r="94" spans="1:8" ht="13" customHeight="1">
      <c r="A94" s="2"/>
      <c r="B94" s="38" t="s">
        <v>245</v>
      </c>
      <c r="C94" s="39">
        <v>36950</v>
      </c>
      <c r="D94" s="40"/>
      <c r="E94" s="2"/>
      <c r="F94" s="2"/>
      <c r="G94" s="2"/>
      <c r="H94" s="2"/>
    </row>
    <row r="95" spans="1:8" ht="13" customHeight="1">
      <c r="A95" s="2"/>
      <c r="B95" s="41"/>
      <c r="C95" s="42"/>
      <c r="D95" s="40"/>
      <c r="E95" s="2"/>
      <c r="F95" s="2"/>
      <c r="G95" s="2"/>
      <c r="H95" s="2"/>
    </row>
    <row r="96" spans="1:8">
      <c r="B96" t="s">
        <v>246</v>
      </c>
    </row>
    <row r="97" spans="2:4">
      <c r="B97" t="s">
        <v>247</v>
      </c>
    </row>
    <row r="98" spans="2:4">
      <c r="B98" t="s">
        <v>248</v>
      </c>
    </row>
    <row r="99" spans="2:4">
      <c r="B99" t="s">
        <v>249</v>
      </c>
    </row>
    <row r="100" spans="2:4">
      <c r="B100" s="43" t="s">
        <v>250</v>
      </c>
      <c r="C100" s="44" t="s">
        <v>251</v>
      </c>
      <c r="D100" s="44" t="s">
        <v>252</v>
      </c>
    </row>
    <row r="101" spans="2:4">
      <c r="B101" t="s">
        <v>253</v>
      </c>
      <c r="C101" s="45">
        <v>120.2</v>
      </c>
      <c r="D101" s="45">
        <v>107.67</v>
      </c>
    </row>
    <row r="102" spans="2:4">
      <c r="B102" t="s">
        <v>254</v>
      </c>
      <c r="C102" s="45">
        <v>108.99</v>
      </c>
      <c r="D102" s="45">
        <v>97.63</v>
      </c>
    </row>
    <row r="103" spans="2:4">
      <c r="B103" t="s">
        <v>255</v>
      </c>
      <c r="C103" s="45">
        <v>144.36000000000001</v>
      </c>
      <c r="D103" s="45">
        <v>129.18</v>
      </c>
    </row>
    <row r="104" spans="2:4">
      <c r="B104" t="s">
        <v>256</v>
      </c>
      <c r="C104" s="45">
        <v>130.63</v>
      </c>
      <c r="D104" s="45">
        <v>116.89</v>
      </c>
    </row>
    <row r="106" spans="2:4">
      <c r="B106" t="s">
        <v>257</v>
      </c>
      <c r="C106" s="46"/>
      <c r="D106" s="46"/>
    </row>
    <row r="107" spans="2:4">
      <c r="B107" t="s">
        <v>258</v>
      </c>
    </row>
    <row r="108" spans="2:4">
      <c r="B108" t="s">
        <v>259</v>
      </c>
    </row>
    <row r="109" spans="2:4">
      <c r="B109" t="s">
        <v>260</v>
      </c>
    </row>
    <row r="110" spans="2:4">
      <c r="B110" s="29" t="s">
        <v>261</v>
      </c>
      <c r="C110" s="29"/>
      <c r="D110" s="29"/>
    </row>
    <row r="111" spans="2:4">
      <c r="B111" s="29" t="s">
        <v>262</v>
      </c>
      <c r="C111" s="29"/>
      <c r="D111" s="29"/>
    </row>
    <row r="112" spans="2:4">
      <c r="B112" s="29"/>
      <c r="C112" s="29"/>
      <c r="D112" s="29"/>
    </row>
    <row r="113" spans="2:6">
      <c r="B113" s="47" t="s">
        <v>263</v>
      </c>
      <c r="C113" s="29"/>
      <c r="D113" s="29"/>
    </row>
    <row r="114" spans="2:6">
      <c r="B114" s="29" t="s">
        <v>264</v>
      </c>
      <c r="C114" s="29"/>
      <c r="D114" s="29"/>
    </row>
    <row r="115" spans="2:6">
      <c r="B115" s="29"/>
      <c r="C115" s="29"/>
      <c r="D115" s="29"/>
      <c r="F115" s="43" t="s">
        <v>265</v>
      </c>
    </row>
    <row r="116" spans="2:6">
      <c r="B116" s="48" t="s">
        <v>266</v>
      </c>
      <c r="C116" s="29"/>
      <c r="D116" s="29"/>
      <c r="F116" s="43" t="s">
        <v>267</v>
      </c>
    </row>
    <row r="117" spans="2:6">
      <c r="B117" s="29"/>
      <c r="C117" s="29"/>
      <c r="D117" s="29"/>
    </row>
    <row r="118" spans="2:6">
      <c r="B118" s="29"/>
      <c r="C118" s="29"/>
      <c r="D118" s="29"/>
    </row>
    <row r="119" spans="2:6">
      <c r="B119" s="29"/>
      <c r="C119" s="29"/>
      <c r="D119" s="29"/>
    </row>
    <row r="120" spans="2:6">
      <c r="B120" s="29"/>
      <c r="C120" s="29"/>
      <c r="D120" s="29"/>
    </row>
    <row r="121" spans="2:6">
      <c r="B121" s="29"/>
      <c r="C121" s="29"/>
      <c r="D121" s="29"/>
    </row>
    <row r="122" spans="2:6">
      <c r="B122" s="29"/>
      <c r="C122" s="29"/>
      <c r="D122" s="29"/>
    </row>
    <row r="123" spans="2:6">
      <c r="B123" s="29"/>
      <c r="C123" s="29"/>
      <c r="D123" s="29"/>
    </row>
    <row r="124" spans="2:6">
      <c r="B124" s="29"/>
      <c r="C124" s="29"/>
      <c r="D124" s="29"/>
    </row>
    <row r="125" spans="2:6">
      <c r="B125" s="29"/>
      <c r="C125" s="29"/>
      <c r="D125" s="29"/>
    </row>
    <row r="126" spans="2:6">
      <c r="B126" s="29"/>
      <c r="C126" s="29"/>
      <c r="D126" s="29"/>
    </row>
    <row r="127" spans="2:6">
      <c r="B127" s="29"/>
      <c r="C127" s="29"/>
      <c r="D127" s="29"/>
    </row>
    <row r="128" spans="2:6">
      <c r="B128" s="29"/>
      <c r="C128" s="29"/>
      <c r="D128" s="29"/>
    </row>
    <row r="129" spans="2:4">
      <c r="B129" s="29"/>
      <c r="C129" s="29"/>
      <c r="D129" s="29"/>
    </row>
    <row r="130" spans="2:4">
      <c r="B130" s="29"/>
      <c r="C130" s="29"/>
      <c r="D130" s="29"/>
    </row>
    <row r="131" spans="2:4">
      <c r="B131" s="29"/>
      <c r="C131" s="29"/>
      <c r="D131" s="29"/>
    </row>
    <row r="132" spans="2:4">
      <c r="B132" s="29"/>
      <c r="C132" s="29"/>
      <c r="D132" s="29"/>
    </row>
  </sheetData>
  <mergeCells count="10">
    <mergeCell ref="B87:E87"/>
    <mergeCell ref="B88:E88"/>
    <mergeCell ref="B89:E89"/>
    <mergeCell ref="B91:E91"/>
    <mergeCell ref="B1:H1"/>
    <mergeCell ref="B2:H2"/>
    <mergeCell ref="B3:H3"/>
    <mergeCell ref="B4:H4"/>
    <mergeCell ref="B85:E85"/>
    <mergeCell ref="B86:E86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A24F-A1AB-4C65-8034-9AB4BDAB843F}">
  <sheetPr codeName="Sheet37"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9" t="s">
        <v>268</v>
      </c>
      <c r="B1" s="49"/>
      <c r="C1" s="49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53" t="s">
        <v>269</v>
      </c>
      <c r="B3" s="53"/>
      <c r="C3" s="2"/>
      <c r="D3" s="2"/>
      <c r="E3" s="53" t="s">
        <v>270</v>
      </c>
      <c r="F3" s="53"/>
    </row>
    <row r="4" spans="1:6" ht="13" customHeight="1">
      <c r="A4" s="54" t="s">
        <v>271</v>
      </c>
      <c r="B4" s="54" t="s">
        <v>9</v>
      </c>
      <c r="C4" s="2"/>
      <c r="D4" s="2"/>
      <c r="E4" s="54" t="s">
        <v>272</v>
      </c>
      <c r="F4" s="54" t="s">
        <v>273</v>
      </c>
    </row>
    <row r="5" spans="1:6" ht="13" customHeight="1">
      <c r="A5" s="19" t="s">
        <v>14</v>
      </c>
      <c r="B5" s="55">
        <v>3.5999999999999997E-2</v>
      </c>
      <c r="C5" s="2"/>
      <c r="D5" s="2"/>
      <c r="E5" s="19" t="s">
        <v>274</v>
      </c>
      <c r="F5" s="55">
        <v>0.34150000000000003</v>
      </c>
    </row>
    <row r="6" spans="1:6" ht="13" customHeight="1">
      <c r="A6" s="19" t="s">
        <v>18</v>
      </c>
      <c r="B6" s="55">
        <v>3.3799999999999997E-2</v>
      </c>
      <c r="C6" s="2"/>
      <c r="D6" s="2"/>
      <c r="E6" s="19" t="s">
        <v>275</v>
      </c>
      <c r="F6" s="55">
        <v>0.12659999999999999</v>
      </c>
    </row>
    <row r="7" spans="1:6" ht="13" customHeight="1">
      <c r="A7" s="19" t="s">
        <v>22</v>
      </c>
      <c r="B7" s="55">
        <v>2.8899999999999999E-2</v>
      </c>
      <c r="C7" s="2"/>
      <c r="D7" s="2"/>
      <c r="E7" s="19" t="s">
        <v>276</v>
      </c>
      <c r="F7" s="55">
        <v>0.1024</v>
      </c>
    </row>
    <row r="8" spans="1:6" ht="13" customHeight="1">
      <c r="A8" s="19" t="s">
        <v>25</v>
      </c>
      <c r="B8" s="55">
        <v>2.8899999999999999E-2</v>
      </c>
      <c r="C8" s="2"/>
      <c r="D8" s="2"/>
      <c r="E8" s="19" t="s">
        <v>277</v>
      </c>
      <c r="F8" s="55">
        <v>9.2799999999999994E-2</v>
      </c>
    </row>
    <row r="9" spans="1:6" ht="13" customHeight="1">
      <c r="A9" s="19" t="s">
        <v>29</v>
      </c>
      <c r="B9" s="55">
        <v>2.8000000000000001E-2</v>
      </c>
      <c r="C9" s="2"/>
      <c r="D9" s="2"/>
      <c r="E9" s="19" t="s">
        <v>278</v>
      </c>
      <c r="F9" s="55">
        <v>5.5599999999999997E-2</v>
      </c>
    </row>
    <row r="10" spans="1:6" ht="13" customHeight="1">
      <c r="A10" s="19" t="s">
        <v>33</v>
      </c>
      <c r="B10" s="55">
        <v>2.69E-2</v>
      </c>
      <c r="C10" s="2"/>
      <c r="D10" s="2"/>
      <c r="E10" s="19" t="s">
        <v>279</v>
      </c>
      <c r="F10" s="55">
        <v>5.1200000000000002E-2</v>
      </c>
    </row>
    <row r="11" spans="1:6" ht="13" customHeight="1">
      <c r="A11" s="19" t="s">
        <v>37</v>
      </c>
      <c r="B11" s="55">
        <v>2.5999999999999999E-2</v>
      </c>
      <c r="C11" s="2"/>
      <c r="D11" s="2"/>
      <c r="E11" s="19" t="s">
        <v>80</v>
      </c>
      <c r="F11" s="55">
        <v>4.4699999999999997E-2</v>
      </c>
    </row>
    <row r="12" spans="1:6" ht="13" customHeight="1">
      <c r="A12" s="19" t="s">
        <v>40</v>
      </c>
      <c r="B12" s="55">
        <v>2.53E-2</v>
      </c>
      <c r="C12" s="2"/>
      <c r="D12" s="2"/>
      <c r="E12" s="19" t="s">
        <v>280</v>
      </c>
      <c r="F12" s="55">
        <v>4.0099999999999997E-2</v>
      </c>
    </row>
    <row r="13" spans="1:6" ht="13" customHeight="1">
      <c r="A13" s="19" t="s">
        <v>44</v>
      </c>
      <c r="B13" s="55">
        <v>2.46E-2</v>
      </c>
      <c r="C13" s="2"/>
      <c r="D13" s="2"/>
      <c r="E13" s="19" t="s">
        <v>76</v>
      </c>
      <c r="F13" s="55">
        <v>3.7600000000000001E-2</v>
      </c>
    </row>
    <row r="14" spans="1:6" ht="13" customHeight="1">
      <c r="A14" s="19" t="s">
        <v>47</v>
      </c>
      <c r="B14" s="55">
        <v>2.3099999999999999E-2</v>
      </c>
      <c r="C14" s="2"/>
      <c r="D14" s="2"/>
      <c r="E14" s="19" t="s">
        <v>281</v>
      </c>
      <c r="F14" s="55">
        <v>3.5200000000000002E-2</v>
      </c>
    </row>
    <row r="15" spans="1:6" ht="13" customHeight="1">
      <c r="A15" s="2"/>
      <c r="B15" s="2"/>
      <c r="C15" s="2"/>
      <c r="D15" s="2"/>
      <c r="E15" s="19" t="s">
        <v>282</v>
      </c>
      <c r="F15" s="55">
        <v>2.1000000000000001E-2</v>
      </c>
    </row>
    <row r="16" spans="1:6" ht="13" customHeight="1">
      <c r="A16" s="2"/>
      <c r="B16" s="2"/>
      <c r="C16" s="2"/>
      <c r="D16" s="2"/>
      <c r="E16" s="19" t="s">
        <v>96</v>
      </c>
      <c r="F16" s="55">
        <v>1.8499999999999999E-2</v>
      </c>
    </row>
    <row r="17" spans="1:6" ht="13" customHeight="1">
      <c r="A17" s="2"/>
      <c r="B17" s="2"/>
      <c r="C17" s="2"/>
      <c r="D17" s="2"/>
      <c r="E17" s="19" t="s">
        <v>283</v>
      </c>
      <c r="F17" s="55">
        <v>1.52E-2</v>
      </c>
    </row>
    <row r="18" spans="1:6" ht="13" customHeight="1">
      <c r="A18" s="2"/>
      <c r="B18" s="2"/>
      <c r="C18" s="2"/>
      <c r="D18" s="2"/>
      <c r="E18" s="19" t="s">
        <v>284</v>
      </c>
      <c r="F18" s="55">
        <v>8.9999999999999993E-3</v>
      </c>
    </row>
    <row r="19" spans="1:6" ht="13" customHeight="1">
      <c r="A19" s="2"/>
      <c r="B19" s="2"/>
      <c r="C19" s="2"/>
      <c r="D19" s="2"/>
      <c r="E19" s="19" t="s">
        <v>285</v>
      </c>
      <c r="F19" s="55">
        <v>8.8999999999999999E-3</v>
      </c>
    </row>
    <row r="20" spans="1:6" ht="13" customHeight="1">
      <c r="A20" s="2"/>
      <c r="B20" s="2"/>
      <c r="C20" s="2"/>
      <c r="D20" s="2"/>
      <c r="E20" s="19" t="s">
        <v>286</v>
      </c>
      <c r="F20" s="55">
        <v>-2.9999999999999997E-4</v>
      </c>
    </row>
    <row r="21" spans="1:6" ht="13" customHeight="1">
      <c r="A21" s="2"/>
      <c r="B21" s="2"/>
      <c r="C21" s="2"/>
      <c r="D21" s="2"/>
      <c r="E21" s="54" t="s">
        <v>287</v>
      </c>
      <c r="F21" s="5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 Cap</vt:lpstr>
      <vt:lpstr>RMSCF</vt:lpstr>
      <vt:lpstr>JR_PAGE_ANCHOR_0_27</vt:lpstr>
      <vt:lpstr>RMSCF!JR_PAGE_ANCHOR_0_37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Bhatia, Neeraj</cp:lastModifiedBy>
  <dcterms:created xsi:type="dcterms:W3CDTF">2026-05-09T13:43:43Z</dcterms:created>
  <dcterms:modified xsi:type="dcterms:W3CDTF">2026-05-09T15:25:31Z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2026-05-09T13:43:46Z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05e57780-3359-4531-b9e8-c87a6060849e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