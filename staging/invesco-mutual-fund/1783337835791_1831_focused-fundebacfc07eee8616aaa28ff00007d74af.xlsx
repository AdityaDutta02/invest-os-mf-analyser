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6113AEAC-A34C-4BFF-B666-987680B2C80E}" xr6:coauthVersionLast="47" xr6:coauthVersionMax="47" xr10:uidLastSave="{00000000-0000-0000-0000-000000000000}"/>
  <bookViews>
    <workbookView xWindow="0" yWindow="820" windowWidth="19200" windowHeight="11180" xr2:uid="{B306C676-76BC-4AFD-A379-D07BA769EB90}"/>
  </bookViews>
  <sheets>
    <sheet name="Focused Fund" sheetId="1" r:id="rId1"/>
    <sheet name="IF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</calcChain>
</file>

<file path=xl/sharedStrings.xml><?xml version="1.0" encoding="utf-8"?>
<sst xmlns="http://schemas.openxmlformats.org/spreadsheetml/2006/main" count="187" uniqueCount="157">
  <si>
    <t>IFEF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</si>
  <si>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</si>
  <si>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</si>
  <si>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Focused Fund
(An open ended equity scheme investing in maximum 30 stocks across market capitalization (i.e. Multicap))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</si>
  <si>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</si>
  <si>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</si>
  <si>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</si>
  <si>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</si>
  <si>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</si>
  <si>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</si>
  <si>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</si>
  <si>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</si>
  <si>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</si>
  <si>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</si>
  <si>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</si>
  <si>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</si>
  <si>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</si>
  <si>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</si>
  <si>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</si>
  <si>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</si>
  <si>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</si>
  <si>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</si>
  <si>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</si>
  <si>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</si>
  <si>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</si>
  <si>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</si>
  <si>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</si>
  <si>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</si>
  <si>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AENP01</t>
  </si>
  <si>
    <t>Ather Energy Limited</t>
  </si>
  <si>
    <t>INE0LEZ01016</t>
  </si>
  <si>
    <t>Automobiles</t>
  </si>
  <si>
    <t>ABBP01</t>
  </si>
  <si>
    <t>Hitachi Energy India Limited</t>
  </si>
  <si>
    <t>INE07Y701011</t>
  </si>
  <si>
    <t>Electrical Equipment</t>
  </si>
  <si>
    <t>HALT02</t>
  </si>
  <si>
    <t>Hindustan Aeronautics Limited</t>
  </si>
  <si>
    <t>INE066F01020</t>
  </si>
  <si>
    <t>Aerospace &amp; Defense</t>
  </si>
  <si>
    <t>EDEL02</t>
  </si>
  <si>
    <t>Nuvama Wealth Management Ltd</t>
  </si>
  <si>
    <t>INE531F01023</t>
  </si>
  <si>
    <t>Capital Markets</t>
  </si>
  <si>
    <t>CHOL02</t>
  </si>
  <si>
    <t>Cholamandalam Investment and Finance Company Limited</t>
  </si>
  <si>
    <t>INE121A01024</t>
  </si>
  <si>
    <t>Finance</t>
  </si>
  <si>
    <t>NITL02</t>
  </si>
  <si>
    <t>Coforge Limited</t>
  </si>
  <si>
    <t>INE591G01025</t>
  </si>
  <si>
    <t>IT - Software</t>
  </si>
  <si>
    <t>SSNL02</t>
  </si>
  <si>
    <t>Delhivery Limited</t>
  </si>
  <si>
    <t>INE148O01028</t>
  </si>
  <si>
    <t>PSYL02</t>
  </si>
  <si>
    <t>Persistent Systems Ltd ‡</t>
  </si>
  <si>
    <t>INE262H01021</t>
  </si>
  <si>
    <t>SAEL02</t>
  </si>
  <si>
    <t>TVS Motor Company Limited</t>
  </si>
  <si>
    <t>INE494B01023</t>
  </si>
  <si>
    <t>DIXO02</t>
  </si>
  <si>
    <t>Dixon Technologies (India) Limited</t>
  </si>
  <si>
    <t>INE935N01020</t>
  </si>
  <si>
    <t>Consumer Durables</t>
  </si>
  <si>
    <t>ZMPL01</t>
  </si>
  <si>
    <t>Eternal Limited</t>
  </si>
  <si>
    <t>INE758T01015</t>
  </si>
  <si>
    <t>Retailing</t>
  </si>
  <si>
    <t>GHPL01</t>
  </si>
  <si>
    <t>Global Health Limited</t>
  </si>
  <si>
    <t>INE474Q01031</t>
  </si>
  <si>
    <t>Healthcare Services</t>
  </si>
  <si>
    <t>MCEX02</t>
  </si>
  <si>
    <t>Multi Commodity Exchange of India Limited</t>
  </si>
  <si>
    <t>INE745G01043</t>
  </si>
  <si>
    <t>BHAE02</t>
  </si>
  <si>
    <t>BEML Limited</t>
  </si>
  <si>
    <t>INE258A01024</t>
  </si>
  <si>
    <t>Agricultural, Commercial &amp; Construction Vehicles</t>
  </si>
  <si>
    <t>CENT02</t>
  </si>
  <si>
    <t>Aditya Birla Real Estate Limited</t>
  </si>
  <si>
    <t>INE055A01016</t>
  </si>
  <si>
    <t>Realty</t>
  </si>
  <si>
    <t>PHMI02</t>
  </si>
  <si>
    <t>The Phoenix Mills Limited</t>
  </si>
  <si>
    <t>INE211B01039</t>
  </si>
  <si>
    <t>SUVP01</t>
  </si>
  <si>
    <t>Cohance Lifesciences Limited</t>
  </si>
  <si>
    <t>INE03QK01018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</si>
  <si>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</si>
  <si>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</si>
  <si>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</si>
  <si>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</si>
  <si>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</si>
  <si>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</si>
  <si>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</si>
  <si>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</si>
  <si>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</si>
  <si>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Others</t>
  </si>
  <si>
    <t>Mutual Fund Units</t>
  </si>
  <si>
    <t>120560</t>
  </si>
  <si>
    <t>Invesco India Short Duration Fund - Direct Plan - Growth</t>
  </si>
  <si>
    <t>INF205K01UH8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</si>
  <si>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</si>
  <si>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</si>
  <si>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</si>
  <si>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</si>
  <si>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</si>
  <si>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</si>
  <si>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</si>
  <si>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</si>
  <si>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</si>
  <si>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‡ Includes shares lent under Securities Lending &amp; Borrowing Scheme of BSE</t>
  </si>
  <si>
    <t>Name of the Security</t>
  </si>
  <si>
    <t>Shares</t>
  </si>
  <si>
    <t>Persistent Systems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</si>
  <si>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</si>
  <si>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</si>
  <si>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</si>
  <si>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</si>
  <si>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</si>
  <si>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</si>
  <si>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</si>
  <si>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</si>
  <si>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</si>
  <si>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</si>
  <si>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</si>
  <si>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</si>
  <si>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</si>
  <si>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</si>
  <si>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0.3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</si>
  <si>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</si>
  <si>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</si>
  <si>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</si>
  <si>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</si>
  <si>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500 TRI</t>
  </si>
  <si>
    <t>SCHEME RISK-O-METER</t>
  </si>
  <si>
    <t>BENCHMARK RISK-O-METER</t>
  </si>
  <si>
    <t>Scheme Name: Invesco India Focused Fund (An open ended equity scheme investing in maximum 30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</si>
  <si>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</si>
  <si>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</si>
  <si>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</si>
  <si>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</si>
  <si>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</si>
  <si>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</si>
  <si>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</si>
  <si>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Services</t>
  </si>
  <si>
    <t>Automobile and Auto Components</t>
  </si>
  <si>
    <t>Information Technology</t>
  </si>
  <si>
    <t>Clearing Corporation of India Ltd</t>
  </si>
  <si>
    <t>Healthcare</t>
  </si>
  <si>
    <t>Nuvama Wealth Management Limited</t>
  </si>
  <si>
    <t>Cholamandalam Investment and Finance Company Ltd</t>
  </si>
  <si>
    <t>Consumer 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</si>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</sst>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2" fontId="9" fillId="0" borderId="0" xfId="0" applyNumberFormat="1" applyFont="1"/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E2FCE-9E8C-4094-9E30-F30ACFB2B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598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8</xdr:col>
      <xdr:colOff>228600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038D2-957D-4C70-8805-201890607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45986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98CC-E107-4DC2-BCE5-410C609CA83C}">
  <sheetPr codeName="Sheet9">
    <outlinePr summaryBelow="0"/>
  </sheetPr>
  <dimension ref="A1:H129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</row>
    <row r="2" spans="1:8" ht="20" customHeight="1">
      <c r="A2" s="2"/>
      <c r="B2" s="49" t="s">
        <v>2</v>
      </c>
      <c r="C2" s="49"/>
      <c r="D2" s="49"/>
      <c r="E2" s="49"/>
      <c r="F2" s="49"/>
      <c r="G2" s="49"/>
      <c r="H2" s="49"/>
    </row>
    <row r="3" spans="1:8" ht="72" customHeight="1">
      <c r="A3" s="2"/>
      <c r="B3" s="49" t="s">
        <v>3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50"/>
      <c r="C4" s="50"/>
      <c r="D4" s="50"/>
      <c r="E4" s="50"/>
      <c r="F4" s="50"/>
      <c r="G4" s="50"/>
      <c r="H4" s="5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3394947</v>
      </c>
      <c r="F8" s="14">
        <v>42891.76</v>
      </c>
      <c r="G8" s="14">
        <v>8.36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1009212</v>
      </c>
      <c r="F9" s="14">
        <v>40509.769999999997</v>
      </c>
      <c r="G9" s="14">
        <v>7.9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4757064</v>
      </c>
      <c r="F10" s="14">
        <v>36710.26</v>
      </c>
      <c r="G10" s="14">
        <v>7.16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692388</v>
      </c>
      <c r="F11" s="14">
        <v>29740.14</v>
      </c>
      <c r="G11" s="14">
        <v>5.8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2835053</v>
      </c>
      <c r="F12" s="14">
        <v>26503.49</v>
      </c>
      <c r="G12" s="14">
        <v>5.17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77036</v>
      </c>
      <c r="F13" s="14">
        <v>25845.58</v>
      </c>
      <c r="G13" s="14">
        <v>5.04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595076</v>
      </c>
      <c r="F14" s="14">
        <v>25819.16</v>
      </c>
      <c r="G14" s="14">
        <v>5.03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1786085</v>
      </c>
      <c r="F15" s="14">
        <v>23692.42</v>
      </c>
      <c r="G15" s="14">
        <v>4.62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1480565</v>
      </c>
      <c r="F16" s="14">
        <v>23139.75</v>
      </c>
      <c r="G16" s="14">
        <v>4.51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1854238</v>
      </c>
      <c r="F17" s="14">
        <v>22174.83</v>
      </c>
      <c r="G17" s="14">
        <v>4.32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27</v>
      </c>
      <c r="E18" s="13">
        <v>4632177</v>
      </c>
      <c r="F18" s="14">
        <v>21634.58</v>
      </c>
      <c r="G18" s="14">
        <v>4.22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51</v>
      </c>
      <c r="E19" s="13">
        <v>447147</v>
      </c>
      <c r="F19" s="14">
        <v>21463.06</v>
      </c>
      <c r="G19" s="14">
        <v>4.1900000000000004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31</v>
      </c>
      <c r="E20" s="13">
        <v>603968</v>
      </c>
      <c r="F20" s="14">
        <v>21096</v>
      </c>
      <c r="G20" s="14">
        <v>4.1100000000000003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186605</v>
      </c>
      <c r="F21" s="14">
        <v>20837.25</v>
      </c>
      <c r="G21" s="14">
        <v>4.0599999999999996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8432444</v>
      </c>
      <c r="F22" s="14">
        <v>20830.669999999998</v>
      </c>
      <c r="G22" s="14">
        <v>4.0599999999999996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1626787</v>
      </c>
      <c r="F23" s="14">
        <v>18175.28</v>
      </c>
      <c r="G23" s="14">
        <v>3.54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43</v>
      </c>
      <c r="E24" s="13">
        <v>595599</v>
      </c>
      <c r="F24" s="14">
        <v>17698.22</v>
      </c>
      <c r="G24" s="14">
        <v>3.45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770280</v>
      </c>
      <c r="F25" s="14">
        <v>13912.03</v>
      </c>
      <c r="G25" s="14">
        <v>2.71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709077</v>
      </c>
      <c r="F26" s="14">
        <v>10538.3</v>
      </c>
      <c r="G26" s="14">
        <v>2.0499999999999998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83</v>
      </c>
      <c r="E27" s="13">
        <v>560762</v>
      </c>
      <c r="F27" s="14">
        <v>9897.4500000000007</v>
      </c>
      <c r="G27" s="14">
        <v>1.93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1763647</v>
      </c>
      <c r="F28" s="14">
        <v>8522.82</v>
      </c>
      <c r="G28" s="14">
        <v>1.66</v>
      </c>
      <c r="H28" s="15"/>
    </row>
    <row r="29" spans="1:8" ht="13" customHeight="1">
      <c r="A29" s="2"/>
      <c r="B29" s="7" t="s">
        <v>91</v>
      </c>
      <c r="C29" s="8"/>
      <c r="D29" s="8"/>
      <c r="E29" s="8"/>
      <c r="F29" s="16">
        <v>481632.82</v>
      </c>
      <c r="G29" s="16">
        <v>93.89</v>
      </c>
      <c r="H29" s="17"/>
    </row>
    <row r="30" spans="1:8" ht="13" customHeight="1">
      <c r="A30" s="2"/>
      <c r="B30" s="18" t="s">
        <v>92</v>
      </c>
      <c r="C30" s="19"/>
      <c r="D30" s="19"/>
      <c r="E30" s="20"/>
      <c r="F30" s="21" t="s">
        <v>93</v>
      </c>
      <c r="G30" s="21" t="s">
        <v>93</v>
      </c>
      <c r="H30" s="22" t="s">
        <v>93</v>
      </c>
    </row>
    <row r="31" spans="1:8" ht="13" customHeight="1">
      <c r="A31" s="2"/>
      <c r="B31" s="23" t="s">
        <v>91</v>
      </c>
      <c r="C31" s="24"/>
      <c r="D31" s="24"/>
      <c r="E31" s="21"/>
      <c r="F31" s="21" t="s">
        <v>93</v>
      </c>
      <c r="G31" s="21" t="s">
        <v>93</v>
      </c>
      <c r="H31" s="22" t="s">
        <v>93</v>
      </c>
    </row>
    <row r="32" spans="1:8" ht="13" customHeight="1">
      <c r="A32" s="2"/>
      <c r="B32" s="18" t="s">
        <v>94</v>
      </c>
      <c r="C32" s="19"/>
      <c r="D32" s="19"/>
      <c r="E32" s="25"/>
      <c r="F32" s="16">
        <v>481632.82</v>
      </c>
      <c r="G32" s="16">
        <v>93.89</v>
      </c>
      <c r="H32" s="22"/>
    </row>
    <row r="33" spans="1:8" ht="13" customHeight="1">
      <c r="A33" s="2"/>
      <c r="B33" s="7" t="s">
        <v>95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96</v>
      </c>
      <c r="C34" s="10"/>
      <c r="D34" s="10"/>
      <c r="E34" s="8"/>
      <c r="F34" s="8"/>
      <c r="G34" s="8"/>
      <c r="H34" s="9"/>
    </row>
    <row r="35" spans="1:8" ht="13" customHeight="1">
      <c r="A35" s="1" t="s">
        <v>97</v>
      </c>
      <c r="B35" s="11" t="s">
        <v>98</v>
      </c>
      <c r="C35" s="12"/>
      <c r="D35" s="8"/>
      <c r="E35" s="13"/>
      <c r="F35" s="14">
        <v>24087.599999999999</v>
      </c>
      <c r="G35" s="14">
        <v>4.7</v>
      </c>
      <c r="H35" s="15">
        <v>5.2528119023479411E-2</v>
      </c>
    </row>
    <row r="36" spans="1:8" ht="13" customHeight="1">
      <c r="A36" s="2"/>
      <c r="B36" s="7" t="s">
        <v>91</v>
      </c>
      <c r="C36" s="8"/>
      <c r="D36" s="8"/>
      <c r="E36" s="8"/>
      <c r="F36" s="16">
        <v>24087.599999999999</v>
      </c>
      <c r="G36" s="16">
        <v>4.7</v>
      </c>
      <c r="H36" s="17"/>
    </row>
    <row r="37" spans="1:8" ht="13" customHeight="1">
      <c r="A37" s="2"/>
      <c r="B37" s="18" t="s">
        <v>94</v>
      </c>
      <c r="C37" s="19"/>
      <c r="D37" s="19"/>
      <c r="E37" s="25"/>
      <c r="F37" s="16">
        <v>24087.599999999999</v>
      </c>
      <c r="G37" s="16">
        <v>4.7</v>
      </c>
      <c r="H37" s="22"/>
    </row>
    <row r="38" spans="1:8" ht="13" customHeight="1">
      <c r="A38" s="2"/>
      <c r="B38" s="7" t="s">
        <v>99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100</v>
      </c>
      <c r="C39" s="10"/>
      <c r="D39" s="10"/>
      <c r="E39" s="8"/>
      <c r="F39" s="8"/>
      <c r="G39" s="8"/>
      <c r="H39" s="9"/>
    </row>
    <row r="40" spans="1:8" ht="13" customHeight="1">
      <c r="A40" s="1" t="s">
        <v>101</v>
      </c>
      <c r="B40" s="11" t="s">
        <v>102</v>
      </c>
      <c r="C40" s="12" t="s">
        <v>103</v>
      </c>
      <c r="D40" s="8"/>
      <c r="E40" s="26">
        <v>185774.095</v>
      </c>
      <c r="F40" s="14">
        <v>7615.18</v>
      </c>
      <c r="G40" s="14">
        <v>1.48</v>
      </c>
      <c r="H40" s="15"/>
    </row>
    <row r="41" spans="1:8" ht="13" customHeight="1">
      <c r="A41" s="2"/>
      <c r="B41" s="7" t="s">
        <v>91</v>
      </c>
      <c r="C41" s="8"/>
      <c r="D41" s="8"/>
      <c r="E41" s="8"/>
      <c r="F41" s="16">
        <v>7615.18</v>
      </c>
      <c r="G41" s="16">
        <v>1.48</v>
      </c>
      <c r="H41" s="17"/>
    </row>
    <row r="42" spans="1:8" ht="13" customHeight="1">
      <c r="B42" s="7" t="s">
        <v>104</v>
      </c>
      <c r="C42" s="8"/>
      <c r="D42" s="8"/>
      <c r="E42" s="8"/>
      <c r="F42" s="27"/>
      <c r="G42" s="28"/>
      <c r="H42" s="17"/>
    </row>
    <row r="43" spans="1:8" ht="13" customHeight="1">
      <c r="A43" s="1" t="s">
        <v>105</v>
      </c>
      <c r="B43" s="11" t="s">
        <v>106</v>
      </c>
      <c r="C43" s="12" t="s">
        <v>107</v>
      </c>
      <c r="D43" s="8" t="s">
        <v>31</v>
      </c>
      <c r="E43" s="13">
        <v>1193784</v>
      </c>
      <c r="F43" s="14">
        <v>121.77</v>
      </c>
      <c r="G43" s="14">
        <v>0.02</v>
      </c>
      <c r="H43" s="15"/>
    </row>
    <row r="44" spans="1:8" ht="13" customHeight="1">
      <c r="A44" s="2"/>
      <c r="B44" s="7" t="s">
        <v>91</v>
      </c>
      <c r="C44" s="8"/>
      <c r="D44" s="8"/>
      <c r="E44" s="8"/>
      <c r="F44" s="16">
        <f>F43</f>
        <v>121.77</v>
      </c>
      <c r="G44" s="16">
        <f>G43</f>
        <v>0.02</v>
      </c>
      <c r="H44" s="17"/>
    </row>
    <row r="45" spans="1:8" ht="13" customHeight="1">
      <c r="A45" s="2"/>
      <c r="B45" s="18" t="s">
        <v>94</v>
      </c>
      <c r="C45" s="19"/>
      <c r="D45" s="19"/>
      <c r="E45" s="25"/>
      <c r="F45" s="16">
        <f>F41+F44</f>
        <v>7736.9500000000007</v>
      </c>
      <c r="G45" s="16">
        <f>G41+G44</f>
        <v>1.5</v>
      </c>
      <c r="H45" s="22"/>
    </row>
    <row r="46" spans="1:8" ht="13" customHeight="1">
      <c r="A46" s="2"/>
      <c r="B46" s="18" t="s">
        <v>108</v>
      </c>
      <c r="C46" s="19"/>
      <c r="D46" s="19"/>
      <c r="E46" s="8"/>
      <c r="F46" s="16">
        <v>-635.54</v>
      </c>
      <c r="G46" s="16">
        <v>-0.09</v>
      </c>
      <c r="H46" s="22"/>
    </row>
    <row r="47" spans="1:8" ht="13" customHeight="1" thickBot="1">
      <c r="A47" s="2"/>
      <c r="B47" s="29" t="s">
        <v>109</v>
      </c>
      <c r="C47" s="30"/>
      <c r="D47" s="30"/>
      <c r="E47" s="30"/>
      <c r="F47" s="31">
        <v>512821.83</v>
      </c>
      <c r="G47" s="32">
        <v>100</v>
      </c>
      <c r="H47" s="33"/>
    </row>
    <row r="48" spans="1:8" ht="13" customHeight="1">
      <c r="A48" s="2"/>
      <c r="B48" s="47"/>
      <c r="C48" s="47"/>
      <c r="D48" s="47"/>
      <c r="E48" s="47"/>
      <c r="F48" s="2"/>
      <c r="G48" s="2"/>
      <c r="H48" s="2"/>
    </row>
    <row r="49" spans="1:8" ht="13" customHeight="1">
      <c r="A49" s="2"/>
      <c r="B49" s="47" t="s">
        <v>110</v>
      </c>
      <c r="C49" s="47"/>
      <c r="D49" s="47"/>
      <c r="E49" s="47"/>
      <c r="F49" s="35"/>
      <c r="G49" s="35"/>
      <c r="H49" s="2"/>
    </row>
    <row r="50" spans="1:8" ht="13" customHeight="1">
      <c r="A50" s="2"/>
      <c r="B50" s="47" t="s">
        <v>111</v>
      </c>
      <c r="C50" s="47"/>
      <c r="D50" s="47"/>
      <c r="E50" s="47"/>
      <c r="F50" s="2"/>
      <c r="G50" s="2"/>
      <c r="H50" s="2"/>
    </row>
    <row r="51" spans="1:8" ht="13" customHeight="1">
      <c r="A51" s="2"/>
      <c r="B51" s="47" t="s">
        <v>112</v>
      </c>
      <c r="C51" s="47"/>
      <c r="D51" s="47"/>
      <c r="E51" s="47"/>
      <c r="F51" s="2"/>
      <c r="G51" s="2"/>
      <c r="H51" s="2"/>
    </row>
    <row r="52" spans="1:8" ht="13" customHeight="1">
      <c r="A52" s="2"/>
      <c r="B52" s="34"/>
      <c r="C52" s="34"/>
      <c r="D52" s="34"/>
      <c r="E52" s="34"/>
      <c r="F52" s="2"/>
      <c r="G52" s="2"/>
      <c r="H52" s="2"/>
    </row>
    <row r="53" spans="1:8" ht="13" customHeight="1">
      <c r="A53" s="2"/>
      <c r="B53" s="48" t="s">
        <v>113</v>
      </c>
      <c r="C53" s="48"/>
      <c r="D53" s="48"/>
      <c r="E53" s="48"/>
      <c r="F53" s="2"/>
      <c r="G53" s="2"/>
      <c r="H53" s="2"/>
    </row>
    <row r="54" spans="1:8" ht="13" customHeight="1">
      <c r="A54" s="2"/>
      <c r="B54" s="36" t="s">
        <v>114</v>
      </c>
      <c r="C54" s="36" t="s">
        <v>115</v>
      </c>
      <c r="D54" s="2"/>
      <c r="E54" s="2"/>
      <c r="F54" s="2"/>
      <c r="G54" s="2"/>
      <c r="H54" s="2"/>
    </row>
    <row r="55" spans="1:8" ht="13" customHeight="1">
      <c r="A55" s="2"/>
      <c r="B55" s="37" t="s">
        <v>116</v>
      </c>
      <c r="C55" s="38">
        <v>70150</v>
      </c>
      <c r="D55" s="2"/>
      <c r="E55" s="2"/>
      <c r="F55" s="2"/>
      <c r="G55" s="2"/>
      <c r="H55" s="2"/>
    </row>
    <row r="56" spans="1:8" ht="13" customHeight="1">
      <c r="A56" s="2"/>
      <c r="B56" s="39"/>
      <c r="C56" s="40"/>
      <c r="D56" s="2"/>
      <c r="E56" s="2"/>
      <c r="F56" s="2"/>
      <c r="G56" s="2"/>
      <c r="H56" s="2"/>
    </row>
    <row r="58" spans="1:8">
      <c r="B58" s="41" t="s">
        <v>117</v>
      </c>
      <c r="C58" s="42"/>
      <c r="D58" s="42"/>
      <c r="E58" s="42"/>
      <c r="F58" s="42"/>
      <c r="G58" s="42"/>
    </row>
    <row r="59" spans="1:8">
      <c r="B59" s="42" t="s">
        <v>118</v>
      </c>
      <c r="C59" s="42"/>
      <c r="D59" s="42"/>
      <c r="E59" s="42"/>
      <c r="F59" s="42"/>
      <c r="G59" s="42"/>
    </row>
    <row r="60" spans="1:8">
      <c r="B60" s="42" t="s">
        <v>119</v>
      </c>
      <c r="C60" s="42"/>
      <c r="D60" s="42"/>
      <c r="E60" s="42"/>
      <c r="F60" s="42"/>
      <c r="G60" s="42"/>
    </row>
    <row r="61" spans="1:8">
      <c r="B61" s="42" t="s">
        <v>120</v>
      </c>
      <c r="C61" s="42"/>
      <c r="D61" s="42"/>
      <c r="E61" s="42"/>
      <c r="F61" s="42"/>
      <c r="G61" s="42"/>
    </row>
    <row r="62" spans="1:8">
      <c r="B62" s="41" t="s">
        <v>121</v>
      </c>
      <c r="C62" s="43" t="s">
        <v>122</v>
      </c>
      <c r="D62" s="43" t="s">
        <v>123</v>
      </c>
      <c r="E62" s="42"/>
      <c r="F62" s="42"/>
      <c r="G62" s="42"/>
    </row>
    <row r="63" spans="1:8">
      <c r="B63" s="42" t="s">
        <v>124</v>
      </c>
      <c r="C63" s="44">
        <v>25.89</v>
      </c>
      <c r="D63" s="44">
        <v>22.88</v>
      </c>
      <c r="E63" s="42"/>
      <c r="F63" s="42"/>
      <c r="G63" s="42"/>
    </row>
    <row r="64" spans="1:8">
      <c r="B64" s="42" t="s">
        <v>125</v>
      </c>
      <c r="C64" s="44">
        <v>18.63</v>
      </c>
      <c r="D64" s="44">
        <v>16.46</v>
      </c>
      <c r="E64" s="42"/>
      <c r="F64" s="42"/>
      <c r="G64" s="42"/>
    </row>
    <row r="65" spans="2:7">
      <c r="B65" s="42" t="s">
        <v>126</v>
      </c>
      <c r="C65" s="44">
        <v>28.14</v>
      </c>
      <c r="D65" s="44">
        <v>24.84</v>
      </c>
      <c r="E65" s="42"/>
      <c r="F65" s="42"/>
      <c r="G65" s="42"/>
    </row>
    <row r="66" spans="2:7">
      <c r="B66" s="42" t="s">
        <v>127</v>
      </c>
      <c r="C66" s="44">
        <v>20.69</v>
      </c>
      <c r="D66" s="44">
        <v>18.27</v>
      </c>
      <c r="E66" s="42"/>
      <c r="F66" s="42"/>
      <c r="G66" s="42"/>
    </row>
    <row r="67" spans="2:7">
      <c r="B67" s="42"/>
      <c r="C67" s="42"/>
      <c r="D67" s="42"/>
      <c r="E67" s="42"/>
      <c r="F67" s="42"/>
      <c r="G67" s="42"/>
    </row>
    <row r="68" spans="2:7">
      <c r="B68" s="42" t="s">
        <v>128</v>
      </c>
      <c r="C68" s="42"/>
      <c r="D68" s="42"/>
      <c r="E68" s="42"/>
      <c r="F68" s="42"/>
      <c r="G68" s="42"/>
    </row>
    <row r="69" spans="2:7">
      <c r="B69" s="42" t="s">
        <v>129</v>
      </c>
      <c r="C69" s="42"/>
      <c r="D69" s="42"/>
      <c r="E69" s="42"/>
      <c r="F69" s="42"/>
      <c r="G69" s="42"/>
    </row>
    <row r="70" spans="2:7">
      <c r="B70" s="42" t="s">
        <v>130</v>
      </c>
      <c r="C70" s="42"/>
      <c r="D70" s="42"/>
      <c r="E70" s="42"/>
      <c r="F70" s="42"/>
      <c r="G70" s="42"/>
    </row>
    <row r="71" spans="2:7">
      <c r="B71" s="42" t="s">
        <v>131</v>
      </c>
      <c r="C71" s="42"/>
      <c r="D71" s="42"/>
      <c r="E71" s="42"/>
      <c r="F71" s="42"/>
      <c r="G71" s="42"/>
    </row>
    <row r="72" spans="2:7">
      <c r="B72" s="42" t="s">
        <v>132</v>
      </c>
      <c r="C72" s="42"/>
      <c r="D72" s="42"/>
      <c r="E72" s="42"/>
      <c r="F72" s="42"/>
      <c r="G72" s="42"/>
    </row>
    <row r="73" spans="2:7">
      <c r="B73" s="42" t="s">
        <v>133</v>
      </c>
      <c r="C73" s="42"/>
      <c r="D73" s="42"/>
      <c r="E73" s="42"/>
      <c r="F73" s="42"/>
      <c r="G73" s="42"/>
    </row>
    <row r="74" spans="2:7">
      <c r="B74" s="42"/>
      <c r="C74" s="42"/>
      <c r="D74" s="42"/>
      <c r="E74" s="42"/>
      <c r="F74" s="42"/>
      <c r="G74" s="42"/>
    </row>
    <row r="75" spans="2:7">
      <c r="B75" s="45" t="s">
        <v>134</v>
      </c>
      <c r="C75" s="42"/>
      <c r="D75" s="42"/>
      <c r="E75" s="42"/>
      <c r="F75" s="42"/>
      <c r="G75" s="42"/>
    </row>
    <row r="76" spans="2:7">
      <c r="B76" s="42" t="s">
        <v>135</v>
      </c>
      <c r="C76" s="42"/>
      <c r="D76" s="42"/>
      <c r="E76" s="42"/>
      <c r="F76" s="42"/>
      <c r="G76" s="42"/>
    </row>
    <row r="77" spans="2:7">
      <c r="F77" s="46" t="s">
        <v>136</v>
      </c>
    </row>
    <row r="78" spans="2:7">
      <c r="B78" s="46" t="s">
        <v>137</v>
      </c>
      <c r="F78" s="46" t="s">
        <v>138</v>
      </c>
    </row>
    <row r="107" spans="2:4">
      <c r="B107" s="42"/>
      <c r="C107" s="42"/>
      <c r="D107" s="42"/>
    </row>
    <row r="108" spans="2:4">
      <c r="B108" s="42"/>
      <c r="C108" s="42"/>
      <c r="D108" s="42"/>
    </row>
    <row r="109" spans="2:4">
      <c r="B109" s="42"/>
      <c r="C109" s="42"/>
      <c r="D109" s="42"/>
    </row>
    <row r="110" spans="2:4">
      <c r="B110" s="42"/>
      <c r="C110" s="42"/>
      <c r="D110" s="42"/>
    </row>
    <row r="111" spans="2:4">
      <c r="B111" s="42"/>
      <c r="C111" s="42"/>
      <c r="D111" s="42"/>
    </row>
    <row r="112" spans="2:4">
      <c r="B112" s="42"/>
      <c r="C112" s="42"/>
      <c r="D112" s="42"/>
    </row>
    <row r="113" spans="2:4">
      <c r="B113" s="42"/>
      <c r="C113" s="42"/>
      <c r="D113" s="42"/>
    </row>
    <row r="114" spans="2:4">
      <c r="B114" s="42"/>
      <c r="C114" s="42"/>
      <c r="D114" s="42"/>
    </row>
    <row r="115" spans="2:4">
      <c r="B115" s="42"/>
      <c r="C115" s="42"/>
      <c r="D115" s="42"/>
    </row>
    <row r="116" spans="2:4">
      <c r="B116" s="42"/>
      <c r="C116" s="42"/>
      <c r="D116" s="42"/>
    </row>
    <row r="117" spans="2:4">
      <c r="B117" s="42"/>
      <c r="C117" s="42"/>
      <c r="D117" s="42"/>
    </row>
    <row r="118" spans="2:4">
      <c r="B118" s="42"/>
      <c r="C118" s="42"/>
      <c r="D118" s="42"/>
    </row>
    <row r="119" spans="2:4">
      <c r="B119" s="42"/>
      <c r="C119" s="42"/>
      <c r="D119" s="42"/>
    </row>
    <row r="120" spans="2:4">
      <c r="B120" s="42"/>
      <c r="C120" s="42"/>
      <c r="D120" s="42"/>
    </row>
    <row r="121" spans="2:4">
      <c r="B121" s="42"/>
      <c r="C121" s="42"/>
      <c r="D121" s="42"/>
    </row>
    <row r="122" spans="2:4">
      <c r="B122" s="42"/>
      <c r="C122" s="42"/>
      <c r="D122" s="42"/>
    </row>
    <row r="123" spans="2:4">
      <c r="B123" s="42"/>
      <c r="C123" s="42"/>
      <c r="D123" s="42"/>
    </row>
    <row r="124" spans="2:4">
      <c r="B124" s="42"/>
      <c r="C124" s="42"/>
      <c r="D124" s="42"/>
    </row>
    <row r="125" spans="2:4">
      <c r="B125" s="42"/>
      <c r="C125" s="42"/>
      <c r="D125" s="42"/>
    </row>
    <row r="126" spans="2:4">
      <c r="B126" s="42"/>
      <c r="C126" s="42"/>
      <c r="D126" s="42"/>
    </row>
    <row r="127" spans="2:4">
      <c r="B127" s="42"/>
      <c r="C127" s="42"/>
      <c r="D127" s="42"/>
    </row>
    <row r="128" spans="2:4">
      <c r="B128" s="42"/>
      <c r="C128" s="42"/>
      <c r="D128" s="42"/>
    </row>
    <row r="129" spans="2:4">
      <c r="B129" s="42"/>
      <c r="C129" s="42"/>
      <c r="D129" s="42"/>
    </row>
  </sheetData>
  <mergeCells count="9">
    <mergeCell ref="B50:E50"/>
    <mergeCell ref="B51:E51"/>
    <mergeCell ref="B53:E53"/>
    <mergeCell ref="B1:H1"/>
    <mergeCell ref="B2:H2"/>
    <mergeCell ref="B3:H3"/>
    <mergeCell ref="B4:H4"/>
    <mergeCell ref="B48:E48"/>
    <mergeCell ref="B49:E4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192E-431E-4156-906D-C6937CE604B7}">
  <sheetPr codeName="Sheet8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7" t="s">
        <v>139</v>
      </c>
      <c r="B1" s="47"/>
      <c r="C1" s="4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1" t="s">
        <v>140</v>
      </c>
      <c r="B3" s="51"/>
      <c r="C3" s="2"/>
      <c r="D3" s="2"/>
      <c r="E3" s="51" t="s">
        <v>141</v>
      </c>
      <c r="F3" s="51"/>
    </row>
    <row r="4" spans="1:6" ht="13" customHeight="1">
      <c r="A4" s="52" t="s">
        <v>142</v>
      </c>
      <c r="B4" s="52" t="s">
        <v>9</v>
      </c>
      <c r="C4" s="2"/>
      <c r="D4" s="2"/>
      <c r="E4" s="52" t="s">
        <v>143</v>
      </c>
      <c r="F4" s="52" t="s">
        <v>144</v>
      </c>
    </row>
    <row r="5" spans="1:6" ht="13" customHeight="1">
      <c r="A5" s="19" t="s">
        <v>14</v>
      </c>
      <c r="B5" s="53">
        <v>8.3599999999999994E-2</v>
      </c>
      <c r="C5" s="2"/>
      <c r="D5" s="2"/>
      <c r="E5" s="19" t="s">
        <v>145</v>
      </c>
      <c r="F5" s="53">
        <v>0.28110000000000002</v>
      </c>
    </row>
    <row r="6" spans="1:6" ht="13" customHeight="1">
      <c r="A6" s="19" t="s">
        <v>18</v>
      </c>
      <c r="B6" s="53">
        <v>7.9000000000000001E-2</v>
      </c>
      <c r="C6" s="2"/>
      <c r="D6" s="2"/>
      <c r="E6" s="19" t="s">
        <v>146</v>
      </c>
      <c r="F6" s="53">
        <v>0.12790000000000001</v>
      </c>
    </row>
    <row r="7" spans="1:6" ht="13" customHeight="1">
      <c r="A7" s="19" t="s">
        <v>22</v>
      </c>
      <c r="B7" s="53">
        <v>7.1599999999999997E-2</v>
      </c>
      <c r="C7" s="2"/>
      <c r="D7" s="2"/>
      <c r="E7" s="19" t="s">
        <v>147</v>
      </c>
      <c r="F7" s="53">
        <v>0.1002</v>
      </c>
    </row>
    <row r="8" spans="1:6" ht="13" customHeight="1">
      <c r="A8" s="19" t="s">
        <v>25</v>
      </c>
      <c r="B8" s="53">
        <v>5.8000000000000003E-2</v>
      </c>
      <c r="C8" s="2"/>
      <c r="D8" s="2"/>
      <c r="E8" s="19" t="s">
        <v>148</v>
      </c>
      <c r="F8" s="53">
        <v>9.2799999999999994E-2</v>
      </c>
    </row>
    <row r="9" spans="1:6" ht="13" customHeight="1">
      <c r="A9" s="19" t="s">
        <v>29</v>
      </c>
      <c r="B9" s="53">
        <v>5.1700000000000003E-2</v>
      </c>
      <c r="C9" s="2"/>
      <c r="D9" s="2"/>
      <c r="E9" s="19" t="s">
        <v>149</v>
      </c>
      <c r="F9" s="53">
        <v>8.5099999999999995E-2</v>
      </c>
    </row>
    <row r="10" spans="1:6" ht="13" customHeight="1">
      <c r="A10" s="19" t="s">
        <v>33</v>
      </c>
      <c r="B10" s="53">
        <v>5.04E-2</v>
      </c>
      <c r="C10" s="2"/>
      <c r="D10" s="2"/>
      <c r="E10" s="19" t="s">
        <v>20</v>
      </c>
      <c r="F10" s="53">
        <v>7.9000000000000001E-2</v>
      </c>
    </row>
    <row r="11" spans="1:6" ht="13" customHeight="1">
      <c r="A11" s="19" t="s">
        <v>37</v>
      </c>
      <c r="B11" s="53">
        <v>5.0299999999999997E-2</v>
      </c>
      <c r="C11" s="2"/>
      <c r="D11" s="2"/>
      <c r="E11" s="19" t="s">
        <v>99</v>
      </c>
      <c r="F11" s="53">
        <v>6.1800000000000001E-2</v>
      </c>
    </row>
    <row r="12" spans="1:6" ht="13" customHeight="1">
      <c r="A12" s="19" t="s">
        <v>150</v>
      </c>
      <c r="B12" s="53">
        <v>4.7E-2</v>
      </c>
      <c r="C12" s="2"/>
      <c r="D12" s="2"/>
      <c r="E12" s="19" t="s">
        <v>151</v>
      </c>
      <c r="F12" s="53">
        <v>5.21E-2</v>
      </c>
    </row>
    <row r="13" spans="1:6" ht="13" customHeight="1">
      <c r="A13" s="19" t="s">
        <v>152</v>
      </c>
      <c r="B13" s="53">
        <v>4.6199999999999998E-2</v>
      </c>
      <c r="C13" s="2"/>
      <c r="D13" s="2"/>
      <c r="E13" s="19" t="s">
        <v>64</v>
      </c>
      <c r="F13" s="53">
        <v>4.0599999999999997E-2</v>
      </c>
    </row>
    <row r="14" spans="1:6" ht="13" customHeight="1">
      <c r="A14" s="19" t="s">
        <v>153</v>
      </c>
      <c r="B14" s="53">
        <v>4.5100000000000001E-2</v>
      </c>
      <c r="C14" s="2"/>
      <c r="D14" s="2"/>
      <c r="E14" s="19" t="s">
        <v>154</v>
      </c>
      <c r="F14" s="53">
        <v>4.0599999999999997E-2</v>
      </c>
    </row>
    <row r="15" spans="1:6" ht="13" customHeight="1">
      <c r="A15" s="2"/>
      <c r="B15" s="2"/>
      <c r="C15" s="2"/>
      <c r="D15" s="2"/>
      <c r="E15" s="19" t="s">
        <v>83</v>
      </c>
      <c r="F15" s="53">
        <v>3.9800000000000002E-2</v>
      </c>
    </row>
    <row r="16" spans="1:6" ht="13" customHeight="1">
      <c r="A16" s="2"/>
      <c r="B16" s="2"/>
      <c r="C16" s="2"/>
      <c r="D16" s="2"/>
      <c r="E16" s="19" t="s">
        <v>155</v>
      </c>
      <c r="F16" s="53">
        <v>-1E-3</v>
      </c>
    </row>
    <row r="17" spans="1:6" ht="13" customHeight="1">
      <c r="A17" s="2"/>
      <c r="B17" s="2"/>
      <c r="C17" s="2"/>
      <c r="D17" s="2"/>
      <c r="E17" s="52" t="s">
        <v>156</v>
      </c>
      <c r="F17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2026-05-09T13:41:46Z</dcterms:created>
  <dcterms:modified xsi:type="dcterms:W3CDTF">2026-05-09T15:24:17Z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2026-05-09T13:41:49Z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730f7607-39c6-4d67-b557-f971916958b9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