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Baroda-uploading\Monthly-Portfolio-31-July-2023\BOBBNPMF_Monthly portfolio_Split_31.07.2023\"/>
    </mc:Choice>
  </mc:AlternateContent>
  <bookViews>
    <workbookView xWindow="0" yWindow="0" windowWidth="23040" windowHeight="9072"/>
  </bookViews>
  <sheets>
    <sheet name="BC" sheetId="1" r:id="rId1"/>
  </sheets>
  <externalReferences>
    <externalReference r:id="rId2"/>
  </externalReferences>
  <definedNames>
    <definedName name="XDO_?CLASS_3?32?">BC!$C$8:$C$47</definedName>
    <definedName name="XDO_?FINAL_ISIN?155?">BC!$D$10:$D$47</definedName>
    <definedName name="XDO_?FINAL_ISIN?156?">BC!$D$10:$D$72</definedName>
    <definedName name="XDO_?FINAL_ISIN?157?">BC!$D$10:$D$87</definedName>
    <definedName name="XDO_?FINAL_ISIN?158?">BC!$D$10:$D$91</definedName>
    <definedName name="XDO_?FINAL_MV?155?">BC!$G$10:$G$47</definedName>
    <definedName name="XDO_?FINAL_MV?156?">BC!$G$10:$G$72</definedName>
    <definedName name="XDO_?FINAL_MV?157?">BC!$G$10:$G$87</definedName>
    <definedName name="XDO_?FINAL_MV?158?">BC!$G$10:$G$91</definedName>
    <definedName name="XDO_?FINAL_NAME?155?">BC!$C$10:$C$47</definedName>
    <definedName name="XDO_?FINAL_NAME?156?">BC!$C$10:$C$72</definedName>
    <definedName name="XDO_?FINAL_NAME?157?">BC!$C$10:$C$87</definedName>
    <definedName name="XDO_?FINAL_NAME?158?">BC!$C$10:$C$91</definedName>
    <definedName name="XDO_?FINAL_PER_NET?155?">BC!$H$10:$H$47</definedName>
    <definedName name="XDO_?FINAL_PER_NET?156?">BC!$H$10:$H$72</definedName>
    <definedName name="XDO_?FINAL_PER_NET?157?">BC!$H$10:$H$87</definedName>
    <definedName name="XDO_?FINAL_PER_NET?158?">BC!$H$10:$H$91</definedName>
    <definedName name="XDO_?FINAL_QUANTITE?155?">BC!$F$10:$F$47</definedName>
    <definedName name="XDO_?FINAL_QUANTITE?156?">BC!$F$10:$F$72</definedName>
    <definedName name="XDO_?FINAL_QUANTITE?157?">BC!$F$10:$F$87</definedName>
    <definedName name="XDO_?FINAL_QUANTITE?158?">BC!$F$10:$F$91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[1]SE!#REF!</definedName>
    <definedName name="XDO_?NAMC?13?">[1]FO!#REF!</definedName>
    <definedName name="XDO_?NAMC?14?">[1]IC!#REF!</definedName>
    <definedName name="XDO_?NAMC?15?">[1]AF!#REF!</definedName>
    <definedName name="XDO_?NAMC?16?">[1]FX!#REF!</definedName>
    <definedName name="XDO_?NAMC?17?">[1]MA!#REF!</definedName>
    <definedName name="XDO_?NAMC?18?">[1]VF!#REF!</definedName>
    <definedName name="XDO_?NAMC?19?">[1]GR!#REF!</definedName>
    <definedName name="XDO_?NAMC?2?">[1]FL!#REF!</definedName>
    <definedName name="XDO_?NAMC?20?">[1]GF!#REF!</definedName>
    <definedName name="XDO_?NAMC?21?">[1]LQ!#REF!</definedName>
    <definedName name="XDO_?NAMC?22?">[1]SI!#REF!</definedName>
    <definedName name="XDO_?NAMC?23?">[1]BS!#REF!</definedName>
    <definedName name="XDO_?NAMC?24?">[1]CO!#REF!</definedName>
    <definedName name="XDO_?NAMC?25?">[1]US!#REF!</definedName>
    <definedName name="XDO_?NAMC?26?">[1]DE!#REF!</definedName>
    <definedName name="XDO_?NAMC?27?">[1]ON!#REF!</definedName>
    <definedName name="XDO_?NAMC?28?">[1]BM!#REF!</definedName>
    <definedName name="XDO_?NAMC?29?">[1]ES!#REF!</definedName>
    <definedName name="XDO_?NAMC?3?">[1]CB!#REF!</definedName>
    <definedName name="XDO_?NAMC?30?">[1]LM!#REF!</definedName>
    <definedName name="XDO_?NAMC?31?">[1]BP!#REF!</definedName>
    <definedName name="XDO_?NAMC?32?">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[1]LC!#REF!</definedName>
    <definedName name="XDO_?NAMC?9?">[1]TA!#REF!</definedName>
    <definedName name="XDO_?NAMCNAME?32?">BC!$C$2:$C$47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[1]SE!#REF!</definedName>
    <definedName name="XDO_?NDATE?13?">[1]FO!#REF!</definedName>
    <definedName name="XDO_?NDATE?14?">[1]IC!#REF!</definedName>
    <definedName name="XDO_?NDATE?15?">[1]AF!#REF!</definedName>
    <definedName name="XDO_?NDATE?16?">[1]FX!#REF!</definedName>
    <definedName name="XDO_?NDATE?17?">[1]MA!#REF!</definedName>
    <definedName name="XDO_?NDATE?18?">[1]VF!#REF!</definedName>
    <definedName name="XDO_?NDATE?19?">[1]GR!#REF!</definedName>
    <definedName name="XDO_?NDATE?2?">[1]FL!#REF!</definedName>
    <definedName name="XDO_?NDATE?20?">[1]GF!#REF!</definedName>
    <definedName name="XDO_?NDATE?21?">[1]LQ!#REF!</definedName>
    <definedName name="XDO_?NDATE?22?">[1]SI!#REF!</definedName>
    <definedName name="XDO_?NDATE?23?">[1]BS!#REF!</definedName>
    <definedName name="XDO_?NDATE?24?">[1]CO!#REF!</definedName>
    <definedName name="XDO_?NDATE?25?">[1]US!#REF!</definedName>
    <definedName name="XDO_?NDATE?26?">[1]DE!#REF!</definedName>
    <definedName name="XDO_?NDATE?27?">[1]ON!#REF!</definedName>
    <definedName name="XDO_?NDATE?28?">[1]BM!#REF!</definedName>
    <definedName name="XDO_?NDATE?29?">[1]ES!#REF!</definedName>
    <definedName name="XDO_?NDATE?3?">[1]CB!#REF!</definedName>
    <definedName name="XDO_?NDATE?30?">[1]LM!#REF!</definedName>
    <definedName name="XDO_?NDATE?31?">[1]BP!#REF!</definedName>
    <definedName name="XDO_?NDATE?32?">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[1]LC!#REF!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[1]SE!#REF!</definedName>
    <definedName name="XDO_?NNPTF?13?">[1]FO!#REF!</definedName>
    <definedName name="XDO_?NNPTF?14?">[1]IC!#REF!</definedName>
    <definedName name="XDO_?NNPTF?15?">[1]AF!#REF!</definedName>
    <definedName name="XDO_?NNPTF?16?">[1]FX!#REF!</definedName>
    <definedName name="XDO_?NNPTF?17?">[1]MA!#REF!</definedName>
    <definedName name="XDO_?NNPTF?18?">[1]VF!#REF!</definedName>
    <definedName name="XDO_?NNPTF?19?">[1]GR!#REF!</definedName>
    <definedName name="XDO_?NNPTF?2?">[1]FL!#REF!</definedName>
    <definedName name="XDO_?NNPTF?20?">[1]GF!#REF!</definedName>
    <definedName name="XDO_?NNPTF?21?">[1]LQ!#REF!</definedName>
    <definedName name="XDO_?NNPTF?22?">[1]SI!#REF!</definedName>
    <definedName name="XDO_?NNPTF?23?">[1]BS!#REF!</definedName>
    <definedName name="XDO_?NNPTF?24?">[1]CO!#REF!</definedName>
    <definedName name="XDO_?NNPTF?25?">[1]US!#REF!</definedName>
    <definedName name="XDO_?NNPTF?26?">[1]DE!#REF!</definedName>
    <definedName name="XDO_?NNPTF?27?">[1]ON!#REF!</definedName>
    <definedName name="XDO_?NNPTF?28?">[1]BM!#REF!</definedName>
    <definedName name="XDO_?NNPTF?29?">[1]ES!#REF!</definedName>
    <definedName name="XDO_?NNPTF?3?">[1]CB!#REF!</definedName>
    <definedName name="XDO_?NNPTF?30?">[1]LM!#REF!</definedName>
    <definedName name="XDO_?NNPTF?31?">[1]BP!#REF!</definedName>
    <definedName name="XDO_?NNPTF?32?">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[1]LC!#REF!</definedName>
    <definedName name="XDO_?NNPTF?9?">[1]TA!#REF!</definedName>
    <definedName name="XDO_?NOVAL?155?">BC!$B$10:$B$47</definedName>
    <definedName name="XDO_?NOVAL?156?">BC!$B$10:$B$72</definedName>
    <definedName name="XDO_?NOVAL?157?">BC!$B$10:$B$87</definedName>
    <definedName name="XDO_?NOVAL?158?">BC!$B$10:$B$91</definedName>
    <definedName name="XDO_?NPTF?32?">BC!$D$2:$D$47</definedName>
    <definedName name="XDO_?RATING?155?">BC!$E$10:$E$47</definedName>
    <definedName name="XDO_?RATING?156?">BC!$E$10:$E$72</definedName>
    <definedName name="XDO_?RATING?157?">BC!$E$10:$E$87</definedName>
    <definedName name="XDO_?RATING?158?">BC!$E$10:$E$91</definedName>
    <definedName name="XDO_?REMARKS?155?">BC!$K$10:$K$47</definedName>
    <definedName name="XDO_?REMARKS?156?">BC!$K$10:$K$72</definedName>
    <definedName name="XDO_?REMARKS?157?">BC!$K$10:$K$87</definedName>
    <definedName name="XDO_?REMARKS?158?">BC!$K$10:$K$91</definedName>
    <definedName name="XDO_?TITL?32?">BC!$A$8:$A$47</definedName>
    <definedName name="XDO_?YTM?155?">BC!$I$10:$I$47</definedName>
    <definedName name="XDO_?YTM?156?">BC!$I$10:$I$72</definedName>
    <definedName name="XDO_?YTM?157?">BC!$I$10:$I$87</definedName>
    <definedName name="XDO_?YTM?158?">BC!$I$10:$I$91</definedName>
    <definedName name="XDO_GROUP_?G_2?32?">BC!$2:$63</definedName>
    <definedName name="XDO_GROUP_?G_3?32?">BC!$8:$62</definedName>
    <definedName name="XDO_GROUP_?G_4?155?">BC!$B$10:$IV$47</definedName>
    <definedName name="XDO_GROUP_?G_4?156?">BC!$B$52:$IV$52</definedName>
    <definedName name="XDO_GROUP_?G_4?157?">BC!$B$55:$IV$55</definedName>
    <definedName name="XDO_GROUP_?G_4?158?">BC!$B$60:$IV$60</definedName>
    <definedName name="XDO_GROUP_?G_4?41?">[1]TA!#REF!</definedName>
    <definedName name="XDO_GROUP_?G_4?91?">[1]GR!#REF!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4" i="1" l="1"/>
</calcChain>
</file>

<file path=xl/sharedStrings.xml><?xml version="1.0" encoding="utf-8"?>
<sst xmlns="http://schemas.openxmlformats.org/spreadsheetml/2006/main" count="290" uniqueCount="236">
  <si>
    <t>Baroda BNP Paribas Mutual Fund</t>
  </si>
  <si>
    <t>YR56</t>
  </si>
  <si>
    <t>SCHEME NAME :</t>
  </si>
  <si>
    <t xml:space="preserve">Baroda BNP Paribas Business Cycle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</si>
  <si>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</si>
  <si>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</si>
  <si>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</si>
  <si>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</si>
  <si>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</si>
  <si>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</si>
  <si>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</si>
  <si>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</si>
  <si>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</si>
  <si>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</si>
  <si>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</si>
  <si>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</si>
  <si>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</si>
  <si>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</si>
  <si>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</si>
  <si>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</si>
  <si>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100002</t>
  </si>
  <si>
    <t>Reliance Industries Ltd.</t>
  </si>
  <si>
    <t>INE002A01018</t>
  </si>
  <si>
    <t>Petroleum Products</t>
  </si>
  <si>
    <t>100019</t>
  </si>
  <si>
    <t>ITC Ltd.</t>
  </si>
  <si>
    <t>INE154A01025</t>
  </si>
  <si>
    <t>Diversified FMCG</t>
  </si>
  <si>
    <t>100005</t>
  </si>
  <si>
    <t>Larsen &amp; Toubro Ltd.</t>
  </si>
  <si>
    <t>INE018A01030</t>
  </si>
  <si>
    <t>Construction</t>
  </si>
  <si>
    <t>100032</t>
  </si>
  <si>
    <t>Tata Consultancy Services Ltd.</t>
  </si>
  <si>
    <t>INE467B01029</t>
  </si>
  <si>
    <t>IT - Software</t>
  </si>
  <si>
    <t>100012</t>
  </si>
  <si>
    <t>ICICI Bank Ltd.</t>
  </si>
  <si>
    <t>INE090A01021</t>
  </si>
  <si>
    <t>100010</t>
  </si>
  <si>
    <t>State Bank of India</t>
  </si>
  <si>
    <t>INE062A01020</t>
  </si>
  <si>
    <t>100286</t>
  </si>
  <si>
    <t>NHPC Ltd.</t>
  </si>
  <si>
    <t>INE848E01016</t>
  </si>
  <si>
    <t>Power</t>
  </si>
  <si>
    <t>100008</t>
  </si>
  <si>
    <t>Sun Pharmaceutical Industries Ltd.</t>
  </si>
  <si>
    <t>INE044A01036</t>
  </si>
  <si>
    <t>Pharmaceuticals &amp; Biotechnology</t>
  </si>
  <si>
    <t>101080</t>
  </si>
  <si>
    <t>JB Chemicals &amp; Pharmaceuticals Ltd.</t>
  </si>
  <si>
    <t>INE572A01028</t>
  </si>
  <si>
    <t>100099</t>
  </si>
  <si>
    <t>Hindustan Unilever Ltd.</t>
  </si>
  <si>
    <t>INE030A01027</t>
  </si>
  <si>
    <t>100025</t>
  </si>
  <si>
    <t>Nestle India Ltd.</t>
  </si>
  <si>
    <t>INE239A01016</t>
  </si>
  <si>
    <t>Food Products</t>
  </si>
  <si>
    <t>100382</t>
  </si>
  <si>
    <t>Fortis Healthcare Ltd.</t>
  </si>
  <si>
    <t>INE061F01013</t>
  </si>
  <si>
    <t>Healthcare Services</t>
  </si>
  <si>
    <t>100104</t>
  </si>
  <si>
    <t>Kotak Mahindra Bank Ltd.</t>
  </si>
  <si>
    <t>INE237A01028</t>
  </si>
  <si>
    <t>100014</t>
  </si>
  <si>
    <t>Mahindra &amp; Mahindra Ltd.</t>
  </si>
  <si>
    <t>INE101A01026</t>
  </si>
  <si>
    <t>Automobiles</t>
  </si>
  <si>
    <t>100050</t>
  </si>
  <si>
    <t>Trent Ltd.</t>
  </si>
  <si>
    <t>INE849A01020</t>
  </si>
  <si>
    <t>Retailing</t>
  </si>
  <si>
    <t>100089</t>
  </si>
  <si>
    <t>Bharat Electronics Ltd.</t>
  </si>
  <si>
    <t>INE263A01024</t>
  </si>
  <si>
    <t>Aerospace &amp; Defense</t>
  </si>
  <si>
    <t>100119</t>
  </si>
  <si>
    <t>Tata Motors Ltd.</t>
  </si>
  <si>
    <t>INE155A01022</t>
  </si>
  <si>
    <t>100003</t>
  </si>
  <si>
    <t>Infosys Ltd.</t>
  </si>
  <si>
    <t>INE009A01021</t>
  </si>
  <si>
    <t>100830</t>
  </si>
  <si>
    <t>Varun Beverages Ltd.</t>
  </si>
  <si>
    <t>INE200M01021</t>
  </si>
  <si>
    <t>Beverages</t>
  </si>
  <si>
    <t>100453</t>
  </si>
  <si>
    <t>RBL Bank Ltd.</t>
  </si>
  <si>
    <t>INE976G01028</t>
  </si>
  <si>
    <t>100191</t>
  </si>
  <si>
    <t>Canara Bank</t>
  </si>
  <si>
    <t>INE476A01014</t>
  </si>
  <si>
    <t>100120</t>
  </si>
  <si>
    <t>Torrent Pharmaceuticals Ltd.</t>
  </si>
  <si>
    <t>INE685A01028</t>
  </si>
  <si>
    <t>100164</t>
  </si>
  <si>
    <t>Petronet LNG Ltd.</t>
  </si>
  <si>
    <t>INE347G01014</t>
  </si>
  <si>
    <t>Gas</t>
  </si>
  <si>
    <t>100194</t>
  </si>
  <si>
    <t>Power Finance Corporation Ltd.</t>
  </si>
  <si>
    <t>INE134E01011</t>
  </si>
  <si>
    <t>Finance</t>
  </si>
  <si>
    <t>100477</t>
  </si>
  <si>
    <t>PNB Housing Finance Ltd.</t>
  </si>
  <si>
    <t>INE572E01012</t>
  </si>
  <si>
    <t>100004</t>
  </si>
  <si>
    <t>Zydus Lifesciences Ltd.</t>
  </si>
  <si>
    <t>INE010B01027</t>
  </si>
  <si>
    <t>100843</t>
  </si>
  <si>
    <t>Dalmia Bharat Ltd.</t>
  </si>
  <si>
    <t>INE00R701025</t>
  </si>
  <si>
    <t>Cement &amp; Cement Products</t>
  </si>
  <si>
    <t>100180</t>
  </si>
  <si>
    <t>Hindalco Industries Ltd.</t>
  </si>
  <si>
    <t>INE038A01020</t>
  </si>
  <si>
    <t>Non - Ferrous Metals</t>
  </si>
  <si>
    <t>100082</t>
  </si>
  <si>
    <t>Ultratech Cement Ltd.</t>
  </si>
  <si>
    <t>INE481G01011</t>
  </si>
  <si>
    <t>100106</t>
  </si>
  <si>
    <t>Maruti Suzuki India Ltd.</t>
  </si>
  <si>
    <t>INE585B01010</t>
  </si>
  <si>
    <t>100128</t>
  </si>
  <si>
    <t>Eicher Motors Ltd.</t>
  </si>
  <si>
    <t>INE066A01021</t>
  </si>
  <si>
    <t>100902</t>
  </si>
  <si>
    <t>Jtekt India Ltd.</t>
  </si>
  <si>
    <t>INE643A01035</t>
  </si>
  <si>
    <t>Auto Components</t>
  </si>
  <si>
    <t>100332</t>
  </si>
  <si>
    <t>Navin Fluorine International Ltd.</t>
  </si>
  <si>
    <t>INE048G01026</t>
  </si>
  <si>
    <t>Chemicals &amp; Petrochemicals</t>
  </si>
  <si>
    <t>100095</t>
  </si>
  <si>
    <t>Bharti Airtel Ltd.</t>
  </si>
  <si>
    <t>INE397D01024</t>
  </si>
  <si>
    <t>Telecom - Services</t>
  </si>
  <si>
    <t>100505</t>
  </si>
  <si>
    <t>ICICI Prudential Life Insurance Company Ltd.</t>
  </si>
  <si>
    <t>INE726G01019</t>
  </si>
  <si>
    <t>Insurance</t>
  </si>
  <si>
    <t>100157</t>
  </si>
  <si>
    <t>Godrej Consumer Products Ltd.</t>
  </si>
  <si>
    <t>INE102D01028</t>
  </si>
  <si>
    <t>Personal Products</t>
  </si>
  <si>
    <t>101889</t>
  </si>
  <si>
    <t>Jio Financial Services Ltd.</t>
  </si>
  <si>
    <t>INE758E01017</t>
  </si>
  <si>
    <t>A**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</si>
  <si>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</si>
  <si>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</si>
  <si>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</si>
  <si>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</si>
  <si>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</si>
  <si>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</si>
  <si>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</si>
  <si>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</si>
  <si>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</si>
  <si>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</si>
  <si>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</si>
  <si>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</si>
  <si>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</si>
  <si>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 (Placed as Margin)</t>
  </si>
  <si>
    <t>1800940</t>
  </si>
  <si>
    <t>364 DAY T-BILL 21-Dec-2023</t>
  </si>
  <si>
    <t>IN002022Z382</t>
  </si>
  <si>
    <t>Sovereign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</si>
  <si>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</si>
  <si>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</si>
  <si>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</si>
  <si>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</si>
  <si>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</si>
  <si>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</si>
  <si>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</si>
  <si>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108230100</t>
  </si>
  <si>
    <t>TREPS 01-Aug-2023</t>
  </si>
  <si>
    <t>Other Current Assets / (Liabilities)</t>
  </si>
  <si>
    <t>Net Receivable / Payable</t>
  </si>
  <si>
    <t>GRAND TOTAL (AUM)</t>
  </si>
  <si>
    <t xml:space="preserve">Hedging Positions through Futures as on July 31, 2023: </t>
  </si>
  <si>
    <t>Underlying</t>
  </si>
  <si>
    <t>Long/Short</t>
  </si>
  <si>
    <t>Number of Contracts*</t>
  </si>
  <si>
    <t>Future Price when purchased</t>
  </si>
  <si>
    <t>Current Price of the contract</t>
  </si>
  <si>
    <t>Margin maintained in Rs. Lakhs</t>
  </si>
  <si>
    <t>Nil</t>
  </si>
  <si>
    <t>Total Exposure through Futures(hedging positions) is -0.00% age of net assets</t>
  </si>
  <si>
    <t>For the month ended July 31, 2023 with regard to hedging transactions through futures which have already been squared off/expired specify:</t>
  </si>
  <si>
    <t>Total Number of contracts where futures were bought : Nil</t>
  </si>
  <si>
    <t>Total Number of contracts where futures were sold :  Nil</t>
  </si>
  <si>
    <t>Gross Notional Value of contracts where futures were bought : Nil</t>
  </si>
  <si>
    <t>Gross Notional Value of contracts where futures were sold: Nil</t>
  </si>
  <si>
    <t>Net Profit/Loss on all contracts combined : Nil</t>
  </si>
  <si>
    <t>Other than Hedging Positions through futures as on July 31, 2023:</t>
  </si>
  <si>
    <t>Number of Contracts</t>
  </si>
  <si>
    <t>Total Exposure through Futures(other than hedging positions) is 0.00% age of net assets</t>
  </si>
  <si>
    <t>For the month ended July 31, 2023 with regard to Other than hedging transactions through futures which have already been squared off/expired specify:</t>
  </si>
  <si>
    <t>Total Number of contracts where futures were sold : 40</t>
  </si>
  <si>
    <t>Gross Notional Value of contracts where futures were sold: 437.40 lacs</t>
  </si>
  <si>
    <t>Net Profit/Loss on all contracts combined : 11.91 lacs</t>
  </si>
  <si>
    <t xml:space="preserve">* Negative sign denotes Short position 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</si>
  <si>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</si>
  <si>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</si>
  <si>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</si>
  <si>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</si>
  <si>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</si>
  <si>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</si>
  <si>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</si>
  <si>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July 31,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</si>
  <si>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</si>
  <si>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</si>
  <si>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</si>
  <si>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June 30, 2023</t>
  </si>
  <si>
    <t>As on July 31, 2023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</si>
  <si>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</si>
  <si>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</si>
  <si>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</si>
  <si>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</si>
  <si>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July 31, 2023</t>
  </si>
  <si>
    <t>(9) There were no investments in derivative instruments as on July,31 2023.</t>
  </si>
  <si>
    <t>(10) Total Market value of investments in Foreign Securities/American Depositary Receipts/Global Depositary Receipts as at  July 31, 2023 is Rs. Nil.</t>
  </si>
  <si>
    <t>(11)  During the period, the portfolio turnover ratio is  0.03 times.</t>
  </si>
  <si>
    <t>(12)  Details of repo transaction in corporate debt securities for the Month ended July 31, 2023 is Nil.</t>
  </si>
  <si>
    <t>(13)  Investments in debt instruments having structured obligations or credit enhancement features as at July 31, 2023 is Rs. Nil.</t>
  </si>
  <si>
    <t>(14) Investment in Partly paid Debentures during the Month ended  July 31, 2023 and as on  July 31,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</si>
  <si>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</si>
  <si>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</si>
  <si>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</si>
  <si>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</si>
  <si>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</si>
  <si>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July 31,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</si>
</sst>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9"/>
      <name val="Franklin Gothic Book"/>
      <family val="2"/>
    </font>
    <font>
      <sz val="9"/>
      <color theme="1"/>
      <name val="Franklin Gothic Book"/>
      <family val="2"/>
    </font>
    <font>
      <sz val="9"/>
      <name val="Franklin Gothic Book"/>
      <family val="2"/>
    </font>
    <font>
      <b/>
      <sz val="9"/>
      <color theme="1"/>
      <name val="Franklin Gothic Book"/>
      <family val="2"/>
    </font>
    <font>
      <sz val="11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76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11" fillId="3" borderId="0" xfId="0" applyFont="1" applyFill="1"/>
    <xf numFmtId="0" fontId="12" fillId="4" borderId="0" xfId="0" applyFont="1" applyFill="1"/>
    <xf numFmtId="4" fontId="12" fillId="4" borderId="0" xfId="0" applyNumberFormat="1" applyFont="1" applyFill="1"/>
    <xf numFmtId="0" fontId="11" fillId="3" borderId="13" xfId="0" applyFont="1" applyFill="1" applyBorder="1"/>
    <xf numFmtId="0" fontId="11" fillId="0" borderId="13" xfId="0" applyFont="1" applyBorder="1" applyAlignment="1">
      <alignment horizontal="right"/>
    </xf>
    <xf numFmtId="0" fontId="11" fillId="3" borderId="13" xfId="0" applyFont="1" applyFill="1" applyBorder="1" applyAlignment="1">
      <alignment horizontal="right"/>
    </xf>
    <xf numFmtId="164" fontId="12" fillId="4" borderId="0" xfId="1" applyFont="1" applyFill="1"/>
    <xf numFmtId="0" fontId="14" fillId="4" borderId="0" xfId="0" applyFont="1" applyFill="1"/>
    <xf numFmtId="0" fontId="13" fillId="3" borderId="0" xfId="0" applyFont="1" applyFill="1"/>
    <xf numFmtId="0" fontId="13" fillId="0" borderId="0" xfId="0" applyFont="1"/>
    <xf numFmtId="164" fontId="12" fillId="4" borderId="0" xfId="0" applyNumberFormat="1" applyFont="1" applyFill="1"/>
    <xf numFmtId="0" fontId="15" fillId="3" borderId="0" xfId="0" applyFont="1" applyFill="1"/>
    <xf numFmtId="4" fontId="11" fillId="3" borderId="0" xfId="0" applyNumberFormat="1" applyFont="1" applyFill="1"/>
    <xf numFmtId="0" fontId="11" fillId="3" borderId="0" xfId="0" applyFont="1" applyFill="1" applyAlignment="1">
      <alignment horizontal="center"/>
    </xf>
    <xf numFmtId="164" fontId="11" fillId="3" borderId="0" xfId="1" applyFont="1" applyFill="1" applyBorder="1" applyAlignment="1">
      <alignment horizontal="center"/>
    </xf>
    <xf numFmtId="164" fontId="11" fillId="3" borderId="0" xfId="1" applyFont="1" applyFill="1" applyAlignment="1">
      <alignment horizontal="center"/>
    </xf>
    <xf numFmtId="0" fontId="11" fillId="0" borderId="0" xfId="0" applyFont="1"/>
    <xf numFmtId="0" fontId="3" fillId="0" borderId="0" xfId="0" applyFont="1" applyAlignment="1">
      <alignment horizontal="left"/>
    </xf>
    <xf numFmtId="0" fontId="16" fillId="4" borderId="0" xfId="0" applyFont="1" applyFill="1"/>
    <xf numFmtId="4" fontId="16" fillId="4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7" fillId="0" borderId="0" xfId="0" applyFont="1" applyAlignment="1">
      <alignment vertical="top"/>
    </xf>
    <xf numFmtId="0" fontId="0" fillId="0" borderId="0" xfId="0" applyAlignment="1">
      <alignment vertical="top"/>
    </xf>
    <xf numFmtId="0" fontId="13" fillId="3" borderId="19" xfId="0" applyFont="1" applyFill="1" applyBorder="1" applyAlignment="1">
      <alignment horizontal="center"/>
    </xf>
    <xf numFmtId="0" fontId="13" fillId="3" borderId="20" xfId="0" applyFont="1" applyFill="1" applyBorder="1" applyAlignment="1">
      <alignment horizontal="center"/>
    </xf>
    <xf numFmtId="0" fontId="13" fillId="3" borderId="21" xfId="0" applyFont="1" applyFill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157</xdr:row>
      <xdr:rowOff>0</xdr:rowOff>
    </xdr:from>
    <xdr:to>
      <xdr:col>5</xdr:col>
      <xdr:colOff>152400</xdr:colOff>
      <xdr:row>175</xdr:row>
      <xdr:rowOff>91440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260" y="28521660"/>
          <a:ext cx="7459980" cy="3261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18.%20BNPP%20MF\Reporting\Monthly\Monthly%20Portfolio%20ISIN\2023-24\July%202023\Month%20end%2031%20July%202023\Split%20Portfolio\BOBBNPMF_Monthly%20portfolio%2031-07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VF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57"/>
  <sheetViews>
    <sheetView showGridLines="0" tabSelected="1" zoomScale="90" zoomScaleNormal="90" workbookViewId="0">
      <pane ySplit="6" topLeftCell="A156" activePane="bottomLeft" state="frozen"/>
      <selection activeCell="I2" sqref="I2"/>
      <selection pane="bottomLeft" activeCell="G178" sqref="G178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8.88671875" style="2" bestFit="1" customWidth="1"/>
    <col min="6" max="6" width="27.88671875" style="7" bestFit="1" customWidth="1"/>
    <col min="7" max="7" width="27.33203125" style="8" bestFit="1" customWidth="1"/>
    <col min="8" max="8" width="30.44140625" style="8" bestFit="1" customWidth="1"/>
    <col min="9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8.88671875" style="2" bestFit="1" customWidth="1"/>
    <col min="262" max="262" width="27.88671875" style="2" bestFit="1" customWidth="1"/>
    <col min="263" max="263" width="27.33203125" style="2" bestFit="1" customWidth="1"/>
    <col min="264" max="264" width="30.44140625" style="2" bestFit="1" customWidth="1"/>
    <col min="265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8.88671875" style="2" bestFit="1" customWidth="1"/>
    <col min="518" max="518" width="27.88671875" style="2" bestFit="1" customWidth="1"/>
    <col min="519" max="519" width="27.33203125" style="2" bestFit="1" customWidth="1"/>
    <col min="520" max="520" width="30.44140625" style="2" bestFit="1" customWidth="1"/>
    <col min="521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8.88671875" style="2" bestFit="1" customWidth="1"/>
    <col min="774" max="774" width="27.88671875" style="2" bestFit="1" customWidth="1"/>
    <col min="775" max="775" width="27.33203125" style="2" bestFit="1" customWidth="1"/>
    <col min="776" max="776" width="30.44140625" style="2" bestFit="1" customWidth="1"/>
    <col min="777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8.88671875" style="2" bestFit="1" customWidth="1"/>
    <col min="1030" max="1030" width="27.88671875" style="2" bestFit="1" customWidth="1"/>
    <col min="1031" max="1031" width="27.33203125" style="2" bestFit="1" customWidth="1"/>
    <col min="1032" max="1032" width="30.44140625" style="2" bestFit="1" customWidth="1"/>
    <col min="1033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8.88671875" style="2" bestFit="1" customWidth="1"/>
    <col min="1286" max="1286" width="27.88671875" style="2" bestFit="1" customWidth="1"/>
    <col min="1287" max="1287" width="27.33203125" style="2" bestFit="1" customWidth="1"/>
    <col min="1288" max="1288" width="30.44140625" style="2" bestFit="1" customWidth="1"/>
    <col min="1289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8.88671875" style="2" bestFit="1" customWidth="1"/>
    <col min="1542" max="1542" width="27.88671875" style="2" bestFit="1" customWidth="1"/>
    <col min="1543" max="1543" width="27.33203125" style="2" bestFit="1" customWidth="1"/>
    <col min="1544" max="1544" width="30.44140625" style="2" bestFit="1" customWidth="1"/>
    <col min="1545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8.88671875" style="2" bestFit="1" customWidth="1"/>
    <col min="1798" max="1798" width="27.88671875" style="2" bestFit="1" customWidth="1"/>
    <col min="1799" max="1799" width="27.33203125" style="2" bestFit="1" customWidth="1"/>
    <col min="1800" max="1800" width="30.44140625" style="2" bestFit="1" customWidth="1"/>
    <col min="1801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8.88671875" style="2" bestFit="1" customWidth="1"/>
    <col min="2054" max="2054" width="27.88671875" style="2" bestFit="1" customWidth="1"/>
    <col min="2055" max="2055" width="27.33203125" style="2" bestFit="1" customWidth="1"/>
    <col min="2056" max="2056" width="30.44140625" style="2" bestFit="1" customWidth="1"/>
    <col min="2057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8.88671875" style="2" bestFit="1" customWidth="1"/>
    <col min="2310" max="2310" width="27.88671875" style="2" bestFit="1" customWidth="1"/>
    <col min="2311" max="2311" width="27.33203125" style="2" bestFit="1" customWidth="1"/>
    <col min="2312" max="2312" width="30.44140625" style="2" bestFit="1" customWidth="1"/>
    <col min="2313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8.88671875" style="2" bestFit="1" customWidth="1"/>
    <col min="2566" max="2566" width="27.88671875" style="2" bestFit="1" customWidth="1"/>
    <col min="2567" max="2567" width="27.33203125" style="2" bestFit="1" customWidth="1"/>
    <col min="2568" max="2568" width="30.44140625" style="2" bestFit="1" customWidth="1"/>
    <col min="2569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8.88671875" style="2" bestFit="1" customWidth="1"/>
    <col min="2822" max="2822" width="27.88671875" style="2" bestFit="1" customWidth="1"/>
    <col min="2823" max="2823" width="27.33203125" style="2" bestFit="1" customWidth="1"/>
    <col min="2824" max="2824" width="30.44140625" style="2" bestFit="1" customWidth="1"/>
    <col min="2825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8.88671875" style="2" bestFit="1" customWidth="1"/>
    <col min="3078" max="3078" width="27.88671875" style="2" bestFit="1" customWidth="1"/>
    <col min="3079" max="3079" width="27.33203125" style="2" bestFit="1" customWidth="1"/>
    <col min="3080" max="3080" width="30.44140625" style="2" bestFit="1" customWidth="1"/>
    <col min="3081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8.88671875" style="2" bestFit="1" customWidth="1"/>
    <col min="3334" max="3334" width="27.88671875" style="2" bestFit="1" customWidth="1"/>
    <col min="3335" max="3335" width="27.33203125" style="2" bestFit="1" customWidth="1"/>
    <col min="3336" max="3336" width="30.44140625" style="2" bestFit="1" customWidth="1"/>
    <col min="3337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8.88671875" style="2" bestFit="1" customWidth="1"/>
    <col min="3590" max="3590" width="27.88671875" style="2" bestFit="1" customWidth="1"/>
    <col min="3591" max="3591" width="27.33203125" style="2" bestFit="1" customWidth="1"/>
    <col min="3592" max="3592" width="30.44140625" style="2" bestFit="1" customWidth="1"/>
    <col min="3593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8.88671875" style="2" bestFit="1" customWidth="1"/>
    <col min="3846" max="3846" width="27.88671875" style="2" bestFit="1" customWidth="1"/>
    <col min="3847" max="3847" width="27.33203125" style="2" bestFit="1" customWidth="1"/>
    <col min="3848" max="3848" width="30.44140625" style="2" bestFit="1" customWidth="1"/>
    <col min="3849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8.88671875" style="2" bestFit="1" customWidth="1"/>
    <col min="4102" max="4102" width="27.88671875" style="2" bestFit="1" customWidth="1"/>
    <col min="4103" max="4103" width="27.33203125" style="2" bestFit="1" customWidth="1"/>
    <col min="4104" max="4104" width="30.44140625" style="2" bestFit="1" customWidth="1"/>
    <col min="4105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8.88671875" style="2" bestFit="1" customWidth="1"/>
    <col min="4358" max="4358" width="27.88671875" style="2" bestFit="1" customWidth="1"/>
    <col min="4359" max="4359" width="27.33203125" style="2" bestFit="1" customWidth="1"/>
    <col min="4360" max="4360" width="30.44140625" style="2" bestFit="1" customWidth="1"/>
    <col min="4361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8.88671875" style="2" bestFit="1" customWidth="1"/>
    <col min="4614" max="4614" width="27.88671875" style="2" bestFit="1" customWidth="1"/>
    <col min="4615" max="4615" width="27.33203125" style="2" bestFit="1" customWidth="1"/>
    <col min="4616" max="4616" width="30.44140625" style="2" bestFit="1" customWidth="1"/>
    <col min="4617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8.88671875" style="2" bestFit="1" customWidth="1"/>
    <col min="4870" max="4870" width="27.88671875" style="2" bestFit="1" customWidth="1"/>
    <col min="4871" max="4871" width="27.33203125" style="2" bestFit="1" customWidth="1"/>
    <col min="4872" max="4872" width="30.44140625" style="2" bestFit="1" customWidth="1"/>
    <col min="4873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8.88671875" style="2" bestFit="1" customWidth="1"/>
    <col min="5126" max="5126" width="27.88671875" style="2" bestFit="1" customWidth="1"/>
    <col min="5127" max="5127" width="27.33203125" style="2" bestFit="1" customWidth="1"/>
    <col min="5128" max="5128" width="30.44140625" style="2" bestFit="1" customWidth="1"/>
    <col min="5129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8.88671875" style="2" bestFit="1" customWidth="1"/>
    <col min="5382" max="5382" width="27.88671875" style="2" bestFit="1" customWidth="1"/>
    <col min="5383" max="5383" width="27.33203125" style="2" bestFit="1" customWidth="1"/>
    <col min="5384" max="5384" width="30.44140625" style="2" bestFit="1" customWidth="1"/>
    <col min="5385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8.88671875" style="2" bestFit="1" customWidth="1"/>
    <col min="5638" max="5638" width="27.88671875" style="2" bestFit="1" customWidth="1"/>
    <col min="5639" max="5639" width="27.33203125" style="2" bestFit="1" customWidth="1"/>
    <col min="5640" max="5640" width="30.44140625" style="2" bestFit="1" customWidth="1"/>
    <col min="5641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8.88671875" style="2" bestFit="1" customWidth="1"/>
    <col min="5894" max="5894" width="27.88671875" style="2" bestFit="1" customWidth="1"/>
    <col min="5895" max="5895" width="27.33203125" style="2" bestFit="1" customWidth="1"/>
    <col min="5896" max="5896" width="30.44140625" style="2" bestFit="1" customWidth="1"/>
    <col min="5897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8.88671875" style="2" bestFit="1" customWidth="1"/>
    <col min="6150" max="6150" width="27.88671875" style="2" bestFit="1" customWidth="1"/>
    <col min="6151" max="6151" width="27.33203125" style="2" bestFit="1" customWidth="1"/>
    <col min="6152" max="6152" width="30.44140625" style="2" bestFit="1" customWidth="1"/>
    <col min="6153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8.88671875" style="2" bestFit="1" customWidth="1"/>
    <col min="6406" max="6406" width="27.88671875" style="2" bestFit="1" customWidth="1"/>
    <col min="6407" max="6407" width="27.33203125" style="2" bestFit="1" customWidth="1"/>
    <col min="6408" max="6408" width="30.44140625" style="2" bestFit="1" customWidth="1"/>
    <col min="6409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8.88671875" style="2" bestFit="1" customWidth="1"/>
    <col min="6662" max="6662" width="27.88671875" style="2" bestFit="1" customWidth="1"/>
    <col min="6663" max="6663" width="27.33203125" style="2" bestFit="1" customWidth="1"/>
    <col min="6664" max="6664" width="30.44140625" style="2" bestFit="1" customWidth="1"/>
    <col min="6665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8.88671875" style="2" bestFit="1" customWidth="1"/>
    <col min="6918" max="6918" width="27.88671875" style="2" bestFit="1" customWidth="1"/>
    <col min="6919" max="6919" width="27.33203125" style="2" bestFit="1" customWidth="1"/>
    <col min="6920" max="6920" width="30.44140625" style="2" bestFit="1" customWidth="1"/>
    <col min="6921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8.88671875" style="2" bestFit="1" customWidth="1"/>
    <col min="7174" max="7174" width="27.88671875" style="2" bestFit="1" customWidth="1"/>
    <col min="7175" max="7175" width="27.33203125" style="2" bestFit="1" customWidth="1"/>
    <col min="7176" max="7176" width="30.44140625" style="2" bestFit="1" customWidth="1"/>
    <col min="7177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8.88671875" style="2" bestFit="1" customWidth="1"/>
    <col min="7430" max="7430" width="27.88671875" style="2" bestFit="1" customWidth="1"/>
    <col min="7431" max="7431" width="27.33203125" style="2" bestFit="1" customWidth="1"/>
    <col min="7432" max="7432" width="30.44140625" style="2" bestFit="1" customWidth="1"/>
    <col min="7433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8.88671875" style="2" bestFit="1" customWidth="1"/>
    <col min="7686" max="7686" width="27.88671875" style="2" bestFit="1" customWidth="1"/>
    <col min="7687" max="7687" width="27.33203125" style="2" bestFit="1" customWidth="1"/>
    <col min="7688" max="7688" width="30.44140625" style="2" bestFit="1" customWidth="1"/>
    <col min="7689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8.88671875" style="2" bestFit="1" customWidth="1"/>
    <col min="7942" max="7942" width="27.88671875" style="2" bestFit="1" customWidth="1"/>
    <col min="7943" max="7943" width="27.33203125" style="2" bestFit="1" customWidth="1"/>
    <col min="7944" max="7944" width="30.44140625" style="2" bestFit="1" customWidth="1"/>
    <col min="7945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8.88671875" style="2" bestFit="1" customWidth="1"/>
    <col min="8198" max="8198" width="27.88671875" style="2" bestFit="1" customWidth="1"/>
    <col min="8199" max="8199" width="27.33203125" style="2" bestFit="1" customWidth="1"/>
    <col min="8200" max="8200" width="30.44140625" style="2" bestFit="1" customWidth="1"/>
    <col min="8201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8.88671875" style="2" bestFit="1" customWidth="1"/>
    <col min="8454" max="8454" width="27.88671875" style="2" bestFit="1" customWidth="1"/>
    <col min="8455" max="8455" width="27.33203125" style="2" bestFit="1" customWidth="1"/>
    <col min="8456" max="8456" width="30.44140625" style="2" bestFit="1" customWidth="1"/>
    <col min="8457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8.88671875" style="2" bestFit="1" customWidth="1"/>
    <col min="8710" max="8710" width="27.88671875" style="2" bestFit="1" customWidth="1"/>
    <col min="8711" max="8711" width="27.33203125" style="2" bestFit="1" customWidth="1"/>
    <col min="8712" max="8712" width="30.44140625" style="2" bestFit="1" customWidth="1"/>
    <col min="8713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8.88671875" style="2" bestFit="1" customWidth="1"/>
    <col min="8966" max="8966" width="27.88671875" style="2" bestFit="1" customWidth="1"/>
    <col min="8967" max="8967" width="27.33203125" style="2" bestFit="1" customWidth="1"/>
    <col min="8968" max="8968" width="30.44140625" style="2" bestFit="1" customWidth="1"/>
    <col min="8969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8.88671875" style="2" bestFit="1" customWidth="1"/>
    <col min="9222" max="9222" width="27.88671875" style="2" bestFit="1" customWidth="1"/>
    <col min="9223" max="9223" width="27.33203125" style="2" bestFit="1" customWidth="1"/>
    <col min="9224" max="9224" width="30.44140625" style="2" bestFit="1" customWidth="1"/>
    <col min="9225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8.88671875" style="2" bestFit="1" customWidth="1"/>
    <col min="9478" max="9478" width="27.88671875" style="2" bestFit="1" customWidth="1"/>
    <col min="9479" max="9479" width="27.33203125" style="2" bestFit="1" customWidth="1"/>
    <col min="9480" max="9480" width="30.44140625" style="2" bestFit="1" customWidth="1"/>
    <col min="9481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8.88671875" style="2" bestFit="1" customWidth="1"/>
    <col min="9734" max="9734" width="27.88671875" style="2" bestFit="1" customWidth="1"/>
    <col min="9735" max="9735" width="27.33203125" style="2" bestFit="1" customWidth="1"/>
    <col min="9736" max="9736" width="30.44140625" style="2" bestFit="1" customWidth="1"/>
    <col min="9737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8.88671875" style="2" bestFit="1" customWidth="1"/>
    <col min="9990" max="9990" width="27.88671875" style="2" bestFit="1" customWidth="1"/>
    <col min="9991" max="9991" width="27.33203125" style="2" bestFit="1" customWidth="1"/>
    <col min="9992" max="9992" width="30.44140625" style="2" bestFit="1" customWidth="1"/>
    <col min="9993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8.88671875" style="2" bestFit="1" customWidth="1"/>
    <col min="10246" max="10246" width="27.88671875" style="2" bestFit="1" customWidth="1"/>
    <col min="10247" max="10247" width="27.33203125" style="2" bestFit="1" customWidth="1"/>
    <col min="10248" max="10248" width="30.44140625" style="2" bestFit="1" customWidth="1"/>
    <col min="10249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8.88671875" style="2" bestFit="1" customWidth="1"/>
    <col min="10502" max="10502" width="27.88671875" style="2" bestFit="1" customWidth="1"/>
    <col min="10503" max="10503" width="27.33203125" style="2" bestFit="1" customWidth="1"/>
    <col min="10504" max="10504" width="30.44140625" style="2" bestFit="1" customWidth="1"/>
    <col min="10505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8.88671875" style="2" bestFit="1" customWidth="1"/>
    <col min="10758" max="10758" width="27.88671875" style="2" bestFit="1" customWidth="1"/>
    <col min="10759" max="10759" width="27.33203125" style="2" bestFit="1" customWidth="1"/>
    <col min="10760" max="10760" width="30.44140625" style="2" bestFit="1" customWidth="1"/>
    <col min="10761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8.88671875" style="2" bestFit="1" customWidth="1"/>
    <col min="11014" max="11014" width="27.88671875" style="2" bestFit="1" customWidth="1"/>
    <col min="11015" max="11015" width="27.33203125" style="2" bestFit="1" customWidth="1"/>
    <col min="11016" max="11016" width="30.44140625" style="2" bestFit="1" customWidth="1"/>
    <col min="11017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8.88671875" style="2" bestFit="1" customWidth="1"/>
    <col min="11270" max="11270" width="27.88671875" style="2" bestFit="1" customWidth="1"/>
    <col min="11271" max="11271" width="27.33203125" style="2" bestFit="1" customWidth="1"/>
    <col min="11272" max="11272" width="30.44140625" style="2" bestFit="1" customWidth="1"/>
    <col min="11273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8.88671875" style="2" bestFit="1" customWidth="1"/>
    <col min="11526" max="11526" width="27.88671875" style="2" bestFit="1" customWidth="1"/>
    <col min="11527" max="11527" width="27.33203125" style="2" bestFit="1" customWidth="1"/>
    <col min="11528" max="11528" width="30.44140625" style="2" bestFit="1" customWidth="1"/>
    <col min="11529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8.88671875" style="2" bestFit="1" customWidth="1"/>
    <col min="11782" max="11782" width="27.88671875" style="2" bestFit="1" customWidth="1"/>
    <col min="11783" max="11783" width="27.33203125" style="2" bestFit="1" customWidth="1"/>
    <col min="11784" max="11784" width="30.44140625" style="2" bestFit="1" customWidth="1"/>
    <col min="11785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8.88671875" style="2" bestFit="1" customWidth="1"/>
    <col min="12038" max="12038" width="27.88671875" style="2" bestFit="1" customWidth="1"/>
    <col min="12039" max="12039" width="27.33203125" style="2" bestFit="1" customWidth="1"/>
    <col min="12040" max="12040" width="30.44140625" style="2" bestFit="1" customWidth="1"/>
    <col min="12041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8.88671875" style="2" bestFit="1" customWidth="1"/>
    <col min="12294" max="12294" width="27.88671875" style="2" bestFit="1" customWidth="1"/>
    <col min="12295" max="12295" width="27.33203125" style="2" bestFit="1" customWidth="1"/>
    <col min="12296" max="12296" width="30.44140625" style="2" bestFit="1" customWidth="1"/>
    <col min="12297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8.88671875" style="2" bestFit="1" customWidth="1"/>
    <col min="12550" max="12550" width="27.88671875" style="2" bestFit="1" customWidth="1"/>
    <col min="12551" max="12551" width="27.33203125" style="2" bestFit="1" customWidth="1"/>
    <col min="12552" max="12552" width="30.44140625" style="2" bestFit="1" customWidth="1"/>
    <col min="12553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8.88671875" style="2" bestFit="1" customWidth="1"/>
    <col min="12806" max="12806" width="27.88671875" style="2" bestFit="1" customWidth="1"/>
    <col min="12807" max="12807" width="27.33203125" style="2" bestFit="1" customWidth="1"/>
    <col min="12808" max="12808" width="30.44140625" style="2" bestFit="1" customWidth="1"/>
    <col min="12809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8.88671875" style="2" bestFit="1" customWidth="1"/>
    <col min="13062" max="13062" width="27.88671875" style="2" bestFit="1" customWidth="1"/>
    <col min="13063" max="13063" width="27.33203125" style="2" bestFit="1" customWidth="1"/>
    <col min="13064" max="13064" width="30.44140625" style="2" bestFit="1" customWidth="1"/>
    <col min="13065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8.88671875" style="2" bestFit="1" customWidth="1"/>
    <col min="13318" max="13318" width="27.88671875" style="2" bestFit="1" customWidth="1"/>
    <col min="13319" max="13319" width="27.33203125" style="2" bestFit="1" customWidth="1"/>
    <col min="13320" max="13320" width="30.44140625" style="2" bestFit="1" customWidth="1"/>
    <col min="13321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8.88671875" style="2" bestFit="1" customWidth="1"/>
    <col min="13574" max="13574" width="27.88671875" style="2" bestFit="1" customWidth="1"/>
    <col min="13575" max="13575" width="27.33203125" style="2" bestFit="1" customWidth="1"/>
    <col min="13576" max="13576" width="30.44140625" style="2" bestFit="1" customWidth="1"/>
    <col min="13577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8.88671875" style="2" bestFit="1" customWidth="1"/>
    <col min="13830" max="13830" width="27.88671875" style="2" bestFit="1" customWidth="1"/>
    <col min="13831" max="13831" width="27.33203125" style="2" bestFit="1" customWidth="1"/>
    <col min="13832" max="13832" width="30.44140625" style="2" bestFit="1" customWidth="1"/>
    <col min="13833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8.88671875" style="2" bestFit="1" customWidth="1"/>
    <col min="14086" max="14086" width="27.88671875" style="2" bestFit="1" customWidth="1"/>
    <col min="14087" max="14087" width="27.33203125" style="2" bestFit="1" customWidth="1"/>
    <col min="14088" max="14088" width="30.44140625" style="2" bestFit="1" customWidth="1"/>
    <col min="14089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8.88671875" style="2" bestFit="1" customWidth="1"/>
    <col min="14342" max="14342" width="27.88671875" style="2" bestFit="1" customWidth="1"/>
    <col min="14343" max="14343" width="27.33203125" style="2" bestFit="1" customWidth="1"/>
    <col min="14344" max="14344" width="30.44140625" style="2" bestFit="1" customWidth="1"/>
    <col min="14345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8.88671875" style="2" bestFit="1" customWidth="1"/>
    <col min="14598" max="14598" width="27.88671875" style="2" bestFit="1" customWidth="1"/>
    <col min="14599" max="14599" width="27.33203125" style="2" bestFit="1" customWidth="1"/>
    <col min="14600" max="14600" width="30.44140625" style="2" bestFit="1" customWidth="1"/>
    <col min="14601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8.88671875" style="2" bestFit="1" customWidth="1"/>
    <col min="14854" max="14854" width="27.88671875" style="2" bestFit="1" customWidth="1"/>
    <col min="14855" max="14855" width="27.33203125" style="2" bestFit="1" customWidth="1"/>
    <col min="14856" max="14856" width="30.44140625" style="2" bestFit="1" customWidth="1"/>
    <col min="14857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8.88671875" style="2" bestFit="1" customWidth="1"/>
    <col min="15110" max="15110" width="27.88671875" style="2" bestFit="1" customWidth="1"/>
    <col min="15111" max="15111" width="27.33203125" style="2" bestFit="1" customWidth="1"/>
    <col min="15112" max="15112" width="30.44140625" style="2" bestFit="1" customWidth="1"/>
    <col min="15113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8.88671875" style="2" bestFit="1" customWidth="1"/>
    <col min="15366" max="15366" width="27.88671875" style="2" bestFit="1" customWidth="1"/>
    <col min="15367" max="15367" width="27.33203125" style="2" bestFit="1" customWidth="1"/>
    <col min="15368" max="15368" width="30.44140625" style="2" bestFit="1" customWidth="1"/>
    <col min="15369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8.88671875" style="2" bestFit="1" customWidth="1"/>
    <col min="15622" max="15622" width="27.88671875" style="2" bestFit="1" customWidth="1"/>
    <col min="15623" max="15623" width="27.33203125" style="2" bestFit="1" customWidth="1"/>
    <col min="15624" max="15624" width="30.44140625" style="2" bestFit="1" customWidth="1"/>
    <col min="15625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8.88671875" style="2" bestFit="1" customWidth="1"/>
    <col min="15878" max="15878" width="27.88671875" style="2" bestFit="1" customWidth="1"/>
    <col min="15879" max="15879" width="27.33203125" style="2" bestFit="1" customWidth="1"/>
    <col min="15880" max="15880" width="30.44140625" style="2" bestFit="1" customWidth="1"/>
    <col min="15881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8.88671875" style="2" bestFit="1" customWidth="1"/>
    <col min="16134" max="16134" width="27.88671875" style="2" bestFit="1" customWidth="1"/>
    <col min="16135" max="16135" width="27.33203125" style="2" bestFit="1" customWidth="1"/>
    <col min="16136" max="16136" width="30.44140625" style="2" bestFit="1" customWidth="1"/>
    <col min="16137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45138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223440</v>
      </c>
      <c r="G10" s="34">
        <v>3689.44</v>
      </c>
      <c r="H10" s="34">
        <v>8.8800000000000008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23</v>
      </c>
      <c r="F11" s="33">
        <v>120000</v>
      </c>
      <c r="G11" s="34">
        <v>3059.1</v>
      </c>
      <c r="H11" s="34">
        <v>7.36</v>
      </c>
      <c r="I11" s="35"/>
      <c r="J11" s="35"/>
      <c r="K11" s="36"/>
    </row>
    <row r="12" spans="1:55" x14ac:dyDescent="0.3">
      <c r="B12" s="1" t="s">
        <v>24</v>
      </c>
      <c r="C12" s="21" t="s">
        <v>25</v>
      </c>
      <c r="D12" s="31" t="s">
        <v>26</v>
      </c>
      <c r="E12" s="32" t="s">
        <v>27</v>
      </c>
      <c r="F12" s="33">
        <v>500000</v>
      </c>
      <c r="G12" s="34">
        <v>2328.5</v>
      </c>
      <c r="H12" s="34">
        <v>5.6</v>
      </c>
      <c r="I12" s="35"/>
      <c r="J12" s="35"/>
      <c r="K12" s="36"/>
    </row>
    <row r="13" spans="1:55" x14ac:dyDescent="0.3">
      <c r="B13" s="1" t="s">
        <v>28</v>
      </c>
      <c r="C13" s="21" t="s">
        <v>29</v>
      </c>
      <c r="D13" s="31" t="s">
        <v>30</v>
      </c>
      <c r="E13" s="32" t="s">
        <v>31</v>
      </c>
      <c r="F13" s="33">
        <v>80000</v>
      </c>
      <c r="G13" s="34">
        <v>2145.08</v>
      </c>
      <c r="H13" s="34">
        <v>5.16</v>
      </c>
      <c r="I13" s="35"/>
      <c r="J13" s="35"/>
      <c r="K13" s="36"/>
    </row>
    <row r="14" spans="1:55" x14ac:dyDescent="0.3">
      <c r="B14" s="1" t="s">
        <v>32</v>
      </c>
      <c r="C14" s="21" t="s">
        <v>33</v>
      </c>
      <c r="D14" s="31" t="s">
        <v>34</v>
      </c>
      <c r="E14" s="32" t="s">
        <v>35</v>
      </c>
      <c r="F14" s="33">
        <v>60000</v>
      </c>
      <c r="G14" s="34">
        <v>2052.87</v>
      </c>
      <c r="H14" s="34">
        <v>4.9400000000000004</v>
      </c>
      <c r="I14" s="35"/>
      <c r="J14" s="35"/>
      <c r="K14" s="36"/>
    </row>
    <row r="15" spans="1:55" x14ac:dyDescent="0.3">
      <c r="B15" s="1" t="s">
        <v>36</v>
      </c>
      <c r="C15" s="21" t="s">
        <v>37</v>
      </c>
      <c r="D15" s="31" t="s">
        <v>38</v>
      </c>
      <c r="E15" s="32" t="s">
        <v>19</v>
      </c>
      <c r="F15" s="33">
        <v>200000</v>
      </c>
      <c r="G15" s="34">
        <v>1996.6</v>
      </c>
      <c r="H15" s="34">
        <v>4.8099999999999996</v>
      </c>
      <c r="I15" s="35"/>
      <c r="J15" s="35"/>
      <c r="K15" s="36"/>
    </row>
    <row r="16" spans="1:55" x14ac:dyDescent="0.3">
      <c r="B16" s="1" t="s">
        <v>39</v>
      </c>
      <c r="C16" s="21" t="s">
        <v>40</v>
      </c>
      <c r="D16" s="31" t="s">
        <v>41</v>
      </c>
      <c r="E16" s="32" t="s">
        <v>19</v>
      </c>
      <c r="F16" s="33">
        <v>320000</v>
      </c>
      <c r="G16" s="34">
        <v>1984.64</v>
      </c>
      <c r="H16" s="34">
        <v>4.78</v>
      </c>
      <c r="I16" s="35"/>
      <c r="J16" s="35"/>
      <c r="K16" s="36"/>
    </row>
    <row r="17" spans="2:11" x14ac:dyDescent="0.3">
      <c r="B17" s="1" t="s">
        <v>42</v>
      </c>
      <c r="C17" s="21" t="s">
        <v>43</v>
      </c>
      <c r="D17" s="31" t="s">
        <v>44</v>
      </c>
      <c r="E17" s="32" t="s">
        <v>45</v>
      </c>
      <c r="F17" s="33">
        <v>2500000</v>
      </c>
      <c r="G17" s="34">
        <v>1287.5</v>
      </c>
      <c r="H17" s="34">
        <v>3.1</v>
      </c>
      <c r="I17" s="35"/>
      <c r="J17" s="35"/>
      <c r="K17" s="36"/>
    </row>
    <row r="18" spans="2:11" x14ac:dyDescent="0.3">
      <c r="B18" s="1" t="s">
        <v>46</v>
      </c>
      <c r="C18" s="21" t="s">
        <v>47</v>
      </c>
      <c r="D18" s="31" t="s">
        <v>48</v>
      </c>
      <c r="E18" s="32" t="s">
        <v>49</v>
      </c>
      <c r="F18" s="33">
        <v>100000</v>
      </c>
      <c r="G18" s="34">
        <v>1143.4000000000001</v>
      </c>
      <c r="H18" s="34">
        <v>2.75</v>
      </c>
      <c r="I18" s="35"/>
      <c r="J18" s="35"/>
      <c r="K18" s="36"/>
    </row>
    <row r="19" spans="2:11" x14ac:dyDescent="0.3">
      <c r="B19" s="1" t="s">
        <v>50</v>
      </c>
      <c r="C19" s="21" t="s">
        <v>51</v>
      </c>
      <c r="D19" s="31" t="s">
        <v>52</v>
      </c>
      <c r="E19" s="32" t="s">
        <v>49</v>
      </c>
      <c r="F19" s="33">
        <v>42000</v>
      </c>
      <c r="G19" s="34">
        <v>1050.46</v>
      </c>
      <c r="H19" s="34">
        <v>2.5299999999999998</v>
      </c>
      <c r="I19" s="35"/>
      <c r="J19" s="35"/>
      <c r="K19" s="36"/>
    </row>
    <row r="20" spans="2:11" x14ac:dyDescent="0.3">
      <c r="B20" s="1" t="s">
        <v>53</v>
      </c>
      <c r="C20" s="21" t="s">
        <v>54</v>
      </c>
      <c r="D20" s="31" t="s">
        <v>55</v>
      </c>
      <c r="E20" s="32" t="s">
        <v>27</v>
      </c>
      <c r="F20" s="33">
        <v>40000</v>
      </c>
      <c r="G20" s="34">
        <v>1024.32</v>
      </c>
      <c r="H20" s="34">
        <v>2.4700000000000002</v>
      </c>
      <c r="I20" s="35"/>
      <c r="J20" s="35"/>
      <c r="K20" s="36"/>
    </row>
    <row r="21" spans="2:11" x14ac:dyDescent="0.3">
      <c r="B21" s="1" t="s">
        <v>56</v>
      </c>
      <c r="C21" s="21" t="s">
        <v>57</v>
      </c>
      <c r="D21" s="31" t="s">
        <v>58</v>
      </c>
      <c r="E21" s="32" t="s">
        <v>59</v>
      </c>
      <c r="F21" s="33">
        <v>4500</v>
      </c>
      <c r="G21" s="34">
        <v>1014.9</v>
      </c>
      <c r="H21" s="34">
        <v>2.44</v>
      </c>
      <c r="I21" s="35"/>
      <c r="J21" s="35"/>
      <c r="K21" s="36"/>
    </row>
    <row r="22" spans="2:11" x14ac:dyDescent="0.3">
      <c r="B22" s="1" t="s">
        <v>60</v>
      </c>
      <c r="C22" s="21" t="s">
        <v>61</v>
      </c>
      <c r="D22" s="31" t="s">
        <v>62</v>
      </c>
      <c r="E22" s="32" t="s">
        <v>63</v>
      </c>
      <c r="F22" s="33">
        <v>275000</v>
      </c>
      <c r="G22" s="34">
        <v>951.09</v>
      </c>
      <c r="H22" s="34">
        <v>2.29</v>
      </c>
      <c r="I22" s="35"/>
      <c r="J22" s="35"/>
      <c r="K22" s="36"/>
    </row>
    <row r="23" spans="2:11" x14ac:dyDescent="0.3">
      <c r="B23" s="1" t="s">
        <v>64</v>
      </c>
      <c r="C23" s="21" t="s">
        <v>65</v>
      </c>
      <c r="D23" s="31" t="s">
        <v>66</v>
      </c>
      <c r="E23" s="32" t="s">
        <v>19</v>
      </c>
      <c r="F23" s="33">
        <v>50000</v>
      </c>
      <c r="G23" s="34">
        <v>928.28</v>
      </c>
      <c r="H23" s="34">
        <v>2.23</v>
      </c>
      <c r="I23" s="35"/>
      <c r="J23" s="35"/>
      <c r="K23" s="36"/>
    </row>
    <row r="24" spans="2:11" x14ac:dyDescent="0.3">
      <c r="B24" s="1" t="s">
        <v>67</v>
      </c>
      <c r="C24" s="21" t="s">
        <v>68</v>
      </c>
      <c r="D24" s="31" t="s">
        <v>69</v>
      </c>
      <c r="E24" s="32" t="s">
        <v>70</v>
      </c>
      <c r="F24" s="33">
        <v>60000</v>
      </c>
      <c r="G24" s="34">
        <v>885.12</v>
      </c>
      <c r="H24" s="34">
        <v>2.13</v>
      </c>
      <c r="I24" s="35"/>
      <c r="J24" s="35"/>
      <c r="K24" s="36"/>
    </row>
    <row r="25" spans="2:11" x14ac:dyDescent="0.3">
      <c r="B25" s="1" t="s">
        <v>71</v>
      </c>
      <c r="C25" s="21" t="s">
        <v>72</v>
      </c>
      <c r="D25" s="31" t="s">
        <v>73</v>
      </c>
      <c r="E25" s="32" t="s">
        <v>74</v>
      </c>
      <c r="F25" s="33">
        <v>50000</v>
      </c>
      <c r="G25" s="34">
        <v>878.55</v>
      </c>
      <c r="H25" s="34">
        <v>2.11</v>
      </c>
      <c r="I25" s="35"/>
      <c r="J25" s="35"/>
      <c r="K25" s="36"/>
    </row>
    <row r="26" spans="2:11" x14ac:dyDescent="0.3">
      <c r="B26" s="1" t="s">
        <v>75</v>
      </c>
      <c r="C26" s="21" t="s">
        <v>76</v>
      </c>
      <c r="D26" s="31" t="s">
        <v>77</v>
      </c>
      <c r="E26" s="32" t="s">
        <v>78</v>
      </c>
      <c r="F26" s="33">
        <v>660000</v>
      </c>
      <c r="G26" s="34">
        <v>862.62</v>
      </c>
      <c r="H26" s="34">
        <v>2.08</v>
      </c>
      <c r="I26" s="35"/>
      <c r="J26" s="35"/>
      <c r="K26" s="36"/>
    </row>
    <row r="27" spans="2:11" x14ac:dyDescent="0.3">
      <c r="B27" s="1" t="s">
        <v>79</v>
      </c>
      <c r="C27" s="21" t="s">
        <v>80</v>
      </c>
      <c r="D27" s="31" t="s">
        <v>81</v>
      </c>
      <c r="E27" s="32" t="s">
        <v>70</v>
      </c>
      <c r="F27" s="33">
        <v>130000</v>
      </c>
      <c r="G27" s="34">
        <v>837.59</v>
      </c>
      <c r="H27" s="34">
        <v>2.02</v>
      </c>
      <c r="I27" s="35"/>
      <c r="J27" s="35"/>
      <c r="K27" s="36"/>
    </row>
    <row r="28" spans="2:11" x14ac:dyDescent="0.3">
      <c r="B28" s="1" t="s">
        <v>82</v>
      </c>
      <c r="C28" s="21" t="s">
        <v>83</v>
      </c>
      <c r="D28" s="31" t="s">
        <v>84</v>
      </c>
      <c r="E28" s="32" t="s">
        <v>35</v>
      </c>
      <c r="F28" s="33">
        <v>60000</v>
      </c>
      <c r="G28" s="34">
        <v>813.42</v>
      </c>
      <c r="H28" s="34">
        <v>1.96</v>
      </c>
      <c r="I28" s="35"/>
      <c r="J28" s="35"/>
      <c r="K28" s="36"/>
    </row>
    <row r="29" spans="2:11" x14ac:dyDescent="0.3">
      <c r="B29" s="1" t="s">
        <v>85</v>
      </c>
      <c r="C29" s="21" t="s">
        <v>86</v>
      </c>
      <c r="D29" s="31" t="s">
        <v>87</v>
      </c>
      <c r="E29" s="32" t="s">
        <v>88</v>
      </c>
      <c r="F29" s="33">
        <v>100000</v>
      </c>
      <c r="G29" s="34">
        <v>804.4</v>
      </c>
      <c r="H29" s="34">
        <v>1.94</v>
      </c>
      <c r="I29" s="35"/>
      <c r="J29" s="35"/>
      <c r="K29" s="36"/>
    </row>
    <row r="30" spans="2:11" x14ac:dyDescent="0.3">
      <c r="B30" s="1" t="s">
        <v>89</v>
      </c>
      <c r="C30" s="21" t="s">
        <v>90</v>
      </c>
      <c r="D30" s="31" t="s">
        <v>91</v>
      </c>
      <c r="E30" s="32" t="s">
        <v>19</v>
      </c>
      <c r="F30" s="33">
        <v>350000</v>
      </c>
      <c r="G30" s="34">
        <v>797.48</v>
      </c>
      <c r="H30" s="34">
        <v>1.92</v>
      </c>
      <c r="I30" s="35"/>
      <c r="J30" s="35"/>
      <c r="K30" s="36"/>
    </row>
    <row r="31" spans="2:11" x14ac:dyDescent="0.3">
      <c r="B31" s="1" t="s">
        <v>92</v>
      </c>
      <c r="C31" s="21" t="s">
        <v>93</v>
      </c>
      <c r="D31" s="31" t="s">
        <v>94</v>
      </c>
      <c r="E31" s="32" t="s">
        <v>19</v>
      </c>
      <c r="F31" s="33">
        <v>230000</v>
      </c>
      <c r="G31" s="34">
        <v>792.01</v>
      </c>
      <c r="H31" s="34">
        <v>1.91</v>
      </c>
      <c r="I31" s="35"/>
      <c r="J31" s="35"/>
      <c r="K31" s="36"/>
    </row>
    <row r="32" spans="2:11" x14ac:dyDescent="0.3">
      <c r="B32" s="1" t="s">
        <v>95</v>
      </c>
      <c r="C32" s="21" t="s">
        <v>96</v>
      </c>
      <c r="D32" s="31" t="s">
        <v>97</v>
      </c>
      <c r="E32" s="32" t="s">
        <v>49</v>
      </c>
      <c r="F32" s="33">
        <v>35000</v>
      </c>
      <c r="G32" s="34">
        <v>701</v>
      </c>
      <c r="H32" s="34">
        <v>1.69</v>
      </c>
      <c r="I32" s="35"/>
      <c r="J32" s="35"/>
      <c r="K32" s="36"/>
    </row>
    <row r="33" spans="2:11" x14ac:dyDescent="0.3">
      <c r="B33" s="1" t="s">
        <v>98</v>
      </c>
      <c r="C33" s="21" t="s">
        <v>99</v>
      </c>
      <c r="D33" s="31" t="s">
        <v>100</v>
      </c>
      <c r="E33" s="32" t="s">
        <v>101</v>
      </c>
      <c r="F33" s="33">
        <v>300000</v>
      </c>
      <c r="G33" s="34">
        <v>700.65</v>
      </c>
      <c r="H33" s="34">
        <v>1.69</v>
      </c>
      <c r="I33" s="35"/>
      <c r="J33" s="35"/>
      <c r="K33" s="36"/>
    </row>
    <row r="34" spans="2:11" x14ac:dyDescent="0.3">
      <c r="B34" s="1" t="s">
        <v>102</v>
      </c>
      <c r="C34" s="21" t="s">
        <v>103</v>
      </c>
      <c r="D34" s="31" t="s">
        <v>104</v>
      </c>
      <c r="E34" s="32" t="s">
        <v>105</v>
      </c>
      <c r="F34" s="33">
        <v>250000</v>
      </c>
      <c r="G34" s="34">
        <v>653.5</v>
      </c>
      <c r="H34" s="34">
        <v>1.57</v>
      </c>
      <c r="I34" s="35"/>
      <c r="J34" s="35"/>
      <c r="K34" s="36"/>
    </row>
    <row r="35" spans="2:11" x14ac:dyDescent="0.3">
      <c r="B35" s="1" t="s">
        <v>106</v>
      </c>
      <c r="C35" s="21" t="s">
        <v>107</v>
      </c>
      <c r="D35" s="31" t="s">
        <v>108</v>
      </c>
      <c r="E35" s="32" t="s">
        <v>105</v>
      </c>
      <c r="F35" s="33">
        <v>100000</v>
      </c>
      <c r="G35" s="34">
        <v>634.79999999999995</v>
      </c>
      <c r="H35" s="34">
        <v>1.53</v>
      </c>
      <c r="I35" s="35"/>
      <c r="J35" s="35"/>
      <c r="K35" s="36"/>
    </row>
    <row r="36" spans="2:11" x14ac:dyDescent="0.3">
      <c r="B36" s="1" t="s">
        <v>109</v>
      </c>
      <c r="C36" s="21" t="s">
        <v>110</v>
      </c>
      <c r="D36" s="31" t="s">
        <v>111</v>
      </c>
      <c r="E36" s="32" t="s">
        <v>49</v>
      </c>
      <c r="F36" s="33">
        <v>100000</v>
      </c>
      <c r="G36" s="34">
        <v>632.25</v>
      </c>
      <c r="H36" s="34">
        <v>1.52</v>
      </c>
      <c r="I36" s="35"/>
      <c r="J36" s="35"/>
      <c r="K36" s="36"/>
    </row>
    <row r="37" spans="2:11" x14ac:dyDescent="0.3">
      <c r="B37" s="1" t="s">
        <v>112</v>
      </c>
      <c r="C37" s="21" t="s">
        <v>113</v>
      </c>
      <c r="D37" s="31" t="s">
        <v>114</v>
      </c>
      <c r="E37" s="32" t="s">
        <v>115</v>
      </c>
      <c r="F37" s="33">
        <v>30000</v>
      </c>
      <c r="G37" s="34">
        <v>586.14</v>
      </c>
      <c r="H37" s="34">
        <v>1.41</v>
      </c>
      <c r="I37" s="35"/>
      <c r="J37" s="35"/>
      <c r="K37" s="36"/>
    </row>
    <row r="38" spans="2:11" x14ac:dyDescent="0.3">
      <c r="B38" s="1" t="s">
        <v>116</v>
      </c>
      <c r="C38" s="21" t="s">
        <v>117</v>
      </c>
      <c r="D38" s="31" t="s">
        <v>118</v>
      </c>
      <c r="E38" s="32" t="s">
        <v>119</v>
      </c>
      <c r="F38" s="33">
        <v>120000</v>
      </c>
      <c r="G38" s="34">
        <v>555.12</v>
      </c>
      <c r="H38" s="34">
        <v>1.34</v>
      </c>
      <c r="I38" s="35"/>
      <c r="J38" s="35"/>
      <c r="K38" s="36"/>
    </row>
    <row r="39" spans="2:11" x14ac:dyDescent="0.3">
      <c r="B39" s="1" t="s">
        <v>120</v>
      </c>
      <c r="C39" s="21" t="s">
        <v>121</v>
      </c>
      <c r="D39" s="31" t="s">
        <v>122</v>
      </c>
      <c r="E39" s="32" t="s">
        <v>115</v>
      </c>
      <c r="F39" s="33">
        <v>6500</v>
      </c>
      <c r="G39" s="34">
        <v>540.67999999999995</v>
      </c>
      <c r="H39" s="34">
        <v>1.3</v>
      </c>
      <c r="I39" s="35"/>
      <c r="J39" s="35"/>
      <c r="K39" s="36"/>
    </row>
    <row r="40" spans="2:11" x14ac:dyDescent="0.3">
      <c r="B40" s="1" t="s">
        <v>123</v>
      </c>
      <c r="C40" s="21" t="s">
        <v>124</v>
      </c>
      <c r="D40" s="31" t="s">
        <v>125</v>
      </c>
      <c r="E40" s="32" t="s">
        <v>70</v>
      </c>
      <c r="F40" s="33">
        <v>5500</v>
      </c>
      <c r="G40" s="34">
        <v>540.14</v>
      </c>
      <c r="H40" s="34">
        <v>1.3</v>
      </c>
      <c r="I40" s="35"/>
      <c r="J40" s="35"/>
      <c r="K40" s="36"/>
    </row>
    <row r="41" spans="2:11" x14ac:dyDescent="0.3">
      <c r="B41" s="1" t="s">
        <v>126</v>
      </c>
      <c r="C41" s="21" t="s">
        <v>127</v>
      </c>
      <c r="D41" s="31" t="s">
        <v>128</v>
      </c>
      <c r="E41" s="32" t="s">
        <v>70</v>
      </c>
      <c r="F41" s="33">
        <v>15000</v>
      </c>
      <c r="G41" s="34">
        <v>504.83</v>
      </c>
      <c r="H41" s="34">
        <v>1.22</v>
      </c>
      <c r="I41" s="35"/>
      <c r="J41" s="35"/>
      <c r="K41" s="36"/>
    </row>
    <row r="42" spans="2:11" x14ac:dyDescent="0.3">
      <c r="B42" s="1" t="s">
        <v>129</v>
      </c>
      <c r="C42" s="21" t="s">
        <v>130</v>
      </c>
      <c r="D42" s="31" t="s">
        <v>131</v>
      </c>
      <c r="E42" s="32" t="s">
        <v>132</v>
      </c>
      <c r="F42" s="33">
        <v>315162</v>
      </c>
      <c r="G42" s="34">
        <v>485.51</v>
      </c>
      <c r="H42" s="34">
        <v>1.17</v>
      </c>
      <c r="I42" s="35"/>
      <c r="J42" s="35"/>
      <c r="K42" s="36"/>
    </row>
    <row r="43" spans="2:11" x14ac:dyDescent="0.3">
      <c r="B43" s="1" t="s">
        <v>133</v>
      </c>
      <c r="C43" s="21" t="s">
        <v>134</v>
      </c>
      <c r="D43" s="31" t="s">
        <v>135</v>
      </c>
      <c r="E43" s="32" t="s">
        <v>136</v>
      </c>
      <c r="F43" s="33">
        <v>11000</v>
      </c>
      <c r="G43" s="34">
        <v>469.12</v>
      </c>
      <c r="H43" s="34">
        <v>1.1299999999999999</v>
      </c>
      <c r="I43" s="35"/>
      <c r="J43" s="35"/>
      <c r="K43" s="36"/>
    </row>
    <row r="44" spans="2:11" x14ac:dyDescent="0.3">
      <c r="B44" s="1" t="s">
        <v>137</v>
      </c>
      <c r="C44" s="21" t="s">
        <v>138</v>
      </c>
      <c r="D44" s="31" t="s">
        <v>139</v>
      </c>
      <c r="E44" s="32" t="s">
        <v>140</v>
      </c>
      <c r="F44" s="33">
        <v>50000</v>
      </c>
      <c r="G44" s="34">
        <v>444.95</v>
      </c>
      <c r="H44" s="34">
        <v>1.07</v>
      </c>
      <c r="I44" s="35"/>
      <c r="J44" s="35"/>
      <c r="K44" s="36"/>
    </row>
    <row r="45" spans="2:11" x14ac:dyDescent="0.3">
      <c r="B45" s="1" t="s">
        <v>141</v>
      </c>
      <c r="C45" s="21" t="s">
        <v>142</v>
      </c>
      <c r="D45" s="31" t="s">
        <v>143</v>
      </c>
      <c r="E45" s="32" t="s">
        <v>144</v>
      </c>
      <c r="F45" s="33">
        <v>75000</v>
      </c>
      <c r="G45" s="34">
        <v>434.63</v>
      </c>
      <c r="H45" s="34">
        <v>1.05</v>
      </c>
      <c r="I45" s="35"/>
      <c r="J45" s="35"/>
      <c r="K45" s="36"/>
    </row>
    <row r="46" spans="2:11" x14ac:dyDescent="0.3">
      <c r="B46" s="1" t="s">
        <v>145</v>
      </c>
      <c r="C46" s="21" t="s">
        <v>146</v>
      </c>
      <c r="D46" s="31" t="s">
        <v>147</v>
      </c>
      <c r="E46" s="32" t="s">
        <v>148</v>
      </c>
      <c r="F46" s="33">
        <v>40000</v>
      </c>
      <c r="G46" s="34">
        <v>414.38</v>
      </c>
      <c r="H46" s="34">
        <v>1</v>
      </c>
      <c r="I46" s="35"/>
      <c r="J46" s="35"/>
      <c r="K46" s="36"/>
    </row>
    <row r="47" spans="2:11" x14ac:dyDescent="0.3">
      <c r="B47" s="1" t="s">
        <v>149</v>
      </c>
      <c r="C47" s="21" t="s">
        <v>150</v>
      </c>
      <c r="D47" s="31" t="s">
        <v>151</v>
      </c>
      <c r="E47" s="32" t="s">
        <v>105</v>
      </c>
      <c r="F47" s="33">
        <v>120000</v>
      </c>
      <c r="G47" s="34">
        <v>314.22000000000003</v>
      </c>
      <c r="H47" s="34">
        <v>0.76</v>
      </c>
      <c r="I47" s="35"/>
      <c r="J47" s="35"/>
      <c r="K47" s="36" t="s">
        <v>152</v>
      </c>
    </row>
    <row r="48" spans="2:11" x14ac:dyDescent="0.3">
      <c r="C48" s="30" t="s">
        <v>153</v>
      </c>
      <c r="D48" s="31"/>
      <c r="E48" s="32"/>
      <c r="F48" s="33"/>
      <c r="G48" s="38">
        <v>39939.29</v>
      </c>
      <c r="H48" s="38">
        <v>96.16</v>
      </c>
      <c r="I48" s="35"/>
      <c r="J48" s="35"/>
      <c r="K48" s="36"/>
    </row>
    <row r="49" spans="3:11" x14ac:dyDescent="0.3">
      <c r="C49" s="21"/>
      <c r="D49" s="31"/>
      <c r="E49" s="32"/>
      <c r="F49" s="33"/>
      <c r="G49" s="34"/>
      <c r="H49" s="34"/>
      <c r="I49" s="35"/>
      <c r="J49" s="35"/>
      <c r="K49" s="36"/>
    </row>
    <row r="50" spans="3:11" x14ac:dyDescent="0.3">
      <c r="C50" s="30" t="s">
        <v>154</v>
      </c>
      <c r="D50" s="31"/>
      <c r="E50" s="32"/>
      <c r="F50" s="33"/>
      <c r="G50" s="34" t="s">
        <v>155</v>
      </c>
      <c r="H50" s="34" t="s">
        <v>155</v>
      </c>
      <c r="I50" s="35"/>
      <c r="J50" s="35"/>
      <c r="K50" s="36"/>
    </row>
    <row r="51" spans="3:11" x14ac:dyDescent="0.3">
      <c r="C51" s="21"/>
      <c r="D51" s="31"/>
      <c r="E51" s="32"/>
      <c r="F51" s="33"/>
      <c r="G51" s="34"/>
      <c r="H51" s="34"/>
      <c r="I51" s="35"/>
      <c r="J51" s="35"/>
      <c r="K51" s="36"/>
    </row>
    <row r="52" spans="3:11" x14ac:dyDescent="0.3">
      <c r="C52" s="30" t="s">
        <v>156</v>
      </c>
      <c r="D52" s="31"/>
      <c r="E52" s="32"/>
      <c r="F52" s="33"/>
      <c r="G52" s="34" t="s">
        <v>155</v>
      </c>
      <c r="H52" s="34" t="s">
        <v>155</v>
      </c>
      <c r="I52" s="35"/>
      <c r="J52" s="35"/>
      <c r="K52" s="36"/>
    </row>
    <row r="53" spans="3:11" x14ac:dyDescent="0.3">
      <c r="C53" s="21"/>
      <c r="D53" s="31"/>
      <c r="E53" s="32"/>
      <c r="F53" s="33"/>
      <c r="G53" s="34"/>
      <c r="H53" s="34"/>
      <c r="I53" s="35"/>
      <c r="J53" s="35"/>
      <c r="K53" s="36"/>
    </row>
    <row r="54" spans="3:11" x14ac:dyDescent="0.3">
      <c r="C54" s="30" t="s">
        <v>157</v>
      </c>
      <c r="D54" s="31"/>
      <c r="E54" s="32"/>
      <c r="F54" s="33"/>
      <c r="G54" s="34"/>
      <c r="H54" s="34"/>
      <c r="I54" s="35"/>
      <c r="J54" s="35"/>
      <c r="K54" s="36"/>
    </row>
    <row r="55" spans="3:11" x14ac:dyDescent="0.3">
      <c r="C55" s="21"/>
      <c r="D55" s="31"/>
      <c r="E55" s="32"/>
      <c r="F55" s="33"/>
      <c r="G55" s="34"/>
      <c r="H55" s="34"/>
      <c r="I55" s="35"/>
      <c r="J55" s="35"/>
      <c r="K55" s="36"/>
    </row>
    <row r="56" spans="3:11" x14ac:dyDescent="0.3">
      <c r="C56" s="30" t="s">
        <v>158</v>
      </c>
      <c r="D56" s="31"/>
      <c r="E56" s="32"/>
      <c r="F56" s="33"/>
      <c r="G56" s="34" t="s">
        <v>155</v>
      </c>
      <c r="H56" s="34" t="s">
        <v>155</v>
      </c>
      <c r="I56" s="35"/>
      <c r="J56" s="35"/>
      <c r="K56" s="36"/>
    </row>
    <row r="57" spans="3:11" x14ac:dyDescent="0.3">
      <c r="C57" s="21"/>
      <c r="D57" s="31"/>
      <c r="E57" s="32"/>
      <c r="F57" s="33"/>
      <c r="G57" s="34"/>
      <c r="H57" s="34"/>
      <c r="I57" s="35"/>
      <c r="J57" s="35"/>
      <c r="K57" s="36"/>
    </row>
    <row r="58" spans="3:11" x14ac:dyDescent="0.3">
      <c r="C58" s="30" t="s">
        <v>159</v>
      </c>
      <c r="D58" s="31"/>
      <c r="E58" s="32"/>
      <c r="F58" s="33"/>
      <c r="G58" s="34" t="s">
        <v>155</v>
      </c>
      <c r="H58" s="34" t="s">
        <v>155</v>
      </c>
      <c r="I58" s="35"/>
      <c r="J58" s="35"/>
      <c r="K58" s="36"/>
    </row>
    <row r="59" spans="3:11" x14ac:dyDescent="0.3">
      <c r="C59" s="21"/>
      <c r="D59" s="31"/>
      <c r="E59" s="32"/>
      <c r="F59" s="33"/>
      <c r="G59" s="34"/>
      <c r="H59" s="34"/>
      <c r="I59" s="35"/>
      <c r="J59" s="35"/>
      <c r="K59" s="36"/>
    </row>
    <row r="60" spans="3:11" x14ac:dyDescent="0.3">
      <c r="C60" s="30" t="s">
        <v>160</v>
      </c>
      <c r="D60" s="31"/>
      <c r="E60" s="32"/>
      <c r="F60" s="33"/>
      <c r="G60" s="34" t="s">
        <v>155</v>
      </c>
      <c r="H60" s="34" t="s">
        <v>155</v>
      </c>
      <c r="I60" s="35"/>
      <c r="J60" s="35"/>
      <c r="K60" s="36"/>
    </row>
    <row r="61" spans="3:11" x14ac:dyDescent="0.3">
      <c r="C61" s="21"/>
      <c r="D61" s="31"/>
      <c r="E61" s="32"/>
      <c r="F61" s="33"/>
      <c r="G61" s="34"/>
      <c r="H61" s="34"/>
      <c r="I61" s="35"/>
      <c r="J61" s="35"/>
      <c r="K61" s="36"/>
    </row>
    <row r="62" spans="3:11" x14ac:dyDescent="0.3">
      <c r="C62" s="30" t="s">
        <v>161</v>
      </c>
      <c r="D62" s="31"/>
      <c r="E62" s="32"/>
      <c r="F62" s="33"/>
      <c r="G62" s="34" t="s">
        <v>155</v>
      </c>
      <c r="H62" s="34" t="s">
        <v>155</v>
      </c>
      <c r="I62" s="35"/>
      <c r="J62" s="35"/>
      <c r="K62" s="36"/>
    </row>
    <row r="63" spans="3:11" x14ac:dyDescent="0.3">
      <c r="C63" s="21"/>
      <c r="D63" s="31"/>
      <c r="E63" s="32"/>
      <c r="F63" s="33"/>
      <c r="G63" s="34"/>
      <c r="H63" s="34"/>
      <c r="I63" s="35"/>
      <c r="J63" s="35"/>
      <c r="K63" s="36"/>
    </row>
    <row r="64" spans="3:11" x14ac:dyDescent="0.3">
      <c r="C64" s="30" t="s">
        <v>162</v>
      </c>
      <c r="D64" s="31"/>
      <c r="E64" s="32"/>
      <c r="F64" s="33"/>
      <c r="G64" s="34" t="s">
        <v>155</v>
      </c>
      <c r="H64" s="34" t="s">
        <v>155</v>
      </c>
      <c r="I64" s="35"/>
      <c r="J64" s="35"/>
      <c r="K64" s="36"/>
    </row>
    <row r="65" spans="1:11" x14ac:dyDescent="0.3">
      <c r="C65" s="21"/>
      <c r="D65" s="31"/>
      <c r="E65" s="32"/>
      <c r="F65" s="33"/>
      <c r="G65" s="34"/>
      <c r="H65" s="34"/>
      <c r="I65" s="35"/>
      <c r="J65" s="35"/>
      <c r="K65" s="36"/>
    </row>
    <row r="66" spans="1:11" x14ac:dyDescent="0.3">
      <c r="A66" s="28"/>
      <c r="B66" s="29"/>
      <c r="C66" s="30" t="s">
        <v>163</v>
      </c>
      <c r="D66" s="31"/>
      <c r="E66" s="32"/>
      <c r="F66" s="33"/>
      <c r="G66" s="34"/>
      <c r="H66" s="34"/>
      <c r="I66" s="35"/>
      <c r="J66" s="35"/>
      <c r="K66" s="36"/>
    </row>
    <row r="67" spans="1:11" x14ac:dyDescent="0.3">
      <c r="A67" s="29"/>
      <c r="B67" s="29"/>
      <c r="C67" s="30" t="s">
        <v>164</v>
      </c>
      <c r="D67" s="31"/>
      <c r="E67" s="32"/>
      <c r="F67" s="33"/>
      <c r="G67" s="34" t="s">
        <v>155</v>
      </c>
      <c r="H67" s="34" t="s">
        <v>155</v>
      </c>
      <c r="I67" s="35"/>
      <c r="J67" s="35"/>
      <c r="K67" s="36"/>
    </row>
    <row r="68" spans="1:11" x14ac:dyDescent="0.3">
      <c r="A68" s="29"/>
      <c r="B68" s="29"/>
      <c r="C68" s="30"/>
      <c r="D68" s="31"/>
      <c r="E68" s="32"/>
      <c r="F68" s="33"/>
      <c r="G68" s="34"/>
      <c r="H68" s="34"/>
      <c r="I68" s="35"/>
      <c r="J68" s="35"/>
      <c r="K68" s="36"/>
    </row>
    <row r="69" spans="1:11" x14ac:dyDescent="0.3">
      <c r="A69" s="29"/>
      <c r="B69" s="29"/>
      <c r="C69" s="30" t="s">
        <v>165</v>
      </c>
      <c r="D69" s="31"/>
      <c r="E69" s="32"/>
      <c r="F69" s="33"/>
      <c r="G69" s="34" t="s">
        <v>155</v>
      </c>
      <c r="H69" s="34" t="s">
        <v>155</v>
      </c>
      <c r="I69" s="35"/>
      <c r="J69" s="35"/>
      <c r="K69" s="36"/>
    </row>
    <row r="70" spans="1:11" x14ac:dyDescent="0.3">
      <c r="A70" s="29"/>
      <c r="B70" s="29"/>
      <c r="C70" s="30"/>
      <c r="D70" s="31"/>
      <c r="E70" s="32"/>
      <c r="F70" s="33"/>
      <c r="G70" s="34"/>
      <c r="H70" s="34"/>
      <c r="I70" s="35"/>
      <c r="J70" s="35"/>
      <c r="K70" s="36"/>
    </row>
    <row r="71" spans="1:11" x14ac:dyDescent="0.3">
      <c r="C71" s="37" t="s">
        <v>166</v>
      </c>
      <c r="D71" s="31"/>
      <c r="E71" s="32"/>
      <c r="F71" s="33"/>
      <c r="G71" s="34"/>
      <c r="H71" s="34"/>
      <c r="I71" s="35"/>
      <c r="J71" s="35"/>
      <c r="K71" s="36"/>
    </row>
    <row r="72" spans="1:11" x14ac:dyDescent="0.3">
      <c r="B72" s="1" t="s">
        <v>167</v>
      </c>
      <c r="C72" s="21" t="s">
        <v>168</v>
      </c>
      <c r="D72" s="31" t="s">
        <v>169</v>
      </c>
      <c r="E72" s="32" t="s">
        <v>170</v>
      </c>
      <c r="F72" s="33">
        <v>400000</v>
      </c>
      <c r="G72" s="34">
        <v>389.79</v>
      </c>
      <c r="H72" s="34">
        <v>0.94</v>
      </c>
      <c r="I72" s="35">
        <v>6.7361000000000004</v>
      </c>
      <c r="J72" s="35"/>
      <c r="K72" s="36"/>
    </row>
    <row r="73" spans="1:11" x14ac:dyDescent="0.3">
      <c r="C73" s="30" t="s">
        <v>153</v>
      </c>
      <c r="D73" s="31"/>
      <c r="E73" s="32"/>
      <c r="F73" s="33"/>
      <c r="G73" s="38">
        <v>389.79</v>
      </c>
      <c r="H73" s="38">
        <v>0.94</v>
      </c>
      <c r="I73" s="35"/>
      <c r="J73" s="35"/>
      <c r="K73" s="36"/>
    </row>
    <row r="74" spans="1:11" x14ac:dyDescent="0.3">
      <c r="C74" s="21"/>
      <c r="D74" s="31"/>
      <c r="E74" s="32"/>
      <c r="F74" s="33"/>
      <c r="G74" s="34"/>
      <c r="H74" s="34"/>
      <c r="I74" s="35"/>
      <c r="J74" s="35"/>
      <c r="K74" s="36"/>
    </row>
    <row r="75" spans="1:11" x14ac:dyDescent="0.3">
      <c r="C75" s="30" t="s">
        <v>171</v>
      </c>
      <c r="D75" s="31"/>
      <c r="E75" s="32"/>
      <c r="F75" s="33"/>
      <c r="G75" s="34" t="s">
        <v>155</v>
      </c>
      <c r="H75" s="34" t="s">
        <v>155</v>
      </c>
      <c r="I75" s="35"/>
      <c r="J75" s="35"/>
      <c r="K75" s="36"/>
    </row>
    <row r="76" spans="1:11" x14ac:dyDescent="0.3">
      <c r="C76" s="21"/>
      <c r="D76" s="31"/>
      <c r="E76" s="32"/>
      <c r="F76" s="33"/>
      <c r="G76" s="34"/>
      <c r="H76" s="34"/>
      <c r="I76" s="35"/>
      <c r="J76" s="35"/>
      <c r="K76" s="36"/>
    </row>
    <row r="77" spans="1:11" x14ac:dyDescent="0.3">
      <c r="A77" s="28"/>
      <c r="B77" s="29"/>
      <c r="C77" s="30" t="s">
        <v>172</v>
      </c>
      <c r="D77" s="31"/>
      <c r="E77" s="32"/>
      <c r="F77" s="33"/>
      <c r="G77" s="34"/>
      <c r="H77" s="34"/>
      <c r="I77" s="35"/>
      <c r="J77" s="35"/>
      <c r="K77" s="36"/>
    </row>
    <row r="78" spans="1:11" x14ac:dyDescent="0.3">
      <c r="A78" s="29"/>
      <c r="B78" s="29"/>
      <c r="C78" s="30" t="s">
        <v>173</v>
      </c>
      <c r="D78" s="31"/>
      <c r="E78" s="32"/>
      <c r="F78" s="33"/>
      <c r="G78" s="34" t="s">
        <v>155</v>
      </c>
      <c r="H78" s="34" t="s">
        <v>155</v>
      </c>
      <c r="I78" s="35"/>
      <c r="J78" s="35"/>
      <c r="K78" s="36"/>
    </row>
    <row r="79" spans="1:11" x14ac:dyDescent="0.3">
      <c r="A79" s="29"/>
      <c r="B79" s="29"/>
      <c r="C79" s="30"/>
      <c r="D79" s="31"/>
      <c r="E79" s="32"/>
      <c r="F79" s="33"/>
      <c r="G79" s="34"/>
      <c r="H79" s="34"/>
      <c r="I79" s="35"/>
      <c r="J79" s="35"/>
      <c r="K79" s="36"/>
    </row>
    <row r="80" spans="1:11" x14ac:dyDescent="0.3">
      <c r="A80" s="29"/>
      <c r="B80" s="29"/>
      <c r="C80" s="30" t="s">
        <v>174</v>
      </c>
      <c r="D80" s="31"/>
      <c r="E80" s="32"/>
      <c r="F80" s="33"/>
      <c r="G80" s="34" t="s">
        <v>155</v>
      </c>
      <c r="H80" s="34" t="s">
        <v>155</v>
      </c>
      <c r="I80" s="35"/>
      <c r="J80" s="35"/>
      <c r="K80" s="36"/>
    </row>
    <row r="81" spans="1:11" x14ac:dyDescent="0.3">
      <c r="A81" s="29"/>
      <c r="B81" s="29"/>
      <c r="C81" s="30"/>
      <c r="D81" s="31"/>
      <c r="E81" s="32"/>
      <c r="F81" s="33"/>
      <c r="G81" s="34"/>
      <c r="H81" s="34"/>
      <c r="I81" s="35"/>
      <c r="J81" s="35"/>
      <c r="K81" s="36"/>
    </row>
    <row r="82" spans="1:11" x14ac:dyDescent="0.3">
      <c r="A82" s="29"/>
      <c r="B82" s="29"/>
      <c r="C82" s="30" t="s">
        <v>175</v>
      </c>
      <c r="D82" s="31"/>
      <c r="E82" s="32"/>
      <c r="F82" s="33"/>
      <c r="G82" s="34" t="s">
        <v>155</v>
      </c>
      <c r="H82" s="34" t="s">
        <v>155</v>
      </c>
      <c r="I82" s="35"/>
      <c r="J82" s="35"/>
      <c r="K82" s="36"/>
    </row>
    <row r="83" spans="1:11" x14ac:dyDescent="0.3">
      <c r="A83" s="29"/>
      <c r="B83" s="29"/>
      <c r="C83" s="30"/>
      <c r="D83" s="31"/>
      <c r="E83" s="32"/>
      <c r="F83" s="33"/>
      <c r="G83" s="34"/>
      <c r="H83" s="34"/>
      <c r="I83" s="35"/>
      <c r="J83" s="35"/>
      <c r="K83" s="36"/>
    </row>
    <row r="84" spans="1:11" x14ac:dyDescent="0.3">
      <c r="A84" s="29"/>
      <c r="B84" s="29"/>
      <c r="C84" s="30" t="s">
        <v>176</v>
      </c>
      <c r="D84" s="31"/>
      <c r="E84" s="32"/>
      <c r="F84" s="33"/>
      <c r="G84" s="34" t="s">
        <v>155</v>
      </c>
      <c r="H84" s="34" t="s">
        <v>155</v>
      </c>
      <c r="I84" s="35"/>
      <c r="J84" s="35"/>
      <c r="K84" s="36"/>
    </row>
    <row r="85" spans="1:11" x14ac:dyDescent="0.3">
      <c r="A85" s="29"/>
      <c r="B85" s="29"/>
      <c r="C85" s="30"/>
      <c r="D85" s="31"/>
      <c r="E85" s="32"/>
      <c r="F85" s="33"/>
      <c r="G85" s="34"/>
      <c r="H85" s="34"/>
      <c r="I85" s="35"/>
      <c r="J85" s="35"/>
      <c r="K85" s="36"/>
    </row>
    <row r="86" spans="1:11" x14ac:dyDescent="0.3">
      <c r="C86" s="37" t="s">
        <v>177</v>
      </c>
      <c r="D86" s="31"/>
      <c r="E86" s="32"/>
      <c r="F86" s="33"/>
      <c r="G86" s="34"/>
      <c r="H86" s="34"/>
      <c r="I86" s="35"/>
      <c r="J86" s="35"/>
      <c r="K86" s="36"/>
    </row>
    <row r="87" spans="1:11" x14ac:dyDescent="0.3">
      <c r="B87" s="1" t="s">
        <v>178</v>
      </c>
      <c r="C87" s="21" t="s">
        <v>179</v>
      </c>
      <c r="D87" s="31"/>
      <c r="E87" s="32"/>
      <c r="F87" s="33"/>
      <c r="G87" s="34">
        <v>681.37</v>
      </c>
      <c r="H87" s="34">
        <v>1.64</v>
      </c>
      <c r="I87" s="35">
        <v>6.37</v>
      </c>
      <c r="J87" s="35"/>
      <c r="K87" s="36"/>
    </row>
    <row r="88" spans="1:11" x14ac:dyDescent="0.3">
      <c r="C88" s="30" t="s">
        <v>153</v>
      </c>
      <c r="D88" s="31"/>
      <c r="E88" s="32"/>
      <c r="F88" s="33"/>
      <c r="G88" s="38">
        <v>681.37</v>
      </c>
      <c r="H88" s="38">
        <v>1.64</v>
      </c>
      <c r="I88" s="35"/>
      <c r="J88" s="35"/>
      <c r="K88" s="36"/>
    </row>
    <row r="89" spans="1:11" x14ac:dyDescent="0.3">
      <c r="C89" s="21"/>
      <c r="D89" s="31"/>
      <c r="E89" s="32"/>
      <c r="F89" s="33"/>
      <c r="G89" s="34"/>
      <c r="H89" s="34"/>
      <c r="I89" s="35"/>
      <c r="J89" s="35"/>
      <c r="K89" s="36"/>
    </row>
    <row r="90" spans="1:11" x14ac:dyDescent="0.3">
      <c r="A90" s="28"/>
      <c r="B90" s="29"/>
      <c r="C90" s="30" t="s">
        <v>180</v>
      </c>
      <c r="D90" s="31"/>
      <c r="E90" s="32"/>
      <c r="F90" s="33"/>
      <c r="G90" s="34"/>
      <c r="H90" s="34"/>
      <c r="I90" s="35"/>
      <c r="J90" s="35"/>
      <c r="K90" s="36"/>
    </row>
    <row r="91" spans="1:11" x14ac:dyDescent="0.3">
      <c r="B91" s="1"/>
      <c r="C91" s="21" t="s">
        <v>181</v>
      </c>
      <c r="D91" s="31"/>
      <c r="E91" s="32"/>
      <c r="F91" s="33"/>
      <c r="G91" s="34">
        <v>534.08000000000004</v>
      </c>
      <c r="H91" s="34">
        <v>1.26</v>
      </c>
      <c r="I91" s="35"/>
      <c r="J91" s="35"/>
      <c r="K91" s="36"/>
    </row>
    <row r="92" spans="1:11" x14ac:dyDescent="0.3">
      <c r="C92" s="30" t="s">
        <v>153</v>
      </c>
      <c r="D92" s="31"/>
      <c r="E92" s="32"/>
      <c r="F92" s="33"/>
      <c r="G92" s="38">
        <v>534.08000000000004</v>
      </c>
      <c r="H92" s="38">
        <v>1.26</v>
      </c>
      <c r="I92" s="35"/>
      <c r="J92" s="35"/>
      <c r="K92" s="36"/>
    </row>
    <row r="93" spans="1:11" x14ac:dyDescent="0.3">
      <c r="C93" s="21"/>
      <c r="D93" s="31"/>
      <c r="E93" s="32"/>
      <c r="F93" s="33"/>
      <c r="G93" s="34"/>
      <c r="H93" s="34"/>
      <c r="I93" s="35"/>
      <c r="J93" s="35"/>
      <c r="K93" s="36"/>
    </row>
    <row r="94" spans="1:11" ht="14.4" thickBot="1" x14ac:dyDescent="0.35">
      <c r="C94" s="39" t="s">
        <v>182</v>
      </c>
      <c r="D94" s="40"/>
      <c r="E94" s="41"/>
      <c r="F94" s="42"/>
      <c r="G94" s="43">
        <v>41544.53</v>
      </c>
      <c r="H94" s="43">
        <f>SUMIFS(H:H,C:C,"Total")</f>
        <v>100</v>
      </c>
      <c r="I94" s="44"/>
      <c r="J94" s="44"/>
      <c r="K94" s="45"/>
    </row>
    <row r="96" spans="1:11" x14ac:dyDescent="0.3">
      <c r="C96" s="46" t="s">
        <v>183</v>
      </c>
      <c r="D96" s="47"/>
      <c r="E96" s="47"/>
      <c r="F96" s="47"/>
      <c r="G96" s="48"/>
      <c r="H96" s="48"/>
    </row>
    <row r="97" spans="3:8" x14ac:dyDescent="0.3">
      <c r="C97" s="46"/>
      <c r="D97" s="47"/>
      <c r="E97" s="47"/>
      <c r="F97" s="47"/>
      <c r="G97" s="48"/>
      <c r="H97" s="48"/>
    </row>
    <row r="98" spans="3:8" x14ac:dyDescent="0.3">
      <c r="C98" s="49" t="s">
        <v>184</v>
      </c>
      <c r="D98" s="49" t="s">
        <v>185</v>
      </c>
      <c r="E98" s="50" t="s">
        <v>186</v>
      </c>
      <c r="F98" s="51" t="s">
        <v>187</v>
      </c>
      <c r="G98" s="51" t="s">
        <v>188</v>
      </c>
      <c r="H98" s="51" t="s">
        <v>189</v>
      </c>
    </row>
    <row r="99" spans="3:8" x14ac:dyDescent="0.3">
      <c r="C99" s="73" t="s">
        <v>190</v>
      </c>
      <c r="D99" s="74"/>
      <c r="E99" s="74"/>
      <c r="F99" s="74"/>
      <c r="G99" s="74"/>
      <c r="H99" s="75"/>
    </row>
    <row r="100" spans="3:8" x14ac:dyDescent="0.3">
      <c r="C100" s="46"/>
      <c r="D100" s="47"/>
      <c r="E100" s="47"/>
      <c r="F100" s="47"/>
      <c r="G100" s="48"/>
      <c r="H100" s="48"/>
    </row>
    <row r="101" spans="3:8" x14ac:dyDescent="0.3">
      <c r="C101" s="47" t="s">
        <v>191</v>
      </c>
      <c r="D101" s="47"/>
      <c r="E101" s="47"/>
      <c r="F101" s="52"/>
      <c r="G101" s="48"/>
      <c r="H101" s="48"/>
    </row>
    <row r="102" spans="3:8" x14ac:dyDescent="0.3">
      <c r="C102" s="53"/>
      <c r="D102" s="47"/>
      <c r="E102" s="47"/>
      <c r="F102" s="52"/>
      <c r="G102" s="48"/>
      <c r="H102" s="48"/>
    </row>
    <row r="103" spans="3:8" x14ac:dyDescent="0.3">
      <c r="C103" s="46" t="s">
        <v>192</v>
      </c>
      <c r="D103" s="47"/>
      <c r="E103" s="47"/>
      <c r="F103" s="52"/>
      <c r="G103" s="48"/>
      <c r="H103" s="48"/>
    </row>
    <row r="104" spans="3:8" x14ac:dyDescent="0.3">
      <c r="C104" s="54" t="s">
        <v>193</v>
      </c>
      <c r="D104" s="47"/>
      <c r="E104" s="47"/>
      <c r="F104" s="52"/>
      <c r="G104" s="48"/>
      <c r="H104" s="48"/>
    </row>
    <row r="105" spans="3:8" x14ac:dyDescent="0.3">
      <c r="C105" s="54" t="s">
        <v>194</v>
      </c>
      <c r="D105" s="47"/>
      <c r="E105" s="47"/>
      <c r="F105" s="52"/>
      <c r="G105" s="48"/>
      <c r="H105" s="48"/>
    </row>
    <row r="106" spans="3:8" x14ac:dyDescent="0.3">
      <c r="C106" s="54" t="s">
        <v>195</v>
      </c>
      <c r="D106" s="52"/>
      <c r="E106" s="47"/>
      <c r="F106" s="52"/>
      <c r="G106" s="48"/>
      <c r="H106" s="48"/>
    </row>
    <row r="107" spans="3:8" x14ac:dyDescent="0.3">
      <c r="C107" s="54" t="s">
        <v>196</v>
      </c>
      <c r="D107" s="52"/>
      <c r="E107" s="52"/>
      <c r="F107" s="52"/>
      <c r="G107" s="48"/>
      <c r="H107" s="48"/>
    </row>
    <row r="108" spans="3:8" x14ac:dyDescent="0.3">
      <c r="C108" s="55" t="s">
        <v>197</v>
      </c>
      <c r="D108" s="52"/>
      <c r="E108" s="56"/>
      <c r="F108" s="52"/>
      <c r="G108" s="48"/>
      <c r="H108" s="48"/>
    </row>
    <row r="109" spans="3:8" x14ac:dyDescent="0.3">
      <c r="C109" s="53"/>
      <c r="D109" s="47"/>
      <c r="E109" s="47"/>
      <c r="F109" s="52"/>
      <c r="G109" s="48"/>
      <c r="H109" s="48"/>
    </row>
    <row r="110" spans="3:8" x14ac:dyDescent="0.3">
      <c r="C110" s="53"/>
      <c r="D110" s="47"/>
      <c r="E110" s="47"/>
      <c r="F110" s="52"/>
      <c r="G110" s="48"/>
      <c r="H110" s="48"/>
    </row>
    <row r="111" spans="3:8" ht="15" x14ac:dyDescent="0.35">
      <c r="C111" s="46" t="s">
        <v>198</v>
      </c>
      <c r="D111" s="54"/>
      <c r="E111" s="57"/>
      <c r="F111" s="54"/>
      <c r="G111" s="54"/>
      <c r="H111" s="58"/>
    </row>
    <row r="112" spans="3:8" x14ac:dyDescent="0.3">
      <c r="C112" s="49" t="s">
        <v>184</v>
      </c>
      <c r="D112" s="49" t="s">
        <v>185</v>
      </c>
      <c r="E112" s="51" t="s">
        <v>199</v>
      </c>
      <c r="F112" s="51" t="s">
        <v>187</v>
      </c>
      <c r="G112" s="51" t="s">
        <v>188</v>
      </c>
      <c r="H112" s="51" t="s">
        <v>189</v>
      </c>
    </row>
    <row r="113" spans="3:8" x14ac:dyDescent="0.3">
      <c r="C113" s="73" t="s">
        <v>190</v>
      </c>
      <c r="D113" s="74"/>
      <c r="E113" s="74"/>
      <c r="F113" s="74"/>
      <c r="G113" s="74"/>
      <c r="H113" s="75"/>
    </row>
    <row r="114" spans="3:8" x14ac:dyDescent="0.3">
      <c r="C114" s="59"/>
      <c r="D114" s="59"/>
      <c r="E114" s="59"/>
      <c r="F114" s="59"/>
      <c r="G114" s="59"/>
      <c r="H114" s="59"/>
    </row>
    <row r="115" spans="3:8" x14ac:dyDescent="0.3">
      <c r="C115" s="54" t="s">
        <v>200</v>
      </c>
      <c r="D115" s="59"/>
      <c r="E115" s="59"/>
      <c r="F115" s="59"/>
      <c r="G115" s="59"/>
      <c r="H115" s="59"/>
    </row>
    <row r="116" spans="3:8" x14ac:dyDescent="0.3">
      <c r="C116" s="59"/>
      <c r="D116" s="59"/>
      <c r="E116" s="59"/>
      <c r="F116" s="59"/>
      <c r="G116" s="59"/>
      <c r="H116" s="59"/>
    </row>
    <row r="117" spans="3:8" x14ac:dyDescent="0.3">
      <c r="C117" s="46" t="s">
        <v>201</v>
      </c>
      <c r="D117" s="59"/>
      <c r="E117" s="59"/>
      <c r="F117" s="59"/>
      <c r="G117" s="59"/>
      <c r="H117" s="59"/>
    </row>
    <row r="118" spans="3:8" x14ac:dyDescent="0.3">
      <c r="C118" s="54" t="s">
        <v>193</v>
      </c>
      <c r="D118" s="59"/>
      <c r="E118" s="59"/>
      <c r="F118" s="59"/>
      <c r="G118" s="59"/>
      <c r="H118" s="59"/>
    </row>
    <row r="119" spans="3:8" x14ac:dyDescent="0.3">
      <c r="C119" s="54" t="s">
        <v>202</v>
      </c>
      <c r="D119" s="59"/>
      <c r="E119" s="59"/>
      <c r="F119" s="59"/>
      <c r="G119" s="59"/>
      <c r="H119" s="59"/>
    </row>
    <row r="120" spans="3:8" x14ac:dyDescent="0.3">
      <c r="C120" s="54" t="s">
        <v>195</v>
      </c>
      <c r="D120" s="60"/>
      <c r="E120" s="61"/>
      <c r="F120" s="59"/>
      <c r="G120" s="59"/>
      <c r="H120" s="59"/>
    </row>
    <row r="121" spans="3:8" x14ac:dyDescent="0.3">
      <c r="C121" s="54" t="s">
        <v>203</v>
      </c>
      <c r="D121" s="60"/>
      <c r="E121" s="59"/>
      <c r="F121" s="59"/>
      <c r="G121" s="59"/>
      <c r="H121" s="59"/>
    </row>
    <row r="122" spans="3:8" x14ac:dyDescent="0.3">
      <c r="C122" s="55" t="s">
        <v>204</v>
      </c>
      <c r="D122" s="60"/>
      <c r="E122" s="56"/>
      <c r="F122" s="56"/>
      <c r="G122" s="59"/>
      <c r="H122" s="59"/>
    </row>
    <row r="123" spans="3:8" x14ac:dyDescent="0.3">
      <c r="C123" s="47"/>
      <c r="D123" s="56"/>
      <c r="E123" s="56"/>
      <c r="F123" s="56"/>
      <c r="G123" s="48"/>
      <c r="H123" s="48"/>
    </row>
    <row r="124" spans="3:8" x14ac:dyDescent="0.3">
      <c r="C124" s="62" t="s">
        <v>205</v>
      </c>
      <c r="D124" s="56"/>
      <c r="E124" s="56"/>
      <c r="F124" s="47"/>
      <c r="G124" s="48"/>
      <c r="H124" s="48"/>
    </row>
    <row r="127" spans="3:8" x14ac:dyDescent="0.3">
      <c r="C127" s="11" t="s">
        <v>206</v>
      </c>
    </row>
    <row r="128" spans="3:8" x14ac:dyDescent="0.3">
      <c r="C128" s="2" t="s">
        <v>207</v>
      </c>
    </row>
    <row r="129" spans="3:55" x14ac:dyDescent="0.3">
      <c r="C129" s="63" t="s">
        <v>208</v>
      </c>
    </row>
    <row r="130" spans="3:55" x14ac:dyDescent="0.3">
      <c r="C130" s="2" t="s">
        <v>209</v>
      </c>
    </row>
    <row r="131" spans="3:55" x14ac:dyDescent="0.3">
      <c r="C131" s="2" t="s">
        <v>210</v>
      </c>
    </row>
    <row r="132" spans="3:55" x14ac:dyDescent="0.3">
      <c r="C132" s="2" t="s">
        <v>211</v>
      </c>
      <c r="D132" s="64"/>
      <c r="E132" s="64"/>
      <c r="F132" s="64"/>
      <c r="G132" s="65"/>
      <c r="H132" s="65"/>
    </row>
    <row r="133" spans="3:55" x14ac:dyDescent="0.3">
      <c r="C133" s="2" t="s">
        <v>212</v>
      </c>
    </row>
    <row r="134" spans="3:55" x14ac:dyDescent="0.3">
      <c r="C134" s="2" t="s">
        <v>213</v>
      </c>
    </row>
    <row r="135" spans="3:55" x14ac:dyDescent="0.3">
      <c r="C135" s="2" t="s">
        <v>214</v>
      </c>
    </row>
    <row r="136" spans="3:55" x14ac:dyDescent="0.3">
      <c r="C136" s="2" t="s">
        <v>215</v>
      </c>
    </row>
    <row r="137" spans="3:55" s="11" customFormat="1" x14ac:dyDescent="0.3">
      <c r="C137" s="11" t="s">
        <v>216</v>
      </c>
      <c r="E137" s="11" t="s">
        <v>217</v>
      </c>
      <c r="F137" s="66" t="s">
        <v>218</v>
      </c>
      <c r="G137" s="67"/>
      <c r="H137" s="67"/>
      <c r="I137" s="67"/>
      <c r="J137" s="67"/>
      <c r="K137" s="68"/>
      <c r="L137" s="68"/>
      <c r="M137" s="68"/>
      <c r="AJ137" s="68"/>
      <c r="AW137" s="68"/>
      <c r="AY137" s="68"/>
      <c r="BC137" s="68"/>
    </row>
    <row r="138" spans="3:55" x14ac:dyDescent="0.3">
      <c r="C138" s="2" t="s">
        <v>219</v>
      </c>
      <c r="E138" s="69">
        <v>10.8192</v>
      </c>
      <c r="F138" s="70">
        <v>11.356299999999999</v>
      </c>
    </row>
    <row r="139" spans="3:55" x14ac:dyDescent="0.3">
      <c r="C139" s="2" t="s">
        <v>220</v>
      </c>
      <c r="E139" s="69">
        <v>10.8192</v>
      </c>
      <c r="F139" s="70">
        <v>11.356299999999999</v>
      </c>
    </row>
    <row r="140" spans="3:55" x14ac:dyDescent="0.3">
      <c r="C140" s="2" t="s">
        <v>221</v>
      </c>
      <c r="E140" s="69">
        <v>11.125299999999999</v>
      </c>
      <c r="F140" s="70">
        <v>11.69</v>
      </c>
    </row>
    <row r="141" spans="3:55" x14ac:dyDescent="0.3">
      <c r="C141" s="2" t="s">
        <v>222</v>
      </c>
      <c r="E141" s="69">
        <v>11.125299999999999</v>
      </c>
      <c r="F141" s="70">
        <v>11.69</v>
      </c>
    </row>
    <row r="143" spans="3:55" x14ac:dyDescent="0.3">
      <c r="C143" s="2" t="s">
        <v>223</v>
      </c>
    </row>
    <row r="145" spans="3:11" x14ac:dyDescent="0.3">
      <c r="C145" s="2" t="s">
        <v>224</v>
      </c>
    </row>
    <row r="146" spans="3:11" x14ac:dyDescent="0.3">
      <c r="C146" s="2" t="s">
        <v>225</v>
      </c>
    </row>
    <row r="147" spans="3:11" x14ac:dyDescent="0.3">
      <c r="C147" s="2" t="s">
        <v>226</v>
      </c>
    </row>
    <row r="148" spans="3:11" x14ac:dyDescent="0.3">
      <c r="C148" s="2" t="s">
        <v>227</v>
      </c>
    </row>
    <row r="149" spans="3:11" x14ac:dyDescent="0.3">
      <c r="C149" s="2" t="s">
        <v>228</v>
      </c>
    </row>
    <row r="150" spans="3:11" x14ac:dyDescent="0.3">
      <c r="C150" s="2" t="s">
        <v>229</v>
      </c>
    </row>
    <row r="151" spans="3:11" x14ac:dyDescent="0.3">
      <c r="C151" s="2" t="s">
        <v>230</v>
      </c>
    </row>
    <row r="152" spans="3:11" x14ac:dyDescent="0.3">
      <c r="C152" s="2" t="s">
        <v>231</v>
      </c>
    </row>
    <row r="153" spans="3:11" x14ac:dyDescent="0.3">
      <c r="C153" s="2" t="s">
        <v>232</v>
      </c>
    </row>
    <row r="154" spans="3:11" x14ac:dyDescent="0.3">
      <c r="C154" s="2" t="s">
        <v>233</v>
      </c>
    </row>
    <row r="155" spans="3:11" x14ac:dyDescent="0.3">
      <c r="C155" s="2" t="s">
        <v>234</v>
      </c>
    </row>
    <row r="156" spans="3:11" x14ac:dyDescent="0.3">
      <c r="C156" s="2" t="s">
        <v>235</v>
      </c>
    </row>
    <row r="157" spans="3:11" ht="14.4" x14ac:dyDescent="0.3">
      <c r="C157" s="71"/>
      <c r="D157" s="71"/>
      <c r="E157" s="72"/>
      <c r="F157" s="72"/>
      <c r="G157" s="72"/>
      <c r="H157" s="72"/>
      <c r="I157" s="72"/>
      <c r="J157" s="72"/>
      <c r="K157" s="72"/>
    </row>
  </sheetData>
  <mergeCells count="2">
    <mergeCell ref="C99:H99"/>
    <mergeCell ref="C113:H113"/>
  </mergeCell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46</vt:i4>
      </vt:variant>
    </vt:vector>
  </HeadingPairs>
  <TitlesOfParts>
    <vt:vector size="47" baseType="lpstr">
      <vt:lpstr>BC</vt:lpstr>
      <vt:lpstr>XDO_?CLASS_3?32?</vt:lpstr>
      <vt:lpstr>XDO_?FINAL_ISIN?155?</vt:lpstr>
      <vt:lpstr>XDO_?FINAL_ISIN?156?</vt:lpstr>
      <vt:lpstr>XDO_?FINAL_ISIN?157?</vt:lpstr>
      <vt:lpstr>XDO_?FINAL_ISIN?158?</vt:lpstr>
      <vt:lpstr>XDO_?FINAL_MV?155?</vt:lpstr>
      <vt:lpstr>XDO_?FINAL_MV?156?</vt:lpstr>
      <vt:lpstr>XDO_?FINAL_MV?157?</vt:lpstr>
      <vt:lpstr>XDO_?FINAL_MV?158?</vt:lpstr>
      <vt:lpstr>XDO_?FINAL_NAME?155?</vt:lpstr>
      <vt:lpstr>XDO_?FINAL_NAME?156?</vt:lpstr>
      <vt:lpstr>XDO_?FINAL_NAME?157?</vt:lpstr>
      <vt:lpstr>XDO_?FINAL_NAME?158?</vt:lpstr>
      <vt:lpstr>XDO_?FINAL_PER_NET?155?</vt:lpstr>
      <vt:lpstr>XDO_?FINAL_PER_NET?156?</vt:lpstr>
      <vt:lpstr>XDO_?FINAL_PER_NET?157?</vt:lpstr>
      <vt:lpstr>XDO_?FINAL_PER_NET?158?</vt:lpstr>
      <vt:lpstr>XDO_?FINAL_QUANTITE?155?</vt:lpstr>
      <vt:lpstr>XDO_?FINAL_QUANTITE?156?</vt:lpstr>
      <vt:lpstr>XDO_?FINAL_QUANTITE?157?</vt:lpstr>
      <vt:lpstr>XDO_?FINAL_QUANTITE?158?</vt:lpstr>
      <vt:lpstr>XDO_?NAMCNAME?32?</vt:lpstr>
      <vt:lpstr>XDO_?NOVAL?155?</vt:lpstr>
      <vt:lpstr>XDO_?NOVAL?156?</vt:lpstr>
      <vt:lpstr>XDO_?NOVAL?157?</vt:lpstr>
      <vt:lpstr>XDO_?NOVAL?158?</vt:lpstr>
      <vt:lpstr>XDO_?NPTF?32?</vt:lpstr>
      <vt:lpstr>XDO_?RATING?155?</vt:lpstr>
      <vt:lpstr>XDO_?RATING?156?</vt:lpstr>
      <vt:lpstr>XDO_?RATING?157?</vt:lpstr>
      <vt:lpstr>XDO_?RATING?158?</vt:lpstr>
      <vt:lpstr>XDO_?REMARKS?155?</vt:lpstr>
      <vt:lpstr>XDO_?REMARKS?156?</vt:lpstr>
      <vt:lpstr>XDO_?REMARKS?157?</vt:lpstr>
      <vt:lpstr>XDO_?REMARKS?158?</vt:lpstr>
      <vt:lpstr>XDO_?TITL?32?</vt:lpstr>
      <vt:lpstr>XDO_?YTM?155?</vt:lpstr>
      <vt:lpstr>XDO_?YTM?156?</vt:lpstr>
      <vt:lpstr>XDO_?YTM?157?</vt:lpstr>
      <vt:lpstr>XDO_?YTM?158?</vt:lpstr>
      <vt:lpstr>XDO_GROUP_?G_2?32?</vt:lpstr>
      <vt:lpstr>XDO_GROUP_?G_3?32?</vt:lpstr>
      <vt:lpstr>XDO_GROUP_?G_4?155?</vt:lpstr>
      <vt:lpstr>XDO_GROUP_?G_4?156?</vt:lpstr>
      <vt:lpstr>XDO_GROUP_?G_4?157?</vt:lpstr>
      <vt:lpstr>XDO_GROUP_?G_4?158?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User</cp:lastModifiedBy>
  <dcterms:created xsi:type="dcterms:W3CDTF">2023-08-07T09:10:48Z</dcterms:created>
  <dcterms:modified xsi:type="dcterms:W3CDTF">2023-08-07T10:33:34Z</dcterms:modified>
</cp:coreProperties>
</file>