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March 2023\Monthly Portfolio\Equity\"/>
    </mc:Choice>
  </mc:AlternateContent>
  <xr:revisionPtr revIDLastSave="0" documentId="13_ncr:1_{B91C2779-F449-4C8D-8FB2-8290CB9DBACA}" xr6:coauthVersionLast="47" xr6:coauthVersionMax="47" xr10:uidLastSave="{00000000-0000-0000-0000-000000000000}"/>
  <bookViews>
    <workbookView xWindow="-108" yWindow="-108" windowWidth="23256" windowHeight="12576" xr2:uid="{8D738579-16FF-4F5E-84B0-79B591F7C7D8}"/>
  </bookViews>
  <sheets>
    <sheet name="IC" sheetId="1" r:id="rId1"/>
  </sheets>
  <externalReferences>
    <externalReference r:id="rId2"/>
  </externalReferences>
  <definedNames>
    <definedName name="XDO_?CLASS_3?12?">IC!$C$8:$C$48</definedName>
    <definedName name="XDO_?FINAL_ISIN?53?">IC!$D$10:$D$48</definedName>
    <definedName name="XDO_?FINAL_ISIN?54?">IC!$D$10:$D$87</definedName>
    <definedName name="XDO_?FINAL_ISIN?55?">IC!$D$10:$D$91</definedName>
    <definedName name="XDO_?FINAL_MV?53?">IC!$G$10:$G$48</definedName>
    <definedName name="XDO_?FINAL_MV?54?">IC!$G$10:$G$87</definedName>
    <definedName name="XDO_?FINAL_MV?55?">IC!$G$10:$G$91</definedName>
    <definedName name="XDO_?FINAL_NAME?53?">IC!$C$10:$C$48</definedName>
    <definedName name="XDO_?FINAL_NAME?54?">IC!$C$10:$C$87</definedName>
    <definedName name="XDO_?FINAL_NAME?55?">IC!$C$10:$C$91</definedName>
    <definedName name="XDO_?FINAL_PER_NET?53?">IC!$H$10:$H$48</definedName>
    <definedName name="XDO_?FINAL_PER_NET?54?">IC!$H$10:$H$87</definedName>
    <definedName name="XDO_?FINAL_PER_NET?55?">IC!$H$10:$H$91</definedName>
    <definedName name="XDO_?FINAL_QUANTITE?53?">IC!$F$10:$F$48</definedName>
    <definedName name="XDO_?FINAL_QUANTITE?54?">IC!$F$10:$F$87</definedName>
    <definedName name="XDO_?FINAL_QUANTITE?55?">IC!$F$10:$F$91</definedName>
    <definedName name="XDO_?NAMC?">[1]MT!#REF!</definedName>
    <definedName name="XDO_?NAMC?1?">[1]LW!#REF!</definedName>
    <definedName name="XDO_?NAMC?10?">[1]SE!#REF!</definedName>
    <definedName name="XDO_?NAMC?11?">[1]FO!#REF!</definedName>
    <definedName name="XDO_?NAMC?12?">IC!#REF!</definedName>
    <definedName name="XDO_?NAMC?13?">[1]AF!#REF!</definedName>
    <definedName name="XDO_?NAMC?14?">[1]FX!#REF!</definedName>
    <definedName name="XDO_?NAMC?15?">[1]MA!#REF!</definedName>
    <definedName name="XDO_?NAMC?16?">[1]GR!#REF!</definedName>
    <definedName name="XDO_?NAMC?17?">[1]GF!#REF!</definedName>
    <definedName name="XDO_?NAMC?18?">[1]LQ!#REF!</definedName>
    <definedName name="XDO_?NAMC?19?">[1]SI!#REF!</definedName>
    <definedName name="XDO_?NAMC?2?">[1]FL!#REF!</definedName>
    <definedName name="XDO_?NAMC?20?">[1]BS!#REF!</definedName>
    <definedName name="XDO_?NAMC?21?">[1]CO!#REF!</definedName>
    <definedName name="XDO_?NAMC?22?">[1]US!#REF!</definedName>
    <definedName name="XDO_?NAMC?23?">[1]DE!#REF!</definedName>
    <definedName name="XDO_?NAMC?24?">[1]ON!#REF!</definedName>
    <definedName name="XDO_?NAMC?25?">[1]BM!#REF!</definedName>
    <definedName name="XDO_?NAMC?26?">[1]ES!#REF!</definedName>
    <definedName name="XDO_?NAMC?27?">[1]LM!#REF!</definedName>
    <definedName name="XDO_?NAMC?28?">[1]BP!#REF!</definedName>
    <definedName name="XDO_?NAMC?29?">[1]BC!#REF!</definedName>
    <definedName name="XDO_?NAMC?3?">[1]CB!#REF!</definedName>
    <definedName name="XDO_?NAMC?4?">[1]NS!#REF!</definedName>
    <definedName name="XDO_?NAMC?5?">[1]MC!#REF!</definedName>
    <definedName name="XDO_?NAMC?6?">[1]LC!#REF!</definedName>
    <definedName name="XDO_?NAMC?7?">[1]TA!#REF!</definedName>
    <definedName name="XDO_?NAMC?8?">[1]CH!#REF!</definedName>
    <definedName name="XDO_?NAMC?9?">[1]AR!#REF!</definedName>
    <definedName name="XDO_?NAMCNAME?12?">IC!$C$2:$C$48</definedName>
    <definedName name="XDO_?NDATE?">[1]MT!#REF!</definedName>
    <definedName name="XDO_?NDATE?1?">[1]LW!#REF!</definedName>
    <definedName name="XDO_?NDATE?10?">[1]SE!#REF!</definedName>
    <definedName name="XDO_?NDATE?11?">[1]FO!#REF!</definedName>
    <definedName name="XDO_?NDATE?12?">IC!#REF!</definedName>
    <definedName name="XDO_?NDATE?13?">[1]AF!#REF!</definedName>
    <definedName name="XDO_?NDATE?14?">[1]FX!#REF!</definedName>
    <definedName name="XDO_?NDATE?15?">[1]MA!#REF!</definedName>
    <definedName name="XDO_?NDATE?16?">[1]GR!#REF!</definedName>
    <definedName name="XDO_?NDATE?17?">[1]GF!#REF!</definedName>
    <definedName name="XDO_?NDATE?18?">[1]LQ!#REF!</definedName>
    <definedName name="XDO_?NDATE?19?">[1]SI!#REF!</definedName>
    <definedName name="XDO_?NDATE?2?">[1]FL!#REF!</definedName>
    <definedName name="XDO_?NDATE?20?">[1]BS!#REF!</definedName>
    <definedName name="XDO_?NDATE?21?">[1]CO!#REF!</definedName>
    <definedName name="XDO_?NDATE?22?">[1]US!#REF!</definedName>
    <definedName name="XDO_?NDATE?23?">[1]DE!#REF!</definedName>
    <definedName name="XDO_?NDATE?24?">[1]ON!#REF!</definedName>
    <definedName name="XDO_?NDATE?25?">[1]BM!#REF!</definedName>
    <definedName name="XDO_?NDATE?26?">[1]ES!#REF!</definedName>
    <definedName name="XDO_?NDATE?27?">[1]LM!#REF!</definedName>
    <definedName name="XDO_?NDATE?28?">[1]BP!#REF!</definedName>
    <definedName name="XDO_?NDATE?29?">[1]BC!#REF!</definedName>
    <definedName name="XDO_?NDATE?3?">[1]CB!#REF!</definedName>
    <definedName name="XDO_?NDATE?4?">[1]NS!#REF!</definedName>
    <definedName name="XDO_?NDATE?5?">[1]MC!#REF!</definedName>
    <definedName name="XDO_?NDATE?6?">[1]LC!#REF!</definedName>
    <definedName name="XDO_?NDATE?7?">[1]TA!#REF!</definedName>
    <definedName name="XDO_?NDATE?8?">[1]CH!#REF!</definedName>
    <definedName name="XDO_?NDATE?9?">[1]AR!#REF!</definedName>
    <definedName name="XDO_?NNPTF?">[1]MT!#REF!</definedName>
    <definedName name="XDO_?NNPTF?1?">[1]LW!#REF!</definedName>
    <definedName name="XDO_?NNPTF?10?">[1]SE!#REF!</definedName>
    <definedName name="XDO_?NNPTF?11?">[1]FO!#REF!</definedName>
    <definedName name="XDO_?NNPTF?12?">IC!#REF!</definedName>
    <definedName name="XDO_?NNPTF?13?">[1]AF!#REF!</definedName>
    <definedName name="XDO_?NNPTF?14?">[1]FX!#REF!</definedName>
    <definedName name="XDO_?NNPTF?15?">[1]MA!#REF!</definedName>
    <definedName name="XDO_?NNPTF?16?">[1]GR!#REF!</definedName>
    <definedName name="XDO_?NNPTF?17?">[1]GF!#REF!</definedName>
    <definedName name="XDO_?NNPTF?18?">[1]LQ!#REF!</definedName>
    <definedName name="XDO_?NNPTF?19?">[1]SI!#REF!</definedName>
    <definedName name="XDO_?NNPTF?2?">[1]FL!#REF!</definedName>
    <definedName name="XDO_?NNPTF?20?">[1]BS!#REF!</definedName>
    <definedName name="XDO_?NNPTF?21?">[1]CO!#REF!</definedName>
    <definedName name="XDO_?NNPTF?22?">[1]US!#REF!</definedName>
    <definedName name="XDO_?NNPTF?23?">[1]DE!#REF!</definedName>
    <definedName name="XDO_?NNPTF?24?">[1]ON!#REF!</definedName>
    <definedName name="XDO_?NNPTF?25?">[1]BM!#REF!</definedName>
    <definedName name="XDO_?NNPTF?26?">[1]ES!#REF!</definedName>
    <definedName name="XDO_?NNPTF?27?">[1]LM!#REF!</definedName>
    <definedName name="XDO_?NNPTF?28?">[1]BP!#REF!</definedName>
    <definedName name="XDO_?NNPTF?29?">[1]BC!#REF!</definedName>
    <definedName name="XDO_?NNPTF?3?">[1]CB!#REF!</definedName>
    <definedName name="XDO_?NNPTF?4?">[1]NS!#REF!</definedName>
    <definedName name="XDO_?NNPTF?5?">[1]MC!#REF!</definedName>
    <definedName name="XDO_?NNPTF?6?">[1]LC!#REF!</definedName>
    <definedName name="XDO_?NNPTF?7?">[1]TA!#REF!</definedName>
    <definedName name="XDO_?NNPTF?8?">[1]CH!#REF!</definedName>
    <definedName name="XDO_?NNPTF?9?">[1]AR!#REF!</definedName>
    <definedName name="XDO_?NOVAL?53?">IC!$B$10:$B$48</definedName>
    <definedName name="XDO_?NOVAL?54?">IC!$B$10:$B$87</definedName>
    <definedName name="XDO_?NOVAL?55?">IC!$B$10:$B$91</definedName>
    <definedName name="XDO_?NPTF?12?">IC!$D$2:$D$48</definedName>
    <definedName name="XDO_?RATING?53?">IC!$E$10:$E$48</definedName>
    <definedName name="XDO_?RATING?54?">IC!$E$10:$E$87</definedName>
    <definedName name="XDO_?RATING?55?">IC!$E$10:$E$91</definedName>
    <definedName name="XDO_?REMARKS?53?">IC!$K$10:$K$48</definedName>
    <definedName name="XDO_?REMARKS?54?">IC!$K$10:$K$87</definedName>
    <definedName name="XDO_?REMARKS?55?">IC!$K$10:$K$91</definedName>
    <definedName name="XDO_?TITL?12?">IC!$A$8:$A$48</definedName>
    <definedName name="XDO_?YTM?53?">IC!$I$10:$I$48</definedName>
    <definedName name="XDO_?YTM?54?">IC!$I$10:$I$87</definedName>
    <definedName name="XDO_?YTM?55?">IC!$I$10:$I$91</definedName>
    <definedName name="XDO_GROUP_?G_2?12?">IC!$2:$59</definedName>
    <definedName name="XDO_GROUP_?G_3?12?">IC!$8:$58</definedName>
    <definedName name="XDO_GROUP_?G_4?28?">[1]TA!#REF!</definedName>
    <definedName name="XDO_GROUP_?G_4?53?">IC!$B$10:$IV$48</definedName>
    <definedName name="XDO_GROUP_?G_4?54?">IC!$B$53:$IV$53</definedName>
    <definedName name="XDO_GROUP_?G_4?55?">IC!$B$56:$IV$56</definedName>
    <definedName name="XDO_GROUP_?G_4?71?">[1]GR!#REF!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4" i="1" l="1"/>
</calcChain>
</file>

<file path=xl/sharedStrings.xml><?xml version="1.0" encoding="utf-8"?>
<sst xmlns="http://schemas.openxmlformats.org/spreadsheetml/2006/main" count="259" uniqueCount="204">
  <si>
    <t>Baroda BNP Paribas Mutual Fund</t>
  </si>
  <si>
    <t>T0ME21</t>
  </si>
  <si>
    <t>SCHEME NAME :</t>
  </si>
  <si>
    <t xml:space="preserve">Baroda BNP Paribas India Consumption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</si>
  <si>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</si>
  <si>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</si>
  <si>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</si>
  <si>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</si>
  <si>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</si>
  <si>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</si>
  <si>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</si>
  <si>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</si>
  <si>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</si>
  <si>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</si>
  <si>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</si>
  <si>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</si>
  <si>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100019</t>
  </si>
  <si>
    <t>ITC Ltd.</t>
  </si>
  <si>
    <t>INE154A01025</t>
  </si>
  <si>
    <t>Diversified FMCG</t>
  </si>
  <si>
    <t>100099</t>
  </si>
  <si>
    <t>Hindustan Unilever Ltd.</t>
  </si>
  <si>
    <t>INE030A01027</t>
  </si>
  <si>
    <t>100095</t>
  </si>
  <si>
    <t>Bharti Airtel Ltd.</t>
  </si>
  <si>
    <t>INE397D01024</t>
  </si>
  <si>
    <t>Telecom - Services</t>
  </si>
  <si>
    <t>100025</t>
  </si>
  <si>
    <t>Nestle India Ltd.</t>
  </si>
  <si>
    <t>INE239A01016</t>
  </si>
  <si>
    <t>Food Products</t>
  </si>
  <si>
    <t>100106</t>
  </si>
  <si>
    <t>Maruti Suzuki India Ltd.</t>
  </si>
  <si>
    <t>INE585B01010</t>
  </si>
  <si>
    <t>Automobiles</t>
  </si>
  <si>
    <t>100014</t>
  </si>
  <si>
    <t>Mahindra &amp; Mahindra Ltd.</t>
  </si>
  <si>
    <t>INE101A01026</t>
  </si>
  <si>
    <t>100050</t>
  </si>
  <si>
    <t>Trent Ltd.</t>
  </si>
  <si>
    <t>INE849A01020</t>
  </si>
  <si>
    <t>Retailing</t>
  </si>
  <si>
    <t>100157</t>
  </si>
  <si>
    <t>Godrej Consumer Products Ltd.</t>
  </si>
  <si>
    <t>INE102D01028</t>
  </si>
  <si>
    <t>Personal Products</t>
  </si>
  <si>
    <t>100081</t>
  </si>
  <si>
    <t>Titan Company Ltd.</t>
  </si>
  <si>
    <t>INE280A01028</t>
  </si>
  <si>
    <t>Consumer Durables</t>
  </si>
  <si>
    <t>100173</t>
  </si>
  <si>
    <t>Asian Paints Ltd.</t>
  </si>
  <si>
    <t>INE021A01026</t>
  </si>
  <si>
    <t>100280</t>
  </si>
  <si>
    <t>TVS Motor Company Ltd.</t>
  </si>
  <si>
    <t>INE494B01023</t>
  </si>
  <si>
    <t>100001</t>
  </si>
  <si>
    <t>Housing Development Finance Corporation Ltd.</t>
  </si>
  <si>
    <t>INE001A01036</t>
  </si>
  <si>
    <t>Finance</t>
  </si>
  <si>
    <t>100363</t>
  </si>
  <si>
    <t>Procter &amp; Gamble Hygiene and Health Care Ltd.</t>
  </si>
  <si>
    <t>INE179A01014</t>
  </si>
  <si>
    <t>100012</t>
  </si>
  <si>
    <t>ICICI Bank Ltd.</t>
  </si>
  <si>
    <t>INE090A01021</t>
  </si>
  <si>
    <t>Banks</t>
  </si>
  <si>
    <t>100020</t>
  </si>
  <si>
    <t>Tata Consumer Products Ltd.</t>
  </si>
  <si>
    <t>INE192A01025</t>
  </si>
  <si>
    <t>Agricultural Food &amp; other Products</t>
  </si>
  <si>
    <t>100282</t>
  </si>
  <si>
    <t>Blue Star Ltd.</t>
  </si>
  <si>
    <t>INE472A01039</t>
  </si>
  <si>
    <t>100421</t>
  </si>
  <si>
    <t>Dabur India Ltd.</t>
  </si>
  <si>
    <t>INE016A01026</t>
  </si>
  <si>
    <t>100814</t>
  </si>
  <si>
    <t>HDFC Asset Management Company Ltd.</t>
  </si>
  <si>
    <t>INE127D01025</t>
  </si>
  <si>
    <t>Capital Markets</t>
  </si>
  <si>
    <t>100128</t>
  </si>
  <si>
    <t>Eicher Motors Ltd.</t>
  </si>
  <si>
    <t>INE066A01021</t>
  </si>
  <si>
    <t>100105</t>
  </si>
  <si>
    <t>Marico Ltd.</t>
  </si>
  <si>
    <t>INE196A01026</t>
  </si>
  <si>
    <t>100505</t>
  </si>
  <si>
    <t>ICICI Prudential Life Insurance Company Ltd.</t>
  </si>
  <si>
    <t>INE726G01019</t>
  </si>
  <si>
    <t>Insurance</t>
  </si>
  <si>
    <t>100289</t>
  </si>
  <si>
    <t>Shoppers Stop Ltd.</t>
  </si>
  <si>
    <t>INE498B01024</t>
  </si>
  <si>
    <t>100821</t>
  </si>
  <si>
    <t>TTK Prestige Ltd.</t>
  </si>
  <si>
    <t>INE690A01028</t>
  </si>
  <si>
    <t>100706</t>
  </si>
  <si>
    <t>HDFC Life Insurance Company Ltd.</t>
  </si>
  <si>
    <t>INE795G01014</t>
  </si>
  <si>
    <t>100138</t>
  </si>
  <si>
    <t>PVR Ltd.</t>
  </si>
  <si>
    <t>INE191H01014</t>
  </si>
  <si>
    <t>Entertainment</t>
  </si>
  <si>
    <t>101313</t>
  </si>
  <si>
    <t>Zomato Ltd.</t>
  </si>
  <si>
    <t>INE758T01015</t>
  </si>
  <si>
    <t>100126</t>
  </si>
  <si>
    <t>Britannia Industries Ltd.</t>
  </si>
  <si>
    <t>INE216A01030</t>
  </si>
  <si>
    <t>100222</t>
  </si>
  <si>
    <t>The Indian Hotels Company Ltd.</t>
  </si>
  <si>
    <t>INE053A01029</t>
  </si>
  <si>
    <t>Leisure Services</t>
  </si>
  <si>
    <t>100121</t>
  </si>
  <si>
    <t>United Breweries Ltd.</t>
  </si>
  <si>
    <t>INE686F01025</t>
  </si>
  <si>
    <t>Beverages</t>
  </si>
  <si>
    <t>100227</t>
  </si>
  <si>
    <t>Jubilant Foodworks Ltd.</t>
  </si>
  <si>
    <t>INE797F01020</t>
  </si>
  <si>
    <t>100125</t>
  </si>
  <si>
    <t>Bajaj Finance Ltd.</t>
  </si>
  <si>
    <t>INE296A01024</t>
  </si>
  <si>
    <t>100335</t>
  </si>
  <si>
    <t>Kajaria Ceramics Ltd.</t>
  </si>
  <si>
    <t>INE217B01036</t>
  </si>
  <si>
    <t>100223</t>
  </si>
  <si>
    <t>United Spirits Ltd.</t>
  </si>
  <si>
    <t>INE854D01024</t>
  </si>
  <si>
    <t>100068</t>
  </si>
  <si>
    <t>Kansai Nerolac Paints Ltd.</t>
  </si>
  <si>
    <t>INE531A01024</t>
  </si>
  <si>
    <t>100179</t>
  </si>
  <si>
    <t>Hero MotoCorp Ltd.</t>
  </si>
  <si>
    <t>INE158A01026</t>
  </si>
  <si>
    <t>100519</t>
  </si>
  <si>
    <t>Westlife Foodworld Ltd.</t>
  </si>
  <si>
    <t>INE274F01020</t>
  </si>
  <si>
    <t>100434</t>
  </si>
  <si>
    <t>Century Plyboards (India) Ltd.</t>
  </si>
  <si>
    <t>INE348B01021</t>
  </si>
  <si>
    <t>100768</t>
  </si>
  <si>
    <t>V-Mart Retail Ltd.</t>
  </si>
  <si>
    <t>INE665J01013</t>
  </si>
  <si>
    <t>100186</t>
  </si>
  <si>
    <t>Zee Entertainment Enterprises Ltd.</t>
  </si>
  <si>
    <t>INE256A01028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</si>
  <si>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</si>
  <si>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</si>
  <si>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</si>
  <si>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</si>
  <si>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</si>
  <si>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</si>
  <si>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</si>
  <si>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</si>
  <si>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</si>
  <si>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</si>
  <si>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</si>
  <si>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</si>
  <si>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</si>
  <si>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</si>
  <si>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</si>
  <si>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</si>
  <si>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</si>
  <si>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</si>
  <si>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</si>
  <si>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</si>
  <si>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</si>
  <si>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103230100</t>
  </si>
  <si>
    <t>TREPS 01-Mar-2023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</si>
  <si>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</si>
  <si>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</si>
  <si>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</si>
  <si>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</si>
  <si>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</si>
  <si>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</si>
  <si>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</si>
  <si>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</si>
  <si>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</si>
  <si>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</si>
  <si>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February 28,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</si>
  <si>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</si>
  <si>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</si>
  <si>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</si>
  <si>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January 31, 2023</t>
  </si>
  <si>
    <t>As on February 28,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</si>
  <si>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</si>
  <si>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</si>
  <si>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</si>
  <si>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</si>
  <si>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February 28, 2023</t>
  </si>
  <si>
    <t>(9) There were no investments made in derivative instruments and no such derivative instrument was squared off/ expired /exercised during the Month ended February 28, 2023. Further there are no investments in derivative instruments as on February 28, 2023.</t>
  </si>
  <si>
    <t>(10) Total Market value of investments in Foreign Securities/American Depositary Receipts/Global Depositary Receipts as at  February 28, 2023 is Rs. Nil.</t>
  </si>
  <si>
    <t>(11)  During the period, the portfolio turnover ratio is  0.00 times.</t>
  </si>
  <si>
    <t>(12)  Details of repo transaction in corporate debt securities for the Month ended February 28, 2023 is Nil.</t>
  </si>
  <si>
    <t>(13)  Investments in debt instruments having structured obligations or credit enhancement features as at February 28, 2023 is Rs. Nil.</t>
  </si>
  <si>
    <t>(14) Investment in Partly paid Debentures during the Month ended  February 28, 2023 and as on  February 28,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</si>
  <si>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</si>
  <si>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</si>
  <si>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</si>
  <si>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</si>
  <si>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</si>
  <si>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February 28,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</si>
</sst>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53FA467A-A38A-49B1-A087-EA49E9CB9736}"/>
    <cellStyle name="Hyperlink" xfId="2" builtinId="8"/>
    <cellStyle name="Normal" xfId="0" builtinId="0"/>
    <cellStyle name="Normal 2" xfId="4" xr:uid="{5FAEA78D-7E72-4092-AEBA-58E0E100ED6D}"/>
    <cellStyle name="Style 1" xfId="3" xr:uid="{0BCF0253-2D92-4BD9-8A50-69EDC63433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5</xdr:col>
      <xdr:colOff>504275</xdr:colOff>
      <xdr:row>145</xdr:row>
      <xdr:rowOff>147658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1D43ED-269F-0E07-9618-B8F712DA9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2876933"/>
          <a:ext cx="7455408" cy="33649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18.%20BNPP%20MF\Reporting\Monthly\Monthly%20Portfolio%20ISIN\2022-23\February%202023\Month%20End%2028%20February%202023\Split%20Portfolio\BOBBNPMF_Monthly%20portfolio%2028-02-2023.xls" TargetMode="External"/><Relationship Id="rId1" Type="http://schemas.openxmlformats.org/officeDocument/2006/relationships/externalLinkPath" Target="file:///T:\18.%20BNPP%20MF\Reporting\Monthly\Monthly%20Portfolio%20ISIN\2022-23\February%202023\Month%20End%2028%20February%202023\Split%20Portfolio\BOBBNPMF_Monthly%20portfolio%2028-02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MT"/>
      <sheetName val="LW"/>
      <sheetName val="FL"/>
      <sheetName val="CB"/>
      <sheetName val="NS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33B6C-F2C4-4DA8-8F38-DEF3BB842FBB}">
  <dimension ref="A1:BC129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6" sqref="C6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44985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2500000</v>
      </c>
      <c r="G10" s="34">
        <v>9417.5</v>
      </c>
      <c r="H10" s="34">
        <v>10.69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300000</v>
      </c>
      <c r="G11" s="34">
        <v>7381.95</v>
      </c>
      <c r="H11" s="34">
        <v>8.3800000000000008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850000</v>
      </c>
      <c r="G12" s="34">
        <v>6309.13</v>
      </c>
      <c r="H12" s="34">
        <v>7.16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25000</v>
      </c>
      <c r="G13" s="34">
        <v>4667.5</v>
      </c>
      <c r="H13" s="34">
        <v>5.3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48500</v>
      </c>
      <c r="G14" s="34">
        <v>4182.8100000000004</v>
      </c>
      <c r="H14" s="34">
        <v>4.75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34</v>
      </c>
      <c r="F15" s="33">
        <v>300000</v>
      </c>
      <c r="G15" s="34">
        <v>3808.8</v>
      </c>
      <c r="H15" s="34">
        <v>4.32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41</v>
      </c>
      <c r="F16" s="33">
        <v>265000</v>
      </c>
      <c r="G16" s="34">
        <v>3387.1</v>
      </c>
      <c r="H16" s="34">
        <v>3.84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350000</v>
      </c>
      <c r="G17" s="34">
        <v>3231.55</v>
      </c>
      <c r="H17" s="34">
        <v>3.67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135000</v>
      </c>
      <c r="G18" s="34">
        <v>3203.28</v>
      </c>
      <c r="H18" s="34">
        <v>3.64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49</v>
      </c>
      <c r="F19" s="33">
        <v>110000</v>
      </c>
      <c r="G19" s="34">
        <v>3111.68</v>
      </c>
      <c r="H19" s="34">
        <v>3.53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34</v>
      </c>
      <c r="F20" s="33">
        <v>270000</v>
      </c>
      <c r="G20" s="34">
        <v>2916.81</v>
      </c>
      <c r="H20" s="34">
        <v>3.31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59</v>
      </c>
      <c r="F21" s="33">
        <v>87000</v>
      </c>
      <c r="G21" s="34">
        <v>2270.2199999999998</v>
      </c>
      <c r="H21" s="34">
        <v>2.58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45</v>
      </c>
      <c r="F22" s="33">
        <v>13000</v>
      </c>
      <c r="G22" s="34">
        <v>1790.28</v>
      </c>
      <c r="H22" s="34">
        <v>2.0299999999999998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66</v>
      </c>
      <c r="F23" s="33">
        <v>200000</v>
      </c>
      <c r="G23" s="34">
        <v>1709.7</v>
      </c>
      <c r="H23" s="34">
        <v>1.94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70</v>
      </c>
      <c r="F24" s="33">
        <v>230000</v>
      </c>
      <c r="G24" s="34">
        <v>1645.19</v>
      </c>
      <c r="H24" s="34">
        <v>1.87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49</v>
      </c>
      <c r="F25" s="33">
        <v>110000</v>
      </c>
      <c r="G25" s="34">
        <v>1579.93</v>
      </c>
      <c r="H25" s="34">
        <v>1.79</v>
      </c>
      <c r="I25" s="35"/>
      <c r="J25" s="35"/>
      <c r="K25" s="36"/>
    </row>
    <row r="26" spans="2:11" x14ac:dyDescent="0.3">
      <c r="B26" s="1" t="s">
        <v>74</v>
      </c>
      <c r="C26" s="21" t="s">
        <v>75</v>
      </c>
      <c r="D26" s="31" t="s">
        <v>76</v>
      </c>
      <c r="E26" s="32" t="s">
        <v>45</v>
      </c>
      <c r="F26" s="33">
        <v>250000</v>
      </c>
      <c r="G26" s="34">
        <v>1331.5</v>
      </c>
      <c r="H26" s="34">
        <v>1.51</v>
      </c>
      <c r="I26" s="35"/>
      <c r="J26" s="35"/>
      <c r="K26" s="36"/>
    </row>
    <row r="27" spans="2:11" x14ac:dyDescent="0.3">
      <c r="B27" s="1" t="s">
        <v>77</v>
      </c>
      <c r="C27" s="21" t="s">
        <v>78</v>
      </c>
      <c r="D27" s="31" t="s">
        <v>79</v>
      </c>
      <c r="E27" s="32" t="s">
        <v>80</v>
      </c>
      <c r="F27" s="33">
        <v>70000</v>
      </c>
      <c r="G27" s="34">
        <v>1266.83</v>
      </c>
      <c r="H27" s="34">
        <v>1.44</v>
      </c>
      <c r="I27" s="35"/>
      <c r="J27" s="35"/>
      <c r="K27" s="36"/>
    </row>
    <row r="28" spans="2:11" x14ac:dyDescent="0.3">
      <c r="B28" s="1" t="s">
        <v>81</v>
      </c>
      <c r="C28" s="21" t="s">
        <v>82</v>
      </c>
      <c r="D28" s="31" t="s">
        <v>83</v>
      </c>
      <c r="E28" s="32" t="s">
        <v>34</v>
      </c>
      <c r="F28" s="33">
        <v>40000</v>
      </c>
      <c r="G28" s="34">
        <v>1242.3599999999999</v>
      </c>
      <c r="H28" s="34">
        <v>1.41</v>
      </c>
      <c r="I28" s="35"/>
      <c r="J28" s="35"/>
      <c r="K28" s="36"/>
    </row>
    <row r="29" spans="2:11" x14ac:dyDescent="0.3">
      <c r="B29" s="1" t="s">
        <v>84</v>
      </c>
      <c r="C29" s="21" t="s">
        <v>85</v>
      </c>
      <c r="D29" s="31" t="s">
        <v>86</v>
      </c>
      <c r="E29" s="32" t="s">
        <v>45</v>
      </c>
      <c r="F29" s="33">
        <v>250000</v>
      </c>
      <c r="G29" s="34">
        <v>1229.75</v>
      </c>
      <c r="H29" s="34">
        <v>1.4</v>
      </c>
      <c r="I29" s="35"/>
      <c r="J29" s="35"/>
      <c r="K29" s="36"/>
    </row>
    <row r="30" spans="2:11" x14ac:dyDescent="0.3">
      <c r="B30" s="1" t="s">
        <v>87</v>
      </c>
      <c r="C30" s="21" t="s">
        <v>88</v>
      </c>
      <c r="D30" s="31" t="s">
        <v>89</v>
      </c>
      <c r="E30" s="32" t="s">
        <v>90</v>
      </c>
      <c r="F30" s="33">
        <v>300000</v>
      </c>
      <c r="G30" s="34">
        <v>1226.7</v>
      </c>
      <c r="H30" s="34">
        <v>1.39</v>
      </c>
      <c r="I30" s="35"/>
      <c r="J30" s="35"/>
      <c r="K30" s="36"/>
    </row>
    <row r="31" spans="2:11" x14ac:dyDescent="0.3">
      <c r="B31" s="1" t="s">
        <v>91</v>
      </c>
      <c r="C31" s="21" t="s">
        <v>92</v>
      </c>
      <c r="D31" s="31" t="s">
        <v>93</v>
      </c>
      <c r="E31" s="32" t="s">
        <v>41</v>
      </c>
      <c r="F31" s="33">
        <v>180000</v>
      </c>
      <c r="G31" s="34">
        <v>1169.82</v>
      </c>
      <c r="H31" s="34">
        <v>1.33</v>
      </c>
      <c r="I31" s="35"/>
      <c r="J31" s="35"/>
      <c r="K31" s="36"/>
    </row>
    <row r="32" spans="2:11" x14ac:dyDescent="0.3">
      <c r="B32" s="1" t="s">
        <v>94</v>
      </c>
      <c r="C32" s="21" t="s">
        <v>95</v>
      </c>
      <c r="D32" s="31" t="s">
        <v>96</v>
      </c>
      <c r="E32" s="32" t="s">
        <v>49</v>
      </c>
      <c r="F32" s="33">
        <v>149024</v>
      </c>
      <c r="G32" s="34">
        <v>1127.81</v>
      </c>
      <c r="H32" s="34">
        <v>1.28</v>
      </c>
      <c r="I32" s="35"/>
      <c r="J32" s="35"/>
      <c r="K32" s="36"/>
    </row>
    <row r="33" spans="2:11" x14ac:dyDescent="0.3">
      <c r="B33" s="1" t="s">
        <v>97</v>
      </c>
      <c r="C33" s="21" t="s">
        <v>98</v>
      </c>
      <c r="D33" s="31" t="s">
        <v>99</v>
      </c>
      <c r="E33" s="32" t="s">
        <v>90</v>
      </c>
      <c r="F33" s="33">
        <v>230000</v>
      </c>
      <c r="G33" s="34">
        <v>1124.24</v>
      </c>
      <c r="H33" s="34">
        <v>1.28</v>
      </c>
      <c r="I33" s="35"/>
      <c r="J33" s="35"/>
      <c r="K33" s="36"/>
    </row>
    <row r="34" spans="2:11" x14ac:dyDescent="0.3">
      <c r="B34" s="1" t="s">
        <v>100</v>
      </c>
      <c r="C34" s="21" t="s">
        <v>101</v>
      </c>
      <c r="D34" s="31" t="s">
        <v>102</v>
      </c>
      <c r="E34" s="32" t="s">
        <v>103</v>
      </c>
      <c r="F34" s="33">
        <v>69000</v>
      </c>
      <c r="G34" s="34">
        <v>1047.56</v>
      </c>
      <c r="H34" s="34">
        <v>1.19</v>
      </c>
      <c r="I34" s="35"/>
      <c r="J34" s="35"/>
      <c r="K34" s="36"/>
    </row>
    <row r="35" spans="2:11" x14ac:dyDescent="0.3">
      <c r="B35" s="1" t="s">
        <v>104</v>
      </c>
      <c r="C35" s="21" t="s">
        <v>105</v>
      </c>
      <c r="D35" s="31" t="s">
        <v>106</v>
      </c>
      <c r="E35" s="32" t="s">
        <v>41</v>
      </c>
      <c r="F35" s="33">
        <v>1900000</v>
      </c>
      <c r="G35" s="34">
        <v>1016.5</v>
      </c>
      <c r="H35" s="34">
        <v>1.1499999999999999</v>
      </c>
      <c r="I35" s="35"/>
      <c r="J35" s="35"/>
      <c r="K35" s="36"/>
    </row>
    <row r="36" spans="2:11" x14ac:dyDescent="0.3">
      <c r="B36" s="1" t="s">
        <v>107</v>
      </c>
      <c r="C36" s="21" t="s">
        <v>108</v>
      </c>
      <c r="D36" s="31" t="s">
        <v>109</v>
      </c>
      <c r="E36" s="32" t="s">
        <v>30</v>
      </c>
      <c r="F36" s="33">
        <v>22000</v>
      </c>
      <c r="G36" s="34">
        <v>981.59</v>
      </c>
      <c r="H36" s="34">
        <v>1.1100000000000001</v>
      </c>
      <c r="I36" s="35"/>
      <c r="J36" s="35"/>
      <c r="K36" s="36"/>
    </row>
    <row r="37" spans="2:11" x14ac:dyDescent="0.3">
      <c r="B37" s="1" t="s">
        <v>110</v>
      </c>
      <c r="C37" s="21" t="s">
        <v>111</v>
      </c>
      <c r="D37" s="31" t="s">
        <v>112</v>
      </c>
      <c r="E37" s="32" t="s">
        <v>113</v>
      </c>
      <c r="F37" s="33">
        <v>310000</v>
      </c>
      <c r="G37" s="34">
        <v>963.33</v>
      </c>
      <c r="H37" s="34">
        <v>1.0900000000000001</v>
      </c>
      <c r="I37" s="35"/>
      <c r="J37" s="35"/>
      <c r="K37" s="36"/>
    </row>
    <row r="38" spans="2:11" x14ac:dyDescent="0.3">
      <c r="B38" s="1" t="s">
        <v>114</v>
      </c>
      <c r="C38" s="21" t="s">
        <v>115</v>
      </c>
      <c r="D38" s="31" t="s">
        <v>116</v>
      </c>
      <c r="E38" s="32" t="s">
        <v>117</v>
      </c>
      <c r="F38" s="33">
        <v>65000</v>
      </c>
      <c r="G38" s="34">
        <v>940.49</v>
      </c>
      <c r="H38" s="34">
        <v>1.07</v>
      </c>
      <c r="I38" s="35"/>
      <c r="J38" s="35"/>
      <c r="K38" s="36"/>
    </row>
    <row r="39" spans="2:11" x14ac:dyDescent="0.3">
      <c r="B39" s="1" t="s">
        <v>118</v>
      </c>
      <c r="C39" s="21" t="s">
        <v>119</v>
      </c>
      <c r="D39" s="31" t="s">
        <v>120</v>
      </c>
      <c r="E39" s="32" t="s">
        <v>113</v>
      </c>
      <c r="F39" s="33">
        <v>210000</v>
      </c>
      <c r="G39" s="34">
        <v>925.79</v>
      </c>
      <c r="H39" s="34">
        <v>1.05</v>
      </c>
      <c r="I39" s="35"/>
      <c r="J39" s="35"/>
      <c r="K39" s="36"/>
    </row>
    <row r="40" spans="2:11" x14ac:dyDescent="0.3">
      <c r="B40" s="1" t="s">
        <v>121</v>
      </c>
      <c r="C40" s="21" t="s">
        <v>122</v>
      </c>
      <c r="D40" s="31" t="s">
        <v>123</v>
      </c>
      <c r="E40" s="32" t="s">
        <v>59</v>
      </c>
      <c r="F40" s="33">
        <v>15000</v>
      </c>
      <c r="G40" s="34">
        <v>916.82</v>
      </c>
      <c r="H40" s="34">
        <v>1.04</v>
      </c>
      <c r="I40" s="35"/>
      <c r="J40" s="35"/>
      <c r="K40" s="36"/>
    </row>
    <row r="41" spans="2:11" x14ac:dyDescent="0.3">
      <c r="B41" s="1" t="s">
        <v>124</v>
      </c>
      <c r="C41" s="21" t="s">
        <v>125</v>
      </c>
      <c r="D41" s="31" t="s">
        <v>126</v>
      </c>
      <c r="E41" s="32" t="s">
        <v>49</v>
      </c>
      <c r="F41" s="33">
        <v>85000</v>
      </c>
      <c r="G41" s="34">
        <v>913.45</v>
      </c>
      <c r="H41" s="34">
        <v>1.04</v>
      </c>
      <c r="I41" s="35"/>
      <c r="J41" s="35"/>
      <c r="K41" s="36"/>
    </row>
    <row r="42" spans="2:11" x14ac:dyDescent="0.3">
      <c r="B42" s="1" t="s">
        <v>127</v>
      </c>
      <c r="C42" s="21" t="s">
        <v>128</v>
      </c>
      <c r="D42" s="31" t="s">
        <v>129</v>
      </c>
      <c r="E42" s="32" t="s">
        <v>117</v>
      </c>
      <c r="F42" s="33">
        <v>120000</v>
      </c>
      <c r="G42" s="34">
        <v>888.72</v>
      </c>
      <c r="H42" s="34">
        <v>1.01</v>
      </c>
      <c r="I42" s="35"/>
      <c r="J42" s="35"/>
      <c r="K42" s="36"/>
    </row>
    <row r="43" spans="2:11" x14ac:dyDescent="0.3">
      <c r="B43" s="1" t="s">
        <v>130</v>
      </c>
      <c r="C43" s="21" t="s">
        <v>131</v>
      </c>
      <c r="D43" s="31" t="s">
        <v>132</v>
      </c>
      <c r="E43" s="32" t="s">
        <v>49</v>
      </c>
      <c r="F43" s="33">
        <v>220000</v>
      </c>
      <c r="G43" s="34">
        <v>885.94</v>
      </c>
      <c r="H43" s="34">
        <v>1.01</v>
      </c>
      <c r="I43" s="35"/>
      <c r="J43" s="35"/>
      <c r="K43" s="36"/>
    </row>
    <row r="44" spans="2:11" x14ac:dyDescent="0.3">
      <c r="B44" s="1" t="s">
        <v>133</v>
      </c>
      <c r="C44" s="21" t="s">
        <v>134</v>
      </c>
      <c r="D44" s="31" t="s">
        <v>135</v>
      </c>
      <c r="E44" s="32" t="s">
        <v>34</v>
      </c>
      <c r="F44" s="33">
        <v>36500</v>
      </c>
      <c r="G44" s="34">
        <v>882.97</v>
      </c>
      <c r="H44" s="34">
        <v>1</v>
      </c>
      <c r="I44" s="35"/>
      <c r="J44" s="35"/>
      <c r="K44" s="36"/>
    </row>
    <row r="45" spans="2:11" x14ac:dyDescent="0.3">
      <c r="B45" s="1" t="s">
        <v>136</v>
      </c>
      <c r="C45" s="21" t="s">
        <v>137</v>
      </c>
      <c r="D45" s="31" t="s">
        <v>138</v>
      </c>
      <c r="E45" s="32" t="s">
        <v>113</v>
      </c>
      <c r="F45" s="33">
        <v>135000</v>
      </c>
      <c r="G45" s="34">
        <v>875.75</v>
      </c>
      <c r="H45" s="34">
        <v>0.99</v>
      </c>
      <c r="I45" s="35"/>
      <c r="J45" s="35"/>
      <c r="K45" s="36"/>
    </row>
    <row r="46" spans="2:11" x14ac:dyDescent="0.3">
      <c r="B46" s="1" t="s">
        <v>139</v>
      </c>
      <c r="C46" s="21" t="s">
        <v>140</v>
      </c>
      <c r="D46" s="31" t="s">
        <v>141</v>
      </c>
      <c r="E46" s="32" t="s">
        <v>49</v>
      </c>
      <c r="F46" s="33">
        <v>150000</v>
      </c>
      <c r="G46" s="34">
        <v>758.48</v>
      </c>
      <c r="H46" s="34">
        <v>0.86</v>
      </c>
      <c r="I46" s="35"/>
      <c r="J46" s="35"/>
      <c r="K46" s="36"/>
    </row>
    <row r="47" spans="2:11" x14ac:dyDescent="0.3">
      <c r="B47" s="1" t="s">
        <v>142</v>
      </c>
      <c r="C47" s="21" t="s">
        <v>143</v>
      </c>
      <c r="D47" s="31" t="s">
        <v>144</v>
      </c>
      <c r="E47" s="32" t="s">
        <v>41</v>
      </c>
      <c r="F47" s="33">
        <v>29972</v>
      </c>
      <c r="G47" s="34">
        <v>721.94</v>
      </c>
      <c r="H47" s="34">
        <v>0.82</v>
      </c>
      <c r="I47" s="35"/>
      <c r="J47" s="35"/>
      <c r="K47" s="36"/>
    </row>
    <row r="48" spans="2:11" x14ac:dyDescent="0.3">
      <c r="B48" s="1" t="s">
        <v>145</v>
      </c>
      <c r="C48" s="21" t="s">
        <v>146</v>
      </c>
      <c r="D48" s="31" t="s">
        <v>147</v>
      </c>
      <c r="E48" s="32" t="s">
        <v>103</v>
      </c>
      <c r="F48" s="33">
        <v>360000</v>
      </c>
      <c r="G48" s="34">
        <v>704.16</v>
      </c>
      <c r="H48" s="34">
        <v>0.8</v>
      </c>
      <c r="I48" s="35"/>
      <c r="J48" s="35"/>
      <c r="K48" s="36"/>
    </row>
    <row r="49" spans="3:11" x14ac:dyDescent="0.3">
      <c r="C49" s="30" t="s">
        <v>148</v>
      </c>
      <c r="D49" s="31"/>
      <c r="E49" s="32"/>
      <c r="F49" s="33"/>
      <c r="G49" s="38">
        <v>83755.929999999993</v>
      </c>
      <c r="H49" s="38">
        <v>95.07</v>
      </c>
      <c r="I49" s="35"/>
      <c r="J49" s="35"/>
      <c r="K49" s="36"/>
    </row>
    <row r="50" spans="3:11" x14ac:dyDescent="0.3">
      <c r="C50" s="21"/>
      <c r="D50" s="31"/>
      <c r="E50" s="32"/>
      <c r="F50" s="33"/>
      <c r="G50" s="34"/>
      <c r="H50" s="34"/>
      <c r="I50" s="35"/>
      <c r="J50" s="35"/>
      <c r="K50" s="36"/>
    </row>
    <row r="51" spans="3:11" x14ac:dyDescent="0.3">
      <c r="C51" s="30" t="s">
        <v>149</v>
      </c>
      <c r="D51" s="31"/>
      <c r="E51" s="32"/>
      <c r="F51" s="33"/>
      <c r="G51" s="34" t="s">
        <v>150</v>
      </c>
      <c r="H51" s="34" t="s">
        <v>150</v>
      </c>
      <c r="I51" s="35"/>
      <c r="J51" s="35"/>
      <c r="K51" s="36"/>
    </row>
    <row r="52" spans="3:11" x14ac:dyDescent="0.3">
      <c r="C52" s="21"/>
      <c r="D52" s="31"/>
      <c r="E52" s="32"/>
      <c r="F52" s="33"/>
      <c r="G52" s="34"/>
      <c r="H52" s="34"/>
      <c r="I52" s="35"/>
      <c r="J52" s="35"/>
      <c r="K52" s="36"/>
    </row>
    <row r="53" spans="3:11" x14ac:dyDescent="0.3">
      <c r="C53" s="30" t="s">
        <v>151</v>
      </c>
      <c r="D53" s="31"/>
      <c r="E53" s="32"/>
      <c r="F53" s="33"/>
      <c r="G53" s="34" t="s">
        <v>150</v>
      </c>
      <c r="H53" s="34" t="s">
        <v>150</v>
      </c>
      <c r="I53" s="35"/>
      <c r="J53" s="35"/>
      <c r="K53" s="36"/>
    </row>
    <row r="54" spans="3:11" x14ac:dyDescent="0.3">
      <c r="C54" s="21"/>
      <c r="D54" s="31"/>
      <c r="E54" s="32"/>
      <c r="F54" s="33"/>
      <c r="G54" s="34"/>
      <c r="H54" s="34"/>
      <c r="I54" s="35"/>
      <c r="J54" s="35"/>
      <c r="K54" s="36"/>
    </row>
    <row r="55" spans="3:11" x14ac:dyDescent="0.3">
      <c r="C55" s="30" t="s">
        <v>152</v>
      </c>
      <c r="D55" s="31"/>
      <c r="E55" s="32"/>
      <c r="F55" s="33"/>
      <c r="G55" s="34"/>
      <c r="H55" s="34"/>
      <c r="I55" s="35"/>
      <c r="J55" s="35"/>
      <c r="K55" s="36"/>
    </row>
    <row r="56" spans="3:11" x14ac:dyDescent="0.3">
      <c r="C56" s="21"/>
      <c r="D56" s="31"/>
      <c r="E56" s="32"/>
      <c r="F56" s="33"/>
      <c r="G56" s="34"/>
      <c r="H56" s="34"/>
      <c r="I56" s="35"/>
      <c r="J56" s="35"/>
      <c r="K56" s="36"/>
    </row>
    <row r="57" spans="3:11" x14ac:dyDescent="0.3">
      <c r="C57" s="30" t="s">
        <v>153</v>
      </c>
      <c r="D57" s="31"/>
      <c r="E57" s="32"/>
      <c r="F57" s="33"/>
      <c r="G57" s="34" t="s">
        <v>150</v>
      </c>
      <c r="H57" s="34" t="s">
        <v>150</v>
      </c>
      <c r="I57" s="35"/>
      <c r="J57" s="35"/>
      <c r="K57" s="36"/>
    </row>
    <row r="58" spans="3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3:11" x14ac:dyDescent="0.3">
      <c r="C59" s="30" t="s">
        <v>154</v>
      </c>
      <c r="D59" s="31"/>
      <c r="E59" s="32"/>
      <c r="F59" s="33"/>
      <c r="G59" s="34" t="s">
        <v>150</v>
      </c>
      <c r="H59" s="34" t="s">
        <v>150</v>
      </c>
      <c r="I59" s="35"/>
      <c r="J59" s="35"/>
      <c r="K59" s="36"/>
    </row>
    <row r="60" spans="3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3:11" x14ac:dyDescent="0.3">
      <c r="C61" s="30" t="s">
        <v>155</v>
      </c>
      <c r="D61" s="31"/>
      <c r="E61" s="32"/>
      <c r="F61" s="33"/>
      <c r="G61" s="34" t="s">
        <v>150</v>
      </c>
      <c r="H61" s="34" t="s">
        <v>150</v>
      </c>
      <c r="I61" s="35"/>
      <c r="J61" s="35"/>
      <c r="K61" s="36"/>
    </row>
    <row r="62" spans="3:11" x14ac:dyDescent="0.3">
      <c r="C62" s="21"/>
      <c r="D62" s="31"/>
      <c r="E62" s="32"/>
      <c r="F62" s="33"/>
      <c r="G62" s="34"/>
      <c r="H62" s="34"/>
      <c r="I62" s="35"/>
      <c r="J62" s="35"/>
      <c r="K62" s="36"/>
    </row>
    <row r="63" spans="3:11" x14ac:dyDescent="0.3">
      <c r="C63" s="30" t="s">
        <v>156</v>
      </c>
      <c r="D63" s="31"/>
      <c r="E63" s="32"/>
      <c r="F63" s="33"/>
      <c r="G63" s="34" t="s">
        <v>150</v>
      </c>
      <c r="H63" s="34" t="s">
        <v>150</v>
      </c>
      <c r="I63" s="35"/>
      <c r="J63" s="35"/>
      <c r="K63" s="36"/>
    </row>
    <row r="64" spans="3:11" x14ac:dyDescent="0.3">
      <c r="C64" s="21"/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C65" s="30" t="s">
        <v>157</v>
      </c>
      <c r="D65" s="31"/>
      <c r="E65" s="32"/>
      <c r="F65" s="33"/>
      <c r="G65" s="34" t="s">
        <v>150</v>
      </c>
      <c r="H65" s="34" t="s">
        <v>150</v>
      </c>
      <c r="I65" s="35"/>
      <c r="J65" s="35"/>
      <c r="K65" s="36"/>
    </row>
    <row r="66" spans="1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C67" s="30" t="s">
        <v>158</v>
      </c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C69" s="30" t="s">
        <v>159</v>
      </c>
      <c r="D69" s="31"/>
      <c r="E69" s="32"/>
      <c r="F69" s="33"/>
      <c r="G69" s="34" t="s">
        <v>150</v>
      </c>
      <c r="H69" s="34" t="s">
        <v>150</v>
      </c>
      <c r="I69" s="35"/>
      <c r="J69" s="35"/>
      <c r="K69" s="36"/>
    </row>
    <row r="70" spans="1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C71" s="30" t="s">
        <v>160</v>
      </c>
      <c r="D71" s="31"/>
      <c r="E71" s="32"/>
      <c r="F71" s="33"/>
      <c r="G71" s="34" t="s">
        <v>150</v>
      </c>
      <c r="H71" s="34" t="s">
        <v>150</v>
      </c>
      <c r="I71" s="35"/>
      <c r="J71" s="35"/>
      <c r="K71" s="36"/>
    </row>
    <row r="72" spans="1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C73" s="30" t="s">
        <v>161</v>
      </c>
      <c r="D73" s="31"/>
      <c r="E73" s="32"/>
      <c r="F73" s="33"/>
      <c r="G73" s="34" t="s">
        <v>150</v>
      </c>
      <c r="H73" s="34" t="s">
        <v>150</v>
      </c>
      <c r="I73" s="35"/>
      <c r="J73" s="35"/>
      <c r="K73" s="36"/>
    </row>
    <row r="74" spans="1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C75" s="30" t="s">
        <v>162</v>
      </c>
      <c r="D75" s="31"/>
      <c r="E75" s="32"/>
      <c r="F75" s="33"/>
      <c r="G75" s="34" t="s">
        <v>150</v>
      </c>
      <c r="H75" s="34" t="s">
        <v>150</v>
      </c>
      <c r="I75" s="35"/>
      <c r="J75" s="35"/>
      <c r="K75" s="36"/>
    </row>
    <row r="76" spans="1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A77" s="28"/>
      <c r="B77" s="29"/>
      <c r="C77" s="30" t="s">
        <v>163</v>
      </c>
      <c r="D77" s="31"/>
      <c r="E77" s="32"/>
      <c r="F77" s="33"/>
      <c r="G77" s="34"/>
      <c r="H77" s="34"/>
      <c r="I77" s="35"/>
      <c r="J77" s="35"/>
      <c r="K77" s="36"/>
    </row>
    <row r="78" spans="1:11" x14ac:dyDescent="0.3">
      <c r="A78" s="29"/>
      <c r="B78" s="29"/>
      <c r="C78" s="30" t="s">
        <v>164</v>
      </c>
      <c r="D78" s="31"/>
      <c r="E78" s="32"/>
      <c r="F78" s="33"/>
      <c r="G78" s="34" t="s">
        <v>150</v>
      </c>
      <c r="H78" s="34" t="s">
        <v>150</v>
      </c>
      <c r="I78" s="35"/>
      <c r="J78" s="35"/>
      <c r="K78" s="36"/>
    </row>
    <row r="79" spans="1:11" x14ac:dyDescent="0.3">
      <c r="A79" s="29"/>
      <c r="B79" s="29"/>
      <c r="C79" s="30"/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A80" s="29"/>
      <c r="B80" s="29"/>
      <c r="C80" s="30" t="s">
        <v>165</v>
      </c>
      <c r="D80" s="31"/>
      <c r="E80" s="32"/>
      <c r="F80" s="33"/>
      <c r="G80" s="34" t="s">
        <v>150</v>
      </c>
      <c r="H80" s="34" t="s">
        <v>150</v>
      </c>
      <c r="I80" s="35"/>
      <c r="J80" s="35"/>
      <c r="K80" s="36"/>
    </row>
    <row r="81" spans="1:11" x14ac:dyDescent="0.3">
      <c r="A81" s="29"/>
      <c r="B81" s="29"/>
      <c r="C81" s="30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A82" s="29"/>
      <c r="B82" s="29"/>
      <c r="C82" s="30" t="s">
        <v>166</v>
      </c>
      <c r="D82" s="31"/>
      <c r="E82" s="32"/>
      <c r="F82" s="33"/>
      <c r="G82" s="34" t="s">
        <v>150</v>
      </c>
      <c r="H82" s="34" t="s">
        <v>150</v>
      </c>
      <c r="I82" s="35"/>
      <c r="J82" s="35"/>
      <c r="K82" s="36"/>
    </row>
    <row r="83" spans="1:11" x14ac:dyDescent="0.3">
      <c r="A83" s="29"/>
      <c r="B83" s="29"/>
      <c r="C83" s="30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A84" s="29"/>
      <c r="B84" s="29"/>
      <c r="C84" s="30" t="s">
        <v>167</v>
      </c>
      <c r="D84" s="31"/>
      <c r="E84" s="32"/>
      <c r="F84" s="33"/>
      <c r="G84" s="34" t="s">
        <v>150</v>
      </c>
      <c r="H84" s="34" t="s">
        <v>150</v>
      </c>
      <c r="I84" s="35"/>
      <c r="J84" s="35"/>
      <c r="K84" s="36"/>
    </row>
    <row r="85" spans="1:11" x14ac:dyDescent="0.3">
      <c r="A85" s="29"/>
      <c r="B85" s="29"/>
      <c r="C85" s="30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C86" s="37" t="s">
        <v>168</v>
      </c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B87" s="1" t="s">
        <v>169</v>
      </c>
      <c r="C87" s="21" t="s">
        <v>170</v>
      </c>
      <c r="D87" s="31"/>
      <c r="E87" s="32"/>
      <c r="F87" s="33"/>
      <c r="G87" s="34">
        <v>3560.67</v>
      </c>
      <c r="H87" s="34">
        <v>4.04</v>
      </c>
      <c r="I87" s="35">
        <v>6.51</v>
      </c>
      <c r="J87" s="35"/>
      <c r="K87" s="36"/>
    </row>
    <row r="88" spans="1:11" x14ac:dyDescent="0.3">
      <c r="C88" s="30" t="s">
        <v>148</v>
      </c>
      <c r="D88" s="31"/>
      <c r="E88" s="32"/>
      <c r="F88" s="33"/>
      <c r="G88" s="38">
        <v>3560.67</v>
      </c>
      <c r="H88" s="38">
        <v>4.04</v>
      </c>
      <c r="I88" s="35"/>
      <c r="J88" s="35"/>
      <c r="K88" s="36"/>
    </row>
    <row r="89" spans="1:11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A90" s="28"/>
      <c r="B90" s="29"/>
      <c r="C90" s="30" t="s">
        <v>171</v>
      </c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B91" s="1"/>
      <c r="C91" s="21" t="s">
        <v>172</v>
      </c>
      <c r="D91" s="31"/>
      <c r="E91" s="32"/>
      <c r="F91" s="33"/>
      <c r="G91" s="34">
        <v>779.18</v>
      </c>
      <c r="H91" s="34">
        <v>0.89</v>
      </c>
      <c r="I91" s="35"/>
      <c r="J91" s="35"/>
      <c r="K91" s="36"/>
    </row>
    <row r="92" spans="1:11" x14ac:dyDescent="0.3">
      <c r="C92" s="30" t="s">
        <v>148</v>
      </c>
      <c r="D92" s="31"/>
      <c r="E92" s="32"/>
      <c r="F92" s="33"/>
      <c r="G92" s="38">
        <v>779.18</v>
      </c>
      <c r="H92" s="38">
        <v>0.89</v>
      </c>
      <c r="I92" s="35"/>
      <c r="J92" s="35"/>
      <c r="K92" s="36"/>
    </row>
    <row r="93" spans="1:11" x14ac:dyDescent="0.3">
      <c r="C93" s="21"/>
      <c r="D93" s="31"/>
      <c r="E93" s="32"/>
      <c r="F93" s="33"/>
      <c r="G93" s="34"/>
      <c r="H93" s="34"/>
      <c r="I93" s="35"/>
      <c r="J93" s="35"/>
      <c r="K93" s="36"/>
    </row>
    <row r="94" spans="1:11" ht="14.4" thickBot="1" x14ac:dyDescent="0.35">
      <c r="C94" s="39" t="s">
        <v>173</v>
      </c>
      <c r="D94" s="40"/>
      <c r="E94" s="41"/>
      <c r="F94" s="42"/>
      <c r="G94" s="43">
        <v>88095.78</v>
      </c>
      <c r="H94" s="43">
        <f>SUMIFS(H:H,C:C,"Total")</f>
        <v>100</v>
      </c>
      <c r="I94" s="44"/>
      <c r="J94" s="44"/>
      <c r="K94" s="45"/>
    </row>
    <row r="97" spans="3:55" x14ac:dyDescent="0.3">
      <c r="C97" s="11" t="s">
        <v>174</v>
      </c>
    </row>
    <row r="98" spans="3:55" x14ac:dyDescent="0.3">
      <c r="C98" s="2" t="s">
        <v>175</v>
      </c>
    </row>
    <row r="99" spans="3:55" x14ac:dyDescent="0.3">
      <c r="C99" s="46" t="s">
        <v>176</v>
      </c>
    </row>
    <row r="100" spans="3:55" x14ac:dyDescent="0.3">
      <c r="C100" s="2" t="s">
        <v>177</v>
      </c>
    </row>
    <row r="101" spans="3:55" x14ac:dyDescent="0.3">
      <c r="C101" s="2" t="s">
        <v>178</v>
      </c>
    </row>
    <row r="102" spans="3:55" x14ac:dyDescent="0.3">
      <c r="C102" s="2" t="s">
        <v>179</v>
      </c>
      <c r="D102" s="47"/>
      <c r="E102" s="47"/>
      <c r="F102" s="47"/>
      <c r="G102" s="48"/>
      <c r="H102" s="48"/>
    </row>
    <row r="103" spans="3:55" x14ac:dyDescent="0.3">
      <c r="C103" s="2" t="s">
        <v>180</v>
      </c>
    </row>
    <row r="104" spans="3:55" x14ac:dyDescent="0.3">
      <c r="C104" s="2" t="s">
        <v>181</v>
      </c>
    </row>
    <row r="105" spans="3:55" x14ac:dyDescent="0.3">
      <c r="C105" s="2" t="s">
        <v>182</v>
      </c>
    </row>
    <row r="106" spans="3:55" x14ac:dyDescent="0.3">
      <c r="C106" s="2" t="s">
        <v>183</v>
      </c>
    </row>
    <row r="107" spans="3:55" s="11" customFormat="1" x14ac:dyDescent="0.3">
      <c r="C107" s="11" t="s">
        <v>184</v>
      </c>
      <c r="E107" s="11" t="s">
        <v>185</v>
      </c>
      <c r="F107" s="49" t="s">
        <v>186</v>
      </c>
      <c r="G107" s="50"/>
      <c r="H107" s="50"/>
      <c r="I107" s="50"/>
      <c r="J107" s="50"/>
      <c r="K107" s="51"/>
      <c r="L107" s="51"/>
      <c r="M107" s="51"/>
      <c r="AJ107" s="51"/>
      <c r="AW107" s="51"/>
      <c r="AY107" s="51"/>
      <c r="BC107" s="51"/>
    </row>
    <row r="108" spans="3:55" x14ac:dyDescent="0.3">
      <c r="C108" s="2" t="s">
        <v>187</v>
      </c>
      <c r="E108" s="52">
        <v>17.366800000000001</v>
      </c>
      <c r="F108" s="53">
        <v>17.163799999999998</v>
      </c>
    </row>
    <row r="109" spans="3:55" x14ac:dyDescent="0.3">
      <c r="C109" s="2" t="s">
        <v>188</v>
      </c>
      <c r="E109" s="52">
        <v>19.713000000000001</v>
      </c>
      <c r="F109" s="53">
        <v>19.482600000000001</v>
      </c>
    </row>
    <row r="110" spans="3:55" x14ac:dyDescent="0.3">
      <c r="C110" s="2" t="s">
        <v>189</v>
      </c>
      <c r="E110" s="52">
        <v>19.153199999999998</v>
      </c>
      <c r="F110" s="53">
        <v>18.949300000000001</v>
      </c>
    </row>
    <row r="111" spans="3:55" x14ac:dyDescent="0.3">
      <c r="C111" s="2" t="s">
        <v>190</v>
      </c>
      <c r="E111" s="52">
        <v>21.068899999999999</v>
      </c>
      <c r="F111" s="53">
        <v>20.8446</v>
      </c>
    </row>
    <row r="113" spans="3:11" x14ac:dyDescent="0.3">
      <c r="C113" s="2" t="s">
        <v>191</v>
      </c>
    </row>
    <row r="115" spans="3:11" x14ac:dyDescent="0.3">
      <c r="C115" s="2" t="s">
        <v>192</v>
      </c>
    </row>
    <row r="116" spans="3:11" x14ac:dyDescent="0.3">
      <c r="C116" s="2" t="s">
        <v>193</v>
      </c>
    </row>
    <row r="117" spans="3:11" x14ac:dyDescent="0.3">
      <c r="C117" s="2" t="s">
        <v>194</v>
      </c>
    </row>
    <row r="118" spans="3:11" x14ac:dyDescent="0.3">
      <c r="C118" s="2" t="s">
        <v>195</v>
      </c>
    </row>
    <row r="119" spans="3:11" x14ac:dyDescent="0.3">
      <c r="C119" s="2" t="s">
        <v>196</v>
      </c>
    </row>
    <row r="120" spans="3:11" x14ac:dyDescent="0.3">
      <c r="C120" s="2" t="s">
        <v>197</v>
      </c>
    </row>
    <row r="121" spans="3:11" x14ac:dyDescent="0.3">
      <c r="C121" s="2" t="s">
        <v>198</v>
      </c>
    </row>
    <row r="122" spans="3:11" x14ac:dyDescent="0.3">
      <c r="C122" s="2" t="s">
        <v>199</v>
      </c>
    </row>
    <row r="123" spans="3:11" x14ac:dyDescent="0.3">
      <c r="C123" s="2" t="s">
        <v>200</v>
      </c>
    </row>
    <row r="124" spans="3:11" x14ac:dyDescent="0.3">
      <c r="C124" s="2" t="s">
        <v>201</v>
      </c>
    </row>
    <row r="125" spans="3:11" x14ac:dyDescent="0.3">
      <c r="C125" s="2" t="s">
        <v>202</v>
      </c>
    </row>
    <row r="126" spans="3:11" x14ac:dyDescent="0.3">
      <c r="C126" s="2" t="s">
        <v>203</v>
      </c>
    </row>
    <row r="127" spans="3:11" ht="14.4" x14ac:dyDescent="0.3">
      <c r="C127" s="54"/>
      <c r="D127" s="54"/>
      <c r="E127" s="55"/>
      <c r="F127" s="55"/>
      <c r="G127" s="55"/>
      <c r="H127" s="55"/>
      <c r="I127" s="55"/>
      <c r="J127" s="55"/>
      <c r="K127" s="55"/>
    </row>
    <row r="128" spans="3:11" ht="14.4" x14ac:dyDescent="0.3">
      <c r="C128" s="55"/>
      <c r="D128" s="55"/>
      <c r="E128" s="55"/>
      <c r="F128" s="55"/>
      <c r="G128" s="55"/>
      <c r="H128" s="55"/>
      <c r="I128" s="55"/>
      <c r="J128" s="55"/>
      <c r="K128" s="55"/>
    </row>
    <row r="129" spans="3:11" ht="14.4" x14ac:dyDescent="0.3">
      <c r="C129" s="55"/>
      <c r="D129" s="55"/>
      <c r="E129" s="55"/>
      <c r="F129" s="55"/>
      <c r="G129" s="55"/>
      <c r="H129" s="55"/>
      <c r="I129" s="55"/>
      <c r="J129" s="55"/>
      <c r="K129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IC</vt:lpstr>
      <vt:lpstr>XDO_?CLASS_3?12?</vt:lpstr>
      <vt:lpstr>XDO_?FINAL_ISIN?53?</vt:lpstr>
      <vt:lpstr>XDO_?FINAL_ISIN?54?</vt:lpstr>
      <vt:lpstr>XDO_?FINAL_ISIN?55?</vt:lpstr>
      <vt:lpstr>XDO_?FINAL_MV?53?</vt:lpstr>
      <vt:lpstr>XDO_?FINAL_MV?54?</vt:lpstr>
      <vt:lpstr>XDO_?FINAL_MV?55?</vt:lpstr>
      <vt:lpstr>XDO_?FINAL_NAME?53?</vt:lpstr>
      <vt:lpstr>XDO_?FINAL_NAME?54?</vt:lpstr>
      <vt:lpstr>XDO_?FINAL_NAME?55?</vt:lpstr>
      <vt:lpstr>XDO_?FINAL_PER_NET?53?</vt:lpstr>
      <vt:lpstr>XDO_?FINAL_PER_NET?54?</vt:lpstr>
      <vt:lpstr>XDO_?FINAL_PER_NET?55?</vt:lpstr>
      <vt:lpstr>XDO_?FINAL_QUANTITE?53?</vt:lpstr>
      <vt:lpstr>XDO_?FINAL_QUANTITE?54?</vt:lpstr>
      <vt:lpstr>XDO_?FINAL_QUANTITE?55?</vt:lpstr>
      <vt:lpstr>XDO_?NAMCNAME?12?</vt:lpstr>
      <vt:lpstr>XDO_?NOVAL?53?</vt:lpstr>
      <vt:lpstr>XDO_?NOVAL?54?</vt:lpstr>
      <vt:lpstr>XDO_?NOVAL?55?</vt:lpstr>
      <vt:lpstr>XDO_?NPTF?12?</vt:lpstr>
      <vt:lpstr>XDO_?RATING?53?</vt:lpstr>
      <vt:lpstr>XDO_?RATING?54?</vt:lpstr>
      <vt:lpstr>XDO_?RATING?55?</vt:lpstr>
      <vt:lpstr>XDO_?REMARKS?53?</vt:lpstr>
      <vt:lpstr>XDO_?REMARKS?54?</vt:lpstr>
      <vt:lpstr>XDO_?REMARKS?55?</vt:lpstr>
      <vt:lpstr>XDO_?TITL?12?</vt:lpstr>
      <vt:lpstr>XDO_?YTM?53?</vt:lpstr>
      <vt:lpstr>XDO_?YTM?54?</vt:lpstr>
      <vt:lpstr>XDO_?YTM?55?</vt:lpstr>
      <vt:lpstr>XDO_GROUP_?G_2?12?</vt:lpstr>
      <vt:lpstr>XDO_GROUP_?G_3?12?</vt:lpstr>
      <vt:lpstr>XDO_GROUP_?G_4?53?</vt:lpstr>
      <vt:lpstr>XDO_GROUP_?G_4?54?</vt:lpstr>
      <vt:lpstr>XDO_GROUP_?G_4?55?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2023-03-06T13:25:30Z</dcterms:created>
  <dcterms:modified xsi:type="dcterms:W3CDTF">2023-03-09T09:48:35Z</dcterms:modified>
</cp:coreProperties>
</file>