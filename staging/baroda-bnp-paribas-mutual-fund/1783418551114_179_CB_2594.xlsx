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CB" sheetId="1" r:id="rId1"/>
  </sheets>
  <externalReferences>
    <externalReference r:id="rId2"/>
  </externalReferences>
  <definedNames>
    <definedName name="XDO_?CLASS_3?3?">CB!$C$16:$C$33</definedName>
    <definedName name="XDO_?FINAL_ISIN?11?">CB!$D$18:$D$33</definedName>
    <definedName name="XDO_?FINAL_ISIN?12?">CB!$D$18:$D$42</definedName>
    <definedName name="XDO_?FINAL_ISIN?13?">CB!$D$18:$D$47</definedName>
    <definedName name="XDO_?FINAL_ISIN?14?">CB!$D$18:$D$70</definedName>
    <definedName name="XDO_?FINAL_ISIN?15?">CB!$D$18:$D$74</definedName>
    <definedName name="XDO_?FINAL_MV?11?">CB!$G$18:$G$33</definedName>
    <definedName name="XDO_?FINAL_MV?12?">CB!$G$18:$G$42</definedName>
    <definedName name="XDO_?FINAL_MV?13?">CB!$G$18:$G$47</definedName>
    <definedName name="XDO_?FINAL_MV?14?">CB!$G$18:$G$70</definedName>
    <definedName name="XDO_?FINAL_MV?15?">CB!$G$18:$G$74</definedName>
    <definedName name="XDO_?FINAL_NAME?11?">CB!$C$18:$C$33</definedName>
    <definedName name="XDO_?FINAL_NAME?12?">CB!$C$18:$C$42</definedName>
    <definedName name="XDO_?FINAL_NAME?13?">CB!$C$18:$C$47</definedName>
    <definedName name="XDO_?FINAL_NAME?14?">CB!$C$18:$C$70</definedName>
    <definedName name="XDO_?FINAL_NAME?15?">CB!$C$18:$C$74</definedName>
    <definedName name="XDO_?FINAL_PER_NET?11?">CB!$H$18:$H$33</definedName>
    <definedName name="XDO_?FINAL_PER_NET?12?">CB!$H$18:$H$42</definedName>
    <definedName name="XDO_?FINAL_PER_NET?13?">CB!$H$18:$H$47</definedName>
    <definedName name="XDO_?FINAL_PER_NET?14?">CB!$H$18:$H$70</definedName>
    <definedName name="XDO_?FINAL_PER_NET?15?">CB!$H$18:$H$74</definedName>
    <definedName name="XDO_?FINAL_QUANTITE?11?">CB!$F$18:$F$33</definedName>
    <definedName name="XDO_?FINAL_QUANTITE?12?">CB!$F$18:$F$42</definedName>
    <definedName name="XDO_?FINAL_QUANTITE?13?">CB!$F$18:$F$47</definedName>
    <definedName name="XDO_?FINAL_QUANTITE?14?">CB!$F$18:$F$70</definedName>
    <definedName name="XDO_?FINAL_QUANTITE?15?">CB!$F$18:$F$74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CB!$C$2:$C$33</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CB!$B$18:$B$33</definedName>
    <definedName name="XDO_?NOVAL?12?">CB!$B$18:$B$42</definedName>
    <definedName name="XDO_?NOVAL?13?">CB!$B$18:$B$47</definedName>
    <definedName name="XDO_?NOVAL?14?">CB!$B$18:$B$70</definedName>
    <definedName name="XDO_?NOVAL?15?">CB!$B$18:$B$74</definedName>
    <definedName name="XDO_?NPTF?3?">CB!$D$2:$D$33</definedName>
    <definedName name="XDO_?RATING?11?">CB!$E$18:$E$33</definedName>
    <definedName name="XDO_?RATING?12?">CB!$E$18:$E$42</definedName>
    <definedName name="XDO_?RATING?13?">CB!$E$18:$E$47</definedName>
    <definedName name="XDO_?RATING?14?">CB!$E$18:$E$70</definedName>
    <definedName name="XDO_?RATING?15?">CB!$E$18:$E$74</definedName>
    <definedName name="XDO_?REMARKS?11?">CB!$K$18:$K$33</definedName>
    <definedName name="XDO_?REMARKS?12?">CB!$K$18:$K$42</definedName>
    <definedName name="XDO_?REMARKS?13?">CB!$K$18:$K$47</definedName>
    <definedName name="XDO_?REMARKS?14?">CB!$K$18:$K$70</definedName>
    <definedName name="XDO_?REMARKS?15?">CB!$K$18:$K$74</definedName>
    <definedName name="XDO_?TITL?3?">CB!$A$16:$A$33</definedName>
    <definedName name="XDO_?YTM?11?">CB!$I$18:$I$33</definedName>
    <definedName name="XDO_?YTM?12?">CB!$I$18:$I$42</definedName>
    <definedName name="XDO_?YTM?13?">CB!$I$18:$I$47</definedName>
    <definedName name="XDO_?YTM?14?">CB!$I$18:$I$70</definedName>
    <definedName name="XDO_?YTM?15?">CB!$I$18:$I$74</definedName>
    <definedName name="XDO_GROUP_?G_2?3?">CB!$2:$46</definedName>
    <definedName name="XDO_GROUP_?G_3?3?">CB!$8:$45</definedName>
    <definedName name="XDO_GROUP_?G_4?11?">CB!$B$10:$IV$23</definedName>
    <definedName name="XDO_GROUP_?G_4?110?">[1]US!#REF!</definedName>
    <definedName name="XDO_GROUP_?G_4?12?">CB!$B$27:$IV$28</definedName>
    <definedName name="XDO_GROUP_?G_4?13?">CB!$B$32:$IV$33</definedName>
    <definedName name="XDO_GROUP_?G_4?14?">CB!$B$38:$IV$38</definedName>
    <definedName name="XDO_GROUP_?G_4?15?">CB!$B$43:$IV$43</definedName>
    <definedName name="XDO_GROUP_?G_4?2?">[1]LW!#REF!</definedName>
    <definedName name="XDO_GROUP_?G_4?37?">[1]TA!#REF!</definedName>
    <definedName name="XDO_GROUP_?G_4?49?">[1]AR!#REF!</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1"/>
</calcChain>
</file>

<file path=xl/sharedStrings.xml><?xml version="1.0" encoding="utf-8"?>
<sst xmlns="http://schemas.openxmlformats.org/spreadsheetml/2006/main" count="224" uniqueCount="165">
  <si>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</si>
  <si>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</si>
  <si>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</si>
  <si>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</si>
  <si>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</si>
  <si>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</si>
  <si>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</si>
  <si>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</si>
  <si>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</si>
  <si>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</si>
  <si>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</si>
  <si>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</si>
  <si>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</si>
  <si>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</si>
  <si>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</si>
  <si>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</si>
  <si>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</si>
  <si>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</si>
  <si>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</si>
  <si>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</si>
  <si>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</si>
  <si>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</si>
  <si>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</si>
  <si>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</si>
  <si>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</si>
  <si>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</si>
  <si>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704060</t>
  </si>
  <si>
    <t>7.65% Indian Railway Finance Corporation Ltd. 30-Dec-2032</t>
  </si>
  <si>
    <t>INE053F08221</t>
  </si>
  <si>
    <t>CRISIL AAA</t>
  </si>
  <si>
    <t>704197</t>
  </si>
  <si>
    <t>8.25% Export-Import Bank of India 23-Jun-2031</t>
  </si>
  <si>
    <t>INE514E08FE0</t>
  </si>
  <si>
    <t>704199</t>
  </si>
  <si>
    <t>7.70% Power Finance Corporation Ltd. 15-Apr-2033</t>
  </si>
  <si>
    <t>INE134E08MI4</t>
  </si>
  <si>
    <t>704187</t>
  </si>
  <si>
    <t>7.52% Power Grid Corporation of India Ltd. 23-Mar-2033</t>
  </si>
  <si>
    <t>INE752E08684</t>
  </si>
  <si>
    <t>704184</t>
  </si>
  <si>
    <t>8.31% Sundaram Home Finance Ltd. 20-Mar-2026</t>
  </si>
  <si>
    <t>INE667F07IK6</t>
  </si>
  <si>
    <t>704189</t>
  </si>
  <si>
    <t>7.54% Hindustan Petroleum Corporation Ltd. 15-Apr-2033</t>
  </si>
  <si>
    <t>INE094A08143</t>
  </si>
  <si>
    <t>704185</t>
  </si>
  <si>
    <t>7.34% GAIL (India) Ltd. 20-Dec-2027</t>
  </si>
  <si>
    <t>INE129A08014</t>
  </si>
  <si>
    <t>IND AAA</t>
  </si>
  <si>
    <t>704167</t>
  </si>
  <si>
    <t>8.03% LIC Housing Finance Ltd. 23-Mar-2033</t>
  </si>
  <si>
    <t>INE115A07QH6</t>
  </si>
  <si>
    <t>703810</t>
  </si>
  <si>
    <t>7.80% Housing Development Finance Corporation Ltd. 06-Sep-2032</t>
  </si>
  <si>
    <t>INE001A07TP5</t>
  </si>
  <si>
    <t>702309</t>
  </si>
  <si>
    <t>7.64% Food Corporation of India 12-Dec-2029</t>
  </si>
  <si>
    <t>INE861G08050</t>
  </si>
  <si>
    <t>CRISIL AAA(CE)</t>
  </si>
  <si>
    <t>701313</t>
  </si>
  <si>
    <t>8.37% National Highways Authority of India 20-Jan-2029</t>
  </si>
  <si>
    <t>INE906B07GN5</t>
  </si>
  <si>
    <t>704161</t>
  </si>
  <si>
    <t>7.64% Hindustan Petroleum Corporation Ltd. 04-Nov-2027</t>
  </si>
  <si>
    <t>INE094A08135</t>
  </si>
  <si>
    <t>702501</t>
  </si>
  <si>
    <t>6.11% Bharat Petroleum Corporation Ltd. 04-Jul-2025</t>
  </si>
  <si>
    <t>INE029A08065</t>
  </si>
  <si>
    <t>704026</t>
  </si>
  <si>
    <t>7.20% Export-Import Bank of India 05-Jun-2025</t>
  </si>
  <si>
    <t>INE514E08FY8</t>
  </si>
  <si>
    <t>704025</t>
  </si>
  <si>
    <t>8.70% Bharti Telecom Ltd. 21-Nov-2024</t>
  </si>
  <si>
    <t>INE403D08116</t>
  </si>
  <si>
    <t>CRISIL AA+</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</si>
  <si>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</si>
  <si>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</si>
  <si>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</si>
  <si>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</si>
  <si>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</si>
  <si>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</si>
  <si>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</si>
  <si>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</si>
  <si>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</si>
  <si>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</si>
  <si>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</si>
  <si>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</si>
  <si>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</si>
  <si>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</si>
  <si>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</si>
  <si>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1900283</t>
  </si>
  <si>
    <t>8.08% State Government of Tamil Nadu 26-Dec-2028</t>
  </si>
  <si>
    <t>IN3120180200</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</si>
  <si>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</si>
  <si>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</si>
  <si>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</si>
  <si>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</si>
  <si>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</si>
  <si>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</si>
  <si>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</si>
  <si>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</si>
  <si>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</si>
  <si>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</si>
  <si>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</si>
  <si>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</si>
  <si>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</si>
  <si>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</si>
  <si>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</si>
  <si>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</si>
  <si>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</si>
  <si>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</si>
  <si>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</si>
  <si>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</si>
  <si>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</si>
  <si>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</si>
  <si>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</si>
  <si>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</si>
  <si>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</si>
  <si>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</si>
  <si>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</si>
  <si>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</si>
  <si>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</si>
  <si>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</si>
  <si>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</si>
  <si>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</si>
  <si>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</si>
  <si>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</si>
  <si>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</si>
  <si>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</si>
  <si>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</si>
  <si>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</si>
  <si>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</si>
  <si>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</si>
  <si>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</si>
  <si>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</si>
  <si>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</si>
  <si>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</si>
  <si>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</si>
  <si>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</si>
  <si>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2450 days.</t>
  </si>
  <si>
    <t>(12)  Details of repo transaction in corporate debt securities for the Month ended April 30, 2023 is Nil.</t>
  </si>
  <si>
    <t>(13)  Investments in debt instruments having structured obligations or credit enhancement features as at April 30, 2023 is Rs. 201.39 Lacs.</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</si>
  <si>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</si>
  <si>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</si>
  <si>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</si>
  <si>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</si>
  <si>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</si>
  <si>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</si>
  <si>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</si>
  <si>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1866 days.</t>
  </si>
  <si>
    <t>(18) Annualised Portfolio YTM has been 7.5117.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</si>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</sst>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122</xdr:row>
      <xdr:rowOff>152400</xdr:rowOff>
    </xdr:from>
    <xdr:to>
      <xdr:col>5</xdr:col>
      <xdr:colOff>385741</xdr:colOff>
      <xdr:row>138</xdr:row>
      <xdr:rowOff>133773</xdr:rowOff>
    </xdr:to>
    <xdr:pic>
      <xdr:nvPicPr>
        <xdr:cNvPr id="2" name="Picture 1" descr="Baroda BNP Paribas Corporate Bond Fund.jpg"/>
        <xdr:cNvPicPr>
          <a:picLocks noChangeAspect="1"/>
        </xdr:cNvPicPr>
      </xdr:nvPicPr>
      <xdr:blipFill>
        <a:blip xmlns:r="http://schemas.openxmlformats.org/officeDocument/2006/relationships" r:embed="rId1"/>
        <a:stretch>
          <a:fillRect/>
        </a:stretch>
      </xdr:blipFill>
      <xdr:spPr>
        <a:xfrm>
          <a:off x="76200" y="22148800"/>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49"/>
  <sheetViews>
    <sheetView showGridLines="0" tabSelected="1" zoomScale="90" zoomScaleNormal="90" workbookViewId="0">
      <pane ySplit="6" topLeftCell="A134" activePane="bottomLeft" state="frozen"/>
      <selection activeCell="I2" sqref="I2"/>
      <selection pane="bottomLeft" activeCell="C140" sqref="C140:F140"/>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1130</v>
      </c>
      <c r="G18" s="32">
        <v>1138.8399999999999</v>
      </c>
      <c r="H18" s="32">
        <v>8.15</v>
      </c>
      <c r="I18" s="33">
        <v>7.9696999999999996</v>
      </c>
      <c r="J18" s="33"/>
      <c r="K18" s="34" t="s">
        <v>25</v>
      </c>
    </row>
    <row r="19" spans="2:11">
      <c r="B19" s="1" t="s">
        <v>26</v>
      </c>
      <c r="C19" s="21" t="s">
        <v>27</v>
      </c>
      <c r="D19" s="29" t="s">
        <v>28</v>
      </c>
      <c r="E19" s="30" t="s">
        <v>29</v>
      </c>
      <c r="F19" s="31">
        <v>110</v>
      </c>
      <c r="G19" s="32">
        <v>1116.3399999999999</v>
      </c>
      <c r="H19" s="32">
        <v>7.99</v>
      </c>
      <c r="I19" s="33">
        <v>7.43</v>
      </c>
      <c r="J19" s="33"/>
      <c r="K19" s="34" t="s">
        <v>25</v>
      </c>
    </row>
    <row r="20" spans="2:11">
      <c r="B20" s="1" t="s">
        <v>30</v>
      </c>
      <c r="C20" s="21" t="s">
        <v>31</v>
      </c>
      <c r="D20" s="29" t="s">
        <v>32</v>
      </c>
      <c r="E20" s="30" t="s">
        <v>29</v>
      </c>
      <c r="F20" s="31">
        <v>100</v>
      </c>
      <c r="G20" s="32">
        <v>1050.5899999999999</v>
      </c>
      <c r="H20" s="32">
        <v>7.52</v>
      </c>
      <c r="I20" s="33">
        <v>7.3949999999999996</v>
      </c>
      <c r="J20" s="33"/>
      <c r="K20" s="34" t="s">
        <v>25</v>
      </c>
    </row>
    <row r="21" spans="2:11">
      <c r="B21" s="1" t="s">
        <v>33</v>
      </c>
      <c r="C21" s="21" t="s">
        <v>34</v>
      </c>
      <c r="D21" s="29" t="s">
        <v>35</v>
      </c>
      <c r="E21" s="30" t="s">
        <v>29</v>
      </c>
      <c r="F21" s="31">
        <v>1000</v>
      </c>
      <c r="G21" s="32">
        <v>1014.23</v>
      </c>
      <c r="H21" s="32">
        <v>7.26</v>
      </c>
      <c r="I21" s="33">
        <v>7.4896000000000003</v>
      </c>
      <c r="J21" s="33"/>
      <c r="K21" s="34" t="s">
        <v>25</v>
      </c>
    </row>
    <row r="22" spans="2:11">
      <c r="B22" s="1" t="s">
        <v>36</v>
      </c>
      <c r="C22" s="21" t="s">
        <v>37</v>
      </c>
      <c r="D22" s="29" t="s">
        <v>38</v>
      </c>
      <c r="E22" s="30" t="s">
        <v>29</v>
      </c>
      <c r="F22" s="31">
        <v>1000</v>
      </c>
      <c r="G22" s="32">
        <v>1010.98</v>
      </c>
      <c r="H22" s="32">
        <v>7.24</v>
      </c>
      <c r="I22" s="33">
        <v>7.5635000000000003</v>
      </c>
      <c r="J22" s="33"/>
      <c r="K22" s="34" t="s">
        <v>25</v>
      </c>
    </row>
    <row r="23" spans="2:11">
      <c r="B23" s="1" t="s">
        <v>39</v>
      </c>
      <c r="C23" s="21" t="s">
        <v>40</v>
      </c>
      <c r="D23" s="29" t="s">
        <v>41</v>
      </c>
      <c r="E23" s="30" t="s">
        <v>24</v>
      </c>
      <c r="F23" s="31">
        <v>1000</v>
      </c>
      <c r="G23" s="32">
        <v>1007.4</v>
      </c>
      <c r="H23" s="32">
        <v>7.21</v>
      </c>
      <c r="I23" s="33">
        <v>8</v>
      </c>
      <c r="J23" s="33"/>
      <c r="K23" s="34" t="s">
        <v>25</v>
      </c>
    </row>
    <row r="24" spans="2:11">
      <c r="B24" s="1" t="s">
        <v>42</v>
      </c>
      <c r="C24" s="21" t="s">
        <v>43</v>
      </c>
      <c r="D24" s="29" t="s">
        <v>44</v>
      </c>
      <c r="E24" s="30" t="s">
        <v>29</v>
      </c>
      <c r="F24" s="31">
        <v>100</v>
      </c>
      <c r="G24" s="32">
        <v>1006.7</v>
      </c>
      <c r="H24" s="32">
        <v>7.21</v>
      </c>
      <c r="I24" s="33">
        <v>7.4375</v>
      </c>
      <c r="J24" s="33"/>
      <c r="K24" s="34" t="s">
        <v>25</v>
      </c>
    </row>
    <row r="25" spans="2:11">
      <c r="B25" s="1" t="s">
        <v>45</v>
      </c>
      <c r="C25" s="21" t="s">
        <v>46</v>
      </c>
      <c r="D25" s="29" t="s">
        <v>47</v>
      </c>
      <c r="E25" s="30" t="s">
        <v>48</v>
      </c>
      <c r="F25" s="31">
        <v>100</v>
      </c>
      <c r="G25" s="32">
        <v>1000.74</v>
      </c>
      <c r="H25" s="32">
        <v>7.16</v>
      </c>
      <c r="I25" s="33">
        <v>7.3448000000000002</v>
      </c>
      <c r="J25" s="33"/>
      <c r="K25" s="34" t="s">
        <v>25</v>
      </c>
    </row>
    <row r="26" spans="2:11">
      <c r="B26" s="1" t="s">
        <v>49</v>
      </c>
      <c r="C26" s="21" t="s">
        <v>50</v>
      </c>
      <c r="D26" s="29" t="s">
        <v>51</v>
      </c>
      <c r="E26" s="30" t="s">
        <v>29</v>
      </c>
      <c r="F26" s="31">
        <v>80</v>
      </c>
      <c r="G26" s="32">
        <v>812.14</v>
      </c>
      <c r="H26" s="32">
        <v>5.81</v>
      </c>
      <c r="I26" s="33">
        <v>7.7949999999999999</v>
      </c>
      <c r="J26" s="33"/>
      <c r="K26" s="34" t="s">
        <v>25</v>
      </c>
    </row>
    <row r="27" spans="2:11">
      <c r="B27" s="1" t="s">
        <v>52</v>
      </c>
      <c r="C27" s="21" t="s">
        <v>53</v>
      </c>
      <c r="D27" s="29" t="s">
        <v>54</v>
      </c>
      <c r="E27" s="30" t="s">
        <v>29</v>
      </c>
      <c r="F27" s="31">
        <v>80</v>
      </c>
      <c r="G27" s="32">
        <v>800.76</v>
      </c>
      <c r="H27" s="32">
        <v>5.73</v>
      </c>
      <c r="I27" s="33">
        <v>7.7750000000000004</v>
      </c>
      <c r="J27" s="33"/>
      <c r="K27" s="34" t="s">
        <v>25</v>
      </c>
    </row>
    <row r="28" spans="2:11">
      <c r="B28" s="1" t="s">
        <v>55</v>
      </c>
      <c r="C28" s="21" t="s">
        <v>56</v>
      </c>
      <c r="D28" s="29" t="s">
        <v>57</v>
      </c>
      <c r="E28" s="30" t="s">
        <v>58</v>
      </c>
      <c r="F28" s="31">
        <v>20</v>
      </c>
      <c r="G28" s="32">
        <v>201.39</v>
      </c>
      <c r="H28" s="32">
        <v>1.44</v>
      </c>
      <c r="I28" s="33">
        <v>7.49</v>
      </c>
      <c r="J28" s="33"/>
      <c r="K28" s="34"/>
    </row>
    <row r="29" spans="2:11">
      <c r="B29" s="1" t="s">
        <v>59</v>
      </c>
      <c r="C29" s="21" t="s">
        <v>60</v>
      </c>
      <c r="D29" s="29" t="s">
        <v>61</v>
      </c>
      <c r="E29" s="30" t="s">
        <v>29</v>
      </c>
      <c r="F29" s="31">
        <v>15</v>
      </c>
      <c r="G29" s="32">
        <v>157.24</v>
      </c>
      <c r="H29" s="32">
        <v>1.1299999999999999</v>
      </c>
      <c r="I29" s="33">
        <v>7.2949999999999999</v>
      </c>
      <c r="J29" s="33"/>
      <c r="K29" s="34"/>
    </row>
    <row r="30" spans="2:11">
      <c r="B30" s="1" t="s">
        <v>62</v>
      </c>
      <c r="C30" s="21" t="s">
        <v>63</v>
      </c>
      <c r="D30" s="29" t="s">
        <v>64</v>
      </c>
      <c r="E30" s="30" t="s">
        <v>29</v>
      </c>
      <c r="F30" s="31">
        <v>15</v>
      </c>
      <c r="G30" s="32">
        <v>151.56</v>
      </c>
      <c r="H30" s="32">
        <v>1.08</v>
      </c>
      <c r="I30" s="33">
        <v>7.3425000000000002</v>
      </c>
      <c r="J30" s="33"/>
      <c r="K30" s="34" t="s">
        <v>25</v>
      </c>
    </row>
    <row r="31" spans="2:11">
      <c r="B31" s="1" t="s">
        <v>65</v>
      </c>
      <c r="C31" s="21" t="s">
        <v>66</v>
      </c>
      <c r="D31" s="29" t="s">
        <v>67</v>
      </c>
      <c r="E31" s="30" t="s">
        <v>29</v>
      </c>
      <c r="F31" s="31">
        <v>15</v>
      </c>
      <c r="G31" s="32">
        <v>146.62</v>
      </c>
      <c r="H31" s="32">
        <v>1.05</v>
      </c>
      <c r="I31" s="33">
        <v>7.25</v>
      </c>
      <c r="J31" s="33"/>
      <c r="K31" s="34" t="s">
        <v>25</v>
      </c>
    </row>
    <row r="32" spans="2:11">
      <c r="B32" s="1" t="s">
        <v>68</v>
      </c>
      <c r="C32" s="21" t="s">
        <v>69</v>
      </c>
      <c r="D32" s="29" t="s">
        <v>70</v>
      </c>
      <c r="E32" s="30" t="s">
        <v>29</v>
      </c>
      <c r="F32" s="31">
        <v>13</v>
      </c>
      <c r="G32" s="32">
        <v>129.91999999999999</v>
      </c>
      <c r="H32" s="32">
        <v>0.93</v>
      </c>
      <c r="I32" s="33">
        <v>7.22</v>
      </c>
      <c r="J32" s="33"/>
      <c r="K32" s="34" t="s">
        <v>25</v>
      </c>
    </row>
    <row r="33" spans="2:11">
      <c r="B33" s="1" t="s">
        <v>71</v>
      </c>
      <c r="C33" s="21" t="s">
        <v>72</v>
      </c>
      <c r="D33" s="29" t="s">
        <v>73</v>
      </c>
      <c r="E33" s="30" t="s">
        <v>74</v>
      </c>
      <c r="F33" s="31">
        <v>10</v>
      </c>
      <c r="G33" s="32">
        <v>100.46</v>
      </c>
      <c r="H33" s="32">
        <v>0.72</v>
      </c>
      <c r="I33" s="33">
        <v>8.3099000000000007</v>
      </c>
      <c r="J33" s="33"/>
      <c r="K33" s="34" t="s">
        <v>25</v>
      </c>
    </row>
    <row r="34" spans="2:11">
      <c r="C34" s="28" t="s">
        <v>75</v>
      </c>
      <c r="D34" s="29"/>
      <c r="E34" s="30"/>
      <c r="F34" s="31"/>
      <c r="G34" s="38">
        <v>10845.91</v>
      </c>
      <c r="H34" s="38">
        <v>77.63</v>
      </c>
      <c r="I34" s="33"/>
      <c r="J34" s="33"/>
      <c r="K34" s="34"/>
    </row>
    <row r="35" spans="2:11">
      <c r="C35" s="21"/>
      <c r="D35" s="29"/>
      <c r="E35" s="30"/>
      <c r="F35" s="31"/>
      <c r="G35" s="32"/>
      <c r="H35" s="32"/>
      <c r="I35" s="33"/>
      <c r="J35" s="33"/>
      <c r="K35" s="34"/>
    </row>
    <row r="36" spans="2:11">
      <c r="C36" s="28" t="s">
        <v>76</v>
      </c>
      <c r="D36" s="29"/>
      <c r="E36" s="30"/>
      <c r="F36" s="31"/>
      <c r="G36" s="32" t="s">
        <v>16</v>
      </c>
      <c r="H36" s="32" t="s">
        <v>16</v>
      </c>
      <c r="I36" s="33"/>
      <c r="J36" s="33"/>
      <c r="K36" s="34"/>
    </row>
    <row r="37" spans="2:11">
      <c r="C37" s="21"/>
      <c r="D37" s="29"/>
      <c r="E37" s="30"/>
      <c r="F37" s="31"/>
      <c r="G37" s="32"/>
      <c r="H37" s="32"/>
      <c r="I37" s="33"/>
      <c r="J37" s="33"/>
      <c r="K37" s="34"/>
    </row>
    <row r="38" spans="2:11">
      <c r="C38" s="28" t="s">
        <v>77</v>
      </c>
      <c r="D38" s="29"/>
      <c r="E38" s="30"/>
      <c r="F38" s="31"/>
      <c r="G38" s="32" t="s">
        <v>16</v>
      </c>
      <c r="H38" s="32" t="s">
        <v>16</v>
      </c>
      <c r="I38" s="33"/>
      <c r="J38" s="33"/>
      <c r="K38" s="34"/>
    </row>
    <row r="39" spans="2:11">
      <c r="C39" s="21"/>
      <c r="D39" s="29"/>
      <c r="E39" s="30"/>
      <c r="F39" s="31"/>
      <c r="G39" s="32"/>
      <c r="H39" s="32"/>
      <c r="I39" s="33"/>
      <c r="J39" s="33"/>
      <c r="K39" s="34"/>
    </row>
    <row r="40" spans="2:11">
      <c r="C40" s="37" t="s">
        <v>78</v>
      </c>
      <c r="D40" s="29"/>
      <c r="E40" s="30"/>
      <c r="F40" s="31"/>
      <c r="G40" s="32"/>
      <c r="H40" s="32"/>
      <c r="I40" s="33"/>
      <c r="J40" s="33"/>
      <c r="K40" s="34"/>
    </row>
    <row r="41" spans="2:11">
      <c r="B41" s="1" t="s">
        <v>79</v>
      </c>
      <c r="C41" s="21" t="s">
        <v>80</v>
      </c>
      <c r="D41" s="29" t="s">
        <v>81</v>
      </c>
      <c r="E41" s="30" t="s">
        <v>82</v>
      </c>
      <c r="F41" s="31">
        <v>1500000</v>
      </c>
      <c r="G41" s="32">
        <v>1502.77</v>
      </c>
      <c r="H41" s="32">
        <v>10.76</v>
      </c>
      <c r="I41" s="33">
        <v>7.1876669</v>
      </c>
      <c r="J41" s="33"/>
      <c r="K41" s="34"/>
    </row>
    <row r="42" spans="2:11">
      <c r="B42" s="1" t="s">
        <v>83</v>
      </c>
      <c r="C42" s="21" t="s">
        <v>84</v>
      </c>
      <c r="D42" s="29" t="s">
        <v>85</v>
      </c>
      <c r="E42" s="30" t="s">
        <v>82</v>
      </c>
      <c r="F42" s="31">
        <v>10000</v>
      </c>
      <c r="G42" s="32">
        <v>9.67</v>
      </c>
      <c r="H42" s="32">
        <v>7.0000000000000007E-2</v>
      </c>
      <c r="I42" s="33">
        <v>7.0094436</v>
      </c>
      <c r="J42" s="33"/>
      <c r="K42" s="34"/>
    </row>
    <row r="43" spans="2:11">
      <c r="C43" s="28" t="s">
        <v>75</v>
      </c>
      <c r="D43" s="29"/>
      <c r="E43" s="30"/>
      <c r="F43" s="31"/>
      <c r="G43" s="38">
        <v>1512.44</v>
      </c>
      <c r="H43" s="38">
        <v>10.83</v>
      </c>
      <c r="I43" s="33"/>
      <c r="J43" s="33"/>
      <c r="K43" s="34"/>
    </row>
    <row r="44" spans="2:11">
      <c r="C44" s="21"/>
      <c r="D44" s="29"/>
      <c r="E44" s="30"/>
      <c r="F44" s="31"/>
      <c r="G44" s="32"/>
      <c r="H44" s="32"/>
      <c r="I44" s="33"/>
      <c r="J44" s="33"/>
      <c r="K44" s="34"/>
    </row>
    <row r="45" spans="2:11">
      <c r="C45" s="37" t="s">
        <v>86</v>
      </c>
      <c r="D45" s="29"/>
      <c r="E45" s="30"/>
      <c r="F45" s="31"/>
      <c r="G45" s="32"/>
      <c r="H45" s="32"/>
      <c r="I45" s="33"/>
      <c r="J45" s="33"/>
      <c r="K45" s="34"/>
    </row>
    <row r="46" spans="2:11">
      <c r="B46" s="1" t="s">
        <v>87</v>
      </c>
      <c r="C46" s="21" t="s">
        <v>88</v>
      </c>
      <c r="D46" s="29" t="s">
        <v>89</v>
      </c>
      <c r="E46" s="30" t="s">
        <v>82</v>
      </c>
      <c r="F46" s="31">
        <v>800000</v>
      </c>
      <c r="G46" s="32">
        <v>814.27</v>
      </c>
      <c r="H46" s="32">
        <v>5.83</v>
      </c>
      <c r="I46" s="33">
        <v>7.4277341999999997</v>
      </c>
      <c r="J46" s="33"/>
      <c r="K46" s="34"/>
    </row>
    <row r="47" spans="2:11">
      <c r="B47" s="1" t="s">
        <v>90</v>
      </c>
      <c r="C47" s="21" t="s">
        <v>91</v>
      </c>
      <c r="D47" s="29" t="s">
        <v>92</v>
      </c>
      <c r="E47" s="30" t="s">
        <v>82</v>
      </c>
      <c r="F47" s="31">
        <v>250000</v>
      </c>
      <c r="G47" s="32">
        <v>258</v>
      </c>
      <c r="H47" s="32">
        <v>1.85</v>
      </c>
      <c r="I47" s="33">
        <v>7.5101035999999999</v>
      </c>
      <c r="J47" s="33"/>
      <c r="K47" s="34"/>
    </row>
    <row r="48" spans="2:11">
      <c r="C48" s="28" t="s">
        <v>75</v>
      </c>
      <c r="D48" s="29"/>
      <c r="E48" s="30"/>
      <c r="F48" s="31"/>
      <c r="G48" s="38">
        <v>1072.27</v>
      </c>
      <c r="H48" s="38">
        <v>7.68</v>
      </c>
      <c r="I48" s="33"/>
      <c r="J48" s="33"/>
      <c r="K48" s="34"/>
    </row>
    <row r="49" spans="1:11">
      <c r="C49" s="21"/>
      <c r="D49" s="29"/>
      <c r="E49" s="30"/>
      <c r="F49" s="31"/>
      <c r="G49" s="32"/>
      <c r="H49" s="32"/>
      <c r="I49" s="33"/>
      <c r="J49" s="33"/>
      <c r="K49" s="34"/>
    </row>
    <row r="50" spans="1:11">
      <c r="C50" s="28" t="s">
        <v>93</v>
      </c>
      <c r="D50" s="29"/>
      <c r="E50" s="30"/>
      <c r="F50" s="31"/>
      <c r="G50" s="32"/>
      <c r="H50" s="32"/>
      <c r="I50" s="33"/>
      <c r="J50" s="33"/>
      <c r="K50" s="34"/>
    </row>
    <row r="51" spans="1:11">
      <c r="C51" s="21"/>
      <c r="D51" s="29"/>
      <c r="E51" s="30"/>
      <c r="F51" s="31"/>
      <c r="G51" s="32"/>
      <c r="H51" s="32"/>
      <c r="I51" s="33"/>
      <c r="J51" s="33"/>
      <c r="K51" s="34"/>
    </row>
    <row r="52" spans="1:11">
      <c r="C52" s="28" t="s">
        <v>94</v>
      </c>
      <c r="D52" s="29"/>
      <c r="E52" s="30"/>
      <c r="F52" s="31"/>
      <c r="G52" s="32" t="s">
        <v>16</v>
      </c>
      <c r="H52" s="32" t="s">
        <v>16</v>
      </c>
      <c r="I52" s="33"/>
      <c r="J52" s="33"/>
      <c r="K52" s="34"/>
    </row>
    <row r="53" spans="1:11">
      <c r="C53" s="21"/>
      <c r="D53" s="29"/>
      <c r="E53" s="30"/>
      <c r="F53" s="31"/>
      <c r="G53" s="32"/>
      <c r="H53" s="32"/>
      <c r="I53" s="33"/>
      <c r="J53" s="33"/>
      <c r="K53" s="34"/>
    </row>
    <row r="54" spans="1:11">
      <c r="C54" s="28" t="s">
        <v>95</v>
      </c>
      <c r="D54" s="29"/>
      <c r="E54" s="30"/>
      <c r="F54" s="31"/>
      <c r="G54" s="32" t="s">
        <v>16</v>
      </c>
      <c r="H54" s="32" t="s">
        <v>16</v>
      </c>
      <c r="I54" s="33"/>
      <c r="J54" s="33"/>
      <c r="K54" s="34"/>
    </row>
    <row r="55" spans="1:11">
      <c r="C55" s="21"/>
      <c r="D55" s="29"/>
      <c r="E55" s="30"/>
      <c r="F55" s="31"/>
      <c r="G55" s="32"/>
      <c r="H55" s="32"/>
      <c r="I55" s="33"/>
      <c r="J55" s="33"/>
      <c r="K55" s="34"/>
    </row>
    <row r="56" spans="1:11">
      <c r="C56" s="28" t="s">
        <v>96</v>
      </c>
      <c r="D56" s="29"/>
      <c r="E56" s="30"/>
      <c r="F56" s="31"/>
      <c r="G56" s="32" t="s">
        <v>16</v>
      </c>
      <c r="H56" s="32" t="s">
        <v>16</v>
      </c>
      <c r="I56" s="33"/>
      <c r="J56" s="33"/>
      <c r="K56" s="34"/>
    </row>
    <row r="57" spans="1:11">
      <c r="C57" s="21"/>
      <c r="D57" s="29"/>
      <c r="E57" s="30"/>
      <c r="F57" s="31"/>
      <c r="G57" s="32"/>
      <c r="H57" s="32"/>
      <c r="I57" s="33"/>
      <c r="J57" s="33"/>
      <c r="K57" s="34"/>
    </row>
    <row r="58" spans="1:11">
      <c r="C58" s="28" t="s">
        <v>97</v>
      </c>
      <c r="D58" s="29"/>
      <c r="E58" s="30"/>
      <c r="F58" s="31"/>
      <c r="G58" s="32" t="s">
        <v>16</v>
      </c>
      <c r="H58" s="32" t="s">
        <v>16</v>
      </c>
      <c r="I58" s="33"/>
      <c r="J58" s="33"/>
      <c r="K58" s="34"/>
    </row>
    <row r="59" spans="1:11">
      <c r="C59" s="21"/>
      <c r="D59" s="29"/>
      <c r="E59" s="30"/>
      <c r="F59" s="31"/>
      <c r="G59" s="32"/>
      <c r="H59" s="32"/>
      <c r="I59" s="33"/>
      <c r="J59" s="33"/>
      <c r="K59" s="34"/>
    </row>
    <row r="60" spans="1:11">
      <c r="A60" s="35"/>
      <c r="B60" s="36"/>
      <c r="C60" s="28" t="s">
        <v>98</v>
      </c>
      <c r="D60" s="29"/>
      <c r="E60" s="30"/>
      <c r="F60" s="31"/>
      <c r="G60" s="32"/>
      <c r="H60" s="32"/>
      <c r="I60" s="33"/>
      <c r="J60" s="33"/>
      <c r="K60" s="34"/>
    </row>
    <row r="61" spans="1:11">
      <c r="A61" s="36"/>
      <c r="B61" s="36"/>
      <c r="C61" s="28" t="s">
        <v>99</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100</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101</v>
      </c>
      <c r="D65" s="29"/>
      <c r="E65" s="30"/>
      <c r="F65" s="31"/>
      <c r="G65" s="32" t="s">
        <v>16</v>
      </c>
      <c r="H65" s="32" t="s">
        <v>16</v>
      </c>
      <c r="I65" s="33"/>
      <c r="J65" s="33"/>
      <c r="K65" s="34"/>
    </row>
    <row r="66" spans="1:11">
      <c r="A66" s="36"/>
      <c r="B66" s="36"/>
      <c r="C66" s="28"/>
      <c r="D66" s="29"/>
      <c r="E66" s="30"/>
      <c r="F66" s="31"/>
      <c r="G66" s="32"/>
      <c r="H66" s="32"/>
      <c r="I66" s="33"/>
      <c r="J66" s="33"/>
      <c r="K66" s="34"/>
    </row>
    <row r="67" spans="1:11">
      <c r="A67" s="36"/>
      <c r="B67" s="36"/>
      <c r="C67" s="28" t="s">
        <v>102</v>
      </c>
      <c r="D67" s="29"/>
      <c r="E67" s="30"/>
      <c r="F67" s="31"/>
      <c r="G67" s="32" t="s">
        <v>16</v>
      </c>
      <c r="H67" s="32" t="s">
        <v>16</v>
      </c>
      <c r="I67" s="33"/>
      <c r="J67" s="33"/>
      <c r="K67" s="34"/>
    </row>
    <row r="68" spans="1:11">
      <c r="A68" s="36"/>
      <c r="B68" s="36"/>
      <c r="C68" s="28"/>
      <c r="D68" s="29"/>
      <c r="E68" s="30"/>
      <c r="F68" s="31"/>
      <c r="G68" s="32"/>
      <c r="H68" s="32"/>
      <c r="I68" s="33"/>
      <c r="J68" s="33"/>
      <c r="K68" s="34"/>
    </row>
    <row r="69" spans="1:11">
      <c r="C69" s="37" t="s">
        <v>103</v>
      </c>
      <c r="D69" s="29"/>
      <c r="E69" s="30"/>
      <c r="F69" s="31"/>
      <c r="G69" s="32"/>
      <c r="H69" s="32"/>
      <c r="I69" s="33"/>
      <c r="J69" s="33"/>
      <c r="K69" s="34"/>
    </row>
    <row r="70" spans="1:11">
      <c r="B70" s="1" t="s">
        <v>104</v>
      </c>
      <c r="C70" s="21" t="s">
        <v>105</v>
      </c>
      <c r="D70" s="29"/>
      <c r="E70" s="30"/>
      <c r="F70" s="31"/>
      <c r="G70" s="32">
        <v>432.67</v>
      </c>
      <c r="H70" s="32">
        <v>3.1</v>
      </c>
      <c r="I70" s="33">
        <v>6.76</v>
      </c>
      <c r="J70" s="33"/>
      <c r="K70" s="34"/>
    </row>
    <row r="71" spans="1:11">
      <c r="C71" s="28" t="s">
        <v>75</v>
      </c>
      <c r="D71" s="29"/>
      <c r="E71" s="30"/>
      <c r="F71" s="31"/>
      <c r="G71" s="38">
        <v>432.67</v>
      </c>
      <c r="H71" s="38">
        <v>3.1</v>
      </c>
      <c r="I71" s="33"/>
      <c r="J71" s="33"/>
      <c r="K71" s="34"/>
    </row>
    <row r="72" spans="1:11">
      <c r="C72" s="21"/>
      <c r="D72" s="29"/>
      <c r="E72" s="30"/>
      <c r="F72" s="31"/>
      <c r="G72" s="32"/>
      <c r="H72" s="32"/>
      <c r="I72" s="33"/>
      <c r="J72" s="33"/>
      <c r="K72" s="34"/>
    </row>
    <row r="73" spans="1:11">
      <c r="A73" s="35"/>
      <c r="B73" s="36"/>
      <c r="C73" s="28" t="s">
        <v>106</v>
      </c>
      <c r="D73" s="29"/>
      <c r="E73" s="30"/>
      <c r="F73" s="31"/>
      <c r="G73" s="32"/>
      <c r="H73" s="32"/>
      <c r="I73" s="33"/>
      <c r="J73" s="33"/>
      <c r="K73" s="34"/>
    </row>
    <row r="74" spans="1:11">
      <c r="B74" s="1"/>
      <c r="C74" s="21" t="s">
        <v>107</v>
      </c>
      <c r="D74" s="29"/>
      <c r="E74" s="30"/>
      <c r="F74" s="31"/>
      <c r="G74" s="32">
        <v>106.74</v>
      </c>
      <c r="H74" s="32">
        <v>0.76</v>
      </c>
      <c r="I74" s="33"/>
      <c r="J74" s="33"/>
      <c r="K74" s="34"/>
    </row>
    <row r="75" spans="1:11">
      <c r="C75" s="28" t="s">
        <v>75</v>
      </c>
      <c r="D75" s="29"/>
      <c r="E75" s="30"/>
      <c r="F75" s="31"/>
      <c r="G75" s="38">
        <v>106.74</v>
      </c>
      <c r="H75" s="38">
        <v>0.76</v>
      </c>
      <c r="I75" s="33"/>
      <c r="J75" s="33"/>
      <c r="K75" s="34"/>
    </row>
    <row r="76" spans="1:11">
      <c r="C76" s="21"/>
      <c r="D76" s="29"/>
      <c r="E76" s="30"/>
      <c r="F76" s="31"/>
      <c r="G76" s="32"/>
      <c r="H76" s="32"/>
      <c r="I76" s="33"/>
      <c r="J76" s="33"/>
      <c r="K76" s="34"/>
    </row>
    <row r="77" spans="1:11" ht="14.4" thickBot="1">
      <c r="C77" s="39" t="s">
        <v>108</v>
      </c>
      <c r="D77" s="40"/>
      <c r="E77" s="41"/>
      <c r="F77" s="42"/>
      <c r="G77" s="43">
        <v>13970.03</v>
      </c>
      <c r="H77" s="43">
        <f>SUMIFS(H:H,C:C,"Total")</f>
        <v>99.999999999999986</v>
      </c>
      <c r="I77" s="44"/>
      <c r="J77" s="44"/>
      <c r="K77" s="45"/>
    </row>
    <row r="80" spans="1:11">
      <c r="C80" s="11" t="s">
        <v>109</v>
      </c>
    </row>
    <row r="81" spans="3:55">
      <c r="C81" s="2" t="s">
        <v>110</v>
      </c>
    </row>
    <row r="82" spans="3:55">
      <c r="C82" s="46" t="s">
        <v>111</v>
      </c>
    </row>
    <row r="83" spans="3:55">
      <c r="C83" s="2" t="s">
        <v>112</v>
      </c>
    </row>
    <row r="84" spans="3:55">
      <c r="C84" s="2" t="s">
        <v>113</v>
      </c>
    </row>
    <row r="85" spans="3:55">
      <c r="C85" s="2" t="s">
        <v>114</v>
      </c>
      <c r="D85" s="47"/>
      <c r="E85" s="47"/>
      <c r="F85" s="47"/>
      <c r="G85" s="48"/>
      <c r="H85" s="48"/>
    </row>
    <row r="86" spans="3:55">
      <c r="C86" s="2" t="s">
        <v>115</v>
      </c>
    </row>
    <row r="87" spans="3:55">
      <c r="C87" s="2" t="s">
        <v>116</v>
      </c>
    </row>
    <row r="88" spans="3:55">
      <c r="C88" s="2" t="s">
        <v>117</v>
      </c>
    </row>
    <row r="89" spans="3:55">
      <c r="C89" s="2" t="s">
        <v>118</v>
      </c>
    </row>
    <row r="90" spans="3:55" s="11" customFormat="1">
      <c r="C90" s="11" t="s">
        <v>119</v>
      </c>
      <c r="E90" s="11" t="s">
        <v>120</v>
      </c>
      <c r="F90" s="49" t="s">
        <v>121</v>
      </c>
      <c r="G90" s="50"/>
      <c r="H90" s="50"/>
      <c r="I90" s="50"/>
      <c r="J90" s="50"/>
      <c r="K90" s="51"/>
      <c r="L90" s="51"/>
      <c r="M90" s="51"/>
      <c r="AJ90" s="51"/>
      <c r="AW90" s="51"/>
      <c r="AY90" s="51"/>
      <c r="BC90" s="51"/>
    </row>
    <row r="91" spans="3:55">
      <c r="C91" s="2" t="s">
        <v>122</v>
      </c>
      <c r="E91" s="52">
        <v>22.943200000000001</v>
      </c>
      <c r="F91" s="53">
        <v>23.233599999999999</v>
      </c>
    </row>
    <row r="92" spans="3:55">
      <c r="C92" s="2" t="s">
        <v>123</v>
      </c>
      <c r="E92" s="52">
        <v>10.096399999999999</v>
      </c>
      <c r="F92" s="53">
        <v>10.1744</v>
      </c>
    </row>
    <row r="93" spans="3:55">
      <c r="C93" s="2" t="s">
        <v>124</v>
      </c>
      <c r="E93" s="52">
        <v>10.134499999999999</v>
      </c>
      <c r="F93" s="53">
        <v>10.2628</v>
      </c>
    </row>
    <row r="94" spans="3:55">
      <c r="C94" s="2" t="s">
        <v>125</v>
      </c>
      <c r="E94" s="52">
        <v>26.552099999999999</v>
      </c>
      <c r="F94" s="53">
        <v>26.888200000000001</v>
      </c>
    </row>
    <row r="95" spans="3:55">
      <c r="C95" s="2" t="s">
        <v>126</v>
      </c>
      <c r="E95" s="52">
        <v>10.065300000000001</v>
      </c>
      <c r="F95" s="53">
        <v>10.1426</v>
      </c>
    </row>
    <row r="96" spans="3:55">
      <c r="C96" s="2" t="s">
        <v>127</v>
      </c>
      <c r="E96" s="52">
        <v>10.0587</v>
      </c>
      <c r="F96" s="53">
        <v>10.186</v>
      </c>
    </row>
    <row r="97" spans="3:6">
      <c r="C97" s="2" t="s">
        <v>128</v>
      </c>
      <c r="E97" s="52">
        <v>10.273</v>
      </c>
      <c r="F97" s="53">
        <v>10.403</v>
      </c>
    </row>
    <row r="98" spans="3:6">
      <c r="C98" s="2" t="s">
        <v>129</v>
      </c>
      <c r="E98" s="52">
        <v>10.211399999999999</v>
      </c>
      <c r="F98" s="53">
        <v>10.3407</v>
      </c>
    </row>
    <row r="99" spans="3:6">
      <c r="C99" s="2" t="s">
        <v>130</v>
      </c>
      <c r="E99" s="52">
        <v>24.194099999999999</v>
      </c>
      <c r="F99" s="53">
        <v>24.507200000000001</v>
      </c>
    </row>
    <row r="100" spans="3:6">
      <c r="C100" s="2" t="s">
        <v>131</v>
      </c>
      <c r="E100" s="52">
        <v>10.135999999999999</v>
      </c>
      <c r="F100" s="53">
        <v>10.2174</v>
      </c>
    </row>
    <row r="101" spans="3:6">
      <c r="C101" s="2" t="s">
        <v>132</v>
      </c>
      <c r="E101" s="52">
        <v>10.237</v>
      </c>
      <c r="F101" s="53">
        <v>10.3695</v>
      </c>
    </row>
    <row r="102" spans="3:6">
      <c r="C102" s="2" t="s">
        <v>133</v>
      </c>
      <c r="E102" s="52">
        <v>10.428900000000001</v>
      </c>
      <c r="F102" s="53">
        <v>10.563800000000001</v>
      </c>
    </row>
    <row r="104" spans="3:6">
      <c r="C104" s="2" t="s">
        <v>134</v>
      </c>
      <c r="E104" s="11" t="s">
        <v>135</v>
      </c>
      <c r="F104" s="49" t="s">
        <v>136</v>
      </c>
    </row>
    <row r="105" spans="3:6">
      <c r="C105" s="2" t="s">
        <v>123</v>
      </c>
      <c r="E105" s="52">
        <v>0.05</v>
      </c>
      <c r="F105" s="53">
        <v>0.05</v>
      </c>
    </row>
    <row r="106" spans="3:6">
      <c r="C106" s="2" t="s">
        <v>126</v>
      </c>
      <c r="E106" s="52">
        <v>0.05</v>
      </c>
      <c r="F106" s="53">
        <v>0.05</v>
      </c>
    </row>
    <row r="107" spans="3:6">
      <c r="C107" s="2" t="s">
        <v>131</v>
      </c>
      <c r="E107" s="52">
        <v>0.05</v>
      </c>
      <c r="F107" s="53">
        <v>0.05</v>
      </c>
    </row>
    <row r="109" spans="3:6">
      <c r="C109" s="2" t="s">
        <v>137</v>
      </c>
    </row>
    <row r="110" spans="3:6">
      <c r="C110" s="2" t="s">
        <v>138</v>
      </c>
    </row>
    <row r="111" spans="3:6">
      <c r="C111" s="2" t="s">
        <v>139</v>
      </c>
    </row>
    <row r="112" spans="3:6">
      <c r="C112" s="2" t="s">
        <v>140</v>
      </c>
    </row>
    <row r="113" spans="3:11">
      <c r="C113" s="2" t="s">
        <v>141</v>
      </c>
    </row>
    <row r="114" spans="3:11">
      <c r="C114" s="2" t="s">
        <v>142</v>
      </c>
    </row>
    <row r="115" spans="3:11">
      <c r="C115" s="2" t="s">
        <v>143</v>
      </c>
    </row>
    <row r="116" spans="3:11">
      <c r="C116" s="2" t="s">
        <v>144</v>
      </c>
    </row>
    <row r="117" spans="3:11">
      <c r="C117" s="2" t="s">
        <v>145</v>
      </c>
    </row>
    <row r="118" spans="3:11">
      <c r="C118" s="2" t="s">
        <v>146</v>
      </c>
    </row>
    <row r="119" spans="3:11">
      <c r="C119" s="2" t="s">
        <v>147</v>
      </c>
    </row>
    <row r="120" spans="3:11">
      <c r="C120" s="2" t="s">
        <v>148</v>
      </c>
    </row>
    <row r="121" spans="3:11" ht="14.4">
      <c r="C121" s="54" t="s">
        <v>149</v>
      </c>
      <c r="D121" s="54"/>
      <c r="E121" s="55"/>
      <c r="F121" s="55"/>
      <c r="G121" s="55"/>
      <c r="H121" s="55"/>
      <c r="I121" s="55"/>
      <c r="J121" s="55"/>
      <c r="K121" s="55"/>
    </row>
    <row r="122" spans="3:11" ht="14.4">
      <c r="C122" s="55" t="s">
        <v>150</v>
      </c>
      <c r="D122" s="55"/>
      <c r="E122" s="55"/>
      <c r="F122" s="55"/>
      <c r="G122" s="55"/>
      <c r="H122" s="55"/>
      <c r="I122" s="55"/>
      <c r="J122" s="55"/>
      <c r="K122" s="55"/>
    </row>
    <row r="123" spans="3:11" ht="14.4">
      <c r="C123" s="55"/>
      <c r="D123" s="55"/>
      <c r="E123" s="55"/>
      <c r="F123" s="55"/>
      <c r="G123" s="55"/>
      <c r="H123" s="55"/>
      <c r="I123" s="55"/>
      <c r="J123" s="55"/>
      <c r="K123" s="55"/>
    </row>
    <row r="139" spans="3:6" ht="14.4" thickBot="1"/>
    <row r="140" spans="3:6" ht="14.4" thickBot="1">
      <c r="C140" s="66" t="s">
        <v>151</v>
      </c>
      <c r="D140" s="67"/>
      <c r="E140" s="67"/>
      <c r="F140" s="68"/>
    </row>
    <row r="141" spans="3:6" ht="14.4" thickBot="1">
      <c r="C141" s="56" t="s">
        <v>152</v>
      </c>
      <c r="D141" s="69" t="s">
        <v>153</v>
      </c>
      <c r="E141" s="69" t="s">
        <v>154</v>
      </c>
      <c r="F141" s="69" t="s">
        <v>155</v>
      </c>
    </row>
    <row r="142" spans="3:6" ht="14.4" thickBot="1">
      <c r="C142" s="56" t="s">
        <v>156</v>
      </c>
      <c r="D142" s="70"/>
      <c r="E142" s="70"/>
      <c r="F142" s="70"/>
    </row>
    <row r="143" spans="3:6" ht="14.4" thickBot="1">
      <c r="C143" s="57" t="s">
        <v>157</v>
      </c>
      <c r="D143" s="58"/>
      <c r="E143" s="58"/>
      <c r="F143" s="58"/>
    </row>
    <row r="144" spans="3:6">
      <c r="C144" s="59" t="s">
        <v>158</v>
      </c>
      <c r="D144" s="62"/>
      <c r="E144" s="62"/>
      <c r="F144" s="62"/>
    </row>
    <row r="145" spans="3:6" ht="14.4" thickBot="1">
      <c r="C145" s="57" t="s">
        <v>159</v>
      </c>
      <c r="D145" s="63"/>
      <c r="E145" s="63"/>
      <c r="F145" s="63"/>
    </row>
    <row r="146" spans="3:6">
      <c r="C146" s="59" t="s">
        <v>160</v>
      </c>
      <c r="D146" s="62"/>
      <c r="E146" s="64" t="s">
        <v>161</v>
      </c>
      <c r="F146" s="62"/>
    </row>
    <row r="147" spans="3:6" ht="14.4" thickBot="1">
      <c r="C147" s="57" t="s">
        <v>162</v>
      </c>
      <c r="D147" s="63"/>
      <c r="E147" s="65"/>
      <c r="F147" s="63"/>
    </row>
    <row r="148" spans="3:6">
      <c r="C148" s="60" t="s">
        <v>163</v>
      </c>
      <c r="D148" s="61"/>
      <c r="E148" s="61"/>
      <c r="F148" s="61"/>
    </row>
    <row r="149" spans="3:6">
      <c r="C149" s="2" t="s">
        <v>164</v>
      </c>
      <c r="D149" s="61"/>
      <c r="E149" s="61"/>
      <c r="F149" s="61"/>
    </row>
  </sheetData>
  <mergeCells count="10">
    <mergeCell ref="D146:D147"/>
    <mergeCell ref="E146:E147"/>
    <mergeCell ref="F146:F147"/>
    <mergeCell ref="C140:F140"/>
    <mergeCell ref="D141:D142"/>
    <mergeCell ref="E141:E142"/>
    <mergeCell ref="F141:F142"/>
    <mergeCell ref="D144:D145"/>
    <mergeCell ref="E144:E145"/>
    <mergeCell ref="F144:F14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XDO_?FINAL_ISIN?11?</vt:lpstr>
      <vt:lpstr>XDO_?FINAL_ISIN?12?</vt:lpstr>
      <vt:lpstr>XDO_?FINAL_ISIN?13?</vt:lpstr>
      <vt:lpstr>XDO_?FINAL_ISIN?14?</vt:lpstr>
      <vt:lpstr>XDO_?FINAL_ISIN?15?</vt:lpstr>
      <vt:lpstr>XDO_?FINAL_MV?11?</vt:lpstr>
      <vt:lpstr>XDO_?FINAL_MV?12?</vt:lpstr>
      <vt:lpstr>XDO_?FINAL_MV?13?</vt:lpstr>
      <vt:lpstr>XDO_?FINAL_MV?14?</vt:lpstr>
      <vt:lpstr>XDO_?FINAL_MV?15?</vt:lpstr>
      <vt:lpstr>XDO_?FINAL_NAME?11?</vt:lpstr>
      <vt:lpstr>XDO_?FINAL_NAME?12?</vt:lpstr>
      <vt:lpstr>XDO_?FINAL_NAME?13?</vt:lpstr>
      <vt:lpstr>XDO_?FINAL_NAME?14?</vt:lpstr>
      <vt:lpstr>XDO_?FINAL_NAME?15?</vt:lpstr>
      <vt:lpstr>XDO_?FINAL_PER_NET?11?</vt:lpstr>
      <vt:lpstr>XDO_?FINAL_PER_NET?12?</vt:lpstr>
      <vt:lpstr>XDO_?FINAL_PER_NET?13?</vt:lpstr>
      <vt:lpstr>XDO_?FINAL_PER_NET?14?</vt:lpstr>
      <vt:lpstr>XDO_?FINAL_PER_NET?15?</vt:lpstr>
      <vt:lpstr>XDO_?FINAL_QUANTITE?11?</vt:lpstr>
      <vt:lpstr>XDO_?FINAL_QUANTITE?12?</vt:lpstr>
      <vt:lpstr>XDO_?FINAL_QUANTITE?13?</vt:lpstr>
      <vt:lpstr>XDO_?FINAL_QUANTITE?14?</vt:lpstr>
      <vt:lpstr>XDO_?FINAL_QUANTITE?15?</vt:lpstr>
      <vt:lpstr>XDO_?NAMCNAME?3?</vt:lpstr>
      <vt:lpstr>XDO_?NOVAL?11?</vt:lpstr>
      <vt:lpstr>XDO_?NOVAL?12?</vt:lpstr>
      <vt:lpstr>XDO_?NOVAL?13?</vt:lpstr>
      <vt:lpstr>XDO_?NOVAL?14?</vt:lpstr>
      <vt:lpstr>XDO_?NOVAL?15?</vt:lpstr>
      <vt:lpstr>XDO_?NPTF?3?</vt:lpstr>
      <vt:lpstr>XDO_?RATING?11?</vt:lpstr>
      <vt:lpstr>XDO_?RATING?12?</vt:lpstr>
      <vt:lpstr>XDO_?RATING?13?</vt:lpstr>
      <vt:lpstr>XDO_?RATING?14?</vt:lpstr>
      <vt:lpstr>XDO_?RATING?15?</vt:lpstr>
      <vt:lpstr>XDO_?REMARKS?11?</vt:lpstr>
      <vt:lpstr>XDO_?REMARKS?12?</vt:lpstr>
      <vt:lpstr>XDO_?REMARKS?13?</vt:lpstr>
      <vt:lpstr>XDO_?REMARKS?14?</vt:lpstr>
      <vt:lpstr>XDO_?REMARKS?15?</vt:lpstr>
      <vt:lpstr>XDO_?TITL?3?</vt:lpstr>
      <vt:lpstr>XDO_?YTM?11?</vt:lpstr>
      <vt:lpstr>XDO_?YTM?12?</vt:lpstr>
      <vt:lpstr>XDO_?YTM?13?</vt:lpstr>
      <vt:lpstr>XDO_?YTM?14?</vt:lpstr>
      <vt:lpstr>XDO_?YTM?15?</vt:lpstr>
      <vt:lpstr>XDO_GROUP_?G_2?3?</vt:lpstr>
      <vt:lpstr>XDO_GROUP_?G_3?3?</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2023-05-05T11:12:14Z</dcterms:created>
  <dcterms:modified xsi:type="dcterms:W3CDTF">2023-05-06T07:19:34Z</dcterms:modified>
</cp:coreProperties>
</file>