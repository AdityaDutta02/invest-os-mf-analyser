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june-2023\BOBBNPMF_Monthly portfolio_Split_30-06-2023\"/>
    </mc:Choice>
  </mc:AlternateContent>
  <bookViews>
    <workbookView xWindow="0" yWindow="0" windowWidth="23040" windowHeight="9072"/>
  </bookViews>
  <sheets>
    <sheet name="NS" sheetId="1" r:id="rId1"/>
  </sheets>
  <externalReferences>
    <externalReference r:id="rId2"/>
  </externalReferences>
  <definedNames>
    <definedName name="XDO_?CLASS_3?4?">NS!$C$16:$C$24</definedName>
    <definedName name="XDO_?FINAL_ISIN?17?">NS!$D$24</definedName>
    <definedName name="XDO_?FINAL_ISIN?18?">NS!$D$24:$D$34</definedName>
    <definedName name="XDO_?FINAL_ISIN?19?">NS!$D$24:$D$57</definedName>
    <definedName name="XDO_?FINAL_ISIN?20?">NS!$D$24:$D$61</definedName>
    <definedName name="XDO_?FINAL_MV?17?">NS!$G$24</definedName>
    <definedName name="XDO_?FINAL_MV?18?">NS!$G$24:$G$34</definedName>
    <definedName name="XDO_?FINAL_MV?19?">NS!$G$24:$G$57</definedName>
    <definedName name="XDO_?FINAL_MV?20?">NS!$G$24:$G$61</definedName>
    <definedName name="XDO_?FINAL_NAME?17?">NS!$C$24</definedName>
    <definedName name="XDO_?FINAL_NAME?18?">NS!$C$24:$C$34</definedName>
    <definedName name="XDO_?FINAL_NAME?19?">NS!$C$24:$C$57</definedName>
    <definedName name="XDO_?FINAL_NAME?20?">NS!$C$24:$C$61</definedName>
    <definedName name="XDO_?FINAL_PER_NET?17?">NS!$H$24</definedName>
    <definedName name="XDO_?FINAL_PER_NET?18?">NS!$H$24:$H$34</definedName>
    <definedName name="XDO_?FINAL_PER_NET?19?">NS!$H$24:$H$57</definedName>
    <definedName name="XDO_?FINAL_PER_NET?20?">NS!$H$24:$H$61</definedName>
    <definedName name="XDO_?FINAL_QUANTITE?17?">NS!$F$24</definedName>
    <definedName name="XDO_?FINAL_QUANTITE?18?">NS!$F$24:$F$34</definedName>
    <definedName name="XDO_?FINAL_QUANTITE?19?">NS!$F$24:$F$57</definedName>
    <definedName name="XDO_?FINAL_QUANTITE?20?">NS!$F$24:$F$61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NS!#REF!</definedName>
    <definedName name="XDO_?NAMC?5?">[1]N2!#REF!</definedName>
    <definedName name="XDO_?NAMC?6?">[1]FT!#REF!</definedName>
    <definedName name="XDO_?NAMC?7?">[1]MC!#REF!</definedName>
    <definedName name="XDO_?NAMC?8?">[1]LC!#REF!</definedName>
    <definedName name="XDO_?NAMC?9?">[1]TA!#REF!</definedName>
    <definedName name="XDO_?NAMCNAME?4?">NS!$C$2:$C$24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NS!#REF!</definedName>
    <definedName name="XDO_?NNPTF?5?">[1]N2!#REF!</definedName>
    <definedName name="XDO_?NNPTF?6?">[1]FT!#REF!</definedName>
    <definedName name="XDO_?NNPTF?7?">[1]MC!#REF!</definedName>
    <definedName name="XDO_?NNPTF?8?">[1]LC!#REF!</definedName>
    <definedName name="XDO_?NNPTF?9?">[1]TA!#REF!</definedName>
    <definedName name="XDO_?NOVAL?17?">NS!$B$24</definedName>
    <definedName name="XDO_?NOVAL?18?">NS!$B$24:$B$34</definedName>
    <definedName name="XDO_?NOVAL?19?">NS!$B$24:$B$57</definedName>
    <definedName name="XDO_?NOVAL?20?">NS!$B$24:$B$61</definedName>
    <definedName name="XDO_?NPTF?4?">NS!$D$2:$D$24</definedName>
    <definedName name="XDO_?RATING?17?">NS!$E$24</definedName>
    <definedName name="XDO_?RATING?18?">NS!$E$24:$E$34</definedName>
    <definedName name="XDO_?RATING?19?">NS!$E$24:$E$57</definedName>
    <definedName name="XDO_?RATING?20?">NS!$E$24:$E$61</definedName>
    <definedName name="XDO_?REMARKS?17?">NS!$K$24</definedName>
    <definedName name="XDO_?REMARKS?18?">NS!$K$24:$K$34</definedName>
    <definedName name="XDO_?REMARKS?19?">NS!$K$24:$K$57</definedName>
    <definedName name="XDO_?REMARKS?20?">NS!$K$24:$K$61</definedName>
    <definedName name="XDO_?TITL?4?">NS!$A$16:$A$24</definedName>
    <definedName name="XDO_?YTM?17?">NS!$I$24</definedName>
    <definedName name="XDO_?YTM?18?">NS!$I$24:$I$34</definedName>
    <definedName name="XDO_?YTM?19?">NS!$I$24:$I$57</definedName>
    <definedName name="XDO_?YTM?20?">NS!$I$24:$I$61</definedName>
    <definedName name="XDO_GROUP_?G_2?4?">NS!$2:$31</definedName>
    <definedName name="XDO_GROUP_?G_3?4?">NS!$8:$30</definedName>
    <definedName name="XDO_GROUP_?G_4?135?">[1]ON!#REF!</definedName>
    <definedName name="XDO_GROUP_?G_4?17?">NS!$B$10:$IV$10</definedName>
    <definedName name="XDO_GROUP_?G_4?18?">NS!$B$14:$IV$18</definedName>
    <definedName name="XDO_GROUP_?G_4?19?">NS!$B$23:$IV$23</definedName>
    <definedName name="XDO_GROUP_?G_4?20?">NS!$B$28:$IV$28</definedName>
    <definedName name="XDO_GROUP_?G_4?41?">[1]TA!#REF!</definedName>
    <definedName name="XDO_GROUP_?G_4?92?">[1]GR!#REF!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4" i="1" l="1"/>
</calcChain>
</file>

<file path=xl/sharedStrings.xml><?xml version="1.0" encoding="utf-8"?>
<sst xmlns="http://schemas.openxmlformats.org/spreadsheetml/2006/main" count="150" uniqueCount="113">
  <si>
    <t>Baroda BNP Paribas Mutual Fund</t>
  </si>
  <si>
    <t>T0MD27</t>
  </si>
  <si>
    <t>SCHEME NAME :</t>
  </si>
  <si>
    <t xml:space="preserve">Baroda BNP Paribas NIFTY SDL December 2026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</si>
  <si>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</si>
  <si>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</si>
  <si>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</si>
  <si>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</si>
  <si>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</si>
  <si>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</si>
  <si>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</si>
  <si>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</si>
  <si>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</si>
  <si>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</si>
  <si>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</si>
  <si>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</si>
  <si>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</si>
  <si>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</si>
  <si>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</si>
  <si>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</si>
  <si>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</si>
  <si>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</si>
  <si>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</si>
  <si>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</si>
  <si>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900163</t>
  </si>
  <si>
    <t>5.74% Government of India 15-Nov-2026</t>
  </si>
  <si>
    <t>IN0020210186</t>
  </si>
  <si>
    <t>Sovereign</t>
  </si>
  <si>
    <t>Total</t>
  </si>
  <si>
    <t>e) State Government Securities</t>
  </si>
  <si>
    <t>1902172</t>
  </si>
  <si>
    <t>7.24% State Government of Gujarat 28-Dec-2026</t>
  </si>
  <si>
    <t>IN1520160160</t>
  </si>
  <si>
    <t>1902183</t>
  </si>
  <si>
    <t>7.28% State Government of Haryana 28-Dec-2026</t>
  </si>
  <si>
    <t>IN1620160243</t>
  </si>
  <si>
    <t>1902067</t>
  </si>
  <si>
    <t>7.25% State Government of Maharashtra 28-Dec-2026</t>
  </si>
  <si>
    <t>IN2220160120</t>
  </si>
  <si>
    <t>1901158</t>
  </si>
  <si>
    <t>7.10% State Government of Bihar 14-Dec-2026</t>
  </si>
  <si>
    <t>IN1320160121</t>
  </si>
  <si>
    <t>1900015</t>
  </si>
  <si>
    <t>7.07% State Government of Tamil Nadu 14-Dec-2026</t>
  </si>
  <si>
    <t>IN3120160152</t>
  </si>
  <si>
    <t>1904713</t>
  </si>
  <si>
    <t>7.29% State Government of Kerala 28-Dec-2026</t>
  </si>
  <si>
    <t>IN2020160122</t>
  </si>
  <si>
    <t>1900796</t>
  </si>
  <si>
    <t>7.08% State Government of Karnataka 14-Dec-2026</t>
  </si>
  <si>
    <t>IN1920160059</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</si>
  <si>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</si>
  <si>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</si>
  <si>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</si>
  <si>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</si>
  <si>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</si>
  <si>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</si>
  <si>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</si>
  <si>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</si>
  <si>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</si>
  <si>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</si>
  <si>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</si>
  <si>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307230100</t>
  </si>
  <si>
    <t>TREPS 03-Jul-2023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</si>
  <si>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</si>
  <si>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</si>
  <si>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</si>
  <si>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</si>
  <si>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</si>
  <si>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</si>
  <si>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</si>
  <si>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</si>
  <si>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</si>
  <si>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</si>
  <si>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June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</si>
  <si>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</si>
  <si>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</si>
  <si>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</si>
  <si>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May 31, 2023</t>
  </si>
  <si>
    <t>As on June 30, 2023</t>
  </si>
  <si>
    <t>Regular Plan - IDCW Option</t>
  </si>
  <si>
    <t>Regular Plan - Growth Option</t>
  </si>
  <si>
    <t>Direct Plan - Growth Option</t>
  </si>
  <si>
    <t>Direct Plan - IDCW Option</t>
  </si>
  <si>
    <t>(8) No Dividend declared during the Month ended June 30, 2023</t>
  </si>
  <si>
    <t>(9) There were no investments made in derivative instruments and no such derivative instrument was squared off/ expired /exercised during the Month ended June 30, 2023. Further there are no investments in derivative instruments as on June 30, 2023.</t>
  </si>
  <si>
    <t>(10) Total Market value of investments in Foreign Securities/American Depositary Receipts/Global Depositary Receipts as at  June 30, 2023 is Rs. Nil.</t>
  </si>
  <si>
    <t>(11)  The Average Maturity period of the portfolio has been 1233 days.</t>
  </si>
  <si>
    <t>(12)  Details of repo transaction in corporate debt securities for the Month ended June 30, 2023 is Nil.</t>
  </si>
  <si>
    <t>(13)  Investments in debt instruments having structured obligations or credit enhancement features as at June 30, 2023 is Rs. Nil.</t>
  </si>
  <si>
    <t>(14) Investment in Partly paid Debentures during the Month ended  June 30, 2023 and as on  June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</si>
  <si>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</si>
  <si>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</si>
  <si>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</si>
  <si>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</si>
  <si>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</si>
  <si>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June 30, 2023 : Rs. Nil</t>
  </si>
  <si>
    <t>(17) Macaulay Duration of the portfolio has been 1109 days.</t>
  </si>
  <si>
    <t>(18) Annualised Portfolio YTM has been 7.3558.</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</si>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</sst>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5</xdr:col>
      <xdr:colOff>504275</xdr:colOff>
      <xdr:row>116</xdr:row>
      <xdr:rowOff>164084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7655540"/>
          <a:ext cx="7453715" cy="31511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ne%202023\Month%20end%2030%20June%202023\Split%20Portfolio\BOBBNPMF_Monthly%20portfolio%2030-06-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8"/>
  <sheetViews>
    <sheetView showGridLines="0" tabSelected="1" zoomScale="90" zoomScaleNormal="90" workbookViewId="0">
      <pane ySplit="6" topLeftCell="A93" activePane="bottomLeft" state="frozen"/>
      <selection activeCell="E119" sqref="E119"/>
      <selection pane="bottomLeft" activeCell="G98" sqref="G98"/>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45107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500000</v>
      </c>
      <c r="G24" s="32">
        <v>480.49</v>
      </c>
      <c r="H24" s="32">
        <v>2.95</v>
      </c>
      <c r="I24" s="33">
        <v>7.1821121000000003</v>
      </c>
      <c r="J24" s="33"/>
      <c r="K24" s="34"/>
    </row>
    <row r="25" spans="1:11">
      <c r="C25" s="28" t="s">
        <v>28</v>
      </c>
      <c r="D25" s="29"/>
      <c r="E25" s="30"/>
      <c r="F25" s="31"/>
      <c r="G25" s="38">
        <v>480.49</v>
      </c>
      <c r="H25" s="38">
        <v>2.95</v>
      </c>
      <c r="I25" s="33"/>
      <c r="J25" s="33"/>
      <c r="K25" s="34"/>
    </row>
    <row r="26" spans="1:11">
      <c r="C26" s="21"/>
      <c r="D26" s="29"/>
      <c r="E26" s="30"/>
      <c r="F26" s="31"/>
      <c r="G26" s="32"/>
      <c r="H26" s="32"/>
      <c r="I26" s="33"/>
      <c r="J26" s="33"/>
      <c r="K26" s="34"/>
    </row>
    <row r="27" spans="1:11">
      <c r="C27" s="37" t="s">
        <v>29</v>
      </c>
      <c r="D27" s="29"/>
      <c r="E27" s="30"/>
      <c r="F27" s="31"/>
      <c r="G27" s="32"/>
      <c r="H27" s="32"/>
      <c r="I27" s="33"/>
      <c r="J27" s="33"/>
      <c r="K27" s="34"/>
    </row>
    <row r="28" spans="1:11">
      <c r="B28" s="1" t="s">
        <v>30</v>
      </c>
      <c r="C28" s="21" t="s">
        <v>31</v>
      </c>
      <c r="D28" s="29" t="s">
        <v>32</v>
      </c>
      <c r="E28" s="30" t="s">
        <v>27</v>
      </c>
      <c r="F28" s="31">
        <v>5500000</v>
      </c>
      <c r="G28" s="32">
        <v>5498.96</v>
      </c>
      <c r="H28" s="32">
        <v>33.76</v>
      </c>
      <c r="I28" s="33">
        <v>7.3771671999999997</v>
      </c>
      <c r="J28" s="33"/>
      <c r="K28" s="34"/>
    </row>
    <row r="29" spans="1:11">
      <c r="B29" s="1" t="s">
        <v>33</v>
      </c>
      <c r="C29" s="21" t="s">
        <v>34</v>
      </c>
      <c r="D29" s="29" t="s">
        <v>35</v>
      </c>
      <c r="E29" s="30" t="s">
        <v>27</v>
      </c>
      <c r="F29" s="31">
        <v>3500000</v>
      </c>
      <c r="G29" s="32">
        <v>3503.89</v>
      </c>
      <c r="H29" s="32">
        <v>21.51</v>
      </c>
      <c r="I29" s="33">
        <v>7.3742343000000004</v>
      </c>
      <c r="J29" s="33"/>
      <c r="K29" s="34"/>
    </row>
    <row r="30" spans="1:11">
      <c r="B30" s="1" t="s">
        <v>36</v>
      </c>
      <c r="C30" s="21" t="s">
        <v>37</v>
      </c>
      <c r="D30" s="29" t="s">
        <v>38</v>
      </c>
      <c r="E30" s="30" t="s">
        <v>27</v>
      </c>
      <c r="F30" s="31">
        <v>3000000</v>
      </c>
      <c r="G30" s="32">
        <v>3000.98</v>
      </c>
      <c r="H30" s="32">
        <v>18.420000000000002</v>
      </c>
      <c r="I30" s="33">
        <v>7.3699133000000003</v>
      </c>
      <c r="J30" s="33"/>
      <c r="K30" s="34"/>
    </row>
    <row r="31" spans="1:11">
      <c r="B31" s="1" t="s">
        <v>39</v>
      </c>
      <c r="C31" s="21" t="s">
        <v>40</v>
      </c>
      <c r="D31" s="29" t="s">
        <v>41</v>
      </c>
      <c r="E31" s="30" t="s">
        <v>27</v>
      </c>
      <c r="F31" s="31">
        <v>1300000</v>
      </c>
      <c r="G31" s="32">
        <v>1292.6400000000001</v>
      </c>
      <c r="H31" s="32">
        <v>7.94</v>
      </c>
      <c r="I31" s="33">
        <v>7.4194421000000004</v>
      </c>
      <c r="J31" s="33"/>
      <c r="K31" s="34"/>
    </row>
    <row r="32" spans="1:11">
      <c r="B32" s="1" t="s">
        <v>42</v>
      </c>
      <c r="C32" s="21" t="s">
        <v>43</v>
      </c>
      <c r="D32" s="29" t="s">
        <v>44</v>
      </c>
      <c r="E32" s="30" t="s">
        <v>27</v>
      </c>
      <c r="F32" s="31">
        <v>1000000</v>
      </c>
      <c r="G32" s="32">
        <v>994.35</v>
      </c>
      <c r="H32" s="32">
        <v>6.1</v>
      </c>
      <c r="I32" s="33">
        <v>7.3878417000000001</v>
      </c>
      <c r="J32" s="33"/>
      <c r="K32" s="34"/>
    </row>
    <row r="33" spans="1:11">
      <c r="B33" s="1" t="s">
        <v>45</v>
      </c>
      <c r="C33" s="21" t="s">
        <v>46</v>
      </c>
      <c r="D33" s="29" t="s">
        <v>47</v>
      </c>
      <c r="E33" s="30" t="s">
        <v>27</v>
      </c>
      <c r="F33" s="31">
        <v>500000</v>
      </c>
      <c r="G33" s="32">
        <v>499.95</v>
      </c>
      <c r="H33" s="32">
        <v>3.07</v>
      </c>
      <c r="I33" s="33">
        <v>7.4262987999999996</v>
      </c>
      <c r="J33" s="33"/>
      <c r="K33" s="34"/>
    </row>
    <row r="34" spans="1:11">
      <c r="B34" s="1" t="s">
        <v>48</v>
      </c>
      <c r="C34" s="21" t="s">
        <v>49</v>
      </c>
      <c r="D34" s="29" t="s">
        <v>50</v>
      </c>
      <c r="E34" s="30" t="s">
        <v>27</v>
      </c>
      <c r="F34" s="31">
        <v>500000</v>
      </c>
      <c r="G34" s="32">
        <v>497.48</v>
      </c>
      <c r="H34" s="32">
        <v>3.05</v>
      </c>
      <c r="I34" s="33">
        <v>7.3771671999999997</v>
      </c>
      <c r="J34" s="33"/>
      <c r="K34" s="34"/>
    </row>
    <row r="35" spans="1:11">
      <c r="C35" s="28" t="s">
        <v>28</v>
      </c>
      <c r="D35" s="29"/>
      <c r="E35" s="30"/>
      <c r="F35" s="31"/>
      <c r="G35" s="38">
        <v>15288.25</v>
      </c>
      <c r="H35" s="38">
        <v>93.85</v>
      </c>
      <c r="I35" s="33"/>
      <c r="J35" s="33"/>
      <c r="K35" s="34"/>
    </row>
    <row r="36" spans="1:11">
      <c r="C36" s="21"/>
      <c r="D36" s="29"/>
      <c r="E36" s="30"/>
      <c r="F36" s="31"/>
      <c r="G36" s="32"/>
      <c r="H36" s="32"/>
      <c r="I36" s="33"/>
      <c r="J36" s="33"/>
      <c r="K36" s="34"/>
    </row>
    <row r="37" spans="1:11">
      <c r="C37" s="28" t="s">
        <v>51</v>
      </c>
      <c r="D37" s="29"/>
      <c r="E37" s="30"/>
      <c r="F37" s="31"/>
      <c r="G37" s="32"/>
      <c r="H37" s="32"/>
      <c r="I37" s="33"/>
      <c r="J37" s="33"/>
      <c r="K37" s="34"/>
    </row>
    <row r="38" spans="1:11">
      <c r="C38" s="21"/>
      <c r="D38" s="29"/>
      <c r="E38" s="30"/>
      <c r="F38" s="31"/>
      <c r="G38" s="32"/>
      <c r="H38" s="32"/>
      <c r="I38" s="33"/>
      <c r="J38" s="33"/>
      <c r="K38" s="34"/>
    </row>
    <row r="39" spans="1:11">
      <c r="C39" s="28" t="s">
        <v>52</v>
      </c>
      <c r="D39" s="29"/>
      <c r="E39" s="30"/>
      <c r="F39" s="31"/>
      <c r="G39" s="32" t="s">
        <v>16</v>
      </c>
      <c r="H39" s="32" t="s">
        <v>16</v>
      </c>
      <c r="I39" s="33"/>
      <c r="J39" s="33"/>
      <c r="K39" s="34"/>
    </row>
    <row r="40" spans="1:11">
      <c r="C40" s="21"/>
      <c r="D40" s="29"/>
      <c r="E40" s="30"/>
      <c r="F40" s="31"/>
      <c r="G40" s="32"/>
      <c r="H40" s="32"/>
      <c r="I40" s="33"/>
      <c r="J40" s="33"/>
      <c r="K40" s="34"/>
    </row>
    <row r="41" spans="1:11">
      <c r="C41" s="28" t="s">
        <v>53</v>
      </c>
      <c r="D41" s="29"/>
      <c r="E41" s="30"/>
      <c r="F41" s="31"/>
      <c r="G41" s="32" t="s">
        <v>16</v>
      </c>
      <c r="H41" s="32" t="s">
        <v>16</v>
      </c>
      <c r="I41" s="33"/>
      <c r="J41" s="33"/>
      <c r="K41" s="34"/>
    </row>
    <row r="42" spans="1:11">
      <c r="C42" s="21"/>
      <c r="D42" s="29"/>
      <c r="E42" s="30"/>
      <c r="F42" s="31"/>
      <c r="G42" s="32"/>
      <c r="H42" s="32"/>
      <c r="I42" s="33"/>
      <c r="J42" s="33"/>
      <c r="K42" s="34"/>
    </row>
    <row r="43" spans="1:11">
      <c r="C43" s="28" t="s">
        <v>54</v>
      </c>
      <c r="D43" s="29"/>
      <c r="E43" s="30"/>
      <c r="F43" s="31"/>
      <c r="G43" s="32" t="s">
        <v>16</v>
      </c>
      <c r="H43" s="32" t="s">
        <v>16</v>
      </c>
      <c r="I43" s="33"/>
      <c r="J43" s="33"/>
      <c r="K43" s="34"/>
    </row>
    <row r="44" spans="1:11">
      <c r="C44" s="21"/>
      <c r="D44" s="29"/>
      <c r="E44" s="30"/>
      <c r="F44" s="31"/>
      <c r="G44" s="32"/>
      <c r="H44" s="32"/>
      <c r="I44" s="33"/>
      <c r="J44" s="33"/>
      <c r="K44" s="34"/>
    </row>
    <row r="45" spans="1:11">
      <c r="C45" s="28" t="s">
        <v>55</v>
      </c>
      <c r="D45" s="29"/>
      <c r="E45" s="30"/>
      <c r="F45" s="31"/>
      <c r="G45" s="32" t="s">
        <v>16</v>
      </c>
      <c r="H45" s="32" t="s">
        <v>16</v>
      </c>
      <c r="I45" s="33"/>
      <c r="J45" s="33"/>
      <c r="K45" s="34"/>
    </row>
    <row r="46" spans="1:11">
      <c r="C46" s="21"/>
      <c r="D46" s="29"/>
      <c r="E46" s="30"/>
      <c r="F46" s="31"/>
      <c r="G46" s="32"/>
      <c r="H46" s="32"/>
      <c r="I46" s="33"/>
      <c r="J46" s="33"/>
      <c r="K46" s="34"/>
    </row>
    <row r="47" spans="1:11">
      <c r="A47" s="35"/>
      <c r="B47" s="36"/>
      <c r="C47" s="28" t="s">
        <v>56</v>
      </c>
      <c r="D47" s="29"/>
      <c r="E47" s="30"/>
      <c r="F47" s="31"/>
      <c r="G47" s="32"/>
      <c r="H47" s="32"/>
      <c r="I47" s="33"/>
      <c r="J47" s="33"/>
      <c r="K47" s="34"/>
    </row>
    <row r="48" spans="1:11">
      <c r="A48" s="36"/>
      <c r="B48" s="36"/>
      <c r="C48" s="28" t="s">
        <v>57</v>
      </c>
      <c r="D48" s="29"/>
      <c r="E48" s="30"/>
      <c r="F48" s="31"/>
      <c r="G48" s="32" t="s">
        <v>16</v>
      </c>
      <c r="H48" s="32" t="s">
        <v>16</v>
      </c>
      <c r="I48" s="33"/>
      <c r="J48" s="33"/>
      <c r="K48" s="34"/>
    </row>
    <row r="49" spans="1:11">
      <c r="A49" s="36"/>
      <c r="B49" s="36"/>
      <c r="C49" s="28"/>
      <c r="D49" s="29"/>
      <c r="E49" s="30"/>
      <c r="F49" s="31"/>
      <c r="G49" s="32"/>
      <c r="H49" s="32"/>
      <c r="I49" s="33"/>
      <c r="J49" s="33"/>
      <c r="K49" s="34"/>
    </row>
    <row r="50" spans="1:11">
      <c r="A50" s="36"/>
      <c r="B50" s="36"/>
      <c r="C50" s="28" t="s">
        <v>58</v>
      </c>
      <c r="D50" s="29"/>
      <c r="E50" s="30"/>
      <c r="F50" s="31"/>
      <c r="G50" s="32" t="s">
        <v>16</v>
      </c>
      <c r="H50" s="32" t="s">
        <v>16</v>
      </c>
      <c r="I50" s="33"/>
      <c r="J50" s="33"/>
      <c r="K50" s="34"/>
    </row>
    <row r="51" spans="1:11">
      <c r="A51" s="36"/>
      <c r="B51" s="36"/>
      <c r="C51" s="28"/>
      <c r="D51" s="29"/>
      <c r="E51" s="30"/>
      <c r="F51" s="31"/>
      <c r="G51" s="32"/>
      <c r="H51" s="32"/>
      <c r="I51" s="33"/>
      <c r="J51" s="33"/>
      <c r="K51" s="34"/>
    </row>
    <row r="52" spans="1:11">
      <c r="A52" s="36"/>
      <c r="B52" s="36"/>
      <c r="C52" s="28" t="s">
        <v>59</v>
      </c>
      <c r="D52" s="29"/>
      <c r="E52" s="30"/>
      <c r="F52" s="31"/>
      <c r="G52" s="32" t="s">
        <v>16</v>
      </c>
      <c r="H52" s="32" t="s">
        <v>16</v>
      </c>
      <c r="I52" s="33"/>
      <c r="J52" s="33"/>
      <c r="K52" s="34"/>
    </row>
    <row r="53" spans="1:11">
      <c r="A53" s="36"/>
      <c r="B53" s="36"/>
      <c r="C53" s="28"/>
      <c r="D53" s="29"/>
      <c r="E53" s="30"/>
      <c r="F53" s="31"/>
      <c r="G53" s="32"/>
      <c r="H53" s="32"/>
      <c r="I53" s="33"/>
      <c r="J53" s="33"/>
      <c r="K53" s="34"/>
    </row>
    <row r="54" spans="1:11">
      <c r="A54" s="36"/>
      <c r="B54" s="36"/>
      <c r="C54" s="28" t="s">
        <v>60</v>
      </c>
      <c r="D54" s="29"/>
      <c r="E54" s="30"/>
      <c r="F54" s="31"/>
      <c r="G54" s="32" t="s">
        <v>16</v>
      </c>
      <c r="H54" s="32" t="s">
        <v>16</v>
      </c>
      <c r="I54" s="33"/>
      <c r="J54" s="33"/>
      <c r="K54" s="34"/>
    </row>
    <row r="55" spans="1:11">
      <c r="A55" s="36"/>
      <c r="B55" s="36"/>
      <c r="C55" s="28"/>
      <c r="D55" s="29"/>
      <c r="E55" s="30"/>
      <c r="F55" s="31"/>
      <c r="G55" s="32"/>
      <c r="H55" s="32"/>
      <c r="I55" s="33"/>
      <c r="J55" s="33"/>
      <c r="K55" s="34"/>
    </row>
    <row r="56" spans="1:11">
      <c r="C56" s="37" t="s">
        <v>61</v>
      </c>
      <c r="D56" s="29"/>
      <c r="E56" s="30"/>
      <c r="F56" s="31"/>
      <c r="G56" s="32"/>
      <c r="H56" s="32"/>
      <c r="I56" s="33"/>
      <c r="J56" s="33"/>
      <c r="K56" s="34"/>
    </row>
    <row r="57" spans="1:11">
      <c r="B57" s="1" t="s">
        <v>62</v>
      </c>
      <c r="C57" s="21" t="s">
        <v>63</v>
      </c>
      <c r="D57" s="29"/>
      <c r="E57" s="30"/>
      <c r="F57" s="31"/>
      <c r="G57" s="32">
        <v>491.55</v>
      </c>
      <c r="H57" s="32">
        <v>3.02</v>
      </c>
      <c r="I57" s="33">
        <v>6.78</v>
      </c>
      <c r="J57" s="33"/>
      <c r="K57" s="34"/>
    </row>
    <row r="58" spans="1:11">
      <c r="C58" s="28" t="s">
        <v>28</v>
      </c>
      <c r="D58" s="29"/>
      <c r="E58" s="30"/>
      <c r="F58" s="31"/>
      <c r="G58" s="38">
        <v>491.55</v>
      </c>
      <c r="H58" s="38">
        <v>3.02</v>
      </c>
      <c r="I58" s="33"/>
      <c r="J58" s="33"/>
      <c r="K58" s="34"/>
    </row>
    <row r="59" spans="1:11">
      <c r="C59" s="21"/>
      <c r="D59" s="29"/>
      <c r="E59" s="30"/>
      <c r="F59" s="31"/>
      <c r="G59" s="32"/>
      <c r="H59" s="32"/>
      <c r="I59" s="33"/>
      <c r="J59" s="33"/>
      <c r="K59" s="34"/>
    </row>
    <row r="60" spans="1:11">
      <c r="A60" s="35"/>
      <c r="B60" s="36"/>
      <c r="C60" s="28" t="s">
        <v>64</v>
      </c>
      <c r="D60" s="29"/>
      <c r="E60" s="30"/>
      <c r="F60" s="31"/>
      <c r="G60" s="32"/>
      <c r="H60" s="32"/>
      <c r="I60" s="33"/>
      <c r="J60" s="33"/>
      <c r="K60" s="34"/>
    </row>
    <row r="61" spans="1:11">
      <c r="B61" s="1"/>
      <c r="C61" s="21" t="s">
        <v>65</v>
      </c>
      <c r="D61" s="29"/>
      <c r="E61" s="30"/>
      <c r="F61" s="31"/>
      <c r="G61" s="32">
        <v>28.53</v>
      </c>
      <c r="H61" s="32">
        <v>0.18</v>
      </c>
      <c r="I61" s="33"/>
      <c r="J61" s="33"/>
      <c r="K61" s="34"/>
    </row>
    <row r="62" spans="1:11">
      <c r="C62" s="28" t="s">
        <v>28</v>
      </c>
      <c r="D62" s="29"/>
      <c r="E62" s="30"/>
      <c r="F62" s="31"/>
      <c r="G62" s="38">
        <v>28.53</v>
      </c>
      <c r="H62" s="38">
        <v>0.18</v>
      </c>
      <c r="I62" s="33"/>
      <c r="J62" s="33"/>
      <c r="K62" s="34"/>
    </row>
    <row r="63" spans="1:11">
      <c r="C63" s="21"/>
      <c r="D63" s="29"/>
      <c r="E63" s="30"/>
      <c r="F63" s="31"/>
      <c r="G63" s="32"/>
      <c r="H63" s="32"/>
      <c r="I63" s="33"/>
      <c r="J63" s="33"/>
      <c r="K63" s="34"/>
    </row>
    <row r="64" spans="1:11" ht="14.4" thickBot="1">
      <c r="C64" s="39" t="s">
        <v>66</v>
      </c>
      <c r="D64" s="40"/>
      <c r="E64" s="41"/>
      <c r="F64" s="42"/>
      <c r="G64" s="43">
        <v>16288.82</v>
      </c>
      <c r="H64" s="43">
        <f>SUMIFS(H:H,C:C,"Total")</f>
        <v>100</v>
      </c>
      <c r="I64" s="44"/>
      <c r="J64" s="44"/>
      <c r="K64" s="45"/>
    </row>
    <row r="67" spans="3:55">
      <c r="C67" s="11" t="s">
        <v>67</v>
      </c>
    </row>
    <row r="68" spans="3:55">
      <c r="C68" s="2" t="s">
        <v>68</v>
      </c>
    </row>
    <row r="69" spans="3:55">
      <c r="C69" s="46" t="s">
        <v>69</v>
      </c>
    </row>
    <row r="70" spans="3:55">
      <c r="C70" s="2" t="s">
        <v>70</v>
      </c>
    </row>
    <row r="71" spans="3:55">
      <c r="C71" s="2" t="s">
        <v>71</v>
      </c>
    </row>
    <row r="72" spans="3:55">
      <c r="C72" s="2" t="s">
        <v>72</v>
      </c>
      <c r="D72" s="47"/>
      <c r="E72" s="47"/>
      <c r="F72" s="47"/>
      <c r="G72" s="48"/>
      <c r="H72" s="48"/>
    </row>
    <row r="73" spans="3:55">
      <c r="C73" s="2" t="s">
        <v>73</v>
      </c>
    </row>
    <row r="74" spans="3:55">
      <c r="C74" s="2" t="s">
        <v>74</v>
      </c>
    </row>
    <row r="75" spans="3:55">
      <c r="C75" s="2" t="s">
        <v>75</v>
      </c>
    </row>
    <row r="76" spans="3:55">
      <c r="C76" s="2" t="s">
        <v>76</v>
      </c>
    </row>
    <row r="77" spans="3:55" s="11" customFormat="1">
      <c r="C77" s="11" t="s">
        <v>77</v>
      </c>
      <c r="E77" s="11" t="s">
        <v>78</v>
      </c>
      <c r="F77" s="49" t="s">
        <v>79</v>
      </c>
      <c r="G77" s="50"/>
      <c r="H77" s="50"/>
      <c r="I77" s="50"/>
      <c r="J77" s="50"/>
      <c r="K77" s="51"/>
      <c r="L77" s="51"/>
      <c r="M77" s="51"/>
      <c r="AJ77" s="51"/>
      <c r="AW77" s="51"/>
      <c r="AY77" s="51"/>
      <c r="BC77" s="51"/>
    </row>
    <row r="78" spans="3:55">
      <c r="C78" s="2" t="s">
        <v>80</v>
      </c>
      <c r="E78" s="52">
        <v>10.295500000000001</v>
      </c>
      <c r="F78" s="53">
        <v>10.3203</v>
      </c>
    </row>
    <row r="79" spans="3:55">
      <c r="C79" s="2" t="s">
        <v>81</v>
      </c>
      <c r="E79" s="52">
        <v>10.295400000000001</v>
      </c>
      <c r="F79" s="53">
        <v>10.3202</v>
      </c>
    </row>
    <row r="80" spans="3:55">
      <c r="C80" s="2" t="s">
        <v>82</v>
      </c>
      <c r="E80" s="52">
        <v>10.3062</v>
      </c>
      <c r="F80" s="53">
        <v>10.333500000000001</v>
      </c>
    </row>
    <row r="81" spans="3:6">
      <c r="C81" s="2" t="s">
        <v>83</v>
      </c>
      <c r="E81" s="52">
        <v>10</v>
      </c>
      <c r="F81" s="52">
        <v>10</v>
      </c>
    </row>
    <row r="83" spans="3:6">
      <c r="C83" s="2" t="s">
        <v>84</v>
      </c>
    </row>
    <row r="85" spans="3:6">
      <c r="C85" s="2" t="s">
        <v>85</v>
      </c>
    </row>
    <row r="86" spans="3:6">
      <c r="C86" s="2" t="s">
        <v>86</v>
      </c>
    </row>
    <row r="87" spans="3:6">
      <c r="C87" s="2" t="s">
        <v>87</v>
      </c>
    </row>
    <row r="88" spans="3:6">
      <c r="C88" s="2" t="s">
        <v>88</v>
      </c>
    </row>
    <row r="89" spans="3:6">
      <c r="C89" s="2" t="s">
        <v>89</v>
      </c>
    </row>
    <row r="90" spans="3:6">
      <c r="C90" s="2" t="s">
        <v>90</v>
      </c>
    </row>
    <row r="91" spans="3:6">
      <c r="C91" s="2" t="s">
        <v>91</v>
      </c>
    </row>
    <row r="92" spans="3:6">
      <c r="C92" s="2" t="s">
        <v>92</v>
      </c>
    </row>
    <row r="93" spans="3:6">
      <c r="C93" s="2" t="s">
        <v>93</v>
      </c>
    </row>
    <row r="94" spans="3:6">
      <c r="C94" s="2" t="s">
        <v>94</v>
      </c>
    </row>
    <row r="95" spans="3:6">
      <c r="C95" s="2" t="s">
        <v>95</v>
      </c>
    </row>
    <row r="96" spans="3:6">
      <c r="C96" s="2" t="s">
        <v>96</v>
      </c>
    </row>
    <row r="97" spans="3:11" ht="14.4">
      <c r="C97" s="54" t="s">
        <v>97</v>
      </c>
      <c r="D97" s="54"/>
      <c r="E97" s="54"/>
      <c r="F97" s="54"/>
      <c r="G97" s="54"/>
      <c r="H97" s="54"/>
      <c r="I97" s="54"/>
      <c r="J97" s="54"/>
      <c r="K97" s="54"/>
    </row>
    <row r="98" spans="3:11" ht="14.4">
      <c r="C98" s="54" t="s">
        <v>98</v>
      </c>
      <c r="D98" s="54"/>
      <c r="E98" s="54"/>
      <c r="F98" s="54"/>
      <c r="G98" s="54"/>
      <c r="H98" s="54"/>
      <c r="I98" s="54"/>
      <c r="J98" s="54"/>
      <c r="K98" s="54"/>
    </row>
    <row r="99" spans="3:11" ht="14.4">
      <c r="C99" s="54"/>
      <c r="D99" s="54"/>
      <c r="E99" s="54"/>
      <c r="F99" s="54"/>
      <c r="G99" s="54"/>
      <c r="H99" s="54"/>
      <c r="I99" s="54"/>
      <c r="J99" s="54"/>
      <c r="K99" s="54"/>
    </row>
    <row r="118" spans="3:6" ht="14.4" thickBot="1"/>
    <row r="119" spans="3:6" ht="14.4" thickBot="1">
      <c r="C119" s="55" t="s">
        <v>99</v>
      </c>
      <c r="D119" s="56"/>
      <c r="E119" s="56"/>
      <c r="F119" s="57"/>
    </row>
    <row r="120" spans="3:6" ht="14.4" thickBot="1">
      <c r="C120" s="58" t="s">
        <v>100</v>
      </c>
      <c r="D120" s="59" t="s">
        <v>101</v>
      </c>
      <c r="E120" s="59" t="s">
        <v>102</v>
      </c>
      <c r="F120" s="59" t="s">
        <v>103</v>
      </c>
    </row>
    <row r="121" spans="3:6" ht="14.4" thickBot="1">
      <c r="C121" s="58" t="s">
        <v>104</v>
      </c>
      <c r="D121" s="60"/>
      <c r="E121" s="60"/>
      <c r="F121" s="60"/>
    </row>
    <row r="122" spans="3:6" ht="14.4" thickBot="1">
      <c r="C122" s="61" t="s">
        <v>105</v>
      </c>
      <c r="D122" s="62" t="s">
        <v>106</v>
      </c>
      <c r="E122" s="63"/>
      <c r="F122" s="63"/>
    </row>
    <row r="123" spans="3:6">
      <c r="C123" s="64" t="s">
        <v>107</v>
      </c>
      <c r="D123" s="65"/>
      <c r="E123" s="65"/>
      <c r="F123" s="65"/>
    </row>
    <row r="124" spans="3:6" ht="14.4" thickBot="1">
      <c r="C124" s="61" t="s">
        <v>108</v>
      </c>
      <c r="D124" s="66"/>
      <c r="E124" s="66"/>
      <c r="F124" s="66"/>
    </row>
    <row r="125" spans="3:6">
      <c r="C125" s="64" t="s">
        <v>109</v>
      </c>
      <c r="D125" s="65"/>
      <c r="E125" s="65"/>
      <c r="F125" s="65"/>
    </row>
    <row r="126" spans="3:6" ht="14.4" thickBot="1">
      <c r="C126" s="61" t="s">
        <v>110</v>
      </c>
      <c r="D126" s="66"/>
      <c r="E126" s="66"/>
      <c r="F126" s="66"/>
    </row>
    <row r="127" spans="3:6">
      <c r="C127" s="67" t="s">
        <v>111</v>
      </c>
      <c r="D127" s="68"/>
      <c r="E127" s="68"/>
      <c r="F127" s="68"/>
    </row>
    <row r="128" spans="3:6" ht="14.4">
      <c r="C128" s="2" t="s">
        <v>112</v>
      </c>
      <c r="D128"/>
      <c r="E128"/>
      <c r="F128"/>
    </row>
  </sheetData>
  <mergeCells count="10">
    <mergeCell ref="D125:D126"/>
    <mergeCell ref="E125:E126"/>
    <mergeCell ref="F125:F126"/>
    <mergeCell ref="C119:F119"/>
    <mergeCell ref="D120:D121"/>
    <mergeCell ref="E120:E121"/>
    <mergeCell ref="F120:F121"/>
    <mergeCell ref="D123:D124"/>
    <mergeCell ref="E123:E124"/>
    <mergeCell ref="F123:F12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NS</vt:lpstr>
      <vt:lpstr>XDO_?CLASS_3?4?</vt:lpstr>
      <vt:lpstr>XDO_?FINAL_ISIN?17?</vt:lpstr>
      <vt:lpstr>XDO_?FINAL_ISIN?18?</vt:lpstr>
      <vt:lpstr>XDO_?FINAL_ISIN?19?</vt:lpstr>
      <vt:lpstr>XDO_?FINAL_ISIN?20?</vt:lpstr>
      <vt:lpstr>XDO_?FINAL_MV?17?</vt:lpstr>
      <vt:lpstr>XDO_?FINAL_MV?18?</vt:lpstr>
      <vt:lpstr>XDO_?FINAL_MV?19?</vt:lpstr>
      <vt:lpstr>XDO_?FINAL_MV?20?</vt:lpstr>
      <vt:lpstr>XDO_?FINAL_NAME?17?</vt:lpstr>
      <vt:lpstr>XDO_?FINAL_NAME?18?</vt:lpstr>
      <vt:lpstr>XDO_?FINAL_NAME?19?</vt:lpstr>
      <vt:lpstr>XDO_?FINAL_NAME?20?</vt:lpstr>
      <vt:lpstr>XDO_?FINAL_PER_NET?17?</vt:lpstr>
      <vt:lpstr>XDO_?FINAL_PER_NET?18?</vt:lpstr>
      <vt:lpstr>XDO_?FINAL_PER_NET?19?</vt:lpstr>
      <vt:lpstr>XDO_?FINAL_PER_NET?20?</vt:lpstr>
      <vt:lpstr>XDO_?FINAL_QUANTITE?17?</vt:lpstr>
      <vt:lpstr>XDO_?FINAL_QUANTITE?18?</vt:lpstr>
      <vt:lpstr>XDO_?FINAL_QUANTITE?19?</vt:lpstr>
      <vt:lpstr>XDO_?FINAL_QUANTITE?20?</vt:lpstr>
      <vt:lpstr>XDO_?NAMCNAME?4?</vt:lpstr>
      <vt:lpstr>XDO_?NOVAL?17?</vt:lpstr>
      <vt:lpstr>XDO_?NOVAL?18?</vt:lpstr>
      <vt:lpstr>XDO_?NOVAL?19?</vt:lpstr>
      <vt:lpstr>XDO_?NOVAL?20?</vt:lpstr>
      <vt:lpstr>XDO_?NPTF?4?</vt:lpstr>
      <vt:lpstr>XDO_?RATING?17?</vt:lpstr>
      <vt:lpstr>XDO_?RATING?18?</vt:lpstr>
      <vt:lpstr>XDO_?RATING?19?</vt:lpstr>
      <vt:lpstr>XDO_?RATING?20?</vt:lpstr>
      <vt:lpstr>XDO_?REMARKS?17?</vt:lpstr>
      <vt:lpstr>XDO_?REMARKS?18?</vt:lpstr>
      <vt:lpstr>XDO_?REMARKS?19?</vt:lpstr>
      <vt:lpstr>XDO_?REMARKS?20?</vt:lpstr>
      <vt:lpstr>XDO_?TITL?4?</vt:lpstr>
      <vt:lpstr>XDO_?YTM?17?</vt:lpstr>
      <vt:lpstr>XDO_?YTM?18?</vt:lpstr>
      <vt:lpstr>XDO_?YTM?19?</vt:lpstr>
      <vt:lpstr>XDO_?YTM?20?</vt:lpstr>
      <vt:lpstr>XDO_GROUP_?G_2?4?</vt:lpstr>
      <vt:lpstr>XDO_GROUP_?G_3?4?</vt:lpstr>
      <vt:lpstr>XDO_GROUP_?G_4?17?</vt:lpstr>
      <vt:lpstr>XDO_GROUP_?G_4?18?</vt:lpstr>
      <vt:lpstr>XDO_GROUP_?G_4?19?</vt:lpstr>
      <vt:lpstr>XDO_GROUP_?G_4?20?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2023-07-07T05:40:43Z</dcterms:created>
  <dcterms:modified xsi:type="dcterms:W3CDTF">2023-07-07T12:40:38Z</dcterms:modified>
</cp:coreProperties>
</file>