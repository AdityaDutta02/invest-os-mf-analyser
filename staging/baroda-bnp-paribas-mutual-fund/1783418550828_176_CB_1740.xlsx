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ocuments/DebT Funds/"/>
    </mc:Choice>
  </mc:AlternateContent>
  <xr:revisionPtr revIDLastSave="1" documentId="8_{CF817AD0-F091-4C94-A7CB-7C318E0E4E8B}" xr6:coauthVersionLast="47" xr6:coauthVersionMax="47" xr10:uidLastSave="{A3F78FC7-26E3-49AB-93E9-8DF51D8D5B62}"/>
  <bookViews>
    <workbookView xWindow="-108" yWindow="-108" windowWidth="23256" windowHeight="12576" xr2:uid="{E8F2D09F-0DCB-4172-86EE-33435F41BA39}"/>
  </bookViews>
  <sheets>
    <sheet name="CB" sheetId="1" r:id="rId1"/>
  </sheets>
  <externalReferences>
    <externalReference r:id="rId2"/>
  </externalReferences>
  <definedNames>
    <definedName name="XDO_?CLASS_3?3?">CB!$C$16:$C$29</definedName>
    <definedName name="XDO_?FINAL_ISIN?11?">CB!$D$18:$D$29</definedName>
    <definedName name="XDO_?FINAL_ISIN?12?">CB!$D$18:$D$38</definedName>
    <definedName name="XDO_?FINAL_ISIN?13?">CB!$D$18:$D$63</definedName>
    <definedName name="XDO_?FINAL_ISIN?14?">CB!$D$18:$D$67</definedName>
    <definedName name="XDO_?FINAL_MV?11?">CB!$G$18:$G$29</definedName>
    <definedName name="XDO_?FINAL_MV?12?">CB!$G$18:$G$38</definedName>
    <definedName name="XDO_?FINAL_MV?13?">CB!$G$18:$G$63</definedName>
    <definedName name="XDO_?FINAL_MV?14?">CB!$G$18:$G$67</definedName>
    <definedName name="XDO_?FINAL_NAME?11?">CB!$C$18:$C$29</definedName>
    <definedName name="XDO_?FINAL_NAME?12?">CB!$C$18:$C$38</definedName>
    <definedName name="XDO_?FINAL_NAME?13?">CB!$C$18:$C$63</definedName>
    <definedName name="XDO_?FINAL_NAME?14?">CB!$C$18:$C$67</definedName>
    <definedName name="XDO_?FINAL_PER_NET?11?">CB!$H$18:$H$29</definedName>
    <definedName name="XDO_?FINAL_PER_NET?12?">CB!$H$18:$H$38</definedName>
    <definedName name="XDO_?FINAL_PER_NET?13?">CB!$H$18:$H$63</definedName>
    <definedName name="XDO_?FINAL_PER_NET?14?">CB!$H$18:$H$67</definedName>
    <definedName name="XDO_?FINAL_QUANTITE?11?">CB!$F$18:$F$29</definedName>
    <definedName name="XDO_?FINAL_QUANTITE?12?">CB!$F$18:$F$38</definedName>
    <definedName name="XDO_?FINAL_QUANTITE?13?">CB!$F$18:$F$63</definedName>
    <definedName name="XDO_?FINAL_QUANTITE?14?">CB!$F$18:$F$67</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3?">CB!$C$2:$C$29</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1?">CB!$B$18:$B$29</definedName>
    <definedName name="XDO_?NOVAL?12?">CB!$B$18:$B$38</definedName>
    <definedName name="XDO_?NOVAL?13?">CB!$B$18:$B$63</definedName>
    <definedName name="XDO_?NOVAL?14?">CB!$B$18:$B$67</definedName>
    <definedName name="XDO_?NPTF?3?">CB!$D$2:$D$29</definedName>
    <definedName name="XDO_?RATING?11?">CB!$E$18:$E$29</definedName>
    <definedName name="XDO_?RATING?12?">CB!$E$18:$E$38</definedName>
    <definedName name="XDO_?RATING?13?">CB!$E$18:$E$63</definedName>
    <definedName name="XDO_?RATING?14?">CB!$E$18:$E$67</definedName>
    <definedName name="XDO_?REMARKS?11?">CB!$K$18:$K$29</definedName>
    <definedName name="XDO_?REMARKS?12?">CB!$K$18:$K$38</definedName>
    <definedName name="XDO_?REMARKS?13?">CB!$K$18:$K$63</definedName>
    <definedName name="XDO_?REMARKS?14?">CB!$K$18:$K$67</definedName>
    <definedName name="XDO_?TITL?3?">CB!$A$16:$A$29</definedName>
    <definedName name="XDO_?YTM?11?">CB!$I$18:$I$29</definedName>
    <definedName name="XDO_?YTM?12?">CB!$I$18:$I$38</definedName>
    <definedName name="XDO_?YTM?13?">CB!$I$18:$I$63</definedName>
    <definedName name="XDO_?YTM?14?">CB!$I$18:$I$67</definedName>
    <definedName name="XDO_GROUP_?G_2?3?">CB!$2:$37</definedName>
    <definedName name="XDO_GROUP_?G_3?3?">CB!$8:$36</definedName>
    <definedName name="XDO_GROUP_?G_4?11?">CB!$B$10:$IV$19</definedName>
    <definedName name="XDO_GROUP_?G_4?114?">[1]ON!#REF!</definedName>
    <definedName name="XDO_GROUP_?G_4?12?">CB!$B$23:$IV$24</definedName>
    <definedName name="XDO_GROUP_?G_4?13?">CB!$B$29:$IV$29</definedName>
    <definedName name="XDO_GROUP_?G_4?14?">CB!$B$34:$IV$34</definedName>
    <definedName name="XDO_GROUP_?G_4?28?">[1]TA!#REF!</definedName>
    <definedName name="XDO_GROUP_?G_4?71?">[1]GR!#REF!</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<sst xmlns="http://schemas.openxmlformats.org/spreadsheetml/2006/main" count="185" uniqueCount="131">
  <si>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</si>
  <si>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</si>
  <si>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</si>
  <si>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</si>
  <si>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</si>
  <si>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</si>
  <si>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</si>
  <si>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</si>
  <si>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</si>
  <si>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</si>
  <si>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</si>
  <si>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</si>
  <si>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</si>
  <si>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</si>
  <si>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</si>
  <si>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</si>
  <si>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</si>
  <si>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</si>
  <si>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</si>
  <si>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</si>
  <si>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</si>
  <si>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702259</t>
  </si>
  <si>
    <t>7.05% National Housing Bank 18-Dec-2024</t>
  </si>
  <si>
    <t>INE557F08FG1</t>
  </si>
  <si>
    <t>CRISIL AAA</t>
  </si>
  <si>
    <t>N**</t>
  </si>
  <si>
    <t>703772</t>
  </si>
  <si>
    <t>7.25% National Bank for Agriculture and Rural Development 01-Aug-2025</t>
  </si>
  <si>
    <t>INE261F08DQ4</t>
  </si>
  <si>
    <t>703624</t>
  </si>
  <si>
    <t>5.84% Indian Oil Corporation Ltd. 19-Apr-2024</t>
  </si>
  <si>
    <t>INE242A08510</t>
  </si>
  <si>
    <t>702798</t>
  </si>
  <si>
    <t>5.74% REC Ltd. 20-Jun-2024</t>
  </si>
  <si>
    <t>INE020B08DR1</t>
  </si>
  <si>
    <t>702501</t>
  </si>
  <si>
    <t>6.11% Bharat Petroleum Corporation Ltd. 04-Jul-2025</t>
  </si>
  <si>
    <t>INE029A08065</t>
  </si>
  <si>
    <t>702593</t>
  </si>
  <si>
    <t>5.45% NTPC Ltd. 15-Oct-2025</t>
  </si>
  <si>
    <t>INE733E08163</t>
  </si>
  <si>
    <t>704025</t>
  </si>
  <si>
    <t>8.70% Bharti Telecom Ltd. 21-Nov-2024</t>
  </si>
  <si>
    <t>INE403D08116</t>
  </si>
  <si>
    <t>CRISIL AA+</t>
  </si>
  <si>
    <t>704060</t>
  </si>
  <si>
    <t>7.65% Indian Railway Finance Corporation Ltd. 30-Dec-2032</t>
  </si>
  <si>
    <t>INE053F08221</t>
  </si>
  <si>
    <t>704122</t>
  </si>
  <si>
    <t>7.59% Small Industries Development Bank of India 10-Feb-2026</t>
  </si>
  <si>
    <t>INE556F08KG3</t>
  </si>
  <si>
    <t>703929</t>
  </si>
  <si>
    <t>7.70% Housing Development Finance Corporation Ltd. 18-Nov-2025</t>
  </si>
  <si>
    <t>INE001A07TS9</t>
  </si>
  <si>
    <t>702627</t>
  </si>
  <si>
    <t>7.04% Power Finance Corporation Ltd. 16-Dec-2030</t>
  </si>
  <si>
    <t>INE134E08LC9</t>
  </si>
  <si>
    <t>702874</t>
  </si>
  <si>
    <t>6.00% Housing Development Finance Corporation Ltd. 29-May-2026</t>
  </si>
  <si>
    <t>INE001A07SY9</t>
  </si>
  <si>
    <t>Total</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</si>
  <si>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</si>
  <si>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</si>
  <si>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</si>
  <si>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</si>
  <si>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</si>
  <si>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</si>
  <si>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</si>
  <si>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</si>
  <si>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</si>
  <si>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</si>
  <si>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</si>
  <si>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</si>
  <si>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</si>
  <si>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</si>
  <si>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</si>
  <si>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</si>
  <si>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</si>
  <si>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</si>
  <si>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</si>
  <si>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</si>
  <si>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</si>
  <si>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</si>
  <si>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</si>
  <si>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</si>
  <si>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</si>
  <si>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</si>
  <si>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</si>
  <si>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</si>
  <si>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</si>
  <si>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</si>
  <si>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</si>
  <si>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</si>
  <si>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</si>
  <si>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</si>
  <si>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</si>
  <si>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</si>
  <si>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</si>
  <si>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</si>
  <si>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</si>
  <si>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</si>
  <si>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</si>
  <si>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</si>
  <si>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</si>
  <si>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</si>
  <si>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</si>
  <si>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</si>
  <si>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</si>
  <si>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</si>
  <si>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</si>
  <si>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</si>
  <si>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</si>
  <si>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</si>
  <si>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</si>
  <si>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</si>
  <si>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</si>
  <si>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</si>
  <si>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</si>
  <si>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1261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</si>
  <si>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</si>
  <si>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</si>
  <si>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</si>
  <si>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</si>
  <si>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</si>
  <si>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</si>
  <si>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</si>
  <si>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</si>
  <si>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</si>
  <si>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728 days.</t>
  </si>
  <si>
    <t>(18) Annualised Portfolio YTM has been 6.7260.</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</si>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</sst>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20D86DB8-A8ED-41D0-861A-376564225E4E}"/>
    <cellStyle name="Hyperlink" xfId="2" builtinId="8"/>
    <cellStyle name="Normal" xfId="0" builtinId="0"/>
    <cellStyle name="Normal 2" xfId="4" xr:uid="{FA369122-3A0B-468C-9AFC-1566B9855B35}"/>
    <cellStyle name="Style 1" xfId="3" xr:uid="{EF37BBFF-F01A-42ED-B7CC-3287F1500C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5</xdr:col>
      <xdr:colOff>504275</xdr:colOff>
      <xdr:row>132</xdr:row>
      <xdr:rowOff>167640</xdr:rowOff>
    </xdr:to>
    <xdr:pic>
      <xdr:nvPicPr>
        <xdr:cNvPr id="3" name="Picture 2">
          <a:extLst>
            <a:ext uri="{FF2B5EF4-FFF2-40B4-BE49-F238E27FC236}">
              <a16:creationId xmlns:a16="http://schemas.microsoft.com/office/drawing/2014/main" id="{89394472-8E11-D267-C146-D52C445996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522267"/>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January%202023\Month%20End%2031%20January%202023\Split%20portfolio\BOBBNPMF_Monthly%20portfolio%2031-01-2023.xls" TargetMode="External"/><Relationship Id="rId1" Type="http://schemas.openxmlformats.org/officeDocument/2006/relationships/externalLinkPath" Target="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096F-FE76-40EB-AA19-BFF7BCEDC504}">
  <dimension ref="A1:BC117"/>
  <sheetViews>
    <sheetView showGridLines="0" tabSelected="1" zoomScale="90" zoomScaleNormal="90" workbookViewId="0">
      <pane ySplit="6" topLeftCell="A109" activePane="bottomLeft" state="frozen"/>
      <selection activeCell="J4" sqref="J4"/>
      <selection pane="bottomLeft" activeCell="G124" sqref="G12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15</v>
      </c>
      <c r="G18" s="32">
        <v>148.47999999999999</v>
      </c>
      <c r="H18" s="32">
        <v>8.2799999999999994</v>
      </c>
      <c r="I18" s="33">
        <v>7.6325000000000003</v>
      </c>
      <c r="J18" s="33"/>
      <c r="K18" s="34" t="s">
        <v>25</v>
      </c>
    </row>
    <row r="19" spans="2:11" x14ac:dyDescent="0.3">
      <c r="B19" s="1" t="s">
        <v>26</v>
      </c>
      <c r="C19" s="21" t="s">
        <v>27</v>
      </c>
      <c r="D19" s="29" t="s">
        <v>28</v>
      </c>
      <c r="E19" s="30" t="s">
        <v>24</v>
      </c>
      <c r="F19" s="31">
        <v>15</v>
      </c>
      <c r="G19" s="32">
        <v>148.44999999999999</v>
      </c>
      <c r="H19" s="32">
        <v>8.2799999999999994</v>
      </c>
      <c r="I19" s="33">
        <v>7.6889000000000003</v>
      </c>
      <c r="J19" s="33"/>
      <c r="K19" s="34" t="s">
        <v>25</v>
      </c>
    </row>
    <row r="20" spans="2:11" x14ac:dyDescent="0.3">
      <c r="B20" s="1" t="s">
        <v>29</v>
      </c>
      <c r="C20" s="21" t="s">
        <v>30</v>
      </c>
      <c r="D20" s="29" t="s">
        <v>31</v>
      </c>
      <c r="E20" s="30" t="s">
        <v>24</v>
      </c>
      <c r="F20" s="31">
        <v>15</v>
      </c>
      <c r="G20" s="32">
        <v>147.05000000000001</v>
      </c>
      <c r="H20" s="32">
        <v>8.1999999999999993</v>
      </c>
      <c r="I20" s="33">
        <v>7.5711000000000004</v>
      </c>
      <c r="J20" s="33"/>
      <c r="K20" s="34" t="s">
        <v>25</v>
      </c>
    </row>
    <row r="21" spans="2:11" x14ac:dyDescent="0.3">
      <c r="B21" s="1" t="s">
        <v>32</v>
      </c>
      <c r="C21" s="21" t="s">
        <v>33</v>
      </c>
      <c r="D21" s="29" t="s">
        <v>34</v>
      </c>
      <c r="E21" s="30" t="s">
        <v>24</v>
      </c>
      <c r="F21" s="31">
        <v>15</v>
      </c>
      <c r="G21" s="32">
        <v>146.24</v>
      </c>
      <c r="H21" s="32">
        <v>8.16</v>
      </c>
      <c r="I21" s="33">
        <v>7.68</v>
      </c>
      <c r="J21" s="33"/>
      <c r="K21" s="34" t="s">
        <v>25</v>
      </c>
    </row>
    <row r="22" spans="2:11" x14ac:dyDescent="0.3">
      <c r="B22" s="1" t="s">
        <v>35</v>
      </c>
      <c r="C22" s="21" t="s">
        <v>36</v>
      </c>
      <c r="D22" s="29" t="s">
        <v>37</v>
      </c>
      <c r="E22" s="30" t="s">
        <v>24</v>
      </c>
      <c r="F22" s="31">
        <v>15</v>
      </c>
      <c r="G22" s="32">
        <v>144.81</v>
      </c>
      <c r="H22" s="32">
        <v>8.08</v>
      </c>
      <c r="I22" s="33">
        <v>7.7050000000000001</v>
      </c>
      <c r="J22" s="33"/>
      <c r="K22" s="34" t="s">
        <v>25</v>
      </c>
    </row>
    <row r="23" spans="2:11" x14ac:dyDescent="0.3">
      <c r="B23" s="1" t="s">
        <v>38</v>
      </c>
      <c r="C23" s="21" t="s">
        <v>39</v>
      </c>
      <c r="D23" s="29" t="s">
        <v>40</v>
      </c>
      <c r="E23" s="30" t="s">
        <v>24</v>
      </c>
      <c r="F23" s="31">
        <v>15</v>
      </c>
      <c r="G23" s="32">
        <v>142.41</v>
      </c>
      <c r="H23" s="32">
        <v>7.94</v>
      </c>
      <c r="I23" s="33">
        <v>7.5750000000000002</v>
      </c>
      <c r="J23" s="33"/>
      <c r="K23" s="34" t="s">
        <v>25</v>
      </c>
    </row>
    <row r="24" spans="2:11" x14ac:dyDescent="0.3">
      <c r="B24" s="1" t="s">
        <v>41</v>
      </c>
      <c r="C24" s="21" t="s">
        <v>42</v>
      </c>
      <c r="D24" s="29" t="s">
        <v>43</v>
      </c>
      <c r="E24" s="30" t="s">
        <v>44</v>
      </c>
      <c r="F24" s="31">
        <v>10</v>
      </c>
      <c r="G24" s="32">
        <v>100.13</v>
      </c>
      <c r="H24" s="32">
        <v>5.59</v>
      </c>
      <c r="I24" s="33">
        <v>8.5837000000000003</v>
      </c>
      <c r="J24" s="33"/>
      <c r="K24" s="34" t="s">
        <v>25</v>
      </c>
    </row>
    <row r="25" spans="2:11" x14ac:dyDescent="0.3">
      <c r="B25" s="1" t="s">
        <v>45</v>
      </c>
      <c r="C25" s="21" t="s">
        <v>46</v>
      </c>
      <c r="D25" s="29" t="s">
        <v>47</v>
      </c>
      <c r="E25" s="30" t="s">
        <v>24</v>
      </c>
      <c r="F25" s="31">
        <v>10</v>
      </c>
      <c r="G25" s="32">
        <v>99.84</v>
      </c>
      <c r="H25" s="32">
        <v>5.57</v>
      </c>
      <c r="I25" s="33">
        <v>7.68</v>
      </c>
      <c r="J25" s="33"/>
      <c r="K25" s="34" t="s">
        <v>25</v>
      </c>
    </row>
    <row r="26" spans="2:11" x14ac:dyDescent="0.3">
      <c r="B26" s="1" t="s">
        <v>48</v>
      </c>
      <c r="C26" s="21" t="s">
        <v>49</v>
      </c>
      <c r="D26" s="29" t="s">
        <v>50</v>
      </c>
      <c r="E26" s="30" t="s">
        <v>24</v>
      </c>
      <c r="F26" s="31">
        <v>100</v>
      </c>
      <c r="G26" s="32">
        <v>99.82</v>
      </c>
      <c r="H26" s="32">
        <v>5.57</v>
      </c>
      <c r="I26" s="33">
        <v>7.6593999999999998</v>
      </c>
      <c r="J26" s="33"/>
      <c r="K26" s="34" t="s">
        <v>25</v>
      </c>
    </row>
    <row r="27" spans="2:11" x14ac:dyDescent="0.3">
      <c r="B27" s="1" t="s">
        <v>51</v>
      </c>
      <c r="C27" s="21" t="s">
        <v>52</v>
      </c>
      <c r="D27" s="29" t="s">
        <v>53</v>
      </c>
      <c r="E27" s="30" t="s">
        <v>24</v>
      </c>
      <c r="F27" s="31">
        <v>10</v>
      </c>
      <c r="G27" s="32">
        <v>99.42</v>
      </c>
      <c r="H27" s="32">
        <v>5.55</v>
      </c>
      <c r="I27" s="33">
        <v>7.92</v>
      </c>
      <c r="J27" s="33"/>
      <c r="K27" s="34"/>
    </row>
    <row r="28" spans="2:11" x14ac:dyDescent="0.3">
      <c r="B28" s="1" t="s">
        <v>54</v>
      </c>
      <c r="C28" s="21" t="s">
        <v>55</v>
      </c>
      <c r="D28" s="29" t="s">
        <v>56</v>
      </c>
      <c r="E28" s="30" t="s">
        <v>24</v>
      </c>
      <c r="F28" s="31">
        <v>5</v>
      </c>
      <c r="G28" s="32">
        <v>48.37</v>
      </c>
      <c r="H28" s="32">
        <v>2.7</v>
      </c>
      <c r="I28" s="33">
        <v>7.6</v>
      </c>
      <c r="J28" s="33"/>
      <c r="K28" s="34" t="s">
        <v>25</v>
      </c>
    </row>
    <row r="29" spans="2:11" x14ac:dyDescent="0.3">
      <c r="B29" s="1" t="s">
        <v>57</v>
      </c>
      <c r="C29" s="21" t="s">
        <v>58</v>
      </c>
      <c r="D29" s="29" t="s">
        <v>59</v>
      </c>
      <c r="E29" s="30" t="s">
        <v>24</v>
      </c>
      <c r="F29" s="31">
        <v>5</v>
      </c>
      <c r="G29" s="32">
        <v>47.26</v>
      </c>
      <c r="H29" s="32">
        <v>2.64</v>
      </c>
      <c r="I29" s="33">
        <v>7.92</v>
      </c>
      <c r="J29" s="33"/>
      <c r="K29" s="34" t="s">
        <v>25</v>
      </c>
    </row>
    <row r="30" spans="2:11" x14ac:dyDescent="0.3">
      <c r="C30" s="28" t="s">
        <v>60</v>
      </c>
      <c r="D30" s="29"/>
      <c r="E30" s="30"/>
      <c r="F30" s="31"/>
      <c r="G30" s="38">
        <v>1372.28</v>
      </c>
      <c r="H30" s="38">
        <v>76.56</v>
      </c>
      <c r="I30" s="33"/>
      <c r="J30" s="33"/>
      <c r="K30" s="34"/>
    </row>
    <row r="31" spans="2:11" x14ac:dyDescent="0.3">
      <c r="C31" s="21"/>
      <c r="D31" s="29"/>
      <c r="E31" s="30"/>
      <c r="F31" s="31"/>
      <c r="G31" s="32"/>
      <c r="H31" s="32"/>
      <c r="I31" s="33"/>
      <c r="J31" s="33"/>
      <c r="K31" s="34"/>
    </row>
    <row r="32" spans="2:11" x14ac:dyDescent="0.3">
      <c r="C32" s="28" t="s">
        <v>61</v>
      </c>
      <c r="D32" s="29"/>
      <c r="E32" s="30"/>
      <c r="F32" s="31"/>
      <c r="G32" s="32" t="s">
        <v>16</v>
      </c>
      <c r="H32" s="32" t="s">
        <v>16</v>
      </c>
      <c r="I32" s="33"/>
      <c r="J32" s="33"/>
      <c r="K32" s="34"/>
    </row>
    <row r="33" spans="2:11" x14ac:dyDescent="0.3">
      <c r="C33" s="21"/>
      <c r="D33" s="29"/>
      <c r="E33" s="30"/>
      <c r="F33" s="31"/>
      <c r="G33" s="32"/>
      <c r="H33" s="32"/>
      <c r="I33" s="33"/>
      <c r="J33" s="33"/>
      <c r="K33" s="34"/>
    </row>
    <row r="34" spans="2:11" x14ac:dyDescent="0.3">
      <c r="C34" s="28" t="s">
        <v>62</v>
      </c>
      <c r="D34" s="29"/>
      <c r="E34" s="30"/>
      <c r="F34" s="31"/>
      <c r="G34" s="32" t="s">
        <v>16</v>
      </c>
      <c r="H34" s="32" t="s">
        <v>16</v>
      </c>
      <c r="I34" s="33"/>
      <c r="J34" s="33"/>
      <c r="K34" s="34"/>
    </row>
    <row r="35" spans="2:11" x14ac:dyDescent="0.3">
      <c r="C35" s="21"/>
      <c r="D35" s="29"/>
      <c r="E35" s="30"/>
      <c r="F35" s="31"/>
      <c r="G35" s="32"/>
      <c r="H35" s="32"/>
      <c r="I35" s="33"/>
      <c r="J35" s="33"/>
      <c r="K35" s="34"/>
    </row>
    <row r="36" spans="2:11" x14ac:dyDescent="0.3">
      <c r="C36" s="37" t="s">
        <v>63</v>
      </c>
      <c r="D36" s="29"/>
      <c r="E36" s="30"/>
      <c r="F36" s="31"/>
      <c r="G36" s="32"/>
      <c r="H36" s="32"/>
      <c r="I36" s="33"/>
      <c r="J36" s="33"/>
      <c r="K36" s="34"/>
    </row>
    <row r="37" spans="2:11" x14ac:dyDescent="0.3">
      <c r="B37" s="1" t="s">
        <v>64</v>
      </c>
      <c r="C37" s="21" t="s">
        <v>65</v>
      </c>
      <c r="D37" s="29" t="s">
        <v>66</v>
      </c>
      <c r="E37" s="30" t="s">
        <v>67</v>
      </c>
      <c r="F37" s="31">
        <v>200000</v>
      </c>
      <c r="G37" s="32">
        <v>198.3</v>
      </c>
      <c r="H37" s="32">
        <v>11.06</v>
      </c>
      <c r="I37" s="33">
        <v>0</v>
      </c>
      <c r="J37" s="33"/>
      <c r="K37" s="34"/>
    </row>
    <row r="38" spans="2:11" x14ac:dyDescent="0.3">
      <c r="B38" s="1" t="s">
        <v>68</v>
      </c>
      <c r="C38" s="21" t="s">
        <v>69</v>
      </c>
      <c r="D38" s="29" t="s">
        <v>70</v>
      </c>
      <c r="E38" s="30" t="s">
        <v>67</v>
      </c>
      <c r="F38" s="31">
        <v>10000</v>
      </c>
      <c r="G38" s="32">
        <v>9.6</v>
      </c>
      <c r="H38" s="32">
        <v>0.54</v>
      </c>
      <c r="I38" s="33">
        <v>7.2007424999999996</v>
      </c>
      <c r="J38" s="33"/>
      <c r="K38" s="34"/>
    </row>
    <row r="39" spans="2:11" x14ac:dyDescent="0.3">
      <c r="C39" s="28" t="s">
        <v>60</v>
      </c>
      <c r="D39" s="29"/>
      <c r="E39" s="30"/>
      <c r="F39" s="31"/>
      <c r="G39" s="38">
        <v>207.9</v>
      </c>
      <c r="H39" s="38">
        <v>11.6</v>
      </c>
      <c r="I39" s="33"/>
      <c r="J39" s="33"/>
      <c r="K39" s="34"/>
    </row>
    <row r="40" spans="2:11" x14ac:dyDescent="0.3">
      <c r="C40" s="21"/>
      <c r="D40" s="29"/>
      <c r="E40" s="30"/>
      <c r="F40" s="31"/>
      <c r="G40" s="32"/>
      <c r="H40" s="32"/>
      <c r="I40" s="33"/>
      <c r="J40" s="33"/>
      <c r="K40" s="34"/>
    </row>
    <row r="41" spans="2:11" x14ac:dyDescent="0.3">
      <c r="C41" s="28" t="s">
        <v>71</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72</v>
      </c>
      <c r="D43" s="29"/>
      <c r="E43" s="30"/>
      <c r="F43" s="31"/>
      <c r="G43" s="32"/>
      <c r="H43" s="32"/>
      <c r="I43" s="33"/>
      <c r="J43" s="33"/>
      <c r="K43" s="34"/>
    </row>
    <row r="44" spans="2:11" x14ac:dyDescent="0.3">
      <c r="C44" s="21"/>
      <c r="D44" s="29"/>
      <c r="E44" s="30"/>
      <c r="F44" s="31"/>
      <c r="G44" s="32"/>
      <c r="H44" s="32"/>
      <c r="I44" s="33"/>
      <c r="J44" s="33"/>
      <c r="K44" s="34"/>
    </row>
    <row r="45" spans="2:11" x14ac:dyDescent="0.3">
      <c r="C45" s="28" t="s">
        <v>73</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74</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C49" s="28" t="s">
        <v>75</v>
      </c>
      <c r="D49" s="29"/>
      <c r="E49" s="30"/>
      <c r="F49" s="31"/>
      <c r="G49" s="32" t="s">
        <v>16</v>
      </c>
      <c r="H49" s="32" t="s">
        <v>16</v>
      </c>
      <c r="I49" s="33"/>
      <c r="J49" s="33"/>
      <c r="K49" s="34"/>
    </row>
    <row r="50" spans="1:11" x14ac:dyDescent="0.3">
      <c r="C50" s="21"/>
      <c r="D50" s="29"/>
      <c r="E50" s="30"/>
      <c r="F50" s="31"/>
      <c r="G50" s="32"/>
      <c r="H50" s="32"/>
      <c r="I50" s="33"/>
      <c r="J50" s="33"/>
      <c r="K50" s="34"/>
    </row>
    <row r="51" spans="1:11" x14ac:dyDescent="0.3">
      <c r="C51" s="28" t="s">
        <v>76</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A53" s="35"/>
      <c r="B53" s="36"/>
      <c r="C53" s="28" t="s">
        <v>77</v>
      </c>
      <c r="D53" s="29"/>
      <c r="E53" s="30"/>
      <c r="F53" s="31"/>
      <c r="G53" s="32"/>
      <c r="H53" s="32"/>
      <c r="I53" s="33"/>
      <c r="J53" s="33"/>
      <c r="K53" s="34"/>
    </row>
    <row r="54" spans="1:11" x14ac:dyDescent="0.3">
      <c r="A54" s="36"/>
      <c r="B54" s="36"/>
      <c r="C54" s="28" t="s">
        <v>78</v>
      </c>
      <c r="D54" s="29"/>
      <c r="E54" s="30"/>
      <c r="F54" s="31"/>
      <c r="G54" s="32" t="s">
        <v>16</v>
      </c>
      <c r="H54" s="32" t="s">
        <v>16</v>
      </c>
      <c r="I54" s="33"/>
      <c r="J54" s="33"/>
      <c r="K54" s="34"/>
    </row>
    <row r="55" spans="1:11" x14ac:dyDescent="0.3">
      <c r="A55" s="36"/>
      <c r="B55" s="36"/>
      <c r="C55" s="28"/>
      <c r="D55" s="29"/>
      <c r="E55" s="30"/>
      <c r="F55" s="31"/>
      <c r="G55" s="32"/>
      <c r="H55" s="32"/>
      <c r="I55" s="33"/>
      <c r="J55" s="33"/>
      <c r="K55" s="34"/>
    </row>
    <row r="56" spans="1:11" x14ac:dyDescent="0.3">
      <c r="A56" s="36"/>
      <c r="B56" s="36"/>
      <c r="C56" s="28" t="s">
        <v>79</v>
      </c>
      <c r="D56" s="29"/>
      <c r="E56" s="30"/>
      <c r="F56" s="31"/>
      <c r="G56" s="32" t="s">
        <v>16</v>
      </c>
      <c r="H56" s="32" t="s">
        <v>16</v>
      </c>
      <c r="I56" s="33"/>
      <c r="J56" s="33"/>
      <c r="K56" s="34"/>
    </row>
    <row r="57" spans="1:11" x14ac:dyDescent="0.3">
      <c r="A57" s="36"/>
      <c r="B57" s="36"/>
      <c r="C57" s="28"/>
      <c r="D57" s="29"/>
      <c r="E57" s="30"/>
      <c r="F57" s="31"/>
      <c r="G57" s="32"/>
      <c r="H57" s="32"/>
      <c r="I57" s="33"/>
      <c r="J57" s="33"/>
      <c r="K57" s="34"/>
    </row>
    <row r="58" spans="1:11" x14ac:dyDescent="0.3">
      <c r="A58" s="36"/>
      <c r="B58" s="36"/>
      <c r="C58" s="28" t="s">
        <v>80</v>
      </c>
      <c r="D58" s="29"/>
      <c r="E58" s="30"/>
      <c r="F58" s="31"/>
      <c r="G58" s="32" t="s">
        <v>16</v>
      </c>
      <c r="H58" s="32" t="s">
        <v>16</v>
      </c>
      <c r="I58" s="33"/>
      <c r="J58" s="33"/>
      <c r="K58" s="34"/>
    </row>
    <row r="59" spans="1:11" x14ac:dyDescent="0.3">
      <c r="A59" s="36"/>
      <c r="B59" s="36"/>
      <c r="C59" s="28"/>
      <c r="D59" s="29"/>
      <c r="E59" s="30"/>
      <c r="F59" s="31"/>
      <c r="G59" s="32"/>
      <c r="H59" s="32"/>
      <c r="I59" s="33"/>
      <c r="J59" s="33"/>
      <c r="K59" s="34"/>
    </row>
    <row r="60" spans="1:11" x14ac:dyDescent="0.3">
      <c r="A60" s="36"/>
      <c r="B60" s="36"/>
      <c r="C60" s="28" t="s">
        <v>81</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C62" s="37" t="s">
        <v>82</v>
      </c>
      <c r="D62" s="29"/>
      <c r="E62" s="30"/>
      <c r="F62" s="31"/>
      <c r="G62" s="32"/>
      <c r="H62" s="32"/>
      <c r="I62" s="33"/>
      <c r="J62" s="33"/>
      <c r="K62" s="34"/>
    </row>
    <row r="63" spans="1:11" x14ac:dyDescent="0.3">
      <c r="B63" s="1" t="s">
        <v>83</v>
      </c>
      <c r="C63" s="21" t="s">
        <v>84</v>
      </c>
      <c r="D63" s="29"/>
      <c r="E63" s="30"/>
      <c r="F63" s="31"/>
      <c r="G63" s="32">
        <v>172.07</v>
      </c>
      <c r="H63" s="32">
        <v>9.6</v>
      </c>
      <c r="I63" s="33">
        <v>6.4121865622570002</v>
      </c>
      <c r="J63" s="33"/>
      <c r="K63" s="34"/>
    </row>
    <row r="64" spans="1:11" x14ac:dyDescent="0.3">
      <c r="C64" s="28" t="s">
        <v>60</v>
      </c>
      <c r="D64" s="29"/>
      <c r="E64" s="30"/>
      <c r="F64" s="31"/>
      <c r="G64" s="38">
        <v>172.07</v>
      </c>
      <c r="H64" s="38">
        <v>9.6</v>
      </c>
      <c r="I64" s="33"/>
      <c r="J64" s="33"/>
      <c r="K64" s="34"/>
    </row>
    <row r="65" spans="1:11" x14ac:dyDescent="0.3">
      <c r="C65" s="21"/>
      <c r="D65" s="29"/>
      <c r="E65" s="30"/>
      <c r="F65" s="31"/>
      <c r="G65" s="32"/>
      <c r="H65" s="32"/>
      <c r="I65" s="33"/>
      <c r="J65" s="33"/>
      <c r="K65" s="34"/>
    </row>
    <row r="66" spans="1:11" x14ac:dyDescent="0.3">
      <c r="A66" s="35"/>
      <c r="B66" s="36"/>
      <c r="C66" s="28" t="s">
        <v>85</v>
      </c>
      <c r="D66" s="29"/>
      <c r="E66" s="30"/>
      <c r="F66" s="31"/>
      <c r="G66" s="32"/>
      <c r="H66" s="32"/>
      <c r="I66" s="33"/>
      <c r="J66" s="33"/>
      <c r="K66" s="34"/>
    </row>
    <row r="67" spans="1:11" x14ac:dyDescent="0.3">
      <c r="B67" s="1"/>
      <c r="C67" s="21" t="s">
        <v>86</v>
      </c>
      <c r="D67" s="29"/>
      <c r="E67" s="30"/>
      <c r="F67" s="31"/>
      <c r="G67" s="32">
        <v>40.450000000000003</v>
      </c>
      <c r="H67" s="32">
        <v>2.2399999999999998</v>
      </c>
      <c r="I67" s="33"/>
      <c r="J67" s="33"/>
      <c r="K67" s="34"/>
    </row>
    <row r="68" spans="1:11" x14ac:dyDescent="0.3">
      <c r="C68" s="28" t="s">
        <v>60</v>
      </c>
      <c r="D68" s="29"/>
      <c r="E68" s="30"/>
      <c r="F68" s="31"/>
      <c r="G68" s="38">
        <v>40.450000000000003</v>
      </c>
      <c r="H68" s="38">
        <v>2.2399999999999998</v>
      </c>
      <c r="I68" s="33"/>
      <c r="J68" s="33"/>
      <c r="K68" s="34"/>
    </row>
    <row r="69" spans="1:11" x14ac:dyDescent="0.3">
      <c r="C69" s="21"/>
      <c r="D69" s="29"/>
      <c r="E69" s="30"/>
      <c r="F69" s="31"/>
      <c r="G69" s="32"/>
      <c r="H69" s="32"/>
      <c r="I69" s="33"/>
      <c r="J69" s="33"/>
      <c r="K69" s="34"/>
    </row>
    <row r="70" spans="1:11" ht="14.4" thickBot="1" x14ac:dyDescent="0.35">
      <c r="C70" s="39" t="s">
        <v>87</v>
      </c>
      <c r="D70" s="40"/>
      <c r="E70" s="41"/>
      <c r="F70" s="42"/>
      <c r="G70" s="43">
        <v>1792.7</v>
      </c>
      <c r="H70" s="43">
        <f>SUMIFS(H:H,C:C,"Total")</f>
        <v>99.999999999999986</v>
      </c>
      <c r="I70" s="44"/>
      <c r="J70" s="44"/>
      <c r="K70" s="45"/>
    </row>
    <row r="73" spans="1:11" x14ac:dyDescent="0.3">
      <c r="C73" s="11" t="s">
        <v>88</v>
      </c>
    </row>
    <row r="74" spans="1:11" x14ac:dyDescent="0.3">
      <c r="C74" s="2" t="s">
        <v>89</v>
      </c>
    </row>
    <row r="75" spans="1:11" x14ac:dyDescent="0.3">
      <c r="C75" s="46" t="s">
        <v>90</v>
      </c>
    </row>
    <row r="76" spans="1:11" x14ac:dyDescent="0.3">
      <c r="C76" s="2" t="s">
        <v>91</v>
      </c>
    </row>
    <row r="77" spans="1:11" x14ac:dyDescent="0.3">
      <c r="C77" s="2" t="s">
        <v>92</v>
      </c>
    </row>
    <row r="78" spans="1:11" x14ac:dyDescent="0.3">
      <c r="C78" s="2" t="s">
        <v>93</v>
      </c>
      <c r="D78" s="47"/>
      <c r="E78" s="47"/>
      <c r="F78" s="47"/>
      <c r="G78" s="48"/>
      <c r="H78" s="48"/>
    </row>
    <row r="79" spans="1:11" x14ac:dyDescent="0.3">
      <c r="C79" s="2" t="s">
        <v>94</v>
      </c>
    </row>
    <row r="80" spans="1:11" x14ac:dyDescent="0.3">
      <c r="C80" s="2" t="s">
        <v>95</v>
      </c>
    </row>
    <row r="81" spans="3:55" x14ac:dyDescent="0.3">
      <c r="C81" s="2" t="s">
        <v>96</v>
      </c>
    </row>
    <row r="82" spans="3:55" x14ac:dyDescent="0.3">
      <c r="C82" s="2" t="s">
        <v>97</v>
      </c>
    </row>
    <row r="83" spans="3:55" s="11" customFormat="1" x14ac:dyDescent="0.3">
      <c r="C83" s="11" t="s">
        <v>98</v>
      </c>
      <c r="E83" s="11" t="s">
        <v>99</v>
      </c>
      <c r="F83" s="49" t="s">
        <v>100</v>
      </c>
      <c r="G83" s="50"/>
      <c r="H83" s="50"/>
      <c r="I83" s="50"/>
      <c r="J83" s="50"/>
      <c r="K83" s="51"/>
      <c r="L83" s="51"/>
      <c r="M83" s="51"/>
      <c r="AJ83" s="51"/>
      <c r="AW83" s="51"/>
      <c r="AY83" s="51"/>
      <c r="BC83" s="51"/>
    </row>
    <row r="84" spans="3:55" x14ac:dyDescent="0.3">
      <c r="C84" s="2" t="s">
        <v>101</v>
      </c>
      <c r="E84" s="52">
        <v>22.586300000000001</v>
      </c>
      <c r="F84" s="53">
        <v>22.666699999999999</v>
      </c>
    </row>
    <row r="85" spans="3:55" x14ac:dyDescent="0.3">
      <c r="C85" s="2" t="s">
        <v>102</v>
      </c>
      <c r="E85" s="52">
        <v>10.0878</v>
      </c>
      <c r="F85" s="53">
        <v>10.0738</v>
      </c>
    </row>
    <row r="86" spans="3:55" x14ac:dyDescent="0.3">
      <c r="C86" s="2" t="s">
        <v>103</v>
      </c>
      <c r="E86" s="52">
        <v>10.1241</v>
      </c>
      <c r="F86" s="53">
        <v>10.1602</v>
      </c>
    </row>
    <row r="87" spans="3:55" x14ac:dyDescent="0.3">
      <c r="C87" s="2" t="s">
        <v>104</v>
      </c>
      <c r="E87" s="52">
        <v>26.139099999999999</v>
      </c>
      <c r="F87" s="53">
        <v>26.232099999999999</v>
      </c>
    </row>
    <row r="88" spans="3:55" x14ac:dyDescent="0.3">
      <c r="C88" s="2" t="s">
        <v>105</v>
      </c>
      <c r="E88" s="52">
        <v>10.057499999999999</v>
      </c>
      <c r="F88" s="53">
        <v>10.0433</v>
      </c>
    </row>
    <row r="89" spans="3:55" x14ac:dyDescent="0.3">
      <c r="C89" s="2" t="s">
        <v>106</v>
      </c>
      <c r="E89" s="52">
        <v>10.0501</v>
      </c>
      <c r="F89" s="53">
        <v>10.085900000000001</v>
      </c>
    </row>
    <row r="90" spans="3:55" x14ac:dyDescent="0.3">
      <c r="C90" s="2" t="s">
        <v>107</v>
      </c>
      <c r="E90" s="52">
        <v>10.754099999999999</v>
      </c>
      <c r="F90" s="53">
        <v>10.792400000000001</v>
      </c>
    </row>
    <row r="91" spans="3:55" x14ac:dyDescent="0.3">
      <c r="C91" s="2" t="s">
        <v>108</v>
      </c>
      <c r="E91" s="52">
        <v>10.6935</v>
      </c>
      <c r="F91" s="53">
        <v>10.7316</v>
      </c>
    </row>
    <row r="92" spans="3:55" x14ac:dyDescent="0.3">
      <c r="C92" s="2" t="s">
        <v>109</v>
      </c>
      <c r="E92" s="52">
        <v>23.7988</v>
      </c>
      <c r="F92" s="53">
        <v>23.8902</v>
      </c>
    </row>
    <row r="93" spans="3:55" x14ac:dyDescent="0.3">
      <c r="C93" s="2" t="s">
        <v>110</v>
      </c>
      <c r="E93" s="52">
        <v>10.1181</v>
      </c>
      <c r="F93" s="53">
        <v>10.1073</v>
      </c>
    </row>
    <row r="94" spans="3:55" x14ac:dyDescent="0.3">
      <c r="C94" s="2" t="s">
        <v>111</v>
      </c>
      <c r="E94" s="52">
        <v>10.228300000000001</v>
      </c>
      <c r="F94" s="53">
        <v>10.267200000000001</v>
      </c>
    </row>
    <row r="95" spans="3:55" x14ac:dyDescent="0.3">
      <c r="C95" s="2" t="s">
        <v>112</v>
      </c>
      <c r="E95" s="52">
        <v>10.9087</v>
      </c>
      <c r="F95" s="53">
        <v>10.9506</v>
      </c>
    </row>
    <row r="97" spans="3:6" x14ac:dyDescent="0.3">
      <c r="C97" s="2" t="s">
        <v>113</v>
      </c>
      <c r="E97" s="11" t="s">
        <v>114</v>
      </c>
      <c r="F97" s="49" t="s">
        <v>115</v>
      </c>
    </row>
    <row r="98" spans="3:6" x14ac:dyDescent="0.3">
      <c r="C98" s="2" t="s">
        <v>102</v>
      </c>
      <c r="E98" s="52">
        <v>0.05</v>
      </c>
      <c r="F98" s="53">
        <v>0.05</v>
      </c>
    </row>
    <row r="99" spans="3:6" x14ac:dyDescent="0.3">
      <c r="C99" s="2" t="s">
        <v>105</v>
      </c>
      <c r="E99" s="52">
        <v>0.05</v>
      </c>
      <c r="F99" s="53">
        <v>0.05</v>
      </c>
    </row>
    <row r="100" spans="3:6" x14ac:dyDescent="0.3">
      <c r="C100" s="2" t="s">
        <v>110</v>
      </c>
      <c r="E100" s="52">
        <v>0.05</v>
      </c>
      <c r="F100" s="53">
        <v>0.05</v>
      </c>
    </row>
    <row r="102" spans="3:6" x14ac:dyDescent="0.3">
      <c r="C102" s="2" t="s">
        <v>116</v>
      </c>
    </row>
    <row r="103" spans="3:6" x14ac:dyDescent="0.3">
      <c r="C103" s="2" t="s">
        <v>117</v>
      </c>
    </row>
    <row r="104" spans="3:6" x14ac:dyDescent="0.3">
      <c r="C104" s="2" t="s">
        <v>118</v>
      </c>
    </row>
    <row r="105" spans="3:6" x14ac:dyDescent="0.3">
      <c r="C105" s="2" t="s">
        <v>119</v>
      </c>
    </row>
    <row r="106" spans="3:6" x14ac:dyDescent="0.3">
      <c r="C106" s="2" t="s">
        <v>120</v>
      </c>
    </row>
    <row r="107" spans="3:6" x14ac:dyDescent="0.3">
      <c r="C107" s="2" t="s">
        <v>121</v>
      </c>
    </row>
    <row r="108" spans="3:6" x14ac:dyDescent="0.3">
      <c r="C108" s="2" t="s">
        <v>122</v>
      </c>
    </row>
    <row r="109" spans="3:6" x14ac:dyDescent="0.3">
      <c r="C109" s="2" t="s">
        <v>123</v>
      </c>
    </row>
    <row r="110" spans="3:6" x14ac:dyDescent="0.3">
      <c r="C110" s="2" t="s">
        <v>124</v>
      </c>
    </row>
    <row r="111" spans="3:6" x14ac:dyDescent="0.3">
      <c r="C111" s="2" t="s">
        <v>125</v>
      </c>
    </row>
    <row r="112" spans="3:6" x14ac:dyDescent="0.3">
      <c r="C112" s="2" t="s">
        <v>126</v>
      </c>
    </row>
    <row r="113" spans="3:55" x14ac:dyDescent="0.3">
      <c r="C113" s="2" t="s">
        <v>127</v>
      </c>
    </row>
    <row r="114" spans="3:55" ht="14.4" x14ac:dyDescent="0.3">
      <c r="C114" s="2" t="s">
        <v>128</v>
      </c>
      <c r="D114" s="54"/>
      <c r="E114" s="55"/>
      <c r="F114" s="55"/>
      <c r="G114" s="55"/>
      <c r="H114" s="55"/>
      <c r="I114" s="55"/>
      <c r="J114" s="55"/>
      <c r="K114" s="55"/>
      <c r="L114" s="2"/>
      <c r="M114" s="2"/>
      <c r="AF114" s="10"/>
      <c r="AJ114" s="2"/>
      <c r="AS114" s="10"/>
      <c r="AU114" s="10"/>
      <c r="AW114" s="2"/>
      <c r="BC114" s="2"/>
    </row>
    <row r="115" spans="3:55" ht="14.4" x14ac:dyDescent="0.3">
      <c r="C115" s="2" t="s">
        <v>129</v>
      </c>
      <c r="D115" s="55"/>
      <c r="E115" s="55"/>
      <c r="F115" s="55"/>
      <c r="G115" s="55"/>
      <c r="H115" s="55"/>
      <c r="I115" s="55"/>
      <c r="J115" s="55"/>
      <c r="K115" s="55"/>
      <c r="L115" s="2"/>
      <c r="M115" s="2"/>
      <c r="AF115" s="10"/>
      <c r="AJ115" s="2"/>
      <c r="AS115" s="10"/>
      <c r="AU115" s="10"/>
      <c r="AW115" s="2"/>
      <c r="BC115" s="2"/>
    </row>
    <row r="116" spans="3:55" ht="46.5" customHeight="1" x14ac:dyDescent="0.3">
      <c r="C116" s="56" t="s">
        <v>130</v>
      </c>
      <c r="D116" s="57"/>
      <c r="E116" s="57"/>
      <c r="F116" s="57"/>
      <c r="G116" s="57"/>
      <c r="H116" s="57"/>
      <c r="I116" s="57"/>
      <c r="J116" s="57"/>
      <c r="K116" s="57"/>
    </row>
    <row r="117" spans="3:55" ht="14.4" x14ac:dyDescent="0.3">
      <c r="C117" s="55"/>
      <c r="D117" s="55"/>
      <c r="E117" s="55"/>
      <c r="F117" s="55"/>
      <c r="G117" s="55"/>
      <c r="H117" s="55"/>
      <c r="I117" s="55"/>
      <c r="J117" s="55"/>
      <c r="K117" s="55"/>
    </row>
  </sheetData>
  <mergeCells count="1">
    <mergeCell ref="C116:K11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2023-02-06T13:49:31Z</dcterms:created>
  <dcterms:modified xsi:type="dcterms:W3CDTF">2023-02-09T10:42:28Z</dcterms:modified>
</cp:coreProperties>
</file>