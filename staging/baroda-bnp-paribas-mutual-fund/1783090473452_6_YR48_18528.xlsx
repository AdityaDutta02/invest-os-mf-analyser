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4D08E625-7A86-4FF5-8795-A603966007CE}" xr6:coauthVersionLast="47" xr6:coauthVersionMax="47" xr10:uidLastSave="{00000000-0000-0000-0000-000000000000}"/>
  <bookViews>
    <workbookView xWindow="-108" yWindow="-108" windowWidth="23256" windowHeight="12456" xr2:uid="{2670D149-46F8-464D-B5A3-4CC662D8115E}"/>
  </bookViews>
  <sheets>
    <sheet name="YR48" sheetId="1" r:id="rId1"/>
  </sheets>
  <definedNames>
    <definedName name="JR_PAGE_ANCHOR_0_40">#REF!</definedName>
    <definedName name="JR_PAGE_ANCHOR_0_44">#REF!</definedName>
    <definedName name="JR_PAGE_ANCHOR_0_46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6" i="1" l="1"/>
  <c r="F66" i="1"/>
</calcChain>
</file>

<file path=xl/sharedStrings.xml><?xml version="1.0" encoding="utf-8"?>
<sst xmlns="http://schemas.openxmlformats.org/spreadsheetml/2006/main" count="551" uniqueCount="446">
  <si>
    <t>Baroda BNP Paribas Balanced Advantage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</si>
  <si>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</si>
  <si>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</si>
  <si>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</si>
  <si>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</si>
  <si>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</si>
  <si>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</si>
  <si>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</si>
  <si>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</si>
  <si>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</si>
  <si>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</si>
  <si>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</si>
  <si>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</si>
  <si>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</si>
  <si>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</si>
  <si>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</si>
  <si>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</si>
  <si>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</si>
  <si>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</si>
  <si>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</si>
  <si>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</si>
  <si>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</si>
  <si>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BHAH02</t>
  </si>
  <si>
    <t>Bharat Heavy Electricals Limited</t>
  </si>
  <si>
    <t>INE257A01026</t>
  </si>
  <si>
    <t>Electrical Equipment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</si>
  <si>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</si>
  <si>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</si>
  <si>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</si>
  <si>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</si>
  <si>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</si>
  <si>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</si>
  <si>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</si>
  <si>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</si>
  <si>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</si>
  <si>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</si>
  <si>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</si>
  <si>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MCEX02</t>
  </si>
  <si>
    <t>Multi Commodity Exchange of India Limited</t>
  </si>
  <si>
    <t>INE745G01043</t>
  </si>
  <si>
    <t>Capital Markets</t>
  </si>
  <si>
    <t>IIBL01</t>
  </si>
  <si>
    <t>IndusInd Bank Limited</t>
  </si>
  <si>
    <t>INE095A01012</t>
  </si>
  <si>
    <t>JVSL04</t>
  </si>
  <si>
    <t>JSW Steel Limited</t>
  </si>
  <si>
    <t>INE019A01038</t>
  </si>
  <si>
    <t>Ferrous Metals</t>
  </si>
  <si>
    <t>MOSU03</t>
  </si>
  <si>
    <t>Samvardhana Motherson International Limited</t>
  </si>
  <si>
    <t>INE775A01035</t>
  </si>
  <si>
    <t>Auto Components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</si>
  <si>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</si>
  <si>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</si>
  <si>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</si>
  <si>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</si>
  <si>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</si>
  <si>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</si>
  <si>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</si>
  <si>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</si>
  <si>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EIML02</t>
  </si>
  <si>
    <t>Eicher Motors Limited</t>
  </si>
  <si>
    <t>INE066A01021</t>
  </si>
  <si>
    <t>Automobiles</t>
  </si>
  <si>
    <t>MARC02</t>
  </si>
  <si>
    <t>Marico Limited</t>
  </si>
  <si>
    <t>INE196A01026</t>
  </si>
  <si>
    <t>Agricultural Food &amp; other Products</t>
  </si>
  <si>
    <t>RAKH02</t>
  </si>
  <si>
    <t>Radico Khaitan Limited</t>
  </si>
  <si>
    <t>INE944F01028</t>
  </si>
  <si>
    <t>Beverages</t>
  </si>
  <si>
    <t>PGCI01</t>
  </si>
  <si>
    <t>Power Grid Corporation of India Limited</t>
  </si>
  <si>
    <t>INE752E01010</t>
  </si>
  <si>
    <t>Power</t>
  </si>
  <si>
    <t>KCUL02</t>
  </si>
  <si>
    <t>Cummins India Limited</t>
  </si>
  <si>
    <t>INE298A01020</t>
  </si>
  <si>
    <t>Industrial Products</t>
  </si>
  <si>
    <t>FEBA02</t>
  </si>
  <si>
    <t>The Federal Bank Limited</t>
  </si>
  <si>
    <t>INE171A01029</t>
  </si>
  <si>
    <t>KOMA03</t>
  </si>
  <si>
    <t>Kotak Mahindra Bank Limited</t>
  </si>
  <si>
    <t>INE237A01036</t>
  </si>
  <si>
    <t>ALLI02</t>
  </si>
  <si>
    <t>GE Vernova T&amp;D India Limited</t>
  </si>
  <si>
    <t>INE200A01026</t>
  </si>
  <si>
    <t>SHTR02</t>
  </si>
  <si>
    <t>Shriram Finance Limited</t>
  </si>
  <si>
    <t>INE721A01047</t>
  </si>
  <si>
    <t>Finance</t>
  </si>
  <si>
    <t>KAVY06</t>
  </si>
  <si>
    <t>Karur Vysya Bank Limited</t>
  </si>
  <si>
    <t>INE036D01028</t>
  </si>
  <si>
    <t>INFS02</t>
  </si>
  <si>
    <t>Infosys Limited</t>
  </si>
  <si>
    <t>INE009A01021</t>
  </si>
  <si>
    <t>IT - Software</t>
  </si>
  <si>
    <t>ONCO02</t>
  </si>
  <si>
    <t>One 97 Communications Limited</t>
  </si>
  <si>
    <t>INE982J01020</t>
  </si>
  <si>
    <t>Financial Technology (Fintech)</t>
  </si>
  <si>
    <t>IBCL05</t>
  </si>
  <si>
    <t>ICICI Bank Limited</t>
  </si>
  <si>
    <t>INE090A01021</t>
  </si>
  <si>
    <t>MAHI02</t>
  </si>
  <si>
    <t>Mahindra &amp; Mahindra Limited</t>
  </si>
  <si>
    <t>INE101A01026</t>
  </si>
  <si>
    <t>UTIB02</t>
  </si>
  <si>
    <t>Axis Bank Limited</t>
  </si>
  <si>
    <t>INE238A01034</t>
  </si>
  <si>
    <t>PRRC03</t>
  </si>
  <si>
    <t>Navin Fluorine International Limited</t>
  </si>
  <si>
    <t>INE048G01026</t>
  </si>
  <si>
    <t>Chemicals &amp; Petrochemicals</t>
  </si>
  <si>
    <t>PSYL02</t>
  </si>
  <si>
    <t>Persistent Systems Limited</t>
  </si>
  <si>
    <t>INE262H01021</t>
  </si>
  <si>
    <t>HLEL02</t>
  </si>
  <si>
    <t>Hindustan Unilever Limited</t>
  </si>
  <si>
    <t>INE030A01027</t>
  </si>
  <si>
    <t>Diversified FMCG</t>
  </si>
  <si>
    <t>ULCC01</t>
  </si>
  <si>
    <t>UltraTech Cement Limited</t>
  </si>
  <si>
    <t>INE481G01011</t>
  </si>
  <si>
    <t>Cement &amp; Cement Products</t>
  </si>
  <si>
    <t>POCA01</t>
  </si>
  <si>
    <t>Polycab India Limited</t>
  </si>
  <si>
    <t>INE455K01017</t>
  </si>
  <si>
    <t>TEMA02</t>
  </si>
  <si>
    <t>Tech Mahindra Limited</t>
  </si>
  <si>
    <t>INE669C01036</t>
  </si>
  <si>
    <t>NTPC01</t>
  </si>
  <si>
    <t>NTPC Limited</t>
  </si>
  <si>
    <t>INE733E01010</t>
  </si>
  <si>
    <t>SBAI02</t>
  </si>
  <si>
    <t>State Bank of India</t>
  </si>
  <si>
    <t>INE062A01020</t>
  </si>
  <si>
    <t>TTEA02</t>
  </si>
  <si>
    <t>Tata Consumer Products Limited</t>
  </si>
  <si>
    <t>INE192A01025</t>
  </si>
  <si>
    <t>SLIF01</t>
  </si>
  <si>
    <t>SBI Life Insurance Company Limited</t>
  </si>
  <si>
    <t>INE123W01016</t>
  </si>
  <si>
    <t>Insurance</t>
  </si>
  <si>
    <t>AJPH03</t>
  </si>
  <si>
    <t>Ajanta Pharma Limited</t>
  </si>
  <si>
    <t>INE031B01049</t>
  </si>
  <si>
    <t>IIFM02</t>
  </si>
  <si>
    <t>360 One WAM Limited</t>
  </si>
  <si>
    <t>INE466L01038</t>
  </si>
  <si>
    <t>HPEC01</t>
  </si>
  <si>
    <t>Hindustan Petroleum Corporation Limited</t>
  </si>
  <si>
    <t>INE094A01015</t>
  </si>
  <si>
    <t>TWAT02</t>
  </si>
  <si>
    <t>Titan Company Limited</t>
  </si>
  <si>
    <t>INE280A01028</t>
  </si>
  <si>
    <t>Consumer Durables</t>
  </si>
  <si>
    <t>IPAM01</t>
  </si>
  <si>
    <t>ICICI Prudential Asset Management Company Limited</t>
  </si>
  <si>
    <t>INE346A01027</t>
  </si>
  <si>
    <t>FRAN01</t>
  </si>
  <si>
    <t>Fractal Analytics Ltd</t>
  </si>
  <si>
    <t>INE212S01015</t>
  </si>
  <si>
    <t>AMBE01</t>
  </si>
  <si>
    <t>Amber Enterprises India Limited</t>
  </si>
  <si>
    <t>INE371P01015</t>
  </si>
  <si>
    <t>SOEL02</t>
  </si>
  <si>
    <t>Solar Industries India Limited</t>
  </si>
  <si>
    <t>INE343H01029</t>
  </si>
  <si>
    <t>NHPC01</t>
  </si>
  <si>
    <t>NHPC Limited</t>
  </si>
  <si>
    <t>INE848E01016</t>
  </si>
  <si>
    <t>SESA02</t>
  </si>
  <si>
    <t>Vedanta Limited</t>
  </si>
  <si>
    <t>INE205A01025</t>
  </si>
  <si>
    <t>Diversified Metals</t>
  </si>
  <si>
    <t>MUFL01</t>
  </si>
  <si>
    <t>Muthoot Finance Limited</t>
  </si>
  <si>
    <t>INE414G01012</t>
  </si>
  <si>
    <t>CANB02</t>
  </si>
  <si>
    <t>Canara Bank</t>
  </si>
  <si>
    <t>INE476A01022</t>
  </si>
  <si>
    <t>SAGI01</t>
  </si>
  <si>
    <t>Sagility Limited</t>
  </si>
  <si>
    <t>INE0W2G01015</t>
  </si>
  <si>
    <t>IT - Services</t>
  </si>
  <si>
    <t>NEST02</t>
  </si>
  <si>
    <t>Nestle India Limited</t>
  </si>
  <si>
    <t>INE239A01024</t>
  </si>
  <si>
    <t>Food Products</t>
  </si>
  <si>
    <t>SMAW01</t>
  </si>
  <si>
    <t>Smartworks Coworking Spaces Ltd</t>
  </si>
  <si>
    <t>INE0NAZ01010</t>
  </si>
  <si>
    <t>Commercial Services &amp; Supplies</t>
  </si>
  <si>
    <t>LUPL02</t>
  </si>
  <si>
    <t>Lupin Limited</t>
  </si>
  <si>
    <t>INE326A01037</t>
  </si>
  <si>
    <t>BAND01</t>
  </si>
  <si>
    <t>Bandhan Bank Limited</t>
  </si>
  <si>
    <t>INE545U01014</t>
  </si>
  <si>
    <t>AMLL01</t>
  </si>
  <si>
    <t>Amagi Media Labs Limited</t>
  </si>
  <si>
    <t>INE121R01077</t>
  </si>
  <si>
    <t>Talwandi Sabo Power Limited **</t>
  </si>
  <si>
    <t>INE694L01019</t>
  </si>
  <si>
    <t>Malco Energy Limited **</t>
  </si>
  <si>
    <t>INE704J01044</t>
  </si>
  <si>
    <t>Oil</t>
  </si>
  <si>
    <t>Vedanta Aluminium Metal Limited **</t>
  </si>
  <si>
    <t>INE1CDF01017</t>
  </si>
  <si>
    <t>Non - Ferrous Metals</t>
  </si>
  <si>
    <t>Vedanta Iron And Steel Limited **</t>
  </si>
  <si>
    <t>INE1CLE01013</t>
  </si>
  <si>
    <t>Sub Total</t>
  </si>
  <si>
    <t>(b) Invits</t>
  </si>
  <si>
    <t>NHIT01</t>
  </si>
  <si>
    <t>National Highways Infra Trust</t>
  </si>
  <si>
    <t>INE0H7R23014</t>
  </si>
  <si>
    <t>Transport Infrastructure</t>
  </si>
  <si>
    <t>IGIF01</t>
  </si>
  <si>
    <t>IndiGrid Infrastructure Trust</t>
  </si>
  <si>
    <t>INE219X23014</t>
  </si>
  <si>
    <t>NXTI01</t>
  </si>
  <si>
    <t>NXT Infra Trust (NIT)</t>
  </si>
  <si>
    <t>INE0SF023016</t>
  </si>
  <si>
    <t>RIIT01</t>
  </si>
  <si>
    <t>Raajmarg Infra Investment Trust</t>
  </si>
  <si>
    <t>INE2PB023011</t>
  </si>
  <si>
    <t>CLIT01</t>
  </si>
  <si>
    <t>Capital Infra Trust</t>
  </si>
  <si>
    <t>INE0Z8Z23013</t>
  </si>
  <si>
    <t>BHHI01</t>
  </si>
  <si>
    <t>Indus Infra Trust</t>
  </si>
  <si>
    <t>INE0NHL23019</t>
  </si>
  <si>
    <t>PIIT01</t>
  </si>
  <si>
    <t>Powergrid Infrastructure Investment Trust</t>
  </si>
  <si>
    <t>INE0GGX23010</t>
  </si>
  <si>
    <t>(c) Unlisted</t>
  </si>
  <si>
    <t>NIL</t>
  </si>
  <si>
    <t>Total</t>
  </si>
  <si>
    <t>Debt Instruments</t>
  </si>
  <si>
    <t>(a) Listed / awaiting listing on Stock Exchange</t>
  </si>
  <si>
    <t>PHFL84</t>
  </si>
  <si>
    <t>6.75% Piramal Finance Limited (26/09/2031)</t>
  </si>
  <si>
    <t>INE516Y07444</t>
  </si>
  <si>
    <t>ICRA AA+</t>
  </si>
  <si>
    <t>GOI5228</t>
  </si>
  <si>
    <t>7.18% Government of India (14/08/2033)</t>
  </si>
  <si>
    <t>IN0020230085</t>
  </si>
  <si>
    <t>Sovereign</t>
  </si>
  <si>
    <t>NBAR701</t>
  </si>
  <si>
    <t>7.58% National Bank For Agriculture and Rural Development (31/07/2026) **</t>
  </si>
  <si>
    <t>INE261F08DX0</t>
  </si>
  <si>
    <t>CRISIL AAA</t>
  </si>
  <si>
    <t>LICH659</t>
  </si>
  <si>
    <t>6.4% LIC Housing Finance Limited (30/11/2026)</t>
  </si>
  <si>
    <t>INE115A07PN6</t>
  </si>
  <si>
    <t>GOI6156</t>
  </si>
  <si>
    <t>6.79% Government of India (07/10/2034)</t>
  </si>
  <si>
    <t>IN0020240126</t>
  </si>
  <si>
    <t>GOI6919</t>
  </si>
  <si>
    <t>6.01% Government of India (21/07/2030)</t>
  </si>
  <si>
    <t>IN0020250067</t>
  </si>
  <si>
    <t>BHAT87</t>
  </si>
  <si>
    <t>7.3% Bharti Telecom Limited (01/12/2027) **</t>
  </si>
  <si>
    <t>INE403D08306</t>
  </si>
  <si>
    <t>GOI6019</t>
  </si>
  <si>
    <t>7.09% Government of India (05/08/2054)</t>
  </si>
  <si>
    <t>IN0020240118</t>
  </si>
  <si>
    <t>RIND261</t>
  </si>
  <si>
    <t>8.95% Reliance Industries Limited (09/11/2028) **</t>
  </si>
  <si>
    <t>INE002A08542</t>
  </si>
  <si>
    <t>GOI3079</t>
  </si>
  <si>
    <t>7.11% State Government Securities (17/03/2031)</t>
  </si>
  <si>
    <t>IN1520200297</t>
  </si>
  <si>
    <t>HPEC303</t>
  </si>
  <si>
    <t>7.74% Hindustan Petroleum Corporation Limited (02/03/2028) **</t>
  </si>
  <si>
    <t>INE094A08150</t>
  </si>
  <si>
    <t>GOI6638</t>
  </si>
  <si>
    <t>6.9% Government of India (15/04/2065)</t>
  </si>
  <si>
    <t>IN0020250018</t>
  </si>
  <si>
    <t>NTPC166</t>
  </si>
  <si>
    <t>7.32% NTPC Limited (17/07/2029) **</t>
  </si>
  <si>
    <t>INE733E07KL3</t>
  </si>
  <si>
    <t>ICFP147</t>
  </si>
  <si>
    <t>10.5% IndoStar Capital Finance Limited (25/09/2026) **</t>
  </si>
  <si>
    <t>INE896L07983</t>
  </si>
  <si>
    <t>CARE AA-</t>
  </si>
  <si>
    <t>LARS419</t>
  </si>
  <si>
    <t>7.725% Larsen &amp; Toubro Limited (28/04/2028) **</t>
  </si>
  <si>
    <t>INE018A08BE9</t>
  </si>
  <si>
    <t>NBAR838</t>
  </si>
  <si>
    <t>7.48% National Bank For Agriculture and Rural Development (15/09/2028)</t>
  </si>
  <si>
    <t>INE261F08EO7</t>
  </si>
  <si>
    <t>POWF560</t>
  </si>
  <si>
    <t>6.92% Power Finance Corporation Limited (16/02/2028) **</t>
  </si>
  <si>
    <t>INE134E08OA7</t>
  </si>
  <si>
    <t>NHBA337</t>
  </si>
  <si>
    <t>6.80% National Housing Bank (02/04/2032) **</t>
  </si>
  <si>
    <t>INE557F08GE4</t>
  </si>
  <si>
    <t>CARE AAA</t>
  </si>
  <si>
    <t>RUPL36</t>
  </si>
  <si>
    <t>6.4% Jamnagar Utilities &amp; Power Private Limited (29/09/2026) **</t>
  </si>
  <si>
    <t>INE936D07174</t>
  </si>
  <si>
    <t>SHTR526</t>
  </si>
  <si>
    <t>8.7% Shriram Finance Limited (09/04/2028)</t>
  </si>
  <si>
    <t>INE721A07SL9</t>
  </si>
  <si>
    <t>SIDB553</t>
  </si>
  <si>
    <t>7.68% Small Industries Dev Bank of India (10/08/2027) **</t>
  </si>
  <si>
    <t>INE556F08KP4</t>
  </si>
  <si>
    <t>GOI5728</t>
  </si>
  <si>
    <t>7.34% Government of India (22/04/2064)</t>
  </si>
  <si>
    <t>IN0020240035</t>
  </si>
  <si>
    <t>NBAR719</t>
  </si>
  <si>
    <t>7.50% National Bank For Agriculture and Rural Development (31/08/2026) **</t>
  </si>
  <si>
    <t>INE261F08EA6</t>
  </si>
  <si>
    <t>CHOL1108</t>
  </si>
  <si>
    <t>7.83% Cholamandalam Investment and Finance Company Ltd (28/06/2028) **</t>
  </si>
  <si>
    <t>INE121A07SR9</t>
  </si>
  <si>
    <t>BHAT85</t>
  </si>
  <si>
    <t>7.35% Bharti Telecom Limited (15/10/2027) **</t>
  </si>
  <si>
    <t>INE403D08272</t>
  </si>
  <si>
    <t>GOI7446</t>
  </si>
  <si>
    <t>7.4% State Government Securities (25/02/2036)</t>
  </si>
  <si>
    <t>IN1520250318</t>
  </si>
  <si>
    <t>GOI6889</t>
  </si>
  <si>
    <t>6.68% Government of India (07/07/2040)</t>
  </si>
  <si>
    <t>IN0020250042</t>
  </si>
  <si>
    <t>GOI1686</t>
  </si>
  <si>
    <t>7.25% State Government Securities (28/12/2026)</t>
  </si>
  <si>
    <t>IN2220160120</t>
  </si>
  <si>
    <t>AHFC51</t>
  </si>
  <si>
    <t>8.55% Motilal Oswal Home Finance Limited (07/01/2027) **</t>
  </si>
  <si>
    <t>INE658R07430</t>
  </si>
  <si>
    <t>GOI2171</t>
  </si>
  <si>
    <t>8.08% State Government Securities (26/12/2028)</t>
  </si>
  <si>
    <t>IN1920180115</t>
  </si>
  <si>
    <t>GOI2183</t>
  </si>
  <si>
    <t>IN3120180200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</si>
  <si>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</si>
  <si>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</si>
  <si>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</si>
  <si>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</si>
  <si>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</si>
  <si>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</si>
  <si>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CRISIL AA+</t>
  </si>
  <si>
    <t>MUND173</t>
  </si>
  <si>
    <t>9.35% Adani Ports and Special Economic Zone Limited (04/07/2026) **</t>
  </si>
  <si>
    <t>INE742F07361</t>
  </si>
  <si>
    <t>ICRA AAA</t>
  </si>
  <si>
    <t>TATP52</t>
  </si>
  <si>
    <t>8.35% Tata Projects Limited (22/07/2027) **</t>
  </si>
  <si>
    <t>INE725H08204</t>
  </si>
  <si>
    <t>FITCH AA</t>
  </si>
  <si>
    <t>RECL312</t>
  </si>
  <si>
    <t>7.54% REC Limited (30/12/2026) **</t>
  </si>
  <si>
    <t>INE020B08AC9</t>
  </si>
  <si>
    <t>GAIL40</t>
  </si>
  <si>
    <t>7.34% GAIL (India) Limited (20/12/2027) **</t>
  </si>
  <si>
    <t>INE129A08014</t>
  </si>
  <si>
    <t>MNGF345</t>
  </si>
  <si>
    <t>8.60% Manappuram Finance Limited (24/03/2028) **</t>
  </si>
  <si>
    <t>INE522D07CK1</t>
  </si>
  <si>
    <t>CRISIL AA</t>
  </si>
  <si>
    <t>POWF541</t>
  </si>
  <si>
    <t>7.42% Power Finance Corporation Limited (15/04/2028) **</t>
  </si>
  <si>
    <t>INE134E08NL6</t>
  </si>
  <si>
    <t>RECL473</t>
  </si>
  <si>
    <t>6.87% REC Limited (31/05/2030) **</t>
  </si>
  <si>
    <t>INE020B08FU0</t>
  </si>
  <si>
    <t>GOI2168</t>
  </si>
  <si>
    <t>IN1520180234</t>
  </si>
  <si>
    <t>YESB671A</t>
  </si>
  <si>
    <t>9% Yes Bank Limited (18/10/2026) ^</t>
  </si>
  <si>
    <t>INE528G08394</t>
  </si>
  <si>
    <t>ICRA D</t>
  </si>
  <si>
    <t>$0.00</t>
  </si>
  <si>
    <t>(b) Privately placed / Unlisted</t>
  </si>
  <si>
    <t>(d)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</si>
  <si>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</si>
  <si>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</si>
  <si>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</si>
  <si>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</si>
  <si>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</si>
  <si>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</si>
  <si>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</si>
  <si>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</si>
  <si>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</si>
  <si>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KMBK889</t>
  </si>
  <si>
    <t>Kotak Mahindra Bank Limited (24/09/2026) ** #</t>
  </si>
  <si>
    <t>INE237AD6042</t>
  </si>
  <si>
    <t>CRISIL A1+</t>
  </si>
  <si>
    <t>SIDB628</t>
  </si>
  <si>
    <t>Small Industries Dev Bank of India (06/11/2026) ** #</t>
  </si>
  <si>
    <t>INE556F16BQ4</t>
  </si>
  <si>
    <t>EXIM810</t>
  </si>
  <si>
    <t>Export Import Bank of India (11/11/2026) ** #</t>
  </si>
  <si>
    <t>INE514E16CN1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</si>
  <si>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</si>
  <si>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</si>
  <si>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</si>
  <si>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</si>
  <si>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</si>
  <si>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</si>
  <si>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</si>
  <si>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</si>
  <si>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</si>
  <si>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 xml:space="preserve">^ Below investment grade/default 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</si>
  <si>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</si>
  <si>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</si>
  <si>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</si>
  <si>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</si>
  <si>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</si>
  <si>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</si>
  <si>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</si>
  <si>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</si>
  <si>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</si>
  <si>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37.87 lacs and its percentage to Net Asset Value is 0.01% .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</si>
  <si>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</si>
  <si>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</si>
  <si>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</si>
  <si>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</si>
  <si>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</si>
  <si>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</si>
  <si>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</si>
  <si>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</si>
  <si>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</si>
  <si>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period are as follows</t>
  </si>
  <si>
    <t>Individuals/HUF</t>
  </si>
  <si>
    <t>Others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</si>
  <si>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</si>
  <si>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</si>
  <si>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1.23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</si>
  <si>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</si>
  <si>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2175.28 Lacs.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</si>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</sst>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4</xdr:col>
      <xdr:colOff>498348</xdr:colOff>
      <xdr:row>210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CE8EE8-9BFC-4B91-98E1-DBE03F2CC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228594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1207-C83D-405E-B106-E1ADE1F54ED7}">
  <sheetPr codeName="Sheet44">
    <outlinePr summaryBelow="0"/>
  </sheetPr>
  <dimension ref="A1:J214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2200000</v>
      </c>
      <c r="F7" s="16">
        <v>16380.1</v>
      </c>
      <c r="G7" s="17">
        <v>3.3599999999999998E-2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1200000</v>
      </c>
      <c r="F8" s="16">
        <v>15854.4</v>
      </c>
      <c r="G8" s="17">
        <v>3.2500000000000001E-2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2988753</v>
      </c>
      <c r="F9" s="16">
        <v>12455.63</v>
      </c>
      <c r="G9" s="17">
        <v>2.5600000000000001E-2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675000</v>
      </c>
      <c r="F10" s="16">
        <v>12345.75</v>
      </c>
      <c r="G10" s="17">
        <v>2.53E-2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300000</v>
      </c>
      <c r="F11" s="16">
        <v>12229.5</v>
      </c>
      <c r="G11" s="17">
        <v>2.5100000000000001E-2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25</v>
      </c>
      <c r="E12" s="15">
        <v>30000</v>
      </c>
      <c r="F12" s="16">
        <v>11533.5</v>
      </c>
      <c r="G12" s="17">
        <v>2.3699999999999999E-2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390000</v>
      </c>
      <c r="F13" s="16">
        <v>11522.55</v>
      </c>
      <c r="G13" s="17">
        <v>2.3699999999999999E-2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1150000</v>
      </c>
      <c r="F14" s="16">
        <v>10515.03</v>
      </c>
      <c r="G14" s="17">
        <v>2.1600000000000001E-2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800000</v>
      </c>
      <c r="F15" s="16">
        <v>10224</v>
      </c>
      <c r="G15" s="17">
        <v>2.1000000000000001E-2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6600000</v>
      </c>
      <c r="F16" s="16">
        <v>9618.84</v>
      </c>
      <c r="G16" s="17">
        <v>1.9699999999999999E-2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2200000</v>
      </c>
      <c r="F17" s="16">
        <v>9036.5</v>
      </c>
      <c r="G17" s="17">
        <v>1.8599999999999998E-2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500000</v>
      </c>
      <c r="F18" s="16">
        <v>8996</v>
      </c>
      <c r="G18" s="17">
        <v>1.8499999999999999E-2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125000</v>
      </c>
      <c r="F19" s="16">
        <v>8971.25</v>
      </c>
      <c r="G19" s="17">
        <v>1.84E-2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1000000</v>
      </c>
      <c r="F20" s="16">
        <v>8217</v>
      </c>
      <c r="G20" s="17">
        <v>1.6899999999999998E-2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230000</v>
      </c>
      <c r="F21" s="16">
        <v>8092.78</v>
      </c>
      <c r="G21" s="17">
        <v>1.66E-2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2750000</v>
      </c>
      <c r="F22" s="16">
        <v>7990.13</v>
      </c>
      <c r="G22" s="17">
        <v>1.6400000000000001E-2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79</v>
      </c>
      <c r="E23" s="15">
        <v>135000</v>
      </c>
      <c r="F23" s="16">
        <v>7939.35</v>
      </c>
      <c r="G23" s="17">
        <v>1.6299999999999999E-2</v>
      </c>
      <c r="H23" s="18"/>
      <c r="I23" s="18"/>
      <c r="J23" s="1"/>
    </row>
    <row r="24" spans="1:10" ht="13.05" customHeight="1">
      <c r="A24" s="13" t="s">
        <v>80</v>
      </c>
      <c r="B24" s="14" t="s">
        <v>81</v>
      </c>
      <c r="C24" s="11" t="s">
        <v>82</v>
      </c>
      <c r="D24" s="11" t="s">
        <v>17</v>
      </c>
      <c r="E24" s="15">
        <v>2700000</v>
      </c>
      <c r="F24" s="16">
        <v>7801.65</v>
      </c>
      <c r="G24" s="17">
        <v>1.6E-2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17</v>
      </c>
      <c r="E25" s="15">
        <v>2016000</v>
      </c>
      <c r="F25" s="16">
        <v>7745.47</v>
      </c>
      <c r="G25" s="17">
        <v>1.5900000000000001E-2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25</v>
      </c>
      <c r="E26" s="15">
        <v>140000</v>
      </c>
      <c r="F26" s="16">
        <v>7208.04</v>
      </c>
      <c r="G26" s="17">
        <v>1.4800000000000001E-2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750000</v>
      </c>
      <c r="F27" s="16">
        <v>7103.63</v>
      </c>
      <c r="G27" s="17">
        <v>1.46E-2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17</v>
      </c>
      <c r="E28" s="15">
        <v>2450000</v>
      </c>
      <c r="F28" s="16">
        <v>7074.38</v>
      </c>
      <c r="G28" s="17">
        <v>1.4500000000000001E-2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600000</v>
      </c>
      <c r="F29" s="16">
        <v>6965.4</v>
      </c>
      <c r="G29" s="17">
        <v>1.43E-2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620288</v>
      </c>
      <c r="F30" s="16">
        <v>6939.78</v>
      </c>
      <c r="G30" s="17">
        <v>1.4200000000000001E-2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17</v>
      </c>
      <c r="E31" s="15">
        <v>550000</v>
      </c>
      <c r="F31" s="16">
        <v>6910.2</v>
      </c>
      <c r="G31" s="17">
        <v>1.4200000000000001E-2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63</v>
      </c>
      <c r="E32" s="15">
        <v>225000</v>
      </c>
      <c r="F32" s="16">
        <v>6852.6</v>
      </c>
      <c r="G32" s="17">
        <v>1.41E-2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17</v>
      </c>
      <c r="E33" s="15">
        <v>525000</v>
      </c>
      <c r="F33" s="16">
        <v>6754.65</v>
      </c>
      <c r="G33" s="17">
        <v>1.3899999999999999E-2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85000</v>
      </c>
      <c r="F34" s="16">
        <v>6059.65</v>
      </c>
      <c r="G34" s="17">
        <v>1.24E-2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99</v>
      </c>
      <c r="E35" s="15">
        <v>115000</v>
      </c>
      <c r="F35" s="16">
        <v>5973.45</v>
      </c>
      <c r="G35" s="17">
        <v>1.23E-2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266596</v>
      </c>
      <c r="F36" s="16">
        <v>5741.14</v>
      </c>
      <c r="G36" s="17">
        <v>1.18E-2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50000</v>
      </c>
      <c r="F37" s="16">
        <v>5741</v>
      </c>
      <c r="G37" s="17">
        <v>1.18E-2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79</v>
      </c>
      <c r="E38" s="15">
        <v>60000</v>
      </c>
      <c r="F38" s="16">
        <v>5686.5</v>
      </c>
      <c r="G38" s="17">
        <v>1.17E-2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99</v>
      </c>
      <c r="E39" s="15">
        <v>375000</v>
      </c>
      <c r="F39" s="16">
        <v>5564.63</v>
      </c>
      <c r="G39" s="17">
        <v>1.14E-2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75</v>
      </c>
      <c r="E40" s="15">
        <v>1400000</v>
      </c>
      <c r="F40" s="16">
        <v>5416.6</v>
      </c>
      <c r="G40" s="17">
        <v>1.11E-2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17</v>
      </c>
      <c r="E41" s="15">
        <v>550000</v>
      </c>
      <c r="F41" s="16">
        <v>5304.2</v>
      </c>
      <c r="G41" s="17">
        <v>1.09E-2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67</v>
      </c>
      <c r="E42" s="15">
        <v>450000</v>
      </c>
      <c r="F42" s="16">
        <v>5302.8</v>
      </c>
      <c r="G42" s="17">
        <v>1.09E-2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275000</v>
      </c>
      <c r="F43" s="16">
        <v>5032.78</v>
      </c>
      <c r="G43" s="17">
        <v>1.03E-2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59</v>
      </c>
      <c r="E44" s="15">
        <v>170000</v>
      </c>
      <c r="F44" s="16">
        <v>4979.13</v>
      </c>
      <c r="G44" s="17">
        <v>1.0200000000000001E-2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40</v>
      </c>
      <c r="E45" s="15">
        <v>450000</v>
      </c>
      <c r="F45" s="16">
        <v>4970.25</v>
      </c>
      <c r="G45" s="17">
        <v>1.0200000000000001E-2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21</v>
      </c>
      <c r="E46" s="15">
        <v>1250000</v>
      </c>
      <c r="F46" s="16">
        <v>4923.13</v>
      </c>
      <c r="G46" s="17">
        <v>1.01E-2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115000</v>
      </c>
      <c r="F47" s="16">
        <v>4686.1400000000003</v>
      </c>
      <c r="G47" s="17">
        <v>9.5999999999999992E-3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40</v>
      </c>
      <c r="E48" s="15">
        <v>130000</v>
      </c>
      <c r="F48" s="16">
        <v>4600.05</v>
      </c>
      <c r="G48" s="17">
        <v>9.4000000000000004E-3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99</v>
      </c>
      <c r="E49" s="15">
        <v>456671</v>
      </c>
      <c r="F49" s="16">
        <v>4577.67</v>
      </c>
      <c r="G49" s="17">
        <v>9.4000000000000004E-3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159</v>
      </c>
      <c r="E50" s="15">
        <v>60000</v>
      </c>
      <c r="F50" s="16">
        <v>4569</v>
      </c>
      <c r="G50" s="17">
        <v>9.4000000000000004E-3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116</v>
      </c>
      <c r="E51" s="15">
        <v>25000</v>
      </c>
      <c r="F51" s="16">
        <v>4561.75</v>
      </c>
      <c r="G51" s="17">
        <v>9.4000000000000004E-3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75</v>
      </c>
      <c r="E52" s="15">
        <v>5700000</v>
      </c>
      <c r="F52" s="16">
        <v>4495.59</v>
      </c>
      <c r="G52" s="17">
        <v>9.1999999999999998E-3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1200000</v>
      </c>
      <c r="F53" s="16">
        <v>4231.2</v>
      </c>
      <c r="G53" s="17">
        <v>8.6999999999999994E-3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92</v>
      </c>
      <c r="E54" s="15">
        <v>125000</v>
      </c>
      <c r="F54" s="16">
        <v>4178.63</v>
      </c>
      <c r="G54" s="17">
        <v>8.6E-3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17</v>
      </c>
      <c r="E55" s="15">
        <v>3000000</v>
      </c>
      <c r="F55" s="16">
        <v>3924</v>
      </c>
      <c r="G55" s="17">
        <v>8.0999999999999996E-3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9500000</v>
      </c>
      <c r="F56" s="16">
        <v>3898.8</v>
      </c>
      <c r="G56" s="17">
        <v>8.0000000000000002E-3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250000</v>
      </c>
      <c r="F57" s="16">
        <v>3553.75</v>
      </c>
      <c r="G57" s="17">
        <v>7.3000000000000001E-3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196</v>
      </c>
      <c r="E58" s="15">
        <v>596733</v>
      </c>
      <c r="F58" s="16">
        <v>2594.3000000000002</v>
      </c>
      <c r="G58" s="17">
        <v>5.3E-3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59</v>
      </c>
      <c r="E59" s="15">
        <v>100000</v>
      </c>
      <c r="F59" s="16">
        <v>2267.6999999999998</v>
      </c>
      <c r="G59" s="17">
        <v>4.7000000000000002E-3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17</v>
      </c>
      <c r="E60" s="15">
        <v>700000</v>
      </c>
      <c r="F60" s="16">
        <v>1458.1</v>
      </c>
      <c r="G60" s="17">
        <v>3.0000000000000001E-3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188</v>
      </c>
      <c r="E61" s="15">
        <v>43554</v>
      </c>
      <c r="F61" s="16">
        <v>173.69</v>
      </c>
      <c r="G61" s="17">
        <v>4.0000000000000002E-4</v>
      </c>
      <c r="H61" s="18"/>
      <c r="I61" s="18"/>
      <c r="J61" s="1"/>
    </row>
    <row r="62" spans="1:10" ht="13.05" customHeight="1">
      <c r="A62" s="13"/>
      <c r="B62" s="14" t="s">
        <v>206</v>
      </c>
      <c r="C62" s="11" t="s">
        <v>207</v>
      </c>
      <c r="D62" s="11" t="s">
        <v>75</v>
      </c>
      <c r="E62" s="15">
        <v>1200000</v>
      </c>
      <c r="F62" s="16">
        <v>1452.36</v>
      </c>
      <c r="G62" s="17">
        <v>3.0000000000000001E-3</v>
      </c>
      <c r="H62" s="18"/>
      <c r="I62" s="18"/>
      <c r="J62" s="1"/>
    </row>
    <row r="63" spans="1:10" ht="13.05" customHeight="1">
      <c r="A63" s="13"/>
      <c r="B63" s="14" t="s">
        <v>208</v>
      </c>
      <c r="C63" s="11" t="s">
        <v>209</v>
      </c>
      <c r="D63" s="11" t="s">
        <v>210</v>
      </c>
      <c r="E63" s="15">
        <v>1200000</v>
      </c>
      <c r="F63" s="16">
        <v>1452.36</v>
      </c>
      <c r="G63" s="17">
        <v>3.0000000000000001E-3</v>
      </c>
      <c r="H63" s="18"/>
      <c r="I63" s="18"/>
      <c r="J63" s="1"/>
    </row>
    <row r="64" spans="1:10" ht="13.05" customHeight="1">
      <c r="A64" s="13"/>
      <c r="B64" s="14" t="s">
        <v>211</v>
      </c>
      <c r="C64" s="11" t="s">
        <v>212</v>
      </c>
      <c r="D64" s="11" t="s">
        <v>213</v>
      </c>
      <c r="E64" s="15">
        <v>1200000</v>
      </c>
      <c r="F64" s="16">
        <v>1452.36</v>
      </c>
      <c r="G64" s="17">
        <v>3.0000000000000001E-3</v>
      </c>
      <c r="H64" s="18"/>
      <c r="I64" s="18"/>
      <c r="J64" s="1"/>
    </row>
    <row r="65" spans="1:10" ht="13.05" customHeight="1">
      <c r="A65" s="13"/>
      <c r="B65" s="14" t="s">
        <v>214</v>
      </c>
      <c r="C65" s="11" t="s">
        <v>215</v>
      </c>
      <c r="D65" s="11" t="s">
        <v>47</v>
      </c>
      <c r="E65" s="15">
        <v>1200000</v>
      </c>
      <c r="F65" s="16">
        <v>1452.36</v>
      </c>
      <c r="G65" s="17">
        <v>3.0000000000000001E-3</v>
      </c>
      <c r="H65" s="18"/>
      <c r="I65" s="18"/>
      <c r="J65" s="1"/>
    </row>
    <row r="66" spans="1:10" ht="13.05" customHeight="1">
      <c r="A66" s="1"/>
      <c r="B66" s="19" t="s">
        <v>216</v>
      </c>
      <c r="C66" s="20"/>
      <c r="D66" s="20"/>
      <c r="E66" s="20"/>
      <c r="F66" s="21">
        <f>SUM(F7:F65)</f>
        <v>383553.18</v>
      </c>
      <c r="G66" s="22">
        <f>SUM(G7:G65)</f>
        <v>0.78759999999999997</v>
      </c>
      <c r="H66" s="23"/>
      <c r="I66" s="23"/>
      <c r="J66" s="1"/>
    </row>
    <row r="67" spans="1:10" ht="13.05" customHeight="1">
      <c r="A67" s="1"/>
      <c r="B67" s="10" t="s">
        <v>217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218</v>
      </c>
      <c r="B68" s="14" t="s">
        <v>219</v>
      </c>
      <c r="C68" s="11" t="s">
        <v>220</v>
      </c>
      <c r="D68" s="11" t="s">
        <v>221</v>
      </c>
      <c r="E68" s="15">
        <v>3500000</v>
      </c>
      <c r="F68" s="16">
        <v>5880</v>
      </c>
      <c r="G68" s="17">
        <v>1.21E-2</v>
      </c>
      <c r="H68" s="18"/>
      <c r="I68" s="18"/>
      <c r="J68" s="1"/>
    </row>
    <row r="69" spans="1:10" ht="13.05" customHeight="1">
      <c r="A69" s="13" t="s">
        <v>222</v>
      </c>
      <c r="B69" s="14" t="s">
        <v>223</v>
      </c>
      <c r="C69" s="11" t="s">
        <v>224</v>
      </c>
      <c r="D69" s="11" t="s">
        <v>75</v>
      </c>
      <c r="E69" s="15">
        <v>3395322</v>
      </c>
      <c r="F69" s="16">
        <v>5820.6</v>
      </c>
      <c r="G69" s="17">
        <v>1.1900000000000001E-2</v>
      </c>
      <c r="H69" s="18"/>
      <c r="I69" s="18"/>
      <c r="J69" s="1"/>
    </row>
    <row r="70" spans="1:10" ht="13.05" customHeight="1">
      <c r="A70" s="13" t="s">
        <v>225</v>
      </c>
      <c r="B70" s="14" t="s">
        <v>226</v>
      </c>
      <c r="C70" s="11" t="s">
        <v>227</v>
      </c>
      <c r="D70" s="11" t="s">
        <v>33</v>
      </c>
      <c r="E70" s="15">
        <v>5000000</v>
      </c>
      <c r="F70" s="16">
        <v>4900</v>
      </c>
      <c r="G70" s="17">
        <v>1.01E-2</v>
      </c>
      <c r="H70" s="18"/>
      <c r="I70" s="18"/>
      <c r="J70" s="1"/>
    </row>
    <row r="71" spans="1:10" ht="13.05" customHeight="1">
      <c r="A71" s="13" t="s">
        <v>228</v>
      </c>
      <c r="B71" s="14" t="s">
        <v>229</v>
      </c>
      <c r="C71" s="11" t="s">
        <v>230</v>
      </c>
      <c r="D71" s="11" t="s">
        <v>221</v>
      </c>
      <c r="E71" s="15">
        <v>1926997</v>
      </c>
      <c r="F71" s="16">
        <v>2138.58</v>
      </c>
      <c r="G71" s="17">
        <v>4.4000000000000003E-3</v>
      </c>
      <c r="H71" s="18"/>
      <c r="I71" s="18"/>
      <c r="J71" s="1"/>
    </row>
    <row r="72" spans="1:10" ht="13.05" customHeight="1">
      <c r="A72" s="13" t="s">
        <v>231</v>
      </c>
      <c r="B72" s="14" t="s">
        <v>232</v>
      </c>
      <c r="C72" s="11" t="s">
        <v>233</v>
      </c>
      <c r="D72" s="11" t="s">
        <v>33</v>
      </c>
      <c r="E72" s="15">
        <v>2304076</v>
      </c>
      <c r="F72" s="16">
        <v>1625.53</v>
      </c>
      <c r="G72" s="17">
        <v>3.3E-3</v>
      </c>
      <c r="H72" s="18"/>
      <c r="I72" s="18"/>
      <c r="J72" s="1"/>
    </row>
    <row r="73" spans="1:10" ht="13.05" customHeight="1">
      <c r="A73" s="13" t="s">
        <v>234</v>
      </c>
      <c r="B73" s="14" t="s">
        <v>235</v>
      </c>
      <c r="C73" s="11" t="s">
        <v>236</v>
      </c>
      <c r="D73" s="11" t="s">
        <v>221</v>
      </c>
      <c r="E73" s="15">
        <v>710172</v>
      </c>
      <c r="F73" s="16">
        <v>883.95</v>
      </c>
      <c r="G73" s="17">
        <v>1.8E-3</v>
      </c>
      <c r="H73" s="18"/>
      <c r="I73" s="18"/>
      <c r="J73" s="1"/>
    </row>
    <row r="74" spans="1:10" ht="13.05" customHeight="1">
      <c r="A74" s="13" t="s">
        <v>237</v>
      </c>
      <c r="B74" s="14" t="s">
        <v>238</v>
      </c>
      <c r="C74" s="11" t="s">
        <v>239</v>
      </c>
      <c r="D74" s="11" t="s">
        <v>75</v>
      </c>
      <c r="E74" s="15">
        <v>537439</v>
      </c>
      <c r="F74" s="16">
        <v>498.8</v>
      </c>
      <c r="G74" s="17">
        <v>1E-3</v>
      </c>
      <c r="H74" s="18"/>
      <c r="I74" s="18"/>
      <c r="J74" s="1"/>
    </row>
    <row r="75" spans="1:10" ht="13.05" customHeight="1">
      <c r="A75" s="1"/>
      <c r="B75" s="19" t="s">
        <v>216</v>
      </c>
      <c r="C75" s="20"/>
      <c r="D75" s="20"/>
      <c r="E75" s="20"/>
      <c r="F75" s="21">
        <v>21747.46</v>
      </c>
      <c r="G75" s="22">
        <v>4.4600000000000001E-2</v>
      </c>
      <c r="H75" s="23"/>
      <c r="I75" s="23"/>
      <c r="J75" s="1"/>
    </row>
    <row r="76" spans="1:10" ht="13.05" customHeight="1">
      <c r="A76" s="1"/>
      <c r="B76" s="19" t="s">
        <v>240</v>
      </c>
      <c r="C76" s="20"/>
      <c r="D76" s="20"/>
      <c r="E76" s="20"/>
      <c r="F76" s="23" t="s">
        <v>241</v>
      </c>
      <c r="G76" s="23" t="s">
        <v>241</v>
      </c>
      <c r="H76" s="23"/>
      <c r="I76" s="23"/>
      <c r="J76" s="1"/>
    </row>
    <row r="77" spans="1:10" ht="13.05" customHeight="1">
      <c r="A77" s="1"/>
      <c r="B77" s="19" t="s">
        <v>216</v>
      </c>
      <c r="C77" s="20"/>
      <c r="D77" s="20"/>
      <c r="E77" s="20"/>
      <c r="F77" s="23" t="s">
        <v>241</v>
      </c>
      <c r="G77" s="23" t="s">
        <v>241</v>
      </c>
      <c r="H77" s="23"/>
      <c r="I77" s="23"/>
      <c r="J77" s="1"/>
    </row>
    <row r="78" spans="1:10" ht="13.05" customHeight="1">
      <c r="A78" s="1"/>
      <c r="B78" s="19" t="s">
        <v>242</v>
      </c>
      <c r="C78" s="24"/>
      <c r="D78" s="20"/>
      <c r="E78" s="24"/>
      <c r="F78" s="21">
        <v>405300.64</v>
      </c>
      <c r="G78" s="22">
        <v>0.83220000000000005</v>
      </c>
      <c r="H78" s="23"/>
      <c r="I78" s="23"/>
      <c r="J78" s="1"/>
    </row>
    <row r="79" spans="1:10" ht="13.05" customHeight="1">
      <c r="A79" s="1"/>
      <c r="B79" s="10" t="s">
        <v>243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"/>
      <c r="B80" s="10" t="s">
        <v>244</v>
      </c>
      <c r="C80" s="11"/>
      <c r="D80" s="11"/>
      <c r="E80" s="11"/>
      <c r="F80" s="1"/>
      <c r="G80" s="12"/>
      <c r="H80" s="12"/>
      <c r="I80" s="12"/>
      <c r="J80" s="1"/>
    </row>
    <row r="81" spans="1:10" ht="13.05" customHeight="1">
      <c r="A81" s="13" t="s">
        <v>245</v>
      </c>
      <c r="B81" s="14" t="s">
        <v>246</v>
      </c>
      <c r="C81" s="11" t="s">
        <v>247</v>
      </c>
      <c r="D81" s="11" t="s">
        <v>248</v>
      </c>
      <c r="E81" s="15">
        <v>812050</v>
      </c>
      <c r="F81" s="16">
        <v>5934.23</v>
      </c>
      <c r="G81" s="17">
        <v>1.2200000000000001E-2</v>
      </c>
      <c r="H81" s="25">
        <v>9.2370999999999995E-2</v>
      </c>
      <c r="I81" s="18"/>
      <c r="J81" s="1"/>
    </row>
    <row r="82" spans="1:10" ht="13.05" customHeight="1">
      <c r="A82" s="13" t="s">
        <v>249</v>
      </c>
      <c r="B82" s="14" t="s">
        <v>250</v>
      </c>
      <c r="C82" s="11" t="s">
        <v>251</v>
      </c>
      <c r="D82" s="11" t="s">
        <v>252</v>
      </c>
      <c r="E82" s="15">
        <v>5477500</v>
      </c>
      <c r="F82" s="16">
        <v>5526.55</v>
      </c>
      <c r="G82" s="17">
        <v>1.1299999999999999E-2</v>
      </c>
      <c r="H82" s="25">
        <v>7.1400000000000005E-2</v>
      </c>
      <c r="I82" s="18"/>
      <c r="J82" s="1"/>
    </row>
    <row r="83" spans="1:10" ht="13.05" customHeight="1">
      <c r="A83" s="13" t="s">
        <v>253</v>
      </c>
      <c r="B83" s="14" t="s">
        <v>254</v>
      </c>
      <c r="C83" s="11" t="s">
        <v>255</v>
      </c>
      <c r="D83" s="11" t="s">
        <v>256</v>
      </c>
      <c r="E83" s="15">
        <v>2800</v>
      </c>
      <c r="F83" s="16">
        <v>2797.82</v>
      </c>
      <c r="G83" s="17">
        <v>5.7000000000000002E-3</v>
      </c>
      <c r="H83" s="25">
        <v>7.5800000000000006E-2</v>
      </c>
      <c r="I83" s="18"/>
      <c r="J83" s="1"/>
    </row>
    <row r="84" spans="1:10" ht="13.05" customHeight="1">
      <c r="A84" s="13" t="s">
        <v>257</v>
      </c>
      <c r="B84" s="14" t="s">
        <v>258</v>
      </c>
      <c r="C84" s="11" t="s">
        <v>259</v>
      </c>
      <c r="D84" s="11" t="s">
        <v>256</v>
      </c>
      <c r="E84" s="15">
        <v>280</v>
      </c>
      <c r="F84" s="16">
        <v>2775.9</v>
      </c>
      <c r="G84" s="17">
        <v>5.7000000000000002E-3</v>
      </c>
      <c r="H84" s="25">
        <v>7.9399999999999998E-2</v>
      </c>
      <c r="I84" s="18"/>
      <c r="J84" s="1"/>
    </row>
    <row r="85" spans="1:10" ht="13.05" customHeight="1">
      <c r="A85" s="13" t="s">
        <v>260</v>
      </c>
      <c r="B85" s="14" t="s">
        <v>261</v>
      </c>
      <c r="C85" s="11" t="s">
        <v>262</v>
      </c>
      <c r="D85" s="11" t="s">
        <v>252</v>
      </c>
      <c r="E85" s="15">
        <v>2500000</v>
      </c>
      <c r="F85" s="16">
        <v>2461.56</v>
      </c>
      <c r="G85" s="17">
        <v>5.1000000000000004E-3</v>
      </c>
      <c r="H85" s="25">
        <v>7.1583999999999995E-2</v>
      </c>
      <c r="I85" s="18"/>
      <c r="J85" s="1"/>
    </row>
    <row r="86" spans="1:10" ht="13.05" customHeight="1">
      <c r="A86" s="13" t="s">
        <v>263</v>
      </c>
      <c r="B86" s="14" t="s">
        <v>264</v>
      </c>
      <c r="C86" s="11" t="s">
        <v>265</v>
      </c>
      <c r="D86" s="11" t="s">
        <v>252</v>
      </c>
      <c r="E86" s="15">
        <v>2500000</v>
      </c>
      <c r="F86" s="16">
        <v>2441.7600000000002</v>
      </c>
      <c r="G86" s="17">
        <v>5.0000000000000001E-3</v>
      </c>
      <c r="H86" s="25">
        <v>6.7713999999999996E-2</v>
      </c>
      <c r="I86" s="18"/>
      <c r="J86" s="1"/>
    </row>
    <row r="87" spans="1:10" ht="13.05" customHeight="1">
      <c r="A87" s="13" t="s">
        <v>266</v>
      </c>
      <c r="B87" s="14" t="s">
        <v>267</v>
      </c>
      <c r="C87" s="11" t="s">
        <v>268</v>
      </c>
      <c r="D87" s="11" t="s">
        <v>256</v>
      </c>
      <c r="E87" s="15">
        <v>2400</v>
      </c>
      <c r="F87" s="16">
        <v>2366.2800000000002</v>
      </c>
      <c r="G87" s="17">
        <v>4.8999999999999998E-3</v>
      </c>
      <c r="H87" s="25">
        <v>8.2799999999999999E-2</v>
      </c>
      <c r="I87" s="18"/>
      <c r="J87" s="1"/>
    </row>
    <row r="88" spans="1:10" ht="13.05" customHeight="1">
      <c r="A88" s="13" t="s">
        <v>269</v>
      </c>
      <c r="B88" s="14" t="s">
        <v>270</v>
      </c>
      <c r="C88" s="11" t="s">
        <v>271</v>
      </c>
      <c r="D88" s="11" t="s">
        <v>252</v>
      </c>
      <c r="E88" s="15">
        <v>2500000</v>
      </c>
      <c r="F88" s="16">
        <v>2344.44</v>
      </c>
      <c r="G88" s="17">
        <v>4.7999999999999996E-3</v>
      </c>
      <c r="H88" s="25">
        <v>7.7743999999999994E-2</v>
      </c>
      <c r="I88" s="18"/>
      <c r="J88" s="1"/>
    </row>
    <row r="89" spans="1:10" ht="13.05" customHeight="1">
      <c r="A89" s="13" t="s">
        <v>272</v>
      </c>
      <c r="B89" s="14" t="s">
        <v>273</v>
      </c>
      <c r="C89" s="11" t="s">
        <v>274</v>
      </c>
      <c r="D89" s="11" t="s">
        <v>256</v>
      </c>
      <c r="E89" s="15">
        <v>200</v>
      </c>
      <c r="F89" s="16">
        <v>2056.48</v>
      </c>
      <c r="G89" s="17">
        <v>4.1999999999999997E-3</v>
      </c>
      <c r="H89" s="25">
        <v>7.6014999999999999E-2</v>
      </c>
      <c r="I89" s="18"/>
      <c r="J89" s="1"/>
    </row>
    <row r="90" spans="1:10" ht="13.05" customHeight="1">
      <c r="A90" s="13" t="s">
        <v>275</v>
      </c>
      <c r="B90" s="14" t="s">
        <v>276</v>
      </c>
      <c r="C90" s="11" t="s">
        <v>277</v>
      </c>
      <c r="D90" s="11" t="s">
        <v>252</v>
      </c>
      <c r="E90" s="15">
        <v>2000000</v>
      </c>
      <c r="F90" s="16">
        <v>1971.51</v>
      </c>
      <c r="G90" s="17">
        <v>4.0000000000000001E-3</v>
      </c>
      <c r="H90" s="25">
        <v>7.6042999999999999E-2</v>
      </c>
      <c r="I90" s="18"/>
      <c r="J90" s="1"/>
    </row>
    <row r="91" spans="1:10" ht="13.05" customHeight="1">
      <c r="A91" s="13" t="s">
        <v>278</v>
      </c>
      <c r="B91" s="14" t="s">
        <v>279</v>
      </c>
      <c r="C91" s="11" t="s">
        <v>280</v>
      </c>
      <c r="D91" s="11" t="s">
        <v>256</v>
      </c>
      <c r="E91" s="15">
        <v>1900</v>
      </c>
      <c r="F91" s="16">
        <v>1902.53</v>
      </c>
      <c r="G91" s="17">
        <v>3.8999999999999998E-3</v>
      </c>
      <c r="H91" s="25">
        <v>7.6225000000000001E-2</v>
      </c>
      <c r="I91" s="18"/>
      <c r="J91" s="1"/>
    </row>
    <row r="92" spans="1:10" ht="13.05" customHeight="1">
      <c r="A92" s="13" t="s">
        <v>281</v>
      </c>
      <c r="B92" s="14" t="s">
        <v>282</v>
      </c>
      <c r="C92" s="11" t="s">
        <v>283</v>
      </c>
      <c r="D92" s="11" t="s">
        <v>252</v>
      </c>
      <c r="E92" s="15">
        <v>2000000</v>
      </c>
      <c r="F92" s="16">
        <v>1803.52</v>
      </c>
      <c r="G92" s="17">
        <v>3.7000000000000002E-3</v>
      </c>
      <c r="H92" s="25">
        <v>7.8456999999999999E-2</v>
      </c>
      <c r="I92" s="18"/>
      <c r="J92" s="1"/>
    </row>
    <row r="93" spans="1:10" ht="13.05" customHeight="1">
      <c r="A93" s="13" t="s">
        <v>284</v>
      </c>
      <c r="B93" s="14" t="s">
        <v>285</v>
      </c>
      <c r="C93" s="11" t="s">
        <v>286</v>
      </c>
      <c r="D93" s="11" t="s">
        <v>256</v>
      </c>
      <c r="E93" s="15">
        <v>180</v>
      </c>
      <c r="F93" s="16">
        <v>1786.01</v>
      </c>
      <c r="G93" s="17">
        <v>3.7000000000000002E-3</v>
      </c>
      <c r="H93" s="25">
        <v>7.5975000000000001E-2</v>
      </c>
      <c r="I93" s="18"/>
      <c r="J93" s="1"/>
    </row>
    <row r="94" spans="1:10" ht="13.05" customHeight="1">
      <c r="A94" s="13" t="s">
        <v>287</v>
      </c>
      <c r="B94" s="14" t="s">
        <v>288</v>
      </c>
      <c r="C94" s="11" t="s">
        <v>289</v>
      </c>
      <c r="D94" s="11" t="s">
        <v>290</v>
      </c>
      <c r="E94" s="15">
        <v>150000</v>
      </c>
      <c r="F94" s="16">
        <v>1504.71</v>
      </c>
      <c r="G94" s="17">
        <v>3.0999999999999999E-3</v>
      </c>
      <c r="H94" s="25">
        <v>8.8500999999999996E-2</v>
      </c>
      <c r="I94" s="18"/>
      <c r="J94" s="1"/>
    </row>
    <row r="95" spans="1:10" ht="13.05" customHeight="1">
      <c r="A95" s="13" t="s">
        <v>291</v>
      </c>
      <c r="B95" s="14" t="s">
        <v>292</v>
      </c>
      <c r="C95" s="11" t="s">
        <v>293</v>
      </c>
      <c r="D95" s="11" t="s">
        <v>256</v>
      </c>
      <c r="E95" s="15">
        <v>1500</v>
      </c>
      <c r="F95" s="16">
        <v>1498.8</v>
      </c>
      <c r="G95" s="17">
        <v>3.0999999999999999E-3</v>
      </c>
      <c r="H95" s="25">
        <v>7.7575000000000005E-2</v>
      </c>
      <c r="I95" s="18"/>
      <c r="J95" s="1"/>
    </row>
    <row r="96" spans="1:10" ht="13.05" customHeight="1">
      <c r="A96" s="13" t="s">
        <v>294</v>
      </c>
      <c r="B96" s="14" t="s">
        <v>295</v>
      </c>
      <c r="C96" s="11" t="s">
        <v>296</v>
      </c>
      <c r="D96" s="11" t="s">
        <v>256</v>
      </c>
      <c r="E96" s="15">
        <v>1500</v>
      </c>
      <c r="F96" s="16">
        <v>1489.57</v>
      </c>
      <c r="G96" s="17">
        <v>3.0999999999999999E-3</v>
      </c>
      <c r="H96" s="25">
        <v>7.7945E-2</v>
      </c>
      <c r="I96" s="18"/>
      <c r="J96" s="1"/>
    </row>
    <row r="97" spans="1:10" ht="13.05" customHeight="1">
      <c r="A97" s="13" t="s">
        <v>297</v>
      </c>
      <c r="B97" s="14" t="s">
        <v>298</v>
      </c>
      <c r="C97" s="11" t="s">
        <v>299</v>
      </c>
      <c r="D97" s="11" t="s">
        <v>256</v>
      </c>
      <c r="E97" s="15">
        <v>1500</v>
      </c>
      <c r="F97" s="16">
        <v>1479.94</v>
      </c>
      <c r="G97" s="17">
        <v>3.0000000000000001E-3</v>
      </c>
      <c r="H97" s="25">
        <v>7.7499999999999999E-2</v>
      </c>
      <c r="I97" s="18"/>
      <c r="J97" s="1"/>
    </row>
    <row r="98" spans="1:10" ht="13.05" customHeight="1">
      <c r="A98" s="13" t="s">
        <v>300</v>
      </c>
      <c r="B98" s="14" t="s">
        <v>301</v>
      </c>
      <c r="C98" s="11" t="s">
        <v>302</v>
      </c>
      <c r="D98" s="11" t="s">
        <v>303</v>
      </c>
      <c r="E98" s="15">
        <v>1500</v>
      </c>
      <c r="F98" s="16">
        <v>1433.55</v>
      </c>
      <c r="G98" s="17">
        <v>2.8999999999999998E-3</v>
      </c>
      <c r="H98" s="25">
        <v>7.7700000000000005E-2</v>
      </c>
      <c r="I98" s="18"/>
      <c r="J98" s="1"/>
    </row>
    <row r="99" spans="1:10" ht="13.05" customHeight="1">
      <c r="A99" s="13" t="s">
        <v>304</v>
      </c>
      <c r="B99" s="14" t="s">
        <v>305</v>
      </c>
      <c r="C99" s="11" t="s">
        <v>306</v>
      </c>
      <c r="D99" s="11" t="s">
        <v>256</v>
      </c>
      <c r="E99" s="15">
        <v>140</v>
      </c>
      <c r="F99" s="16">
        <v>1391.12</v>
      </c>
      <c r="G99" s="17">
        <v>2.8999999999999998E-3</v>
      </c>
      <c r="H99" s="25">
        <v>8.0350000000000005E-2</v>
      </c>
      <c r="I99" s="18"/>
      <c r="J99" s="1"/>
    </row>
    <row r="100" spans="1:10" ht="13.05" customHeight="1">
      <c r="A100" s="13" t="s">
        <v>307</v>
      </c>
      <c r="B100" s="14" t="s">
        <v>308</v>
      </c>
      <c r="C100" s="11" t="s">
        <v>309</v>
      </c>
      <c r="D100" s="11" t="s">
        <v>256</v>
      </c>
      <c r="E100" s="15">
        <v>1300</v>
      </c>
      <c r="F100" s="16">
        <v>1309.8</v>
      </c>
      <c r="G100" s="17">
        <v>2.7000000000000001E-3</v>
      </c>
      <c r="H100" s="25">
        <v>8.2199999999999995E-2</v>
      </c>
      <c r="I100" s="18"/>
      <c r="J100" s="1"/>
    </row>
    <row r="101" spans="1:10" ht="13.05" customHeight="1">
      <c r="A101" s="13" t="s">
        <v>310</v>
      </c>
      <c r="B101" s="14" t="s">
        <v>311</v>
      </c>
      <c r="C101" s="11" t="s">
        <v>312</v>
      </c>
      <c r="D101" s="11" t="s">
        <v>256</v>
      </c>
      <c r="E101" s="15">
        <v>1200</v>
      </c>
      <c r="F101" s="16">
        <v>1198.05</v>
      </c>
      <c r="G101" s="17">
        <v>2.5000000000000001E-3</v>
      </c>
      <c r="H101" s="25">
        <v>7.8450000000000006E-2</v>
      </c>
      <c r="I101" s="18"/>
      <c r="J101" s="1"/>
    </row>
    <row r="102" spans="1:10" ht="13.05" customHeight="1">
      <c r="A102" s="13" t="s">
        <v>313</v>
      </c>
      <c r="B102" s="14" t="s">
        <v>314</v>
      </c>
      <c r="C102" s="11" t="s">
        <v>315</v>
      </c>
      <c r="D102" s="11" t="s">
        <v>252</v>
      </c>
      <c r="E102" s="15">
        <v>1200000</v>
      </c>
      <c r="F102" s="16">
        <v>1149.55</v>
      </c>
      <c r="G102" s="17">
        <v>2.3999999999999998E-3</v>
      </c>
      <c r="H102" s="25">
        <v>7.8292E-2</v>
      </c>
      <c r="I102" s="18"/>
      <c r="J102" s="1"/>
    </row>
    <row r="103" spans="1:10" ht="13.05" customHeight="1">
      <c r="A103" s="13" t="s">
        <v>316</v>
      </c>
      <c r="B103" s="14" t="s">
        <v>317</v>
      </c>
      <c r="C103" s="11" t="s">
        <v>318</v>
      </c>
      <c r="D103" s="11" t="s">
        <v>256</v>
      </c>
      <c r="E103" s="15">
        <v>1100</v>
      </c>
      <c r="F103" s="16">
        <v>1098.42</v>
      </c>
      <c r="G103" s="17">
        <v>2.3E-3</v>
      </c>
      <c r="H103" s="25">
        <v>7.6550000000000007E-2</v>
      </c>
      <c r="I103" s="18"/>
      <c r="J103" s="1"/>
    </row>
    <row r="104" spans="1:10" ht="13.05" customHeight="1">
      <c r="A104" s="13" t="s">
        <v>319</v>
      </c>
      <c r="B104" s="14" t="s">
        <v>320</v>
      </c>
      <c r="C104" s="11" t="s">
        <v>321</v>
      </c>
      <c r="D104" s="11" t="s">
        <v>248</v>
      </c>
      <c r="E104" s="15">
        <v>1000</v>
      </c>
      <c r="F104" s="16">
        <v>989.78</v>
      </c>
      <c r="G104" s="17">
        <v>2E-3</v>
      </c>
      <c r="H104" s="25">
        <v>8.3900000000000002E-2</v>
      </c>
      <c r="I104" s="18"/>
      <c r="J104" s="1"/>
    </row>
    <row r="105" spans="1:10" ht="13.05" customHeight="1">
      <c r="A105" s="13" t="s">
        <v>322</v>
      </c>
      <c r="B105" s="14" t="s">
        <v>323</v>
      </c>
      <c r="C105" s="11" t="s">
        <v>324</v>
      </c>
      <c r="D105" s="11" t="s">
        <v>256</v>
      </c>
      <c r="E105" s="15">
        <v>1000</v>
      </c>
      <c r="F105" s="16">
        <v>987.7</v>
      </c>
      <c r="G105" s="17">
        <v>2E-3</v>
      </c>
      <c r="H105" s="25">
        <v>8.2799999999999999E-2</v>
      </c>
      <c r="I105" s="18"/>
      <c r="J105" s="1"/>
    </row>
    <row r="106" spans="1:10" ht="13.05" customHeight="1">
      <c r="A106" s="13" t="s">
        <v>325</v>
      </c>
      <c r="B106" s="14" t="s">
        <v>326</v>
      </c>
      <c r="C106" s="11" t="s">
        <v>327</v>
      </c>
      <c r="D106" s="11" t="s">
        <v>252</v>
      </c>
      <c r="E106" s="15">
        <v>1000000</v>
      </c>
      <c r="F106" s="16">
        <v>978.92</v>
      </c>
      <c r="G106" s="17">
        <v>2E-3</v>
      </c>
      <c r="H106" s="25">
        <v>7.8577999999999995E-2</v>
      </c>
      <c r="I106" s="18"/>
      <c r="J106" s="1"/>
    </row>
    <row r="107" spans="1:10" ht="13.05" customHeight="1">
      <c r="A107" s="13" t="s">
        <v>328</v>
      </c>
      <c r="B107" s="14" t="s">
        <v>329</v>
      </c>
      <c r="C107" s="11" t="s">
        <v>330</v>
      </c>
      <c r="D107" s="11" t="s">
        <v>252</v>
      </c>
      <c r="E107" s="15">
        <v>1000000</v>
      </c>
      <c r="F107" s="16">
        <v>943.55</v>
      </c>
      <c r="G107" s="17">
        <v>1.9E-3</v>
      </c>
      <c r="H107" s="25">
        <v>7.4620000000000006E-2</v>
      </c>
      <c r="I107" s="18"/>
      <c r="J107" s="1"/>
    </row>
    <row r="108" spans="1:10" ht="13.05" customHeight="1">
      <c r="A108" s="13" t="s">
        <v>331</v>
      </c>
      <c r="B108" s="14" t="s">
        <v>332</v>
      </c>
      <c r="C108" s="11" t="s">
        <v>333</v>
      </c>
      <c r="D108" s="11" t="s">
        <v>252</v>
      </c>
      <c r="E108" s="15">
        <v>800000</v>
      </c>
      <c r="F108" s="16">
        <v>805.6</v>
      </c>
      <c r="G108" s="17">
        <v>1.6999999999999999E-3</v>
      </c>
      <c r="H108" s="25">
        <v>6.0694999999999999E-2</v>
      </c>
      <c r="I108" s="18"/>
      <c r="J108" s="1"/>
    </row>
    <row r="109" spans="1:10" ht="13.05" customHeight="1">
      <c r="A109" s="13" t="s">
        <v>334</v>
      </c>
      <c r="B109" s="14" t="s">
        <v>335</v>
      </c>
      <c r="C109" s="11" t="s">
        <v>336</v>
      </c>
      <c r="D109" s="11" t="s">
        <v>248</v>
      </c>
      <c r="E109" s="15">
        <v>800</v>
      </c>
      <c r="F109" s="16">
        <v>796.92</v>
      </c>
      <c r="G109" s="17">
        <v>1.6000000000000001E-3</v>
      </c>
      <c r="H109" s="25">
        <v>8.9199000000000001E-2</v>
      </c>
      <c r="I109" s="18"/>
      <c r="J109" s="1"/>
    </row>
    <row r="110" spans="1:10" ht="13.05" customHeight="1">
      <c r="A110" s="13" t="s">
        <v>337</v>
      </c>
      <c r="B110" s="14" t="s">
        <v>338</v>
      </c>
      <c r="C110" s="11" t="s">
        <v>339</v>
      </c>
      <c r="D110" s="11" t="s">
        <v>252</v>
      </c>
      <c r="E110" s="15">
        <v>775000</v>
      </c>
      <c r="F110" s="16">
        <v>789.74</v>
      </c>
      <c r="G110" s="17">
        <v>1.6000000000000001E-3</v>
      </c>
      <c r="H110" s="25">
        <v>7.3833999999999997E-2</v>
      </c>
      <c r="I110" s="18"/>
      <c r="J110" s="1"/>
    </row>
    <row r="111" spans="1:10" ht="13.05" customHeight="1">
      <c r="A111" s="13" t="s">
        <v>340</v>
      </c>
      <c r="B111" s="14" t="s">
        <v>338</v>
      </c>
      <c r="C111" s="11" t="s">
        <v>341</v>
      </c>
      <c r="D111" s="11" t="s">
        <v>252</v>
      </c>
      <c r="E111" s="15">
        <v>699100</v>
      </c>
      <c r="F111" s="16">
        <v>712.39</v>
      </c>
      <c r="G111" s="17">
        <v>1.5E-3</v>
      </c>
      <c r="H111" s="25">
        <v>7.3833999999999997E-2</v>
      </c>
      <c r="I111" s="18"/>
      <c r="J111" s="1"/>
    </row>
    <row r="112" spans="1:10" ht="13.05" customHeight="1">
      <c r="A112" s="13" t="s">
        <v>342</v>
      </c>
      <c r="B112" s="14" t="s">
        <v>343</v>
      </c>
      <c r="C112" s="11" t="s">
        <v>344</v>
      </c>
      <c r="D112" s="11" t="s">
        <v>252</v>
      </c>
      <c r="E112" s="15">
        <v>500000</v>
      </c>
      <c r="F112" s="16">
        <v>506.63</v>
      </c>
      <c r="G112" s="17">
        <v>1E-3</v>
      </c>
      <c r="H112" s="25">
        <v>6.1483999999999997E-2</v>
      </c>
      <c r="I112" s="18"/>
      <c r="J112" s="1"/>
    </row>
    <row r="113" spans="1:10" ht="13.05" customHeight="1">
      <c r="A113" s="13" t="s">
        <v>345</v>
      </c>
      <c r="B113" s="14" t="s">
        <v>346</v>
      </c>
      <c r="C113" s="11" t="s">
        <v>347</v>
      </c>
      <c r="D113" s="11" t="s">
        <v>348</v>
      </c>
      <c r="E113" s="15">
        <v>500</v>
      </c>
      <c r="F113" s="16">
        <v>502</v>
      </c>
      <c r="G113" s="17">
        <v>1E-3</v>
      </c>
      <c r="H113" s="25">
        <v>8.6400000000000005E-2</v>
      </c>
      <c r="I113" s="18"/>
      <c r="J113" s="1"/>
    </row>
    <row r="114" spans="1:10" ht="13.05" customHeight="1">
      <c r="A114" s="13" t="s">
        <v>349</v>
      </c>
      <c r="B114" s="14" t="s">
        <v>350</v>
      </c>
      <c r="C114" s="11" t="s">
        <v>351</v>
      </c>
      <c r="D114" s="11" t="s">
        <v>352</v>
      </c>
      <c r="E114" s="15">
        <v>50</v>
      </c>
      <c r="F114" s="16">
        <v>500.24</v>
      </c>
      <c r="G114" s="17">
        <v>1E-3</v>
      </c>
      <c r="H114" s="25">
        <v>8.1185999999999994E-2</v>
      </c>
      <c r="I114" s="18"/>
      <c r="J114" s="1"/>
    </row>
    <row r="115" spans="1:10" ht="13.05" customHeight="1">
      <c r="A115" s="13" t="s">
        <v>353</v>
      </c>
      <c r="B115" s="14" t="s">
        <v>354</v>
      </c>
      <c r="C115" s="11" t="s">
        <v>355</v>
      </c>
      <c r="D115" s="11" t="s">
        <v>356</v>
      </c>
      <c r="E115" s="15">
        <v>500</v>
      </c>
      <c r="F115" s="16">
        <v>499.27</v>
      </c>
      <c r="G115" s="17">
        <v>1E-3</v>
      </c>
      <c r="H115" s="25">
        <v>8.4500000000000006E-2</v>
      </c>
      <c r="I115" s="18"/>
      <c r="J115" s="1"/>
    </row>
    <row r="116" spans="1:10" ht="13.05" customHeight="1">
      <c r="A116" s="13" t="s">
        <v>357</v>
      </c>
      <c r="B116" s="14" t="s">
        <v>358</v>
      </c>
      <c r="C116" s="11" t="s">
        <v>359</v>
      </c>
      <c r="D116" s="11" t="s">
        <v>256</v>
      </c>
      <c r="E116" s="15">
        <v>50</v>
      </c>
      <c r="F116" s="16">
        <v>498.41</v>
      </c>
      <c r="G116" s="17">
        <v>1E-3</v>
      </c>
      <c r="H116" s="25">
        <v>7.8666E-2</v>
      </c>
      <c r="I116" s="18"/>
      <c r="J116" s="1"/>
    </row>
    <row r="117" spans="1:10" ht="13.05" customHeight="1">
      <c r="A117" s="13" t="s">
        <v>360</v>
      </c>
      <c r="B117" s="14" t="s">
        <v>361</v>
      </c>
      <c r="C117" s="11" t="s">
        <v>362</v>
      </c>
      <c r="D117" s="11" t="s">
        <v>303</v>
      </c>
      <c r="E117" s="15">
        <v>50</v>
      </c>
      <c r="F117" s="16">
        <v>497.51</v>
      </c>
      <c r="G117" s="17">
        <v>1E-3</v>
      </c>
      <c r="H117" s="25">
        <v>7.6450000000000004E-2</v>
      </c>
      <c r="I117" s="18"/>
      <c r="J117" s="1"/>
    </row>
    <row r="118" spans="1:10" ht="13.05" customHeight="1">
      <c r="A118" s="13" t="s">
        <v>363</v>
      </c>
      <c r="B118" s="14" t="s">
        <v>364</v>
      </c>
      <c r="C118" s="11" t="s">
        <v>365</v>
      </c>
      <c r="D118" s="11" t="s">
        <v>366</v>
      </c>
      <c r="E118" s="15">
        <v>500</v>
      </c>
      <c r="F118" s="16">
        <v>497.21</v>
      </c>
      <c r="G118" s="17">
        <v>1E-3</v>
      </c>
      <c r="H118" s="25">
        <v>8.9374999999999996E-2</v>
      </c>
      <c r="I118" s="18"/>
      <c r="J118" s="1"/>
    </row>
    <row r="119" spans="1:10" ht="13.05" customHeight="1">
      <c r="A119" s="13" t="s">
        <v>367</v>
      </c>
      <c r="B119" s="14" t="s">
        <v>368</v>
      </c>
      <c r="C119" s="11" t="s">
        <v>369</v>
      </c>
      <c r="D119" s="11" t="s">
        <v>256</v>
      </c>
      <c r="E119" s="15">
        <v>500</v>
      </c>
      <c r="F119" s="16">
        <v>497.1</v>
      </c>
      <c r="G119" s="17">
        <v>1E-3</v>
      </c>
      <c r="H119" s="25">
        <v>7.7499999999999999E-2</v>
      </c>
      <c r="I119" s="18"/>
      <c r="J119" s="1"/>
    </row>
    <row r="120" spans="1:10" ht="13.05" customHeight="1">
      <c r="A120" s="13" t="s">
        <v>370</v>
      </c>
      <c r="B120" s="14" t="s">
        <v>371</v>
      </c>
      <c r="C120" s="11" t="s">
        <v>372</v>
      </c>
      <c r="D120" s="11" t="s">
        <v>352</v>
      </c>
      <c r="E120" s="15">
        <v>400</v>
      </c>
      <c r="F120" s="16">
        <v>388.54</v>
      </c>
      <c r="G120" s="17">
        <v>8.0000000000000004E-4</v>
      </c>
      <c r="H120" s="25">
        <v>7.7299999999999994E-2</v>
      </c>
      <c r="I120" s="18"/>
      <c r="J120" s="1"/>
    </row>
    <row r="121" spans="1:10" ht="13.05" customHeight="1">
      <c r="A121" s="13" t="s">
        <v>373</v>
      </c>
      <c r="B121" s="14" t="s">
        <v>338</v>
      </c>
      <c r="C121" s="11" t="s">
        <v>374</v>
      </c>
      <c r="D121" s="11" t="s">
        <v>252</v>
      </c>
      <c r="E121" s="15">
        <v>245000</v>
      </c>
      <c r="F121" s="16">
        <v>249.66</v>
      </c>
      <c r="G121" s="17">
        <v>5.0000000000000001E-4</v>
      </c>
      <c r="H121" s="25">
        <v>7.3833999999999997E-2</v>
      </c>
      <c r="I121" s="18"/>
      <c r="J121" s="1"/>
    </row>
    <row r="122" spans="1:10" ht="13.05" customHeight="1">
      <c r="A122" s="13" t="s">
        <v>375</v>
      </c>
      <c r="B122" s="14" t="s">
        <v>376</v>
      </c>
      <c r="C122" s="11" t="s">
        <v>377</v>
      </c>
      <c r="D122" s="11" t="s">
        <v>378</v>
      </c>
      <c r="E122" s="15">
        <v>110</v>
      </c>
      <c r="F122" s="18" t="s">
        <v>379</v>
      </c>
      <c r="G122" s="17">
        <v>0</v>
      </c>
      <c r="H122" s="25"/>
      <c r="I122" s="18"/>
      <c r="J122" s="1"/>
    </row>
    <row r="123" spans="1:10" ht="13.05" customHeight="1">
      <c r="A123" s="1"/>
      <c r="B123" s="19" t="s">
        <v>216</v>
      </c>
      <c r="C123" s="20"/>
      <c r="D123" s="20"/>
      <c r="E123" s="20"/>
      <c r="F123" s="21">
        <v>61363.27</v>
      </c>
      <c r="G123" s="22">
        <v>0.1258</v>
      </c>
      <c r="H123" s="23"/>
      <c r="I123" s="23"/>
      <c r="J123" s="1"/>
    </row>
    <row r="124" spans="1:10" ht="13.05" customHeight="1">
      <c r="A124" s="1"/>
      <c r="B124" s="19" t="s">
        <v>380</v>
      </c>
      <c r="C124" s="20"/>
      <c r="D124" s="20"/>
      <c r="E124" s="20"/>
      <c r="F124" s="23" t="s">
        <v>241</v>
      </c>
      <c r="G124" s="23" t="s">
        <v>241</v>
      </c>
      <c r="H124" s="23"/>
      <c r="I124" s="23"/>
      <c r="J124" s="1"/>
    </row>
    <row r="125" spans="1:10" ht="13.05" customHeight="1">
      <c r="A125" s="1"/>
      <c r="B125" s="19" t="s">
        <v>216</v>
      </c>
      <c r="C125" s="20"/>
      <c r="D125" s="20"/>
      <c r="E125" s="20"/>
      <c r="F125" s="23" t="s">
        <v>241</v>
      </c>
      <c r="G125" s="23" t="s">
        <v>241</v>
      </c>
      <c r="H125" s="23"/>
      <c r="I125" s="23"/>
      <c r="J125" s="1"/>
    </row>
    <row r="126" spans="1:10" ht="13.05" customHeight="1">
      <c r="A126" s="1"/>
      <c r="B126" s="10" t="s">
        <v>381</v>
      </c>
      <c r="C126" s="11"/>
      <c r="D126" s="11"/>
      <c r="E126" s="11"/>
      <c r="F126" s="1"/>
      <c r="G126" s="12"/>
      <c r="H126" s="12"/>
      <c r="I126" s="12"/>
      <c r="J126" s="1"/>
    </row>
    <row r="127" spans="1:10" ht="13.05" customHeight="1">
      <c r="A127" s="13" t="s">
        <v>382</v>
      </c>
      <c r="B127" s="14" t="s">
        <v>383</v>
      </c>
      <c r="C127" s="11" t="s">
        <v>384</v>
      </c>
      <c r="D127" s="11" t="s">
        <v>385</v>
      </c>
      <c r="E127" s="15">
        <v>620000000</v>
      </c>
      <c r="F127" s="16">
        <v>1621.92</v>
      </c>
      <c r="G127" s="17">
        <v>3.3E-3</v>
      </c>
      <c r="H127" s="25">
        <v>9.5824999999999994E-2</v>
      </c>
      <c r="I127" s="18"/>
      <c r="J127" s="1"/>
    </row>
    <row r="128" spans="1:10" ht="13.05" customHeight="1">
      <c r="A128" s="13" t="s">
        <v>386</v>
      </c>
      <c r="B128" s="14" t="s">
        <v>387</v>
      </c>
      <c r="C128" s="11" t="s">
        <v>388</v>
      </c>
      <c r="D128" s="11" t="s">
        <v>385</v>
      </c>
      <c r="E128" s="15">
        <v>6</v>
      </c>
      <c r="F128" s="16">
        <v>553.36</v>
      </c>
      <c r="G128" s="17">
        <v>1.1000000000000001E-3</v>
      </c>
      <c r="H128" s="25">
        <v>8.7598999999999996E-2</v>
      </c>
      <c r="I128" s="18"/>
      <c r="J128" s="1"/>
    </row>
    <row r="129" spans="1:10" ht="13.05" customHeight="1">
      <c r="A129" s="1"/>
      <c r="B129" s="19" t="s">
        <v>216</v>
      </c>
      <c r="C129" s="20"/>
      <c r="D129" s="20"/>
      <c r="E129" s="20"/>
      <c r="F129" s="21">
        <v>2175.2800000000002</v>
      </c>
      <c r="G129" s="22">
        <v>4.4000000000000003E-3</v>
      </c>
      <c r="H129" s="23"/>
      <c r="I129" s="23"/>
      <c r="J129" s="1"/>
    </row>
    <row r="130" spans="1:10" ht="13.05" customHeight="1">
      <c r="A130" s="1"/>
      <c r="B130" s="19" t="s">
        <v>380</v>
      </c>
      <c r="C130" s="20"/>
      <c r="D130" s="20"/>
      <c r="E130" s="20"/>
      <c r="F130" s="23" t="s">
        <v>241</v>
      </c>
      <c r="G130" s="23" t="s">
        <v>241</v>
      </c>
      <c r="H130" s="23"/>
      <c r="I130" s="23"/>
      <c r="J130" s="1"/>
    </row>
    <row r="131" spans="1:10" ht="13.05" customHeight="1">
      <c r="A131" s="1"/>
      <c r="B131" s="19" t="s">
        <v>216</v>
      </c>
      <c r="C131" s="20"/>
      <c r="D131" s="20"/>
      <c r="E131" s="20"/>
      <c r="F131" s="23" t="s">
        <v>241</v>
      </c>
      <c r="G131" s="23" t="s">
        <v>241</v>
      </c>
      <c r="H131" s="23"/>
      <c r="I131" s="23"/>
      <c r="J131" s="1"/>
    </row>
    <row r="132" spans="1:10" ht="13.05" customHeight="1">
      <c r="A132" s="1"/>
      <c r="B132" s="19" t="s">
        <v>242</v>
      </c>
      <c r="C132" s="24"/>
      <c r="D132" s="20"/>
      <c r="E132" s="24"/>
      <c r="F132" s="21">
        <v>63538.55</v>
      </c>
      <c r="G132" s="22">
        <v>0.13020000000000001</v>
      </c>
      <c r="H132" s="23"/>
      <c r="I132" s="23"/>
      <c r="J132" s="1"/>
    </row>
    <row r="133" spans="1:10" ht="13.05" customHeight="1">
      <c r="A133" s="1"/>
      <c r="B133" s="10" t="s">
        <v>389</v>
      </c>
      <c r="C133" s="11"/>
      <c r="D133" s="11"/>
      <c r="E133" s="11"/>
      <c r="F133" s="11"/>
      <c r="G133" s="11"/>
      <c r="H133" s="12"/>
      <c r="I133" s="12"/>
      <c r="J133" s="1"/>
    </row>
    <row r="134" spans="1:10" ht="13.05" customHeight="1">
      <c r="A134" s="1"/>
      <c r="B134" s="10" t="s">
        <v>390</v>
      </c>
      <c r="C134" s="11"/>
      <c r="D134" s="11"/>
      <c r="E134" s="11"/>
      <c r="F134" s="1"/>
      <c r="G134" s="12"/>
      <c r="H134" s="12"/>
      <c r="I134" s="12"/>
      <c r="J134" s="1"/>
    </row>
    <row r="135" spans="1:10" ht="13.05" customHeight="1">
      <c r="A135" s="13" t="s">
        <v>391</v>
      </c>
      <c r="B135" s="14" t="s">
        <v>392</v>
      </c>
      <c r="C135" s="11" t="s">
        <v>393</v>
      </c>
      <c r="D135" s="11" t="s">
        <v>394</v>
      </c>
      <c r="E135" s="15">
        <v>500</v>
      </c>
      <c r="F135" s="16">
        <v>2442.1799999999998</v>
      </c>
      <c r="G135" s="17">
        <v>5.0000000000000001E-3</v>
      </c>
      <c r="H135" s="25">
        <v>7.5150999999999996E-2</v>
      </c>
      <c r="I135" s="18"/>
      <c r="J135" s="1"/>
    </row>
    <row r="136" spans="1:10" ht="13.05" customHeight="1">
      <c r="A136" s="13" t="s">
        <v>395</v>
      </c>
      <c r="B136" s="14" t="s">
        <v>396</v>
      </c>
      <c r="C136" s="11" t="s">
        <v>397</v>
      </c>
      <c r="D136" s="11" t="s">
        <v>394</v>
      </c>
      <c r="E136" s="15">
        <v>500</v>
      </c>
      <c r="F136" s="16">
        <v>2417.44</v>
      </c>
      <c r="G136" s="17">
        <v>5.0000000000000001E-3</v>
      </c>
      <c r="H136" s="25">
        <v>7.8899999999999998E-2</v>
      </c>
      <c r="I136" s="18"/>
      <c r="J136" s="1"/>
    </row>
    <row r="137" spans="1:10" ht="13.05" customHeight="1">
      <c r="A137" s="13" t="s">
        <v>398</v>
      </c>
      <c r="B137" s="14" t="s">
        <v>399</v>
      </c>
      <c r="C137" s="11" t="s">
        <v>400</v>
      </c>
      <c r="D137" s="11" t="s">
        <v>394</v>
      </c>
      <c r="E137" s="15">
        <v>500</v>
      </c>
      <c r="F137" s="16">
        <v>2417.42</v>
      </c>
      <c r="G137" s="17">
        <v>5.0000000000000001E-3</v>
      </c>
      <c r="H137" s="25">
        <v>7.6498999999999998E-2</v>
      </c>
      <c r="I137" s="18"/>
      <c r="J137" s="1"/>
    </row>
    <row r="138" spans="1:10" ht="13.05" customHeight="1">
      <c r="A138" s="1"/>
      <c r="B138" s="19" t="s">
        <v>216</v>
      </c>
      <c r="C138" s="20"/>
      <c r="D138" s="20"/>
      <c r="E138" s="20"/>
      <c r="F138" s="21">
        <v>7277.04</v>
      </c>
      <c r="G138" s="22">
        <v>1.4999999999999999E-2</v>
      </c>
      <c r="H138" s="23"/>
      <c r="I138" s="23"/>
      <c r="J138" s="1"/>
    </row>
    <row r="139" spans="1:10" ht="13.05" customHeight="1">
      <c r="A139" s="1"/>
      <c r="B139" s="19" t="s">
        <v>242</v>
      </c>
      <c r="C139" s="24"/>
      <c r="D139" s="20"/>
      <c r="E139" s="24"/>
      <c r="F139" s="21">
        <v>7277.04</v>
      </c>
      <c r="G139" s="22">
        <v>1.4999999999999999E-2</v>
      </c>
      <c r="H139" s="23"/>
      <c r="I139" s="23"/>
      <c r="J139" s="1"/>
    </row>
    <row r="140" spans="1:10" ht="13.05" customHeight="1">
      <c r="A140" s="1"/>
      <c r="B140" s="10" t="s">
        <v>401</v>
      </c>
      <c r="C140" s="11"/>
      <c r="D140" s="11"/>
      <c r="E140" s="11"/>
      <c r="F140" s="11"/>
      <c r="G140" s="11"/>
      <c r="H140" s="12"/>
      <c r="I140" s="12"/>
      <c r="J140" s="1"/>
    </row>
    <row r="141" spans="1:10" ht="13.05" customHeight="1">
      <c r="A141" s="13" t="s">
        <v>402</v>
      </c>
      <c r="B141" s="14" t="s">
        <v>403</v>
      </c>
      <c r="C141" s="11"/>
      <c r="D141" s="11" t="s">
        <v>404</v>
      </c>
      <c r="E141" s="15"/>
      <c r="F141" s="16">
        <v>7418.26</v>
      </c>
      <c r="G141" s="17">
        <v>1.52E-2</v>
      </c>
      <c r="H141" s="25">
        <v>0.1610345580387802</v>
      </c>
      <c r="I141" s="18"/>
      <c r="J141" s="1"/>
    </row>
    <row r="142" spans="1:10" ht="13.05" customHeight="1">
      <c r="A142" s="1"/>
      <c r="B142" s="19" t="s">
        <v>216</v>
      </c>
      <c r="C142" s="20"/>
      <c r="D142" s="20"/>
      <c r="E142" s="20"/>
      <c r="F142" s="21">
        <v>7418.26</v>
      </c>
      <c r="G142" s="22">
        <v>1.52E-2</v>
      </c>
      <c r="H142" s="23"/>
      <c r="I142" s="23"/>
      <c r="J142" s="1"/>
    </row>
    <row r="143" spans="1:10" ht="13.05" customHeight="1">
      <c r="A143" s="1"/>
      <c r="B143" s="19" t="s">
        <v>380</v>
      </c>
      <c r="C143" s="20"/>
      <c r="D143" s="20"/>
      <c r="E143" s="20"/>
      <c r="F143" s="23" t="s">
        <v>241</v>
      </c>
      <c r="G143" s="23" t="s">
        <v>241</v>
      </c>
      <c r="H143" s="23"/>
      <c r="I143" s="23"/>
      <c r="J143" s="1"/>
    </row>
    <row r="144" spans="1:10" ht="13.05" customHeight="1">
      <c r="A144" s="1"/>
      <c r="B144" s="19" t="s">
        <v>216</v>
      </c>
      <c r="C144" s="20"/>
      <c r="D144" s="20"/>
      <c r="E144" s="20"/>
      <c r="F144" s="23" t="s">
        <v>241</v>
      </c>
      <c r="G144" s="23" t="s">
        <v>241</v>
      </c>
      <c r="H144" s="23"/>
      <c r="I144" s="23"/>
      <c r="J144" s="1"/>
    </row>
    <row r="145" spans="1:10" ht="13.05" customHeight="1">
      <c r="A145" s="1"/>
      <c r="B145" s="19" t="s">
        <v>242</v>
      </c>
      <c r="C145" s="24"/>
      <c r="D145" s="20"/>
      <c r="E145" s="24"/>
      <c r="F145" s="21">
        <v>7418.26</v>
      </c>
      <c r="G145" s="22">
        <v>1.52E-2</v>
      </c>
      <c r="H145" s="23"/>
      <c r="I145" s="23"/>
      <c r="J145" s="1"/>
    </row>
    <row r="146" spans="1:10" ht="13.05" customHeight="1">
      <c r="A146" s="1"/>
      <c r="B146" s="19" t="s">
        <v>405</v>
      </c>
      <c r="C146" s="11"/>
      <c r="D146" s="20"/>
      <c r="E146" s="11"/>
      <c r="F146" s="26">
        <v>3561.47</v>
      </c>
      <c r="G146" s="22">
        <v>7.4000000000000003E-3</v>
      </c>
      <c r="H146" s="23"/>
      <c r="I146" s="23"/>
      <c r="J146" s="1"/>
    </row>
    <row r="147" spans="1:10" ht="13.05" customHeight="1" thickBot="1">
      <c r="A147" s="1"/>
      <c r="B147" s="27" t="s">
        <v>406</v>
      </c>
      <c r="C147" s="28"/>
      <c r="D147" s="28"/>
      <c r="E147" s="28"/>
      <c r="F147" s="29">
        <v>487095.96</v>
      </c>
      <c r="G147" s="30">
        <v>1</v>
      </c>
      <c r="H147" s="31"/>
      <c r="I147" s="31"/>
      <c r="J147" s="1"/>
    </row>
    <row r="148" spans="1:10" ht="13.05" customHeight="1">
      <c r="A148" s="1"/>
      <c r="B148" s="4"/>
      <c r="C148" s="1"/>
      <c r="D148" s="1"/>
      <c r="E148" s="1"/>
      <c r="F148" s="1"/>
      <c r="G148" s="1"/>
      <c r="H148" s="1"/>
      <c r="I148" s="1"/>
      <c r="J148" s="1"/>
    </row>
    <row r="149" spans="1:10" ht="13.05" customHeight="1">
      <c r="A149" s="1"/>
      <c r="B149" s="40"/>
      <c r="C149" s="40"/>
      <c r="D149" s="40"/>
      <c r="E149" s="40"/>
      <c r="F149" s="40"/>
      <c r="G149" s="40"/>
      <c r="H149" s="40"/>
      <c r="I149" s="1"/>
      <c r="J149" s="1"/>
    </row>
    <row r="150" spans="1:10" ht="13.05" customHeight="1">
      <c r="A150" s="1"/>
      <c r="B150" s="40"/>
      <c r="C150" s="40"/>
      <c r="D150" s="40"/>
      <c r="E150" s="40"/>
      <c r="F150" s="40"/>
      <c r="G150" s="40"/>
      <c r="H150" s="40"/>
      <c r="I150" s="1"/>
      <c r="J150" s="1"/>
    </row>
    <row r="151" spans="1:10" ht="13.05" customHeight="1">
      <c r="A151" s="1"/>
      <c r="B151" s="2" t="s">
        <v>404</v>
      </c>
      <c r="C151" s="1"/>
      <c r="D151" s="1"/>
      <c r="E151" s="1"/>
      <c r="F151" s="1"/>
      <c r="G151" s="1"/>
      <c r="H151" s="1"/>
      <c r="I151" s="1"/>
      <c r="J151" s="1"/>
    </row>
    <row r="152" spans="1:10" ht="13.05" customHeight="1">
      <c r="A152" s="1"/>
      <c r="B152" s="2" t="s">
        <v>407</v>
      </c>
      <c r="C152" s="1"/>
      <c r="D152" s="1"/>
      <c r="E152" s="1"/>
      <c r="F152" s="1"/>
      <c r="G152" s="1"/>
      <c r="H152" s="1"/>
      <c r="I152" s="1"/>
      <c r="J152" s="1"/>
    </row>
    <row r="153" spans="1:10" ht="13.05" customHeight="1">
      <c r="A153" s="1"/>
      <c r="B153" s="2" t="s">
        <v>408</v>
      </c>
      <c r="C153" s="1"/>
      <c r="D153" s="1"/>
      <c r="E153" s="1"/>
      <c r="F153" s="1"/>
      <c r="G153" s="1"/>
      <c r="H153" s="1"/>
      <c r="I153" s="1"/>
      <c r="J153" s="1"/>
    </row>
    <row r="154" spans="1:10" ht="13.05" customHeight="1">
      <c r="A154" s="1"/>
      <c r="B154" s="2" t="s">
        <v>409</v>
      </c>
      <c r="C154" s="1"/>
      <c r="D154" s="1"/>
      <c r="E154" s="1"/>
      <c r="F154" s="1"/>
      <c r="G154" s="1"/>
      <c r="H154" s="1"/>
      <c r="I154" s="1"/>
      <c r="J154" s="1"/>
    </row>
    <row r="155" spans="1:10" ht="13.05" customHeight="1">
      <c r="A155" s="1"/>
      <c r="B155" s="2" t="s">
        <v>410</v>
      </c>
      <c r="C155" s="1"/>
      <c r="D155" s="1"/>
      <c r="E155" s="1"/>
      <c r="F155" s="1"/>
      <c r="G155" s="1"/>
      <c r="H155" s="1"/>
      <c r="I155" s="1"/>
      <c r="J155" s="1"/>
    </row>
    <row r="156" spans="1:10" ht="13.05" customHeight="1">
      <c r="A156" s="1"/>
      <c r="B156" s="2" t="s">
        <v>411</v>
      </c>
      <c r="C156" s="1"/>
      <c r="D156" s="1"/>
      <c r="E156" s="1"/>
      <c r="F156" s="1"/>
      <c r="G156" s="1"/>
      <c r="H156" s="1"/>
      <c r="I156" s="1"/>
      <c r="J156" s="1"/>
    </row>
    <row r="157" spans="1:10" ht="26.25" customHeight="1">
      <c r="A157" s="1"/>
      <c r="B157" s="40" t="s">
        <v>412</v>
      </c>
      <c r="C157" s="40"/>
      <c r="D157" s="40"/>
      <c r="E157" s="40"/>
      <c r="F157" s="40"/>
      <c r="G157" s="40"/>
      <c r="H157" s="40"/>
      <c r="I157" s="1"/>
      <c r="J157" s="1"/>
    </row>
    <row r="161" spans="2:5">
      <c r="B161" s="32" t="s">
        <v>413</v>
      </c>
      <c r="C161" s="33"/>
      <c r="D161" s="33"/>
      <c r="E161" s="34"/>
    </row>
    <row r="162" spans="2:5">
      <c r="B162" s="33" t="s">
        <v>414</v>
      </c>
      <c r="C162" s="33"/>
      <c r="D162" s="33"/>
      <c r="E162" s="34"/>
    </row>
    <row r="163" spans="2:5">
      <c r="B163" s="35" t="s">
        <v>415</v>
      </c>
      <c r="C163" s="33"/>
      <c r="D163" s="33"/>
      <c r="E163" s="34"/>
    </row>
    <row r="164" spans="2:5">
      <c r="B164" s="33" t="s">
        <v>416</v>
      </c>
      <c r="C164" s="33"/>
      <c r="D164" s="33"/>
      <c r="E164" s="34"/>
    </row>
    <row r="165" spans="2:5">
      <c r="B165" s="33" t="s">
        <v>417</v>
      </c>
      <c r="C165" s="33"/>
      <c r="D165" s="33"/>
      <c r="E165" s="34"/>
    </row>
    <row r="166" spans="2:5">
      <c r="B166" s="33" t="s">
        <v>418</v>
      </c>
      <c r="C166" s="36"/>
      <c r="D166" s="36"/>
      <c r="E166" s="36"/>
    </row>
    <row r="167" spans="2:5">
      <c r="B167" s="33" t="s">
        <v>419</v>
      </c>
      <c r="C167" s="33"/>
      <c r="D167" s="33"/>
      <c r="E167" s="34"/>
    </row>
    <row r="168" spans="2:5">
      <c r="B168" s="33" t="s">
        <v>420</v>
      </c>
      <c r="C168" s="33"/>
      <c r="D168" s="33"/>
      <c r="E168" s="34"/>
    </row>
    <row r="169" spans="2:5">
      <c r="B169" s="33" t="s">
        <v>421</v>
      </c>
      <c r="C169" s="33"/>
      <c r="D169" s="33"/>
      <c r="E169" s="34"/>
    </row>
    <row r="170" spans="2:5">
      <c r="B170" s="33" t="s">
        <v>422</v>
      </c>
      <c r="C170" s="33"/>
      <c r="D170" s="33"/>
      <c r="E170" s="34"/>
    </row>
    <row r="171" spans="2:5">
      <c r="B171" s="32" t="s">
        <v>423</v>
      </c>
      <c r="C171" s="32"/>
      <c r="D171" s="32" t="s">
        <v>424</v>
      </c>
      <c r="E171" s="32" t="s">
        <v>425</v>
      </c>
    </row>
    <row r="172" spans="2:5">
      <c r="B172" s="33" t="s">
        <v>426</v>
      </c>
      <c r="C172" s="33"/>
      <c r="D172" s="37">
        <v>15.9086</v>
      </c>
      <c r="E172" s="37">
        <v>15.9985</v>
      </c>
    </row>
    <row r="173" spans="2:5">
      <c r="B173" s="33" t="s">
        <v>427</v>
      </c>
      <c r="C173" s="33"/>
      <c r="D173" s="37">
        <v>24.94</v>
      </c>
      <c r="E173" s="37">
        <v>25.331900000000001</v>
      </c>
    </row>
    <row r="174" spans="2:5">
      <c r="B174" s="33" t="s">
        <v>428</v>
      </c>
      <c r="C174" s="33"/>
      <c r="D174" s="37">
        <v>17.5806</v>
      </c>
      <c r="E174" s="37">
        <v>17.693200000000001</v>
      </c>
    </row>
    <row r="175" spans="2:5">
      <c r="B175" s="33" t="s">
        <v>429</v>
      </c>
      <c r="C175" s="33"/>
      <c r="D175" s="37">
        <v>27.4938</v>
      </c>
      <c r="E175" s="37">
        <v>27.9513</v>
      </c>
    </row>
    <row r="176" spans="2:5">
      <c r="B176" s="33"/>
      <c r="C176" s="33"/>
      <c r="D176" s="33"/>
      <c r="E176" s="34"/>
    </row>
    <row r="177" spans="2:5">
      <c r="B177" s="33" t="s">
        <v>430</v>
      </c>
      <c r="C177" s="33"/>
      <c r="D177" s="32" t="s">
        <v>431</v>
      </c>
      <c r="E177" s="38" t="s">
        <v>432</v>
      </c>
    </row>
    <row r="178" spans="2:5">
      <c r="B178" s="33" t="s">
        <v>426</v>
      </c>
      <c r="C178" s="33"/>
      <c r="D178" s="39">
        <v>0.16</v>
      </c>
      <c r="E178" s="39">
        <v>0.16</v>
      </c>
    </row>
    <row r="179" spans="2:5">
      <c r="B179" s="33" t="s">
        <v>428</v>
      </c>
      <c r="C179" s="33"/>
      <c r="D179" s="39">
        <v>0.18</v>
      </c>
      <c r="E179" s="39">
        <v>0.18</v>
      </c>
    </row>
    <row r="180" spans="2:5">
      <c r="B180" s="33"/>
      <c r="C180" s="33"/>
      <c r="D180" s="33"/>
      <c r="E180" s="34"/>
    </row>
    <row r="181" spans="2:5">
      <c r="B181" s="33" t="s">
        <v>433</v>
      </c>
      <c r="C181" s="33"/>
      <c r="D181" s="33"/>
      <c r="E181" s="34"/>
    </row>
    <row r="182" spans="2:5">
      <c r="B182" s="33" t="s">
        <v>434</v>
      </c>
      <c r="C182" s="33"/>
      <c r="D182" s="33"/>
      <c r="E182" s="34"/>
    </row>
    <row r="183" spans="2:5">
      <c r="B183" s="33" t="s">
        <v>435</v>
      </c>
      <c r="C183" s="33"/>
      <c r="D183" s="33"/>
      <c r="E183" s="34"/>
    </row>
    <row r="184" spans="2:5">
      <c r="B184" s="33" t="s">
        <v>436</v>
      </c>
      <c r="C184" s="33"/>
      <c r="D184" s="33"/>
      <c r="E184" s="34"/>
    </row>
    <row r="185" spans="2:5">
      <c r="B185" s="33" t="s">
        <v>437</v>
      </c>
      <c r="C185" s="33"/>
      <c r="D185" s="33"/>
      <c r="E185" s="34"/>
    </row>
    <row r="186" spans="2:5">
      <c r="B186" s="33" t="s">
        <v>438</v>
      </c>
      <c r="C186" s="33"/>
      <c r="D186" s="33"/>
      <c r="E186" s="34"/>
    </row>
    <row r="187" spans="2:5">
      <c r="B187" s="33" t="s">
        <v>439</v>
      </c>
      <c r="C187" s="33"/>
      <c r="D187" s="33"/>
      <c r="E187" s="34"/>
    </row>
    <row r="188" spans="2:5">
      <c r="B188" s="33" t="s">
        <v>440</v>
      </c>
      <c r="C188" s="33"/>
      <c r="D188" s="33"/>
      <c r="E188" s="34"/>
    </row>
    <row r="189" spans="2:5">
      <c r="B189" s="33" t="s">
        <v>441</v>
      </c>
      <c r="C189" s="33"/>
      <c r="D189" s="33"/>
      <c r="E189" s="34"/>
    </row>
    <row r="190" spans="2:5">
      <c r="B190" s="33" t="s">
        <v>442</v>
      </c>
      <c r="C190" s="33"/>
      <c r="D190" s="33"/>
      <c r="E190" s="34"/>
    </row>
    <row r="191" spans="2:5">
      <c r="B191" s="33" t="s">
        <v>443</v>
      </c>
      <c r="C191" s="33"/>
      <c r="D191" s="33"/>
      <c r="E191" s="34"/>
    </row>
    <row r="192" spans="2:5">
      <c r="B192" s="33" t="s">
        <v>444</v>
      </c>
      <c r="C192" s="33"/>
      <c r="D192" s="33"/>
      <c r="E192" s="34"/>
    </row>
    <row r="214" spans="2:2">
      <c r="B214" t="s">
        <v>445</v>
      </c>
    </row>
  </sheetData>
  <mergeCells count="3">
    <mergeCell ref="B149:H149"/>
    <mergeCell ref="B150:H150"/>
    <mergeCell ref="B157:H1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2026-06-07T11:16:08Z</dcterms:created>
  <dcterms:modified xsi:type="dcterms:W3CDTF">2026-06-09T10:12:15Z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2026-06-07T11:16:08Z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98a04cab-8ead-47f5-ae03-7fb456b5cc98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