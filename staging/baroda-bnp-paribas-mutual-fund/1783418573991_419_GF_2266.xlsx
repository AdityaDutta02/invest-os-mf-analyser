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18?">'Monthly Portfolio'!$C$16:$C$25</definedName>
    <definedName name="XDO_?FINAL_ISIN?78?">'Monthly Portfolio'!$D$24:$D$25</definedName>
    <definedName name="XDO_?FINAL_ISIN?79?">'Monthly Portfolio'!$D$24:$D$42</definedName>
    <definedName name="XDO_?FINAL_ISIN?80?">'Monthly Portfolio'!$D$24:$D$65</definedName>
    <definedName name="XDO_?FINAL_ISIN?81?">'Monthly Portfolio'!$D$24:$D$69</definedName>
    <definedName name="XDO_?FINAL_MV?78?">'Monthly Portfolio'!$G$24:$G$25</definedName>
    <definedName name="XDO_?FINAL_MV?79?">'Monthly Portfolio'!$G$24:$G$42</definedName>
    <definedName name="XDO_?FINAL_MV?80?">'Monthly Portfolio'!$G$24:$G$65</definedName>
    <definedName name="XDO_?FINAL_MV?81?">'Monthly Portfolio'!$G$24:$G$69</definedName>
    <definedName name="XDO_?FINAL_NAME?78?">'Monthly Portfolio'!$C$24:$C$25</definedName>
    <definedName name="XDO_?FINAL_NAME?79?">'Monthly Portfolio'!$C$24:$C$42</definedName>
    <definedName name="XDO_?FINAL_NAME?80?">'Monthly Portfolio'!$C$24:$C$65</definedName>
    <definedName name="XDO_?FINAL_NAME?81?">'Monthly Portfolio'!$C$24:$C$69</definedName>
    <definedName name="XDO_?FINAL_PER_NET?78?">'Monthly Portfolio'!$H$24:$H$25</definedName>
    <definedName name="XDO_?FINAL_PER_NET?79?">'Monthly Portfolio'!$H$24:$H$42</definedName>
    <definedName name="XDO_?FINAL_PER_NET?80?">'Monthly Portfolio'!$H$24:$H$65</definedName>
    <definedName name="XDO_?FINAL_PER_NET?81?">'Monthly Portfolio'!$H$24:$H$69</definedName>
    <definedName name="XDO_?FINAL_QUANTITE?78?">'Monthly Portfolio'!$F$24:$F$25</definedName>
    <definedName name="XDO_?FINAL_QUANTITE?79?">'Monthly Portfolio'!$F$24:$F$42</definedName>
    <definedName name="XDO_?FINAL_QUANTITE?80?">'Monthly Portfolio'!$F$24:$F$65</definedName>
    <definedName name="XDO_?FINAL_QUANTITE?81?">'Monthly Portfolio'!$F$24:$F$69</definedName>
    <definedName name="XDO_?NAMC?">[1]MT!#REF!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'Monthly Portfolio'!#REF!</definedName>
    <definedName name="XDO_?NAMC?19?">[1]LQ!#REF!</definedName>
    <definedName name="XDO_?NAMC?2?">[1]FL!#REF!</definedName>
    <definedName name="XDO_?NAMC?20?">[1]SI!#REF!</definedName>
    <definedName name="XDO_?NAMC?21?">[1]BS!#REF!</definedName>
    <definedName name="XDO_?NAMC?22?">[1]CO!#REF!</definedName>
    <definedName name="XDO_?NAMC?23?">[1]US!#REF!</definedName>
    <definedName name="XDO_?NAMC?24?">[1]DE!#REF!</definedName>
    <definedName name="XDO_?NAMC?25?">[1]ON!#REF!</definedName>
    <definedName name="XDO_?NAMC?26?">[1]BM!#REF!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18?">'Monthly Portfolio'!$C$2:$C$25</definedName>
    <definedName name="XDO_?NDATE?">[1]MT!#REF!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'Monthly Portfolio'!#REF!</definedName>
    <definedName name="XDO_?NDATE?19?">[1]LQ!#REF!</definedName>
    <definedName name="XDO_?NDATE?2?">[1]FL!#REF!</definedName>
    <definedName name="XDO_?NDATE?20?">[1]SI!#REF!</definedName>
    <definedName name="XDO_?NDATE?21?">[1]BS!#REF!</definedName>
    <definedName name="XDO_?NDATE?22?">[1]CO!#REF!</definedName>
    <definedName name="XDO_?NDATE?23?">[1]US!#REF!</definedName>
    <definedName name="XDO_?NDATE?24?">[1]DE!#REF!</definedName>
    <definedName name="XDO_?NDATE?25?">[1]ON!#REF!</definedName>
    <definedName name="XDO_?NDATE?26?">[1]BM!#REF!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[1]MT!#REF!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'Monthly Portfolio'!#REF!</definedName>
    <definedName name="XDO_?NNPTF?19?">[1]LQ!#REF!</definedName>
    <definedName name="XDO_?NNPTF?2?">[1]FL!#REF!</definedName>
    <definedName name="XDO_?NNPTF?20?">[1]SI!#REF!</definedName>
    <definedName name="XDO_?NNPTF?21?">[1]BS!#REF!</definedName>
    <definedName name="XDO_?NNPTF?22?">[1]CO!#REF!</definedName>
    <definedName name="XDO_?NNPTF?23?">[1]US!#REF!</definedName>
    <definedName name="XDO_?NNPTF?24?">[1]DE!#REF!</definedName>
    <definedName name="XDO_?NNPTF?25?">[1]ON!#REF!</definedName>
    <definedName name="XDO_?NNPTF?26?">[1]BM!#REF!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78?">'Monthly Portfolio'!$B$24:$B$25</definedName>
    <definedName name="XDO_?NOVAL?79?">'Monthly Portfolio'!$B$24:$B$42</definedName>
    <definedName name="XDO_?NOVAL?80?">'Monthly Portfolio'!$B$24:$B$65</definedName>
    <definedName name="XDO_?NOVAL?81?">'Monthly Portfolio'!$B$24:$B$69</definedName>
    <definedName name="XDO_?NPTF?18?">'Monthly Portfolio'!$D$2:$D$25</definedName>
    <definedName name="XDO_?RATING?78?">'Monthly Portfolio'!$E$24:$E$25</definedName>
    <definedName name="XDO_?RATING?79?">'Monthly Portfolio'!$E$24:$E$42</definedName>
    <definedName name="XDO_?RATING?80?">'Monthly Portfolio'!$E$24:$E$65</definedName>
    <definedName name="XDO_?RATING?81?">'Monthly Portfolio'!$E$24:$E$69</definedName>
    <definedName name="XDO_?REMARKS?78?">'Monthly Portfolio'!$K$24:$K$25</definedName>
    <definedName name="XDO_?REMARKS?79?">'Monthly Portfolio'!$K$24:$K$42</definedName>
    <definedName name="XDO_?REMARKS?80?">'Monthly Portfolio'!$K$24:$K$65</definedName>
    <definedName name="XDO_?REMARKS?81?">'Monthly Portfolio'!$K$24:$K$69</definedName>
    <definedName name="XDO_?TITL?18?">'Monthly Portfolio'!$A$16:$A$25</definedName>
    <definedName name="XDO_?YTM?78?">'Monthly Portfolio'!$I$24:$I$25</definedName>
    <definedName name="XDO_?YTM?79?">'Monthly Portfolio'!$I$24:$I$42</definedName>
    <definedName name="XDO_?YTM?80?">'Monthly Portfolio'!$I$24:$I$65</definedName>
    <definedName name="XDO_?YTM?81?">'Monthly Portfolio'!$I$24:$I$69</definedName>
    <definedName name="XDO_GROUP_?G_2?18?">'Monthly Portfolio'!$2:$39</definedName>
    <definedName name="XDO_GROUP_?G_3?18?">'Monthly Portfolio'!$8:$38</definedName>
    <definedName name="XDO_GROUP_?G_4?117?">[1]ON!#REF!</definedName>
    <definedName name="XDO_GROUP_?G_4?32?">[1]TA!#REF!</definedName>
    <definedName name="XDO_GROUP_?G_4?76?">[1]GR!#REF!</definedName>
    <definedName name="XDO_GROUP_?G_4?78?">'Monthly Portfolio'!$B$10:$IV$11</definedName>
    <definedName name="XDO_GROUP_?G_4?79?">'Monthly Portfolio'!$B$15:$IV$26</definedName>
    <definedName name="XDO_GROUP_?G_4?80?">'Monthly Portfolio'!$B$31:$IV$31</definedName>
    <definedName name="XDO_GROUP_?G_4?81?">'Monthly Portfolio'!$B$36:$IV$36</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3" i="2"/>
  <c r="H72" i="1"/>
</calcChain>
</file>

<file path=xl/sharedStrings.xml><?xml version="1.0" encoding="utf-8"?>
<sst xmlns="http://schemas.openxmlformats.org/spreadsheetml/2006/main" count="361" uniqueCount="146">
  <si>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</si>
  <si>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</si>
  <si>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</si>
  <si>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</si>
  <si>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</si>
  <si>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</si>
  <si>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</si>
  <si>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</si>
  <si>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</si>
  <si>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</si>
  <si>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</si>
  <si>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</si>
  <si>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</si>
  <si>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</si>
  <si>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</si>
  <si>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</si>
  <si>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</si>
  <si>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</si>
  <si>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</si>
  <si>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</si>
  <si>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</si>
  <si>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</si>
  <si>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</si>
  <si>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</si>
  <si>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900283</t>
  </si>
  <si>
    <t>7.26% Government of India 22-Aug-2032</t>
  </si>
  <si>
    <t>IN0020220060</t>
  </si>
  <si>
    <t>Sovereign</t>
  </si>
  <si>
    <t>900008</t>
  </si>
  <si>
    <t>7.88% Government of India 19-Mar-2030</t>
  </si>
  <si>
    <t>IN0020150028</t>
  </si>
  <si>
    <t>Total</t>
  </si>
  <si>
    <t>e) State Government Securities</t>
  </si>
  <si>
    <t>1904797</t>
  </si>
  <si>
    <t>7.77% State Government of Haryana 29-Mar-2033</t>
  </si>
  <si>
    <t>IN1620220484</t>
  </si>
  <si>
    <t>1904786</t>
  </si>
  <si>
    <t>7.76% State Government of Himachal Pradesh 23-Mar-2033</t>
  </si>
  <si>
    <t>IN1720220210</t>
  </si>
  <si>
    <t>1901691</t>
  </si>
  <si>
    <t>6.91% State Government of Maharashtra 15-Sep-2033</t>
  </si>
  <si>
    <t>IN2220210248</t>
  </si>
  <si>
    <t>1904807</t>
  </si>
  <si>
    <t>7.79% State Government of Uttar Pradesh 29-Mar-2033</t>
  </si>
  <si>
    <t>IN3320220186</t>
  </si>
  <si>
    <t>1904720</t>
  </si>
  <si>
    <t>7.74% State Government of Maharashtra 01-Mar-2033</t>
  </si>
  <si>
    <t>IN2220220189</t>
  </si>
  <si>
    <t>1904724</t>
  </si>
  <si>
    <t>7.71% State Government of Gujarat 08-Mar-2034</t>
  </si>
  <si>
    <t>IN1520220279</t>
  </si>
  <si>
    <t>1904804</t>
  </si>
  <si>
    <t>7.78% State Government of Rajasthan 29-Mar-2033</t>
  </si>
  <si>
    <t>IN2920220349</t>
  </si>
  <si>
    <t>1904737</t>
  </si>
  <si>
    <t>7.70% State Government of Maharashtra 08-Mar-2033</t>
  </si>
  <si>
    <t>IN2220220205</t>
  </si>
  <si>
    <t>1904711</t>
  </si>
  <si>
    <t>7.65% State Government of Tamil Nadu 25-Jan-2033</t>
  </si>
  <si>
    <t>IN3120220279</t>
  </si>
  <si>
    <t>1904677</t>
  </si>
  <si>
    <t>7.64% State Government of Maharashtra 25-Jan-2033</t>
  </si>
  <si>
    <t>IN2220220163</t>
  </si>
  <si>
    <t>1902100</t>
  </si>
  <si>
    <t>7.18% State Government of Karnataka 05-Jan-2033</t>
  </si>
  <si>
    <t>IN1920210227</t>
  </si>
  <si>
    <t>1904742</t>
  </si>
  <si>
    <t>7.68% State Government of Gujarat 15-Mar-2033</t>
  </si>
  <si>
    <t>IN1520220287</t>
  </si>
  <si>
    <t>1904598</t>
  </si>
  <si>
    <t>7.85% State Government of Bihar 27-Oct-2032</t>
  </si>
  <si>
    <t>IN1320220107</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</si>
  <si>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</si>
  <si>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</si>
  <si>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</si>
  <si>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</si>
  <si>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</si>
  <si>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</si>
  <si>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</si>
  <si>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</si>
  <si>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</si>
  <si>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</si>
  <si>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</si>
  <si>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</si>
  <si>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</si>
  <si>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</si>
  <si>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</si>
  <si>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</si>
  <si>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</si>
  <si>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</si>
  <si>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</si>
  <si>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</si>
  <si>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</si>
  <si>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</si>
  <si>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</si>
  <si>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</si>
  <si>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</si>
  <si>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</si>
  <si>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</si>
  <si>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</si>
  <si>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</si>
  <si>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</si>
  <si>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</si>
  <si>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</si>
  <si>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Regular Plan - IDCW Option</t>
  </si>
  <si>
    <t>Regular Plan - Growth Option</t>
  </si>
  <si>
    <t>Direct Plan - IDCW Option</t>
  </si>
  <si>
    <t>Direct Plan - Growth Option</t>
  </si>
  <si>
    <t>(8) No Dividend declared during the Month ended March 31, 2023</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</si>
  <si>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</si>
  <si>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</si>
  <si>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3368 days.</t>
  </si>
  <si>
    <t>(12)  Details of repo transaction in corporate debt securities for the Month ended March 31, 2023 is Nil.</t>
  </si>
  <si>
    <t>(13)  Investments in debt instruments having structured obligations or credit enhancement features as at March 31, 2023 is Rs. Nil.</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</si>
  <si>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</si>
  <si>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</si>
  <si>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</si>
  <si>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</si>
  <si>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</si>
  <si>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</si>
  <si>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</si>
  <si>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Macaulay Duration of the portfolio has been 2,434 days.</t>
  </si>
  <si>
    <t>(18) Annualised Portfolio YTM has been 7.6019.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</si>
  <si>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</si>
  <si>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</si>
  <si>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</si>
  <si>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</si>
  <si>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</si>
  <si>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</si>
  <si>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</si>
  <si>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</si>
  <si>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</si>
  <si>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</si>
  <si>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</si>
  <si>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</si>
  <si>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</si>
  <si>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</si>
  <si>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GILT FUND
(An open-ended debt scheme investing in government securities across maturity. A Relatively High Interest Rate Risk and Low Credit Risk)</t>
  </si>
  <si>
    <t>HALF YEARLY PORTFOLIO STATEMENT AS ON MARCH 31, 2023
(Pursuant to the provisions of Regulation 59A of the Securities and Exchange Board of India (Mutual Funds) Regulations, 1996)</t>
  </si>
  <si>
    <t>As on September 30, 2022</t>
  </si>
  <si>
    <t>(8) No Dividend declared during the Half Year ended March 31, 2023</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</si>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</sst>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
      <patternFill patternType="solid">
        <fgColor rgb="FFCCFFFF"/>
        <bgColor indexed="64"/>
      </patternFill>
    </fill>
    <fill>
      <patternFill patternType="solid">
        <fgColor rgb="FFCCFFCC"/>
        <bgColor indexed="64"/>
      </patternFill>
    </fill>
  </fills>
  <borders count="35">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9" fillId="6" borderId="26" xfId="0" applyFont="1" applyFill="1" applyBorder="1" applyAlignment="1">
      <alignment horizontal="center" wrapText="1"/>
    </xf>
    <xf numFmtId="0" fontId="19" fillId="6" borderId="27" xfId="0" applyFont="1" applyFill="1" applyBorder="1" applyAlignment="1">
      <alignment horizontal="center" wrapText="1"/>
    </xf>
    <xf numFmtId="0" fontId="19" fillId="6" borderId="28" xfId="0" applyFont="1" applyFill="1" applyBorder="1" applyAlignment="1">
      <alignment horizontal="center" wrapText="1"/>
    </xf>
    <xf numFmtId="0" fontId="19" fillId="6" borderId="29" xfId="0" applyFont="1" applyFill="1" applyBorder="1" applyAlignment="1">
      <alignment horizontal="center" wrapText="1"/>
    </xf>
    <xf numFmtId="0" fontId="19" fillId="6" borderId="30" xfId="0" applyFont="1" applyFill="1" applyBorder="1" applyAlignment="1">
      <alignment horizontal="center" wrapText="1"/>
    </xf>
    <xf numFmtId="0" fontId="19" fillId="6" borderId="31" xfId="0" applyFont="1" applyFill="1" applyBorder="1" applyAlignment="1">
      <alignment horizontal="center" wrapText="1"/>
    </xf>
    <xf numFmtId="0" fontId="19" fillId="7" borderId="32" xfId="0" applyFont="1" applyFill="1" applyBorder="1" applyAlignment="1">
      <alignment horizontal="center" wrapText="1"/>
    </xf>
    <xf numFmtId="0" fontId="19" fillId="7" borderId="33" xfId="0" applyFont="1" applyFill="1" applyBorder="1" applyAlignment="1">
      <alignment horizontal="center" wrapText="1"/>
    </xf>
    <xf numFmtId="0" fontId="19" fillId="7" borderId="34"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107</xdr:row>
      <xdr:rowOff>0</xdr:rowOff>
    </xdr:from>
    <xdr:to>
      <xdr:col>5</xdr:col>
      <xdr:colOff>703241</xdr:colOff>
      <xdr:row>126</xdr:row>
      <xdr:rowOff>141563</xdr:rowOff>
    </xdr:to>
    <xdr:pic>
      <xdr:nvPicPr>
        <xdr:cNvPr id="2" name="Picture 1" descr="Gilt Fund.jpg"/>
        <xdr:cNvPicPr>
          <a:picLocks noChangeAspect="1"/>
        </xdr:cNvPicPr>
      </xdr:nvPicPr>
      <xdr:blipFill>
        <a:blip xmlns:r="http://schemas.openxmlformats.org/officeDocument/2006/relationships" r:embed="rId1"/>
        <a:stretch>
          <a:fillRect/>
        </a:stretch>
      </xdr:blipFill>
      <xdr:spPr>
        <a:xfrm>
          <a:off x="169333" y="18478500"/>
          <a:ext cx="7455408" cy="33588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109</xdr:row>
      <xdr:rowOff>0</xdr:rowOff>
    </xdr:from>
    <xdr:to>
      <xdr:col>5</xdr:col>
      <xdr:colOff>703241</xdr:colOff>
      <xdr:row>128</xdr:row>
      <xdr:rowOff>141563</xdr:rowOff>
    </xdr:to>
    <xdr:pic>
      <xdr:nvPicPr>
        <xdr:cNvPr id="2" name="Picture 1" descr="Gilt Fund.jpg"/>
        <xdr:cNvPicPr>
          <a:picLocks noChangeAspect="1"/>
        </xdr:cNvPicPr>
      </xdr:nvPicPr>
      <xdr:blipFill>
        <a:blip xmlns:r="http://schemas.openxmlformats.org/officeDocument/2006/relationships" r:embed="rId1"/>
        <a:stretch>
          <a:fillRect/>
        </a:stretch>
      </xdr:blipFill>
      <xdr:spPr>
        <a:xfrm>
          <a:off x="175260" y="19057620"/>
          <a:ext cx="7652681" cy="347150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B138"/>
  <sheetViews>
    <sheetView showGridLines="0" tabSelected="1" zoomScale="90" zoomScaleNormal="90" workbookViewId="0">
      <pane ySplit="6" topLeftCell="A7" activePane="bottomLeft" state="frozen"/>
      <selection activeCell="I2" sqref="I2"/>
      <selection pane="bottomLeft" activeCell="A7" sqref="A7"/>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C8" s="28" t="s">
        <v>14</v>
      </c>
      <c r="D8" s="29"/>
      <c r="E8" s="30"/>
      <c r="F8" s="31"/>
      <c r="G8" s="32"/>
      <c r="H8" s="32"/>
      <c r="I8" s="33"/>
      <c r="J8" s="33"/>
      <c r="K8" s="34"/>
    </row>
    <row r="9" spans="1:54">
      <c r="C9" s="21"/>
      <c r="D9" s="29"/>
      <c r="E9" s="30"/>
      <c r="F9" s="31"/>
      <c r="G9" s="32"/>
      <c r="H9" s="32"/>
      <c r="I9" s="33"/>
      <c r="J9" s="33"/>
      <c r="K9" s="34"/>
    </row>
    <row r="10" spans="1:54">
      <c r="C10" s="28" t="s">
        <v>15</v>
      </c>
      <c r="D10" s="29"/>
      <c r="E10" s="30"/>
      <c r="F10" s="31"/>
      <c r="G10" s="32" t="s">
        <v>16</v>
      </c>
      <c r="H10" s="32" t="s">
        <v>16</v>
      </c>
      <c r="I10" s="33"/>
      <c r="J10" s="33"/>
      <c r="K10" s="34"/>
    </row>
    <row r="11" spans="1:54">
      <c r="C11" s="21"/>
      <c r="D11" s="29"/>
      <c r="E11" s="30"/>
      <c r="F11" s="31"/>
      <c r="G11" s="32"/>
      <c r="H11" s="32"/>
      <c r="I11" s="33"/>
      <c r="J11" s="33"/>
      <c r="K11" s="34"/>
    </row>
    <row r="12" spans="1:54">
      <c r="C12" s="28" t="s">
        <v>17</v>
      </c>
      <c r="D12" s="29"/>
      <c r="E12" s="30"/>
      <c r="F12" s="31"/>
      <c r="G12" s="32" t="s">
        <v>16</v>
      </c>
      <c r="H12" s="32" t="s">
        <v>16</v>
      </c>
      <c r="I12" s="33"/>
      <c r="J12" s="33"/>
      <c r="K12" s="34"/>
    </row>
    <row r="13" spans="1:54">
      <c r="C13" s="21"/>
      <c r="D13" s="29"/>
      <c r="E13" s="30"/>
      <c r="F13" s="31"/>
      <c r="G13" s="32"/>
      <c r="H13" s="32"/>
      <c r="I13" s="33"/>
      <c r="J13" s="33"/>
      <c r="K13" s="34"/>
    </row>
    <row r="14" spans="1:54">
      <c r="C14" s="28" t="s">
        <v>18</v>
      </c>
      <c r="D14" s="29"/>
      <c r="E14" s="30"/>
      <c r="F14" s="31"/>
      <c r="G14" s="32" t="s">
        <v>16</v>
      </c>
      <c r="H14" s="32" t="s">
        <v>16</v>
      </c>
      <c r="I14" s="33"/>
      <c r="J14" s="33"/>
      <c r="K14" s="34"/>
    </row>
    <row r="15" spans="1:54">
      <c r="C15" s="21"/>
      <c r="D15" s="29"/>
      <c r="E15" s="30"/>
      <c r="F15" s="31"/>
      <c r="G15" s="32"/>
      <c r="H15" s="32"/>
      <c r="I15" s="33"/>
      <c r="J15" s="33"/>
      <c r="K15" s="34"/>
    </row>
    <row r="16" spans="1:54">
      <c r="A16" s="35"/>
      <c r="B16" s="36"/>
      <c r="C16" s="28" t="s">
        <v>19</v>
      </c>
      <c r="D16" s="29"/>
      <c r="E16" s="30"/>
      <c r="F16" s="31"/>
      <c r="G16" s="32"/>
      <c r="H16" s="32"/>
      <c r="I16" s="33"/>
      <c r="J16" s="33"/>
      <c r="K16" s="34"/>
    </row>
    <row r="17" spans="1:11">
      <c r="A17" s="36"/>
      <c r="B17" s="36"/>
      <c r="C17" s="28" t="s">
        <v>20</v>
      </c>
      <c r="D17" s="29"/>
      <c r="E17" s="30"/>
      <c r="F17" s="31"/>
      <c r="G17" s="32" t="s">
        <v>16</v>
      </c>
      <c r="H17" s="32" t="s">
        <v>16</v>
      </c>
      <c r="I17" s="33"/>
      <c r="J17" s="33"/>
      <c r="K17" s="34"/>
    </row>
    <row r="18" spans="1:11">
      <c r="A18" s="36"/>
      <c r="B18" s="36"/>
      <c r="C18" s="28"/>
      <c r="D18" s="29"/>
      <c r="E18" s="30"/>
      <c r="F18" s="31"/>
      <c r="G18" s="32"/>
      <c r="H18" s="32"/>
      <c r="I18" s="33"/>
      <c r="J18" s="33"/>
      <c r="K18" s="34"/>
    </row>
    <row r="19" spans="1:11">
      <c r="A19" s="36"/>
      <c r="B19" s="36"/>
      <c r="C19" s="28" t="s">
        <v>21</v>
      </c>
      <c r="D19" s="29"/>
      <c r="E19" s="30"/>
      <c r="F19" s="31"/>
      <c r="G19" s="32" t="s">
        <v>16</v>
      </c>
      <c r="H19" s="32" t="s">
        <v>16</v>
      </c>
      <c r="I19" s="33"/>
      <c r="J19" s="33"/>
      <c r="K19" s="34"/>
    </row>
    <row r="20" spans="1:11">
      <c r="A20" s="36"/>
      <c r="B20" s="36"/>
      <c r="C20" s="28"/>
      <c r="D20" s="29"/>
      <c r="E20" s="30"/>
      <c r="F20" s="31"/>
      <c r="G20" s="32"/>
      <c r="H20" s="32"/>
      <c r="I20" s="33"/>
      <c r="J20" s="33"/>
      <c r="K20" s="34"/>
    </row>
    <row r="21" spans="1:11">
      <c r="A21" s="36"/>
      <c r="B21" s="36"/>
      <c r="C21" s="28" t="s">
        <v>22</v>
      </c>
      <c r="D21" s="29"/>
      <c r="E21" s="30"/>
      <c r="F21" s="31"/>
      <c r="G21" s="32" t="s">
        <v>16</v>
      </c>
      <c r="H21" s="32" t="s">
        <v>16</v>
      </c>
      <c r="I21" s="33"/>
      <c r="J21" s="33"/>
      <c r="K21" s="34"/>
    </row>
    <row r="22" spans="1:11">
      <c r="A22" s="36"/>
      <c r="B22" s="36"/>
      <c r="C22" s="28"/>
      <c r="D22" s="29"/>
      <c r="E22" s="30"/>
      <c r="F22" s="31"/>
      <c r="G22" s="32"/>
      <c r="H22" s="32"/>
      <c r="I22" s="33"/>
      <c r="J22" s="33"/>
      <c r="K22" s="34"/>
    </row>
    <row r="23" spans="1:11">
      <c r="C23" s="37" t="s">
        <v>23</v>
      </c>
      <c r="D23" s="29"/>
      <c r="E23" s="30"/>
      <c r="F23" s="31"/>
      <c r="G23" s="32"/>
      <c r="H23" s="32"/>
      <c r="I23" s="33"/>
      <c r="J23" s="33"/>
      <c r="K23" s="34"/>
    </row>
    <row r="24" spans="1:11">
      <c r="B24" s="1" t="s">
        <v>24</v>
      </c>
      <c r="C24" s="21" t="s">
        <v>25</v>
      </c>
      <c r="D24" s="29" t="s">
        <v>26</v>
      </c>
      <c r="E24" s="30" t="s">
        <v>27</v>
      </c>
      <c r="F24" s="31">
        <v>25600000</v>
      </c>
      <c r="G24" s="32">
        <v>25503.41</v>
      </c>
      <c r="H24" s="32">
        <v>45.86</v>
      </c>
      <c r="I24" s="33">
        <v>7.4491791999999997</v>
      </c>
      <c r="J24" s="33"/>
      <c r="K24" s="34"/>
    </row>
    <row r="25" spans="1:11">
      <c r="B25" s="1" t="s">
        <v>28</v>
      </c>
      <c r="C25" s="21" t="s">
        <v>29</v>
      </c>
      <c r="D25" s="29" t="s">
        <v>30</v>
      </c>
      <c r="E25" s="30" t="s">
        <v>27</v>
      </c>
      <c r="F25" s="31">
        <v>5900</v>
      </c>
      <c r="G25" s="32">
        <v>6.08</v>
      </c>
      <c r="H25" s="32">
        <v>0.01</v>
      </c>
      <c r="I25" s="33">
        <v>7.4306527999999998</v>
      </c>
      <c r="J25" s="33"/>
      <c r="K25" s="34"/>
    </row>
    <row r="26" spans="1:11">
      <c r="C26" s="28" t="s">
        <v>31</v>
      </c>
      <c r="D26" s="29"/>
      <c r="E26" s="30"/>
      <c r="F26" s="31"/>
      <c r="G26" s="38">
        <v>25509.49</v>
      </c>
      <c r="H26" s="38">
        <v>45.87</v>
      </c>
      <c r="I26" s="33"/>
      <c r="J26" s="33"/>
      <c r="K26" s="34"/>
    </row>
    <row r="27" spans="1:11">
      <c r="C27" s="21"/>
      <c r="D27" s="29"/>
      <c r="E27" s="30"/>
      <c r="F27" s="31"/>
      <c r="G27" s="32"/>
      <c r="H27" s="32"/>
      <c r="I27" s="33"/>
      <c r="J27" s="33"/>
      <c r="K27" s="34"/>
    </row>
    <row r="28" spans="1:11">
      <c r="C28" s="37" t="s">
        <v>32</v>
      </c>
      <c r="D28" s="29"/>
      <c r="E28" s="30"/>
      <c r="F28" s="31"/>
      <c r="G28" s="32"/>
      <c r="H28" s="32"/>
      <c r="I28" s="33"/>
      <c r="J28" s="33"/>
      <c r="K28" s="34"/>
    </row>
    <row r="29" spans="1:11">
      <c r="B29" s="1" t="s">
        <v>33</v>
      </c>
      <c r="C29" s="21" t="s">
        <v>34</v>
      </c>
      <c r="D29" s="29" t="s">
        <v>35</v>
      </c>
      <c r="E29" s="30" t="s">
        <v>27</v>
      </c>
      <c r="F29" s="31">
        <v>6500000</v>
      </c>
      <c r="G29" s="32">
        <v>6535</v>
      </c>
      <c r="H29" s="32">
        <v>11.75</v>
      </c>
      <c r="I29" s="33">
        <v>7.8396027999999998</v>
      </c>
      <c r="J29" s="33"/>
      <c r="K29" s="34"/>
    </row>
    <row r="30" spans="1:11">
      <c r="B30" s="1" t="s">
        <v>36</v>
      </c>
      <c r="C30" s="21" t="s">
        <v>37</v>
      </c>
      <c r="D30" s="29" t="s">
        <v>38</v>
      </c>
      <c r="E30" s="30" t="s">
        <v>27</v>
      </c>
      <c r="F30" s="31">
        <v>5500000</v>
      </c>
      <c r="G30" s="32">
        <v>5540.19</v>
      </c>
      <c r="H30" s="32">
        <v>9.9600000000000009</v>
      </c>
      <c r="I30" s="33">
        <v>7.7999286000000003</v>
      </c>
      <c r="J30" s="33"/>
      <c r="K30" s="34"/>
    </row>
    <row r="31" spans="1:11">
      <c r="B31" s="1" t="s">
        <v>39</v>
      </c>
      <c r="C31" s="21" t="s">
        <v>40</v>
      </c>
      <c r="D31" s="29" t="s">
        <v>41</v>
      </c>
      <c r="E31" s="30" t="s">
        <v>27</v>
      </c>
      <c r="F31" s="31">
        <v>4400000</v>
      </c>
      <c r="G31" s="32">
        <v>4181.6099999999997</v>
      </c>
      <c r="H31" s="32">
        <v>7.52</v>
      </c>
      <c r="I31" s="33">
        <v>7.7506705</v>
      </c>
      <c r="J31" s="33"/>
      <c r="K31" s="34"/>
    </row>
    <row r="32" spans="1:11">
      <c r="B32" s="1" t="s">
        <v>42</v>
      </c>
      <c r="C32" s="21" t="s">
        <v>43</v>
      </c>
      <c r="D32" s="29" t="s">
        <v>44</v>
      </c>
      <c r="E32" s="30" t="s">
        <v>27</v>
      </c>
      <c r="F32" s="31">
        <v>2500000</v>
      </c>
      <c r="G32" s="32">
        <v>2518.77</v>
      </c>
      <c r="H32" s="32">
        <v>4.53</v>
      </c>
      <c r="I32" s="33">
        <v>7.8283953000000004</v>
      </c>
      <c r="J32" s="33"/>
      <c r="K32" s="34"/>
    </row>
    <row r="33" spans="2:11">
      <c r="B33" s="1" t="s">
        <v>45</v>
      </c>
      <c r="C33" s="21" t="s">
        <v>46</v>
      </c>
      <c r="D33" s="29" t="s">
        <v>47</v>
      </c>
      <c r="E33" s="30" t="s">
        <v>27</v>
      </c>
      <c r="F33" s="31">
        <v>1500000</v>
      </c>
      <c r="G33" s="32">
        <v>1512.61</v>
      </c>
      <c r="H33" s="32">
        <v>2.72</v>
      </c>
      <c r="I33" s="33">
        <v>7.7612081000000002</v>
      </c>
      <c r="J33" s="33"/>
      <c r="K33" s="34"/>
    </row>
    <row r="34" spans="2:11">
      <c r="B34" s="1" t="s">
        <v>48</v>
      </c>
      <c r="C34" s="21" t="s">
        <v>49</v>
      </c>
      <c r="D34" s="29" t="s">
        <v>50</v>
      </c>
      <c r="E34" s="30" t="s">
        <v>27</v>
      </c>
      <c r="F34" s="31">
        <v>1500000</v>
      </c>
      <c r="G34" s="32">
        <v>1507.07</v>
      </c>
      <c r="H34" s="32">
        <v>2.71</v>
      </c>
      <c r="I34" s="33">
        <v>7.7906447999999999</v>
      </c>
      <c r="J34" s="33"/>
      <c r="K34" s="34"/>
    </row>
    <row r="35" spans="2:11">
      <c r="B35" s="1" t="s">
        <v>51</v>
      </c>
      <c r="C35" s="21" t="s">
        <v>52</v>
      </c>
      <c r="D35" s="29" t="s">
        <v>53</v>
      </c>
      <c r="E35" s="30" t="s">
        <v>27</v>
      </c>
      <c r="F35" s="31">
        <v>1000000</v>
      </c>
      <c r="G35" s="32">
        <v>1006.85</v>
      </c>
      <c r="H35" s="32">
        <v>1.81</v>
      </c>
      <c r="I35" s="33">
        <v>7.8278857000000004</v>
      </c>
      <c r="J35" s="33"/>
      <c r="K35" s="34"/>
    </row>
    <row r="36" spans="2:11">
      <c r="B36" s="1" t="s">
        <v>54</v>
      </c>
      <c r="C36" s="21" t="s">
        <v>55</v>
      </c>
      <c r="D36" s="29" t="s">
        <v>56</v>
      </c>
      <c r="E36" s="30" t="s">
        <v>27</v>
      </c>
      <c r="F36" s="31">
        <v>1000000</v>
      </c>
      <c r="G36" s="32">
        <v>1005.51</v>
      </c>
      <c r="H36" s="32">
        <v>1.81</v>
      </c>
      <c r="I36" s="33">
        <v>7.7639075999999996</v>
      </c>
      <c r="J36" s="33"/>
      <c r="K36" s="34"/>
    </row>
    <row r="37" spans="2:11">
      <c r="B37" s="1" t="s">
        <v>57</v>
      </c>
      <c r="C37" s="21" t="s">
        <v>58</v>
      </c>
      <c r="D37" s="29" t="s">
        <v>59</v>
      </c>
      <c r="E37" s="30" t="s">
        <v>27</v>
      </c>
      <c r="F37" s="31">
        <v>1000000</v>
      </c>
      <c r="G37" s="32">
        <v>1002.06</v>
      </c>
      <c r="H37" s="32">
        <v>1.8</v>
      </c>
      <c r="I37" s="33">
        <v>7.7624931000000004</v>
      </c>
      <c r="J37" s="33"/>
      <c r="K37" s="34"/>
    </row>
    <row r="38" spans="2:11">
      <c r="B38" s="1" t="s">
        <v>60</v>
      </c>
      <c r="C38" s="21" t="s">
        <v>61</v>
      </c>
      <c r="D38" s="29" t="s">
        <v>62</v>
      </c>
      <c r="E38" s="30" t="s">
        <v>27</v>
      </c>
      <c r="F38" s="31">
        <v>1000000</v>
      </c>
      <c r="G38" s="32">
        <v>1000.44</v>
      </c>
      <c r="H38" s="32">
        <v>1.8</v>
      </c>
      <c r="I38" s="33">
        <v>7.7767939999999998</v>
      </c>
      <c r="J38" s="33"/>
      <c r="K38" s="34"/>
    </row>
    <row r="39" spans="2:11">
      <c r="B39" s="1" t="s">
        <v>63</v>
      </c>
      <c r="C39" s="21" t="s">
        <v>64</v>
      </c>
      <c r="D39" s="29" t="s">
        <v>65</v>
      </c>
      <c r="E39" s="30" t="s">
        <v>27</v>
      </c>
      <c r="F39" s="31">
        <v>500000</v>
      </c>
      <c r="G39" s="32">
        <v>484.18</v>
      </c>
      <c r="H39" s="32">
        <v>0.87</v>
      </c>
      <c r="I39" s="33">
        <v>7.7896663000000004</v>
      </c>
      <c r="J39" s="33"/>
      <c r="K39" s="34"/>
    </row>
    <row r="40" spans="2:11">
      <c r="B40" s="1" t="s">
        <v>66</v>
      </c>
      <c r="C40" s="21" t="s">
        <v>67</v>
      </c>
      <c r="D40" s="29" t="s">
        <v>68</v>
      </c>
      <c r="E40" s="30" t="s">
        <v>27</v>
      </c>
      <c r="F40" s="31">
        <v>400000</v>
      </c>
      <c r="G40" s="32">
        <v>401.53</v>
      </c>
      <c r="H40" s="32">
        <v>0.72</v>
      </c>
      <c r="I40" s="33">
        <v>7.7687733999999997</v>
      </c>
      <c r="J40" s="33"/>
      <c r="K40" s="34"/>
    </row>
    <row r="41" spans="2:11">
      <c r="B41" s="1" t="s">
        <v>69</v>
      </c>
      <c r="C41" s="21" t="s">
        <v>70</v>
      </c>
      <c r="D41" s="29" t="s">
        <v>71</v>
      </c>
      <c r="E41" s="30" t="s">
        <v>27</v>
      </c>
      <c r="F41" s="31">
        <v>300000</v>
      </c>
      <c r="G41" s="32">
        <v>303.31</v>
      </c>
      <c r="H41" s="32">
        <v>0.55000000000000004</v>
      </c>
      <c r="I41" s="33">
        <v>7.8312682000000002</v>
      </c>
      <c r="J41" s="33"/>
      <c r="K41" s="34"/>
    </row>
    <row r="42" spans="2:11">
      <c r="B42" s="1" t="s">
        <v>72</v>
      </c>
      <c r="C42" s="21" t="s">
        <v>73</v>
      </c>
      <c r="D42" s="29" t="s">
        <v>74</v>
      </c>
      <c r="E42" s="30" t="s">
        <v>27</v>
      </c>
      <c r="F42" s="31">
        <v>40800</v>
      </c>
      <c r="G42" s="32">
        <v>42.22</v>
      </c>
      <c r="H42" s="32">
        <v>0.08</v>
      </c>
      <c r="I42" s="33">
        <v>7.7912862000000001</v>
      </c>
      <c r="J42" s="33"/>
      <c r="K42" s="34"/>
    </row>
    <row r="43" spans="2:11">
      <c r="C43" s="28" t="s">
        <v>31</v>
      </c>
      <c r="D43" s="29"/>
      <c r="E43" s="30"/>
      <c r="F43" s="31"/>
      <c r="G43" s="38">
        <v>27041.35</v>
      </c>
      <c r="H43" s="38">
        <v>48.63</v>
      </c>
      <c r="I43" s="33"/>
      <c r="J43" s="33"/>
      <c r="K43" s="34"/>
    </row>
    <row r="44" spans="2:11">
      <c r="C44" s="21"/>
      <c r="D44" s="29"/>
      <c r="E44" s="30"/>
      <c r="F44" s="31"/>
      <c r="G44" s="32"/>
      <c r="H44" s="32"/>
      <c r="I44" s="33"/>
      <c r="J44" s="33"/>
      <c r="K44" s="34"/>
    </row>
    <row r="45" spans="2:11">
      <c r="C45" s="28" t="s">
        <v>75</v>
      </c>
      <c r="D45" s="29"/>
      <c r="E45" s="30"/>
      <c r="F45" s="31"/>
      <c r="G45" s="32"/>
      <c r="H45" s="32"/>
      <c r="I45" s="33"/>
      <c r="J45" s="33"/>
      <c r="K45" s="34"/>
    </row>
    <row r="46" spans="2:11">
      <c r="C46" s="21"/>
      <c r="D46" s="29"/>
      <c r="E46" s="30"/>
      <c r="F46" s="31"/>
      <c r="G46" s="32"/>
      <c r="H46" s="32"/>
      <c r="I46" s="33"/>
      <c r="J46" s="33"/>
      <c r="K46" s="34"/>
    </row>
    <row r="47" spans="2:11">
      <c r="C47" s="28" t="s">
        <v>76</v>
      </c>
      <c r="D47" s="29"/>
      <c r="E47" s="30"/>
      <c r="F47" s="31"/>
      <c r="G47" s="32" t="s">
        <v>16</v>
      </c>
      <c r="H47" s="32" t="s">
        <v>16</v>
      </c>
      <c r="I47" s="33"/>
      <c r="J47" s="33"/>
      <c r="K47" s="34"/>
    </row>
    <row r="48" spans="2:11">
      <c r="C48" s="21"/>
      <c r="D48" s="29"/>
      <c r="E48" s="30"/>
      <c r="F48" s="31"/>
      <c r="G48" s="32"/>
      <c r="H48" s="32"/>
      <c r="I48" s="33"/>
      <c r="J48" s="33"/>
      <c r="K48" s="34"/>
    </row>
    <row r="49" spans="1:11">
      <c r="C49" s="28" t="s">
        <v>77</v>
      </c>
      <c r="D49" s="29"/>
      <c r="E49" s="30"/>
      <c r="F49" s="31"/>
      <c r="G49" s="32" t="s">
        <v>16</v>
      </c>
      <c r="H49" s="32" t="s">
        <v>16</v>
      </c>
      <c r="I49" s="33"/>
      <c r="J49" s="33"/>
      <c r="K49" s="34"/>
    </row>
    <row r="50" spans="1:11">
      <c r="C50" s="21"/>
      <c r="D50" s="29"/>
      <c r="E50" s="30"/>
      <c r="F50" s="31"/>
      <c r="G50" s="32"/>
      <c r="H50" s="32"/>
      <c r="I50" s="33"/>
      <c r="J50" s="33"/>
      <c r="K50" s="34"/>
    </row>
    <row r="51" spans="1:11">
      <c r="C51" s="28" t="s">
        <v>78</v>
      </c>
      <c r="D51" s="29"/>
      <c r="E51" s="30"/>
      <c r="F51" s="31"/>
      <c r="G51" s="32" t="s">
        <v>16</v>
      </c>
      <c r="H51" s="32" t="s">
        <v>16</v>
      </c>
      <c r="I51" s="33"/>
      <c r="J51" s="33"/>
      <c r="K51" s="34"/>
    </row>
    <row r="52" spans="1:11">
      <c r="C52" s="21"/>
      <c r="D52" s="29"/>
      <c r="E52" s="30"/>
      <c r="F52" s="31"/>
      <c r="G52" s="32"/>
      <c r="H52" s="32"/>
      <c r="I52" s="33"/>
      <c r="J52" s="33"/>
      <c r="K52" s="34"/>
    </row>
    <row r="53" spans="1:11">
      <c r="C53" s="28" t="s">
        <v>79</v>
      </c>
      <c r="D53" s="29"/>
      <c r="E53" s="30"/>
      <c r="F53" s="31"/>
      <c r="G53" s="32" t="s">
        <v>16</v>
      </c>
      <c r="H53" s="32" t="s">
        <v>16</v>
      </c>
      <c r="I53" s="33"/>
      <c r="J53" s="33"/>
      <c r="K53" s="34"/>
    </row>
    <row r="54" spans="1:11">
      <c r="C54" s="21"/>
      <c r="D54" s="29"/>
      <c r="E54" s="30"/>
      <c r="F54" s="31"/>
      <c r="G54" s="32"/>
      <c r="H54" s="32"/>
      <c r="I54" s="33"/>
      <c r="J54" s="33"/>
      <c r="K54" s="34"/>
    </row>
    <row r="55" spans="1:11">
      <c r="A55" s="35"/>
      <c r="B55" s="36"/>
      <c r="C55" s="28" t="s">
        <v>80</v>
      </c>
      <c r="D55" s="29"/>
      <c r="E55" s="30"/>
      <c r="F55" s="31"/>
      <c r="G55" s="32"/>
      <c r="H55" s="32"/>
      <c r="I55" s="33"/>
      <c r="J55" s="33"/>
      <c r="K55" s="34"/>
    </row>
    <row r="56" spans="1:11">
      <c r="A56" s="36"/>
      <c r="B56" s="36"/>
      <c r="C56" s="28" t="s">
        <v>81</v>
      </c>
      <c r="D56" s="29"/>
      <c r="E56" s="30"/>
      <c r="F56" s="31"/>
      <c r="G56" s="32" t="s">
        <v>16</v>
      </c>
      <c r="H56" s="32" t="s">
        <v>16</v>
      </c>
      <c r="I56" s="33"/>
      <c r="J56" s="33"/>
      <c r="K56" s="34"/>
    </row>
    <row r="57" spans="1:11">
      <c r="A57" s="36"/>
      <c r="B57" s="36"/>
      <c r="C57" s="28"/>
      <c r="D57" s="29"/>
      <c r="E57" s="30"/>
      <c r="F57" s="31"/>
      <c r="G57" s="32"/>
      <c r="H57" s="32"/>
      <c r="I57" s="33"/>
      <c r="J57" s="33"/>
      <c r="K57" s="34"/>
    </row>
    <row r="58" spans="1:11">
      <c r="A58" s="36"/>
      <c r="B58" s="36"/>
      <c r="C58" s="28" t="s">
        <v>82</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83</v>
      </c>
      <c r="D60" s="29"/>
      <c r="E60" s="30"/>
      <c r="F60" s="31"/>
      <c r="G60" s="32" t="s">
        <v>16</v>
      </c>
      <c r="H60" s="32" t="s">
        <v>16</v>
      </c>
      <c r="I60" s="33"/>
      <c r="J60" s="33"/>
      <c r="K60" s="34"/>
    </row>
    <row r="61" spans="1:11">
      <c r="A61" s="36"/>
      <c r="B61" s="36"/>
      <c r="C61" s="28"/>
      <c r="D61" s="29"/>
      <c r="E61" s="30"/>
      <c r="F61" s="31"/>
      <c r="G61" s="32"/>
      <c r="H61" s="32"/>
      <c r="I61" s="33"/>
      <c r="J61" s="33"/>
      <c r="K61" s="34"/>
    </row>
    <row r="62" spans="1:11">
      <c r="A62" s="36"/>
      <c r="B62" s="36"/>
      <c r="C62" s="28" t="s">
        <v>84</v>
      </c>
      <c r="D62" s="29"/>
      <c r="E62" s="30"/>
      <c r="F62" s="31"/>
      <c r="G62" s="32" t="s">
        <v>16</v>
      </c>
      <c r="H62" s="32" t="s">
        <v>16</v>
      </c>
      <c r="I62" s="33"/>
      <c r="J62" s="33"/>
      <c r="K62" s="34"/>
    </row>
    <row r="63" spans="1:11">
      <c r="A63" s="36"/>
      <c r="B63" s="36"/>
      <c r="C63" s="28"/>
      <c r="D63" s="29"/>
      <c r="E63" s="30"/>
      <c r="F63" s="31"/>
      <c r="G63" s="32"/>
      <c r="H63" s="32"/>
      <c r="I63" s="33"/>
      <c r="J63" s="33"/>
      <c r="K63" s="34"/>
    </row>
    <row r="64" spans="1:11">
      <c r="C64" s="37" t="s">
        <v>85</v>
      </c>
      <c r="D64" s="29"/>
      <c r="E64" s="30"/>
      <c r="F64" s="31"/>
      <c r="G64" s="32"/>
      <c r="H64" s="32"/>
      <c r="I64" s="33"/>
      <c r="J64" s="33"/>
      <c r="K64" s="34"/>
    </row>
    <row r="65" spans="1:11">
      <c r="B65" s="1" t="s">
        <v>86</v>
      </c>
      <c r="C65" s="21" t="s">
        <v>87</v>
      </c>
      <c r="D65" s="29"/>
      <c r="E65" s="30"/>
      <c r="F65" s="31"/>
      <c r="G65" s="32">
        <v>15034.25</v>
      </c>
      <c r="H65" s="32">
        <v>27.04</v>
      </c>
      <c r="I65" s="33">
        <v>7.14</v>
      </c>
      <c r="J65" s="33"/>
      <c r="K65" s="34"/>
    </row>
    <row r="66" spans="1:11">
      <c r="C66" s="28" t="s">
        <v>31</v>
      </c>
      <c r="D66" s="29"/>
      <c r="E66" s="30"/>
      <c r="F66" s="31"/>
      <c r="G66" s="38">
        <v>15034.25</v>
      </c>
      <c r="H66" s="38">
        <v>27.04</v>
      </c>
      <c r="I66" s="33"/>
      <c r="J66" s="33"/>
      <c r="K66" s="34"/>
    </row>
    <row r="67" spans="1:11">
      <c r="C67" s="21"/>
      <c r="D67" s="29"/>
      <c r="E67" s="30"/>
      <c r="F67" s="31"/>
      <c r="G67" s="32"/>
      <c r="H67" s="32"/>
      <c r="I67" s="33"/>
      <c r="J67" s="33"/>
      <c r="K67" s="34"/>
    </row>
    <row r="68" spans="1:11">
      <c r="A68" s="35"/>
      <c r="B68" s="36"/>
      <c r="C68" s="28" t="s">
        <v>88</v>
      </c>
      <c r="D68" s="29"/>
      <c r="E68" s="30"/>
      <c r="F68" s="31"/>
      <c r="G68" s="32"/>
      <c r="H68" s="32"/>
      <c r="I68" s="33"/>
      <c r="J68" s="33"/>
      <c r="K68" s="34"/>
    </row>
    <row r="69" spans="1:11">
      <c r="B69" s="1"/>
      <c r="C69" s="21" t="s">
        <v>89</v>
      </c>
      <c r="D69" s="29"/>
      <c r="E69" s="30"/>
      <c r="F69" s="31"/>
      <c r="G69" s="32">
        <v>-11977.09</v>
      </c>
      <c r="H69" s="32">
        <v>-21.54</v>
      </c>
      <c r="I69" s="33"/>
      <c r="J69" s="33"/>
      <c r="K69" s="34"/>
    </row>
    <row r="70" spans="1:11">
      <c r="C70" s="28" t="s">
        <v>31</v>
      </c>
      <c r="D70" s="29"/>
      <c r="E70" s="30"/>
      <c r="F70" s="31"/>
      <c r="G70" s="38">
        <v>-11977.09</v>
      </c>
      <c r="H70" s="38">
        <v>-21.54</v>
      </c>
      <c r="I70" s="33"/>
      <c r="J70" s="33"/>
      <c r="K70" s="34"/>
    </row>
    <row r="71" spans="1:11">
      <c r="C71" s="21"/>
      <c r="D71" s="29"/>
      <c r="E71" s="30"/>
      <c r="F71" s="31"/>
      <c r="G71" s="32"/>
      <c r="H71" s="32"/>
      <c r="I71" s="33"/>
      <c r="J71" s="33"/>
      <c r="K71" s="34"/>
    </row>
    <row r="72" spans="1:11" ht="14.4" thickBot="1">
      <c r="C72" s="39" t="s">
        <v>90</v>
      </c>
      <c r="D72" s="40"/>
      <c r="E72" s="41"/>
      <c r="F72" s="42"/>
      <c r="G72" s="43">
        <v>55608</v>
      </c>
      <c r="H72" s="43">
        <f>SUMIFS(H:H,C:C,"Total")</f>
        <v>100</v>
      </c>
      <c r="I72" s="44"/>
      <c r="J72" s="44"/>
      <c r="K72" s="45"/>
    </row>
    <row r="75" spans="1:11">
      <c r="C75" s="11" t="s">
        <v>91</v>
      </c>
    </row>
    <row r="76" spans="1:11">
      <c r="C76" s="2" t="s">
        <v>92</v>
      </c>
    </row>
    <row r="77" spans="1:11">
      <c r="C77" s="46" t="s">
        <v>93</v>
      </c>
    </row>
    <row r="78" spans="1:11">
      <c r="C78" s="2" t="s">
        <v>94</v>
      </c>
    </row>
    <row r="79" spans="1:11">
      <c r="C79" s="2" t="s">
        <v>95</v>
      </c>
    </row>
    <row r="80" spans="1:11">
      <c r="C80" s="2" t="s">
        <v>96</v>
      </c>
      <c r="D80" s="47"/>
      <c r="E80" s="47"/>
      <c r="F80" s="47"/>
      <c r="G80" s="48"/>
      <c r="H80" s="48"/>
    </row>
    <row r="81" spans="3:54">
      <c r="C81" s="2" t="s">
        <v>97</v>
      </c>
    </row>
    <row r="82" spans="3:54">
      <c r="C82" s="2" t="s">
        <v>98</v>
      </c>
    </row>
    <row r="83" spans="3:54">
      <c r="C83" s="2" t="s">
        <v>99</v>
      </c>
    </row>
    <row r="84" spans="3:54">
      <c r="C84" s="2" t="s">
        <v>100</v>
      </c>
    </row>
    <row r="85" spans="3:54" s="11" customFormat="1">
      <c r="C85" s="11" t="s">
        <v>101</v>
      </c>
      <c r="E85" s="11" t="s">
        <v>102</v>
      </c>
      <c r="F85" s="49" t="s">
        <v>103</v>
      </c>
      <c r="G85" s="50"/>
      <c r="H85" s="50"/>
      <c r="I85" s="50"/>
      <c r="J85" s="50"/>
      <c r="K85" s="51"/>
      <c r="L85" s="51"/>
      <c r="AI85" s="51"/>
      <c r="AV85" s="51"/>
      <c r="AX85" s="51"/>
      <c r="BB85" s="51"/>
    </row>
    <row r="86" spans="3:54">
      <c r="C86" s="2" t="s">
        <v>104</v>
      </c>
      <c r="E86" s="52">
        <v>22.1798</v>
      </c>
      <c r="F86" s="53">
        <v>22.507000000000001</v>
      </c>
    </row>
    <row r="87" spans="3:54">
      <c r="C87" s="2" t="s">
        <v>105</v>
      </c>
      <c r="E87" s="52">
        <v>34.7639</v>
      </c>
      <c r="F87" s="53">
        <v>35.276699999999998</v>
      </c>
    </row>
    <row r="88" spans="3:54">
      <c r="C88" s="2" t="s">
        <v>106</v>
      </c>
      <c r="E88" s="52">
        <v>29.881499999999999</v>
      </c>
      <c r="F88" s="53">
        <v>30.330200000000001</v>
      </c>
    </row>
    <row r="89" spans="3:54">
      <c r="C89" s="2" t="s">
        <v>107</v>
      </c>
      <c r="E89" s="52">
        <v>37.868000000000002</v>
      </c>
      <c r="F89" s="53">
        <v>38.436599999999999</v>
      </c>
    </row>
    <row r="91" spans="3:54">
      <c r="C91" s="2" t="s">
        <v>108</v>
      </c>
    </row>
    <row r="93" spans="3:54">
      <c r="C93" s="2" t="s">
        <v>109</v>
      </c>
    </row>
    <row r="94" spans="3:54">
      <c r="C94" s="2" t="s">
        <v>110</v>
      </c>
    </row>
    <row r="95" spans="3:54">
      <c r="C95" s="2" t="s">
        <v>111</v>
      </c>
    </row>
    <row r="96" spans="3:54">
      <c r="C96" s="2" t="s">
        <v>112</v>
      </c>
    </row>
    <row r="97" spans="3:11">
      <c r="C97" s="2" t="s">
        <v>113</v>
      </c>
    </row>
    <row r="98" spans="3:11">
      <c r="C98" s="2" t="s">
        <v>114</v>
      </c>
    </row>
    <row r="99" spans="3:11">
      <c r="C99" s="2" t="s">
        <v>115</v>
      </c>
    </row>
    <row r="100" spans="3:11">
      <c r="C100" s="2" t="s">
        <v>116</v>
      </c>
    </row>
    <row r="101" spans="3:11">
      <c r="C101" s="2" t="s">
        <v>117</v>
      </c>
    </row>
    <row r="102" spans="3:11">
      <c r="C102" s="2" t="s">
        <v>118</v>
      </c>
    </row>
    <row r="103" spans="3:11">
      <c r="C103" s="2" t="s">
        <v>119</v>
      </c>
    </row>
    <row r="104" spans="3:11">
      <c r="C104" s="2" t="s">
        <v>120</v>
      </c>
    </row>
    <row r="105" spans="3:11">
      <c r="C105" s="2" t="s">
        <v>121</v>
      </c>
    </row>
    <row r="106" spans="3:11">
      <c r="C106" s="2" t="s">
        <v>122</v>
      </c>
    </row>
    <row r="107" spans="3:11" ht="14.4">
      <c r="C107" s="54"/>
      <c r="D107" s="54"/>
      <c r="E107" s="54"/>
      <c r="F107" s="54"/>
      <c r="G107" s="54"/>
      <c r="H107" s="54"/>
      <c r="I107" s="54"/>
      <c r="J107" s="54"/>
      <c r="K107" s="54"/>
    </row>
    <row r="128" ht="14.4" thickBot="1"/>
    <row r="129" spans="3:54" ht="14.4" thickBot="1">
      <c r="C129" s="65" t="s">
        <v>123</v>
      </c>
      <c r="D129" s="66"/>
      <c r="E129" s="66"/>
      <c r="F129" s="67"/>
      <c r="L129" s="2"/>
      <c r="AH129" s="10"/>
      <c r="AI129" s="2"/>
      <c r="AU129" s="10"/>
      <c r="AV129" s="2"/>
      <c r="AW129" s="10"/>
      <c r="AX129" s="2"/>
      <c r="BA129" s="10"/>
      <c r="BB129" s="2"/>
    </row>
    <row r="130" spans="3:54" ht="14.4" thickBot="1">
      <c r="C130" s="55" t="s">
        <v>124</v>
      </c>
      <c r="D130" s="68" t="s">
        <v>125</v>
      </c>
      <c r="E130" s="68" t="s">
        <v>126</v>
      </c>
      <c r="F130" s="68" t="s">
        <v>127</v>
      </c>
      <c r="L130" s="2"/>
      <c r="AH130" s="10"/>
      <c r="AI130" s="2"/>
      <c r="AU130" s="10"/>
      <c r="AV130" s="2"/>
      <c r="AW130" s="10"/>
      <c r="AX130" s="2"/>
      <c r="BA130" s="10"/>
      <c r="BB130" s="2"/>
    </row>
    <row r="131" spans="3:54" ht="14.4" thickBot="1">
      <c r="C131" s="55" t="s">
        <v>128</v>
      </c>
      <c r="D131" s="69"/>
      <c r="E131" s="69"/>
      <c r="F131" s="69"/>
      <c r="L131" s="2"/>
      <c r="AH131" s="10"/>
      <c r="AI131" s="2"/>
      <c r="AU131" s="10"/>
      <c r="AV131" s="2"/>
      <c r="AW131" s="10"/>
      <c r="AX131" s="2"/>
      <c r="BA131" s="10"/>
      <c r="BB131" s="2"/>
    </row>
    <row r="132" spans="3:54" ht="14.4" thickBot="1">
      <c r="C132" s="56" t="s">
        <v>129</v>
      </c>
      <c r="D132" s="57"/>
      <c r="E132" s="57"/>
      <c r="F132" s="57"/>
      <c r="L132" s="2"/>
      <c r="AH132" s="10"/>
      <c r="AI132" s="2"/>
      <c r="AU132" s="10"/>
      <c r="AV132" s="2"/>
      <c r="AW132" s="10"/>
      <c r="AX132" s="2"/>
      <c r="BA132" s="10"/>
      <c r="BB132" s="2"/>
    </row>
    <row r="133" spans="3:54">
      <c r="C133" s="58" t="s">
        <v>130</v>
      </c>
      <c r="D133" s="63"/>
      <c r="E133" s="63"/>
      <c r="F133" s="63"/>
      <c r="L133" s="2"/>
      <c r="AH133" s="10"/>
      <c r="AI133" s="2"/>
      <c r="AU133" s="10"/>
      <c r="AV133" s="2"/>
      <c r="AW133" s="10"/>
      <c r="AX133" s="2"/>
      <c r="BA133" s="10"/>
      <c r="BB133" s="2"/>
    </row>
    <row r="134" spans="3:54" ht="14.4" thickBot="1">
      <c r="C134" s="56" t="s">
        <v>131</v>
      </c>
      <c r="D134" s="64"/>
      <c r="E134" s="64"/>
      <c r="F134" s="64"/>
      <c r="L134" s="2"/>
      <c r="AH134" s="10"/>
      <c r="AI134" s="2"/>
      <c r="AU134" s="10"/>
      <c r="AV134" s="2"/>
      <c r="AW134" s="10"/>
      <c r="AX134" s="2"/>
      <c r="BA134" s="10"/>
      <c r="BB134" s="2"/>
    </row>
    <row r="135" spans="3:54">
      <c r="C135" s="58" t="s">
        <v>132</v>
      </c>
      <c r="D135" s="61" t="s">
        <v>133</v>
      </c>
      <c r="E135" s="63"/>
      <c r="F135" s="63"/>
      <c r="L135" s="2"/>
      <c r="AH135" s="10"/>
      <c r="AI135" s="2"/>
      <c r="AU135" s="10"/>
      <c r="AV135" s="2"/>
      <c r="AW135" s="10"/>
      <c r="AX135" s="2"/>
      <c r="BA135" s="10"/>
      <c r="BB135" s="2"/>
    </row>
    <row r="136" spans="3:54" ht="14.4" thickBot="1">
      <c r="C136" s="56" t="s">
        <v>134</v>
      </c>
      <c r="D136" s="62"/>
      <c r="E136" s="64"/>
      <c r="F136" s="64"/>
      <c r="L136" s="2"/>
      <c r="AH136" s="10"/>
      <c r="AI136" s="2"/>
      <c r="AU136" s="10"/>
      <c r="AV136" s="2"/>
      <c r="AW136" s="10"/>
      <c r="AX136" s="2"/>
      <c r="BA136" s="10"/>
      <c r="BB136" s="2"/>
    </row>
    <row r="137" spans="3:54">
      <c r="C137" s="59" t="s">
        <v>135</v>
      </c>
      <c r="D137" s="60"/>
      <c r="E137" s="60"/>
      <c r="F137" s="60"/>
      <c r="L137" s="2"/>
      <c r="AH137" s="10"/>
      <c r="AI137" s="2"/>
      <c r="AU137" s="10"/>
      <c r="AV137" s="2"/>
      <c r="AW137" s="10"/>
      <c r="AX137" s="2"/>
      <c r="BA137" s="10"/>
      <c r="BB137" s="2"/>
    </row>
    <row r="138" spans="3:54">
      <c r="C138" s="2" t="s">
        <v>136</v>
      </c>
      <c r="D138" s="60"/>
      <c r="E138" s="60"/>
      <c r="F138" s="60"/>
      <c r="L138" s="2"/>
      <c r="AH138" s="10"/>
      <c r="AI138" s="2"/>
      <c r="AU138" s="10"/>
      <c r="AV138" s="2"/>
      <c r="AW138" s="10"/>
      <c r="AX138" s="2"/>
      <c r="BA138" s="10"/>
      <c r="BB138" s="2"/>
    </row>
  </sheetData>
  <mergeCells count="10">
    <mergeCell ref="D135:D136"/>
    <mergeCell ref="E135:E136"/>
    <mergeCell ref="F135:F136"/>
    <mergeCell ref="C129:F129"/>
    <mergeCell ref="D130:D131"/>
    <mergeCell ref="E130:E131"/>
    <mergeCell ref="F130:F131"/>
    <mergeCell ref="D133:D134"/>
    <mergeCell ref="E133:E134"/>
    <mergeCell ref="F133:F134"/>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140"/>
  <sheetViews>
    <sheetView topLeftCell="A116" workbookViewId="0"/>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70" t="s">
        <v>137</v>
      </c>
      <c r="D2" s="71"/>
      <c r="E2" s="71"/>
      <c r="F2" s="71"/>
      <c r="G2" s="71"/>
      <c r="H2" s="71"/>
      <c r="I2" s="71"/>
      <c r="J2" s="71"/>
      <c r="K2" s="72"/>
      <c r="L2" s="2"/>
      <c r="M2" s="9"/>
      <c r="AH2" s="10"/>
      <c r="AI2" s="2"/>
      <c r="AU2" s="10"/>
      <c r="AV2" s="2"/>
      <c r="AW2" s="10"/>
      <c r="AX2" s="2"/>
      <c r="BA2" s="10"/>
      <c r="BB2" s="2"/>
    </row>
    <row r="3" spans="1:54" ht="14.4" thickBot="1">
      <c r="C3" s="73"/>
      <c r="D3" s="74"/>
      <c r="E3" s="74"/>
      <c r="F3" s="74"/>
      <c r="G3" s="74"/>
      <c r="H3" s="74"/>
      <c r="I3" s="74"/>
      <c r="J3" s="74"/>
      <c r="K3" s="75"/>
      <c r="L3" s="2"/>
      <c r="AH3" s="10"/>
      <c r="AI3" s="2"/>
      <c r="AU3" s="10"/>
      <c r="AV3" s="2"/>
      <c r="AW3" s="10"/>
      <c r="AX3" s="2"/>
      <c r="BA3" s="10"/>
      <c r="BB3" s="2"/>
    </row>
    <row r="4" spans="1:54" ht="14.4" thickBot="1">
      <c r="A4" s="1"/>
      <c r="C4" s="1"/>
      <c r="D4" s="1"/>
      <c r="E4" s="1"/>
      <c r="F4" s="3"/>
      <c r="G4" s="4"/>
      <c r="H4" s="4"/>
      <c r="I4" s="4"/>
      <c r="J4" s="4"/>
      <c r="K4" s="5"/>
      <c r="L4" s="2"/>
      <c r="AH4" s="5"/>
      <c r="AI4" s="2"/>
      <c r="AU4" s="5"/>
      <c r="AV4" s="2"/>
      <c r="AW4" s="5"/>
      <c r="AX4" s="2"/>
      <c r="BA4" s="5"/>
      <c r="BB4" s="2"/>
    </row>
    <row r="5" spans="1:54" ht="22.2" thickBot="1">
      <c r="C5" s="76" t="s">
        <v>138</v>
      </c>
      <c r="D5" s="77"/>
      <c r="E5" s="77"/>
      <c r="F5" s="77"/>
      <c r="G5" s="77"/>
      <c r="H5" s="77"/>
      <c r="I5" s="77"/>
      <c r="J5" s="77"/>
      <c r="K5" s="78"/>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C9" s="28" t="s">
        <v>14</v>
      </c>
      <c r="D9" s="29"/>
      <c r="E9" s="30"/>
      <c r="F9" s="31"/>
      <c r="G9" s="32"/>
      <c r="H9" s="32"/>
      <c r="I9" s="33"/>
      <c r="J9" s="33"/>
      <c r="K9" s="34"/>
    </row>
    <row r="10" spans="1:54">
      <c r="C10" s="21"/>
      <c r="D10" s="29"/>
      <c r="E10" s="30"/>
      <c r="F10" s="31"/>
      <c r="G10" s="32"/>
      <c r="H10" s="32"/>
      <c r="I10" s="33"/>
      <c r="J10" s="33"/>
      <c r="K10" s="34"/>
    </row>
    <row r="11" spans="1:54">
      <c r="C11" s="28" t="s">
        <v>15</v>
      </c>
      <c r="D11" s="29"/>
      <c r="E11" s="30"/>
      <c r="F11" s="31"/>
      <c r="G11" s="32" t="s">
        <v>16</v>
      </c>
      <c r="H11" s="32" t="s">
        <v>16</v>
      </c>
      <c r="I11" s="33"/>
      <c r="J11" s="33"/>
      <c r="K11" s="34"/>
    </row>
    <row r="12" spans="1:54">
      <c r="C12" s="21"/>
      <c r="D12" s="29"/>
      <c r="E12" s="30"/>
      <c r="F12" s="31"/>
      <c r="G12" s="32"/>
      <c r="H12" s="32"/>
      <c r="I12" s="33"/>
      <c r="J12" s="33"/>
      <c r="K12" s="34"/>
    </row>
    <row r="13" spans="1:54">
      <c r="C13" s="28" t="s">
        <v>17</v>
      </c>
      <c r="D13" s="29"/>
      <c r="E13" s="30"/>
      <c r="F13" s="31"/>
      <c r="G13" s="32" t="s">
        <v>16</v>
      </c>
      <c r="H13" s="32" t="s">
        <v>16</v>
      </c>
      <c r="I13" s="33"/>
      <c r="J13" s="33"/>
      <c r="K13" s="34"/>
    </row>
    <row r="14" spans="1:54">
      <c r="C14" s="21"/>
      <c r="D14" s="29"/>
      <c r="E14" s="30"/>
      <c r="F14" s="31"/>
      <c r="G14" s="32"/>
      <c r="H14" s="32"/>
      <c r="I14" s="33"/>
      <c r="J14" s="33"/>
      <c r="K14" s="34"/>
    </row>
    <row r="15" spans="1:54">
      <c r="C15" s="28" t="s">
        <v>18</v>
      </c>
      <c r="D15" s="29"/>
      <c r="E15" s="30"/>
      <c r="F15" s="31"/>
      <c r="G15" s="32" t="s">
        <v>16</v>
      </c>
      <c r="H15" s="32" t="s">
        <v>16</v>
      </c>
      <c r="I15" s="33"/>
      <c r="J15" s="33"/>
      <c r="K15" s="34"/>
    </row>
    <row r="16" spans="1:54">
      <c r="C16" s="21"/>
      <c r="D16" s="29"/>
      <c r="E16" s="30"/>
      <c r="F16" s="31"/>
      <c r="G16" s="32"/>
      <c r="H16" s="32"/>
      <c r="I16" s="33"/>
      <c r="J16" s="33"/>
      <c r="K16" s="34"/>
    </row>
    <row r="17" spans="1:11">
      <c r="A17" s="35"/>
      <c r="B17" s="36"/>
      <c r="C17" s="28" t="s">
        <v>19</v>
      </c>
      <c r="D17" s="29"/>
      <c r="E17" s="30"/>
      <c r="F17" s="31"/>
      <c r="G17" s="32"/>
      <c r="H17" s="32"/>
      <c r="I17" s="33"/>
      <c r="J17" s="33"/>
      <c r="K17" s="34"/>
    </row>
    <row r="18" spans="1:11">
      <c r="A18" s="36"/>
      <c r="B18" s="36"/>
      <c r="C18" s="28" t="s">
        <v>20</v>
      </c>
      <c r="D18" s="29"/>
      <c r="E18" s="30"/>
      <c r="F18" s="31"/>
      <c r="G18" s="32" t="s">
        <v>16</v>
      </c>
      <c r="H18" s="32" t="s">
        <v>16</v>
      </c>
      <c r="I18" s="33"/>
      <c r="J18" s="33"/>
      <c r="K18" s="34"/>
    </row>
    <row r="19" spans="1:11">
      <c r="A19" s="36"/>
      <c r="B19" s="36"/>
      <c r="C19" s="28"/>
      <c r="D19" s="29"/>
      <c r="E19" s="30"/>
      <c r="F19" s="31"/>
      <c r="G19" s="32"/>
      <c r="H19" s="32"/>
      <c r="I19" s="33"/>
      <c r="J19" s="33"/>
      <c r="K19" s="34"/>
    </row>
    <row r="20" spans="1:11">
      <c r="A20" s="36"/>
      <c r="B20" s="36"/>
      <c r="C20" s="28" t="s">
        <v>21</v>
      </c>
      <c r="D20" s="29"/>
      <c r="E20" s="30"/>
      <c r="F20" s="31"/>
      <c r="G20" s="32" t="s">
        <v>16</v>
      </c>
      <c r="H20" s="32" t="s">
        <v>16</v>
      </c>
      <c r="I20" s="33"/>
      <c r="J20" s="33"/>
      <c r="K20" s="34"/>
    </row>
    <row r="21" spans="1:11">
      <c r="A21" s="36"/>
      <c r="B21" s="36"/>
      <c r="C21" s="28"/>
      <c r="D21" s="29"/>
      <c r="E21" s="30"/>
      <c r="F21" s="31"/>
      <c r="G21" s="32"/>
      <c r="H21" s="32"/>
      <c r="I21" s="33"/>
      <c r="J21" s="33"/>
      <c r="K21" s="34"/>
    </row>
    <row r="22" spans="1:11">
      <c r="A22" s="36"/>
      <c r="B22" s="36"/>
      <c r="C22" s="28" t="s">
        <v>22</v>
      </c>
      <c r="D22" s="29"/>
      <c r="E22" s="30"/>
      <c r="F22" s="31"/>
      <c r="G22" s="32" t="s">
        <v>16</v>
      </c>
      <c r="H22" s="32" t="s">
        <v>16</v>
      </c>
      <c r="I22" s="33"/>
      <c r="J22" s="33"/>
      <c r="K22" s="34"/>
    </row>
    <row r="23" spans="1:11">
      <c r="A23" s="36"/>
      <c r="B23" s="36"/>
      <c r="C23" s="28"/>
      <c r="D23" s="29"/>
      <c r="E23" s="30"/>
      <c r="F23" s="31"/>
      <c r="G23" s="32"/>
      <c r="H23" s="32"/>
      <c r="I23" s="33"/>
      <c r="J23" s="33"/>
      <c r="K23" s="34"/>
    </row>
    <row r="24" spans="1:11">
      <c r="C24" s="37" t="s">
        <v>23</v>
      </c>
      <c r="D24" s="29"/>
      <c r="E24" s="30"/>
      <c r="F24" s="31"/>
      <c r="G24" s="32"/>
      <c r="H24" s="32"/>
      <c r="I24" s="33"/>
      <c r="J24" s="33"/>
      <c r="K24" s="34"/>
    </row>
    <row r="25" spans="1:11">
      <c r="B25" s="1" t="s">
        <v>24</v>
      </c>
      <c r="C25" s="21" t="s">
        <v>25</v>
      </c>
      <c r="D25" s="29" t="s">
        <v>26</v>
      </c>
      <c r="E25" s="30" t="s">
        <v>27</v>
      </c>
      <c r="F25" s="31">
        <v>25600000</v>
      </c>
      <c r="G25" s="32">
        <v>25503.41</v>
      </c>
      <c r="H25" s="32">
        <v>45.86</v>
      </c>
      <c r="I25" s="33">
        <v>7.4491791999999997</v>
      </c>
      <c r="J25" s="33"/>
      <c r="K25" s="34"/>
    </row>
    <row r="26" spans="1:11">
      <c r="B26" s="1" t="s">
        <v>28</v>
      </c>
      <c r="C26" s="21" t="s">
        <v>29</v>
      </c>
      <c r="D26" s="29" t="s">
        <v>30</v>
      </c>
      <c r="E26" s="30" t="s">
        <v>27</v>
      </c>
      <c r="F26" s="31">
        <v>5900</v>
      </c>
      <c r="G26" s="32">
        <v>6.08</v>
      </c>
      <c r="H26" s="32">
        <v>0.01</v>
      </c>
      <c r="I26" s="33">
        <v>7.4306527999999998</v>
      </c>
      <c r="J26" s="33"/>
      <c r="K26" s="34"/>
    </row>
    <row r="27" spans="1:11">
      <c r="C27" s="28" t="s">
        <v>31</v>
      </c>
      <c r="D27" s="29"/>
      <c r="E27" s="30"/>
      <c r="F27" s="31"/>
      <c r="G27" s="38">
        <v>25509.49</v>
      </c>
      <c r="H27" s="38">
        <v>45.87</v>
      </c>
      <c r="I27" s="33"/>
      <c r="J27" s="33"/>
      <c r="K27" s="34"/>
    </row>
    <row r="28" spans="1:11">
      <c r="C28" s="21"/>
      <c r="D28" s="29"/>
      <c r="E28" s="30"/>
      <c r="F28" s="31"/>
      <c r="G28" s="32"/>
      <c r="H28" s="32"/>
      <c r="I28" s="33"/>
      <c r="J28" s="33"/>
      <c r="K28" s="34"/>
    </row>
    <row r="29" spans="1:11">
      <c r="C29" s="37" t="s">
        <v>32</v>
      </c>
      <c r="D29" s="29"/>
      <c r="E29" s="30"/>
      <c r="F29" s="31"/>
      <c r="G29" s="32"/>
      <c r="H29" s="32"/>
      <c r="I29" s="33"/>
      <c r="J29" s="33"/>
      <c r="K29" s="34"/>
    </row>
    <row r="30" spans="1:11">
      <c r="B30" s="1" t="s">
        <v>33</v>
      </c>
      <c r="C30" s="21" t="s">
        <v>34</v>
      </c>
      <c r="D30" s="29" t="s">
        <v>35</v>
      </c>
      <c r="E30" s="30" t="s">
        <v>27</v>
      </c>
      <c r="F30" s="31">
        <v>6500000</v>
      </c>
      <c r="G30" s="32">
        <v>6535</v>
      </c>
      <c r="H30" s="32">
        <v>11.75</v>
      </c>
      <c r="I30" s="33">
        <v>7.8396027999999998</v>
      </c>
      <c r="J30" s="33"/>
      <c r="K30" s="34"/>
    </row>
    <row r="31" spans="1:11">
      <c r="B31" s="1" t="s">
        <v>36</v>
      </c>
      <c r="C31" s="21" t="s">
        <v>37</v>
      </c>
      <c r="D31" s="29" t="s">
        <v>38</v>
      </c>
      <c r="E31" s="30" t="s">
        <v>27</v>
      </c>
      <c r="F31" s="31">
        <v>5500000</v>
      </c>
      <c r="G31" s="32">
        <v>5540.19</v>
      </c>
      <c r="H31" s="32">
        <v>9.9600000000000009</v>
      </c>
      <c r="I31" s="33">
        <v>7.7999286000000003</v>
      </c>
      <c r="J31" s="33"/>
      <c r="K31" s="34"/>
    </row>
    <row r="32" spans="1:11">
      <c r="B32" s="1" t="s">
        <v>39</v>
      </c>
      <c r="C32" s="21" t="s">
        <v>40</v>
      </c>
      <c r="D32" s="29" t="s">
        <v>41</v>
      </c>
      <c r="E32" s="30" t="s">
        <v>27</v>
      </c>
      <c r="F32" s="31">
        <v>4400000</v>
      </c>
      <c r="G32" s="32">
        <v>4181.6099999999997</v>
      </c>
      <c r="H32" s="32">
        <v>7.52</v>
      </c>
      <c r="I32" s="33">
        <v>7.7506705</v>
      </c>
      <c r="J32" s="33"/>
      <c r="K32" s="34"/>
    </row>
    <row r="33" spans="2:11">
      <c r="B33" s="1" t="s">
        <v>42</v>
      </c>
      <c r="C33" s="21" t="s">
        <v>43</v>
      </c>
      <c r="D33" s="29" t="s">
        <v>44</v>
      </c>
      <c r="E33" s="30" t="s">
        <v>27</v>
      </c>
      <c r="F33" s="31">
        <v>2500000</v>
      </c>
      <c r="G33" s="32">
        <v>2518.77</v>
      </c>
      <c r="H33" s="32">
        <v>4.53</v>
      </c>
      <c r="I33" s="33">
        <v>7.8283953000000004</v>
      </c>
      <c r="J33" s="33"/>
      <c r="K33" s="34"/>
    </row>
    <row r="34" spans="2:11">
      <c r="B34" s="1" t="s">
        <v>45</v>
      </c>
      <c r="C34" s="21" t="s">
        <v>46</v>
      </c>
      <c r="D34" s="29" t="s">
        <v>47</v>
      </c>
      <c r="E34" s="30" t="s">
        <v>27</v>
      </c>
      <c r="F34" s="31">
        <v>1500000</v>
      </c>
      <c r="G34" s="32">
        <v>1512.61</v>
      </c>
      <c r="H34" s="32">
        <v>2.72</v>
      </c>
      <c r="I34" s="33">
        <v>7.7612081000000002</v>
      </c>
      <c r="J34" s="33"/>
      <c r="K34" s="34"/>
    </row>
    <row r="35" spans="2:11">
      <c r="B35" s="1" t="s">
        <v>48</v>
      </c>
      <c r="C35" s="21" t="s">
        <v>49</v>
      </c>
      <c r="D35" s="29" t="s">
        <v>50</v>
      </c>
      <c r="E35" s="30" t="s">
        <v>27</v>
      </c>
      <c r="F35" s="31">
        <v>1500000</v>
      </c>
      <c r="G35" s="32">
        <v>1507.07</v>
      </c>
      <c r="H35" s="32">
        <v>2.71</v>
      </c>
      <c r="I35" s="33">
        <v>7.7906447999999999</v>
      </c>
      <c r="J35" s="33"/>
      <c r="K35" s="34"/>
    </row>
    <row r="36" spans="2:11">
      <c r="B36" s="1" t="s">
        <v>51</v>
      </c>
      <c r="C36" s="21" t="s">
        <v>52</v>
      </c>
      <c r="D36" s="29" t="s">
        <v>53</v>
      </c>
      <c r="E36" s="30" t="s">
        <v>27</v>
      </c>
      <c r="F36" s="31">
        <v>1000000</v>
      </c>
      <c r="G36" s="32">
        <v>1006.85</v>
      </c>
      <c r="H36" s="32">
        <v>1.81</v>
      </c>
      <c r="I36" s="33">
        <v>7.8278857000000004</v>
      </c>
      <c r="J36" s="33"/>
      <c r="K36" s="34"/>
    </row>
    <row r="37" spans="2:11">
      <c r="B37" s="1" t="s">
        <v>54</v>
      </c>
      <c r="C37" s="21" t="s">
        <v>55</v>
      </c>
      <c r="D37" s="29" t="s">
        <v>56</v>
      </c>
      <c r="E37" s="30" t="s">
        <v>27</v>
      </c>
      <c r="F37" s="31">
        <v>1000000</v>
      </c>
      <c r="G37" s="32">
        <v>1005.51</v>
      </c>
      <c r="H37" s="32">
        <v>1.81</v>
      </c>
      <c r="I37" s="33">
        <v>7.7639075999999996</v>
      </c>
      <c r="J37" s="33"/>
      <c r="K37" s="34"/>
    </row>
    <row r="38" spans="2:11">
      <c r="B38" s="1" t="s">
        <v>57</v>
      </c>
      <c r="C38" s="21" t="s">
        <v>58</v>
      </c>
      <c r="D38" s="29" t="s">
        <v>59</v>
      </c>
      <c r="E38" s="30" t="s">
        <v>27</v>
      </c>
      <c r="F38" s="31">
        <v>1000000</v>
      </c>
      <c r="G38" s="32">
        <v>1002.06</v>
      </c>
      <c r="H38" s="32">
        <v>1.8</v>
      </c>
      <c r="I38" s="33">
        <v>7.7624931000000004</v>
      </c>
      <c r="J38" s="33"/>
      <c r="K38" s="34"/>
    </row>
    <row r="39" spans="2:11">
      <c r="B39" s="1" t="s">
        <v>60</v>
      </c>
      <c r="C39" s="21" t="s">
        <v>61</v>
      </c>
      <c r="D39" s="29" t="s">
        <v>62</v>
      </c>
      <c r="E39" s="30" t="s">
        <v>27</v>
      </c>
      <c r="F39" s="31">
        <v>1000000</v>
      </c>
      <c r="G39" s="32">
        <v>1000.44</v>
      </c>
      <c r="H39" s="32">
        <v>1.8</v>
      </c>
      <c r="I39" s="33">
        <v>7.7767939999999998</v>
      </c>
      <c r="J39" s="33"/>
      <c r="K39" s="34"/>
    </row>
    <row r="40" spans="2:11">
      <c r="B40" s="1" t="s">
        <v>63</v>
      </c>
      <c r="C40" s="21" t="s">
        <v>64</v>
      </c>
      <c r="D40" s="29" t="s">
        <v>65</v>
      </c>
      <c r="E40" s="30" t="s">
        <v>27</v>
      </c>
      <c r="F40" s="31">
        <v>500000</v>
      </c>
      <c r="G40" s="32">
        <v>484.18</v>
      </c>
      <c r="H40" s="32">
        <v>0.87</v>
      </c>
      <c r="I40" s="33">
        <v>7.7896663000000004</v>
      </c>
      <c r="J40" s="33"/>
      <c r="K40" s="34"/>
    </row>
    <row r="41" spans="2:11">
      <c r="B41" s="1" t="s">
        <v>66</v>
      </c>
      <c r="C41" s="21" t="s">
        <v>67</v>
      </c>
      <c r="D41" s="29" t="s">
        <v>68</v>
      </c>
      <c r="E41" s="30" t="s">
        <v>27</v>
      </c>
      <c r="F41" s="31">
        <v>400000</v>
      </c>
      <c r="G41" s="32">
        <v>401.53</v>
      </c>
      <c r="H41" s="32">
        <v>0.72</v>
      </c>
      <c r="I41" s="33">
        <v>7.7687733999999997</v>
      </c>
      <c r="J41" s="33"/>
      <c r="K41" s="34"/>
    </row>
    <row r="42" spans="2:11">
      <c r="B42" s="1" t="s">
        <v>69</v>
      </c>
      <c r="C42" s="21" t="s">
        <v>70</v>
      </c>
      <c r="D42" s="29" t="s">
        <v>71</v>
      </c>
      <c r="E42" s="30" t="s">
        <v>27</v>
      </c>
      <c r="F42" s="31">
        <v>300000</v>
      </c>
      <c r="G42" s="32">
        <v>303.31</v>
      </c>
      <c r="H42" s="32">
        <v>0.55000000000000004</v>
      </c>
      <c r="I42" s="33">
        <v>7.8312682000000002</v>
      </c>
      <c r="J42" s="33"/>
      <c r="K42" s="34"/>
    </row>
    <row r="43" spans="2:11">
      <c r="B43" s="1" t="s">
        <v>72</v>
      </c>
      <c r="C43" s="21" t="s">
        <v>73</v>
      </c>
      <c r="D43" s="29" t="s">
        <v>74</v>
      </c>
      <c r="E43" s="30" t="s">
        <v>27</v>
      </c>
      <c r="F43" s="31">
        <v>40800</v>
      </c>
      <c r="G43" s="32">
        <v>42.22</v>
      </c>
      <c r="H43" s="32">
        <v>0.08</v>
      </c>
      <c r="I43" s="33">
        <v>7.7912862000000001</v>
      </c>
      <c r="J43" s="33"/>
      <c r="K43" s="34"/>
    </row>
    <row r="44" spans="2:11">
      <c r="C44" s="28" t="s">
        <v>31</v>
      </c>
      <c r="D44" s="29"/>
      <c r="E44" s="30"/>
      <c r="F44" s="31"/>
      <c r="G44" s="38">
        <v>27041.35</v>
      </c>
      <c r="H44" s="38">
        <v>48.63</v>
      </c>
      <c r="I44" s="33"/>
      <c r="J44" s="33"/>
      <c r="K44" s="34"/>
    </row>
    <row r="45" spans="2:11">
      <c r="C45" s="21"/>
      <c r="D45" s="29"/>
      <c r="E45" s="30"/>
      <c r="F45" s="31"/>
      <c r="G45" s="32"/>
      <c r="H45" s="32"/>
      <c r="I45" s="33"/>
      <c r="J45" s="33"/>
      <c r="K45" s="34"/>
    </row>
    <row r="46" spans="2:11">
      <c r="C46" s="28" t="s">
        <v>75</v>
      </c>
      <c r="D46" s="29"/>
      <c r="E46" s="30"/>
      <c r="F46" s="31"/>
      <c r="G46" s="32"/>
      <c r="H46" s="32"/>
      <c r="I46" s="33"/>
      <c r="J46" s="33"/>
      <c r="K46" s="34"/>
    </row>
    <row r="47" spans="2:11">
      <c r="C47" s="21"/>
      <c r="D47" s="29"/>
      <c r="E47" s="30"/>
      <c r="F47" s="31"/>
      <c r="G47" s="32"/>
      <c r="H47" s="32"/>
      <c r="I47" s="33"/>
      <c r="J47" s="33"/>
      <c r="K47" s="34"/>
    </row>
    <row r="48" spans="2:11">
      <c r="C48" s="28" t="s">
        <v>76</v>
      </c>
      <c r="D48" s="29"/>
      <c r="E48" s="30"/>
      <c r="F48" s="31"/>
      <c r="G48" s="32" t="s">
        <v>16</v>
      </c>
      <c r="H48" s="32" t="s">
        <v>16</v>
      </c>
      <c r="I48" s="33"/>
      <c r="J48" s="33"/>
      <c r="K48" s="34"/>
    </row>
    <row r="49" spans="1:11">
      <c r="C49" s="21"/>
      <c r="D49" s="29"/>
      <c r="E49" s="30"/>
      <c r="F49" s="31"/>
      <c r="G49" s="32"/>
      <c r="H49" s="32"/>
      <c r="I49" s="33"/>
      <c r="J49" s="33"/>
      <c r="K49" s="34"/>
    </row>
    <row r="50" spans="1:11">
      <c r="C50" s="28" t="s">
        <v>77</v>
      </c>
      <c r="D50" s="29"/>
      <c r="E50" s="30"/>
      <c r="F50" s="31"/>
      <c r="G50" s="32" t="s">
        <v>16</v>
      </c>
      <c r="H50" s="32" t="s">
        <v>16</v>
      </c>
      <c r="I50" s="33"/>
      <c r="J50" s="33"/>
      <c r="K50" s="34"/>
    </row>
    <row r="51" spans="1:11">
      <c r="C51" s="21"/>
      <c r="D51" s="29"/>
      <c r="E51" s="30"/>
      <c r="F51" s="31"/>
      <c r="G51" s="32"/>
      <c r="H51" s="32"/>
      <c r="I51" s="33"/>
      <c r="J51" s="33"/>
      <c r="K51" s="34"/>
    </row>
    <row r="52" spans="1:11">
      <c r="C52" s="28" t="s">
        <v>78</v>
      </c>
      <c r="D52" s="29"/>
      <c r="E52" s="30"/>
      <c r="F52" s="31"/>
      <c r="G52" s="32" t="s">
        <v>16</v>
      </c>
      <c r="H52" s="32" t="s">
        <v>16</v>
      </c>
      <c r="I52" s="33"/>
      <c r="J52" s="33"/>
      <c r="K52" s="34"/>
    </row>
    <row r="53" spans="1:11">
      <c r="C53" s="21"/>
      <c r="D53" s="29"/>
      <c r="E53" s="30"/>
      <c r="F53" s="31"/>
      <c r="G53" s="32"/>
      <c r="H53" s="32"/>
      <c r="I53" s="33"/>
      <c r="J53" s="33"/>
      <c r="K53" s="34"/>
    </row>
    <row r="54" spans="1:11">
      <c r="C54" s="28" t="s">
        <v>79</v>
      </c>
      <c r="D54" s="29"/>
      <c r="E54" s="30"/>
      <c r="F54" s="31"/>
      <c r="G54" s="32" t="s">
        <v>16</v>
      </c>
      <c r="H54" s="32" t="s">
        <v>16</v>
      </c>
      <c r="I54" s="33"/>
      <c r="J54" s="33"/>
      <c r="K54" s="34"/>
    </row>
    <row r="55" spans="1:11">
      <c r="C55" s="21"/>
      <c r="D55" s="29"/>
      <c r="E55" s="30"/>
      <c r="F55" s="31"/>
      <c r="G55" s="32"/>
      <c r="H55" s="32"/>
      <c r="I55" s="33"/>
      <c r="J55" s="33"/>
      <c r="K55" s="34"/>
    </row>
    <row r="56" spans="1:11">
      <c r="A56" s="35"/>
      <c r="B56" s="36"/>
      <c r="C56" s="28" t="s">
        <v>80</v>
      </c>
      <c r="D56" s="29"/>
      <c r="E56" s="30"/>
      <c r="F56" s="31"/>
      <c r="G56" s="32"/>
      <c r="H56" s="32"/>
      <c r="I56" s="33"/>
      <c r="J56" s="33"/>
      <c r="K56" s="34"/>
    </row>
    <row r="57" spans="1:11">
      <c r="A57" s="36"/>
      <c r="B57" s="36"/>
      <c r="C57" s="28" t="s">
        <v>81</v>
      </c>
      <c r="D57" s="29"/>
      <c r="E57" s="30"/>
      <c r="F57" s="31"/>
      <c r="G57" s="32" t="s">
        <v>16</v>
      </c>
      <c r="H57" s="32" t="s">
        <v>16</v>
      </c>
      <c r="I57" s="33"/>
      <c r="J57" s="33"/>
      <c r="K57" s="34"/>
    </row>
    <row r="58" spans="1:11">
      <c r="A58" s="36"/>
      <c r="B58" s="36"/>
      <c r="C58" s="28"/>
      <c r="D58" s="29"/>
      <c r="E58" s="30"/>
      <c r="F58" s="31"/>
      <c r="G58" s="32"/>
      <c r="H58" s="32"/>
      <c r="I58" s="33"/>
      <c r="J58" s="33"/>
      <c r="K58" s="34"/>
    </row>
    <row r="59" spans="1:11">
      <c r="A59" s="36"/>
      <c r="B59" s="36"/>
      <c r="C59" s="28" t="s">
        <v>82</v>
      </c>
      <c r="D59" s="29"/>
      <c r="E59" s="30"/>
      <c r="F59" s="31"/>
      <c r="G59" s="32" t="s">
        <v>16</v>
      </c>
      <c r="H59" s="32" t="s">
        <v>16</v>
      </c>
      <c r="I59" s="33"/>
      <c r="J59" s="33"/>
      <c r="K59" s="34"/>
    </row>
    <row r="60" spans="1:11">
      <c r="A60" s="36"/>
      <c r="B60" s="36"/>
      <c r="C60" s="28"/>
      <c r="D60" s="29"/>
      <c r="E60" s="30"/>
      <c r="F60" s="31"/>
      <c r="G60" s="32"/>
      <c r="H60" s="32"/>
      <c r="I60" s="33"/>
      <c r="J60" s="33"/>
      <c r="K60" s="34"/>
    </row>
    <row r="61" spans="1:11">
      <c r="A61" s="36"/>
      <c r="B61" s="36"/>
      <c r="C61" s="28" t="s">
        <v>83</v>
      </c>
      <c r="D61" s="29"/>
      <c r="E61" s="30"/>
      <c r="F61" s="31"/>
      <c r="G61" s="32" t="s">
        <v>16</v>
      </c>
      <c r="H61" s="32" t="s">
        <v>16</v>
      </c>
      <c r="I61" s="33"/>
      <c r="J61" s="33"/>
      <c r="K61" s="34"/>
    </row>
    <row r="62" spans="1:11">
      <c r="A62" s="36"/>
      <c r="B62" s="36"/>
      <c r="C62" s="28"/>
      <c r="D62" s="29"/>
      <c r="E62" s="30"/>
      <c r="F62" s="31"/>
      <c r="G62" s="32"/>
      <c r="H62" s="32"/>
      <c r="I62" s="33"/>
      <c r="J62" s="33"/>
      <c r="K62" s="34"/>
    </row>
    <row r="63" spans="1:11">
      <c r="A63" s="36"/>
      <c r="B63" s="36"/>
      <c r="C63" s="28" t="s">
        <v>84</v>
      </c>
      <c r="D63" s="29"/>
      <c r="E63" s="30"/>
      <c r="F63" s="31"/>
      <c r="G63" s="32" t="s">
        <v>16</v>
      </c>
      <c r="H63" s="32" t="s">
        <v>16</v>
      </c>
      <c r="I63" s="33"/>
      <c r="J63" s="33"/>
      <c r="K63" s="34"/>
    </row>
    <row r="64" spans="1:11">
      <c r="A64" s="36"/>
      <c r="B64" s="36"/>
      <c r="C64" s="28"/>
      <c r="D64" s="29"/>
      <c r="E64" s="30"/>
      <c r="F64" s="31"/>
      <c r="G64" s="32"/>
      <c r="H64" s="32"/>
      <c r="I64" s="33"/>
      <c r="J64" s="33"/>
      <c r="K64" s="34"/>
    </row>
    <row r="65" spans="1:11">
      <c r="C65" s="37" t="s">
        <v>85</v>
      </c>
      <c r="D65" s="29"/>
      <c r="E65" s="30"/>
      <c r="F65" s="31"/>
      <c r="G65" s="32"/>
      <c r="H65" s="32"/>
      <c r="I65" s="33"/>
      <c r="J65" s="33"/>
      <c r="K65" s="34"/>
    </row>
    <row r="66" spans="1:11">
      <c r="B66" s="1" t="s">
        <v>86</v>
      </c>
      <c r="C66" s="21" t="s">
        <v>87</v>
      </c>
      <c r="D66" s="29"/>
      <c r="E66" s="30"/>
      <c r="F66" s="31"/>
      <c r="G66" s="32">
        <v>15034.25</v>
      </c>
      <c r="H66" s="32">
        <v>27.04</v>
      </c>
      <c r="I66" s="33">
        <v>7.14</v>
      </c>
      <c r="J66" s="33"/>
      <c r="K66" s="34"/>
    </row>
    <row r="67" spans="1:11">
      <c r="C67" s="28" t="s">
        <v>31</v>
      </c>
      <c r="D67" s="29"/>
      <c r="E67" s="30"/>
      <c r="F67" s="31"/>
      <c r="G67" s="38">
        <v>15034.25</v>
      </c>
      <c r="H67" s="38">
        <v>27.04</v>
      </c>
      <c r="I67" s="33"/>
      <c r="J67" s="33"/>
      <c r="K67" s="34"/>
    </row>
    <row r="68" spans="1:11">
      <c r="C68" s="21"/>
      <c r="D68" s="29"/>
      <c r="E68" s="30"/>
      <c r="F68" s="31"/>
      <c r="G68" s="32"/>
      <c r="H68" s="32"/>
      <c r="I68" s="33"/>
      <c r="J68" s="33"/>
      <c r="K68" s="34"/>
    </row>
    <row r="69" spans="1:11">
      <c r="A69" s="35"/>
      <c r="B69" s="36"/>
      <c r="C69" s="28" t="s">
        <v>88</v>
      </c>
      <c r="D69" s="29"/>
      <c r="E69" s="30"/>
      <c r="F69" s="31"/>
      <c r="G69" s="32"/>
      <c r="H69" s="32"/>
      <c r="I69" s="33"/>
      <c r="J69" s="33"/>
      <c r="K69" s="34"/>
    </row>
    <row r="70" spans="1:11">
      <c r="B70" s="1"/>
      <c r="C70" s="21" t="s">
        <v>89</v>
      </c>
      <c r="D70" s="29"/>
      <c r="E70" s="30"/>
      <c r="F70" s="31"/>
      <c r="G70" s="32">
        <v>-11977.09</v>
      </c>
      <c r="H70" s="32">
        <v>-21.54</v>
      </c>
      <c r="I70" s="33"/>
      <c r="J70" s="33"/>
      <c r="K70" s="34"/>
    </row>
    <row r="71" spans="1:11">
      <c r="C71" s="28" t="s">
        <v>31</v>
      </c>
      <c r="D71" s="29"/>
      <c r="E71" s="30"/>
      <c r="F71" s="31"/>
      <c r="G71" s="38">
        <v>-11977.09</v>
      </c>
      <c r="H71" s="38">
        <v>-21.54</v>
      </c>
      <c r="I71" s="33"/>
      <c r="J71" s="33"/>
      <c r="K71" s="34"/>
    </row>
    <row r="72" spans="1:11">
      <c r="C72" s="21"/>
      <c r="D72" s="29"/>
      <c r="E72" s="30"/>
      <c r="F72" s="31"/>
      <c r="G72" s="32"/>
      <c r="H72" s="32"/>
      <c r="I72" s="33"/>
      <c r="J72" s="33"/>
      <c r="K72" s="34"/>
    </row>
    <row r="73" spans="1:11" ht="14.4" thickBot="1">
      <c r="C73" s="39" t="s">
        <v>90</v>
      </c>
      <c r="D73" s="40"/>
      <c r="E73" s="41"/>
      <c r="F73" s="42"/>
      <c r="G73" s="43">
        <v>55608</v>
      </c>
      <c r="H73" s="43">
        <f>SUMIFS(H:H,C:C,"Total")</f>
        <v>100</v>
      </c>
      <c r="I73" s="44"/>
      <c r="J73" s="44"/>
      <c r="K73" s="45"/>
    </row>
    <row r="76" spans="1:11">
      <c r="C76" s="11" t="s">
        <v>91</v>
      </c>
    </row>
    <row r="77" spans="1:11">
      <c r="C77" s="2" t="s">
        <v>92</v>
      </c>
    </row>
    <row r="78" spans="1:11">
      <c r="C78" s="46" t="s">
        <v>93</v>
      </c>
    </row>
    <row r="79" spans="1:11">
      <c r="C79" s="2" t="s">
        <v>94</v>
      </c>
    </row>
    <row r="80" spans="1:11">
      <c r="C80" s="2" t="s">
        <v>95</v>
      </c>
    </row>
    <row r="81" spans="3:55">
      <c r="C81" s="2" t="s">
        <v>96</v>
      </c>
      <c r="D81" s="47"/>
      <c r="E81" s="47"/>
      <c r="F81" s="47"/>
      <c r="G81" s="48"/>
      <c r="H81" s="48"/>
    </row>
    <row r="82" spans="3:55">
      <c r="C82" s="2" t="s">
        <v>97</v>
      </c>
    </row>
    <row r="83" spans="3:55">
      <c r="C83" s="2" t="s">
        <v>98</v>
      </c>
    </row>
    <row r="84" spans="3:55">
      <c r="C84" s="2" t="s">
        <v>99</v>
      </c>
    </row>
    <row r="85" spans="3:55">
      <c r="C85" s="2" t="s">
        <v>100</v>
      </c>
    </row>
    <row r="86" spans="3:55" s="11" customFormat="1">
      <c r="C86" s="11" t="s">
        <v>101</v>
      </c>
      <c r="E86" s="11" t="s">
        <v>139</v>
      </c>
      <c r="F86" s="49" t="s">
        <v>103</v>
      </c>
      <c r="G86" s="50"/>
      <c r="H86" s="50"/>
      <c r="I86" s="50"/>
      <c r="J86" s="50"/>
      <c r="K86" s="51"/>
      <c r="L86" s="51"/>
      <c r="M86" s="51"/>
      <c r="AJ86" s="51"/>
      <c r="AW86" s="51"/>
      <c r="AY86" s="51"/>
      <c r="BC86" s="51"/>
    </row>
    <row r="87" spans="3:55">
      <c r="C87" s="2" t="s">
        <v>104</v>
      </c>
      <c r="E87" s="52">
        <v>21.755600000000001</v>
      </c>
      <c r="F87" s="53">
        <v>22.507000000000001</v>
      </c>
      <c r="M87" s="10"/>
      <c r="AI87" s="2"/>
      <c r="AJ87" s="10"/>
      <c r="AV87" s="2"/>
      <c r="AW87" s="10"/>
      <c r="AX87" s="2"/>
      <c r="AY87" s="10"/>
      <c r="BB87" s="2"/>
      <c r="BC87" s="10"/>
    </row>
    <row r="88" spans="3:55">
      <c r="C88" s="2" t="s">
        <v>105</v>
      </c>
      <c r="E88" s="52">
        <v>34.0989</v>
      </c>
      <c r="F88" s="53">
        <v>35.276699999999998</v>
      </c>
      <c r="M88" s="10"/>
      <c r="AI88" s="2"/>
      <c r="AJ88" s="10"/>
      <c r="AV88" s="2"/>
      <c r="AW88" s="10"/>
      <c r="AX88" s="2"/>
      <c r="AY88" s="10"/>
      <c r="BB88" s="2"/>
      <c r="BC88" s="10"/>
    </row>
    <row r="89" spans="3:55">
      <c r="C89" s="2" t="s">
        <v>106</v>
      </c>
      <c r="E89" s="52">
        <v>29.224399999999999</v>
      </c>
      <c r="F89" s="53">
        <v>30.330200000000001</v>
      </c>
      <c r="M89" s="10"/>
      <c r="AI89" s="2"/>
      <c r="AJ89" s="10"/>
      <c r="AV89" s="2"/>
      <c r="AW89" s="10"/>
      <c r="AX89" s="2"/>
      <c r="AY89" s="10"/>
      <c r="BB89" s="2"/>
      <c r="BC89" s="10"/>
    </row>
    <row r="90" spans="3:55">
      <c r="C90" s="2" t="s">
        <v>107</v>
      </c>
      <c r="E90" s="52">
        <v>37.035299999999999</v>
      </c>
      <c r="F90" s="53">
        <v>38.436599999999999</v>
      </c>
      <c r="M90" s="10"/>
      <c r="AI90" s="2"/>
      <c r="AJ90" s="10"/>
      <c r="AV90" s="2"/>
      <c r="AW90" s="10"/>
      <c r="AX90" s="2"/>
      <c r="AY90" s="10"/>
      <c r="BB90" s="2"/>
      <c r="BC90" s="10"/>
    </row>
    <row r="91" spans="3:55">
      <c r="M91" s="10"/>
      <c r="AI91" s="2"/>
      <c r="AJ91" s="10"/>
      <c r="AV91" s="2"/>
      <c r="AW91" s="10"/>
      <c r="AX91" s="2"/>
      <c r="AY91" s="10"/>
      <c r="BB91" s="2"/>
      <c r="BC91" s="10"/>
    </row>
    <row r="92" spans="3:55">
      <c r="C92" s="2" t="s">
        <v>140</v>
      </c>
      <c r="M92" s="10"/>
      <c r="AI92" s="2"/>
      <c r="AJ92" s="10"/>
      <c r="AV92" s="2"/>
      <c r="AW92" s="10"/>
      <c r="AX92" s="2"/>
      <c r="AY92" s="10"/>
      <c r="BB92" s="2"/>
      <c r="BC92" s="10"/>
    </row>
    <row r="94" spans="3:55">
      <c r="C94" s="2" t="s">
        <v>141</v>
      </c>
    </row>
    <row r="95" spans="3:55">
      <c r="C95" s="2" t="s">
        <v>110</v>
      </c>
    </row>
    <row r="96" spans="3:55">
      <c r="C96" s="2" t="s">
        <v>111</v>
      </c>
    </row>
    <row r="97" spans="3:11">
      <c r="C97" s="2" t="s">
        <v>142</v>
      </c>
    </row>
    <row r="98" spans="3:11">
      <c r="C98" s="2" t="s">
        <v>113</v>
      </c>
    </row>
    <row r="99" spans="3:11">
      <c r="C99" s="2" t="s">
        <v>143</v>
      </c>
    </row>
    <row r="100" spans="3:11">
      <c r="C100" s="2" t="s">
        <v>115</v>
      </c>
    </row>
    <row r="101" spans="3:11">
      <c r="C101" s="2" t="s">
        <v>116</v>
      </c>
    </row>
    <row r="102" spans="3:11">
      <c r="C102" s="2" t="s">
        <v>144</v>
      </c>
    </row>
    <row r="103" spans="3:11">
      <c r="C103" s="2" t="s">
        <v>118</v>
      </c>
    </row>
    <row r="104" spans="3:11">
      <c r="C104" s="2" t="s">
        <v>119</v>
      </c>
    </row>
    <row r="105" spans="3:11">
      <c r="C105" s="2" t="s">
        <v>145</v>
      </c>
    </row>
    <row r="106" spans="3:11">
      <c r="C106" s="2" t="s">
        <v>121</v>
      </c>
    </row>
    <row r="107" spans="3:11">
      <c r="C107" s="2" t="s">
        <v>122</v>
      </c>
    </row>
    <row r="108" spans="3:11" ht="14.4">
      <c r="C108" s="54"/>
      <c r="D108" s="54"/>
      <c r="E108" s="54"/>
      <c r="F108" s="54"/>
      <c r="G108" s="54"/>
      <c r="H108" s="54"/>
      <c r="I108" s="54"/>
      <c r="J108" s="54"/>
      <c r="K108" s="54"/>
    </row>
    <row r="109" spans="3:11" ht="14.4">
      <c r="C109" s="54"/>
      <c r="D109" s="54"/>
      <c r="E109" s="54"/>
      <c r="F109" s="54"/>
      <c r="G109" s="54"/>
      <c r="H109" s="54"/>
      <c r="I109" s="54"/>
      <c r="J109" s="54"/>
      <c r="K109" s="54"/>
    </row>
    <row r="130" spans="3:54" ht="14.4" thickBot="1"/>
    <row r="131" spans="3:54" ht="14.4" thickBot="1">
      <c r="C131" s="65" t="s">
        <v>123</v>
      </c>
      <c r="D131" s="66"/>
      <c r="E131" s="66"/>
      <c r="F131" s="67"/>
      <c r="L131" s="2"/>
      <c r="AH131" s="10"/>
      <c r="AI131" s="2"/>
      <c r="AU131" s="10"/>
      <c r="AV131" s="2"/>
      <c r="AW131" s="10"/>
      <c r="AX131" s="2"/>
      <c r="BA131" s="10"/>
      <c r="BB131" s="2"/>
    </row>
    <row r="132" spans="3:54" ht="14.4" thickBot="1">
      <c r="C132" s="55" t="s">
        <v>124</v>
      </c>
      <c r="D132" s="68" t="s">
        <v>125</v>
      </c>
      <c r="E132" s="68" t="s">
        <v>126</v>
      </c>
      <c r="F132" s="68" t="s">
        <v>127</v>
      </c>
      <c r="L132" s="2"/>
      <c r="AH132" s="10"/>
      <c r="AI132" s="2"/>
      <c r="AU132" s="10"/>
      <c r="AV132" s="2"/>
      <c r="AW132" s="10"/>
      <c r="AX132" s="2"/>
      <c r="BA132" s="10"/>
      <c r="BB132" s="2"/>
    </row>
    <row r="133" spans="3:54" ht="14.4" thickBot="1">
      <c r="C133" s="55" t="s">
        <v>128</v>
      </c>
      <c r="D133" s="69"/>
      <c r="E133" s="69"/>
      <c r="F133" s="69"/>
      <c r="L133" s="2"/>
      <c r="AH133" s="10"/>
      <c r="AI133" s="2"/>
      <c r="AU133" s="10"/>
      <c r="AV133" s="2"/>
      <c r="AW133" s="10"/>
      <c r="AX133" s="2"/>
      <c r="BA133" s="10"/>
      <c r="BB133" s="2"/>
    </row>
    <row r="134" spans="3:54" ht="14.4" thickBot="1">
      <c r="C134" s="56" t="s">
        <v>129</v>
      </c>
      <c r="D134" s="57"/>
      <c r="E134" s="57"/>
      <c r="F134" s="57"/>
      <c r="L134" s="2"/>
      <c r="AH134" s="10"/>
      <c r="AI134" s="2"/>
      <c r="AU134" s="10"/>
      <c r="AV134" s="2"/>
      <c r="AW134" s="10"/>
      <c r="AX134" s="2"/>
      <c r="BA134" s="10"/>
      <c r="BB134" s="2"/>
    </row>
    <row r="135" spans="3:54">
      <c r="C135" s="58" t="s">
        <v>130</v>
      </c>
      <c r="D135" s="63"/>
      <c r="E135" s="63"/>
      <c r="F135" s="63"/>
      <c r="L135" s="2"/>
      <c r="AH135" s="10"/>
      <c r="AI135" s="2"/>
      <c r="AU135" s="10"/>
      <c r="AV135" s="2"/>
      <c r="AW135" s="10"/>
      <c r="AX135" s="2"/>
      <c r="BA135" s="10"/>
      <c r="BB135" s="2"/>
    </row>
    <row r="136" spans="3:54" ht="14.4" thickBot="1">
      <c r="C136" s="56" t="s">
        <v>131</v>
      </c>
      <c r="D136" s="64"/>
      <c r="E136" s="64"/>
      <c r="F136" s="64"/>
      <c r="L136" s="2"/>
      <c r="AH136" s="10"/>
      <c r="AI136" s="2"/>
      <c r="AU136" s="10"/>
      <c r="AV136" s="2"/>
      <c r="AW136" s="10"/>
      <c r="AX136" s="2"/>
      <c r="BA136" s="10"/>
      <c r="BB136" s="2"/>
    </row>
    <row r="137" spans="3:54">
      <c r="C137" s="58" t="s">
        <v>132</v>
      </c>
      <c r="D137" s="61" t="s">
        <v>133</v>
      </c>
      <c r="E137" s="63"/>
      <c r="F137" s="63"/>
      <c r="L137" s="2"/>
      <c r="AH137" s="10"/>
      <c r="AI137" s="2"/>
      <c r="AU137" s="10"/>
      <c r="AV137" s="2"/>
      <c r="AW137" s="10"/>
      <c r="AX137" s="2"/>
      <c r="BA137" s="10"/>
      <c r="BB137" s="2"/>
    </row>
    <row r="138" spans="3:54" ht="14.4" thickBot="1">
      <c r="C138" s="56" t="s">
        <v>134</v>
      </c>
      <c r="D138" s="62"/>
      <c r="E138" s="64"/>
      <c r="F138" s="64"/>
      <c r="L138" s="2"/>
      <c r="AH138" s="10"/>
      <c r="AI138" s="2"/>
      <c r="AU138" s="10"/>
      <c r="AV138" s="2"/>
      <c r="AW138" s="10"/>
      <c r="AX138" s="2"/>
      <c r="BA138" s="10"/>
      <c r="BB138" s="2"/>
    </row>
    <row r="139" spans="3:54">
      <c r="C139" s="59" t="s">
        <v>135</v>
      </c>
      <c r="D139" s="60"/>
      <c r="E139" s="60"/>
      <c r="F139" s="60"/>
      <c r="L139" s="2"/>
      <c r="AH139" s="10"/>
      <c r="AI139" s="2"/>
      <c r="AU139" s="10"/>
      <c r="AV139" s="2"/>
      <c r="AW139" s="10"/>
      <c r="AX139" s="2"/>
      <c r="BA139" s="10"/>
      <c r="BB139" s="2"/>
    </row>
    <row r="140" spans="3:54">
      <c r="C140" s="2" t="s">
        <v>136</v>
      </c>
      <c r="D140" s="60"/>
      <c r="E140" s="60"/>
      <c r="F140" s="60"/>
      <c r="L140" s="2"/>
      <c r="AH140" s="10"/>
      <c r="AI140" s="2"/>
      <c r="AU140" s="10"/>
      <c r="AV140" s="2"/>
      <c r="AW140" s="10"/>
      <c r="AX140" s="2"/>
      <c r="BA140" s="10"/>
      <c r="BB140" s="2"/>
    </row>
  </sheetData>
  <mergeCells count="12">
    <mergeCell ref="D135:D136"/>
    <mergeCell ref="E135:E136"/>
    <mergeCell ref="F135:F136"/>
    <mergeCell ref="D137:D138"/>
    <mergeCell ref="E137:E138"/>
    <mergeCell ref="F137:F138"/>
    <mergeCell ref="C2:K3"/>
    <mergeCell ref="C5:K5"/>
    <mergeCell ref="C131:F131"/>
    <mergeCell ref="D132:D133"/>
    <mergeCell ref="E132:E133"/>
    <mergeCell ref="F132:F1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 Portfolio</vt:lpstr>
      <vt:lpstr>Half Yearly Portfolio</vt:lpstr>
      <vt:lpstr>XDO_?CLASS_3?18?</vt:lpstr>
      <vt:lpstr>XDO_?FINAL_ISIN?78?</vt:lpstr>
      <vt:lpstr>XDO_?FINAL_ISIN?79?</vt:lpstr>
      <vt:lpstr>XDO_?FINAL_ISIN?80?</vt:lpstr>
      <vt:lpstr>XDO_?FINAL_ISIN?81?</vt:lpstr>
      <vt:lpstr>XDO_?FINAL_MV?78?</vt:lpstr>
      <vt:lpstr>XDO_?FINAL_MV?79?</vt:lpstr>
      <vt:lpstr>XDO_?FINAL_MV?80?</vt:lpstr>
      <vt:lpstr>XDO_?FINAL_MV?81?</vt:lpstr>
      <vt:lpstr>XDO_?FINAL_NAME?78?</vt:lpstr>
      <vt:lpstr>XDO_?FINAL_NAME?79?</vt:lpstr>
      <vt:lpstr>XDO_?FINAL_NAME?80?</vt:lpstr>
      <vt:lpstr>XDO_?FINAL_NAME?81?</vt:lpstr>
      <vt:lpstr>XDO_?FINAL_PER_NET?78?</vt:lpstr>
      <vt:lpstr>XDO_?FINAL_PER_NET?79?</vt:lpstr>
      <vt:lpstr>XDO_?FINAL_PER_NET?80?</vt:lpstr>
      <vt:lpstr>XDO_?FINAL_PER_NET?81?</vt:lpstr>
      <vt:lpstr>XDO_?FINAL_QUANTITE?78?</vt:lpstr>
      <vt:lpstr>XDO_?FINAL_QUANTITE?79?</vt:lpstr>
      <vt:lpstr>XDO_?FINAL_QUANTITE?80?</vt:lpstr>
      <vt:lpstr>XDO_?FINAL_QUANTITE?81?</vt:lpstr>
      <vt:lpstr>XDO_?NAMCNAME?18?</vt:lpstr>
      <vt:lpstr>XDO_?NOVAL?78?</vt:lpstr>
      <vt:lpstr>XDO_?NOVAL?79?</vt:lpstr>
      <vt:lpstr>XDO_?NOVAL?80?</vt:lpstr>
      <vt:lpstr>XDO_?NOVAL?81?</vt:lpstr>
      <vt:lpstr>XDO_?NPTF?18?</vt:lpstr>
      <vt:lpstr>XDO_?RATING?78?</vt:lpstr>
      <vt:lpstr>XDO_?RATING?79?</vt:lpstr>
      <vt:lpstr>XDO_?RATING?80?</vt:lpstr>
      <vt:lpstr>XDO_?RATING?81?</vt:lpstr>
      <vt:lpstr>XDO_?REMARKS?78?</vt:lpstr>
      <vt:lpstr>XDO_?REMARKS?79?</vt:lpstr>
      <vt:lpstr>XDO_?REMARKS?80?</vt:lpstr>
      <vt:lpstr>XDO_?REMARKS?81?</vt:lpstr>
      <vt:lpstr>XDO_?TITL?18?</vt:lpstr>
      <vt:lpstr>XDO_?YTM?78?</vt:lpstr>
      <vt:lpstr>XDO_?YTM?79?</vt:lpstr>
      <vt:lpstr>XDO_?YTM?80?</vt:lpstr>
      <vt:lpstr>XDO_?YTM?81?</vt:lpstr>
      <vt:lpstr>XDO_GROUP_?G_2?18?</vt:lpstr>
      <vt:lpstr>XDO_GROUP_?G_3?18?</vt:lpstr>
      <vt:lpstr>XDO_GROUP_?G_4?78?</vt:lpstr>
      <vt:lpstr>XDO_GROUP_?G_4?79?</vt:lpstr>
      <vt:lpstr>XDO_GROUP_?G_4?80?</vt:lpstr>
      <vt:lpstr>XDO_GROUP_?G_4?81?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2023-04-05T12:36:20Z</dcterms:created>
  <dcterms:modified xsi:type="dcterms:W3CDTF">2023-04-08T12:02:49Z</dcterms:modified>
</cp:coreProperties>
</file>