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2B3EE691-1CFE-4BB3-8326-B0703719E7C6}" xr6:coauthVersionLast="47" xr6:coauthVersionMax="47" xr10:uidLastSave="{00000000-0000-0000-0000-000000000000}"/>
  <bookViews>
    <workbookView xWindow="-108" yWindow="-108" windowWidth="23256" windowHeight="12456" xr2:uid="{B550F76E-F2BC-4D29-841B-236C44CB0128}"/>
  </bookViews>
  <sheets>
    <sheet name="T0MD28" sheetId="1" r:id="rId1"/>
  </sheets>
  <definedNames>
    <definedName name="JR_PAGE_ANCHOR_0_40">#REF!</definedName>
    <definedName name="JR_PAGE_ANCHOR_0_44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<sst xmlns="http://schemas.openxmlformats.org/spreadsheetml/2006/main" count="96" uniqueCount="76">
  <si>
    <t>Baroda BNP Paribas NIFTY SDL December 2028 Index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</si>
  <si>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</si>
  <si>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</si>
  <si>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</si>
  <si>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</si>
  <si>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</si>
  <si>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</si>
  <si>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</si>
  <si>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</si>
  <si>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</si>
  <si>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</si>
  <si>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</si>
  <si>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</si>
  <si>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</si>
  <si>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</si>
  <si>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</si>
  <si>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</si>
  <si>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</si>
  <si>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</si>
  <si>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</si>
  <si>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</si>
  <si>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</si>
  <si>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</si>
  <si>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</si>
  <si>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</si>
  <si>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</si>
  <si>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</si>
  <si>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</si>
  <si>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</si>
  <si>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</si>
  <si>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</si>
  <si>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</si>
  <si>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</si>
  <si>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</si>
  <si>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</si>
  <si>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</si>
  <si>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</si>
  <si>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</si>
  <si>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</si>
  <si>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</si>
  <si>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</si>
  <si>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</si>
  <si>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</si>
  <si>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</si>
  <si>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</si>
  <si>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</si>
  <si>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</si>
  <si>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</si>
  <si>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</si>
  <si>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</si>
  <si>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</si>
  <si>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</si>
  <si>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</si>
  <si>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</si>
  <si>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</si>
  <si>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</si>
  <si>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</si>
  <si>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</si>
  <si>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</si>
  <si>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</si>
  <si>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</si>
  <si>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</si>
  <si>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</si>
  <si>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900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</si>
  <si>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</si>
  <si>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</si>
  <si>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</si>
  <si>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</si>
  <si>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</si>
  <si>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</si>
  <si>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</si>
  <si>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</si>
  <si>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</si>
  <si>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802 days.</t>
  </si>
  <si>
    <t>(18) Annualised Portfolio YTM has been 7.12.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</si>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</sst>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2" applyBorder="1"/>
    <xf numFmtId="9" fontId="1" fillId="0" borderId="18" xfId="2" applyNumberFormat="1" applyBorder="1"/>
    <xf numFmtId="9" fontId="1" fillId="0" borderId="19" xfId="2" applyNumberFormat="1" applyBorder="1"/>
    <xf numFmtId="0" fontId="2" fillId="0" borderId="20" xfId="2" applyFont="1" applyBorder="1"/>
    <xf numFmtId="9" fontId="2" fillId="0" borderId="21" xfId="2" applyNumberFormat="1" applyFont="1" applyBorder="1"/>
    <xf numFmtId="9" fontId="2" fillId="0" borderId="22" xfId="2" applyNumberFormat="1" applyFont="1" applyBorder="1"/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C87A2FF3-4CC1-413D-A308-66C62407E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4</xdr:col>
      <xdr:colOff>498348</xdr:colOff>
      <xdr:row>85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6131C-0C6B-4D84-AB3D-0805E58E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2605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3855720</xdr:colOff>
      <xdr:row>100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999CD-3F79-489C-B3AD-9A64CB42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55524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8CD4-E0C9-4D56-AB6B-90CB3D65BC6A}">
  <sheetPr codeName="Sheet6">
    <outlinePr summaryBelow="0"/>
  </sheetPr>
  <dimension ref="A1:J103"/>
  <sheetViews>
    <sheetView tabSelected="1" workbookViewId="0">
      <selection activeCell="F1" sqref="F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1162700</v>
      </c>
      <c r="F7" s="16">
        <v>1184.81</v>
      </c>
      <c r="G7" s="17">
        <v>0.38669999999999999</v>
      </c>
      <c r="H7" s="18">
        <v>7.3833999999999997E-2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860000</v>
      </c>
      <c r="F8" s="16">
        <v>876.35</v>
      </c>
      <c r="G8" s="17">
        <v>0.28599999999999998</v>
      </c>
      <c r="H8" s="18">
        <v>7.3833999999999997E-2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515000</v>
      </c>
      <c r="F9" s="16">
        <v>524.79</v>
      </c>
      <c r="G9" s="17">
        <v>0.17130000000000001</v>
      </c>
      <c r="H9" s="18">
        <v>7.3833999999999997E-2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259.85000000000002</v>
      </c>
      <c r="G10" s="17">
        <v>8.48E-2</v>
      </c>
      <c r="H10" s="18">
        <v>7.3833999999999997E-2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2845.8</v>
      </c>
      <c r="G11" s="23">
        <v>0.92879999999999996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2845.8</v>
      </c>
      <c r="G14" s="23">
        <v>0.92879999999999996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127.92</v>
      </c>
      <c r="G16" s="17">
        <v>4.1700000000000001E-2</v>
      </c>
      <c r="H16" s="18">
        <v>0.16103455935159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127.92</v>
      </c>
      <c r="G17" s="23">
        <v>4.1700000000000001E-2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127.92</v>
      </c>
      <c r="G20" s="23">
        <v>4.1700000000000001E-2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90.43</v>
      </c>
      <c r="G21" s="23">
        <v>2.9499999999999998E-2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3064.15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7"/>
      <c r="C24" s="47"/>
      <c r="D24" s="47"/>
      <c r="E24" s="47"/>
      <c r="F24" s="47"/>
      <c r="G24" s="47"/>
      <c r="H24" s="47"/>
      <c r="I24" s="1"/>
      <c r="J24" s="1"/>
    </row>
    <row r="25" spans="1:10" ht="13.05" customHeight="1" thickBot="1">
      <c r="A25" s="1"/>
      <c r="B25" s="47"/>
      <c r="C25" s="47"/>
      <c r="D25" s="47"/>
      <c r="E25" s="47"/>
      <c r="F25" s="47"/>
      <c r="G25" s="47"/>
      <c r="H25" s="47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0.92879999999999996</v>
      </c>
      <c r="E28" s="37">
        <f t="shared" ref="E28:E29" si="0">MIN(C28:D28)</f>
        <v>0.92879999999999996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7.1199999999999999E-2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 t="shared" ref="C30" si="1">SUM(C27:C29)</f>
        <v>1</v>
      </c>
      <c r="D30" s="39">
        <f>SUM(D27:D29)</f>
        <v>1</v>
      </c>
      <c r="E30" s="40">
        <f t="shared" ref="E30" si="2">SUM(E27:E29)</f>
        <v>0.92879999999999996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6.25" customHeight="1">
      <c r="A33" s="1"/>
      <c r="B33" s="47" t="s">
        <v>42</v>
      </c>
      <c r="C33" s="47"/>
      <c r="D33" s="47"/>
      <c r="E33" s="47"/>
      <c r="F33" s="47"/>
      <c r="G33" s="47"/>
      <c r="H33" s="47"/>
      <c r="I33" s="1"/>
      <c r="J33" s="1"/>
    </row>
    <row r="37" spans="1:10">
      <c r="B37" s="41" t="s">
        <v>43</v>
      </c>
      <c r="C37" s="42"/>
      <c r="D37" s="42"/>
      <c r="E37" s="43"/>
    </row>
    <row r="38" spans="1:10">
      <c r="B38" s="42" t="s">
        <v>44</v>
      </c>
      <c r="C38" s="42"/>
      <c r="D38" s="42"/>
      <c r="E38" s="43"/>
    </row>
    <row r="39" spans="1:10">
      <c r="B39" s="44" t="s">
        <v>45</v>
      </c>
      <c r="C39" s="42"/>
      <c r="D39" s="42"/>
      <c r="E39" s="43"/>
    </row>
    <row r="40" spans="1:10">
      <c r="B40" s="42" t="s">
        <v>46</v>
      </c>
      <c r="C40" s="42"/>
      <c r="D40" s="42"/>
      <c r="E40" s="43"/>
    </row>
    <row r="41" spans="1:10">
      <c r="B41" s="42" t="s">
        <v>47</v>
      </c>
      <c r="C41" s="42"/>
      <c r="D41" s="42"/>
      <c r="E41" s="43"/>
    </row>
    <row r="42" spans="1:10">
      <c r="B42" s="42" t="s">
        <v>48</v>
      </c>
      <c r="C42" s="45"/>
      <c r="D42" s="45"/>
      <c r="E42" s="45"/>
    </row>
    <row r="43" spans="1:10">
      <c r="B43" s="42" t="s">
        <v>49</v>
      </c>
      <c r="C43" s="42"/>
      <c r="D43" s="42"/>
      <c r="E43" s="43"/>
    </row>
    <row r="44" spans="1:10">
      <c r="B44" s="42" t="s">
        <v>50</v>
      </c>
      <c r="C44" s="42"/>
      <c r="D44" s="42"/>
      <c r="E44" s="43"/>
    </row>
    <row r="45" spans="1:10">
      <c r="B45" s="42" t="s">
        <v>51</v>
      </c>
      <c r="C45" s="42"/>
      <c r="D45" s="42"/>
      <c r="E45" s="43"/>
    </row>
    <row r="46" spans="1:10">
      <c r="B46" s="42" t="s">
        <v>52</v>
      </c>
      <c r="C46" s="42"/>
      <c r="D46" s="42"/>
      <c r="E46" s="43"/>
    </row>
    <row r="47" spans="1:10">
      <c r="B47" s="41" t="s">
        <v>53</v>
      </c>
      <c r="C47" s="41"/>
      <c r="D47" s="41" t="s">
        <v>54</v>
      </c>
      <c r="E47" s="41" t="s">
        <v>55</v>
      </c>
    </row>
    <row r="48" spans="1:10">
      <c r="B48" s="42" t="s">
        <v>56</v>
      </c>
      <c r="C48" s="42"/>
      <c r="D48" s="46">
        <v>11.649100000000001</v>
      </c>
      <c r="E48" s="46">
        <v>11.6457</v>
      </c>
    </row>
    <row r="49" spans="2:5">
      <c r="B49" s="42" t="s">
        <v>57</v>
      </c>
      <c r="C49" s="42"/>
      <c r="D49" s="46">
        <v>12.4933</v>
      </c>
      <c r="E49" s="46">
        <v>12.489599999999999</v>
      </c>
    </row>
    <row r="50" spans="2:5">
      <c r="B50" s="42" t="s">
        <v>58</v>
      </c>
      <c r="C50" s="42"/>
      <c r="D50" s="46">
        <v>11.832599999999999</v>
      </c>
      <c r="E50" s="46">
        <v>11.831799999999999</v>
      </c>
    </row>
    <row r="51" spans="2:5">
      <c r="B51" s="42" t="s">
        <v>59</v>
      </c>
      <c r="C51" s="42"/>
      <c r="D51" s="46">
        <v>12.61</v>
      </c>
      <c r="E51" s="46">
        <v>12.6092</v>
      </c>
    </row>
    <row r="52" spans="2:5">
      <c r="B52" s="42"/>
      <c r="C52" s="42"/>
      <c r="D52" s="42"/>
      <c r="E52" s="43"/>
    </row>
    <row r="53" spans="2:5">
      <c r="B53" s="42" t="s">
        <v>60</v>
      </c>
      <c r="C53" s="42"/>
      <c r="D53" s="42"/>
      <c r="E53" s="43"/>
    </row>
    <row r="54" spans="2:5">
      <c r="B54" s="42" t="s">
        <v>61</v>
      </c>
      <c r="C54" s="42"/>
      <c r="D54" s="42"/>
      <c r="E54" s="43"/>
    </row>
    <row r="55" spans="2:5">
      <c r="B55" s="42" t="s">
        <v>62</v>
      </c>
      <c r="C55" s="42"/>
      <c r="D55" s="42"/>
      <c r="E55" s="43"/>
    </row>
    <row r="56" spans="2:5">
      <c r="B56" s="42" t="s">
        <v>63</v>
      </c>
      <c r="C56" s="42"/>
      <c r="D56" s="42"/>
      <c r="E56" s="43"/>
    </row>
    <row r="57" spans="2:5">
      <c r="B57" s="42" t="s">
        <v>64</v>
      </c>
      <c r="C57" s="42"/>
      <c r="D57" s="42"/>
      <c r="E57" s="43"/>
    </row>
    <row r="58" spans="2:5">
      <c r="B58" s="42" t="s">
        <v>65</v>
      </c>
      <c r="C58" s="42"/>
      <c r="D58" s="42"/>
      <c r="E58" s="43"/>
    </row>
    <row r="59" spans="2:5">
      <c r="B59" s="42" t="s">
        <v>66</v>
      </c>
      <c r="C59" s="42"/>
      <c r="D59" s="42"/>
      <c r="E59" s="43"/>
    </row>
    <row r="60" spans="2:5">
      <c r="B60" s="42" t="s">
        <v>67</v>
      </c>
      <c r="C60" s="42"/>
      <c r="D60" s="42"/>
      <c r="E60" s="43"/>
    </row>
    <row r="61" spans="2:5">
      <c r="B61" s="42" t="s">
        <v>68</v>
      </c>
      <c r="C61" s="42"/>
      <c r="D61" s="42"/>
      <c r="E61" s="43"/>
    </row>
    <row r="62" spans="2:5">
      <c r="B62" s="42" t="s">
        <v>69</v>
      </c>
      <c r="C62" s="42"/>
      <c r="D62" s="42"/>
      <c r="E62" s="43"/>
    </row>
    <row r="63" spans="2:5">
      <c r="B63" s="42" t="s">
        <v>70</v>
      </c>
      <c r="C63" s="42"/>
      <c r="D63" s="42"/>
      <c r="E63" s="43"/>
    </row>
    <row r="64" spans="2:5">
      <c r="B64" s="42" t="s">
        <v>71</v>
      </c>
      <c r="C64" s="42"/>
      <c r="D64" s="42"/>
      <c r="E64" s="43"/>
    </row>
    <row r="65" spans="2:5">
      <c r="B65" s="42" t="s">
        <v>72</v>
      </c>
      <c r="C65" s="42"/>
      <c r="D65" s="42"/>
      <c r="E65" s="43"/>
    </row>
    <row r="66" spans="2:5">
      <c r="B66" s="42" t="s">
        <v>73</v>
      </c>
      <c r="C66" s="42"/>
      <c r="D66" s="42"/>
      <c r="E66" s="43"/>
    </row>
    <row r="67" spans="2:5">
      <c r="B67" s="42" t="s">
        <v>74</v>
      </c>
      <c r="C67" s="42"/>
      <c r="D67" s="42"/>
      <c r="E67" s="43"/>
    </row>
    <row r="103" spans="2:2">
      <c r="B103" t="s">
        <v>75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2026-06-07T11:04:03Z</dcterms:created>
  <dcterms:modified xsi:type="dcterms:W3CDTF">2026-06-09T09:49:33Z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2026-06-07T11:04:04Z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89b5161b-f763-4861-b733-0d2f4163659e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