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'Monthly Portfolio'!$C$16:$C$27</definedName>
    <definedName name="XDO_?FINAL_ISIN?10?">'Monthly Portfolio'!$D$24:$D$63</definedName>
    <definedName name="XDO_?FINAL_ISIN?7?">'Monthly Portfolio'!$D$24:$D$27</definedName>
    <definedName name="XDO_?FINAL_ISIN?8?">'Monthly Portfolio'!$D$24:$D$36</definedName>
    <definedName name="XDO_?FINAL_ISIN?9?">'Monthly Portfolio'!$D$24:$D$59</definedName>
    <definedName name="XDO_?FINAL_MV?10?">'Monthly Portfolio'!$G$24:$G$63</definedName>
    <definedName name="XDO_?FINAL_MV?7?">'Monthly Portfolio'!$G$24:$G$27</definedName>
    <definedName name="XDO_?FINAL_MV?8?">'Monthly Portfolio'!$G$24:$G$36</definedName>
    <definedName name="XDO_?FINAL_MV?9?">'Monthly Portfolio'!$G$24:$G$59</definedName>
    <definedName name="XDO_?FINAL_NAME?10?">'Monthly Portfolio'!$C$24:$C$63</definedName>
    <definedName name="XDO_?FINAL_NAME?7?">'Monthly Portfolio'!$C$24:$C$27</definedName>
    <definedName name="XDO_?FINAL_NAME?8?">'Monthly Portfolio'!$C$24:$C$36</definedName>
    <definedName name="XDO_?FINAL_NAME?9?">'Monthly Portfolio'!$C$24:$C$59</definedName>
    <definedName name="XDO_?FINAL_PER_NET?10?">'Monthly Portfolio'!$H$24:$H$63</definedName>
    <definedName name="XDO_?FINAL_PER_NET?7?">'Monthly Portfolio'!$H$24:$H$27</definedName>
    <definedName name="XDO_?FINAL_PER_NET?8?">'Monthly Portfolio'!$H$24:$H$36</definedName>
    <definedName name="XDO_?FINAL_PER_NET?9?">'Monthly Portfolio'!$H$24:$H$59</definedName>
    <definedName name="XDO_?FINAL_QUANTITE?10?">'Monthly Portfolio'!$F$24:$F$63</definedName>
    <definedName name="XDO_?FINAL_QUANTITE?7?">'Monthly Portfolio'!$F$24:$F$27</definedName>
    <definedName name="XDO_?FINAL_QUANTITE?8?">'Monthly Portfolio'!$F$24:$F$36</definedName>
    <definedName name="XDO_?FINAL_QUANTITE?9?">'Monthly Portfolio'!$F$24:$F$59</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'Monthly Portfolio'!#REF!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'Monthly Portfolio'!$C$2:$C$27</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'Monthly Portfolio'!#REF!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'Monthly Portfolio'!#REF!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0?">'Monthly Portfolio'!$B$24:$B$63</definedName>
    <definedName name="XDO_?NOVAL?7?">'Monthly Portfolio'!$B$24:$B$27</definedName>
    <definedName name="XDO_?NOVAL?8?">'Monthly Portfolio'!$B$24:$B$36</definedName>
    <definedName name="XDO_?NOVAL?9?">'Monthly Portfolio'!$B$24:$B$59</definedName>
    <definedName name="XDO_?NPTF?2?">'Monthly Portfolio'!$D$2:$D$27</definedName>
    <definedName name="XDO_?RATING?10?">'Monthly Portfolio'!$E$24:$E$63</definedName>
    <definedName name="XDO_?RATING?7?">'Monthly Portfolio'!$E$24:$E$27</definedName>
    <definedName name="XDO_?RATING?8?">'Monthly Portfolio'!$E$24:$E$36</definedName>
    <definedName name="XDO_?RATING?9?">'Monthly Portfolio'!$E$24:$E$59</definedName>
    <definedName name="XDO_?REMARKS?10?">'Monthly Portfolio'!$K$24:$K$63</definedName>
    <definedName name="XDO_?REMARKS?7?">'Monthly Portfolio'!$K$24:$K$27</definedName>
    <definedName name="XDO_?REMARKS?8?">'Monthly Portfolio'!$K$24:$K$36</definedName>
    <definedName name="XDO_?REMARKS?9?">'Monthly Portfolio'!$K$24:$K$59</definedName>
    <definedName name="XDO_?TITL?2?">'Monthly Portfolio'!$A$16:$A$27</definedName>
    <definedName name="XDO_?YTM?10?">'Monthly Portfolio'!$I$24:$I$63</definedName>
    <definedName name="XDO_?YTM?7?">'Monthly Portfolio'!$I$24:$I$27</definedName>
    <definedName name="XDO_?YTM?8?">'Monthly Portfolio'!$I$24:$I$36</definedName>
    <definedName name="XDO_?YTM?9?">'Monthly Portfolio'!$I$24:$I$59</definedName>
    <definedName name="XDO_GROUP_?G_2?2?">'Monthly Portfolio'!$2:$33</definedName>
    <definedName name="XDO_GROUP_?G_3?2?">'Monthly Portfolio'!$8:$32</definedName>
    <definedName name="XDO_GROUP_?G_4?10?">'Monthly Portfolio'!$B$30:$IV$30</definedName>
    <definedName name="XDO_GROUP_?G_4?117?">[1]ON!#REF!</definedName>
    <definedName name="XDO_GROUP_?G_4?32?">[1]TA!#REF!</definedName>
    <definedName name="XDO_GROUP_?G_4?7?">'Monthly Portfolio'!$B$10:$IV$13</definedName>
    <definedName name="XDO_GROUP_?G_4?76?">[1]GR!#REF!</definedName>
    <definedName name="XDO_GROUP_?G_4?8?">'Monthly Portfolio'!$B$16:$IV$20</definedName>
    <definedName name="XDO_GROUP_?G_4?9?">'Monthly Portfolio'!$B$25:$IV$25</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2"/>
  <c r="H66" i="1"/>
</calcChain>
</file>

<file path=xl/sharedStrings.xml><?xml version="1.0" encoding="utf-8"?>
<sst xmlns="http://schemas.openxmlformats.org/spreadsheetml/2006/main" count="357" uniqueCount="140">
  <si>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</si>
  <si>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</si>
  <si>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</si>
  <si>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</si>
  <si>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</si>
  <si>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</si>
  <si>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</si>
  <si>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</si>
  <si>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</si>
  <si>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</si>
  <si>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</si>
  <si>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</si>
  <si>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</si>
  <si>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</si>
  <si>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</si>
  <si>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</si>
  <si>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</si>
  <si>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</si>
  <si>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</si>
  <si>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</si>
  <si>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</si>
  <si>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</si>
  <si>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</si>
  <si>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</si>
  <si>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</si>
  <si>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</si>
  <si>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</si>
  <si>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</si>
  <si>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900249</t>
  </si>
  <si>
    <t>7.10% Government of India 18-Apr-2029</t>
  </si>
  <si>
    <t>IN0020220011</t>
  </si>
  <si>
    <t>900254</t>
  </si>
  <si>
    <t>7.38% Government of India 20-Jun-2027</t>
  </si>
  <si>
    <t>IN0020220037</t>
  </si>
  <si>
    <t>900103</t>
  </si>
  <si>
    <t>6.01% Government of India 25-Mar-2028</t>
  </si>
  <si>
    <t>IN0020020247</t>
  </si>
  <si>
    <t>Total</t>
  </si>
  <si>
    <t>e) State Government Securities</t>
  </si>
  <si>
    <t>1901691</t>
  </si>
  <si>
    <t>6.91% State Government of Maharashtra 15-Sep-2033</t>
  </si>
  <si>
    <t>IN2220210248</t>
  </si>
  <si>
    <t>1903492</t>
  </si>
  <si>
    <t>7.86% State Government of Maharashtra 08-Jun-2030</t>
  </si>
  <si>
    <t>IN2220220080</t>
  </si>
  <si>
    <t>1904742</t>
  </si>
  <si>
    <t>7.68% State Government of Gujarat 15-Mar-2033</t>
  </si>
  <si>
    <t>IN1520220287</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</si>
  <si>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</si>
  <si>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</si>
  <si>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</si>
  <si>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</si>
  <si>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</si>
  <si>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</si>
  <si>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</si>
  <si>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</si>
  <si>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</si>
  <si>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</si>
  <si>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</si>
  <si>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</si>
  <si>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</si>
  <si>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</si>
  <si>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</si>
  <si>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</si>
  <si>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</si>
  <si>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</si>
  <si>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</si>
  <si>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</si>
  <si>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</si>
  <si>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</si>
  <si>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</si>
  <si>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</si>
  <si>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</si>
  <si>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</si>
  <si>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</si>
  <si>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</si>
  <si>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</si>
  <si>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</si>
  <si>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</si>
  <si>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</si>
  <si>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</si>
  <si>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</si>
  <si>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</si>
  <si>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</si>
  <si>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</si>
  <si>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</si>
  <si>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</si>
  <si>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</si>
  <si>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</si>
  <si>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</si>
  <si>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</si>
  <si>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</si>
  <si>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</si>
  <si>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</si>
  <si>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</si>
  <si>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</si>
  <si>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</si>
  <si>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</si>
  <si>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</si>
  <si>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</si>
  <si>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</si>
  <si>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</si>
  <si>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</si>
  <si>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</si>
  <si>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</si>
  <si>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1776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</si>
  <si>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</si>
  <si>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</si>
  <si>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</si>
  <si>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</si>
  <si>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</si>
  <si>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</si>
  <si>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</si>
  <si>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</si>
  <si>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</si>
  <si>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1,331,days.</t>
  </si>
  <si>
    <t>(18) Annualised Portfolio YTM has been 7.3609.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</si>
  <si>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</si>
  <si>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</si>
  <si>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</si>
  <si>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</si>
  <si>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</si>
  <si>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</si>
  <si>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</si>
  <si>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</si>
  <si>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</si>
  <si>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</si>
  <si>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</si>
  <si>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</si>
  <si>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</si>
  <si>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</si>
  <si>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DYNAMIC BOND FUND
(An Open ended Dynamic Debt Scheme investing across duration. A Relatively High Interest Rate Risk and Moderate Credit Risk Scheme)</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</si>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</sst>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703241</xdr:colOff>
      <xdr:row>137</xdr:row>
      <xdr:rowOff>103971</xdr:rowOff>
    </xdr:to>
    <xdr:pic>
      <xdr:nvPicPr>
        <xdr:cNvPr id="2" name="Picture 1" descr="Dynamic Bond Fund.jpg"/>
        <xdr:cNvPicPr>
          <a:picLocks noChangeAspect="1"/>
        </xdr:cNvPicPr>
      </xdr:nvPicPr>
      <xdr:blipFill>
        <a:blip xmlns:r="http://schemas.openxmlformats.org/officeDocument/2006/relationships" r:embed="rId1"/>
        <a:stretch>
          <a:fillRect/>
        </a:stretch>
      </xdr:blipFill>
      <xdr:spPr>
        <a:xfrm>
          <a:off x="169333" y="20510500"/>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703241</xdr:colOff>
      <xdr:row>139</xdr:row>
      <xdr:rowOff>103971</xdr:rowOff>
    </xdr:to>
    <xdr:pic>
      <xdr:nvPicPr>
        <xdr:cNvPr id="2" name="Picture 1" descr="Dynamic Bond Fund.jpg"/>
        <xdr:cNvPicPr>
          <a:picLocks noChangeAspect="1"/>
        </xdr:cNvPicPr>
      </xdr:nvPicPr>
      <xdr:blipFill>
        <a:blip xmlns:r="http://schemas.openxmlformats.org/officeDocument/2006/relationships" r:embed="rId1"/>
        <a:stretch>
          <a:fillRect/>
        </a:stretch>
      </xdr:blipFill>
      <xdr:spPr>
        <a:xfrm>
          <a:off x="175260" y="21160740"/>
          <a:ext cx="7652681" cy="32738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49"/>
  <sheetViews>
    <sheetView showGridLines="0" tabSelected="1" zoomScale="90" zoomScaleNormal="90" workbookViewId="0">
      <pane ySplit="6" topLeftCell="A7" activePane="bottomLeft" state="frozen"/>
      <selection activeCell="I2" sqref="I2"/>
      <selection pane="bottomLeft" activeCell="A7" sqref="A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2400000</v>
      </c>
      <c r="G24" s="32">
        <v>2390.94</v>
      </c>
      <c r="H24" s="32">
        <v>18.93</v>
      </c>
      <c r="I24" s="33">
        <v>7.4491791999999997</v>
      </c>
      <c r="J24" s="33"/>
      <c r="K24" s="34"/>
    </row>
    <row r="25" spans="1:11">
      <c r="B25" s="1" t="s">
        <v>28</v>
      </c>
      <c r="C25" s="21" t="s">
        <v>29</v>
      </c>
      <c r="D25" s="29" t="s">
        <v>30</v>
      </c>
      <c r="E25" s="30" t="s">
        <v>27</v>
      </c>
      <c r="F25" s="31">
        <v>1500000</v>
      </c>
      <c r="G25" s="32">
        <v>1490.67</v>
      </c>
      <c r="H25" s="32">
        <v>11.8</v>
      </c>
      <c r="I25" s="33">
        <v>7.3591496000000003</v>
      </c>
      <c r="J25" s="33"/>
      <c r="K25" s="34"/>
    </row>
    <row r="26" spans="1:11">
      <c r="B26" s="1" t="s">
        <v>31</v>
      </c>
      <c r="C26" s="21" t="s">
        <v>32</v>
      </c>
      <c r="D26" s="29" t="s">
        <v>33</v>
      </c>
      <c r="E26" s="30" t="s">
        <v>27</v>
      </c>
      <c r="F26" s="31">
        <v>500000</v>
      </c>
      <c r="G26" s="32">
        <v>503.49</v>
      </c>
      <c r="H26" s="32">
        <v>3.99</v>
      </c>
      <c r="I26" s="33">
        <v>7.3099584999999996</v>
      </c>
      <c r="J26" s="33"/>
      <c r="K26" s="34"/>
    </row>
    <row r="27" spans="1:11">
      <c r="B27" s="1" t="s">
        <v>34</v>
      </c>
      <c r="C27" s="21" t="s">
        <v>35</v>
      </c>
      <c r="D27" s="29" t="s">
        <v>36</v>
      </c>
      <c r="E27" s="30" t="s">
        <v>27</v>
      </c>
      <c r="F27" s="31">
        <v>500000</v>
      </c>
      <c r="G27" s="32">
        <v>474.65</v>
      </c>
      <c r="H27" s="32">
        <v>3.76</v>
      </c>
      <c r="I27" s="33">
        <v>7.3703158999999996</v>
      </c>
      <c r="J27" s="33"/>
      <c r="K27" s="34"/>
    </row>
    <row r="28" spans="1:11">
      <c r="C28" s="28" t="s">
        <v>37</v>
      </c>
      <c r="D28" s="29"/>
      <c r="E28" s="30"/>
      <c r="F28" s="31"/>
      <c r="G28" s="38">
        <v>4859.75</v>
      </c>
      <c r="H28" s="38">
        <v>38.479999999999997</v>
      </c>
      <c r="I28" s="33"/>
      <c r="J28" s="33"/>
      <c r="K28" s="34"/>
    </row>
    <row r="29" spans="1:11">
      <c r="C29" s="21"/>
      <c r="D29" s="29"/>
      <c r="E29" s="30"/>
      <c r="F29" s="31"/>
      <c r="G29" s="32"/>
      <c r="H29" s="32"/>
      <c r="I29" s="33"/>
      <c r="J29" s="33"/>
      <c r="K29" s="34"/>
    </row>
    <row r="30" spans="1:11">
      <c r="C30" s="37" t="s">
        <v>38</v>
      </c>
      <c r="D30" s="29"/>
      <c r="E30" s="30"/>
      <c r="F30" s="31"/>
      <c r="G30" s="32"/>
      <c r="H30" s="32"/>
      <c r="I30" s="33"/>
      <c r="J30" s="33"/>
      <c r="K30" s="34"/>
    </row>
    <row r="31" spans="1:11">
      <c r="B31" s="1" t="s">
        <v>39</v>
      </c>
      <c r="C31" s="21" t="s">
        <v>40</v>
      </c>
      <c r="D31" s="29" t="s">
        <v>41</v>
      </c>
      <c r="E31" s="30" t="s">
        <v>27</v>
      </c>
      <c r="F31" s="31">
        <v>2100000</v>
      </c>
      <c r="G31" s="32">
        <v>1995.77</v>
      </c>
      <c r="H31" s="32">
        <v>15.8</v>
      </c>
      <c r="I31" s="33">
        <v>7.7506705</v>
      </c>
      <c r="J31" s="33"/>
      <c r="K31" s="34"/>
    </row>
    <row r="32" spans="1:11">
      <c r="B32" s="1" t="s">
        <v>42</v>
      </c>
      <c r="C32" s="21" t="s">
        <v>43</v>
      </c>
      <c r="D32" s="29" t="s">
        <v>44</v>
      </c>
      <c r="E32" s="30" t="s">
        <v>27</v>
      </c>
      <c r="F32" s="31">
        <v>346800</v>
      </c>
      <c r="G32" s="32">
        <v>351.85</v>
      </c>
      <c r="H32" s="32">
        <v>2.79</v>
      </c>
      <c r="I32" s="33">
        <v>7.7340723999999996</v>
      </c>
      <c r="J32" s="33"/>
      <c r="K32" s="34"/>
    </row>
    <row r="33" spans="2:11">
      <c r="B33" s="1" t="s">
        <v>45</v>
      </c>
      <c r="C33" s="21" t="s">
        <v>46</v>
      </c>
      <c r="D33" s="29" t="s">
        <v>47</v>
      </c>
      <c r="E33" s="30" t="s">
        <v>27</v>
      </c>
      <c r="F33" s="31">
        <v>193200</v>
      </c>
      <c r="G33" s="32">
        <v>193.94</v>
      </c>
      <c r="H33" s="32">
        <v>1.54</v>
      </c>
      <c r="I33" s="33">
        <v>7.7687733999999997</v>
      </c>
      <c r="J33" s="33"/>
      <c r="K33" s="34"/>
    </row>
    <row r="34" spans="2:11">
      <c r="B34" s="1" t="s">
        <v>48</v>
      </c>
      <c r="C34" s="21" t="s">
        <v>49</v>
      </c>
      <c r="D34" s="29" t="s">
        <v>50</v>
      </c>
      <c r="E34" s="30" t="s">
        <v>27</v>
      </c>
      <c r="F34" s="31">
        <v>75600</v>
      </c>
      <c r="G34" s="32">
        <v>76.83</v>
      </c>
      <c r="H34" s="32">
        <v>0.61</v>
      </c>
      <c r="I34" s="33">
        <v>7.4130731000000001</v>
      </c>
      <c r="J34" s="33"/>
      <c r="K34" s="34"/>
    </row>
    <row r="35" spans="2:11">
      <c r="B35" s="1" t="s">
        <v>51</v>
      </c>
      <c r="C35" s="21" t="s">
        <v>52</v>
      </c>
      <c r="D35" s="29" t="s">
        <v>53</v>
      </c>
      <c r="E35" s="30" t="s">
        <v>27</v>
      </c>
      <c r="F35" s="31">
        <v>500</v>
      </c>
      <c r="G35" s="32">
        <v>0.52</v>
      </c>
      <c r="H35" s="32" t="s">
        <v>54</v>
      </c>
      <c r="I35" s="33">
        <v>7.7204138000000002</v>
      </c>
      <c r="J35" s="33"/>
      <c r="K35" s="34"/>
    </row>
    <row r="36" spans="2:11">
      <c r="B36" s="1" t="s">
        <v>55</v>
      </c>
      <c r="C36" s="21" t="s">
        <v>56</v>
      </c>
      <c r="D36" s="29" t="s">
        <v>57</v>
      </c>
      <c r="E36" s="30" t="s">
        <v>27</v>
      </c>
      <c r="F36" s="31">
        <v>300</v>
      </c>
      <c r="G36" s="32">
        <v>0.3</v>
      </c>
      <c r="H36" s="32" t="s">
        <v>54</v>
      </c>
      <c r="I36" s="33">
        <v>7.4608761000000001</v>
      </c>
      <c r="J36" s="33"/>
      <c r="K36" s="34"/>
    </row>
    <row r="37" spans="2:11">
      <c r="C37" s="28" t="s">
        <v>37</v>
      </c>
      <c r="D37" s="29"/>
      <c r="E37" s="30"/>
      <c r="F37" s="31"/>
      <c r="G37" s="38">
        <v>2619.21</v>
      </c>
      <c r="H37" s="38">
        <v>20.74</v>
      </c>
      <c r="I37" s="33"/>
      <c r="J37" s="33"/>
      <c r="K37" s="34"/>
    </row>
    <row r="38" spans="2:11">
      <c r="C38" s="21"/>
      <c r="D38" s="29"/>
      <c r="E38" s="30"/>
      <c r="F38" s="31"/>
      <c r="G38" s="32"/>
      <c r="H38" s="32"/>
      <c r="I38" s="33"/>
      <c r="J38" s="33"/>
      <c r="K38" s="34"/>
    </row>
    <row r="39" spans="2:11">
      <c r="C39" s="28" t="s">
        <v>58</v>
      </c>
      <c r="D39" s="29"/>
      <c r="E39" s="30"/>
      <c r="F39" s="31"/>
      <c r="G39" s="32"/>
      <c r="H39" s="32"/>
      <c r="I39" s="33"/>
      <c r="J39" s="33"/>
      <c r="K39" s="34"/>
    </row>
    <row r="40" spans="2:11">
      <c r="C40" s="21"/>
      <c r="D40" s="29"/>
      <c r="E40" s="30"/>
      <c r="F40" s="31"/>
      <c r="G40" s="32"/>
      <c r="H40" s="32"/>
      <c r="I40" s="33"/>
      <c r="J40" s="33"/>
      <c r="K40" s="34"/>
    </row>
    <row r="41" spans="2:11">
      <c r="C41" s="28" t="s">
        <v>59</v>
      </c>
      <c r="D41" s="29"/>
      <c r="E41" s="30"/>
      <c r="F41" s="31"/>
      <c r="G41" s="32" t="s">
        <v>16</v>
      </c>
      <c r="H41" s="32" t="s">
        <v>16</v>
      </c>
      <c r="I41" s="33"/>
      <c r="J41" s="33"/>
      <c r="K41" s="34"/>
    </row>
    <row r="42" spans="2:11">
      <c r="C42" s="21"/>
      <c r="D42" s="29"/>
      <c r="E42" s="30"/>
      <c r="F42" s="31"/>
      <c r="G42" s="32"/>
      <c r="H42" s="32"/>
      <c r="I42" s="33"/>
      <c r="J42" s="33"/>
      <c r="K42" s="34"/>
    </row>
    <row r="43" spans="2:11">
      <c r="C43" s="28" t="s">
        <v>60</v>
      </c>
      <c r="D43" s="29"/>
      <c r="E43" s="30"/>
      <c r="F43" s="31"/>
      <c r="G43" s="32" t="s">
        <v>16</v>
      </c>
      <c r="H43" s="32" t="s">
        <v>16</v>
      </c>
      <c r="I43" s="33"/>
      <c r="J43" s="33"/>
      <c r="K43" s="34"/>
    </row>
    <row r="44" spans="2:11">
      <c r="C44" s="21"/>
      <c r="D44" s="29"/>
      <c r="E44" s="30"/>
      <c r="F44" s="31"/>
      <c r="G44" s="32"/>
      <c r="H44" s="32"/>
      <c r="I44" s="33"/>
      <c r="J44" s="33"/>
      <c r="K44" s="34"/>
    </row>
    <row r="45" spans="2:11">
      <c r="C45" s="28" t="s">
        <v>61</v>
      </c>
      <c r="D45" s="29"/>
      <c r="E45" s="30"/>
      <c r="F45" s="31"/>
      <c r="G45" s="32" t="s">
        <v>16</v>
      </c>
      <c r="H45" s="32" t="s">
        <v>16</v>
      </c>
      <c r="I45" s="33"/>
      <c r="J45" s="33"/>
      <c r="K45" s="34"/>
    </row>
    <row r="46" spans="2:11">
      <c r="C46" s="21"/>
      <c r="D46" s="29"/>
      <c r="E46" s="30"/>
      <c r="F46" s="31"/>
      <c r="G46" s="32"/>
      <c r="H46" s="32"/>
      <c r="I46" s="33"/>
      <c r="J46" s="33"/>
      <c r="K46" s="34"/>
    </row>
    <row r="47" spans="2:11">
      <c r="C47" s="28" t="s">
        <v>62</v>
      </c>
      <c r="D47" s="29"/>
      <c r="E47" s="30"/>
      <c r="F47" s="31"/>
      <c r="G47" s="32" t="s">
        <v>16</v>
      </c>
      <c r="H47" s="32" t="s">
        <v>16</v>
      </c>
      <c r="I47" s="33"/>
      <c r="J47" s="33"/>
      <c r="K47" s="34"/>
    </row>
    <row r="48" spans="2:11">
      <c r="C48" s="21"/>
      <c r="D48" s="29"/>
      <c r="E48" s="30"/>
      <c r="F48" s="31"/>
      <c r="G48" s="32"/>
      <c r="H48" s="32"/>
      <c r="I48" s="33"/>
      <c r="J48" s="33"/>
      <c r="K48" s="34"/>
    </row>
    <row r="49" spans="1:11">
      <c r="A49" s="35"/>
      <c r="B49" s="36"/>
      <c r="C49" s="28" t="s">
        <v>63</v>
      </c>
      <c r="D49" s="29"/>
      <c r="E49" s="30"/>
      <c r="F49" s="31"/>
      <c r="G49" s="32"/>
      <c r="H49" s="32"/>
      <c r="I49" s="33"/>
      <c r="J49" s="33"/>
      <c r="K49" s="34"/>
    </row>
    <row r="50" spans="1:11">
      <c r="A50" s="36"/>
      <c r="B50" s="36"/>
      <c r="C50" s="28" t="s">
        <v>64</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65</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66</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67</v>
      </c>
      <c r="D56" s="29"/>
      <c r="E56" s="30"/>
      <c r="F56" s="31"/>
      <c r="G56" s="32" t="s">
        <v>16</v>
      </c>
      <c r="H56" s="32" t="s">
        <v>16</v>
      </c>
      <c r="I56" s="33"/>
      <c r="J56" s="33"/>
      <c r="K56" s="34"/>
    </row>
    <row r="57" spans="1:11">
      <c r="A57" s="36"/>
      <c r="B57" s="36"/>
      <c r="C57" s="28"/>
      <c r="D57" s="29"/>
      <c r="E57" s="30"/>
      <c r="F57" s="31"/>
      <c r="G57" s="32"/>
      <c r="H57" s="32"/>
      <c r="I57" s="33"/>
      <c r="J57" s="33"/>
      <c r="K57" s="34"/>
    </row>
    <row r="58" spans="1:11">
      <c r="C58" s="37" t="s">
        <v>68</v>
      </c>
      <c r="D58" s="29"/>
      <c r="E58" s="30"/>
      <c r="F58" s="31"/>
      <c r="G58" s="32"/>
      <c r="H58" s="32"/>
      <c r="I58" s="33"/>
      <c r="J58" s="33"/>
      <c r="K58" s="34"/>
    </row>
    <row r="59" spans="1:11">
      <c r="B59" s="1" t="s">
        <v>69</v>
      </c>
      <c r="C59" s="21" t="s">
        <v>70</v>
      </c>
      <c r="D59" s="29"/>
      <c r="E59" s="30"/>
      <c r="F59" s="31"/>
      <c r="G59" s="32">
        <v>1475.33</v>
      </c>
      <c r="H59" s="32">
        <v>11.68</v>
      </c>
      <c r="I59" s="33">
        <v>7.14</v>
      </c>
      <c r="J59" s="33"/>
      <c r="K59" s="34"/>
    </row>
    <row r="60" spans="1:11">
      <c r="C60" s="28" t="s">
        <v>37</v>
      </c>
      <c r="D60" s="29"/>
      <c r="E60" s="30"/>
      <c r="F60" s="31"/>
      <c r="G60" s="38">
        <v>1475.33</v>
      </c>
      <c r="H60" s="38">
        <v>11.68</v>
      </c>
      <c r="I60" s="33"/>
      <c r="J60" s="33"/>
      <c r="K60" s="34"/>
    </row>
    <row r="61" spans="1:11">
      <c r="C61" s="21"/>
      <c r="D61" s="29"/>
      <c r="E61" s="30"/>
      <c r="F61" s="31"/>
      <c r="G61" s="32"/>
      <c r="H61" s="32"/>
      <c r="I61" s="33"/>
      <c r="J61" s="33"/>
      <c r="K61" s="34"/>
    </row>
    <row r="62" spans="1:11">
      <c r="A62" s="35"/>
      <c r="B62" s="36"/>
      <c r="C62" s="28" t="s">
        <v>71</v>
      </c>
      <c r="D62" s="29"/>
      <c r="E62" s="30"/>
      <c r="F62" s="31"/>
      <c r="G62" s="32"/>
      <c r="H62" s="32"/>
      <c r="I62" s="33"/>
      <c r="J62" s="33"/>
      <c r="K62" s="34"/>
    </row>
    <row r="63" spans="1:11">
      <c r="B63" s="1"/>
      <c r="C63" s="21" t="s">
        <v>72</v>
      </c>
      <c r="D63" s="29"/>
      <c r="E63" s="30"/>
      <c r="F63" s="31"/>
      <c r="G63" s="32">
        <v>3679.32</v>
      </c>
      <c r="H63" s="32">
        <v>29.1</v>
      </c>
      <c r="I63" s="33"/>
      <c r="J63" s="33"/>
      <c r="K63" s="34"/>
    </row>
    <row r="64" spans="1:11">
      <c r="C64" s="28" t="s">
        <v>37</v>
      </c>
      <c r="D64" s="29"/>
      <c r="E64" s="30"/>
      <c r="F64" s="31"/>
      <c r="G64" s="38">
        <v>3679.32</v>
      </c>
      <c r="H64" s="38">
        <v>29.1</v>
      </c>
      <c r="I64" s="33"/>
      <c r="J64" s="33"/>
      <c r="K64" s="34"/>
    </row>
    <row r="65" spans="3:54">
      <c r="C65" s="21"/>
      <c r="D65" s="29"/>
      <c r="E65" s="30"/>
      <c r="F65" s="31"/>
      <c r="G65" s="32"/>
      <c r="H65" s="32"/>
      <c r="I65" s="33"/>
      <c r="J65" s="33"/>
      <c r="K65" s="34"/>
    </row>
    <row r="66" spans="3:54" ht="14.4" thickBot="1">
      <c r="C66" s="39" t="s">
        <v>73</v>
      </c>
      <c r="D66" s="40"/>
      <c r="E66" s="41"/>
      <c r="F66" s="42"/>
      <c r="G66" s="43">
        <v>12633.61</v>
      </c>
      <c r="H66" s="43">
        <f>SUMIFS(H:H,C:C,"Total")</f>
        <v>100</v>
      </c>
      <c r="I66" s="44"/>
      <c r="J66" s="44"/>
      <c r="K66" s="45"/>
    </row>
    <row r="69" spans="3:54">
      <c r="C69" s="11" t="s">
        <v>74</v>
      </c>
    </row>
    <row r="70" spans="3:54">
      <c r="C70" s="2" t="s">
        <v>75</v>
      </c>
    </row>
    <row r="71" spans="3:54">
      <c r="C71" s="46" t="s">
        <v>76</v>
      </c>
    </row>
    <row r="72" spans="3:54">
      <c r="C72" s="2" t="s">
        <v>77</v>
      </c>
    </row>
    <row r="73" spans="3:54">
      <c r="C73" s="2" t="s">
        <v>78</v>
      </c>
    </row>
    <row r="74" spans="3:54">
      <c r="C74" s="2" t="s">
        <v>79</v>
      </c>
      <c r="D74" s="47"/>
      <c r="E74" s="47"/>
      <c r="F74" s="47"/>
      <c r="G74" s="48"/>
      <c r="H74" s="48"/>
    </row>
    <row r="75" spans="3:54">
      <c r="C75" s="2" t="s">
        <v>80</v>
      </c>
    </row>
    <row r="76" spans="3:54">
      <c r="C76" s="2" t="s">
        <v>81</v>
      </c>
    </row>
    <row r="77" spans="3:54">
      <c r="C77" s="2" t="s">
        <v>82</v>
      </c>
    </row>
    <row r="78" spans="3:54">
      <c r="C78" s="2" t="s">
        <v>83</v>
      </c>
    </row>
    <row r="79" spans="3:54" s="11" customFormat="1">
      <c r="C79" s="11" t="s">
        <v>84</v>
      </c>
      <c r="E79" s="11" t="s">
        <v>85</v>
      </c>
      <c r="F79" s="49" t="s">
        <v>86</v>
      </c>
      <c r="G79" s="50"/>
      <c r="H79" s="50"/>
      <c r="I79" s="50"/>
      <c r="J79" s="50"/>
      <c r="K79" s="51"/>
      <c r="L79" s="51"/>
      <c r="AI79" s="51"/>
      <c r="AV79" s="51"/>
      <c r="AX79" s="51"/>
      <c r="BB79" s="51"/>
    </row>
    <row r="80" spans="3:54">
      <c r="C80" s="2" t="s">
        <v>87</v>
      </c>
      <c r="E80" s="52">
        <v>10.0738</v>
      </c>
      <c r="F80" s="53">
        <v>10.114800000000001</v>
      </c>
    </row>
    <row r="81" spans="3:6">
      <c r="C81" s="2" t="s">
        <v>88</v>
      </c>
      <c r="E81" s="52">
        <v>38.152099999999997</v>
      </c>
      <c r="F81" s="53">
        <v>38.661000000000001</v>
      </c>
    </row>
    <row r="82" spans="3:6">
      <c r="C82" s="2" t="s">
        <v>89</v>
      </c>
      <c r="E82" s="52">
        <v>10.2514</v>
      </c>
      <c r="F82" s="53">
        <v>10.0776</v>
      </c>
    </row>
    <row r="83" spans="3:6">
      <c r="C83" s="2" t="s">
        <v>90</v>
      </c>
      <c r="E83" s="52">
        <v>10.084199999999999</v>
      </c>
      <c r="F83" s="53">
        <v>10.1686</v>
      </c>
    </row>
    <row r="84" spans="3:6">
      <c r="C84" s="2" t="s">
        <v>91</v>
      </c>
      <c r="E84" s="52">
        <v>10.184200000000001</v>
      </c>
      <c r="F84" s="53">
        <v>10.169700000000001</v>
      </c>
    </row>
    <row r="85" spans="3:6">
      <c r="C85" s="2" t="s">
        <v>92</v>
      </c>
      <c r="E85" s="52">
        <v>10.0434</v>
      </c>
      <c r="F85" s="53">
        <v>10.1004</v>
      </c>
    </row>
    <row r="86" spans="3:6">
      <c r="C86" s="2" t="s">
        <v>93</v>
      </c>
      <c r="E86" s="52">
        <v>26.870100000000001</v>
      </c>
      <c r="F86" s="53">
        <v>27.2285</v>
      </c>
    </row>
    <row r="87" spans="3:6">
      <c r="C87" s="2" t="s">
        <v>94</v>
      </c>
      <c r="E87" s="52">
        <v>10.0806</v>
      </c>
      <c r="F87" s="53">
        <v>10.114800000000001</v>
      </c>
    </row>
    <row r="88" spans="3:6">
      <c r="C88" s="2" t="s">
        <v>95</v>
      </c>
      <c r="E88" s="52">
        <v>41.543799999999997</v>
      </c>
      <c r="F88" s="53">
        <v>42.132899999999999</v>
      </c>
    </row>
    <row r="89" spans="3:6">
      <c r="C89" s="2" t="s">
        <v>96</v>
      </c>
      <c r="E89" s="52">
        <v>10.2387</v>
      </c>
      <c r="F89" s="53">
        <v>10.3338</v>
      </c>
    </row>
    <row r="90" spans="3:6">
      <c r="C90" s="2" t="s">
        <v>97</v>
      </c>
      <c r="E90" s="52">
        <v>10.373100000000001</v>
      </c>
      <c r="F90" s="53">
        <v>10.36</v>
      </c>
    </row>
    <row r="91" spans="3:6">
      <c r="C91" s="2" t="s">
        <v>98</v>
      </c>
      <c r="E91" s="52">
        <v>10.048999999999999</v>
      </c>
      <c r="F91" s="53">
        <v>10.1013</v>
      </c>
    </row>
    <row r="92" spans="3:6">
      <c r="C92" s="2" t="s">
        <v>99</v>
      </c>
      <c r="E92" s="54">
        <v>10</v>
      </c>
      <c r="F92" s="55">
        <v>10</v>
      </c>
    </row>
    <row r="94" spans="3:6">
      <c r="C94" s="2" t="s">
        <v>100</v>
      </c>
      <c r="E94" s="11" t="s">
        <v>101</v>
      </c>
      <c r="F94" s="49" t="s">
        <v>102</v>
      </c>
    </row>
    <row r="95" spans="3:6">
      <c r="C95" s="2" t="s">
        <v>87</v>
      </c>
      <c r="E95" s="52">
        <v>9.3010249999999989E-2</v>
      </c>
      <c r="F95" s="53">
        <v>9.3010249999999989E-2</v>
      </c>
    </row>
    <row r="96" spans="3:6">
      <c r="C96" s="2" t="s">
        <v>89</v>
      </c>
      <c r="E96" s="52">
        <v>0.31</v>
      </c>
      <c r="F96" s="53">
        <v>0.31</v>
      </c>
    </row>
    <row r="97" spans="3:6">
      <c r="C97" s="2" t="s">
        <v>90</v>
      </c>
      <c r="E97" s="52">
        <v>0.05</v>
      </c>
      <c r="F97" s="53">
        <v>0.05</v>
      </c>
    </row>
    <row r="98" spans="3:6">
      <c r="C98" s="2" t="s">
        <v>91</v>
      </c>
      <c r="E98" s="52">
        <v>0.15</v>
      </c>
      <c r="F98" s="53">
        <v>0.15</v>
      </c>
    </row>
    <row r="99" spans="3:6">
      <c r="C99" s="2" t="s">
        <v>92</v>
      </c>
      <c r="E99" s="52">
        <v>7.6560249999999996E-2</v>
      </c>
      <c r="F99" s="53">
        <v>7.6560249999999996E-2</v>
      </c>
    </row>
    <row r="100" spans="3:6">
      <c r="C100" s="2" t="s">
        <v>94</v>
      </c>
      <c r="E100" s="52">
        <v>0.10821409</v>
      </c>
      <c r="F100" s="53">
        <v>0.10821409</v>
      </c>
    </row>
    <row r="101" spans="3:6">
      <c r="C101" s="2" t="s">
        <v>96</v>
      </c>
      <c r="E101" s="52">
        <v>0.05</v>
      </c>
      <c r="F101" s="53">
        <v>0.05</v>
      </c>
    </row>
    <row r="102" spans="3:6">
      <c r="C102" s="2" t="s">
        <v>97</v>
      </c>
      <c r="E102" s="52">
        <v>0.16</v>
      </c>
      <c r="F102" s="53">
        <v>0.16</v>
      </c>
    </row>
    <row r="103" spans="3:6">
      <c r="C103" s="2" t="s">
        <v>98</v>
      </c>
      <c r="E103" s="52">
        <v>8.985804E-2</v>
      </c>
      <c r="F103" s="53">
        <v>8.985804E-2</v>
      </c>
    </row>
    <row r="105" spans="3:6">
      <c r="C105" s="2" t="s">
        <v>103</v>
      </c>
    </row>
    <row r="106" spans="3:6">
      <c r="C106" s="2" t="s">
        <v>104</v>
      </c>
    </row>
    <row r="107" spans="3:6">
      <c r="C107" s="2" t="s">
        <v>105</v>
      </c>
    </row>
    <row r="108" spans="3:6">
      <c r="C108" s="2" t="s">
        <v>106</v>
      </c>
    </row>
    <row r="109" spans="3:6">
      <c r="C109" s="2" t="s">
        <v>107</v>
      </c>
    </row>
    <row r="110" spans="3:6">
      <c r="C110" s="2" t="s">
        <v>108</v>
      </c>
    </row>
    <row r="111" spans="3:6">
      <c r="C111" s="2" t="s">
        <v>109</v>
      </c>
    </row>
    <row r="112" spans="3:6">
      <c r="C112" s="2" t="s">
        <v>110</v>
      </c>
    </row>
    <row r="113" spans="3:11">
      <c r="C113" s="2" t="s">
        <v>111</v>
      </c>
    </row>
    <row r="114" spans="3:11">
      <c r="C114" s="2" t="s">
        <v>112</v>
      </c>
    </row>
    <row r="115" spans="3:11">
      <c r="C115" s="2" t="s">
        <v>113</v>
      </c>
    </row>
    <row r="116" spans="3:11">
      <c r="C116" s="2" t="s">
        <v>114</v>
      </c>
    </row>
    <row r="117" spans="3:11">
      <c r="C117" s="2" t="s">
        <v>115</v>
      </c>
    </row>
    <row r="118" spans="3:11">
      <c r="C118" s="2" t="s">
        <v>116</v>
      </c>
    </row>
    <row r="119" spans="3:11" ht="14.4">
      <c r="C119" s="56"/>
      <c r="D119" s="56"/>
      <c r="E119" s="57"/>
      <c r="F119" s="57"/>
      <c r="G119" s="57"/>
      <c r="H119" s="57"/>
      <c r="I119" s="57"/>
      <c r="J119" s="57"/>
      <c r="K119" s="57"/>
    </row>
    <row r="120" spans="3:11" ht="14.4">
      <c r="C120" s="57"/>
      <c r="D120" s="57"/>
      <c r="E120" s="57"/>
      <c r="F120" s="57"/>
      <c r="G120" s="57"/>
      <c r="H120" s="57"/>
      <c r="I120" s="57"/>
      <c r="J120" s="57"/>
      <c r="K120" s="57"/>
    </row>
    <row r="121" spans="3:11" ht="14.4">
      <c r="C121" s="57"/>
      <c r="D121" s="57"/>
      <c r="E121" s="57"/>
      <c r="F121" s="57"/>
      <c r="G121" s="57"/>
      <c r="H121" s="57"/>
      <c r="I121" s="57"/>
      <c r="J121" s="57"/>
      <c r="K121" s="57"/>
    </row>
    <row r="139" spans="3:54" ht="14.4" thickBot="1"/>
    <row r="140" spans="3:54" ht="14.4" thickBot="1">
      <c r="C140" s="68" t="s">
        <v>117</v>
      </c>
      <c r="D140" s="69"/>
      <c r="E140" s="69"/>
      <c r="F140" s="70"/>
      <c r="L140" s="2"/>
      <c r="AH140" s="10"/>
      <c r="AI140" s="2"/>
      <c r="AU140" s="10"/>
      <c r="AV140" s="2"/>
      <c r="AW140" s="10"/>
      <c r="AX140" s="2"/>
      <c r="BA140" s="10"/>
      <c r="BB140" s="2"/>
    </row>
    <row r="141" spans="3:54" ht="14.4" thickBot="1">
      <c r="C141" s="58" t="s">
        <v>118</v>
      </c>
      <c r="D141" s="71" t="s">
        <v>119</v>
      </c>
      <c r="E141" s="71" t="s">
        <v>120</v>
      </c>
      <c r="F141" s="71" t="s">
        <v>121</v>
      </c>
      <c r="L141" s="2"/>
      <c r="AH141" s="10"/>
      <c r="AI141" s="2"/>
      <c r="AU141" s="10"/>
      <c r="AV141" s="2"/>
      <c r="AW141" s="10"/>
      <c r="AX141" s="2"/>
      <c r="BA141" s="10"/>
      <c r="BB141" s="2"/>
    </row>
    <row r="142" spans="3:54" ht="14.4" thickBot="1">
      <c r="C142" s="58" t="s">
        <v>122</v>
      </c>
      <c r="D142" s="72"/>
      <c r="E142" s="72"/>
      <c r="F142" s="72"/>
      <c r="L142" s="2"/>
      <c r="AH142" s="10"/>
      <c r="AI142" s="2"/>
      <c r="AU142" s="10"/>
      <c r="AV142" s="2"/>
      <c r="AW142" s="10"/>
      <c r="AX142" s="2"/>
      <c r="BA142" s="10"/>
      <c r="BB142" s="2"/>
    </row>
    <row r="143" spans="3:54" ht="14.4" thickBot="1">
      <c r="C143" s="59" t="s">
        <v>123</v>
      </c>
      <c r="D143" s="60"/>
      <c r="E143" s="60"/>
      <c r="F143" s="60"/>
      <c r="L143" s="2"/>
      <c r="AH143" s="10"/>
      <c r="AI143" s="2"/>
      <c r="AU143" s="10"/>
      <c r="AV143" s="2"/>
      <c r="AW143" s="10"/>
      <c r="AX143" s="2"/>
      <c r="BA143" s="10"/>
      <c r="BB143" s="2"/>
    </row>
    <row r="144" spans="3:54">
      <c r="C144" s="61" t="s">
        <v>124</v>
      </c>
      <c r="D144" s="64"/>
      <c r="E144" s="64"/>
      <c r="F144" s="64"/>
      <c r="L144" s="2"/>
      <c r="AH144" s="10"/>
      <c r="AI144" s="2"/>
      <c r="AU144" s="10"/>
      <c r="AV144" s="2"/>
      <c r="AW144" s="10"/>
      <c r="AX144" s="2"/>
      <c r="BA144" s="10"/>
      <c r="BB144" s="2"/>
    </row>
    <row r="145" spans="3:54" ht="14.4" thickBot="1">
      <c r="C145" s="59" t="s">
        <v>125</v>
      </c>
      <c r="D145" s="65"/>
      <c r="E145" s="65"/>
      <c r="F145" s="65"/>
      <c r="L145" s="2"/>
      <c r="AH145" s="10"/>
      <c r="AI145" s="2"/>
      <c r="AU145" s="10"/>
      <c r="AV145" s="2"/>
      <c r="AW145" s="10"/>
      <c r="AX145" s="2"/>
      <c r="BA145" s="10"/>
      <c r="BB145" s="2"/>
    </row>
    <row r="146" spans="3:54">
      <c r="C146" s="61" t="s">
        <v>126</v>
      </c>
      <c r="D146" s="64"/>
      <c r="E146" s="66" t="s">
        <v>127</v>
      </c>
      <c r="F146" s="64"/>
      <c r="L146" s="2"/>
      <c r="AH146" s="10"/>
      <c r="AI146" s="2"/>
      <c r="AU146" s="10"/>
      <c r="AV146" s="2"/>
      <c r="AW146" s="10"/>
      <c r="AX146" s="2"/>
      <c r="BA146" s="10"/>
      <c r="BB146" s="2"/>
    </row>
    <row r="147" spans="3:54" ht="14.4" thickBot="1">
      <c r="C147" s="59" t="s">
        <v>128</v>
      </c>
      <c r="D147" s="65"/>
      <c r="E147" s="67"/>
      <c r="F147" s="65"/>
      <c r="L147" s="2"/>
      <c r="AH147" s="10"/>
      <c r="AI147" s="2"/>
      <c r="AU147" s="10"/>
      <c r="AV147" s="2"/>
      <c r="AW147" s="10"/>
      <c r="AX147" s="2"/>
      <c r="BA147" s="10"/>
      <c r="BB147" s="2"/>
    </row>
    <row r="148" spans="3:54">
      <c r="C148" s="62" t="s">
        <v>129</v>
      </c>
      <c r="D148" s="63"/>
      <c r="E148" s="63"/>
      <c r="F148" s="63"/>
      <c r="L148" s="2"/>
      <c r="AH148" s="10"/>
      <c r="AI148" s="2"/>
      <c r="AU148" s="10"/>
      <c r="AV148" s="2"/>
      <c r="AW148" s="10"/>
      <c r="AX148" s="2"/>
      <c r="BA148" s="10"/>
      <c r="BB148" s="2"/>
    </row>
    <row r="149" spans="3:54">
      <c r="C149" s="2" t="s">
        <v>130</v>
      </c>
      <c r="D149" s="63"/>
      <c r="E149" s="63"/>
      <c r="F149" s="63"/>
      <c r="L149" s="2"/>
      <c r="AH149" s="10"/>
      <c r="AI149" s="2"/>
      <c r="AU149" s="10"/>
      <c r="AV149" s="2"/>
      <c r="AW149" s="10"/>
      <c r="AX149" s="2"/>
      <c r="BA149" s="10"/>
      <c r="BB149" s="2"/>
    </row>
  </sheetData>
  <mergeCells count="10">
    <mergeCell ref="D146:D147"/>
    <mergeCell ref="E146:E147"/>
    <mergeCell ref="F146:F147"/>
    <mergeCell ref="C140:F140"/>
    <mergeCell ref="D141:D142"/>
    <mergeCell ref="E141:E142"/>
    <mergeCell ref="F141:F142"/>
    <mergeCell ref="D144:D145"/>
    <mergeCell ref="E144:E145"/>
    <mergeCell ref="F144:F145"/>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51"/>
  <sheetViews>
    <sheetView topLeftCell="A134" workbookViewId="0">
      <selection activeCell="C150" sqref="C15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3" t="s">
        <v>131</v>
      </c>
      <c r="D2" s="74"/>
      <c r="E2" s="74"/>
      <c r="F2" s="74"/>
      <c r="G2" s="74"/>
      <c r="H2" s="74"/>
      <c r="I2" s="74"/>
      <c r="J2" s="74"/>
      <c r="K2" s="75"/>
      <c r="M2" s="9"/>
    </row>
    <row r="3" spans="1:54" ht="14.4" thickBot="1">
      <c r="C3" s="76"/>
      <c r="D3" s="77"/>
      <c r="E3" s="77"/>
      <c r="F3" s="77"/>
      <c r="G3" s="77"/>
      <c r="H3" s="77"/>
      <c r="I3" s="77"/>
      <c r="J3" s="77"/>
      <c r="K3" s="78"/>
    </row>
    <row r="4" spans="1:54" ht="14.4" thickBot="1">
      <c r="A4" s="1"/>
      <c r="C4" s="1"/>
      <c r="D4" s="1"/>
      <c r="E4" s="1"/>
      <c r="F4" s="3"/>
      <c r="G4" s="4"/>
      <c r="H4" s="4"/>
      <c r="I4" s="4"/>
      <c r="J4" s="4"/>
      <c r="K4" s="5"/>
      <c r="L4" s="2"/>
      <c r="AH4" s="5"/>
      <c r="AI4" s="2"/>
      <c r="AU4" s="5"/>
      <c r="AV4" s="2"/>
      <c r="AW4" s="5"/>
      <c r="AX4" s="2"/>
      <c r="BA4" s="5"/>
      <c r="BB4" s="2"/>
    </row>
    <row r="5" spans="1:54" ht="22.2" thickBot="1">
      <c r="C5" s="79" t="s">
        <v>132</v>
      </c>
      <c r="D5" s="80"/>
      <c r="E5" s="80"/>
      <c r="F5" s="80"/>
      <c r="G5" s="80"/>
      <c r="H5" s="80"/>
      <c r="I5" s="80"/>
      <c r="J5" s="80"/>
      <c r="K5" s="81"/>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A18" s="36"/>
      <c r="B18" s="36"/>
      <c r="C18" s="28" t="s">
        <v>20</v>
      </c>
      <c r="D18" s="29"/>
      <c r="E18" s="30"/>
      <c r="F18" s="31"/>
      <c r="G18" s="32" t="s">
        <v>16</v>
      </c>
      <c r="H18" s="32" t="s">
        <v>16</v>
      </c>
      <c r="I18" s="33"/>
      <c r="J18" s="33"/>
      <c r="K18" s="34"/>
    </row>
    <row r="19" spans="1:11">
      <c r="A19" s="36"/>
      <c r="B19" s="36"/>
      <c r="C19" s="28"/>
      <c r="D19" s="29"/>
      <c r="E19" s="30"/>
      <c r="F19" s="31"/>
      <c r="G19" s="32"/>
      <c r="H19" s="32"/>
      <c r="I19" s="33"/>
      <c r="J19" s="33"/>
      <c r="K19" s="34"/>
    </row>
    <row r="20" spans="1:11">
      <c r="A20" s="36"/>
      <c r="B20" s="36"/>
      <c r="C20" s="28" t="s">
        <v>21</v>
      </c>
      <c r="D20" s="29"/>
      <c r="E20" s="30"/>
      <c r="F20" s="31"/>
      <c r="G20" s="32" t="s">
        <v>16</v>
      </c>
      <c r="H20" s="32" t="s">
        <v>16</v>
      </c>
      <c r="I20" s="33"/>
      <c r="J20" s="33"/>
      <c r="K20" s="34"/>
    </row>
    <row r="21" spans="1:11">
      <c r="A21" s="36"/>
      <c r="B21" s="36"/>
      <c r="C21" s="28"/>
      <c r="D21" s="29"/>
      <c r="E21" s="30"/>
      <c r="F21" s="31"/>
      <c r="G21" s="32"/>
      <c r="H21" s="32"/>
      <c r="I21" s="33"/>
      <c r="J21" s="33"/>
      <c r="K21" s="34"/>
    </row>
    <row r="22" spans="1:11">
      <c r="A22" s="36"/>
      <c r="B22" s="36"/>
      <c r="C22" s="28" t="s">
        <v>22</v>
      </c>
      <c r="D22" s="29"/>
      <c r="E22" s="30"/>
      <c r="F22" s="31"/>
      <c r="G22" s="32" t="s">
        <v>16</v>
      </c>
      <c r="H22" s="32" t="s">
        <v>16</v>
      </c>
      <c r="I22" s="33"/>
      <c r="J22" s="33"/>
      <c r="K22" s="34"/>
    </row>
    <row r="23" spans="1:11">
      <c r="A23" s="36"/>
      <c r="B23" s="36"/>
      <c r="C23" s="28"/>
      <c r="D23" s="29"/>
      <c r="E23" s="30"/>
      <c r="F23" s="31"/>
      <c r="G23" s="32"/>
      <c r="H23" s="32"/>
      <c r="I23" s="33"/>
      <c r="J23" s="33"/>
      <c r="K23" s="34"/>
    </row>
    <row r="24" spans="1:11">
      <c r="C24" s="37" t="s">
        <v>23</v>
      </c>
      <c r="D24" s="29"/>
      <c r="E24" s="30"/>
      <c r="F24" s="31"/>
      <c r="G24" s="32"/>
      <c r="H24" s="32"/>
      <c r="I24" s="33"/>
      <c r="J24" s="33"/>
      <c r="K24" s="34"/>
    </row>
    <row r="25" spans="1:11">
      <c r="B25" s="1" t="s">
        <v>24</v>
      </c>
      <c r="C25" s="21" t="s">
        <v>25</v>
      </c>
      <c r="D25" s="29" t="s">
        <v>26</v>
      </c>
      <c r="E25" s="30" t="s">
        <v>27</v>
      </c>
      <c r="F25" s="31">
        <v>2400000</v>
      </c>
      <c r="G25" s="32">
        <v>2390.94</v>
      </c>
      <c r="H25" s="32">
        <v>18.93</v>
      </c>
      <c r="I25" s="33">
        <v>7.4491791999999997</v>
      </c>
      <c r="J25" s="33"/>
      <c r="K25" s="34"/>
    </row>
    <row r="26" spans="1:11">
      <c r="B26" s="1" t="s">
        <v>28</v>
      </c>
      <c r="C26" s="21" t="s">
        <v>29</v>
      </c>
      <c r="D26" s="29" t="s">
        <v>30</v>
      </c>
      <c r="E26" s="30" t="s">
        <v>27</v>
      </c>
      <c r="F26" s="31">
        <v>1500000</v>
      </c>
      <c r="G26" s="32">
        <v>1490.67</v>
      </c>
      <c r="H26" s="32">
        <v>11.8</v>
      </c>
      <c r="I26" s="33">
        <v>7.3591496000000003</v>
      </c>
      <c r="J26" s="33"/>
      <c r="K26" s="34"/>
    </row>
    <row r="27" spans="1:11">
      <c r="B27" s="1" t="s">
        <v>31</v>
      </c>
      <c r="C27" s="21" t="s">
        <v>32</v>
      </c>
      <c r="D27" s="29" t="s">
        <v>33</v>
      </c>
      <c r="E27" s="30" t="s">
        <v>27</v>
      </c>
      <c r="F27" s="31">
        <v>500000</v>
      </c>
      <c r="G27" s="32">
        <v>503.49</v>
      </c>
      <c r="H27" s="32">
        <v>3.99</v>
      </c>
      <c r="I27" s="33">
        <v>7.3099584999999996</v>
      </c>
      <c r="J27" s="33"/>
      <c r="K27" s="34"/>
    </row>
    <row r="28" spans="1:11">
      <c r="B28" s="1" t="s">
        <v>34</v>
      </c>
      <c r="C28" s="21" t="s">
        <v>35</v>
      </c>
      <c r="D28" s="29" t="s">
        <v>36</v>
      </c>
      <c r="E28" s="30" t="s">
        <v>27</v>
      </c>
      <c r="F28" s="31">
        <v>500000</v>
      </c>
      <c r="G28" s="32">
        <v>474.65</v>
      </c>
      <c r="H28" s="32">
        <v>3.76</v>
      </c>
      <c r="I28" s="33">
        <v>7.3703158999999996</v>
      </c>
      <c r="J28" s="33"/>
      <c r="K28" s="34"/>
    </row>
    <row r="29" spans="1:11">
      <c r="C29" s="28" t="s">
        <v>37</v>
      </c>
      <c r="D29" s="29"/>
      <c r="E29" s="30"/>
      <c r="F29" s="31"/>
      <c r="G29" s="38">
        <v>4859.75</v>
      </c>
      <c r="H29" s="38">
        <v>38.479999999999997</v>
      </c>
      <c r="I29" s="33"/>
      <c r="J29" s="33"/>
      <c r="K29" s="34"/>
    </row>
    <row r="30" spans="1:11">
      <c r="C30" s="21"/>
      <c r="D30" s="29"/>
      <c r="E30" s="30"/>
      <c r="F30" s="31"/>
      <c r="G30" s="32"/>
      <c r="H30" s="32"/>
      <c r="I30" s="33"/>
      <c r="J30" s="33"/>
      <c r="K30" s="34"/>
    </row>
    <row r="31" spans="1:11">
      <c r="C31" s="37" t="s">
        <v>38</v>
      </c>
      <c r="D31" s="29"/>
      <c r="E31" s="30"/>
      <c r="F31" s="31"/>
      <c r="G31" s="32"/>
      <c r="H31" s="32"/>
      <c r="I31" s="33"/>
      <c r="J31" s="33"/>
      <c r="K31" s="34"/>
    </row>
    <row r="32" spans="1:11">
      <c r="B32" s="1" t="s">
        <v>39</v>
      </c>
      <c r="C32" s="21" t="s">
        <v>40</v>
      </c>
      <c r="D32" s="29" t="s">
        <v>41</v>
      </c>
      <c r="E32" s="30" t="s">
        <v>27</v>
      </c>
      <c r="F32" s="31">
        <v>2100000</v>
      </c>
      <c r="G32" s="32">
        <v>1995.77</v>
      </c>
      <c r="H32" s="32">
        <v>15.8</v>
      </c>
      <c r="I32" s="33">
        <v>7.7506705</v>
      </c>
      <c r="J32" s="33"/>
      <c r="K32" s="34"/>
    </row>
    <row r="33" spans="2:11">
      <c r="B33" s="1" t="s">
        <v>42</v>
      </c>
      <c r="C33" s="21" t="s">
        <v>43</v>
      </c>
      <c r="D33" s="29" t="s">
        <v>44</v>
      </c>
      <c r="E33" s="30" t="s">
        <v>27</v>
      </c>
      <c r="F33" s="31">
        <v>346800</v>
      </c>
      <c r="G33" s="32">
        <v>351.85</v>
      </c>
      <c r="H33" s="32">
        <v>2.79</v>
      </c>
      <c r="I33" s="33">
        <v>7.7340723999999996</v>
      </c>
      <c r="J33" s="33"/>
      <c r="K33" s="34"/>
    </row>
    <row r="34" spans="2:11">
      <c r="B34" s="1" t="s">
        <v>45</v>
      </c>
      <c r="C34" s="21" t="s">
        <v>46</v>
      </c>
      <c r="D34" s="29" t="s">
        <v>47</v>
      </c>
      <c r="E34" s="30" t="s">
        <v>27</v>
      </c>
      <c r="F34" s="31">
        <v>193200</v>
      </c>
      <c r="G34" s="32">
        <v>193.94</v>
      </c>
      <c r="H34" s="32">
        <v>1.54</v>
      </c>
      <c r="I34" s="33">
        <v>7.7687733999999997</v>
      </c>
      <c r="J34" s="33"/>
      <c r="K34" s="34"/>
    </row>
    <row r="35" spans="2:11">
      <c r="B35" s="1" t="s">
        <v>48</v>
      </c>
      <c r="C35" s="21" t="s">
        <v>49</v>
      </c>
      <c r="D35" s="29" t="s">
        <v>50</v>
      </c>
      <c r="E35" s="30" t="s">
        <v>27</v>
      </c>
      <c r="F35" s="31">
        <v>75600</v>
      </c>
      <c r="G35" s="32">
        <v>76.83</v>
      </c>
      <c r="H35" s="32">
        <v>0.61</v>
      </c>
      <c r="I35" s="33">
        <v>7.4130731000000001</v>
      </c>
      <c r="J35" s="33"/>
      <c r="K35" s="34"/>
    </row>
    <row r="36" spans="2:11">
      <c r="B36" s="1" t="s">
        <v>51</v>
      </c>
      <c r="C36" s="21" t="s">
        <v>52</v>
      </c>
      <c r="D36" s="29" t="s">
        <v>53</v>
      </c>
      <c r="E36" s="30" t="s">
        <v>27</v>
      </c>
      <c r="F36" s="31">
        <v>500</v>
      </c>
      <c r="G36" s="32">
        <v>0.52</v>
      </c>
      <c r="H36" s="32" t="s">
        <v>54</v>
      </c>
      <c r="I36" s="33">
        <v>7.7204138000000002</v>
      </c>
      <c r="J36" s="33"/>
      <c r="K36" s="34"/>
    </row>
    <row r="37" spans="2:11">
      <c r="B37" s="1" t="s">
        <v>55</v>
      </c>
      <c r="C37" s="21" t="s">
        <v>56</v>
      </c>
      <c r="D37" s="29" t="s">
        <v>57</v>
      </c>
      <c r="E37" s="30" t="s">
        <v>27</v>
      </c>
      <c r="F37" s="31">
        <v>300</v>
      </c>
      <c r="G37" s="32">
        <v>0.3</v>
      </c>
      <c r="H37" s="32" t="s">
        <v>54</v>
      </c>
      <c r="I37" s="33">
        <v>7.4608761000000001</v>
      </c>
      <c r="J37" s="33"/>
      <c r="K37" s="34"/>
    </row>
    <row r="38" spans="2:11">
      <c r="C38" s="28" t="s">
        <v>37</v>
      </c>
      <c r="D38" s="29"/>
      <c r="E38" s="30"/>
      <c r="F38" s="31"/>
      <c r="G38" s="38">
        <v>2619.21</v>
      </c>
      <c r="H38" s="38">
        <v>20.74</v>
      </c>
      <c r="I38" s="33"/>
      <c r="J38" s="33"/>
      <c r="K38" s="34"/>
    </row>
    <row r="39" spans="2:11">
      <c r="C39" s="21"/>
      <c r="D39" s="29"/>
      <c r="E39" s="30"/>
      <c r="F39" s="31"/>
      <c r="G39" s="32"/>
      <c r="H39" s="32"/>
      <c r="I39" s="33"/>
      <c r="J39" s="33"/>
      <c r="K39" s="34"/>
    </row>
    <row r="40" spans="2:11">
      <c r="C40" s="28" t="s">
        <v>58</v>
      </c>
      <c r="D40" s="29"/>
      <c r="E40" s="30"/>
      <c r="F40" s="31"/>
      <c r="G40" s="32"/>
      <c r="H40" s="32"/>
      <c r="I40" s="33"/>
      <c r="J40" s="33"/>
      <c r="K40" s="34"/>
    </row>
    <row r="41" spans="2:11">
      <c r="C41" s="21"/>
      <c r="D41" s="29"/>
      <c r="E41" s="30"/>
      <c r="F41" s="31"/>
      <c r="G41" s="32"/>
      <c r="H41" s="32"/>
      <c r="I41" s="33"/>
      <c r="J41" s="33"/>
      <c r="K41" s="34"/>
    </row>
    <row r="42" spans="2:11">
      <c r="C42" s="28" t="s">
        <v>59</v>
      </c>
      <c r="D42" s="29"/>
      <c r="E42" s="30"/>
      <c r="F42" s="31"/>
      <c r="G42" s="32" t="s">
        <v>16</v>
      </c>
      <c r="H42" s="32" t="s">
        <v>16</v>
      </c>
      <c r="I42" s="33"/>
      <c r="J42" s="33"/>
      <c r="K42" s="34"/>
    </row>
    <row r="43" spans="2:11">
      <c r="C43" s="21"/>
      <c r="D43" s="29"/>
      <c r="E43" s="30"/>
      <c r="F43" s="31"/>
      <c r="G43" s="32"/>
      <c r="H43" s="32"/>
      <c r="I43" s="33"/>
      <c r="J43" s="33"/>
      <c r="K43" s="34"/>
    </row>
    <row r="44" spans="2:11">
      <c r="C44" s="28" t="s">
        <v>60</v>
      </c>
      <c r="D44" s="29"/>
      <c r="E44" s="30"/>
      <c r="F44" s="31"/>
      <c r="G44" s="32" t="s">
        <v>16</v>
      </c>
      <c r="H44" s="32" t="s">
        <v>16</v>
      </c>
      <c r="I44" s="33"/>
      <c r="J44" s="33"/>
      <c r="K44" s="34"/>
    </row>
    <row r="45" spans="2:11">
      <c r="C45" s="21"/>
      <c r="D45" s="29"/>
      <c r="E45" s="30"/>
      <c r="F45" s="31"/>
      <c r="G45" s="32"/>
      <c r="H45" s="32"/>
      <c r="I45" s="33"/>
      <c r="J45" s="33"/>
      <c r="K45" s="34"/>
    </row>
    <row r="46" spans="2:11">
      <c r="C46" s="28" t="s">
        <v>61</v>
      </c>
      <c r="D46" s="29"/>
      <c r="E46" s="30"/>
      <c r="F46" s="31"/>
      <c r="G46" s="32" t="s">
        <v>16</v>
      </c>
      <c r="H46" s="32" t="s">
        <v>16</v>
      </c>
      <c r="I46" s="33"/>
      <c r="J46" s="33"/>
      <c r="K46" s="34"/>
    </row>
    <row r="47" spans="2:11">
      <c r="C47" s="21"/>
      <c r="D47" s="29"/>
      <c r="E47" s="30"/>
      <c r="F47" s="31"/>
      <c r="G47" s="32"/>
      <c r="H47" s="32"/>
      <c r="I47" s="33"/>
      <c r="J47" s="33"/>
      <c r="K47" s="34"/>
    </row>
    <row r="48" spans="2:11">
      <c r="C48" s="28" t="s">
        <v>62</v>
      </c>
      <c r="D48" s="29"/>
      <c r="E48" s="30"/>
      <c r="F48" s="31"/>
      <c r="G48" s="32" t="s">
        <v>16</v>
      </c>
      <c r="H48" s="32" t="s">
        <v>16</v>
      </c>
      <c r="I48" s="33"/>
      <c r="J48" s="33"/>
      <c r="K48" s="34"/>
    </row>
    <row r="49" spans="1:11">
      <c r="C49" s="21"/>
      <c r="D49" s="29"/>
      <c r="E49" s="30"/>
      <c r="F49" s="31"/>
      <c r="G49" s="32"/>
      <c r="H49" s="32"/>
      <c r="I49" s="33"/>
      <c r="J49" s="33"/>
      <c r="K49" s="34"/>
    </row>
    <row r="50" spans="1:11">
      <c r="A50" s="35"/>
      <c r="B50" s="36"/>
      <c r="C50" s="28" t="s">
        <v>63</v>
      </c>
      <c r="D50" s="29"/>
      <c r="E50" s="30"/>
      <c r="F50" s="31"/>
      <c r="G50" s="32"/>
      <c r="H50" s="32"/>
      <c r="I50" s="33"/>
      <c r="J50" s="33"/>
      <c r="K50" s="34"/>
    </row>
    <row r="51" spans="1:11">
      <c r="A51" s="36"/>
      <c r="B51" s="36"/>
      <c r="C51" s="28" t="s">
        <v>64</v>
      </c>
      <c r="D51" s="29"/>
      <c r="E51" s="30"/>
      <c r="F51" s="31"/>
      <c r="G51" s="32" t="s">
        <v>16</v>
      </c>
      <c r="H51" s="32" t="s">
        <v>16</v>
      </c>
      <c r="I51" s="33"/>
      <c r="J51" s="33"/>
      <c r="K51" s="34"/>
    </row>
    <row r="52" spans="1:11">
      <c r="A52" s="36"/>
      <c r="B52" s="36"/>
      <c r="C52" s="28"/>
      <c r="D52" s="29"/>
      <c r="E52" s="30"/>
      <c r="F52" s="31"/>
      <c r="G52" s="32"/>
      <c r="H52" s="32"/>
      <c r="I52" s="33"/>
      <c r="J52" s="33"/>
      <c r="K52" s="34"/>
    </row>
    <row r="53" spans="1:11">
      <c r="A53" s="36"/>
      <c r="B53" s="36"/>
      <c r="C53" s="28" t="s">
        <v>65</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66</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67</v>
      </c>
      <c r="D57" s="29"/>
      <c r="E57" s="30"/>
      <c r="F57" s="31"/>
      <c r="G57" s="32" t="s">
        <v>16</v>
      </c>
      <c r="H57" s="32" t="s">
        <v>16</v>
      </c>
      <c r="I57" s="33"/>
      <c r="J57" s="33"/>
      <c r="K57" s="34"/>
    </row>
    <row r="58" spans="1:11">
      <c r="A58" s="36"/>
      <c r="B58" s="36"/>
      <c r="C58" s="28"/>
      <c r="D58" s="29"/>
      <c r="E58" s="30"/>
      <c r="F58" s="31"/>
      <c r="G58" s="32"/>
      <c r="H58" s="32"/>
      <c r="I58" s="33"/>
      <c r="J58" s="33"/>
      <c r="K58" s="34"/>
    </row>
    <row r="59" spans="1:11">
      <c r="C59" s="37" t="s">
        <v>68</v>
      </c>
      <c r="D59" s="29"/>
      <c r="E59" s="30"/>
      <c r="F59" s="31"/>
      <c r="G59" s="32"/>
      <c r="H59" s="32"/>
      <c r="I59" s="33"/>
      <c r="J59" s="33"/>
      <c r="K59" s="34"/>
    </row>
    <row r="60" spans="1:11">
      <c r="B60" s="1" t="s">
        <v>69</v>
      </c>
      <c r="C60" s="21" t="s">
        <v>70</v>
      </c>
      <c r="D60" s="29"/>
      <c r="E60" s="30"/>
      <c r="F60" s="31"/>
      <c r="G60" s="32">
        <v>1475.33</v>
      </c>
      <c r="H60" s="32">
        <v>11.68</v>
      </c>
      <c r="I60" s="33">
        <v>7.14</v>
      </c>
      <c r="J60" s="33"/>
      <c r="K60" s="34"/>
    </row>
    <row r="61" spans="1:11">
      <c r="C61" s="28" t="s">
        <v>37</v>
      </c>
      <c r="D61" s="29"/>
      <c r="E61" s="30"/>
      <c r="F61" s="31"/>
      <c r="G61" s="38">
        <v>1475.33</v>
      </c>
      <c r="H61" s="38">
        <v>11.68</v>
      </c>
      <c r="I61" s="33"/>
      <c r="J61" s="33"/>
      <c r="K61" s="34"/>
    </row>
    <row r="62" spans="1:11">
      <c r="C62" s="21"/>
      <c r="D62" s="29"/>
      <c r="E62" s="30"/>
      <c r="F62" s="31"/>
      <c r="G62" s="32"/>
      <c r="H62" s="32"/>
      <c r="I62" s="33"/>
      <c r="J62" s="33"/>
      <c r="K62" s="34"/>
    </row>
    <row r="63" spans="1:11">
      <c r="A63" s="35"/>
      <c r="B63" s="36"/>
      <c r="C63" s="28" t="s">
        <v>71</v>
      </c>
      <c r="D63" s="29"/>
      <c r="E63" s="30"/>
      <c r="F63" s="31"/>
      <c r="G63" s="32"/>
      <c r="H63" s="32"/>
      <c r="I63" s="33"/>
      <c r="J63" s="33"/>
      <c r="K63" s="34"/>
    </row>
    <row r="64" spans="1:11">
      <c r="B64" s="1"/>
      <c r="C64" s="21" t="s">
        <v>72</v>
      </c>
      <c r="D64" s="29"/>
      <c r="E64" s="30"/>
      <c r="F64" s="31"/>
      <c r="G64" s="32">
        <v>3679.32</v>
      </c>
      <c r="H64" s="32">
        <v>29.1</v>
      </c>
      <c r="I64" s="33"/>
      <c r="J64" s="33"/>
      <c r="K64" s="34"/>
    </row>
    <row r="65" spans="3:55">
      <c r="C65" s="28" t="s">
        <v>37</v>
      </c>
      <c r="D65" s="29"/>
      <c r="E65" s="30"/>
      <c r="F65" s="31"/>
      <c r="G65" s="38">
        <v>3679.32</v>
      </c>
      <c r="H65" s="38">
        <v>29.1</v>
      </c>
      <c r="I65" s="33"/>
      <c r="J65" s="33"/>
      <c r="K65" s="34"/>
    </row>
    <row r="66" spans="3:55">
      <c r="C66" s="21"/>
      <c r="D66" s="29"/>
      <c r="E66" s="30"/>
      <c r="F66" s="31"/>
      <c r="G66" s="32"/>
      <c r="H66" s="32"/>
      <c r="I66" s="33"/>
      <c r="J66" s="33"/>
      <c r="K66" s="34"/>
    </row>
    <row r="67" spans="3:55" ht="14.4" thickBot="1">
      <c r="C67" s="39" t="s">
        <v>73</v>
      </c>
      <c r="D67" s="40"/>
      <c r="E67" s="41"/>
      <c r="F67" s="42"/>
      <c r="G67" s="43">
        <v>12633.61</v>
      </c>
      <c r="H67" s="43">
        <f>SUMIFS(H:H,C:C,"Total")</f>
        <v>100</v>
      </c>
      <c r="I67" s="44"/>
      <c r="J67" s="44"/>
      <c r="K67" s="45"/>
    </row>
    <row r="70" spans="3:55">
      <c r="C70" s="11" t="s">
        <v>74</v>
      </c>
    </row>
    <row r="71" spans="3:55">
      <c r="C71" s="2" t="s">
        <v>75</v>
      </c>
    </row>
    <row r="72" spans="3:55">
      <c r="C72" s="46" t="s">
        <v>76</v>
      </c>
    </row>
    <row r="73" spans="3:55">
      <c r="C73" s="2" t="s">
        <v>77</v>
      </c>
    </row>
    <row r="74" spans="3:55">
      <c r="C74" s="2" t="s">
        <v>78</v>
      </c>
    </row>
    <row r="75" spans="3:55">
      <c r="C75" s="2" t="s">
        <v>79</v>
      </c>
      <c r="D75" s="47"/>
      <c r="E75" s="47"/>
      <c r="F75" s="47"/>
      <c r="G75" s="48"/>
      <c r="H75" s="48"/>
    </row>
    <row r="76" spans="3:55">
      <c r="C76" s="2" t="s">
        <v>80</v>
      </c>
    </row>
    <row r="77" spans="3:55">
      <c r="C77" s="2" t="s">
        <v>81</v>
      </c>
    </row>
    <row r="78" spans="3:55">
      <c r="C78" s="2" t="s">
        <v>82</v>
      </c>
    </row>
    <row r="79" spans="3:55">
      <c r="C79" s="2" t="s">
        <v>83</v>
      </c>
    </row>
    <row r="80" spans="3:55" s="11" customFormat="1">
      <c r="C80" s="11" t="s">
        <v>84</v>
      </c>
      <c r="E80" s="11" t="s">
        <v>133</v>
      </c>
      <c r="F80" s="49" t="s">
        <v>86</v>
      </c>
      <c r="G80" s="50"/>
      <c r="H80" s="50"/>
      <c r="I80" s="50"/>
      <c r="J80" s="50"/>
      <c r="K80" s="51"/>
      <c r="L80" s="51"/>
      <c r="M80" s="51"/>
      <c r="AJ80" s="51"/>
      <c r="AW80" s="51"/>
      <c r="AY80" s="51"/>
      <c r="BC80" s="51"/>
    </row>
    <row r="81" spans="3:55">
      <c r="C81" s="2" t="s">
        <v>87</v>
      </c>
      <c r="E81" s="52">
        <v>10.0992</v>
      </c>
      <c r="F81" s="53">
        <v>10.114800000000001</v>
      </c>
      <c r="M81" s="10"/>
      <c r="AI81" s="2"/>
      <c r="AJ81" s="10"/>
      <c r="AV81" s="2"/>
      <c r="AW81" s="10"/>
      <c r="AX81" s="2"/>
      <c r="AY81" s="10"/>
      <c r="BB81" s="2"/>
      <c r="BC81" s="10"/>
    </row>
    <row r="82" spans="3:55">
      <c r="C82" s="2" t="s">
        <v>88</v>
      </c>
      <c r="E82" s="52">
        <v>37.363</v>
      </c>
      <c r="F82" s="53">
        <v>38.661000000000001</v>
      </c>
      <c r="M82" s="10"/>
      <c r="AI82" s="2"/>
      <c r="AJ82" s="10"/>
      <c r="AV82" s="2"/>
      <c r="AW82" s="10"/>
      <c r="AX82" s="2"/>
      <c r="AY82" s="10"/>
      <c r="BB82" s="2"/>
      <c r="BC82" s="10"/>
    </row>
    <row r="83" spans="3:55">
      <c r="C83" s="2" t="s">
        <v>89</v>
      </c>
      <c r="E83" s="52">
        <v>10.039400000000001</v>
      </c>
      <c r="F83" s="53">
        <v>10.0776</v>
      </c>
      <c r="M83" s="10"/>
      <c r="AI83" s="2"/>
      <c r="AJ83" s="10"/>
      <c r="AV83" s="2"/>
      <c r="AW83" s="10"/>
      <c r="AX83" s="2"/>
      <c r="AY83" s="10"/>
      <c r="BB83" s="2"/>
      <c r="BC83" s="10"/>
    </row>
    <row r="84" spans="3:55">
      <c r="C84" s="2" t="s">
        <v>90</v>
      </c>
      <c r="E84" s="52">
        <v>10.0922</v>
      </c>
      <c r="F84" s="53">
        <v>10.1686</v>
      </c>
      <c r="M84" s="10"/>
      <c r="AI84" s="2"/>
      <c r="AJ84" s="10"/>
      <c r="AV84" s="2"/>
      <c r="AW84" s="10"/>
      <c r="AX84" s="2"/>
      <c r="AY84" s="10"/>
      <c r="BB84" s="2"/>
      <c r="BC84" s="10"/>
    </row>
    <row r="85" spans="3:55">
      <c r="C85" s="2" t="s">
        <v>91</v>
      </c>
      <c r="E85" s="52">
        <v>10.1014</v>
      </c>
      <c r="F85" s="53">
        <v>10.169700000000001</v>
      </c>
      <c r="M85" s="10"/>
      <c r="AI85" s="2"/>
      <c r="AJ85" s="10"/>
      <c r="AV85" s="2"/>
      <c r="AW85" s="10"/>
      <c r="AX85" s="2"/>
      <c r="AY85" s="10"/>
      <c r="BB85" s="2"/>
      <c r="BC85" s="10"/>
    </row>
    <row r="86" spans="3:55">
      <c r="C86" s="2" t="s">
        <v>92</v>
      </c>
      <c r="E86" s="52">
        <v>10.065300000000001</v>
      </c>
      <c r="F86" s="53">
        <v>10.1004</v>
      </c>
      <c r="M86" s="10"/>
      <c r="AI86" s="2"/>
      <c r="AJ86" s="10"/>
      <c r="AV86" s="2"/>
      <c r="AW86" s="10"/>
      <c r="AX86" s="2"/>
      <c r="AY86" s="10"/>
      <c r="BB86" s="2"/>
      <c r="BC86" s="10"/>
    </row>
    <row r="87" spans="3:55">
      <c r="C87" s="2" t="s">
        <v>93</v>
      </c>
      <c r="E87" s="52">
        <v>26.314299999999999</v>
      </c>
      <c r="F87" s="53">
        <v>27.2285</v>
      </c>
      <c r="M87" s="10"/>
      <c r="AI87" s="2"/>
      <c r="AJ87" s="10"/>
      <c r="AV87" s="2"/>
      <c r="AW87" s="10"/>
      <c r="AX87" s="2"/>
      <c r="AY87" s="10"/>
      <c r="BB87" s="2"/>
      <c r="BC87" s="10"/>
    </row>
    <row r="88" spans="3:55">
      <c r="C88" s="2" t="s">
        <v>94</v>
      </c>
      <c r="E88" s="52">
        <v>10.1051</v>
      </c>
      <c r="F88" s="53">
        <v>10.114800000000001</v>
      </c>
      <c r="M88" s="10"/>
      <c r="AI88" s="2"/>
      <c r="AJ88" s="10"/>
      <c r="AV88" s="2"/>
      <c r="AW88" s="10"/>
      <c r="AX88" s="2"/>
      <c r="AY88" s="10"/>
      <c r="BB88" s="2"/>
      <c r="BC88" s="10"/>
    </row>
    <row r="89" spans="3:55">
      <c r="C89" s="2" t="s">
        <v>95</v>
      </c>
      <c r="E89" s="52">
        <v>40.520299999999999</v>
      </c>
      <c r="F89" s="53">
        <v>42.132899999999999</v>
      </c>
      <c r="M89" s="10"/>
      <c r="AI89" s="2"/>
      <c r="AJ89" s="10"/>
      <c r="AV89" s="2"/>
      <c r="AW89" s="10"/>
      <c r="AX89" s="2"/>
      <c r="AY89" s="10"/>
      <c r="BB89" s="2"/>
      <c r="BC89" s="10"/>
    </row>
    <row r="90" spans="3:55">
      <c r="C90" s="2" t="s">
        <v>96</v>
      </c>
      <c r="E90" s="52">
        <v>10.202299999999999</v>
      </c>
      <c r="F90" s="53">
        <v>10.3338</v>
      </c>
      <c r="M90" s="10"/>
      <c r="AI90" s="2"/>
      <c r="AJ90" s="10"/>
      <c r="AV90" s="2"/>
      <c r="AW90" s="10"/>
      <c r="AX90" s="2"/>
      <c r="AY90" s="10"/>
      <c r="BB90" s="2"/>
      <c r="BC90" s="10"/>
    </row>
    <row r="91" spans="3:55">
      <c r="C91" s="2" t="s">
        <v>97</v>
      </c>
      <c r="E91" s="52">
        <v>10.2454</v>
      </c>
      <c r="F91" s="53">
        <v>10.36</v>
      </c>
      <c r="M91" s="10"/>
      <c r="AI91" s="2"/>
      <c r="AJ91" s="10"/>
      <c r="AV91" s="2"/>
      <c r="AW91" s="10"/>
      <c r="AX91" s="2"/>
      <c r="AY91" s="10"/>
      <c r="BB91" s="2"/>
      <c r="BC91" s="10"/>
    </row>
    <row r="92" spans="3:55">
      <c r="C92" s="2" t="s">
        <v>98</v>
      </c>
      <c r="E92" s="52">
        <v>10.071199999999999</v>
      </c>
      <c r="F92" s="53">
        <v>10.1013</v>
      </c>
      <c r="M92" s="10"/>
      <c r="AI92" s="2"/>
      <c r="AJ92" s="10"/>
      <c r="AV92" s="2"/>
      <c r="AW92" s="10"/>
      <c r="AX92" s="2"/>
      <c r="AY92" s="10"/>
      <c r="BB92" s="2"/>
      <c r="BC92" s="10"/>
    </row>
    <row r="93" spans="3:55">
      <c r="C93" s="2" t="s">
        <v>99</v>
      </c>
      <c r="E93" s="54">
        <v>10</v>
      </c>
      <c r="F93" s="55">
        <v>10</v>
      </c>
      <c r="M93" s="10"/>
      <c r="AI93" s="2"/>
      <c r="AJ93" s="10"/>
      <c r="AV93" s="2"/>
      <c r="AW93" s="10"/>
      <c r="AX93" s="2"/>
      <c r="AY93" s="10"/>
      <c r="BB93" s="2"/>
      <c r="BC93" s="10"/>
    </row>
    <row r="94" spans="3:55">
      <c r="M94" s="10"/>
      <c r="AI94" s="2"/>
      <c r="AJ94" s="10"/>
      <c r="AV94" s="2"/>
      <c r="AW94" s="10"/>
      <c r="AX94" s="2"/>
      <c r="AY94" s="10"/>
      <c r="BB94" s="2"/>
      <c r="BC94" s="10"/>
    </row>
    <row r="95" spans="3:55">
      <c r="C95" s="2" t="s">
        <v>134</v>
      </c>
      <c r="E95" s="11" t="s">
        <v>101</v>
      </c>
      <c r="F95" s="49" t="s">
        <v>102</v>
      </c>
      <c r="M95" s="10"/>
      <c r="AI95" s="2"/>
      <c r="AJ95" s="10"/>
      <c r="AV95" s="2"/>
      <c r="AW95" s="10"/>
      <c r="AX95" s="2"/>
      <c r="AY95" s="10"/>
      <c r="BB95" s="2"/>
      <c r="BC95" s="10"/>
    </row>
    <row r="96" spans="3:55">
      <c r="C96" s="2" t="s">
        <v>87</v>
      </c>
      <c r="E96" s="52">
        <v>0.33008225000000002</v>
      </c>
      <c r="F96" s="53">
        <v>0.33008225000000002</v>
      </c>
      <c r="M96" s="10"/>
      <c r="AI96" s="2"/>
      <c r="AJ96" s="10"/>
      <c r="AV96" s="2"/>
      <c r="AW96" s="10"/>
      <c r="AX96" s="2"/>
      <c r="AY96" s="10"/>
      <c r="BB96" s="2"/>
      <c r="BC96" s="10"/>
    </row>
    <row r="97" spans="3:55">
      <c r="C97" s="2" t="s">
        <v>89</v>
      </c>
      <c r="E97" s="52">
        <v>0.31</v>
      </c>
      <c r="F97" s="53">
        <v>0.31</v>
      </c>
      <c r="M97" s="10"/>
      <c r="AI97" s="2"/>
      <c r="AJ97" s="10"/>
      <c r="AV97" s="2"/>
      <c r="AW97" s="10"/>
      <c r="AX97" s="2"/>
      <c r="AY97" s="10"/>
      <c r="BB97" s="2"/>
      <c r="BC97" s="10"/>
    </row>
    <row r="98" spans="3:55">
      <c r="C98" s="2" t="s">
        <v>90</v>
      </c>
      <c r="E98" s="52">
        <v>0.27</v>
      </c>
      <c r="F98" s="53">
        <v>0.27</v>
      </c>
      <c r="M98" s="10"/>
      <c r="AI98" s="2"/>
      <c r="AJ98" s="10"/>
      <c r="AV98" s="2"/>
      <c r="AW98" s="10"/>
      <c r="AX98" s="2"/>
      <c r="AY98" s="10"/>
      <c r="BB98" s="2"/>
      <c r="BC98" s="10"/>
    </row>
    <row r="99" spans="3:55">
      <c r="C99" s="2" t="s">
        <v>91</v>
      </c>
      <c r="E99" s="52">
        <v>0.28000000000000003</v>
      </c>
      <c r="F99" s="53">
        <v>0.28000000000000003</v>
      </c>
      <c r="M99" s="10"/>
      <c r="AI99" s="2"/>
      <c r="AJ99" s="10"/>
      <c r="AV99" s="2"/>
      <c r="AW99" s="10"/>
      <c r="AX99" s="2"/>
      <c r="AY99" s="10"/>
      <c r="BB99" s="2"/>
      <c r="BC99" s="10"/>
    </row>
    <row r="100" spans="3:55">
      <c r="C100" s="2" t="s">
        <v>92</v>
      </c>
      <c r="E100" s="52">
        <v>0.30954502</v>
      </c>
      <c r="F100" s="53">
        <v>0.30954502</v>
      </c>
      <c r="M100" s="10"/>
      <c r="AI100" s="2"/>
      <c r="AJ100" s="10"/>
      <c r="AV100" s="2"/>
      <c r="AW100" s="10"/>
      <c r="AX100" s="2"/>
      <c r="AY100" s="10"/>
      <c r="BB100" s="2"/>
      <c r="BC100" s="10"/>
    </row>
    <row r="101" spans="3:55">
      <c r="C101" s="2" t="s">
        <v>94</v>
      </c>
      <c r="E101" s="52">
        <v>0.38536818000000006</v>
      </c>
      <c r="F101" s="53">
        <v>0.38536818000000006</v>
      </c>
      <c r="M101" s="10"/>
      <c r="AI101" s="2"/>
      <c r="AJ101" s="10"/>
      <c r="AV101" s="2"/>
      <c r="AW101" s="10"/>
      <c r="AX101" s="2"/>
      <c r="AY101" s="10"/>
      <c r="BB101" s="2"/>
      <c r="BC101" s="10"/>
    </row>
    <row r="102" spans="3:55">
      <c r="C102" s="2" t="s">
        <v>96</v>
      </c>
      <c r="E102" s="52">
        <v>0.27</v>
      </c>
      <c r="F102" s="53">
        <v>0.27</v>
      </c>
      <c r="M102" s="10"/>
      <c r="AI102" s="2"/>
      <c r="AJ102" s="10"/>
      <c r="AV102" s="2"/>
      <c r="AW102" s="10"/>
      <c r="AX102" s="2"/>
      <c r="AY102" s="10"/>
      <c r="BB102" s="2"/>
      <c r="BC102" s="10"/>
    </row>
    <row r="103" spans="3:55">
      <c r="C103" s="2" t="s">
        <v>97</v>
      </c>
      <c r="E103" s="52">
        <v>0.29000000000000004</v>
      </c>
      <c r="F103" s="53">
        <v>0.29000000000000004</v>
      </c>
      <c r="M103" s="10"/>
      <c r="AI103" s="2"/>
      <c r="AJ103" s="10"/>
      <c r="AV103" s="2"/>
      <c r="AW103" s="10"/>
      <c r="AX103" s="2"/>
      <c r="AY103" s="10"/>
      <c r="BB103" s="2"/>
      <c r="BC103" s="10"/>
    </row>
    <row r="104" spans="3:55">
      <c r="C104" s="2" t="s">
        <v>98</v>
      </c>
      <c r="E104" s="52">
        <v>0.36391935000000003</v>
      </c>
      <c r="F104" s="53">
        <v>0.36391935000000003</v>
      </c>
      <c r="M104" s="10"/>
      <c r="AI104" s="2"/>
      <c r="AJ104" s="10"/>
      <c r="AV104" s="2"/>
      <c r="AW104" s="10"/>
      <c r="AX104" s="2"/>
      <c r="AY104" s="10"/>
      <c r="BB104" s="2"/>
      <c r="BC104" s="10"/>
    </row>
    <row r="106" spans="3:55">
      <c r="C106" s="2" t="s">
        <v>135</v>
      </c>
    </row>
    <row r="107" spans="3:55">
      <c r="C107" s="2" t="s">
        <v>104</v>
      </c>
    </row>
    <row r="108" spans="3:55">
      <c r="C108" s="2" t="s">
        <v>105</v>
      </c>
    </row>
    <row r="109" spans="3:55">
      <c r="C109" s="2" t="s">
        <v>136</v>
      </c>
    </row>
    <row r="110" spans="3:55">
      <c r="C110" s="2" t="s">
        <v>107</v>
      </c>
    </row>
    <row r="111" spans="3:55">
      <c r="C111" s="2" t="s">
        <v>137</v>
      </c>
    </row>
    <row r="112" spans="3:55">
      <c r="C112" s="2" t="s">
        <v>109</v>
      </c>
    </row>
    <row r="113" spans="3:11">
      <c r="C113" s="2" t="s">
        <v>110</v>
      </c>
    </row>
    <row r="114" spans="3:11">
      <c r="C114" s="2" t="s">
        <v>138</v>
      </c>
    </row>
    <row r="115" spans="3:11">
      <c r="C115" s="2" t="s">
        <v>112</v>
      </c>
    </row>
    <row r="116" spans="3:11">
      <c r="C116" s="2" t="s">
        <v>113</v>
      </c>
    </row>
    <row r="117" spans="3:11">
      <c r="C117" s="2" t="s">
        <v>139</v>
      </c>
    </row>
    <row r="118" spans="3:11">
      <c r="C118" s="2" t="s">
        <v>115</v>
      </c>
    </row>
    <row r="119" spans="3:11">
      <c r="C119" s="2" t="s">
        <v>116</v>
      </c>
    </row>
    <row r="120" spans="3:11" ht="14.4">
      <c r="C120" s="56"/>
      <c r="D120" s="56"/>
      <c r="E120" s="57"/>
      <c r="F120" s="57"/>
      <c r="G120" s="57"/>
      <c r="H120" s="57"/>
      <c r="I120" s="57"/>
      <c r="J120" s="57"/>
      <c r="K120" s="57"/>
    </row>
    <row r="121" spans="3:11" ht="14.4">
      <c r="C121" s="56"/>
      <c r="D121" s="56"/>
      <c r="E121" s="57"/>
      <c r="F121" s="57"/>
      <c r="G121" s="57"/>
      <c r="H121" s="57"/>
      <c r="I121" s="57"/>
      <c r="J121" s="57"/>
      <c r="K121" s="57"/>
    </row>
    <row r="122" spans="3:11" ht="14.4">
      <c r="C122" s="57"/>
      <c r="D122" s="57"/>
      <c r="E122" s="57"/>
      <c r="F122" s="57"/>
      <c r="G122" s="57"/>
      <c r="H122" s="57"/>
      <c r="I122" s="57"/>
      <c r="J122" s="57"/>
      <c r="K122" s="57"/>
    </row>
    <row r="123" spans="3:11" ht="14.4">
      <c r="C123" s="57"/>
      <c r="D123" s="57"/>
      <c r="E123" s="57"/>
      <c r="F123" s="57"/>
      <c r="G123" s="57"/>
      <c r="H123" s="57"/>
      <c r="I123" s="57"/>
      <c r="J123" s="57"/>
      <c r="K123" s="57"/>
    </row>
    <row r="141" spans="3:54" ht="14.4" thickBot="1"/>
    <row r="142" spans="3:54" ht="14.4" thickBot="1">
      <c r="C142" s="68" t="s">
        <v>117</v>
      </c>
      <c r="D142" s="69"/>
      <c r="E142" s="69"/>
      <c r="F142" s="70"/>
      <c r="L142" s="2"/>
      <c r="AH142" s="10"/>
      <c r="AI142" s="2"/>
      <c r="AU142" s="10"/>
      <c r="AV142" s="2"/>
      <c r="AW142" s="10"/>
      <c r="AX142" s="2"/>
      <c r="BA142" s="10"/>
      <c r="BB142" s="2"/>
    </row>
    <row r="143" spans="3:54" ht="14.4" thickBot="1">
      <c r="C143" s="58" t="s">
        <v>118</v>
      </c>
      <c r="D143" s="71" t="s">
        <v>119</v>
      </c>
      <c r="E143" s="71" t="s">
        <v>120</v>
      </c>
      <c r="F143" s="71" t="s">
        <v>121</v>
      </c>
      <c r="L143" s="2"/>
      <c r="AH143" s="10"/>
      <c r="AI143" s="2"/>
      <c r="AU143" s="10"/>
      <c r="AV143" s="2"/>
      <c r="AW143" s="10"/>
      <c r="AX143" s="2"/>
      <c r="BA143" s="10"/>
      <c r="BB143" s="2"/>
    </row>
    <row r="144" spans="3:54" ht="14.4" thickBot="1">
      <c r="C144" s="58" t="s">
        <v>122</v>
      </c>
      <c r="D144" s="72"/>
      <c r="E144" s="72"/>
      <c r="F144" s="72"/>
      <c r="L144" s="2"/>
      <c r="AH144" s="10"/>
      <c r="AI144" s="2"/>
      <c r="AU144" s="10"/>
      <c r="AV144" s="2"/>
      <c r="AW144" s="10"/>
      <c r="AX144" s="2"/>
      <c r="BA144" s="10"/>
      <c r="BB144" s="2"/>
    </row>
    <row r="145" spans="3:54" ht="14.4" thickBot="1">
      <c r="C145" s="59" t="s">
        <v>123</v>
      </c>
      <c r="D145" s="60"/>
      <c r="E145" s="60"/>
      <c r="F145" s="60"/>
      <c r="L145" s="2"/>
      <c r="AH145" s="10"/>
      <c r="AI145" s="2"/>
      <c r="AU145" s="10"/>
      <c r="AV145" s="2"/>
      <c r="AW145" s="10"/>
      <c r="AX145" s="2"/>
      <c r="BA145" s="10"/>
      <c r="BB145" s="2"/>
    </row>
    <row r="146" spans="3:54">
      <c r="C146" s="61" t="s">
        <v>124</v>
      </c>
      <c r="D146" s="64"/>
      <c r="E146" s="64"/>
      <c r="F146" s="64"/>
      <c r="L146" s="2"/>
      <c r="AH146" s="10"/>
      <c r="AI146" s="2"/>
      <c r="AU146" s="10"/>
      <c r="AV146" s="2"/>
      <c r="AW146" s="10"/>
      <c r="AX146" s="2"/>
      <c r="BA146" s="10"/>
      <c r="BB146" s="2"/>
    </row>
    <row r="147" spans="3:54" ht="14.4" thickBot="1">
      <c r="C147" s="59" t="s">
        <v>125</v>
      </c>
      <c r="D147" s="65"/>
      <c r="E147" s="65"/>
      <c r="F147" s="65"/>
      <c r="L147" s="2"/>
      <c r="AH147" s="10"/>
      <c r="AI147" s="2"/>
      <c r="AU147" s="10"/>
      <c r="AV147" s="2"/>
      <c r="AW147" s="10"/>
      <c r="AX147" s="2"/>
      <c r="BA147" s="10"/>
      <c r="BB147" s="2"/>
    </row>
    <row r="148" spans="3:54">
      <c r="C148" s="61" t="s">
        <v>126</v>
      </c>
      <c r="D148" s="64"/>
      <c r="E148" s="66" t="s">
        <v>127</v>
      </c>
      <c r="F148" s="64"/>
      <c r="L148" s="2"/>
      <c r="AH148" s="10"/>
      <c r="AI148" s="2"/>
      <c r="AU148" s="10"/>
      <c r="AV148" s="2"/>
      <c r="AW148" s="10"/>
      <c r="AX148" s="2"/>
      <c r="BA148" s="10"/>
      <c r="BB148" s="2"/>
    </row>
    <row r="149" spans="3:54" ht="14.4" thickBot="1">
      <c r="C149" s="59" t="s">
        <v>128</v>
      </c>
      <c r="D149" s="65"/>
      <c r="E149" s="67"/>
      <c r="F149" s="65"/>
      <c r="L149" s="2"/>
      <c r="AH149" s="10"/>
      <c r="AI149" s="2"/>
      <c r="AU149" s="10"/>
      <c r="AV149" s="2"/>
      <c r="AW149" s="10"/>
      <c r="AX149" s="2"/>
      <c r="BA149" s="10"/>
      <c r="BB149" s="2"/>
    </row>
    <row r="150" spans="3:54">
      <c r="C150" s="62" t="s">
        <v>129</v>
      </c>
      <c r="D150" s="63"/>
      <c r="E150" s="63"/>
      <c r="F150" s="63"/>
      <c r="L150" s="2"/>
      <c r="AH150" s="10"/>
      <c r="AI150" s="2"/>
      <c r="AU150" s="10"/>
      <c r="AV150" s="2"/>
      <c r="AW150" s="10"/>
      <c r="AX150" s="2"/>
      <c r="BA150" s="10"/>
      <c r="BB150" s="2"/>
    </row>
    <row r="151" spans="3:54">
      <c r="C151" s="2" t="s">
        <v>130</v>
      </c>
      <c r="D151" s="63"/>
      <c r="E151" s="63"/>
      <c r="F151" s="63"/>
      <c r="L151" s="2"/>
      <c r="AH151" s="10"/>
      <c r="AI151" s="2"/>
      <c r="AU151" s="10"/>
      <c r="AV151" s="2"/>
      <c r="AW151" s="10"/>
      <c r="AX151" s="2"/>
      <c r="BA151" s="10"/>
      <c r="BB151" s="2"/>
    </row>
  </sheetData>
  <mergeCells count="12">
    <mergeCell ref="D146:D147"/>
    <mergeCell ref="E146:E147"/>
    <mergeCell ref="F146:F147"/>
    <mergeCell ref="D148:D149"/>
    <mergeCell ref="E148:E149"/>
    <mergeCell ref="F148:F149"/>
    <mergeCell ref="C2:K3"/>
    <mergeCell ref="C5:K5"/>
    <mergeCell ref="C142:F142"/>
    <mergeCell ref="D143:D144"/>
    <mergeCell ref="E143:E144"/>
    <mergeCell ref="F143: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2023-04-05T12:36:08Z</dcterms:created>
  <dcterms:modified xsi:type="dcterms:W3CDTF">2023-04-08T11:41:02Z</dcterms:modified>
</cp:coreProperties>
</file>