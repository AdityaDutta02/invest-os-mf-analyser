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BS" sheetId="1" r:id="rId1"/>
  </sheets>
  <externalReferences>
    <externalReference r:id="rId2"/>
  </externalReferences>
  <definedNames>
    <definedName name="XDO_?CLASS_3?22?">BS!$C$8:$C$35</definedName>
    <definedName name="XDO_?FINAL_ISIN?100?">BS!$D$10:$D$35</definedName>
    <definedName name="XDO_?FINAL_ISIN?101?">BS!$D$10:$D$43</definedName>
    <definedName name="XDO_?FINAL_ISIN?102?">BS!$D$10:$D$64</definedName>
    <definedName name="XDO_?FINAL_ISIN?103?">BS!$D$10:$D$79</definedName>
    <definedName name="XDO_?FINAL_ISIN?104?">BS!$D$10:$D$83</definedName>
    <definedName name="XDO_?FINAL_MV?100?">BS!$G$10:$G$35</definedName>
    <definedName name="XDO_?FINAL_MV?101?">BS!$G$10:$G$43</definedName>
    <definedName name="XDO_?FINAL_MV?102?">BS!$G$10:$G$64</definedName>
    <definedName name="XDO_?FINAL_MV?103?">BS!$G$10:$G$79</definedName>
    <definedName name="XDO_?FINAL_MV?104?">BS!$G$10:$G$83</definedName>
    <definedName name="XDO_?FINAL_NAME?100?">BS!$C$10:$C$35</definedName>
    <definedName name="XDO_?FINAL_NAME?101?">BS!$C$10:$C$43</definedName>
    <definedName name="XDO_?FINAL_NAME?102?">BS!$C$10:$C$64</definedName>
    <definedName name="XDO_?FINAL_NAME?103?">BS!$C$10:$C$79</definedName>
    <definedName name="XDO_?FINAL_NAME?104?">BS!$C$10:$C$83</definedName>
    <definedName name="XDO_?FINAL_PER_NET?100?">BS!$H$10:$H$35</definedName>
    <definedName name="XDO_?FINAL_PER_NET?101?">BS!$H$10:$H$43</definedName>
    <definedName name="XDO_?FINAL_PER_NET?102?">BS!$H$10:$H$64</definedName>
    <definedName name="XDO_?FINAL_PER_NET?103?">BS!$H$10:$H$79</definedName>
    <definedName name="XDO_?FINAL_PER_NET?104?">BS!$H$10:$H$83</definedName>
    <definedName name="XDO_?FINAL_QUANTITE?100?">BS!$F$10:$F$35</definedName>
    <definedName name="XDO_?FINAL_QUANTITE?101?">BS!$F$10:$F$43</definedName>
    <definedName name="XDO_?FINAL_QUANTITE?102?">BS!$F$10:$F$64</definedName>
    <definedName name="XDO_?FINAL_QUANTITE?103?">BS!$F$10:$F$79</definedName>
    <definedName name="XDO_?FINAL_QUANTITE?104?">BS!$F$10:$F$83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2?">BS!$C$2:$C$35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0?">BS!$B$10:$B$35</definedName>
    <definedName name="XDO_?NOVAL?101?">BS!$B$10:$B$43</definedName>
    <definedName name="XDO_?NOVAL?102?">BS!$B$10:$B$64</definedName>
    <definedName name="XDO_?NOVAL?103?">BS!$B$10:$B$79</definedName>
    <definedName name="XDO_?NOVAL?104?">BS!$B$10:$B$83</definedName>
    <definedName name="XDO_?NPTF?22?">BS!$D$2:$D$35</definedName>
    <definedName name="XDO_?RATING?100?">BS!$E$10:$E$35</definedName>
    <definedName name="XDO_?RATING?101?">BS!$E$10:$E$43</definedName>
    <definedName name="XDO_?RATING?102?">BS!$E$10:$E$64</definedName>
    <definedName name="XDO_?RATING?103?">BS!$E$10:$E$79</definedName>
    <definedName name="XDO_?RATING?104?">BS!$E$10:$E$83</definedName>
    <definedName name="XDO_?REMARKS?100?">BS!$K$10:$K$35</definedName>
    <definedName name="XDO_?REMARKS?101?">BS!$K$10:$K$43</definedName>
    <definedName name="XDO_?REMARKS?102?">BS!$K$10:$K$64</definedName>
    <definedName name="XDO_?REMARKS?103?">BS!$K$10:$K$79</definedName>
    <definedName name="XDO_?REMARKS?104?">BS!$K$10:$K$83</definedName>
    <definedName name="XDO_?TITL?22?">BS!$A$8:$A$35</definedName>
    <definedName name="XDO_?YTM?100?">BS!$I$10:$I$35</definedName>
    <definedName name="XDO_?YTM?101?">BS!$I$10:$I$43</definedName>
    <definedName name="XDO_?YTM?102?">BS!$I$10:$I$64</definedName>
    <definedName name="XDO_?YTM?103?">BS!$I$10:$I$79</definedName>
    <definedName name="XDO_?YTM?104?">BS!$I$10:$I$83</definedName>
    <definedName name="XDO_GROUP_?G_2?22?">BS!$2:$57</definedName>
    <definedName name="XDO_GROUP_?G_3?22?">BS!$8:$56</definedName>
    <definedName name="XDO_GROUP_?G_4?100?">BS!$B$10:$IV$35</definedName>
    <definedName name="XDO_GROUP_?G_4?101?">BS!$B$39:$IV$39</definedName>
    <definedName name="XDO_GROUP_?G_4?102?">BS!$B$44:$IV$44</definedName>
    <definedName name="XDO_GROUP_?G_4?103?">BS!$B$49:$IV$49</definedName>
    <definedName name="XDO_GROUP_?G_4?104?">BS!$B$54:$IV$54</definedName>
    <definedName name="XDO_GROUP_?G_4?128?">[1]ON!#REF!</definedName>
    <definedName name="XDO_GROUP_?G_4?2?">[1]LW!#REF!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" l="1"/>
</calcChain>
</file>

<file path=xl/sharedStrings.xml><?xml version="1.0" encoding="utf-8"?>
<sst xmlns="http://schemas.openxmlformats.org/spreadsheetml/2006/main" count="249" uniqueCount="187">
  <si>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</si>
  <si>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</si>
  <si>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</si>
  <si>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</si>
  <si>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</si>
  <si>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</si>
  <si>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</si>
  <si>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</si>
  <si>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</si>
  <si>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</si>
  <si>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</si>
  <si>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</si>
  <si>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</si>
  <si>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</si>
  <si>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</si>
  <si>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</si>
  <si>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</si>
  <si>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</si>
  <si>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</si>
  <si>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</si>
  <si>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</si>
  <si>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</si>
  <si>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</si>
  <si>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</si>
  <si>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</si>
  <si>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</si>
  <si>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</si>
  <si>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</si>
  <si>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</si>
  <si>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</si>
  <si>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</si>
  <si>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</si>
  <si>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</si>
  <si>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</si>
  <si>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</si>
  <si>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</si>
  <si>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100001</t>
  </si>
  <si>
    <t>Housing Development Finance Corporation Ltd.</t>
  </si>
  <si>
    <t>INE001A01036</t>
  </si>
  <si>
    <t>100013</t>
  </si>
  <si>
    <t>IndusInd Bank Ltd.</t>
  </si>
  <si>
    <t>INE095A01012</t>
  </si>
  <si>
    <t>100380</t>
  </si>
  <si>
    <t>Bajaj Finserv Ltd.</t>
  </si>
  <si>
    <t>INE918I01026</t>
  </si>
  <si>
    <t>100477</t>
  </si>
  <si>
    <t>PNB Housing Finance Ltd.</t>
  </si>
  <si>
    <t>INE572E01012</t>
  </si>
  <si>
    <t>100240</t>
  </si>
  <si>
    <t>Can Fin Homes Ltd.</t>
  </si>
  <si>
    <t>INE477A01020</t>
  </si>
  <si>
    <t>100694</t>
  </si>
  <si>
    <t>Indian Energy Exchange Ltd.</t>
  </si>
  <si>
    <t>INE022Q01020</t>
  </si>
  <si>
    <t>Capital Markets</t>
  </si>
  <si>
    <t>100684</t>
  </si>
  <si>
    <t>SBI Life Insurance Co. Ltd.</t>
  </si>
  <si>
    <t>INE123W01016</t>
  </si>
  <si>
    <t>Insurance</t>
  </si>
  <si>
    <t>100254</t>
  </si>
  <si>
    <t>Karur Vysya Bank Ltd.</t>
  </si>
  <si>
    <t>INE036D01028</t>
  </si>
  <si>
    <t>100399</t>
  </si>
  <si>
    <t>Cholamandalam Investment &amp; Finance Co. Ltd.</t>
  </si>
  <si>
    <t>INE121A01024</t>
  </si>
  <si>
    <t>101783</t>
  </si>
  <si>
    <t>Five Star Business Finance Ltd.</t>
  </si>
  <si>
    <t>INE128S01021</t>
  </si>
  <si>
    <t>100055</t>
  </si>
  <si>
    <t>The Federal Bank Ltd.</t>
  </si>
  <si>
    <t>INE171A01029</t>
  </si>
  <si>
    <t>100682</t>
  </si>
  <si>
    <t>ICICI Lombard General Insurance Company Ltd.</t>
  </si>
  <si>
    <t>INE765G01017</t>
  </si>
  <si>
    <t>101432</t>
  </si>
  <si>
    <t>Star Health &amp; Allied Insurance Co. Ltd.</t>
  </si>
  <si>
    <t>INE575P01011</t>
  </si>
  <si>
    <t>100116</t>
  </si>
  <si>
    <t>Sundaram Finance Ltd.</t>
  </si>
  <si>
    <t>INE660A01013</t>
  </si>
  <si>
    <t>100814</t>
  </si>
  <si>
    <t>HDFC Asset Management Co. Ltd.</t>
  </si>
  <si>
    <t>INE127D01025</t>
  </si>
  <si>
    <t>101469</t>
  </si>
  <si>
    <t>Equitas Small Finance Bank Ltd.</t>
  </si>
  <si>
    <t>INE063P01018</t>
  </si>
  <si>
    <t>101119</t>
  </si>
  <si>
    <t>SBI Cards &amp; Payment Services Ltd.</t>
  </si>
  <si>
    <t>INE018E01016</t>
  </si>
  <si>
    <t>100194</t>
  </si>
  <si>
    <t>Power Finance Corporation Ltd.</t>
  </si>
  <si>
    <t>INE134E01011</t>
  </si>
  <si>
    <t>101181</t>
  </si>
  <si>
    <t>UTI Asset Management Co. Ltd.</t>
  </si>
  <si>
    <t>INE094J01016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</si>
  <si>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</si>
  <si>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</si>
  <si>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</si>
  <si>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</si>
  <si>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</si>
  <si>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</si>
  <si>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</si>
  <si>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d) Stock Futures</t>
  </si>
  <si>
    <t>2215135</t>
  </si>
  <si>
    <t>Long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</si>
  <si>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</si>
  <si>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</si>
  <si>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</si>
  <si>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</si>
  <si>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</si>
  <si>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</si>
  <si>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</si>
  <si>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</si>
  <si>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</si>
  <si>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</si>
  <si>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</si>
  <si>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1800976</t>
  </si>
  <si>
    <t>182 DAY T-BILL 31-Aug-2023</t>
  </si>
  <si>
    <t>IN002022Y492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</si>
  <si>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</si>
  <si>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</si>
  <si>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</si>
  <si>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</si>
  <si>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</si>
  <si>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</si>
  <si>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</si>
  <si>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</si>
  <si>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</si>
  <si>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</si>
  <si>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</si>
  <si>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</si>
  <si>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</si>
  <si>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</si>
  <si>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</si>
  <si>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</si>
  <si>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</si>
  <si>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</si>
  <si>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</si>
  <si>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</si>
  <si>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</si>
  <si>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</si>
  <si>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May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</si>
  <si>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</si>
  <si>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</si>
  <si>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</si>
  <si>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</si>
  <si>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</si>
  <si>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May 31, 2023:</t>
  </si>
  <si>
    <t>Number of Contracts</t>
  </si>
  <si>
    <t>Total Exposure through Futures(other than hedging positions) is 1.07% age of net assets</t>
  </si>
  <si>
    <t>For the month ended May 31, 2023 with regard to Other than hedging transactions through futures which have already been squared off/expired specify:</t>
  </si>
  <si>
    <t>Total Number of contracts where futures were bought : 8</t>
  </si>
  <si>
    <t>Total Number of contracts where futures were sold : 8</t>
  </si>
  <si>
    <t>Gross Notional Value of contracts where futures were bought : 69.52 lacs</t>
  </si>
  <si>
    <t>Gross Notional Value of contracts where futures were sold: 70.18 lacs</t>
  </si>
  <si>
    <t>Net Profit/Loss on all contracts combined : 0.67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</si>
  <si>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</si>
  <si>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</si>
  <si>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</si>
  <si>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</si>
  <si>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</si>
  <si>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</si>
  <si>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</si>
  <si>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</si>
  <si>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</si>
  <si>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</si>
  <si>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</si>
  <si>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</si>
  <si>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</si>
  <si>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</si>
  <si>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</si>
  <si>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</si>
  <si>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</si>
  <si>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</si>
  <si>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</si>
  <si>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 Total outstanding exposure in derivative instruments as on May 31, 2023 is 87.05 Lacs.</t>
  </si>
  <si>
    <t>(10) Total Market value of investments in Foreign Securities/American Depositary Receipts/Global Depositary Receipts as at  May 31, 2023 is Rs. Nil.</t>
  </si>
  <si>
    <t>(11)  During the period, the portfolio turnover ratio is  0.11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</si>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</sst>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5</xdr:col>
      <xdr:colOff>504275</xdr:colOff>
      <xdr:row>165</xdr:row>
      <xdr:rowOff>100584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974800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9"/>
  <sheetViews>
    <sheetView showGridLines="0" tabSelected="1" zoomScale="90" zoomScaleNormal="90" workbookViewId="0">
      <pane ySplit="6" topLeftCell="A140" activePane="bottomLeft" state="frozen"/>
      <selection activeCell="J2" sqref="J2"/>
      <selection pane="bottomLeft" activeCell="I154" sqref="I15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98000</v>
      </c>
      <c r="G10" s="34">
        <v>1578.63</v>
      </c>
      <c r="H10" s="34">
        <v>19.41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156000</v>
      </c>
      <c r="G11" s="34">
        <v>1480.67</v>
      </c>
      <c r="H11" s="34">
        <v>18.2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105500</v>
      </c>
      <c r="G12" s="34">
        <v>611.74</v>
      </c>
      <c r="H12" s="34">
        <v>7.52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65000</v>
      </c>
      <c r="G13" s="34">
        <v>594.65</v>
      </c>
      <c r="H13" s="34">
        <v>7.31</v>
      </c>
      <c r="I13" s="35"/>
      <c r="J13" s="35"/>
      <c r="K13" s="36"/>
    </row>
    <row r="14" spans="1:55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25500</v>
      </c>
      <c r="G14" s="34">
        <v>513.66</v>
      </c>
      <c r="H14" s="34">
        <v>6.31</v>
      </c>
      <c r="I14" s="35"/>
      <c r="J14" s="35"/>
      <c r="K14" s="36"/>
    </row>
    <row r="15" spans="1:55" x14ac:dyDescent="0.3">
      <c r="B15" s="1" t="s">
        <v>32</v>
      </c>
      <c r="C15" s="21" t="s">
        <v>33</v>
      </c>
      <c r="D15" s="31" t="s">
        <v>34</v>
      </c>
      <c r="E15" s="32" t="s">
        <v>35</v>
      </c>
      <c r="F15" s="33">
        <v>5400</v>
      </c>
      <c r="G15" s="34">
        <v>377.45</v>
      </c>
      <c r="H15" s="34">
        <v>4.6399999999999997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35</v>
      </c>
      <c r="F16" s="33">
        <v>12000</v>
      </c>
      <c r="G16" s="34">
        <v>316.85000000000002</v>
      </c>
      <c r="H16" s="34">
        <v>3.9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19</v>
      </c>
      <c r="F17" s="33">
        <v>22500</v>
      </c>
      <c r="G17" s="34">
        <v>289.49</v>
      </c>
      <c r="H17" s="34">
        <v>3.56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35</v>
      </c>
      <c r="F18" s="33">
        <v>12500</v>
      </c>
      <c r="G18" s="34">
        <v>181.38</v>
      </c>
      <c r="H18" s="34">
        <v>2.23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35</v>
      </c>
      <c r="F19" s="33">
        <v>33000</v>
      </c>
      <c r="G19" s="34">
        <v>166.73</v>
      </c>
      <c r="H19" s="34">
        <v>2.0499999999999998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35</v>
      </c>
      <c r="F20" s="33">
        <v>22500</v>
      </c>
      <c r="G20" s="34">
        <v>159.12</v>
      </c>
      <c r="H20" s="34">
        <v>1.96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54</v>
      </c>
      <c r="F21" s="33">
        <v>100000</v>
      </c>
      <c r="G21" s="34">
        <v>153</v>
      </c>
      <c r="H21" s="34">
        <v>1.88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58</v>
      </c>
      <c r="F22" s="33">
        <v>11500</v>
      </c>
      <c r="G22" s="34">
        <v>142.03</v>
      </c>
      <c r="H22" s="34">
        <v>1.75</v>
      </c>
      <c r="I22" s="35"/>
      <c r="J22" s="35"/>
      <c r="K22" s="36"/>
    </row>
    <row r="23" spans="2:11" x14ac:dyDescent="0.3">
      <c r="B23" s="1" t="s">
        <v>59</v>
      </c>
      <c r="C23" s="21" t="s">
        <v>60</v>
      </c>
      <c r="D23" s="31" t="s">
        <v>61</v>
      </c>
      <c r="E23" s="32" t="s">
        <v>19</v>
      </c>
      <c r="F23" s="33">
        <v>130000</v>
      </c>
      <c r="G23" s="34">
        <v>137.93</v>
      </c>
      <c r="H23" s="34">
        <v>1.7</v>
      </c>
      <c r="I23" s="35"/>
      <c r="J23" s="35"/>
      <c r="K23" s="36"/>
    </row>
    <row r="24" spans="2:11" x14ac:dyDescent="0.3">
      <c r="B24" s="1" t="s">
        <v>62</v>
      </c>
      <c r="C24" s="21" t="s">
        <v>63</v>
      </c>
      <c r="D24" s="31" t="s">
        <v>64</v>
      </c>
      <c r="E24" s="32" t="s">
        <v>35</v>
      </c>
      <c r="F24" s="33">
        <v>12500</v>
      </c>
      <c r="G24" s="34">
        <v>131.36000000000001</v>
      </c>
      <c r="H24" s="34">
        <v>1.61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35</v>
      </c>
      <c r="F25" s="33">
        <v>24080</v>
      </c>
      <c r="G25" s="34">
        <v>131.24</v>
      </c>
      <c r="H25" s="34">
        <v>1.61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19</v>
      </c>
      <c r="F26" s="33">
        <v>90000</v>
      </c>
      <c r="G26" s="34">
        <v>112.73</v>
      </c>
      <c r="H26" s="34">
        <v>1.39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58</v>
      </c>
      <c r="F27" s="33">
        <v>9500</v>
      </c>
      <c r="G27" s="34">
        <v>112.3</v>
      </c>
      <c r="H27" s="34">
        <v>1.38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58</v>
      </c>
      <c r="F28" s="33">
        <v>20000</v>
      </c>
      <c r="G28" s="34">
        <v>107.7</v>
      </c>
      <c r="H28" s="34">
        <v>1.32</v>
      </c>
      <c r="I28" s="35"/>
      <c r="J28" s="35"/>
      <c r="K28" s="36"/>
    </row>
    <row r="29" spans="2:11" x14ac:dyDescent="0.3">
      <c r="B29" s="1" t="s">
        <v>77</v>
      </c>
      <c r="C29" s="21" t="s">
        <v>78</v>
      </c>
      <c r="D29" s="31" t="s">
        <v>79</v>
      </c>
      <c r="E29" s="32" t="s">
        <v>35</v>
      </c>
      <c r="F29" s="33">
        <v>4000</v>
      </c>
      <c r="G29" s="34">
        <v>101.79</v>
      </c>
      <c r="H29" s="34">
        <v>1.25</v>
      </c>
      <c r="I29" s="35"/>
      <c r="J29" s="35"/>
      <c r="K29" s="36"/>
    </row>
    <row r="30" spans="2:11" x14ac:dyDescent="0.3">
      <c r="B30" s="1" t="s">
        <v>80</v>
      </c>
      <c r="C30" s="21" t="s">
        <v>81</v>
      </c>
      <c r="D30" s="31" t="s">
        <v>82</v>
      </c>
      <c r="E30" s="32" t="s">
        <v>54</v>
      </c>
      <c r="F30" s="33">
        <v>5000</v>
      </c>
      <c r="G30" s="34">
        <v>98.15</v>
      </c>
      <c r="H30" s="34">
        <v>1.21</v>
      </c>
      <c r="I30" s="35"/>
      <c r="J30" s="35"/>
      <c r="K30" s="36"/>
    </row>
    <row r="31" spans="2:11" x14ac:dyDescent="0.3">
      <c r="B31" s="1" t="s">
        <v>83</v>
      </c>
      <c r="C31" s="21" t="s">
        <v>84</v>
      </c>
      <c r="D31" s="31" t="s">
        <v>85</v>
      </c>
      <c r="E31" s="32" t="s">
        <v>19</v>
      </c>
      <c r="F31" s="33">
        <v>110000</v>
      </c>
      <c r="G31" s="34">
        <v>95.04</v>
      </c>
      <c r="H31" s="34">
        <v>1.17</v>
      </c>
      <c r="I31" s="35"/>
      <c r="J31" s="35"/>
      <c r="K31" s="36"/>
    </row>
    <row r="32" spans="2:11" x14ac:dyDescent="0.3">
      <c r="B32" s="1" t="s">
        <v>86</v>
      </c>
      <c r="C32" s="21" t="s">
        <v>87</v>
      </c>
      <c r="D32" s="31" t="s">
        <v>88</v>
      </c>
      <c r="E32" s="32" t="s">
        <v>35</v>
      </c>
      <c r="F32" s="33">
        <v>10000</v>
      </c>
      <c r="G32" s="34">
        <v>91.7</v>
      </c>
      <c r="H32" s="34">
        <v>1.1299999999999999</v>
      </c>
      <c r="I32" s="35"/>
      <c r="J32" s="35"/>
      <c r="K32" s="36"/>
    </row>
    <row r="33" spans="2:11" x14ac:dyDescent="0.3">
      <c r="B33" s="1" t="s">
        <v>89</v>
      </c>
      <c r="C33" s="21" t="s">
        <v>90</v>
      </c>
      <c r="D33" s="31" t="s">
        <v>91</v>
      </c>
      <c r="E33" s="32" t="s">
        <v>35</v>
      </c>
      <c r="F33" s="33">
        <v>50000</v>
      </c>
      <c r="G33" s="34">
        <v>91.2</v>
      </c>
      <c r="H33" s="34">
        <v>1.1200000000000001</v>
      </c>
      <c r="I33" s="35"/>
      <c r="J33" s="35"/>
      <c r="K33" s="36"/>
    </row>
    <row r="34" spans="2:11" x14ac:dyDescent="0.3">
      <c r="B34" s="1" t="s">
        <v>92</v>
      </c>
      <c r="C34" s="21" t="s">
        <v>93</v>
      </c>
      <c r="D34" s="31" t="s">
        <v>94</v>
      </c>
      <c r="E34" s="32" t="s">
        <v>54</v>
      </c>
      <c r="F34" s="33">
        <v>10000</v>
      </c>
      <c r="G34" s="34">
        <v>70.87</v>
      </c>
      <c r="H34" s="34">
        <v>0.87</v>
      </c>
      <c r="I34" s="35"/>
      <c r="J34" s="35"/>
      <c r="K34" s="36"/>
    </row>
    <row r="35" spans="2:11" x14ac:dyDescent="0.3">
      <c r="B35" s="1" t="s">
        <v>95</v>
      </c>
      <c r="C35" s="21" t="s">
        <v>37</v>
      </c>
      <c r="D35" s="31" t="s">
        <v>96</v>
      </c>
      <c r="E35" s="32" t="s">
        <v>35</v>
      </c>
      <c r="F35" s="33">
        <v>9600</v>
      </c>
      <c r="G35" s="34">
        <v>45.23</v>
      </c>
      <c r="H35" s="34">
        <v>0.56000000000000005</v>
      </c>
      <c r="I35" s="35"/>
      <c r="J35" s="35"/>
      <c r="K35" s="36" t="s">
        <v>97</v>
      </c>
    </row>
    <row r="36" spans="2:11" x14ac:dyDescent="0.3">
      <c r="C36" s="30" t="s">
        <v>98</v>
      </c>
      <c r="D36" s="31"/>
      <c r="E36" s="32"/>
      <c r="F36" s="33"/>
      <c r="G36" s="38">
        <v>7892.64</v>
      </c>
      <c r="H36" s="38">
        <v>97.04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99</v>
      </c>
      <c r="D38" s="31"/>
      <c r="E38" s="32"/>
      <c r="F38" s="33"/>
      <c r="G38" s="34" t="s">
        <v>100</v>
      </c>
      <c r="H38" s="34" t="s">
        <v>100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101</v>
      </c>
      <c r="D40" s="31"/>
      <c r="E40" s="32"/>
      <c r="F40" s="33"/>
      <c r="G40" s="34" t="s">
        <v>100</v>
      </c>
      <c r="H40" s="34" t="s">
        <v>100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7" t="s">
        <v>102</v>
      </c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B43" s="1" t="s">
        <v>103</v>
      </c>
      <c r="C43" s="21" t="s">
        <v>30</v>
      </c>
      <c r="D43" s="31" t="s">
        <v>104</v>
      </c>
      <c r="E43" s="32" t="s">
        <v>19</v>
      </c>
      <c r="F43" s="33">
        <v>4400</v>
      </c>
      <c r="G43" s="34">
        <v>87.05</v>
      </c>
      <c r="H43" s="34">
        <v>1.07</v>
      </c>
      <c r="I43" s="35"/>
      <c r="J43" s="35"/>
      <c r="K43" s="36"/>
    </row>
    <row r="44" spans="2:11" x14ac:dyDescent="0.3">
      <c r="C44" s="30" t="s">
        <v>105</v>
      </c>
      <c r="D44" s="31"/>
      <c r="E44" s="32"/>
      <c r="F44" s="33"/>
      <c r="G44" s="38">
        <v>87.05</v>
      </c>
      <c r="H44" s="38">
        <v>1.07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106</v>
      </c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107</v>
      </c>
      <c r="D48" s="31"/>
      <c r="E48" s="32"/>
      <c r="F48" s="33"/>
      <c r="G48" s="34" t="s">
        <v>100</v>
      </c>
      <c r="H48" s="34" t="s">
        <v>100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108</v>
      </c>
      <c r="D50" s="31"/>
      <c r="E50" s="32"/>
      <c r="F50" s="33"/>
      <c r="G50" s="34" t="s">
        <v>100</v>
      </c>
      <c r="H50" s="34" t="s">
        <v>100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109</v>
      </c>
      <c r="D52" s="31"/>
      <c r="E52" s="32"/>
      <c r="F52" s="33"/>
      <c r="G52" s="34" t="s">
        <v>100</v>
      </c>
      <c r="H52" s="34" t="s">
        <v>100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110</v>
      </c>
      <c r="D54" s="31"/>
      <c r="E54" s="32"/>
      <c r="F54" s="33"/>
      <c r="G54" s="34" t="s">
        <v>100</v>
      </c>
      <c r="H54" s="34" t="s">
        <v>100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111</v>
      </c>
      <c r="D56" s="31"/>
      <c r="E56" s="32"/>
      <c r="F56" s="33"/>
      <c r="G56" s="34" t="s">
        <v>100</v>
      </c>
      <c r="H56" s="34" t="s">
        <v>100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8"/>
      <c r="B58" s="29"/>
      <c r="C58" s="30" t="s">
        <v>112</v>
      </c>
      <c r="D58" s="31"/>
      <c r="E58" s="32"/>
      <c r="F58" s="33"/>
      <c r="G58" s="34"/>
      <c r="H58" s="34"/>
      <c r="I58" s="35"/>
      <c r="J58" s="35"/>
      <c r="K58" s="36"/>
    </row>
    <row r="59" spans="1:11" s="39" customFormat="1" ht="15" x14ac:dyDescent="0.35">
      <c r="A59" s="29"/>
      <c r="B59" s="29"/>
      <c r="C59" s="30" t="s">
        <v>113</v>
      </c>
      <c r="D59" s="31"/>
      <c r="E59" s="32"/>
      <c r="F59" s="33"/>
      <c r="G59" s="34" t="s">
        <v>100</v>
      </c>
      <c r="H59" s="34" t="s">
        <v>100</v>
      </c>
      <c r="I59" s="35"/>
      <c r="J59" s="35"/>
      <c r="K59" s="36"/>
    </row>
    <row r="60" spans="1:11" s="40" customFormat="1" x14ac:dyDescent="0.3">
      <c r="A60" s="29"/>
      <c r="B60" s="29"/>
      <c r="C60" s="30"/>
      <c r="D60" s="31"/>
      <c r="E60" s="32"/>
      <c r="F60" s="33"/>
      <c r="G60" s="34"/>
      <c r="H60" s="34"/>
      <c r="I60" s="35"/>
      <c r="J60" s="35"/>
      <c r="K60" s="36"/>
    </row>
    <row r="61" spans="1:11" s="40" customFormat="1" x14ac:dyDescent="0.3">
      <c r="A61" s="29"/>
      <c r="B61" s="29"/>
      <c r="C61" s="30" t="s">
        <v>114</v>
      </c>
      <c r="D61" s="31"/>
      <c r="E61" s="32"/>
      <c r="F61" s="33"/>
      <c r="G61" s="34" t="s">
        <v>100</v>
      </c>
      <c r="H61" s="34" t="s">
        <v>100</v>
      </c>
      <c r="I61" s="35"/>
      <c r="J61" s="35"/>
      <c r="K61" s="36"/>
    </row>
    <row r="62" spans="1:11" s="2" customFormat="1" x14ac:dyDescent="0.3">
      <c r="A62" s="29"/>
      <c r="B62" s="29"/>
      <c r="C62" s="30"/>
      <c r="D62" s="31"/>
      <c r="E62" s="32"/>
      <c r="F62" s="33"/>
      <c r="G62" s="34"/>
      <c r="H62" s="34"/>
      <c r="I62" s="35"/>
      <c r="J62" s="35"/>
      <c r="K62" s="36"/>
    </row>
    <row r="63" spans="1:11" s="11" customFormat="1" x14ac:dyDescent="0.3">
      <c r="A63" s="2"/>
      <c r="B63" s="2"/>
      <c r="C63" s="37" t="s">
        <v>115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B64" s="1" t="s">
        <v>116</v>
      </c>
      <c r="C64" s="21" t="s">
        <v>117</v>
      </c>
      <c r="D64" s="31" t="s">
        <v>118</v>
      </c>
      <c r="E64" s="32" t="s">
        <v>119</v>
      </c>
      <c r="F64" s="33">
        <v>50000</v>
      </c>
      <c r="G64" s="34">
        <v>49.17</v>
      </c>
      <c r="H64" s="34">
        <v>0.6</v>
      </c>
      <c r="I64" s="35">
        <v>6.7599</v>
      </c>
      <c r="J64" s="35"/>
      <c r="K64" s="36"/>
    </row>
    <row r="65" spans="1:11" x14ac:dyDescent="0.3">
      <c r="C65" s="30" t="s">
        <v>98</v>
      </c>
      <c r="D65" s="31"/>
      <c r="E65" s="32"/>
      <c r="F65" s="33"/>
      <c r="G65" s="38">
        <v>49.17</v>
      </c>
      <c r="H65" s="38">
        <v>0.6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120</v>
      </c>
      <c r="D67" s="31"/>
      <c r="E67" s="32"/>
      <c r="F67" s="33"/>
      <c r="G67" s="34" t="s">
        <v>100</v>
      </c>
      <c r="H67" s="34" t="s">
        <v>100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121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122</v>
      </c>
      <c r="D70" s="31"/>
      <c r="E70" s="32"/>
      <c r="F70" s="33"/>
      <c r="G70" s="34" t="s">
        <v>100</v>
      </c>
      <c r="H70" s="34" t="s">
        <v>100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123</v>
      </c>
      <c r="D72" s="31"/>
      <c r="E72" s="32"/>
      <c r="F72" s="33"/>
      <c r="G72" s="34" t="s">
        <v>100</v>
      </c>
      <c r="H72" s="34" t="s">
        <v>100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124</v>
      </c>
      <c r="D74" s="31"/>
      <c r="E74" s="32"/>
      <c r="F74" s="33"/>
      <c r="G74" s="34" t="s">
        <v>100</v>
      </c>
      <c r="H74" s="34" t="s">
        <v>100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125</v>
      </c>
      <c r="D76" s="31"/>
      <c r="E76" s="32"/>
      <c r="F76" s="33"/>
      <c r="G76" s="34" t="s">
        <v>100</v>
      </c>
      <c r="H76" s="34" t="s">
        <v>100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126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127</v>
      </c>
      <c r="C79" s="21" t="s">
        <v>128</v>
      </c>
      <c r="D79" s="31"/>
      <c r="E79" s="32"/>
      <c r="F79" s="33"/>
      <c r="G79" s="34">
        <v>192.48</v>
      </c>
      <c r="H79" s="34">
        <v>2.37</v>
      </c>
      <c r="I79" s="35">
        <v>6.24</v>
      </c>
      <c r="J79" s="35"/>
      <c r="K79" s="36"/>
    </row>
    <row r="80" spans="1:11" x14ac:dyDescent="0.3">
      <c r="C80" s="30" t="s">
        <v>98</v>
      </c>
      <c r="D80" s="31"/>
      <c r="E80" s="32"/>
      <c r="F80" s="33"/>
      <c r="G80" s="38">
        <v>192.48</v>
      </c>
      <c r="H80" s="38">
        <v>2.37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129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/>
      <c r="C83" s="21" t="s">
        <v>130</v>
      </c>
      <c r="D83" s="31"/>
      <c r="E83" s="32"/>
      <c r="F83" s="33"/>
      <c r="G83" s="34">
        <v>0.32</v>
      </c>
      <c r="H83" s="34">
        <v>-0.01</v>
      </c>
      <c r="I83" s="35"/>
      <c r="J83" s="35"/>
      <c r="K83" s="36"/>
    </row>
    <row r="84" spans="1:11" x14ac:dyDescent="0.3">
      <c r="C84" s="30" t="s">
        <v>98</v>
      </c>
      <c r="D84" s="31"/>
      <c r="E84" s="32"/>
      <c r="F84" s="33"/>
      <c r="G84" s="38">
        <v>0.32</v>
      </c>
      <c r="H84" s="38">
        <v>-0.01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ht="14.4" thickBot="1" x14ac:dyDescent="0.35">
      <c r="C86" s="41" t="s">
        <v>131</v>
      </c>
      <c r="D86" s="42"/>
      <c r="E86" s="43"/>
      <c r="F86" s="44"/>
      <c r="G86" s="45">
        <v>8134.61</v>
      </c>
      <c r="H86" s="45">
        <f>SUMIFS(H:H,C:C,"Total")</f>
        <v>100</v>
      </c>
      <c r="I86" s="46"/>
      <c r="J86" s="46"/>
      <c r="K86" s="47"/>
    </row>
    <row r="89" spans="1:11" x14ac:dyDescent="0.3">
      <c r="C89" s="48" t="s">
        <v>132</v>
      </c>
      <c r="D89" s="49"/>
      <c r="E89" s="49"/>
      <c r="F89" s="49"/>
      <c r="G89" s="50"/>
      <c r="H89" s="50"/>
    </row>
    <row r="90" spans="1:11" x14ac:dyDescent="0.3">
      <c r="C90" s="48"/>
      <c r="D90" s="49"/>
      <c r="E90" s="49"/>
      <c r="F90" s="49"/>
      <c r="G90" s="50"/>
      <c r="H90" s="50"/>
    </row>
    <row r="91" spans="1:11" x14ac:dyDescent="0.3">
      <c r="C91" s="51" t="s">
        <v>133</v>
      </c>
      <c r="D91" s="51" t="s">
        <v>134</v>
      </c>
      <c r="E91" s="52" t="s">
        <v>135</v>
      </c>
      <c r="F91" s="53" t="s">
        <v>136</v>
      </c>
      <c r="G91" s="53" t="s">
        <v>137</v>
      </c>
      <c r="H91" s="53" t="s">
        <v>138</v>
      </c>
    </row>
    <row r="92" spans="1:11" x14ac:dyDescent="0.3">
      <c r="C92" s="75" t="s">
        <v>139</v>
      </c>
      <c r="D92" s="76"/>
      <c r="E92" s="76"/>
      <c r="F92" s="76"/>
      <c r="G92" s="76"/>
      <c r="H92" s="77"/>
    </row>
    <row r="93" spans="1:11" x14ac:dyDescent="0.3">
      <c r="C93" s="48"/>
      <c r="D93" s="49"/>
      <c r="E93" s="49"/>
      <c r="F93" s="49"/>
      <c r="G93" s="50"/>
      <c r="H93" s="50"/>
    </row>
    <row r="94" spans="1:11" x14ac:dyDescent="0.3">
      <c r="C94" s="49" t="s">
        <v>140</v>
      </c>
      <c r="D94" s="49"/>
      <c r="E94" s="49"/>
      <c r="F94" s="54"/>
      <c r="G94" s="50"/>
      <c r="H94" s="50"/>
    </row>
    <row r="95" spans="1:11" x14ac:dyDescent="0.3">
      <c r="C95" s="55"/>
      <c r="D95" s="49"/>
      <c r="E95" s="49"/>
      <c r="F95" s="54"/>
      <c r="G95" s="50"/>
      <c r="H95" s="50"/>
    </row>
    <row r="96" spans="1:11" x14ac:dyDescent="0.3">
      <c r="C96" s="48" t="s">
        <v>141</v>
      </c>
      <c r="D96" s="49"/>
      <c r="E96" s="49"/>
      <c r="F96" s="54"/>
      <c r="G96" s="50"/>
      <c r="H96" s="50"/>
    </row>
    <row r="97" spans="3:8" x14ac:dyDescent="0.3">
      <c r="C97" s="56" t="s">
        <v>142</v>
      </c>
      <c r="D97" s="49"/>
      <c r="E97" s="49"/>
      <c r="F97" s="54"/>
      <c r="G97" s="50"/>
      <c r="H97" s="50"/>
    </row>
    <row r="98" spans="3:8" x14ac:dyDescent="0.3">
      <c r="C98" s="56" t="s">
        <v>143</v>
      </c>
      <c r="D98" s="49"/>
      <c r="E98" s="49"/>
      <c r="F98" s="54"/>
      <c r="G98" s="50"/>
      <c r="H98" s="50"/>
    </row>
    <row r="99" spans="3:8" x14ac:dyDescent="0.3">
      <c r="C99" s="56" t="s">
        <v>144</v>
      </c>
      <c r="D99" s="54"/>
      <c r="E99" s="49"/>
      <c r="F99" s="54"/>
      <c r="G99" s="50"/>
      <c r="H99" s="50"/>
    </row>
    <row r="100" spans="3:8" x14ac:dyDescent="0.3">
      <c r="C100" s="56" t="s">
        <v>145</v>
      </c>
      <c r="D100" s="54"/>
      <c r="E100" s="54"/>
      <c r="F100" s="54"/>
      <c r="G100" s="50"/>
      <c r="H100" s="50"/>
    </row>
    <row r="101" spans="3:8" x14ac:dyDescent="0.3">
      <c r="C101" s="57" t="s">
        <v>146</v>
      </c>
      <c r="D101" s="54"/>
      <c r="E101" s="58"/>
      <c r="F101" s="54"/>
      <c r="G101" s="50"/>
      <c r="H101" s="50"/>
    </row>
    <row r="102" spans="3:8" x14ac:dyDescent="0.3">
      <c r="C102" s="55"/>
      <c r="D102" s="49"/>
      <c r="E102" s="49"/>
      <c r="F102" s="54"/>
      <c r="G102" s="50"/>
      <c r="H102" s="50"/>
    </row>
    <row r="103" spans="3:8" x14ac:dyDescent="0.3">
      <c r="C103" s="55"/>
      <c r="D103" s="49"/>
      <c r="E103" s="49"/>
      <c r="F103" s="54"/>
      <c r="G103" s="50"/>
      <c r="H103" s="50"/>
    </row>
    <row r="104" spans="3:8" x14ac:dyDescent="0.3">
      <c r="C104" s="48" t="s">
        <v>147</v>
      </c>
      <c r="D104" s="56"/>
      <c r="E104" s="56"/>
      <c r="F104" s="56"/>
      <c r="G104" s="56"/>
      <c r="H104" s="59"/>
    </row>
    <row r="105" spans="3:8" x14ac:dyDescent="0.3">
      <c r="C105" s="51" t="s">
        <v>133</v>
      </c>
      <c r="D105" s="51" t="s">
        <v>134</v>
      </c>
      <c r="E105" s="53" t="s">
        <v>148</v>
      </c>
      <c r="F105" s="53" t="s">
        <v>136</v>
      </c>
      <c r="G105" s="53" t="s">
        <v>137</v>
      </c>
      <c r="H105" s="53" t="s">
        <v>138</v>
      </c>
    </row>
    <row r="106" spans="3:8" x14ac:dyDescent="0.3">
      <c r="C106" s="60" t="s">
        <v>30</v>
      </c>
      <c r="D106" s="60" t="s">
        <v>104</v>
      </c>
      <c r="E106" s="61">
        <v>11</v>
      </c>
      <c r="F106" s="62">
        <v>1979.9681820000001</v>
      </c>
      <c r="G106" s="62">
        <v>1978.3</v>
      </c>
      <c r="H106" s="62">
        <v>15.732661999999999</v>
      </c>
    </row>
    <row r="107" spans="3:8" x14ac:dyDescent="0.3">
      <c r="C107" s="63"/>
      <c r="D107" s="63"/>
      <c r="E107" s="63"/>
      <c r="F107" s="63"/>
      <c r="G107" s="63"/>
      <c r="H107" s="63"/>
    </row>
    <row r="108" spans="3:8" x14ac:dyDescent="0.3">
      <c r="C108" s="56" t="s">
        <v>149</v>
      </c>
      <c r="D108" s="63"/>
      <c r="E108" s="63"/>
      <c r="F108" s="63"/>
      <c r="G108" s="63"/>
      <c r="H108" s="63"/>
    </row>
    <row r="109" spans="3:8" x14ac:dyDescent="0.3">
      <c r="C109" s="63"/>
      <c r="D109" s="63"/>
      <c r="E109" s="63"/>
      <c r="F109" s="63"/>
      <c r="G109" s="63"/>
      <c r="H109" s="63"/>
    </row>
    <row r="110" spans="3:8" x14ac:dyDescent="0.3">
      <c r="C110" s="48" t="s">
        <v>150</v>
      </c>
      <c r="D110" s="63"/>
      <c r="E110" s="63"/>
      <c r="F110" s="63"/>
      <c r="G110" s="63"/>
      <c r="H110" s="63"/>
    </row>
    <row r="111" spans="3:8" x14ac:dyDescent="0.3">
      <c r="C111" s="56" t="s">
        <v>151</v>
      </c>
      <c r="D111" s="63"/>
      <c r="E111" s="63"/>
      <c r="F111" s="63"/>
      <c r="G111" s="63"/>
      <c r="H111" s="63"/>
    </row>
    <row r="112" spans="3:8" x14ac:dyDescent="0.3">
      <c r="C112" s="56" t="s">
        <v>152</v>
      </c>
      <c r="D112" s="63"/>
      <c r="E112" s="63"/>
      <c r="F112" s="63"/>
      <c r="G112" s="63"/>
      <c r="H112" s="63"/>
    </row>
    <row r="113" spans="3:8" x14ac:dyDescent="0.3">
      <c r="C113" s="56" t="s">
        <v>153</v>
      </c>
      <c r="D113" s="64"/>
      <c r="E113" s="65"/>
      <c r="F113" s="63"/>
      <c r="G113" s="63"/>
      <c r="H113" s="63"/>
    </row>
    <row r="114" spans="3:8" x14ac:dyDescent="0.3">
      <c r="C114" s="56" t="s">
        <v>154</v>
      </c>
      <c r="D114" s="64"/>
      <c r="E114" s="63"/>
      <c r="F114" s="63"/>
      <c r="G114" s="63"/>
      <c r="H114" s="63"/>
    </row>
    <row r="115" spans="3:8" x14ac:dyDescent="0.3">
      <c r="C115" s="57" t="s">
        <v>155</v>
      </c>
      <c r="D115" s="64"/>
      <c r="E115" s="58"/>
      <c r="F115" s="58"/>
      <c r="G115" s="63"/>
      <c r="H115" s="63"/>
    </row>
    <row r="116" spans="3:8" x14ac:dyDescent="0.3">
      <c r="C116" s="63"/>
      <c r="D116" s="63"/>
      <c r="E116" s="63"/>
      <c r="F116" s="63"/>
      <c r="G116" s="63"/>
      <c r="H116" s="63"/>
    </row>
    <row r="117" spans="3:8" x14ac:dyDescent="0.3">
      <c r="C117" s="49"/>
      <c r="D117" s="58"/>
      <c r="E117" s="58"/>
      <c r="F117" s="58"/>
      <c r="G117" s="50"/>
      <c r="H117" s="50"/>
    </row>
    <row r="118" spans="3:8" x14ac:dyDescent="0.3">
      <c r="C118" s="66" t="s">
        <v>156</v>
      </c>
      <c r="D118" s="58"/>
      <c r="E118" s="58"/>
      <c r="F118" s="49"/>
      <c r="G118" s="50"/>
      <c r="H118" s="50"/>
    </row>
    <row r="119" spans="3:8" x14ac:dyDescent="0.3">
      <c r="C119" s="66"/>
      <c r="D119" s="58"/>
      <c r="E119" s="58"/>
      <c r="F119" s="49"/>
      <c r="G119" s="50"/>
      <c r="H119" s="50"/>
    </row>
    <row r="120" spans="3:8" x14ac:dyDescent="0.3">
      <c r="C120" s="11" t="s">
        <v>157</v>
      </c>
    </row>
    <row r="121" spans="3:8" x14ac:dyDescent="0.3">
      <c r="C121" s="2" t="s">
        <v>158</v>
      </c>
    </row>
    <row r="122" spans="3:8" x14ac:dyDescent="0.3">
      <c r="C122" s="67" t="s">
        <v>159</v>
      </c>
    </row>
    <row r="123" spans="3:8" x14ac:dyDescent="0.3">
      <c r="C123" s="2" t="s">
        <v>160</v>
      </c>
    </row>
    <row r="124" spans="3:8" x14ac:dyDescent="0.3">
      <c r="C124" s="2" t="s">
        <v>161</v>
      </c>
    </row>
    <row r="125" spans="3:8" x14ac:dyDescent="0.3">
      <c r="C125" s="2" t="s">
        <v>162</v>
      </c>
      <c r="D125" s="68"/>
      <c r="E125" s="68"/>
      <c r="F125" s="68"/>
      <c r="G125" s="69"/>
      <c r="H125" s="69"/>
    </row>
    <row r="126" spans="3:8" x14ac:dyDescent="0.3">
      <c r="C126" s="2" t="s">
        <v>163</v>
      </c>
    </row>
    <row r="127" spans="3:8" x14ac:dyDescent="0.3">
      <c r="C127" s="2" t="s">
        <v>164</v>
      </c>
    </row>
    <row r="128" spans="3:8" x14ac:dyDescent="0.3">
      <c r="C128" s="2" t="s">
        <v>165</v>
      </c>
    </row>
    <row r="129" spans="3:55" x14ac:dyDescent="0.3">
      <c r="C129" s="2" t="s">
        <v>166</v>
      </c>
    </row>
    <row r="130" spans="3:55" s="11" customFormat="1" x14ac:dyDescent="0.3">
      <c r="C130" s="11" t="s">
        <v>167</v>
      </c>
      <c r="E130" s="11" t="s">
        <v>168</v>
      </c>
      <c r="F130" s="70" t="s">
        <v>169</v>
      </c>
      <c r="G130" s="71"/>
      <c r="H130" s="71"/>
      <c r="I130" s="71"/>
      <c r="J130" s="71"/>
      <c r="K130" s="72"/>
      <c r="L130" s="72"/>
      <c r="M130" s="72"/>
      <c r="AJ130" s="72"/>
      <c r="AW130" s="72"/>
      <c r="AY130" s="72"/>
      <c r="BC130" s="72"/>
    </row>
    <row r="131" spans="3:55" x14ac:dyDescent="0.3">
      <c r="C131" s="2" t="s">
        <v>170</v>
      </c>
      <c r="E131" s="73">
        <v>16.939</v>
      </c>
      <c r="F131" s="74">
        <v>17.4377</v>
      </c>
    </row>
    <row r="132" spans="3:55" x14ac:dyDescent="0.3">
      <c r="C132" s="2" t="s">
        <v>171</v>
      </c>
      <c r="E132" s="73">
        <v>31.413</v>
      </c>
      <c r="F132" s="74">
        <v>32.337699999999998</v>
      </c>
    </row>
    <row r="133" spans="3:55" x14ac:dyDescent="0.3">
      <c r="C133" s="2" t="s">
        <v>172</v>
      </c>
      <c r="E133" s="73">
        <v>18.790099999999999</v>
      </c>
      <c r="F133" s="74">
        <v>19.3614</v>
      </c>
    </row>
    <row r="134" spans="3:55" x14ac:dyDescent="0.3">
      <c r="C134" s="2" t="s">
        <v>173</v>
      </c>
      <c r="E134" s="73">
        <v>34.105899999999998</v>
      </c>
      <c r="F134" s="74">
        <v>35.142800000000001</v>
      </c>
    </row>
    <row r="136" spans="3:55" x14ac:dyDescent="0.3">
      <c r="C136" s="2" t="s">
        <v>174</v>
      </c>
    </row>
    <row r="138" spans="3:55" x14ac:dyDescent="0.3">
      <c r="C138" s="2" t="s">
        <v>175</v>
      </c>
    </row>
    <row r="139" spans="3:55" x14ac:dyDescent="0.3">
      <c r="C139" s="2" t="s">
        <v>176</v>
      </c>
    </row>
    <row r="140" spans="3:55" x14ac:dyDescent="0.3">
      <c r="C140" s="2" t="s">
        <v>177</v>
      </c>
    </row>
    <row r="141" spans="3:55" x14ac:dyDescent="0.3">
      <c r="C141" s="2" t="s">
        <v>178</v>
      </c>
    </row>
    <row r="142" spans="3:55" x14ac:dyDescent="0.3">
      <c r="C142" s="2" t="s">
        <v>179</v>
      </c>
    </row>
    <row r="143" spans="3:55" x14ac:dyDescent="0.3">
      <c r="C143" s="2" t="s">
        <v>180</v>
      </c>
    </row>
    <row r="144" spans="3:55" x14ac:dyDescent="0.3">
      <c r="C144" s="2" t="s">
        <v>181</v>
      </c>
    </row>
    <row r="145" spans="3:3" x14ac:dyDescent="0.3">
      <c r="C145" s="2" t="s">
        <v>182</v>
      </c>
    </row>
    <row r="146" spans="3:3" x14ac:dyDescent="0.3">
      <c r="C146" s="2" t="s">
        <v>183</v>
      </c>
    </row>
    <row r="147" spans="3:3" x14ac:dyDescent="0.3">
      <c r="C147" s="2" t="s">
        <v>184</v>
      </c>
    </row>
    <row r="148" spans="3:3" x14ac:dyDescent="0.3">
      <c r="C148" s="2" t="s">
        <v>185</v>
      </c>
    </row>
    <row r="149" spans="3:3" x14ac:dyDescent="0.3">
      <c r="C149" s="2" t="s">
        <v>186</v>
      </c>
    </row>
  </sheetData>
  <mergeCells count="1">
    <mergeCell ref="C92:H9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BS</vt:lpstr>
      <vt:lpstr>XDO_?CLASS_3?22?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XDO_?FINAL_MV?100?</vt:lpstr>
      <vt:lpstr>XDO_?FINAL_MV?101?</vt:lpstr>
      <vt:lpstr>XDO_?FINAL_MV?102?</vt:lpstr>
      <vt:lpstr>XDO_?FINAL_MV?103?</vt:lpstr>
      <vt:lpstr>XDO_?FINAL_MV?104?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XDO_?NAMCNAME?22?</vt:lpstr>
      <vt:lpstr>XDO_?NOVAL?100?</vt:lpstr>
      <vt:lpstr>XDO_?NOVAL?101?</vt:lpstr>
      <vt:lpstr>XDO_?NOVAL?102?</vt:lpstr>
      <vt:lpstr>XDO_?NOVAL?103?</vt:lpstr>
      <vt:lpstr>XDO_?NOVAL?104?</vt:lpstr>
      <vt:lpstr>XDO_?NPTF?22?</vt:lpstr>
      <vt:lpstr>XDO_?RATING?100?</vt:lpstr>
      <vt:lpstr>XDO_?RATING?101?</vt:lpstr>
      <vt:lpstr>XDO_?RATING?102?</vt:lpstr>
      <vt:lpstr>XDO_?RATING?103?</vt:lpstr>
      <vt:lpstr>XDO_?RATING?104?</vt:lpstr>
      <vt:lpstr>XDO_?REMARKS?100?</vt:lpstr>
      <vt:lpstr>XDO_?REMARKS?101?</vt:lpstr>
      <vt:lpstr>XDO_?REMARKS?102?</vt:lpstr>
      <vt:lpstr>XDO_?REMARKS?103?</vt:lpstr>
      <vt:lpstr>XDO_?REMARKS?104?</vt:lpstr>
      <vt:lpstr>XDO_?TITL?22?</vt:lpstr>
      <vt:lpstr>XDO_?YTM?100?</vt:lpstr>
      <vt:lpstr>XDO_?YTM?101?</vt:lpstr>
      <vt:lpstr>XDO_?YTM?102?</vt:lpstr>
      <vt:lpstr>XDO_?YTM?103?</vt:lpstr>
      <vt:lpstr>XDO_?YTM?104?</vt:lpstr>
      <vt:lpstr>XDO_GROUP_?G_2?22?</vt:lpstr>
      <vt:lpstr>XDO_GROUP_?G_3?22?</vt:lpstr>
      <vt:lpstr>XDO_GROUP_?G_4?100?</vt:lpstr>
      <vt:lpstr>XDO_GROUP_?G_4?101?</vt:lpstr>
      <vt:lpstr>XDO_GROUP_?G_4?102?</vt:lpstr>
      <vt:lpstr>XDO_GROUP_?G_4?103?</vt:lpstr>
      <vt:lpstr>XDO_GROUP_?G_4?104?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2023-06-06T07:18:58Z</dcterms:created>
  <dcterms:modified xsi:type="dcterms:W3CDTF">2023-06-06T13:18:25Z</dcterms:modified>
</cp:coreProperties>
</file>