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31-July-2023\BOBBNPMF_Monthly portfolio_Split_31.07.2023\"/>
    </mc:Choice>
  </mc:AlternateContent>
  <bookViews>
    <workbookView xWindow="0" yWindow="0" windowWidth="23040" windowHeight="9072"/>
  </bookViews>
  <sheets>
    <sheet name="SI" sheetId="1" r:id="rId1"/>
  </sheets>
  <externalReferences>
    <externalReference r:id="rId2"/>
  </externalReferences>
  <definedNames>
    <definedName name="XDO_?CLASS_3?22?">SI!$C$16:$C$34</definedName>
    <definedName name="XDO_?FINAL_ISIN?102?">SI!$D$18:$D$34</definedName>
    <definedName name="XDO_?FINAL_ISIN?103?">SI!$D$18:$D$44</definedName>
    <definedName name="XDO_?FINAL_ISIN?104?">SI!$D$18:$D$49</definedName>
    <definedName name="XDO_?FINAL_ISIN?105?">SI!$D$18:$D$72</definedName>
    <definedName name="XDO_?FINAL_ISIN?106?">SI!$D$18:$D$76</definedName>
    <definedName name="XDO_?FINAL_MV?102?">SI!$G$18:$G$34</definedName>
    <definedName name="XDO_?FINAL_MV?103?">SI!$G$18:$G$44</definedName>
    <definedName name="XDO_?FINAL_MV?104?">SI!$G$18:$G$49</definedName>
    <definedName name="XDO_?FINAL_MV?105?">SI!$G$18:$G$72</definedName>
    <definedName name="XDO_?FINAL_MV?106?">SI!$G$18:$G$76</definedName>
    <definedName name="XDO_?FINAL_NAME?102?">SI!$C$18:$C$34</definedName>
    <definedName name="XDO_?FINAL_NAME?103?">SI!$C$18:$C$44</definedName>
    <definedName name="XDO_?FINAL_NAME?104?">SI!$C$18:$C$49</definedName>
    <definedName name="XDO_?FINAL_NAME?105?">SI!$C$18:$C$72</definedName>
    <definedName name="XDO_?FINAL_NAME?106?">SI!$C$18:$C$76</definedName>
    <definedName name="XDO_?FINAL_PER_NET?102?">SI!$H$18:$H$34</definedName>
    <definedName name="XDO_?FINAL_PER_NET?103?">SI!$H$18:$H$44</definedName>
    <definedName name="XDO_?FINAL_PER_NET?104?">SI!$H$18:$H$49</definedName>
    <definedName name="XDO_?FINAL_PER_NET?105?">SI!$H$18:$H$72</definedName>
    <definedName name="XDO_?FINAL_PER_NET?106?">SI!$H$18:$H$76</definedName>
    <definedName name="XDO_?FINAL_QUANTITE?102?">SI!$F$18:$F$34</definedName>
    <definedName name="XDO_?FINAL_QUANTITE?103?">SI!$F$18:$F$44</definedName>
    <definedName name="XDO_?FINAL_QUANTITE?104?">SI!$F$18:$F$49</definedName>
    <definedName name="XDO_?FINAL_QUANTITE?105?">SI!$F$18:$F$72</definedName>
    <definedName name="XDO_?FINAL_QUANTITE?106?">SI!$F$18:$F$76</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[1]LQ!#REF!</definedName>
    <definedName name="XDO_?NAMC?22?">SI!#REF!</definedName>
    <definedName name="XDO_?NAMC?23?">[1]BS!#REF!</definedName>
    <definedName name="XDO_?NAMC?24?">[1]CO!#REF!</definedName>
    <definedName name="XDO_?NAMC?25?">[1]US!#REF!</definedName>
    <definedName name="XDO_?NAMC?26?">[1]DE!#REF!</definedName>
    <definedName name="XDO_?NAMC?27?">[1]ON!#REF!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2?">SI!$C$2:$C$34</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[1]LQ!#REF!</definedName>
    <definedName name="XDO_?NDATE?22?">SI!#REF!</definedName>
    <definedName name="XDO_?NDATE?23?">[1]BS!#REF!</definedName>
    <definedName name="XDO_?NDATE?24?">[1]CO!#REF!</definedName>
    <definedName name="XDO_?NDATE?25?">[1]US!#REF!</definedName>
    <definedName name="XDO_?NDATE?26?">[1]DE!#REF!</definedName>
    <definedName name="XDO_?NDATE?27?">[1]ON!#REF!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[1]LQ!#REF!</definedName>
    <definedName name="XDO_?NNPTF?22?">SI!#REF!</definedName>
    <definedName name="XDO_?NNPTF?23?">[1]BS!#REF!</definedName>
    <definedName name="XDO_?NNPTF?24?">[1]CO!#REF!</definedName>
    <definedName name="XDO_?NNPTF?25?">[1]US!#REF!</definedName>
    <definedName name="XDO_?NNPTF?26?">[1]DE!#REF!</definedName>
    <definedName name="XDO_?NNPTF?27?">[1]ON!#REF!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02?">SI!$B$18:$B$34</definedName>
    <definedName name="XDO_?NOVAL?103?">SI!$B$18:$B$44</definedName>
    <definedName name="XDO_?NOVAL?104?">SI!$B$18:$B$49</definedName>
    <definedName name="XDO_?NOVAL?105?">SI!$B$18:$B$72</definedName>
    <definedName name="XDO_?NOVAL?106?">SI!$B$18:$B$76</definedName>
    <definedName name="XDO_?NPTF?22?">SI!$D$2:$D$34</definedName>
    <definedName name="XDO_?RATING?102?">SI!$E$18:$E$34</definedName>
    <definedName name="XDO_?RATING?103?">SI!$E$18:$E$44</definedName>
    <definedName name="XDO_?RATING?104?">SI!$E$18:$E$49</definedName>
    <definedName name="XDO_?RATING?105?">SI!$E$18:$E$72</definedName>
    <definedName name="XDO_?RATING?106?">SI!$E$18:$E$76</definedName>
    <definedName name="XDO_?REMARKS?102?">SI!$K$18:$K$34</definedName>
    <definedName name="XDO_?REMARKS?103?">SI!$K$18:$K$44</definedName>
    <definedName name="XDO_?REMARKS?104?">SI!$K$18:$K$49</definedName>
    <definedName name="XDO_?REMARKS?105?">SI!$K$18:$K$72</definedName>
    <definedName name="XDO_?REMARKS?106?">SI!$K$18:$K$76</definedName>
    <definedName name="XDO_?TITL?22?">SI!$A$16:$A$34</definedName>
    <definedName name="XDO_?YTM?102?">SI!$I$18:$I$34</definedName>
    <definedName name="XDO_?YTM?103?">SI!$I$18:$I$44</definedName>
    <definedName name="XDO_?YTM?104?">SI!$I$18:$I$49</definedName>
    <definedName name="XDO_?YTM?105?">SI!$I$18:$I$72</definedName>
    <definedName name="XDO_?YTM?106?">SI!$I$18:$I$76</definedName>
    <definedName name="XDO_GROUP_?G_2?22?">SI!$2:$48</definedName>
    <definedName name="XDO_GROUP_?G_3?22?">SI!$8:$47</definedName>
    <definedName name="XDO_GROUP_?G_4?102?">SI!$B$10:$IV$24</definedName>
    <definedName name="XDO_GROUP_?G_4?103?">SI!$B$28:$IV$30</definedName>
    <definedName name="XDO_GROUP_?G_4?104?">SI!$B$34:$IV$35</definedName>
    <definedName name="XDO_GROUP_?G_4?105?">SI!$B$40:$IV$40</definedName>
    <definedName name="XDO_GROUP_?G_4?106?">SI!$B$45:$IV$45</definedName>
    <definedName name="XDO_GROUP_?G_4?41?">[1]TA!#REF!</definedName>
    <definedName name="XDO_GROUP_?G_4?91?">[1]GR!#REF!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9" i="1" l="1"/>
</calcChain>
</file>

<file path=xl/sharedStrings.xml><?xml version="1.0" encoding="utf-8"?>
<sst xmlns="http://schemas.openxmlformats.org/spreadsheetml/2006/main" count="227" uniqueCount="165">
  <si>
    <t>Baroda BNP Paribas Mutual Fund</t>
  </si>
  <si>
    <t>YR15</t>
  </si>
  <si>
    <t>SCHEME NAME :</t>
  </si>
  <si>
    <t xml:space="preserve">Baroda BNP Paribas Short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</si>
  <si>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</si>
  <si>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</si>
  <si>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</si>
  <si>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</si>
  <si>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</si>
  <si>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</si>
  <si>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</si>
  <si>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</si>
  <si>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</si>
  <si>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</si>
  <si>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</si>
  <si>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</si>
  <si>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</si>
  <si>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</si>
  <si>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</si>
  <si>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</si>
  <si>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</si>
  <si>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704048</t>
  </si>
  <si>
    <t>7.58% Power Finance Corporation Ltd. 15-Jan-2026</t>
  </si>
  <si>
    <t>INE134E08LZ0</t>
  </si>
  <si>
    <t>CRISIL AAA</t>
  </si>
  <si>
    <t>N**</t>
  </si>
  <si>
    <t>703892</t>
  </si>
  <si>
    <t>7.75% Small Industries Development Bank of India 27-Oct-2025</t>
  </si>
  <si>
    <t>INE556F08KD0</t>
  </si>
  <si>
    <t>[ICRA]AAA</t>
  </si>
  <si>
    <t>704164</t>
  </si>
  <si>
    <t>8.30% Tata Capital Financial Services Ltd. 13-Mar-2026</t>
  </si>
  <si>
    <t>INE306N07NL3</t>
  </si>
  <si>
    <t>704132</t>
  </si>
  <si>
    <t>7.58% National Bank for Agriculture and Rural Development 31-Jul-2026</t>
  </si>
  <si>
    <t>INE261F08DX0</t>
  </si>
  <si>
    <t>704298</t>
  </si>
  <si>
    <t>7.23% Indian Railway Finance Corporation Ltd. 15-Oct-2026</t>
  </si>
  <si>
    <t>INE053F08304</t>
  </si>
  <si>
    <t>704318</t>
  </si>
  <si>
    <t>6.75% Sikka Ports &amp; Terminals Ltd. 22-Apr-2026</t>
  </si>
  <si>
    <t>INE941D07208</t>
  </si>
  <si>
    <t>704138</t>
  </si>
  <si>
    <t>7.68% Housing and Urban Development Corporation Ltd. 16-May-2026</t>
  </si>
  <si>
    <t>INE031A08871</t>
  </si>
  <si>
    <t>704302</t>
  </si>
  <si>
    <t>7.82% LIC Housing Finance Ltd. 28-Nov-2025</t>
  </si>
  <si>
    <t>INE115A07QD5</t>
  </si>
  <si>
    <t>704277</t>
  </si>
  <si>
    <t>8.43% Muthoot Finance Ltd. 31-Jul-2026</t>
  </si>
  <si>
    <t>INE414G07IG9</t>
  </si>
  <si>
    <t>CRISIL AA+</t>
  </si>
  <si>
    <t>704352</t>
  </si>
  <si>
    <t>8.80% Piramal Capital &amp; Housing Finance Ltd. 30-Dec-2024</t>
  </si>
  <si>
    <t>INE516Y07477</t>
  </si>
  <si>
    <t>CARE AA</t>
  </si>
  <si>
    <t>703771</t>
  </si>
  <si>
    <t>7.12% Hindustan Petroleum Corporation Ltd. 30-Jul-2025</t>
  </si>
  <si>
    <t>INE094A08127</t>
  </si>
  <si>
    <t>703915</t>
  </si>
  <si>
    <t>8.50% JM Financial Products Ltd. 16-May-2025</t>
  </si>
  <si>
    <t>INE523H07BV9</t>
  </si>
  <si>
    <t>[ICRA]AA</t>
  </si>
  <si>
    <t>703028</t>
  </si>
  <si>
    <t>6.25% Embassy Office Parks Reit 18-Oct-2024</t>
  </si>
  <si>
    <t>INE041007076</t>
  </si>
  <si>
    <t>703012</t>
  </si>
  <si>
    <t>6.40% Jamnagar Utilities &amp; Power Pvt. Ltd. 29-Sep-2026</t>
  </si>
  <si>
    <t>INE936D07174</t>
  </si>
  <si>
    <t>704255</t>
  </si>
  <si>
    <t>7.48% Housing and Urban Development Corporation Ltd. 20-Aug-2026</t>
  </si>
  <si>
    <t>INE031A08889</t>
  </si>
  <si>
    <t>704114</t>
  </si>
  <si>
    <t>8.50% Muthoot Finance Ltd. 29-Jan-2026</t>
  </si>
  <si>
    <t>INE414G07HK3</t>
  </si>
  <si>
    <t>701284</t>
  </si>
  <si>
    <t>8.41% Housing and Urban Development Corporation Ltd. 15-Mar-2029</t>
  </si>
  <si>
    <t>INE031A08699</t>
  </si>
  <si>
    <t>Total</t>
  </si>
  <si>
    <t>b) Privately Placed/Unlisted</t>
  </si>
  <si>
    <t>c) Securitised Debt Instruments</t>
  </si>
  <si>
    <t>d) Central Government Securities</t>
  </si>
  <si>
    <t>900254</t>
  </si>
  <si>
    <t>7.38% Government of India 20-Jun-2027</t>
  </si>
  <si>
    <t>IN0020220037</t>
  </si>
  <si>
    <t>Sovereign</t>
  </si>
  <si>
    <t>900249</t>
  </si>
  <si>
    <t>7.10% Government of India 18-Apr-2029</t>
  </si>
  <si>
    <t>IN0020220011</t>
  </si>
  <si>
    <t>900145</t>
  </si>
  <si>
    <t>5.22% Government of India 15-Jun-2025</t>
  </si>
  <si>
    <t>IN0020200112</t>
  </si>
  <si>
    <t>e) State Government Securities</t>
  </si>
  <si>
    <t>1904835</t>
  </si>
  <si>
    <t>7.62% State Government of Gujarat 19-Oct-2029</t>
  </si>
  <si>
    <t>IN1520220139</t>
  </si>
  <si>
    <t>1903462</t>
  </si>
  <si>
    <t>7.61% State Government of Maharashtra 11-May-2029</t>
  </si>
  <si>
    <t>IN2220220031</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</si>
  <si>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</si>
  <si>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</si>
  <si>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</si>
  <si>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</si>
  <si>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</si>
  <si>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</si>
  <si>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</si>
  <si>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</si>
  <si>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</si>
  <si>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</si>
  <si>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</si>
  <si>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108230100</t>
  </si>
  <si>
    <t>TREPS 01-Aug-2023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</si>
  <si>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</si>
  <si>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</si>
  <si>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</si>
  <si>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</si>
  <si>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</si>
  <si>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</si>
  <si>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</si>
  <si>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</si>
  <si>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</si>
  <si>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</si>
  <si>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July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</si>
  <si>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</si>
  <si>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</si>
  <si>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</si>
  <si>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June 30, 2023</t>
  </si>
  <si>
    <t>As on July 31, 2023</t>
  </si>
  <si>
    <t>Regular Plan - Monthly IDCW Option</t>
  </si>
  <si>
    <t>Regular Plan - Growth Option</t>
  </si>
  <si>
    <t>Regular Plan - Quarterly IDCW Option</t>
  </si>
  <si>
    <t>Direct Plan - Monthly IDCW Option</t>
  </si>
  <si>
    <t>Direct Plan - Growth Option</t>
  </si>
  <si>
    <t>Direct Plan - Quarterly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</si>
  <si>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</si>
  <si>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</si>
  <si>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</si>
  <si>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July 31, 2023. Further there are no investments in derivative instruments as on July 31, 2023.</t>
  </si>
  <si>
    <t>(10) Total Market value of investments in Foreign Securities/American Depositary Receipts/Global Depositary Receipts as at  July 31, 2023 is Rs. Nil.</t>
  </si>
  <si>
    <t>(11)  The Average Maturity period of the portfolio has been 1013 days.</t>
  </si>
  <si>
    <t>(12)  Details of repo transaction in corporate debt securities for the Month ended July 31, 2023 is Nil.</t>
  </si>
  <si>
    <t>(13)  Investments in debt instruments having structured obligations or credit enhancement features as at July 31, 2023 is Rs. Nil.</t>
  </si>
  <si>
    <t>(14) Investment in Partly paid Debentures during the Month ended  July 31, 2023 and as on  July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</si>
  <si>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</si>
  <si>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</si>
  <si>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</si>
  <si>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</si>
  <si>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</si>
  <si>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July 31, 2023 : Rs. Nil</t>
  </si>
  <si>
    <t>(17) Macaulay Duration of the portfolio has been 902 days.</t>
  </si>
  <si>
    <t>(18) Annualised Portfolio YTM has been 7.7124.</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</si>
  <si>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</si>
  <si>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</si>
  <si>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</si>
  <si>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</si>
  <si>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</si>
  <si>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</si>
  <si>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</si>
  <si>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</si>
  <si>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B-II</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</si>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</sst>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1">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5" borderId="23" xfId="0" applyFont="1" applyFill="1" applyBorder="1" applyAlignment="1">
      <alignment horizontal="center" vertical="center" wrapText="1"/>
    </xf>
    <xf numFmtId="0" fontId="17" fillId="0" borderId="23" xfId="0" applyFont="1" applyBorder="1" applyAlignment="1">
      <alignment vertical="center" wrapText="1"/>
    </xf>
    <xf numFmtId="0" fontId="17" fillId="5" borderId="22" xfId="0" applyFont="1" applyFill="1" applyBorder="1" applyAlignment="1">
      <alignment horizontal="center" vertical="center" wrapText="1"/>
    </xf>
    <xf numFmtId="0" fontId="17" fillId="0" borderId="22"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118</xdr:row>
      <xdr:rowOff>0</xdr:rowOff>
    </xdr:from>
    <xdr:to>
      <xdr:col>5</xdr:col>
      <xdr:colOff>502920</xdr:colOff>
      <xdr:row>142</xdr:row>
      <xdr:rowOff>76200</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260" y="21907500"/>
          <a:ext cx="7452360" cy="4282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July%202023\Month%20end%2031%20July%202023\Split%20Portfolio\BOBBNPMF_Monthly%20portfolio%2031-07-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53"/>
  <sheetViews>
    <sheetView showGridLines="0" tabSelected="1" zoomScale="90" zoomScaleNormal="90" workbookViewId="0">
      <pane ySplit="6" topLeftCell="A112" activePane="bottomLeft" state="frozen"/>
      <selection activeCell="I2" sqref="I2"/>
      <selection pane="bottomLeft" activeCell="I125" sqref="I125"/>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45138</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2:11">
      <c r="C17" s="37" t="s">
        <v>20</v>
      </c>
      <c r="D17" s="29"/>
      <c r="E17" s="30"/>
      <c r="F17" s="31"/>
      <c r="G17" s="32"/>
      <c r="H17" s="32"/>
      <c r="I17" s="33"/>
      <c r="J17" s="33"/>
      <c r="K17" s="34"/>
    </row>
    <row r="18" spans="2:11">
      <c r="B18" s="1" t="s">
        <v>21</v>
      </c>
      <c r="C18" s="21" t="s">
        <v>22</v>
      </c>
      <c r="D18" s="29" t="s">
        <v>23</v>
      </c>
      <c r="E18" s="30" t="s">
        <v>24</v>
      </c>
      <c r="F18" s="31">
        <v>170</v>
      </c>
      <c r="G18" s="32">
        <v>1702.57</v>
      </c>
      <c r="H18" s="32">
        <v>7.58</v>
      </c>
      <c r="I18" s="33">
        <v>7.4850000000000003</v>
      </c>
      <c r="J18" s="33"/>
      <c r="K18" s="34" t="s">
        <v>25</v>
      </c>
    </row>
    <row r="19" spans="2:11">
      <c r="B19" s="1" t="s">
        <v>26</v>
      </c>
      <c r="C19" s="21" t="s">
        <v>27</v>
      </c>
      <c r="D19" s="29" t="s">
        <v>28</v>
      </c>
      <c r="E19" s="30" t="s">
        <v>29</v>
      </c>
      <c r="F19" s="31">
        <v>150</v>
      </c>
      <c r="G19" s="32">
        <v>1504.81</v>
      </c>
      <c r="H19" s="32">
        <v>6.7</v>
      </c>
      <c r="I19" s="33">
        <v>7.57</v>
      </c>
      <c r="J19" s="33"/>
      <c r="K19" s="34" t="s">
        <v>25</v>
      </c>
    </row>
    <row r="20" spans="2:11">
      <c r="B20" s="1" t="s">
        <v>30</v>
      </c>
      <c r="C20" s="21" t="s">
        <v>31</v>
      </c>
      <c r="D20" s="29" t="s">
        <v>32</v>
      </c>
      <c r="E20" s="30" t="s">
        <v>29</v>
      </c>
      <c r="F20" s="31">
        <v>1270</v>
      </c>
      <c r="G20" s="32">
        <v>1280.51</v>
      </c>
      <c r="H20" s="32">
        <v>5.7</v>
      </c>
      <c r="I20" s="33">
        <v>7.9050000000000002</v>
      </c>
      <c r="J20" s="33"/>
      <c r="K20" s="34" t="s">
        <v>25</v>
      </c>
    </row>
    <row r="21" spans="2:11">
      <c r="B21" s="1" t="s">
        <v>33</v>
      </c>
      <c r="C21" s="21" t="s">
        <v>34</v>
      </c>
      <c r="D21" s="29" t="s">
        <v>35</v>
      </c>
      <c r="E21" s="30" t="s">
        <v>24</v>
      </c>
      <c r="F21" s="31">
        <v>1200</v>
      </c>
      <c r="G21" s="32">
        <v>1199.21</v>
      </c>
      <c r="H21" s="32">
        <v>5.34</v>
      </c>
      <c r="I21" s="33">
        <v>7.6050000000000004</v>
      </c>
      <c r="J21" s="33"/>
      <c r="K21" s="34" t="s">
        <v>25</v>
      </c>
    </row>
    <row r="22" spans="2:11">
      <c r="B22" s="1" t="s">
        <v>36</v>
      </c>
      <c r="C22" s="21" t="s">
        <v>37</v>
      </c>
      <c r="D22" s="29" t="s">
        <v>38</v>
      </c>
      <c r="E22" s="30" t="s">
        <v>24</v>
      </c>
      <c r="F22" s="31">
        <v>1200</v>
      </c>
      <c r="G22" s="32">
        <v>1193.6600000000001</v>
      </c>
      <c r="H22" s="32">
        <v>5.31</v>
      </c>
      <c r="I22" s="33">
        <v>7.4349999999999996</v>
      </c>
      <c r="J22" s="33"/>
      <c r="K22" s="34" t="s">
        <v>25</v>
      </c>
    </row>
    <row r="23" spans="2:11">
      <c r="B23" s="1" t="s">
        <v>39</v>
      </c>
      <c r="C23" s="21" t="s">
        <v>40</v>
      </c>
      <c r="D23" s="29" t="s">
        <v>41</v>
      </c>
      <c r="E23" s="30" t="s">
        <v>24</v>
      </c>
      <c r="F23" s="31">
        <v>120</v>
      </c>
      <c r="G23" s="32">
        <v>1172.74</v>
      </c>
      <c r="H23" s="32">
        <v>5.22</v>
      </c>
      <c r="I23" s="33">
        <v>7.6849999999999996</v>
      </c>
      <c r="J23" s="33"/>
      <c r="K23" s="34" t="s">
        <v>25</v>
      </c>
    </row>
    <row r="24" spans="2:11">
      <c r="B24" s="1" t="s">
        <v>42</v>
      </c>
      <c r="C24" s="21" t="s">
        <v>43</v>
      </c>
      <c r="D24" s="29" t="s">
        <v>44</v>
      </c>
      <c r="E24" s="30" t="s">
        <v>29</v>
      </c>
      <c r="F24" s="31">
        <v>1000</v>
      </c>
      <c r="G24" s="32">
        <v>1004.42</v>
      </c>
      <c r="H24" s="32">
        <v>4.47</v>
      </c>
      <c r="I24" s="33">
        <v>7.48</v>
      </c>
      <c r="J24" s="33"/>
      <c r="K24" s="34" t="s">
        <v>25</v>
      </c>
    </row>
    <row r="25" spans="2:11">
      <c r="B25" s="1" t="s">
        <v>45</v>
      </c>
      <c r="C25" s="21" t="s">
        <v>46</v>
      </c>
      <c r="D25" s="29" t="s">
        <v>47</v>
      </c>
      <c r="E25" s="30" t="s">
        <v>24</v>
      </c>
      <c r="F25" s="31">
        <v>100</v>
      </c>
      <c r="G25" s="32">
        <v>1001.36</v>
      </c>
      <c r="H25" s="32">
        <v>4.46</v>
      </c>
      <c r="I25" s="33">
        <v>7.73</v>
      </c>
      <c r="J25" s="33"/>
      <c r="K25" s="34"/>
    </row>
    <row r="26" spans="2:11">
      <c r="B26" s="1" t="s">
        <v>48</v>
      </c>
      <c r="C26" s="21" t="s">
        <v>49</v>
      </c>
      <c r="D26" s="29" t="s">
        <v>50</v>
      </c>
      <c r="E26" s="30" t="s">
        <v>51</v>
      </c>
      <c r="F26" s="31">
        <v>1000</v>
      </c>
      <c r="G26" s="32">
        <v>1000.5</v>
      </c>
      <c r="H26" s="32">
        <v>4.45</v>
      </c>
      <c r="I26" s="33">
        <v>8.4099000000000004</v>
      </c>
      <c r="J26" s="33"/>
      <c r="K26" s="34" t="s">
        <v>25</v>
      </c>
    </row>
    <row r="27" spans="2:11">
      <c r="B27" s="1" t="s">
        <v>52</v>
      </c>
      <c r="C27" s="21" t="s">
        <v>53</v>
      </c>
      <c r="D27" s="29" t="s">
        <v>54</v>
      </c>
      <c r="E27" s="30" t="s">
        <v>55</v>
      </c>
      <c r="F27" s="31">
        <v>1000</v>
      </c>
      <c r="G27" s="32">
        <v>995.53</v>
      </c>
      <c r="H27" s="32">
        <v>4.43</v>
      </c>
      <c r="I27" s="33">
        <v>9.2035999999999998</v>
      </c>
      <c r="J27" s="33"/>
      <c r="K27" s="34" t="s">
        <v>25</v>
      </c>
    </row>
    <row r="28" spans="2:11">
      <c r="B28" s="1" t="s">
        <v>56</v>
      </c>
      <c r="C28" s="21" t="s">
        <v>57</v>
      </c>
      <c r="D28" s="29" t="s">
        <v>58</v>
      </c>
      <c r="E28" s="30" t="s">
        <v>24</v>
      </c>
      <c r="F28" s="31">
        <v>100</v>
      </c>
      <c r="G28" s="32">
        <v>994.33</v>
      </c>
      <c r="H28" s="32">
        <v>4.43</v>
      </c>
      <c r="I28" s="33">
        <v>7.4349999999999996</v>
      </c>
      <c r="J28" s="33"/>
      <c r="K28" s="34" t="s">
        <v>25</v>
      </c>
    </row>
    <row r="29" spans="2:11">
      <c r="B29" s="1" t="s">
        <v>59</v>
      </c>
      <c r="C29" s="21" t="s">
        <v>60</v>
      </c>
      <c r="D29" s="29" t="s">
        <v>61</v>
      </c>
      <c r="E29" s="30" t="s">
        <v>62</v>
      </c>
      <c r="F29" s="31">
        <v>100</v>
      </c>
      <c r="G29" s="32">
        <v>987.99</v>
      </c>
      <c r="H29" s="32">
        <v>4.4000000000000004</v>
      </c>
      <c r="I29" s="33">
        <v>9.2596000000000007</v>
      </c>
      <c r="J29" s="33"/>
      <c r="K29" s="34" t="s">
        <v>25</v>
      </c>
    </row>
    <row r="30" spans="2:11">
      <c r="B30" s="1" t="s">
        <v>63</v>
      </c>
      <c r="C30" s="21" t="s">
        <v>64</v>
      </c>
      <c r="D30" s="29" t="s">
        <v>65</v>
      </c>
      <c r="E30" s="30" t="s">
        <v>24</v>
      </c>
      <c r="F30" s="31">
        <v>100</v>
      </c>
      <c r="G30" s="32">
        <v>981.87</v>
      </c>
      <c r="H30" s="32">
        <v>4.37</v>
      </c>
      <c r="I30" s="33">
        <v>8.61</v>
      </c>
      <c r="J30" s="33"/>
      <c r="K30" s="34" t="s">
        <v>25</v>
      </c>
    </row>
    <row r="31" spans="2:11">
      <c r="B31" s="1" t="s">
        <v>66</v>
      </c>
      <c r="C31" s="21" t="s">
        <v>67</v>
      </c>
      <c r="D31" s="29" t="s">
        <v>68</v>
      </c>
      <c r="E31" s="30" t="s">
        <v>24</v>
      </c>
      <c r="F31" s="31">
        <v>100</v>
      </c>
      <c r="G31" s="32">
        <v>964.12</v>
      </c>
      <c r="H31" s="32">
        <v>4.29</v>
      </c>
      <c r="I31" s="33">
        <v>7.71</v>
      </c>
      <c r="J31" s="33"/>
      <c r="K31" s="34" t="s">
        <v>25</v>
      </c>
    </row>
    <row r="32" spans="2:11">
      <c r="B32" s="1" t="s">
        <v>69</v>
      </c>
      <c r="C32" s="21" t="s">
        <v>70</v>
      </c>
      <c r="D32" s="29" t="s">
        <v>71</v>
      </c>
      <c r="E32" s="30" t="s">
        <v>29</v>
      </c>
      <c r="F32" s="31">
        <v>350</v>
      </c>
      <c r="G32" s="32">
        <v>349.97</v>
      </c>
      <c r="H32" s="32">
        <v>1.56</v>
      </c>
      <c r="I32" s="33">
        <v>7.4850000000000003</v>
      </c>
      <c r="J32" s="33"/>
      <c r="K32" s="34" t="s">
        <v>25</v>
      </c>
    </row>
    <row r="33" spans="2:11">
      <c r="B33" s="1" t="s">
        <v>72</v>
      </c>
      <c r="C33" s="21" t="s">
        <v>73</v>
      </c>
      <c r="D33" s="29" t="s">
        <v>74</v>
      </c>
      <c r="E33" s="30" t="s">
        <v>51</v>
      </c>
      <c r="F33" s="31">
        <v>300</v>
      </c>
      <c r="G33" s="32">
        <v>300.33</v>
      </c>
      <c r="H33" s="32">
        <v>1.34</v>
      </c>
      <c r="I33" s="33">
        <v>8.41</v>
      </c>
      <c r="J33" s="33"/>
      <c r="K33" s="34" t="s">
        <v>25</v>
      </c>
    </row>
    <row r="34" spans="2:11">
      <c r="B34" s="1" t="s">
        <v>75</v>
      </c>
      <c r="C34" s="21" t="s">
        <v>76</v>
      </c>
      <c r="D34" s="29" t="s">
        <v>77</v>
      </c>
      <c r="E34" s="30" t="s">
        <v>29</v>
      </c>
      <c r="F34" s="31">
        <v>10</v>
      </c>
      <c r="G34" s="32">
        <v>104.59</v>
      </c>
      <c r="H34" s="32">
        <v>0.47</v>
      </c>
      <c r="I34" s="33">
        <v>7.53</v>
      </c>
      <c r="J34" s="33"/>
      <c r="K34" s="34" t="s">
        <v>25</v>
      </c>
    </row>
    <row r="35" spans="2:11">
      <c r="C35" s="28" t="s">
        <v>78</v>
      </c>
      <c r="D35" s="29"/>
      <c r="E35" s="30"/>
      <c r="F35" s="31"/>
      <c r="G35" s="38">
        <v>16738.509999999998</v>
      </c>
      <c r="H35" s="38">
        <v>74.52</v>
      </c>
      <c r="I35" s="33"/>
      <c r="J35" s="33"/>
      <c r="K35" s="34"/>
    </row>
    <row r="36" spans="2:11">
      <c r="C36" s="21"/>
      <c r="D36" s="29"/>
      <c r="E36" s="30"/>
      <c r="F36" s="31"/>
      <c r="G36" s="32"/>
      <c r="H36" s="32"/>
      <c r="I36" s="33"/>
      <c r="J36" s="33"/>
      <c r="K36" s="34"/>
    </row>
    <row r="37" spans="2:11">
      <c r="C37" s="28" t="s">
        <v>79</v>
      </c>
      <c r="D37" s="29"/>
      <c r="E37" s="30"/>
      <c r="F37" s="31"/>
      <c r="G37" s="32" t="s">
        <v>16</v>
      </c>
      <c r="H37" s="32" t="s">
        <v>16</v>
      </c>
      <c r="I37" s="33"/>
      <c r="J37" s="33"/>
      <c r="K37" s="34"/>
    </row>
    <row r="38" spans="2:11">
      <c r="C38" s="21"/>
      <c r="D38" s="29"/>
      <c r="E38" s="30"/>
      <c r="F38" s="31"/>
      <c r="G38" s="32"/>
      <c r="H38" s="32"/>
      <c r="I38" s="33"/>
      <c r="J38" s="33"/>
      <c r="K38" s="34"/>
    </row>
    <row r="39" spans="2:11">
      <c r="C39" s="28" t="s">
        <v>80</v>
      </c>
      <c r="D39" s="29"/>
      <c r="E39" s="30"/>
      <c r="F39" s="31"/>
      <c r="G39" s="32" t="s">
        <v>16</v>
      </c>
      <c r="H39" s="32" t="s">
        <v>16</v>
      </c>
      <c r="I39" s="33"/>
      <c r="J39" s="33"/>
      <c r="K39" s="34"/>
    </row>
    <row r="40" spans="2:11">
      <c r="C40" s="21"/>
      <c r="D40" s="29"/>
      <c r="E40" s="30"/>
      <c r="F40" s="31"/>
      <c r="G40" s="32"/>
      <c r="H40" s="32"/>
      <c r="I40" s="33"/>
      <c r="J40" s="33"/>
      <c r="K40" s="34"/>
    </row>
    <row r="41" spans="2:11">
      <c r="C41" s="37" t="s">
        <v>81</v>
      </c>
      <c r="D41" s="29"/>
      <c r="E41" s="30"/>
      <c r="F41" s="31"/>
      <c r="G41" s="32"/>
      <c r="H41" s="32"/>
      <c r="I41" s="33"/>
      <c r="J41" s="33"/>
      <c r="K41" s="34"/>
    </row>
    <row r="42" spans="2:11">
      <c r="B42" s="1" t="s">
        <v>82</v>
      </c>
      <c r="C42" s="21" t="s">
        <v>83</v>
      </c>
      <c r="D42" s="29" t="s">
        <v>84</v>
      </c>
      <c r="E42" s="30" t="s">
        <v>85</v>
      </c>
      <c r="F42" s="31">
        <v>1500000</v>
      </c>
      <c r="G42" s="32">
        <v>1510.9</v>
      </c>
      <c r="H42" s="32">
        <v>6.73</v>
      </c>
      <c r="I42" s="33">
        <v>7.2872158999999996</v>
      </c>
      <c r="J42" s="33"/>
      <c r="K42" s="34"/>
    </row>
    <row r="43" spans="2:11">
      <c r="B43" s="1" t="s">
        <v>86</v>
      </c>
      <c r="C43" s="21" t="s">
        <v>87</v>
      </c>
      <c r="D43" s="29" t="s">
        <v>88</v>
      </c>
      <c r="E43" s="30" t="s">
        <v>85</v>
      </c>
      <c r="F43" s="31">
        <v>1000000</v>
      </c>
      <c r="G43" s="32">
        <v>996</v>
      </c>
      <c r="H43" s="32">
        <v>4.43</v>
      </c>
      <c r="I43" s="33">
        <v>7.3121980000000004</v>
      </c>
      <c r="J43" s="33"/>
      <c r="K43" s="34"/>
    </row>
    <row r="44" spans="2:11">
      <c r="B44" s="1" t="s">
        <v>89</v>
      </c>
      <c r="C44" s="21" t="s">
        <v>90</v>
      </c>
      <c r="D44" s="29" t="s">
        <v>91</v>
      </c>
      <c r="E44" s="30" t="s">
        <v>85</v>
      </c>
      <c r="F44" s="31">
        <v>401000</v>
      </c>
      <c r="G44" s="32">
        <v>388.25</v>
      </c>
      <c r="H44" s="32">
        <v>1.73</v>
      </c>
      <c r="I44" s="33">
        <v>7.1825191999999998</v>
      </c>
      <c r="J44" s="33"/>
      <c r="K44" s="34"/>
    </row>
    <row r="45" spans="2:11">
      <c r="C45" s="28" t="s">
        <v>78</v>
      </c>
      <c r="D45" s="29"/>
      <c r="E45" s="30"/>
      <c r="F45" s="31"/>
      <c r="G45" s="38">
        <v>2895.15</v>
      </c>
      <c r="H45" s="38">
        <v>12.89</v>
      </c>
      <c r="I45" s="33"/>
      <c r="J45" s="33"/>
      <c r="K45" s="34"/>
    </row>
    <row r="46" spans="2:11">
      <c r="C46" s="21"/>
      <c r="D46" s="29"/>
      <c r="E46" s="30"/>
      <c r="F46" s="31"/>
      <c r="G46" s="32"/>
      <c r="H46" s="32"/>
      <c r="I46" s="33"/>
      <c r="J46" s="33"/>
      <c r="K46" s="34"/>
    </row>
    <row r="47" spans="2:11">
      <c r="C47" s="37" t="s">
        <v>92</v>
      </c>
      <c r="D47" s="29"/>
      <c r="E47" s="30"/>
      <c r="F47" s="31"/>
      <c r="G47" s="32"/>
      <c r="H47" s="32"/>
      <c r="I47" s="33"/>
      <c r="J47" s="33"/>
      <c r="K47" s="34"/>
    </row>
    <row r="48" spans="2:11">
      <c r="B48" s="1" t="s">
        <v>93</v>
      </c>
      <c r="C48" s="21" t="s">
        <v>94</v>
      </c>
      <c r="D48" s="29" t="s">
        <v>95</v>
      </c>
      <c r="E48" s="30" t="s">
        <v>85</v>
      </c>
      <c r="F48" s="31">
        <v>700000</v>
      </c>
      <c r="G48" s="32">
        <v>706.79</v>
      </c>
      <c r="H48" s="32">
        <v>3.15</v>
      </c>
      <c r="I48" s="33">
        <v>7.5566800000000001</v>
      </c>
      <c r="J48" s="33"/>
      <c r="K48" s="34"/>
    </row>
    <row r="49" spans="1:11">
      <c r="B49" s="1" t="s">
        <v>96</v>
      </c>
      <c r="C49" s="21" t="s">
        <v>97</v>
      </c>
      <c r="D49" s="29" t="s">
        <v>98</v>
      </c>
      <c r="E49" s="30" t="s">
        <v>85</v>
      </c>
      <c r="F49" s="31">
        <v>700000</v>
      </c>
      <c r="G49" s="32">
        <v>705.77</v>
      </c>
      <c r="H49" s="32">
        <v>3.14</v>
      </c>
      <c r="I49" s="33">
        <v>7.5663239999999998</v>
      </c>
      <c r="J49" s="33"/>
      <c r="K49" s="34"/>
    </row>
    <row r="50" spans="1:11">
      <c r="C50" s="28" t="s">
        <v>78</v>
      </c>
      <c r="D50" s="29"/>
      <c r="E50" s="30"/>
      <c r="F50" s="31"/>
      <c r="G50" s="38">
        <v>1412.56</v>
      </c>
      <c r="H50" s="38">
        <v>6.29</v>
      </c>
      <c r="I50" s="33"/>
      <c r="J50" s="33"/>
      <c r="K50" s="34"/>
    </row>
    <row r="51" spans="1:11">
      <c r="C51" s="21"/>
      <c r="D51" s="29"/>
      <c r="E51" s="30"/>
      <c r="F51" s="31"/>
      <c r="G51" s="32"/>
      <c r="H51" s="32"/>
      <c r="I51" s="33"/>
      <c r="J51" s="33"/>
      <c r="K51" s="34"/>
    </row>
    <row r="52" spans="1:11">
      <c r="C52" s="28" t="s">
        <v>99</v>
      </c>
      <c r="D52" s="29"/>
      <c r="E52" s="30"/>
      <c r="F52" s="31"/>
      <c r="G52" s="32"/>
      <c r="H52" s="32"/>
      <c r="I52" s="33"/>
      <c r="J52" s="33"/>
      <c r="K52" s="34"/>
    </row>
    <row r="53" spans="1:11">
      <c r="C53" s="21"/>
      <c r="D53" s="29"/>
      <c r="E53" s="30"/>
      <c r="F53" s="31"/>
      <c r="G53" s="32"/>
      <c r="H53" s="32"/>
      <c r="I53" s="33"/>
      <c r="J53" s="33"/>
      <c r="K53" s="34"/>
    </row>
    <row r="54" spans="1:11">
      <c r="C54" s="28" t="s">
        <v>100</v>
      </c>
      <c r="D54" s="29"/>
      <c r="E54" s="30"/>
      <c r="F54" s="31"/>
      <c r="G54" s="32" t="s">
        <v>16</v>
      </c>
      <c r="H54" s="32" t="s">
        <v>16</v>
      </c>
      <c r="I54" s="33"/>
      <c r="J54" s="33"/>
      <c r="K54" s="34"/>
    </row>
    <row r="55" spans="1:11">
      <c r="C55" s="21"/>
      <c r="D55" s="29"/>
      <c r="E55" s="30"/>
      <c r="F55" s="31"/>
      <c r="G55" s="32"/>
      <c r="H55" s="32"/>
      <c r="I55" s="33"/>
      <c r="J55" s="33"/>
      <c r="K55" s="34"/>
    </row>
    <row r="56" spans="1:11">
      <c r="C56" s="28" t="s">
        <v>101</v>
      </c>
      <c r="D56" s="29"/>
      <c r="E56" s="30"/>
      <c r="F56" s="31"/>
      <c r="G56" s="32" t="s">
        <v>16</v>
      </c>
      <c r="H56" s="32" t="s">
        <v>16</v>
      </c>
      <c r="I56" s="33"/>
      <c r="J56" s="33"/>
      <c r="K56" s="34"/>
    </row>
    <row r="57" spans="1:11">
      <c r="C57" s="21"/>
      <c r="D57" s="29"/>
      <c r="E57" s="30"/>
      <c r="F57" s="31"/>
      <c r="G57" s="32"/>
      <c r="H57" s="32"/>
      <c r="I57" s="33"/>
      <c r="J57" s="33"/>
      <c r="K57" s="34"/>
    </row>
    <row r="58" spans="1:11">
      <c r="C58" s="28" t="s">
        <v>102</v>
      </c>
      <c r="D58" s="29"/>
      <c r="E58" s="30"/>
      <c r="F58" s="31"/>
      <c r="G58" s="32" t="s">
        <v>16</v>
      </c>
      <c r="H58" s="32" t="s">
        <v>16</v>
      </c>
      <c r="I58" s="33"/>
      <c r="J58" s="33"/>
      <c r="K58" s="34"/>
    </row>
    <row r="59" spans="1:11">
      <c r="C59" s="21"/>
      <c r="D59" s="29"/>
      <c r="E59" s="30"/>
      <c r="F59" s="31"/>
      <c r="G59" s="32"/>
      <c r="H59" s="32"/>
      <c r="I59" s="33"/>
      <c r="J59" s="33"/>
      <c r="K59" s="34"/>
    </row>
    <row r="60" spans="1:11">
      <c r="C60" s="28" t="s">
        <v>103</v>
      </c>
      <c r="D60" s="29"/>
      <c r="E60" s="30"/>
      <c r="F60" s="31"/>
      <c r="G60" s="32" t="s">
        <v>16</v>
      </c>
      <c r="H60" s="32" t="s">
        <v>16</v>
      </c>
      <c r="I60" s="33"/>
      <c r="J60" s="33"/>
      <c r="K60" s="34"/>
    </row>
    <row r="61" spans="1:11">
      <c r="C61" s="21"/>
      <c r="D61" s="29"/>
      <c r="E61" s="30"/>
      <c r="F61" s="31"/>
      <c r="G61" s="32"/>
      <c r="H61" s="32"/>
      <c r="I61" s="33"/>
      <c r="J61" s="33"/>
      <c r="K61" s="34"/>
    </row>
    <row r="62" spans="1:11">
      <c r="A62" s="35"/>
      <c r="B62" s="36"/>
      <c r="C62" s="28" t="s">
        <v>104</v>
      </c>
      <c r="D62" s="29"/>
      <c r="E62" s="30"/>
      <c r="F62" s="31"/>
      <c r="G62" s="32"/>
      <c r="H62" s="32"/>
      <c r="I62" s="33"/>
      <c r="J62" s="33"/>
      <c r="K62" s="34"/>
    </row>
    <row r="63" spans="1:11">
      <c r="A63" s="36"/>
      <c r="B63" s="36"/>
      <c r="C63" s="28" t="s">
        <v>105</v>
      </c>
      <c r="D63" s="29"/>
      <c r="E63" s="30"/>
      <c r="F63" s="31"/>
      <c r="G63" s="32" t="s">
        <v>16</v>
      </c>
      <c r="H63" s="32" t="s">
        <v>16</v>
      </c>
      <c r="I63" s="33"/>
      <c r="J63" s="33"/>
      <c r="K63" s="34"/>
    </row>
    <row r="64" spans="1:11">
      <c r="A64" s="36"/>
      <c r="B64" s="36"/>
      <c r="C64" s="28"/>
      <c r="D64" s="29"/>
      <c r="E64" s="30"/>
      <c r="F64" s="31"/>
      <c r="G64" s="32"/>
      <c r="H64" s="32"/>
      <c r="I64" s="33"/>
      <c r="J64" s="33"/>
      <c r="K64" s="34"/>
    </row>
    <row r="65" spans="1:11">
      <c r="A65" s="36"/>
      <c r="B65" s="36"/>
      <c r="C65" s="28" t="s">
        <v>106</v>
      </c>
      <c r="D65" s="29"/>
      <c r="E65" s="30"/>
      <c r="F65" s="31"/>
      <c r="G65" s="32" t="s">
        <v>16</v>
      </c>
      <c r="H65" s="32" t="s">
        <v>16</v>
      </c>
      <c r="I65" s="33"/>
      <c r="J65" s="33"/>
      <c r="K65" s="34"/>
    </row>
    <row r="66" spans="1:11">
      <c r="A66" s="36"/>
      <c r="B66" s="36"/>
      <c r="C66" s="28"/>
      <c r="D66" s="29"/>
      <c r="E66" s="30"/>
      <c r="F66" s="31"/>
      <c r="G66" s="32"/>
      <c r="H66" s="32"/>
      <c r="I66" s="33"/>
      <c r="J66" s="33"/>
      <c r="K66" s="34"/>
    </row>
    <row r="67" spans="1:11">
      <c r="A67" s="36"/>
      <c r="B67" s="36"/>
      <c r="C67" s="28" t="s">
        <v>107</v>
      </c>
      <c r="D67" s="29"/>
      <c r="E67" s="30"/>
      <c r="F67" s="31"/>
      <c r="G67" s="32" t="s">
        <v>16</v>
      </c>
      <c r="H67" s="32" t="s">
        <v>16</v>
      </c>
      <c r="I67" s="33"/>
      <c r="J67" s="33"/>
      <c r="K67" s="34"/>
    </row>
    <row r="68" spans="1:11">
      <c r="A68" s="36"/>
      <c r="B68" s="36"/>
      <c r="C68" s="28"/>
      <c r="D68" s="29"/>
      <c r="E68" s="30"/>
      <c r="F68" s="31"/>
      <c r="G68" s="32"/>
      <c r="H68" s="32"/>
      <c r="I68" s="33"/>
      <c r="J68" s="33"/>
      <c r="K68" s="34"/>
    </row>
    <row r="69" spans="1:11">
      <c r="A69" s="36"/>
      <c r="B69" s="36"/>
      <c r="C69" s="28" t="s">
        <v>108</v>
      </c>
      <c r="D69" s="29"/>
      <c r="E69" s="30"/>
      <c r="F69" s="31"/>
      <c r="G69" s="32" t="s">
        <v>16</v>
      </c>
      <c r="H69" s="32" t="s">
        <v>16</v>
      </c>
      <c r="I69" s="33"/>
      <c r="J69" s="33"/>
      <c r="K69" s="34"/>
    </row>
    <row r="70" spans="1:11">
      <c r="A70" s="36"/>
      <c r="B70" s="36"/>
      <c r="C70" s="28"/>
      <c r="D70" s="29"/>
      <c r="E70" s="30"/>
      <c r="F70" s="31"/>
      <c r="G70" s="32"/>
      <c r="H70" s="32"/>
      <c r="I70" s="33"/>
      <c r="J70" s="33"/>
      <c r="K70" s="34"/>
    </row>
    <row r="71" spans="1:11">
      <c r="C71" s="37" t="s">
        <v>109</v>
      </c>
      <c r="D71" s="29"/>
      <c r="E71" s="30"/>
      <c r="F71" s="31"/>
      <c r="G71" s="32"/>
      <c r="H71" s="32"/>
      <c r="I71" s="33"/>
      <c r="J71" s="33"/>
      <c r="K71" s="34"/>
    </row>
    <row r="72" spans="1:11">
      <c r="B72" s="1" t="s">
        <v>110</v>
      </c>
      <c r="C72" s="21" t="s">
        <v>111</v>
      </c>
      <c r="D72" s="29"/>
      <c r="E72" s="30"/>
      <c r="F72" s="31"/>
      <c r="G72" s="32">
        <v>852.06</v>
      </c>
      <c r="H72" s="32">
        <v>3.79</v>
      </c>
      <c r="I72" s="33">
        <v>6.37</v>
      </c>
      <c r="J72" s="33"/>
      <c r="K72" s="34"/>
    </row>
    <row r="73" spans="1:11">
      <c r="C73" s="28" t="s">
        <v>78</v>
      </c>
      <c r="D73" s="29"/>
      <c r="E73" s="30"/>
      <c r="F73" s="31"/>
      <c r="G73" s="38">
        <v>852.06</v>
      </c>
      <c r="H73" s="38">
        <v>3.79</v>
      </c>
      <c r="I73" s="33"/>
      <c r="J73" s="33"/>
      <c r="K73" s="34"/>
    </row>
    <row r="74" spans="1:11">
      <c r="C74" s="21"/>
      <c r="D74" s="29"/>
      <c r="E74" s="30"/>
      <c r="F74" s="31"/>
      <c r="G74" s="32"/>
      <c r="H74" s="32"/>
      <c r="I74" s="33"/>
      <c r="J74" s="33"/>
      <c r="K74" s="34"/>
    </row>
    <row r="75" spans="1:11">
      <c r="A75" s="35"/>
      <c r="B75" s="36"/>
      <c r="C75" s="28" t="s">
        <v>112</v>
      </c>
      <c r="D75" s="29"/>
      <c r="E75" s="30"/>
      <c r="F75" s="31"/>
      <c r="G75" s="32"/>
      <c r="H75" s="32"/>
      <c r="I75" s="33"/>
      <c r="J75" s="33"/>
      <c r="K75" s="34"/>
    </row>
    <row r="76" spans="1:11">
      <c r="B76" s="1"/>
      <c r="C76" s="21" t="s">
        <v>113</v>
      </c>
      <c r="D76" s="29"/>
      <c r="E76" s="30"/>
      <c r="F76" s="31"/>
      <c r="G76" s="32">
        <v>565.44000000000005</v>
      </c>
      <c r="H76" s="32">
        <v>2.5100000000000002</v>
      </c>
      <c r="I76" s="33"/>
      <c r="J76" s="33"/>
      <c r="K76" s="34"/>
    </row>
    <row r="77" spans="1:11">
      <c r="C77" s="28" t="s">
        <v>78</v>
      </c>
      <c r="D77" s="29"/>
      <c r="E77" s="30"/>
      <c r="F77" s="31"/>
      <c r="G77" s="38">
        <v>565.44000000000005</v>
      </c>
      <c r="H77" s="38">
        <v>2.5100000000000002</v>
      </c>
      <c r="I77" s="33"/>
      <c r="J77" s="33"/>
      <c r="K77" s="34"/>
    </row>
    <row r="78" spans="1:11">
      <c r="C78" s="21"/>
      <c r="D78" s="29"/>
      <c r="E78" s="30"/>
      <c r="F78" s="31"/>
      <c r="G78" s="32"/>
      <c r="H78" s="32"/>
      <c r="I78" s="33"/>
      <c r="J78" s="33"/>
      <c r="K78" s="34"/>
    </row>
    <row r="79" spans="1:11" ht="14.4" thickBot="1">
      <c r="C79" s="39" t="s">
        <v>114</v>
      </c>
      <c r="D79" s="40"/>
      <c r="E79" s="41"/>
      <c r="F79" s="42"/>
      <c r="G79" s="43">
        <v>22463.72</v>
      </c>
      <c r="H79" s="43">
        <f>SUMIFS(H:H,C:C,"Total")</f>
        <v>100.00000000000001</v>
      </c>
      <c r="I79" s="44"/>
      <c r="J79" s="44"/>
      <c r="K79" s="45"/>
    </row>
    <row r="82" spans="3:55">
      <c r="C82" s="11" t="s">
        <v>115</v>
      </c>
    </row>
    <row r="83" spans="3:55">
      <c r="C83" s="2" t="s">
        <v>116</v>
      </c>
    </row>
    <row r="84" spans="3:55">
      <c r="C84" s="46" t="s">
        <v>117</v>
      </c>
    </row>
    <row r="85" spans="3:55">
      <c r="C85" s="2" t="s">
        <v>118</v>
      </c>
    </row>
    <row r="86" spans="3:55">
      <c r="C86" s="2" t="s">
        <v>119</v>
      </c>
    </row>
    <row r="87" spans="3:55">
      <c r="C87" s="2" t="s">
        <v>120</v>
      </c>
      <c r="D87" s="47"/>
      <c r="E87" s="47"/>
      <c r="F87" s="47"/>
      <c r="G87" s="48"/>
      <c r="H87" s="48"/>
    </row>
    <row r="88" spans="3:55">
      <c r="C88" s="2" t="s">
        <v>121</v>
      </c>
    </row>
    <row r="89" spans="3:55">
      <c r="C89" s="2" t="s">
        <v>122</v>
      </c>
    </row>
    <row r="90" spans="3:55">
      <c r="C90" s="2" t="s">
        <v>123</v>
      </c>
    </row>
    <row r="91" spans="3:55">
      <c r="C91" s="2" t="s">
        <v>124</v>
      </c>
    </row>
    <row r="92" spans="3:55" s="11" customFormat="1">
      <c r="C92" s="11" t="s">
        <v>125</v>
      </c>
      <c r="E92" s="11" t="s">
        <v>126</v>
      </c>
      <c r="F92" s="49" t="s">
        <v>127</v>
      </c>
      <c r="G92" s="50"/>
      <c r="H92" s="50"/>
      <c r="I92" s="50"/>
      <c r="J92" s="50"/>
      <c r="K92" s="51"/>
      <c r="L92" s="51"/>
      <c r="M92" s="51"/>
      <c r="AJ92" s="51"/>
      <c r="AW92" s="51"/>
      <c r="AY92" s="51"/>
      <c r="BC92" s="51"/>
    </row>
    <row r="93" spans="3:55">
      <c r="C93" s="2" t="s">
        <v>128</v>
      </c>
      <c r="E93" s="52">
        <v>10.161</v>
      </c>
      <c r="F93" s="53">
        <v>10.1668</v>
      </c>
    </row>
    <row r="94" spans="3:55">
      <c r="C94" s="2" t="s">
        <v>129</v>
      </c>
      <c r="E94" s="52">
        <v>25.1843</v>
      </c>
      <c r="F94" s="53">
        <v>25.322700000000001</v>
      </c>
    </row>
    <row r="95" spans="3:55">
      <c r="C95" s="2" t="s">
        <v>130</v>
      </c>
      <c r="E95" s="52">
        <v>10.5396</v>
      </c>
      <c r="F95" s="53">
        <v>10.5975</v>
      </c>
    </row>
    <row r="96" spans="3:55">
      <c r="C96" s="2" t="s">
        <v>131</v>
      </c>
      <c r="E96" s="52">
        <v>10.210000000000001</v>
      </c>
      <c r="F96" s="53">
        <v>10.2219</v>
      </c>
    </row>
    <row r="97" spans="3:6">
      <c r="C97" s="2" t="s">
        <v>132</v>
      </c>
      <c r="E97" s="52">
        <v>26.968599999999999</v>
      </c>
      <c r="F97" s="53">
        <v>27.132200000000001</v>
      </c>
    </row>
    <row r="98" spans="3:6">
      <c r="C98" s="2" t="s">
        <v>133</v>
      </c>
      <c r="E98" s="52">
        <v>10.959899999999999</v>
      </c>
      <c r="F98" s="53">
        <v>11.026400000000001</v>
      </c>
    </row>
    <row r="100" spans="3:6">
      <c r="C100" s="2" t="s">
        <v>134</v>
      </c>
      <c r="E100" s="11" t="s">
        <v>135</v>
      </c>
      <c r="F100" s="49" t="s">
        <v>136</v>
      </c>
    </row>
    <row r="101" spans="3:6">
      <c r="C101" s="2" t="s">
        <v>128</v>
      </c>
      <c r="E101" s="52">
        <v>0.05</v>
      </c>
      <c r="F101" s="53">
        <v>0.05</v>
      </c>
    </row>
    <row r="102" spans="3:6">
      <c r="C102" s="2" t="s">
        <v>131</v>
      </c>
      <c r="E102" s="52">
        <v>0.05</v>
      </c>
      <c r="F102" s="53">
        <v>0.05</v>
      </c>
    </row>
    <row r="104" spans="3:6">
      <c r="C104" s="2" t="s">
        <v>137</v>
      </c>
    </row>
    <row r="105" spans="3:6">
      <c r="C105" s="2" t="s">
        <v>138</v>
      </c>
    </row>
    <row r="106" spans="3:6">
      <c r="C106" s="2" t="s">
        <v>139</v>
      </c>
    </row>
    <row r="107" spans="3:6">
      <c r="C107" s="2" t="s">
        <v>140</v>
      </c>
    </row>
    <row r="108" spans="3:6">
      <c r="C108" s="2" t="s">
        <v>141</v>
      </c>
    </row>
    <row r="109" spans="3:6">
      <c r="C109" s="2" t="s">
        <v>142</v>
      </c>
    </row>
    <row r="110" spans="3:6">
      <c r="C110" s="2" t="s">
        <v>143</v>
      </c>
    </row>
    <row r="111" spans="3:6">
      <c r="C111" s="2" t="s">
        <v>144</v>
      </c>
    </row>
    <row r="112" spans="3:6">
      <c r="C112" s="2" t="s">
        <v>145</v>
      </c>
    </row>
    <row r="113" spans="3:11">
      <c r="C113" s="2" t="s">
        <v>146</v>
      </c>
    </row>
    <row r="114" spans="3:11">
      <c r="C114" s="2" t="s">
        <v>147</v>
      </c>
    </row>
    <row r="115" spans="3:11">
      <c r="C115" s="2" t="s">
        <v>148</v>
      </c>
    </row>
    <row r="116" spans="3:11">
      <c r="C116" s="2" t="s">
        <v>149</v>
      </c>
    </row>
    <row r="117" spans="3:11">
      <c r="C117" s="2" t="s">
        <v>150</v>
      </c>
    </row>
    <row r="118" spans="3:11" ht="14.4">
      <c r="C118" s="54"/>
      <c r="D118" s="54"/>
      <c r="E118" s="54"/>
      <c r="F118" s="54"/>
      <c r="G118" s="54"/>
      <c r="H118" s="54"/>
      <c r="I118" s="54"/>
      <c r="J118" s="54"/>
      <c r="K118" s="54"/>
    </row>
    <row r="143" spans="3:6" ht="14.4" thickBot="1"/>
    <row r="144" spans="3:6" ht="14.4" thickBot="1">
      <c r="C144" s="55" t="s">
        <v>151</v>
      </c>
      <c r="D144" s="56"/>
      <c r="E144" s="56"/>
      <c r="F144" s="57"/>
    </row>
    <row r="145" spans="3:6" ht="14.4" thickBot="1">
      <c r="C145" s="58" t="s">
        <v>152</v>
      </c>
      <c r="D145" s="59" t="s">
        <v>153</v>
      </c>
      <c r="E145" s="59" t="s">
        <v>154</v>
      </c>
      <c r="F145" s="59" t="s">
        <v>155</v>
      </c>
    </row>
    <row r="146" spans="3:6" ht="14.4" thickBot="1">
      <c r="C146" s="58" t="s">
        <v>156</v>
      </c>
      <c r="D146" s="60"/>
      <c r="E146" s="60"/>
      <c r="F146" s="60"/>
    </row>
    <row r="147" spans="3:6" ht="14.4" thickBot="1">
      <c r="C147" s="61" t="s">
        <v>157</v>
      </c>
      <c r="D147" s="62"/>
      <c r="E147" s="63"/>
      <c r="F147" s="63"/>
    </row>
    <row r="148" spans="3:6" ht="14.4">
      <c r="C148" s="64" t="s">
        <v>158</v>
      </c>
      <c r="D148"/>
      <c r="E148" s="65" t="s">
        <v>159</v>
      </c>
      <c r="F148" s="66"/>
    </row>
    <row r="149" spans="3:6" ht="15" thickBot="1">
      <c r="C149" s="61" t="s">
        <v>160</v>
      </c>
      <c r="D149"/>
      <c r="E149" s="67"/>
      <c r="F149" s="68"/>
    </row>
    <row r="150" spans="3:6">
      <c r="C150" s="64" t="s">
        <v>161</v>
      </c>
      <c r="D150" s="66"/>
      <c r="E150" s="66"/>
      <c r="F150" s="66"/>
    </row>
    <row r="151" spans="3:6" ht="14.4" thickBot="1">
      <c r="C151" s="61" t="s">
        <v>162</v>
      </c>
      <c r="D151" s="68"/>
      <c r="E151" s="68"/>
      <c r="F151" s="68"/>
    </row>
    <row r="152" spans="3:6">
      <c r="C152" s="69" t="s">
        <v>163</v>
      </c>
      <c r="D152" s="70"/>
      <c r="E152" s="70"/>
      <c r="F152" s="70"/>
    </row>
    <row r="153" spans="3:6" ht="14.4">
      <c r="C153" s="2" t="s">
        <v>164</v>
      </c>
      <c r="D153"/>
      <c r="E153"/>
      <c r="F153"/>
    </row>
  </sheetData>
  <mergeCells count="9">
    <mergeCell ref="D150:D151"/>
    <mergeCell ref="E150:E151"/>
    <mergeCell ref="F150:F151"/>
    <mergeCell ref="C144:F144"/>
    <mergeCell ref="D145:D146"/>
    <mergeCell ref="E145:E146"/>
    <mergeCell ref="F145:F146"/>
    <mergeCell ref="E148:E149"/>
    <mergeCell ref="F148:F149"/>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SI</vt:lpstr>
      <vt:lpstr>XDO_?CLASS_3?22?</vt:lpstr>
      <vt:lpstr>XDO_?FINAL_ISIN?102?</vt:lpstr>
      <vt:lpstr>XDO_?FINAL_ISIN?103?</vt:lpstr>
      <vt:lpstr>XDO_?FINAL_ISIN?104?</vt:lpstr>
      <vt:lpstr>XDO_?FINAL_ISIN?105?</vt:lpstr>
      <vt:lpstr>XDO_?FINAL_ISIN?106?</vt:lpstr>
      <vt:lpstr>XDO_?FINAL_MV?102?</vt:lpstr>
      <vt:lpstr>XDO_?FINAL_MV?103?</vt:lpstr>
      <vt:lpstr>XDO_?FINAL_MV?104?</vt:lpstr>
      <vt:lpstr>XDO_?FINAL_MV?105?</vt:lpstr>
      <vt:lpstr>XDO_?FINAL_MV?106?</vt:lpstr>
      <vt:lpstr>XDO_?FINAL_NAME?102?</vt:lpstr>
      <vt:lpstr>XDO_?FINAL_NAME?103?</vt:lpstr>
      <vt:lpstr>XDO_?FINAL_NAME?104?</vt:lpstr>
      <vt:lpstr>XDO_?FINAL_NAME?105?</vt:lpstr>
      <vt:lpstr>XDO_?FINAL_NAME?106?</vt:lpstr>
      <vt:lpstr>XDO_?FINAL_PER_NET?102?</vt:lpstr>
      <vt:lpstr>XDO_?FINAL_PER_NET?103?</vt:lpstr>
      <vt:lpstr>XDO_?FINAL_PER_NET?104?</vt:lpstr>
      <vt:lpstr>XDO_?FINAL_PER_NET?105?</vt:lpstr>
      <vt:lpstr>XDO_?FINAL_PER_NET?106?</vt:lpstr>
      <vt:lpstr>XDO_?FINAL_QUANTITE?102?</vt:lpstr>
      <vt:lpstr>XDO_?FINAL_QUANTITE?103?</vt:lpstr>
      <vt:lpstr>XDO_?FINAL_QUANTITE?104?</vt:lpstr>
      <vt:lpstr>XDO_?FINAL_QUANTITE?105?</vt:lpstr>
      <vt:lpstr>XDO_?FINAL_QUANTITE?106?</vt:lpstr>
      <vt:lpstr>XDO_?NAMCNAME?22?</vt:lpstr>
      <vt:lpstr>XDO_?NOVAL?102?</vt:lpstr>
      <vt:lpstr>XDO_?NOVAL?103?</vt:lpstr>
      <vt:lpstr>XDO_?NOVAL?104?</vt:lpstr>
      <vt:lpstr>XDO_?NOVAL?105?</vt:lpstr>
      <vt:lpstr>XDO_?NOVAL?106?</vt:lpstr>
      <vt:lpstr>XDO_?NPTF?22?</vt:lpstr>
      <vt:lpstr>XDO_?RATING?102?</vt:lpstr>
      <vt:lpstr>XDO_?RATING?103?</vt:lpstr>
      <vt:lpstr>XDO_?RATING?104?</vt:lpstr>
      <vt:lpstr>XDO_?RATING?105?</vt:lpstr>
      <vt:lpstr>XDO_?RATING?106?</vt:lpstr>
      <vt:lpstr>XDO_?REMARKS?102?</vt:lpstr>
      <vt:lpstr>XDO_?REMARKS?103?</vt:lpstr>
      <vt:lpstr>XDO_?REMARKS?104?</vt:lpstr>
      <vt:lpstr>XDO_?REMARKS?105?</vt:lpstr>
      <vt:lpstr>XDO_?REMARKS?106?</vt:lpstr>
      <vt:lpstr>XDO_?TITL?22?</vt:lpstr>
      <vt:lpstr>XDO_?YTM?102?</vt:lpstr>
      <vt:lpstr>XDO_?YTM?103?</vt:lpstr>
      <vt:lpstr>XDO_?YTM?104?</vt:lpstr>
      <vt:lpstr>XDO_?YTM?105?</vt:lpstr>
      <vt:lpstr>XDO_?YTM?106?</vt:lpstr>
      <vt:lpstr>XDO_GROUP_?G_2?22?</vt:lpstr>
      <vt:lpstr>XDO_GROUP_?G_3?22?</vt:lpstr>
      <vt:lpstr>XDO_GROUP_?G_4?102?</vt:lpstr>
      <vt:lpstr>XDO_GROUP_?G_4?103?</vt:lpstr>
      <vt:lpstr>XDO_GROUP_?G_4?104?</vt:lpstr>
      <vt:lpstr>XDO_GROUP_?G_4?105?</vt:lpstr>
      <vt:lpstr>XDO_GROUP_?G_4?106?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2023-08-07T09:10:38Z</dcterms:created>
  <dcterms:modified xsi:type="dcterms:W3CDTF">2023-08-07T11:10:20Z</dcterms:modified>
</cp:coreProperties>
</file>