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 Shaikh\Documents\BNP-uploading\Monthly-Portfolio_30-June-2025\"/>
    </mc:Choice>
  </mc:AlternateContent>
  <xr:revisionPtr revIDLastSave="0" documentId="13_ncr:1_{5C44F65A-6758-416E-AFB4-759D98BBB6FB}" xr6:coauthVersionLast="47" xr6:coauthVersionMax="47" xr10:uidLastSave="{00000000-0000-0000-0000-000000000000}"/>
  <bookViews>
    <workbookView xWindow="-108" yWindow="-108" windowWidth="23256" windowHeight="12456" xr2:uid="{74CD1C14-FB24-4976-872E-2B8F91820775}"/>
  </bookViews>
  <sheets>
    <sheet name="T0MD27" sheetId="1" r:id="rId1"/>
  </sheets>
  <definedNames>
    <definedName name="JR_PAGE_ANCHOR_0_33">#REF!</definedName>
    <definedName name="JR_PAGE_ANCHOR_0_37">#REF!</definedName>
    <definedName name="JR_PAGE_ANCHOR_0_41">#REF!</definedName>
    <definedName name="JR_PAGE_ANCHOR_0_5">T0MD27!$A$1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1" l="1"/>
  <c r="C31" i="1"/>
  <c r="E30" i="1"/>
  <c r="E29" i="1"/>
  <c r="E28" i="1"/>
  <c r="E31" i="1" s="1"/>
</calcChain>
</file>

<file path=xl/sharedStrings.xml><?xml version="1.0" encoding="utf-8"?>
<sst xmlns="http://schemas.openxmlformats.org/spreadsheetml/2006/main" count="71" uniqueCount="51">
  <si>
    <t>Baroda BNP Paribas NIFTY SDL December 2026 Index Fund</t>
  </si>
  <si>
    <t xml:space="preserve">
  </t>
  </si>
  <si>
    <t>Monthly Portfolio Statement as on June 30,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</si>
  <si>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</si>
  <si>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</si>
  <si>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</si>
  <si>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</si>
  <si>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</si>
  <si>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</si>
  <si>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</si>
  <si>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</si>
  <si>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</si>
  <si>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</si>
  <si>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</si>
  <si>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GOI2505</t>
  </si>
  <si>
    <t>7.24% State Government Securities (28/12/2026)</t>
  </si>
  <si>
    <t>IN1520160160</t>
  </si>
  <si>
    <t>Sovereign</t>
  </si>
  <si>
    <t>GOI1677</t>
  </si>
  <si>
    <t>7.28% State Government Securities (28/12/2026)</t>
  </si>
  <si>
    <t>IN1620160243</t>
  </si>
  <si>
    <t>GOI1686</t>
  </si>
  <si>
    <t>7.25% State Government Securities (28/12/2026)</t>
  </si>
  <si>
    <t>IN2220160120</t>
  </si>
  <si>
    <t>GOI2070</t>
  </si>
  <si>
    <t>7.27% State Government Securities (28/12/2026)</t>
  </si>
  <si>
    <t>IN1920160067</t>
  </si>
  <si>
    <t>GOI2529</t>
  </si>
  <si>
    <t>7.07% State Government Securities (14/12/2026)</t>
  </si>
  <si>
    <t>IN3120160152</t>
  </si>
  <si>
    <t>GOI6803</t>
  </si>
  <si>
    <t>IN1020160413</t>
  </si>
  <si>
    <t>Sub Total</t>
  </si>
  <si>
    <t>(b) Privately placed / Unlisted</t>
  </si>
  <si>
    <t>NIL</t>
  </si>
  <si>
    <t>Total</t>
  </si>
  <si>
    <t>Reverse Repo / TREPS</t>
  </si>
  <si>
    <t>TRP_010725</t>
  </si>
  <si>
    <t>Clearing Corporation of India Ltd</t>
  </si>
  <si>
    <t xml:space="preserve"> </t>
  </si>
  <si>
    <t>Net Receivables / (Payables)</t>
  </si>
  <si>
    <t>GRAND TOTAL</t>
  </si>
  <si>
    <t>Issuer</t>
  </si>
  <si>
    <t>Index Weight</t>
  </si>
  <si>
    <t>Portfolio Weight</t>
  </si>
  <si>
    <t>Replication Factor</t>
  </si>
  <si>
    <t>G-Secs / T-Bills</t>
  </si>
  <si>
    <t>SDLs</t>
  </si>
  <si>
    <t>Cash &amp; Cash Equivalents</t>
  </si>
  <si>
    <t>~ YTM as on June 30, 2025</t>
  </si>
  <si>
    <t>^ YTC represents Yield to Call provided by valuation agencies as on June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</si>
</sst>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0" xfId="0" applyFont="1" applyAlignment="1">
      <alignment vertical="top" wrapText="1"/>
    </xf>
    <xf numFmtId="0" fontId="1" fillId="0" borderId="17" xfId="1" applyBorder="1"/>
    <xf numFmtId="9" fontId="1" fillId="0" borderId="18" xfId="1" applyNumberFormat="1" applyBorder="1"/>
    <xf numFmtId="9" fontId="1" fillId="0" borderId="19" xfId="1" applyNumberFormat="1" applyBorder="1"/>
    <xf numFmtId="0" fontId="2" fillId="0" borderId="20" xfId="1" applyFont="1" applyBorder="1"/>
    <xf numFmtId="9" fontId="2" fillId="0" borderId="21" xfId="1" applyNumberFormat="1" applyFont="1" applyBorder="1"/>
    <xf numFmtId="9" fontId="2" fillId="0" borderId="22" xfId="1" applyNumberFormat="1" applyFont="1" applyBorder="1"/>
    <xf numFmtId="0" fontId="3" fillId="0" borderId="0" xfId="0" applyFont="1" applyAlignment="1">
      <alignment horizontal="left" vertical="top" wrapText="1"/>
    </xf>
  </cellXfs>
  <cellStyles count="2">
    <cellStyle name="Normal" xfId="0" builtinId="0"/>
    <cellStyle name="Normal 2" xfId="1" xr:uid="{BAA455FD-A43B-4EA8-84B9-BFA13164A3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</xdr:row>
      <xdr:rowOff>0</xdr:rowOff>
    </xdr:from>
    <xdr:to>
      <xdr:col>2</xdr:col>
      <xdr:colOff>2708148</xdr:colOff>
      <xdr:row>53</xdr:row>
      <xdr:rowOff>97536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0F1A6C-EE26-4984-A213-9CDBB3955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6522720"/>
          <a:ext cx="7455408" cy="284073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3855720</xdr:colOff>
      <xdr:row>67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B09F89-F4B1-464C-B785-7F4A79DD6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963168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B7023-0A7D-4997-9C3C-6722EBA9FEEB}">
  <sheetPr codeName="Sheet5">
    <outlinePr summaryBelow="0"/>
  </sheetPr>
  <dimension ref="A1:J36"/>
  <sheetViews>
    <sheetView tabSelected="1" workbookViewId="0">
      <selection activeCell="C2" sqref="C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6900000</v>
      </c>
      <c r="F7" s="16">
        <v>7030.13</v>
      </c>
      <c r="G7" s="17">
        <v>0.4597</v>
      </c>
      <c r="H7" s="18">
        <v>5.987E-2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3000000</v>
      </c>
      <c r="F8" s="16">
        <v>3057.41</v>
      </c>
      <c r="G8" s="17">
        <v>0.19989999999999999</v>
      </c>
      <c r="H8" s="18">
        <v>6.0075999999999997E-2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2000000</v>
      </c>
      <c r="F9" s="16">
        <v>2037.86</v>
      </c>
      <c r="G9" s="17">
        <v>0.1333</v>
      </c>
      <c r="H9" s="18">
        <v>5.9922000000000003E-2</v>
      </c>
      <c r="I9" s="19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1500000</v>
      </c>
      <c r="F10" s="16">
        <v>1528.82</v>
      </c>
      <c r="G10" s="17">
        <v>0.1</v>
      </c>
      <c r="H10" s="18">
        <v>5.9922000000000003E-2</v>
      </c>
      <c r="I10" s="19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1000000</v>
      </c>
      <c r="F11" s="16">
        <v>1015.95</v>
      </c>
      <c r="G11" s="17">
        <v>6.6400000000000001E-2</v>
      </c>
      <c r="H11" s="18">
        <v>5.9922000000000003E-2</v>
      </c>
      <c r="I11" s="19"/>
      <c r="J11" s="1"/>
    </row>
    <row r="12" spans="1:10" ht="13.05" customHeight="1">
      <c r="A12" s="13" t="s">
        <v>30</v>
      </c>
      <c r="B12" s="14" t="s">
        <v>22</v>
      </c>
      <c r="C12" s="11" t="s">
        <v>31</v>
      </c>
      <c r="D12" s="11" t="s">
        <v>17</v>
      </c>
      <c r="E12" s="15">
        <v>500000</v>
      </c>
      <c r="F12" s="16">
        <v>509.29</v>
      </c>
      <c r="G12" s="17">
        <v>3.3300000000000003E-2</v>
      </c>
      <c r="H12" s="18">
        <v>6.0179000000000003E-2</v>
      </c>
      <c r="I12" s="19"/>
      <c r="J12" s="1"/>
    </row>
    <row r="13" spans="1:10" ht="13.05" customHeight="1">
      <c r="A13" s="1"/>
      <c r="B13" s="20" t="s">
        <v>32</v>
      </c>
      <c r="C13" s="21"/>
      <c r="D13" s="21"/>
      <c r="E13" s="21"/>
      <c r="F13" s="22">
        <v>15179.46</v>
      </c>
      <c r="G13" s="23">
        <v>0.99260000000000004</v>
      </c>
      <c r="H13" s="24"/>
      <c r="I13" s="24"/>
      <c r="J13" s="1"/>
    </row>
    <row r="14" spans="1:10" ht="13.05" customHeight="1">
      <c r="A14" s="1"/>
      <c r="B14" s="20" t="s">
        <v>33</v>
      </c>
      <c r="C14" s="21"/>
      <c r="D14" s="21"/>
      <c r="E14" s="21"/>
      <c r="F14" s="24" t="s">
        <v>34</v>
      </c>
      <c r="G14" s="24" t="s">
        <v>34</v>
      </c>
      <c r="H14" s="24"/>
      <c r="I14" s="24"/>
      <c r="J14" s="1"/>
    </row>
    <row r="15" spans="1:10" ht="13.05" customHeight="1">
      <c r="A15" s="1"/>
      <c r="B15" s="20" t="s">
        <v>32</v>
      </c>
      <c r="C15" s="21"/>
      <c r="D15" s="21"/>
      <c r="E15" s="21"/>
      <c r="F15" s="24" t="s">
        <v>34</v>
      </c>
      <c r="G15" s="24" t="s">
        <v>34</v>
      </c>
      <c r="H15" s="24"/>
      <c r="I15" s="24"/>
      <c r="J15" s="1"/>
    </row>
    <row r="16" spans="1:10" ht="13.05" customHeight="1">
      <c r="A16" s="1"/>
      <c r="B16" s="20" t="s">
        <v>35</v>
      </c>
      <c r="C16" s="25"/>
      <c r="D16" s="21"/>
      <c r="E16" s="25"/>
      <c r="F16" s="22">
        <v>15179.46</v>
      </c>
      <c r="G16" s="23">
        <v>0.99260000000000004</v>
      </c>
      <c r="H16" s="24"/>
      <c r="I16" s="24"/>
      <c r="J16" s="1"/>
    </row>
    <row r="17" spans="1:10" ht="13.05" customHeight="1">
      <c r="A17" s="1"/>
      <c r="B17" s="10" t="s">
        <v>36</v>
      </c>
      <c r="C17" s="11"/>
      <c r="D17" s="11"/>
      <c r="E17" s="11"/>
      <c r="F17" s="11"/>
      <c r="G17" s="11"/>
      <c r="H17" s="12"/>
      <c r="I17" s="12"/>
      <c r="J17" s="1"/>
    </row>
    <row r="18" spans="1:10" ht="13.05" customHeight="1">
      <c r="A18" s="13" t="s">
        <v>37</v>
      </c>
      <c r="B18" s="14" t="s">
        <v>38</v>
      </c>
      <c r="C18" s="11"/>
      <c r="D18" s="11" t="s">
        <v>39</v>
      </c>
      <c r="E18" s="15"/>
      <c r="F18" s="16">
        <v>1115.9100000000001</v>
      </c>
      <c r="G18" s="17">
        <v>7.2999999999999995E-2</v>
      </c>
      <c r="H18" s="18">
        <v>5.4699626872225092E-2</v>
      </c>
      <c r="I18" s="19"/>
      <c r="J18" s="1"/>
    </row>
    <row r="19" spans="1:10" ht="13.05" customHeight="1">
      <c r="A19" s="1"/>
      <c r="B19" s="20" t="s">
        <v>32</v>
      </c>
      <c r="C19" s="21"/>
      <c r="D19" s="21"/>
      <c r="E19" s="21"/>
      <c r="F19" s="22">
        <v>1115.9100000000001</v>
      </c>
      <c r="G19" s="23">
        <v>7.2999999999999995E-2</v>
      </c>
      <c r="H19" s="24"/>
      <c r="I19" s="24"/>
      <c r="J19" s="1"/>
    </row>
    <row r="20" spans="1:10" ht="13.05" customHeight="1">
      <c r="A20" s="1"/>
      <c r="B20" s="20" t="s">
        <v>33</v>
      </c>
      <c r="C20" s="21"/>
      <c r="D20" s="21"/>
      <c r="E20" s="21"/>
      <c r="F20" s="24" t="s">
        <v>34</v>
      </c>
      <c r="G20" s="24" t="s">
        <v>34</v>
      </c>
      <c r="H20" s="24"/>
      <c r="I20" s="24"/>
      <c r="J20" s="1"/>
    </row>
    <row r="21" spans="1:10" ht="13.05" customHeight="1">
      <c r="A21" s="1"/>
      <c r="B21" s="20" t="s">
        <v>32</v>
      </c>
      <c r="C21" s="21"/>
      <c r="D21" s="21"/>
      <c r="E21" s="21"/>
      <c r="F21" s="24" t="s">
        <v>34</v>
      </c>
      <c r="G21" s="24" t="s">
        <v>34</v>
      </c>
      <c r="H21" s="24"/>
      <c r="I21" s="24"/>
      <c r="J21" s="1"/>
    </row>
    <row r="22" spans="1:10" ht="13.05" customHeight="1">
      <c r="A22" s="1"/>
      <c r="B22" s="20" t="s">
        <v>35</v>
      </c>
      <c r="C22" s="25"/>
      <c r="D22" s="21"/>
      <c r="E22" s="25"/>
      <c r="F22" s="22">
        <v>1115.9100000000001</v>
      </c>
      <c r="G22" s="23">
        <v>7.2999999999999995E-2</v>
      </c>
      <c r="H22" s="24"/>
      <c r="I22" s="24"/>
      <c r="J22" s="1"/>
    </row>
    <row r="23" spans="1:10" ht="13.05" customHeight="1">
      <c r="A23" s="1"/>
      <c r="B23" s="20" t="s">
        <v>40</v>
      </c>
      <c r="C23" s="11"/>
      <c r="D23" s="21"/>
      <c r="E23" s="11"/>
      <c r="F23" s="26">
        <v>-1002.48</v>
      </c>
      <c r="G23" s="23">
        <v>-6.5600000000000006E-2</v>
      </c>
      <c r="H23" s="24"/>
      <c r="I23" s="24"/>
      <c r="J23" s="1"/>
    </row>
    <row r="24" spans="1:10" ht="13.05" customHeight="1" thickBot="1">
      <c r="A24" s="1"/>
      <c r="B24" s="27" t="s">
        <v>41</v>
      </c>
      <c r="C24" s="28"/>
      <c r="D24" s="28"/>
      <c r="E24" s="28"/>
      <c r="F24" s="29">
        <v>15292.89</v>
      </c>
      <c r="G24" s="30">
        <v>1</v>
      </c>
      <c r="H24" s="31"/>
      <c r="I24" s="31"/>
      <c r="J24" s="1"/>
    </row>
    <row r="25" spans="1:10" ht="13.05" customHeight="1">
      <c r="A25" s="1"/>
      <c r="B25" s="4"/>
      <c r="C25" s="1"/>
      <c r="D25" s="1"/>
      <c r="E25" s="1"/>
      <c r="F25" s="1"/>
      <c r="G25" s="1"/>
      <c r="H25" s="1"/>
      <c r="I25" s="1"/>
      <c r="J25" s="1"/>
    </row>
    <row r="26" spans="1:10" ht="13.05" customHeight="1" thickBot="1">
      <c r="A26" s="1"/>
      <c r="B26" s="42"/>
      <c r="C26" s="42"/>
      <c r="D26" s="42"/>
      <c r="E26" s="42"/>
      <c r="F26" s="42"/>
      <c r="G26" s="42"/>
      <c r="H26" s="42"/>
      <c r="I26" s="1"/>
      <c r="J26" s="1"/>
    </row>
    <row r="27" spans="1:10" ht="13.05" customHeight="1">
      <c r="A27" s="1"/>
      <c r="B27" s="32" t="s">
        <v>42</v>
      </c>
      <c r="C27" s="33" t="s">
        <v>43</v>
      </c>
      <c r="D27" s="33" t="s">
        <v>44</v>
      </c>
      <c r="E27" s="34" t="s">
        <v>45</v>
      </c>
      <c r="F27" s="35"/>
      <c r="G27" s="35"/>
      <c r="H27" s="35"/>
      <c r="I27" s="1"/>
      <c r="J27" s="1"/>
    </row>
    <row r="28" spans="1:10" ht="13.05" customHeight="1">
      <c r="A28" s="1"/>
      <c r="B28" s="36" t="s">
        <v>46</v>
      </c>
      <c r="C28" s="37">
        <v>0</v>
      </c>
      <c r="D28" s="37">
        <v>0</v>
      </c>
      <c r="E28" s="38">
        <f>MIN(C28:D28)</f>
        <v>0</v>
      </c>
      <c r="F28" s="2"/>
      <c r="G28" s="2"/>
      <c r="H28" s="2"/>
      <c r="I28" s="1"/>
      <c r="J28" s="1"/>
    </row>
    <row r="29" spans="1:10" ht="13.05" customHeight="1">
      <c r="A29" s="1"/>
      <c r="B29" s="36" t="s">
        <v>47</v>
      </c>
      <c r="C29" s="37">
        <v>1</v>
      </c>
      <c r="D29" s="37">
        <v>0.99260000000000004</v>
      </c>
      <c r="E29" s="38">
        <f t="shared" ref="E29:E30" si="0">MIN(C29:D29)</f>
        <v>0.99260000000000004</v>
      </c>
      <c r="F29" s="2"/>
      <c r="G29" s="2"/>
      <c r="H29" s="2"/>
      <c r="I29" s="1"/>
      <c r="J29" s="1"/>
    </row>
    <row r="30" spans="1:10" ht="13.05" customHeight="1">
      <c r="A30" s="1"/>
      <c r="B30" s="36" t="s">
        <v>48</v>
      </c>
      <c r="C30" s="37">
        <v>0</v>
      </c>
      <c r="D30" s="37">
        <v>7.4000000000000003E-3</v>
      </c>
      <c r="E30" s="38">
        <f t="shared" si="0"/>
        <v>0</v>
      </c>
      <c r="F30" s="2"/>
      <c r="G30" s="2"/>
      <c r="H30" s="2"/>
      <c r="I30" s="1"/>
      <c r="J30" s="1"/>
    </row>
    <row r="31" spans="1:10" ht="13.05" customHeight="1" thickBot="1">
      <c r="A31" s="1"/>
      <c r="B31" s="39" t="s">
        <v>35</v>
      </c>
      <c r="C31" s="40">
        <f t="shared" ref="C31" si="1">SUM(C28:C30)</f>
        <v>1</v>
      </c>
      <c r="D31" s="40">
        <f>SUM(D28:D30)</f>
        <v>1</v>
      </c>
      <c r="E31" s="41">
        <f t="shared" ref="E31" si="2">SUM(E28:E30)</f>
        <v>0.99260000000000004</v>
      </c>
      <c r="F31" s="2"/>
      <c r="G31" s="2"/>
      <c r="H31" s="2"/>
      <c r="I31" s="1"/>
      <c r="J31" s="1"/>
    </row>
    <row r="32" spans="1:10" ht="13.05" customHeight="1">
      <c r="A32" s="1"/>
      <c r="B32" s="2"/>
      <c r="C32" s="2"/>
      <c r="D32" s="2"/>
      <c r="E32" s="2"/>
      <c r="F32" s="2"/>
      <c r="G32" s="2"/>
      <c r="H32" s="2"/>
      <c r="I32" s="1"/>
      <c r="J32" s="1"/>
    </row>
    <row r="33" spans="1:10" ht="13.05" customHeight="1">
      <c r="A33" s="1"/>
      <c r="B33" s="2"/>
      <c r="C33" s="2"/>
      <c r="D33" s="2"/>
      <c r="E33" s="2"/>
      <c r="F33" s="2"/>
      <c r="G33" s="2"/>
      <c r="H33" s="2"/>
      <c r="I33" s="1"/>
      <c r="J33" s="1"/>
    </row>
    <row r="34" spans="1:10" ht="13.05" customHeight="1">
      <c r="A34" s="1"/>
      <c r="B34" s="2" t="s">
        <v>39</v>
      </c>
      <c r="C34" s="1"/>
      <c r="D34" s="1"/>
      <c r="E34" s="1"/>
      <c r="F34" s="1"/>
      <c r="G34" s="1"/>
      <c r="H34" s="1"/>
      <c r="I34" s="1"/>
      <c r="J34" s="1"/>
    </row>
    <row r="35" spans="1:10" ht="13.05" customHeight="1">
      <c r="A35" s="1"/>
      <c r="B35" s="2" t="s">
        <v>49</v>
      </c>
      <c r="C35" s="1"/>
      <c r="D35" s="1"/>
      <c r="E35" s="1"/>
      <c r="F35" s="1"/>
      <c r="G35" s="1"/>
      <c r="H35" s="1"/>
      <c r="I35" s="1"/>
      <c r="J35" s="1"/>
    </row>
    <row r="36" spans="1:10" ht="25.95" customHeight="1">
      <c r="A36" s="1"/>
      <c r="B36" s="42" t="s">
        <v>50</v>
      </c>
      <c r="C36" s="42"/>
      <c r="D36" s="42"/>
      <c r="E36" s="42"/>
      <c r="F36" s="42"/>
      <c r="G36" s="42"/>
      <c r="H36" s="42"/>
      <c r="I36" s="1"/>
      <c r="J36" s="1"/>
    </row>
  </sheetData>
  <mergeCells count="2">
    <mergeCell ref="B26:H26"/>
    <mergeCell ref="B36:H3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T0MD27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 Shaikh</cp:lastModifiedBy>
  <dcterms:created xsi:type="dcterms:W3CDTF">2025-07-07T14:43:19Z</dcterms:created>
  <dcterms:modified xsi:type="dcterms:W3CDTF">2025-07-08T10:19:20Z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2025-07-07T14:43:19Z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e5576522-446f-4c52-8b72-5776f0eacb30</vt:lpwstr>
  </property>
  <property fmtid="{D5CDD505-2E9C-101B-9397-08002B2CF9AE}" pid="8" name="MSIP_Label_af1741f6-9e47-426e-a683-937c37d4ebc5_ContentBits">
    <vt:lpwstr>3</vt:lpwstr>
  </property>
</Properties>
</file>