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10BAB76E-4EB7-4922-B855-90BB5CDC1E5F}" xr6:coauthVersionLast="47" xr6:coauthVersionMax="47" xr10:uidLastSave="{00000000-0000-0000-0000-000000000000}"/>
  <bookViews>
    <workbookView xWindow="-108" yWindow="-108" windowWidth="23256" windowHeight="12456" xr2:uid="{AEE59F54-D91D-43CB-8409-60170F3154F8}"/>
  </bookViews>
  <sheets>
    <sheet name="T0ME37" sheetId="1" r:id="rId1"/>
  </sheets>
  <definedNames>
    <definedName name="JR_PAGE_ANCHOR_0_25">T0ME37!$A$1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" i="1" l="1"/>
  <c r="G51" i="1"/>
</calcChain>
</file>

<file path=xl/sharedStrings.xml><?xml version="1.0" encoding="utf-8"?>
<sst xmlns="http://schemas.openxmlformats.org/spreadsheetml/2006/main" count="310" uniqueCount="258">
  <si>
    <t>Baroda BNP Paribas Manufacturing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</si>
  <si>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</si>
  <si>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</si>
  <si>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</si>
  <si>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</si>
  <si>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</si>
  <si>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</si>
  <si>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</si>
  <si>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</si>
  <si>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</si>
  <si>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</si>
  <si>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</si>
  <si>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</si>
  <si>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</si>
  <si>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</si>
  <si>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</si>
  <si>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</si>
  <si>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</si>
  <si>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</si>
  <si>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</si>
  <si>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</si>
  <si>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</si>
  <si>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</si>
  <si>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</si>
  <si>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</si>
  <si>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</si>
  <si>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BHAH02</t>
  </si>
  <si>
    <t>Bharat Heavy Electricals Limited</t>
  </si>
  <si>
    <t>INE257A01026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</si>
  <si>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</si>
  <si>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</si>
  <si>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</si>
  <si>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</si>
  <si>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</si>
  <si>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</si>
  <si>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Non - Ferrous Metals</t>
  </si>
  <si>
    <t>HZIN02</t>
  </si>
  <si>
    <t>Hindustan Zinc Limited</t>
  </si>
  <si>
    <t>INE267A01025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</si>
  <si>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</si>
  <si>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</si>
  <si>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</si>
  <si>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</si>
  <si>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</si>
  <si>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</si>
  <si>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</si>
  <si>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BOCL01</t>
  </si>
  <si>
    <t>Linde India Limited</t>
  </si>
  <si>
    <t>INE473A01011</t>
  </si>
  <si>
    <t>Chemicals &amp; Petrochemicals</t>
  </si>
  <si>
    <t>MAUD01</t>
  </si>
  <si>
    <t>Maruti Suzuki India Limited</t>
  </si>
  <si>
    <t>INE585B01010</t>
  </si>
  <si>
    <t>JVSL04</t>
  </si>
  <si>
    <t>JSW Steel Limited</t>
  </si>
  <si>
    <t>INE019A01038</t>
  </si>
  <si>
    <t>Ferrous Metals</t>
  </si>
  <si>
    <t>SUMI01</t>
  </si>
  <si>
    <t>Sumitomo Chemical India Limited</t>
  </si>
  <si>
    <t>INE258G01013</t>
  </si>
  <si>
    <t>Fertilizers &amp; Agrochemicals</t>
  </si>
  <si>
    <t>KCUL02</t>
  </si>
  <si>
    <t>Cummins India Limited</t>
  </si>
  <si>
    <t>INE298A01020</t>
  </si>
  <si>
    <t>Industrial Products</t>
  </si>
  <si>
    <t>ASPH02</t>
  </si>
  <si>
    <t>AstraZeneca Pharma India Limited</t>
  </si>
  <si>
    <t>INE203A01020</t>
  </si>
  <si>
    <t>HERO02</t>
  </si>
  <si>
    <t>Hero MotoCorp Limited</t>
  </si>
  <si>
    <t>INE158A01026</t>
  </si>
  <si>
    <t>NAYV01</t>
  </si>
  <si>
    <t>NLC India Limited</t>
  </si>
  <si>
    <t>INE589A01014</t>
  </si>
  <si>
    <t>Power</t>
  </si>
  <si>
    <t>WABT01</t>
  </si>
  <si>
    <t>ZF Commercial Vehicle Control Systems India Limited</t>
  </si>
  <si>
    <t>INE342J01019</t>
  </si>
  <si>
    <t>Auto Components</t>
  </si>
  <si>
    <t>ESCO01</t>
  </si>
  <si>
    <t>Escorts Kubota Limited</t>
  </si>
  <si>
    <t>INE042A01014</t>
  </si>
  <si>
    <t>Agricultural, Commercial &amp; Construction Vehicles</t>
  </si>
  <si>
    <t>ASEA02</t>
  </si>
  <si>
    <t>ABB India Limited</t>
  </si>
  <si>
    <t>INE117A01022</t>
  </si>
  <si>
    <t>PRRC03</t>
  </si>
  <si>
    <t>Navin Fluorine International Limited</t>
  </si>
  <si>
    <t>INE048G01026</t>
  </si>
  <si>
    <t>BHFO02</t>
  </si>
  <si>
    <t>Bharat Forge Limited</t>
  </si>
  <si>
    <t>INE465A01025</t>
  </si>
  <si>
    <t>MOTI02</t>
  </si>
  <si>
    <t>Bosch Limited</t>
  </si>
  <si>
    <t>INE323A01026</t>
  </si>
  <si>
    <t>LGEL01</t>
  </si>
  <si>
    <t>LG Electronics India Ltd</t>
  </si>
  <si>
    <t>INE324D01010</t>
  </si>
  <si>
    <t>Consumer Durables</t>
  </si>
  <si>
    <t>BHEL02</t>
  </si>
  <si>
    <t>Bharat Electronics Limited</t>
  </si>
  <si>
    <t>INE263A01024</t>
  </si>
  <si>
    <t>Aerospace &amp; Defense</t>
  </si>
  <si>
    <t>TMLC01</t>
  </si>
  <si>
    <t>Tata Motors Ltd</t>
  </si>
  <si>
    <t>INE1TAE01010</t>
  </si>
  <si>
    <t>IPCA03</t>
  </si>
  <si>
    <t>IPCA Laboratories Limited</t>
  </si>
  <si>
    <t>INE571A01038</t>
  </si>
  <si>
    <t>TENN01</t>
  </si>
  <si>
    <t>Tenneco Clean Air India Limited</t>
  </si>
  <si>
    <t>INE19RI01016</t>
  </si>
  <si>
    <t>OIIL01</t>
  </si>
  <si>
    <t>Oil India Limited</t>
  </si>
  <si>
    <t>INE274J01014</t>
  </si>
  <si>
    <t>Oil</t>
  </si>
  <si>
    <t>SOKO03</t>
  </si>
  <si>
    <t>Jtekt India Limited</t>
  </si>
  <si>
    <t>INE643A01035</t>
  </si>
  <si>
    <t>SENE01</t>
  </si>
  <si>
    <t>Siemens Energy India Limited</t>
  </si>
  <si>
    <t>INE1NPP01017</t>
  </si>
  <si>
    <t>AEQL01</t>
  </si>
  <si>
    <t>Aequs Limited</t>
  </si>
  <si>
    <t>INE947N01017</t>
  </si>
  <si>
    <t>BHAE02</t>
  </si>
  <si>
    <t>BEML Limited</t>
  </si>
  <si>
    <t>INE258A01024</t>
  </si>
  <si>
    <t>PIDI02</t>
  </si>
  <si>
    <t>Pidilite Industries Limited</t>
  </si>
  <si>
    <t>INE318A01026</t>
  </si>
  <si>
    <t>BIRM01</t>
  </si>
  <si>
    <t>3M India Limited</t>
  </si>
  <si>
    <t>INE470A01017</t>
  </si>
  <si>
    <t>Diversified</t>
  </si>
  <si>
    <t>JSWC01</t>
  </si>
  <si>
    <t>JSW Cement Limited</t>
  </si>
  <si>
    <t>INE718I01012</t>
  </si>
  <si>
    <t>Cement &amp; Cement Products</t>
  </si>
  <si>
    <t>ICEM01</t>
  </si>
  <si>
    <t>The India Cements Limited</t>
  </si>
  <si>
    <t>INE383A01012</t>
  </si>
  <si>
    <t>PFIZ01</t>
  </si>
  <si>
    <t>Pfizer Limited</t>
  </si>
  <si>
    <t>INE182A01018</t>
  </si>
  <si>
    <t>SCDL01</t>
  </si>
  <si>
    <t>Sundaram Clayton Limited</t>
  </si>
  <si>
    <t>INE0Q3R01026</t>
  </si>
  <si>
    <t>KEWI01</t>
  </si>
  <si>
    <t>Kennametal India Limited</t>
  </si>
  <si>
    <t>INE717A01029</t>
  </si>
  <si>
    <t>Industrial Manufacturing</t>
  </si>
  <si>
    <t>Talwandi Sabo Power Limited **</t>
  </si>
  <si>
    <t>INE694L01019</t>
  </si>
  <si>
    <t>Vedanta Aluminium Metal Limited **</t>
  </si>
  <si>
    <t>INE1CDF01017</t>
  </si>
  <si>
    <t>Vedanta Iron And Steel Limited **</t>
  </si>
  <si>
    <t>INE1CLE01013</t>
  </si>
  <si>
    <t>Malco Energy Limited **</t>
  </si>
  <si>
    <t>INE704J01044</t>
  </si>
  <si>
    <t>Sub Total</t>
  </si>
  <si>
    <t>(b)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</si>
  <si>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</si>
  <si>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</si>
  <si>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</si>
  <si>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</si>
  <si>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</si>
  <si>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</si>
  <si>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</si>
  <si>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Money Market Instruments</t>
  </si>
  <si>
    <t>Treasury Bill</t>
  </si>
  <si>
    <t>TBIL2636</t>
  </si>
  <si>
    <t>364 Days Tbill (MD 04/02/2027)</t>
  </si>
  <si>
    <t>IN002025Z443</t>
  </si>
  <si>
    <t>Sovereign</t>
  </si>
  <si>
    <t>TBIL2525</t>
  </si>
  <si>
    <t>364 Days Tbill (MD 25/06/2026)</t>
  </si>
  <si>
    <t>IN002025Z138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</si>
  <si>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</si>
  <si>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</si>
  <si>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</si>
  <si>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</si>
  <si>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</si>
  <si>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</si>
  <si>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</si>
  <si>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</si>
  <si>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</si>
  <si>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</si>
  <si>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</si>
  <si>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</si>
  <si>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</si>
  <si>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</si>
  <si>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</si>
  <si>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</si>
  <si>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Capital Markets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</si>
  <si>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</si>
  <si>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</si>
  <si>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</si>
  <si>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</si>
  <si>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</si>
  <si>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</si>
  <si>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</si>
  <si>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</si>
  <si>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</si>
  <si>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</si>
  <si>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</si>
  <si>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</si>
  <si>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</si>
  <si>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</si>
  <si>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</si>
  <si>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</si>
  <si>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</si>
  <si>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</si>
  <si>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 Total outstanding exposure in derivative instruments as on May 31, 2026 is 1175.11 Lacs.</t>
  </si>
  <si>
    <t>(10) Total Market value of investments in Foreign Securities/American Depositary Receipts/Global Depositary Receipts as at  May 31, 2026 is Rs. Nil.</t>
  </si>
  <si>
    <t>(11)  During the period, the portfolio turnover ratio is 0.58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</si>
  <si>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</si>
  <si>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</si>
  <si>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</si>
  <si>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</si>
  <si>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</si>
  <si>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</si>
  <si>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</si>
  <si>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</si>
  <si>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</si>
  <si>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</si>
  <si>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</si>
  <si>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</si>
  <si>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</si>
  <si>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</si>
  <si>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</si>
  <si>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</si>
  <si>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</si>
  <si>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</si>
  <si>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</si>
  <si>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</si>
  <si>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</si>
  <si>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</si>
  <si>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</si>
  <si>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</si>
  <si>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</si>
  <si>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</si>
  <si>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</si>
  <si>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Multi Commodity Exchange of India Limited</t>
  </si>
  <si>
    <t>Total exposure due to futures (non hedging positions) as a % of net assets: 1.33%.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</si>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</sst>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8" xfId="0" applyNumberForma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57E3F587-092E-463C-B9DF-1580D8FD0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4</xdr:col>
      <xdr:colOff>498348</xdr:colOff>
      <xdr:row>159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EBF56-7861-4C26-B1E9-96B616CC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8071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0B1B-57CB-4D9A-AFAA-0A8BD91934AF}">
  <sheetPr codeName="Sheet25">
    <outlinePr summaryBelow="0"/>
  </sheetPr>
  <dimension ref="A1:BB162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64" t="s">
        <v>0</v>
      </c>
      <c r="C1" s="64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0"/>
      <c r="C2" s="70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1" t="s">
        <v>2</v>
      </c>
      <c r="C3" s="71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2" t="s">
        <v>3</v>
      </c>
      <c r="C4" s="7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9" t="s">
        <v>12</v>
      </c>
      <c r="C5" s="69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9" t="s">
        <v>13</v>
      </c>
      <c r="C6" s="69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5" t="s">
        <v>15</v>
      </c>
      <c r="C7" s="65"/>
      <c r="D7" s="6" t="s">
        <v>16</v>
      </c>
      <c r="E7" s="6" t="s">
        <v>17</v>
      </c>
      <c r="F7" s="9">
        <v>18990</v>
      </c>
      <c r="G7" s="10">
        <v>7300.71</v>
      </c>
      <c r="H7" s="11">
        <v>8.2400000000000001E-2</v>
      </c>
      <c r="I7" s="12"/>
      <c r="J7" s="12"/>
      <c r="K7" s="1"/>
    </row>
    <row r="8" spans="1:11" ht="13.05" customHeight="1">
      <c r="A8" s="8" t="s">
        <v>18</v>
      </c>
      <c r="B8" s="65" t="s">
        <v>19</v>
      </c>
      <c r="C8" s="65"/>
      <c r="D8" s="6" t="s">
        <v>20</v>
      </c>
      <c r="E8" s="6" t="s">
        <v>21</v>
      </c>
      <c r="F8" s="9">
        <v>81000</v>
      </c>
      <c r="G8" s="10">
        <v>5400.27</v>
      </c>
      <c r="H8" s="11">
        <v>6.0900000000000003E-2</v>
      </c>
      <c r="I8" s="12"/>
      <c r="J8" s="12"/>
      <c r="K8" s="1"/>
    </row>
    <row r="9" spans="1:11" ht="13.05" customHeight="1">
      <c r="A9" s="8" t="s">
        <v>22</v>
      </c>
      <c r="B9" s="65" t="s">
        <v>23</v>
      </c>
      <c r="C9" s="65"/>
      <c r="D9" s="6" t="s">
        <v>24</v>
      </c>
      <c r="E9" s="6" t="s">
        <v>25</v>
      </c>
      <c r="F9" s="9">
        <v>344000</v>
      </c>
      <c r="G9" s="10">
        <v>4544.93</v>
      </c>
      <c r="H9" s="11">
        <v>5.1299999999999998E-2</v>
      </c>
      <c r="I9" s="12"/>
      <c r="J9" s="12"/>
      <c r="K9" s="1"/>
    </row>
    <row r="10" spans="1:11" ht="13.05" customHeight="1">
      <c r="A10" s="8" t="s">
        <v>26</v>
      </c>
      <c r="B10" s="65" t="s">
        <v>27</v>
      </c>
      <c r="C10" s="65"/>
      <c r="D10" s="6" t="s">
        <v>28</v>
      </c>
      <c r="E10" s="6" t="s">
        <v>17</v>
      </c>
      <c r="F10" s="9">
        <v>1080000</v>
      </c>
      <c r="G10" s="10">
        <v>4500.8999999999996</v>
      </c>
      <c r="H10" s="11">
        <v>5.0799999999999998E-2</v>
      </c>
      <c r="I10" s="12"/>
      <c r="J10" s="12"/>
      <c r="K10" s="1"/>
    </row>
    <row r="11" spans="1:11" ht="13.05" customHeight="1">
      <c r="A11" s="8" t="s">
        <v>29</v>
      </c>
      <c r="B11" s="65" t="s">
        <v>30</v>
      </c>
      <c r="C11" s="65"/>
      <c r="D11" s="6" t="s">
        <v>31</v>
      </c>
      <c r="E11" s="6" t="s">
        <v>21</v>
      </c>
      <c r="F11" s="9">
        <v>207000</v>
      </c>
      <c r="G11" s="10">
        <v>3724.34</v>
      </c>
      <c r="H11" s="11">
        <v>4.2000000000000003E-2</v>
      </c>
      <c r="I11" s="12"/>
      <c r="J11" s="12"/>
      <c r="K11" s="1"/>
    </row>
    <row r="12" spans="1:11" ht="13.05" customHeight="1">
      <c r="A12" s="8" t="s">
        <v>32</v>
      </c>
      <c r="B12" s="65" t="s">
        <v>33</v>
      </c>
      <c r="C12" s="65"/>
      <c r="D12" s="6" t="s">
        <v>34</v>
      </c>
      <c r="E12" s="6" t="s">
        <v>35</v>
      </c>
      <c r="F12" s="9">
        <v>810000</v>
      </c>
      <c r="G12" s="10">
        <v>3438.05</v>
      </c>
      <c r="H12" s="11">
        <v>3.8800000000000001E-2</v>
      </c>
      <c r="I12" s="12"/>
      <c r="J12" s="12"/>
      <c r="K12" s="1"/>
    </row>
    <row r="13" spans="1:11" ht="13.05" customHeight="1">
      <c r="A13" s="8" t="s">
        <v>36</v>
      </c>
      <c r="B13" s="65" t="s">
        <v>37</v>
      </c>
      <c r="C13" s="65"/>
      <c r="D13" s="6" t="s">
        <v>38</v>
      </c>
      <c r="E13" s="6" t="s">
        <v>35</v>
      </c>
      <c r="F13" s="9">
        <v>433800</v>
      </c>
      <c r="G13" s="10">
        <v>2745.74</v>
      </c>
      <c r="H13" s="11">
        <v>3.1E-2</v>
      </c>
      <c r="I13" s="12"/>
      <c r="J13" s="12"/>
      <c r="K13" s="1"/>
    </row>
    <row r="14" spans="1:11" ht="13.05" customHeight="1">
      <c r="A14" s="8" t="s">
        <v>39</v>
      </c>
      <c r="B14" s="65" t="s">
        <v>40</v>
      </c>
      <c r="C14" s="65"/>
      <c r="D14" s="6" t="s">
        <v>41</v>
      </c>
      <c r="E14" s="6" t="s">
        <v>42</v>
      </c>
      <c r="F14" s="9">
        <v>90000</v>
      </c>
      <c r="G14" s="10">
        <v>2741.04</v>
      </c>
      <c r="H14" s="11">
        <v>3.09E-2</v>
      </c>
      <c r="I14" s="12"/>
      <c r="J14" s="12"/>
      <c r="K14" s="1"/>
    </row>
    <row r="15" spans="1:11" ht="13.05" customHeight="1">
      <c r="A15" s="8" t="s">
        <v>43</v>
      </c>
      <c r="B15" s="65" t="s">
        <v>44</v>
      </c>
      <c r="C15" s="65"/>
      <c r="D15" s="6" t="s">
        <v>45</v>
      </c>
      <c r="E15" s="6" t="s">
        <v>42</v>
      </c>
      <c r="F15" s="9">
        <v>72000</v>
      </c>
      <c r="G15" s="10">
        <v>2416.1</v>
      </c>
      <c r="H15" s="11">
        <v>2.7300000000000001E-2</v>
      </c>
      <c r="I15" s="12"/>
      <c r="J15" s="12"/>
      <c r="K15" s="1"/>
    </row>
    <row r="16" spans="1:11" ht="13.05" customHeight="1">
      <c r="A16" s="8" t="s">
        <v>46</v>
      </c>
      <c r="B16" s="65" t="s">
        <v>47</v>
      </c>
      <c r="C16" s="65"/>
      <c r="D16" s="6" t="s">
        <v>48</v>
      </c>
      <c r="E16" s="6" t="s">
        <v>49</v>
      </c>
      <c r="F16" s="9">
        <v>33300</v>
      </c>
      <c r="G16" s="10">
        <v>2399.1</v>
      </c>
      <c r="H16" s="11">
        <v>2.7099999999999999E-2</v>
      </c>
      <c r="I16" s="12"/>
      <c r="J16" s="12"/>
      <c r="K16" s="1"/>
    </row>
    <row r="17" spans="1:11" ht="13.05" customHeight="1">
      <c r="A17" s="8" t="s">
        <v>50</v>
      </c>
      <c r="B17" s="65" t="s">
        <v>51</v>
      </c>
      <c r="C17" s="65"/>
      <c r="D17" s="6" t="s">
        <v>52</v>
      </c>
      <c r="E17" s="6" t="s">
        <v>42</v>
      </c>
      <c r="F17" s="9">
        <v>18000</v>
      </c>
      <c r="G17" s="10">
        <v>2362.86</v>
      </c>
      <c r="H17" s="11">
        <v>2.6700000000000002E-2</v>
      </c>
      <c r="I17" s="12"/>
      <c r="J17" s="12"/>
      <c r="K17" s="1"/>
    </row>
    <row r="18" spans="1:11" ht="13.05" customHeight="1">
      <c r="A18" s="8" t="s">
        <v>53</v>
      </c>
      <c r="B18" s="65" t="s">
        <v>54</v>
      </c>
      <c r="C18" s="65"/>
      <c r="D18" s="6" t="s">
        <v>55</v>
      </c>
      <c r="E18" s="6" t="s">
        <v>56</v>
      </c>
      <c r="F18" s="9">
        <v>180000</v>
      </c>
      <c r="G18" s="10">
        <v>2300.4</v>
      </c>
      <c r="H18" s="11">
        <v>2.5999999999999999E-2</v>
      </c>
      <c r="I18" s="12"/>
      <c r="J18" s="12"/>
      <c r="K18" s="1"/>
    </row>
    <row r="19" spans="1:11" ht="13.05" customHeight="1">
      <c r="A19" s="8" t="s">
        <v>57</v>
      </c>
      <c r="B19" s="65" t="s">
        <v>58</v>
      </c>
      <c r="C19" s="65"/>
      <c r="D19" s="6" t="s">
        <v>59</v>
      </c>
      <c r="E19" s="6" t="s">
        <v>60</v>
      </c>
      <c r="F19" s="9">
        <v>450000</v>
      </c>
      <c r="G19" s="10">
        <v>2256.98</v>
      </c>
      <c r="H19" s="11">
        <v>2.5499999999999998E-2</v>
      </c>
      <c r="I19" s="12"/>
      <c r="J19" s="12"/>
      <c r="K19" s="1"/>
    </row>
    <row r="20" spans="1:11" ht="13.05" customHeight="1">
      <c r="A20" s="8" t="s">
        <v>61</v>
      </c>
      <c r="B20" s="65" t="s">
        <v>62</v>
      </c>
      <c r="C20" s="65"/>
      <c r="D20" s="6" t="s">
        <v>63</v>
      </c>
      <c r="E20" s="6" t="s">
        <v>64</v>
      </c>
      <c r="F20" s="9">
        <v>36000</v>
      </c>
      <c r="G20" s="10">
        <v>2117.16</v>
      </c>
      <c r="H20" s="11">
        <v>2.3900000000000001E-2</v>
      </c>
      <c r="I20" s="12"/>
      <c r="J20" s="12"/>
      <c r="K20" s="1"/>
    </row>
    <row r="21" spans="1:11" ht="13.05" customHeight="1">
      <c r="A21" s="8" t="s">
        <v>65</v>
      </c>
      <c r="B21" s="65" t="s">
        <v>66</v>
      </c>
      <c r="C21" s="65"/>
      <c r="D21" s="6" t="s">
        <v>67</v>
      </c>
      <c r="E21" s="6" t="s">
        <v>21</v>
      </c>
      <c r="F21" s="9">
        <v>23400</v>
      </c>
      <c r="G21" s="10">
        <v>2019.77</v>
      </c>
      <c r="H21" s="11">
        <v>2.2800000000000001E-2</v>
      </c>
      <c r="I21" s="12"/>
      <c r="J21" s="12"/>
      <c r="K21" s="1"/>
    </row>
    <row r="22" spans="1:11" ht="13.05" customHeight="1">
      <c r="A22" s="8" t="s">
        <v>68</v>
      </c>
      <c r="B22" s="65" t="s">
        <v>69</v>
      </c>
      <c r="C22" s="65"/>
      <c r="D22" s="6" t="s">
        <v>70</v>
      </c>
      <c r="E22" s="6" t="s">
        <v>42</v>
      </c>
      <c r="F22" s="9">
        <v>40500</v>
      </c>
      <c r="G22" s="10">
        <v>1985.72</v>
      </c>
      <c r="H22" s="11">
        <v>2.24E-2</v>
      </c>
      <c r="I22" s="12"/>
      <c r="J22" s="12"/>
      <c r="K22" s="1"/>
    </row>
    <row r="23" spans="1:11" ht="13.05" customHeight="1">
      <c r="A23" s="8" t="s">
        <v>71</v>
      </c>
      <c r="B23" s="65" t="s">
        <v>72</v>
      </c>
      <c r="C23" s="65"/>
      <c r="D23" s="6" t="s">
        <v>73</v>
      </c>
      <c r="E23" s="6" t="s">
        <v>74</v>
      </c>
      <c r="F23" s="9">
        <v>540000</v>
      </c>
      <c r="G23" s="10">
        <v>1876.77</v>
      </c>
      <c r="H23" s="11">
        <v>2.12E-2</v>
      </c>
      <c r="I23" s="12"/>
      <c r="J23" s="12"/>
      <c r="K23" s="1"/>
    </row>
    <row r="24" spans="1:11" ht="13.05" customHeight="1">
      <c r="A24" s="8" t="s">
        <v>75</v>
      </c>
      <c r="B24" s="65" t="s">
        <v>76</v>
      </c>
      <c r="C24" s="65"/>
      <c r="D24" s="6" t="s">
        <v>77</v>
      </c>
      <c r="E24" s="6" t="s">
        <v>78</v>
      </c>
      <c r="F24" s="9">
        <v>12600</v>
      </c>
      <c r="G24" s="10">
        <v>1848.92</v>
      </c>
      <c r="H24" s="11">
        <v>2.0899999999999998E-2</v>
      </c>
      <c r="I24" s="12"/>
      <c r="J24" s="12"/>
      <c r="K24" s="1"/>
    </row>
    <row r="25" spans="1:11" ht="13.05" customHeight="1">
      <c r="A25" s="8" t="s">
        <v>79</v>
      </c>
      <c r="B25" s="65" t="s">
        <v>80</v>
      </c>
      <c r="C25" s="65"/>
      <c r="D25" s="6" t="s">
        <v>81</v>
      </c>
      <c r="E25" s="6" t="s">
        <v>82</v>
      </c>
      <c r="F25" s="9">
        <v>63000</v>
      </c>
      <c r="G25" s="10">
        <v>1801.67</v>
      </c>
      <c r="H25" s="11">
        <v>2.0299999999999999E-2</v>
      </c>
      <c r="I25" s="12"/>
      <c r="J25" s="12"/>
      <c r="K25" s="1"/>
    </row>
    <row r="26" spans="1:11" ht="13.05" customHeight="1">
      <c r="A26" s="8" t="s">
        <v>83</v>
      </c>
      <c r="B26" s="65" t="s">
        <v>84</v>
      </c>
      <c r="C26" s="65"/>
      <c r="D26" s="6" t="s">
        <v>85</v>
      </c>
      <c r="E26" s="6" t="s">
        <v>17</v>
      </c>
      <c r="F26" s="9">
        <v>22500</v>
      </c>
      <c r="G26" s="10">
        <v>1631.93</v>
      </c>
      <c r="H26" s="11">
        <v>1.84E-2</v>
      </c>
      <c r="I26" s="12"/>
      <c r="J26" s="12"/>
      <c r="K26" s="1"/>
    </row>
    <row r="27" spans="1:11" ht="13.05" customHeight="1">
      <c r="A27" s="8" t="s">
        <v>86</v>
      </c>
      <c r="B27" s="65" t="s">
        <v>87</v>
      </c>
      <c r="C27" s="65"/>
      <c r="D27" s="6" t="s">
        <v>88</v>
      </c>
      <c r="E27" s="6" t="s">
        <v>49</v>
      </c>
      <c r="F27" s="9">
        <v>22500</v>
      </c>
      <c r="G27" s="10">
        <v>1604.03</v>
      </c>
      <c r="H27" s="11">
        <v>1.8100000000000002E-2</v>
      </c>
      <c r="I27" s="12"/>
      <c r="J27" s="12"/>
      <c r="K27" s="1"/>
    </row>
    <row r="28" spans="1:11" ht="13.05" customHeight="1">
      <c r="A28" s="8" t="s">
        <v>89</v>
      </c>
      <c r="B28" s="65" t="s">
        <v>90</v>
      </c>
      <c r="C28" s="65"/>
      <c r="D28" s="6" t="s">
        <v>91</v>
      </c>
      <c r="E28" s="6" t="s">
        <v>78</v>
      </c>
      <c r="F28" s="9">
        <v>81000</v>
      </c>
      <c r="G28" s="10">
        <v>1585.33</v>
      </c>
      <c r="H28" s="11">
        <v>1.7899999999999999E-2</v>
      </c>
      <c r="I28" s="12"/>
      <c r="J28" s="12"/>
      <c r="K28" s="1"/>
    </row>
    <row r="29" spans="1:11" ht="13.05" customHeight="1">
      <c r="A29" s="8" t="s">
        <v>92</v>
      </c>
      <c r="B29" s="65" t="s">
        <v>93</v>
      </c>
      <c r="C29" s="65"/>
      <c r="D29" s="6" t="s">
        <v>94</v>
      </c>
      <c r="E29" s="6" t="s">
        <v>78</v>
      </c>
      <c r="F29" s="9">
        <v>4050</v>
      </c>
      <c r="G29" s="10">
        <v>1483.31</v>
      </c>
      <c r="H29" s="11">
        <v>1.67E-2</v>
      </c>
      <c r="I29" s="12"/>
      <c r="J29" s="12"/>
      <c r="K29" s="1"/>
    </row>
    <row r="30" spans="1:11" ht="13.05" customHeight="1">
      <c r="A30" s="8" t="s">
        <v>95</v>
      </c>
      <c r="B30" s="65" t="s">
        <v>96</v>
      </c>
      <c r="C30" s="65"/>
      <c r="D30" s="6" t="s">
        <v>97</v>
      </c>
      <c r="E30" s="6" t="s">
        <v>98</v>
      </c>
      <c r="F30" s="9">
        <v>90000</v>
      </c>
      <c r="G30" s="10">
        <v>1371.51</v>
      </c>
      <c r="H30" s="11">
        <v>1.55E-2</v>
      </c>
      <c r="I30" s="12"/>
      <c r="J30" s="12"/>
      <c r="K30" s="1"/>
    </row>
    <row r="31" spans="1:11" ht="13.05" customHeight="1">
      <c r="A31" s="8" t="s">
        <v>99</v>
      </c>
      <c r="B31" s="65" t="s">
        <v>100</v>
      </c>
      <c r="C31" s="65"/>
      <c r="D31" s="6" t="s">
        <v>101</v>
      </c>
      <c r="E31" s="6" t="s">
        <v>102</v>
      </c>
      <c r="F31" s="9">
        <v>324000</v>
      </c>
      <c r="G31" s="10">
        <v>1330.83</v>
      </c>
      <c r="H31" s="11">
        <v>1.4999999999999999E-2</v>
      </c>
      <c r="I31" s="12"/>
      <c r="J31" s="12"/>
      <c r="K31" s="1"/>
    </row>
    <row r="32" spans="1:11" ht="13.05" customHeight="1">
      <c r="A32" s="8" t="s">
        <v>103</v>
      </c>
      <c r="B32" s="65" t="s">
        <v>104</v>
      </c>
      <c r="C32" s="65"/>
      <c r="D32" s="6" t="s">
        <v>105</v>
      </c>
      <c r="E32" s="6" t="s">
        <v>82</v>
      </c>
      <c r="F32" s="9">
        <v>342000</v>
      </c>
      <c r="G32" s="10">
        <v>1297.8900000000001</v>
      </c>
      <c r="H32" s="11">
        <v>1.46E-2</v>
      </c>
      <c r="I32" s="12"/>
      <c r="J32" s="12"/>
      <c r="K32" s="1"/>
    </row>
    <row r="33" spans="1:11" ht="13.05" customHeight="1">
      <c r="A33" s="8" t="s">
        <v>106</v>
      </c>
      <c r="B33" s="65" t="s">
        <v>107</v>
      </c>
      <c r="C33" s="65"/>
      <c r="D33" s="6" t="s">
        <v>108</v>
      </c>
      <c r="E33" s="6" t="s">
        <v>21</v>
      </c>
      <c r="F33" s="9">
        <v>81000</v>
      </c>
      <c r="G33" s="10">
        <v>1234.76</v>
      </c>
      <c r="H33" s="11">
        <v>1.3899999999999999E-2</v>
      </c>
      <c r="I33" s="12"/>
      <c r="J33" s="12"/>
      <c r="K33" s="1"/>
    </row>
    <row r="34" spans="1:11" ht="13.05" customHeight="1">
      <c r="A34" s="8" t="s">
        <v>109</v>
      </c>
      <c r="B34" s="65" t="s">
        <v>110</v>
      </c>
      <c r="C34" s="65"/>
      <c r="D34" s="6" t="s">
        <v>111</v>
      </c>
      <c r="E34" s="6" t="s">
        <v>78</v>
      </c>
      <c r="F34" s="9">
        <v>207000</v>
      </c>
      <c r="G34" s="10">
        <v>1217.78</v>
      </c>
      <c r="H34" s="11">
        <v>1.37E-2</v>
      </c>
      <c r="I34" s="12"/>
      <c r="J34" s="12"/>
      <c r="K34" s="1"/>
    </row>
    <row r="35" spans="1:11" ht="13.05" customHeight="1">
      <c r="A35" s="8" t="s">
        <v>112</v>
      </c>
      <c r="B35" s="65" t="s">
        <v>113</v>
      </c>
      <c r="C35" s="65"/>
      <c r="D35" s="6" t="s">
        <v>114</v>
      </c>
      <c r="E35" s="6" t="s">
        <v>115</v>
      </c>
      <c r="F35" s="9">
        <v>234000</v>
      </c>
      <c r="G35" s="10">
        <v>1114.19</v>
      </c>
      <c r="H35" s="11">
        <v>1.26E-2</v>
      </c>
      <c r="I35" s="12"/>
      <c r="J35" s="12"/>
      <c r="K35" s="1"/>
    </row>
    <row r="36" spans="1:11" ht="13.05" customHeight="1">
      <c r="A36" s="8" t="s">
        <v>116</v>
      </c>
      <c r="B36" s="65" t="s">
        <v>117</v>
      </c>
      <c r="C36" s="65"/>
      <c r="D36" s="6" t="s">
        <v>118</v>
      </c>
      <c r="E36" s="6" t="s">
        <v>78</v>
      </c>
      <c r="F36" s="9">
        <v>832685</v>
      </c>
      <c r="G36" s="10">
        <v>1094.31</v>
      </c>
      <c r="H36" s="11">
        <v>1.23E-2</v>
      </c>
      <c r="I36" s="12"/>
      <c r="J36" s="12"/>
      <c r="K36" s="1"/>
    </row>
    <row r="37" spans="1:11" ht="13.05" customHeight="1">
      <c r="A37" s="8" t="s">
        <v>119</v>
      </c>
      <c r="B37" s="65" t="s">
        <v>120</v>
      </c>
      <c r="C37" s="65"/>
      <c r="D37" s="6" t="s">
        <v>121</v>
      </c>
      <c r="E37" s="6" t="s">
        <v>17</v>
      </c>
      <c r="F37" s="9">
        <v>27900</v>
      </c>
      <c r="G37" s="10">
        <v>1080.32</v>
      </c>
      <c r="H37" s="11">
        <v>1.2200000000000001E-2</v>
      </c>
      <c r="I37" s="12"/>
      <c r="J37" s="12"/>
      <c r="K37" s="1"/>
    </row>
    <row r="38" spans="1:11" ht="13.05" customHeight="1">
      <c r="A38" s="8" t="s">
        <v>122</v>
      </c>
      <c r="B38" s="65" t="s">
        <v>123</v>
      </c>
      <c r="C38" s="65"/>
      <c r="D38" s="6" t="s">
        <v>124</v>
      </c>
      <c r="E38" s="6" t="s">
        <v>102</v>
      </c>
      <c r="F38" s="9">
        <v>504000</v>
      </c>
      <c r="G38" s="10">
        <v>965.41</v>
      </c>
      <c r="H38" s="11">
        <v>1.09E-2</v>
      </c>
      <c r="I38" s="12"/>
      <c r="J38" s="12"/>
      <c r="K38" s="1"/>
    </row>
    <row r="39" spans="1:11" ht="13.05" customHeight="1">
      <c r="A39" s="8" t="s">
        <v>125</v>
      </c>
      <c r="B39" s="65" t="s">
        <v>126</v>
      </c>
      <c r="C39" s="65"/>
      <c r="D39" s="6" t="s">
        <v>127</v>
      </c>
      <c r="E39" s="6" t="s">
        <v>82</v>
      </c>
      <c r="F39" s="9">
        <v>55800</v>
      </c>
      <c r="G39" s="10">
        <v>961.1</v>
      </c>
      <c r="H39" s="11">
        <v>1.0800000000000001E-2</v>
      </c>
      <c r="I39" s="12"/>
      <c r="J39" s="12"/>
      <c r="K39" s="1"/>
    </row>
    <row r="40" spans="1:11" ht="13.05" customHeight="1">
      <c r="A40" s="8" t="s">
        <v>128</v>
      </c>
      <c r="B40" s="65" t="s">
        <v>129</v>
      </c>
      <c r="C40" s="65"/>
      <c r="D40" s="6" t="s">
        <v>130</v>
      </c>
      <c r="E40" s="6" t="s">
        <v>49</v>
      </c>
      <c r="F40" s="9">
        <v>64800</v>
      </c>
      <c r="G40" s="10">
        <v>960.85</v>
      </c>
      <c r="H40" s="11">
        <v>1.0800000000000001E-2</v>
      </c>
      <c r="I40" s="12"/>
      <c r="J40" s="12"/>
      <c r="K40" s="1"/>
    </row>
    <row r="41" spans="1:11" ht="13.05" customHeight="1">
      <c r="A41" s="8" t="s">
        <v>131</v>
      </c>
      <c r="B41" s="65" t="s">
        <v>132</v>
      </c>
      <c r="C41" s="65"/>
      <c r="D41" s="6" t="s">
        <v>133</v>
      </c>
      <c r="E41" s="6" t="s">
        <v>134</v>
      </c>
      <c r="F41" s="9">
        <v>2880</v>
      </c>
      <c r="G41" s="10">
        <v>944.93</v>
      </c>
      <c r="H41" s="11">
        <v>1.0699999999999999E-2</v>
      </c>
      <c r="I41" s="12"/>
      <c r="J41" s="12"/>
      <c r="K41" s="1"/>
    </row>
    <row r="42" spans="1:11" ht="13.05" customHeight="1">
      <c r="A42" s="8" t="s">
        <v>135</v>
      </c>
      <c r="B42" s="65" t="s">
        <v>136</v>
      </c>
      <c r="C42" s="65"/>
      <c r="D42" s="6" t="s">
        <v>137</v>
      </c>
      <c r="E42" s="6" t="s">
        <v>138</v>
      </c>
      <c r="F42" s="9">
        <v>630000</v>
      </c>
      <c r="G42" s="10">
        <v>816.67</v>
      </c>
      <c r="H42" s="11">
        <v>9.1999999999999998E-3</v>
      </c>
      <c r="I42" s="12"/>
      <c r="J42" s="12"/>
      <c r="K42" s="1"/>
    </row>
    <row r="43" spans="1:11" ht="13.05" customHeight="1">
      <c r="A43" s="8" t="s">
        <v>139</v>
      </c>
      <c r="B43" s="65" t="s">
        <v>140</v>
      </c>
      <c r="C43" s="65"/>
      <c r="D43" s="6" t="s">
        <v>141</v>
      </c>
      <c r="E43" s="6" t="s">
        <v>138</v>
      </c>
      <c r="F43" s="9">
        <v>211541</v>
      </c>
      <c r="G43" s="10">
        <v>807.98</v>
      </c>
      <c r="H43" s="11">
        <v>9.1000000000000004E-3</v>
      </c>
      <c r="I43" s="12"/>
      <c r="J43" s="12"/>
      <c r="K43" s="1"/>
    </row>
    <row r="44" spans="1:11" ht="13.05" customHeight="1">
      <c r="A44" s="8" t="s">
        <v>142</v>
      </c>
      <c r="B44" s="65" t="s">
        <v>143</v>
      </c>
      <c r="C44" s="65"/>
      <c r="D44" s="6" t="s">
        <v>144</v>
      </c>
      <c r="E44" s="6" t="s">
        <v>21</v>
      </c>
      <c r="F44" s="9">
        <v>15750</v>
      </c>
      <c r="G44" s="10">
        <v>724.26</v>
      </c>
      <c r="H44" s="11">
        <v>8.2000000000000007E-3</v>
      </c>
      <c r="I44" s="12"/>
      <c r="J44" s="12"/>
      <c r="K44" s="1"/>
    </row>
    <row r="45" spans="1:11" ht="13.05" customHeight="1">
      <c r="A45" s="8" t="s">
        <v>145</v>
      </c>
      <c r="B45" s="65" t="s">
        <v>146</v>
      </c>
      <c r="C45" s="65"/>
      <c r="D45" s="6" t="s">
        <v>147</v>
      </c>
      <c r="E45" s="6" t="s">
        <v>78</v>
      </c>
      <c r="F45" s="9">
        <v>32777</v>
      </c>
      <c r="G45" s="10">
        <v>432.26</v>
      </c>
      <c r="H45" s="11">
        <v>4.8999999999999998E-3</v>
      </c>
      <c r="I45" s="12"/>
      <c r="J45" s="12"/>
      <c r="K45" s="1"/>
    </row>
    <row r="46" spans="1:11" ht="13.05" customHeight="1">
      <c r="A46" s="8" t="s">
        <v>148</v>
      </c>
      <c r="B46" s="65" t="s">
        <v>149</v>
      </c>
      <c r="C46" s="65"/>
      <c r="D46" s="6" t="s">
        <v>150</v>
      </c>
      <c r="E46" s="6" t="s">
        <v>151</v>
      </c>
      <c r="F46" s="9">
        <v>1800</v>
      </c>
      <c r="G46" s="10">
        <v>52.12</v>
      </c>
      <c r="H46" s="11">
        <v>5.9999999999999995E-4</v>
      </c>
      <c r="I46" s="12"/>
      <c r="J46" s="12"/>
      <c r="K46" s="1"/>
    </row>
    <row r="47" spans="1:11" ht="13.05" customHeight="1">
      <c r="A47" s="8"/>
      <c r="B47" s="65" t="s">
        <v>152</v>
      </c>
      <c r="C47" s="65"/>
      <c r="D47" s="6" t="s">
        <v>153</v>
      </c>
      <c r="E47" s="6" t="s">
        <v>74</v>
      </c>
      <c r="F47" s="9">
        <v>612000</v>
      </c>
      <c r="G47" s="10">
        <v>740.7</v>
      </c>
      <c r="H47" s="11">
        <v>8.3999999999999995E-3</v>
      </c>
      <c r="I47" s="12"/>
      <c r="J47" s="12"/>
      <c r="K47" s="1"/>
    </row>
    <row r="48" spans="1:11" ht="13.05" customHeight="1">
      <c r="A48" s="8"/>
      <c r="B48" s="65" t="s">
        <v>154</v>
      </c>
      <c r="C48" s="65"/>
      <c r="D48" s="6" t="s">
        <v>155</v>
      </c>
      <c r="E48" s="6" t="s">
        <v>35</v>
      </c>
      <c r="F48" s="9">
        <v>612000</v>
      </c>
      <c r="G48" s="10">
        <v>740.7</v>
      </c>
      <c r="H48" s="11">
        <v>8.3999999999999995E-3</v>
      </c>
      <c r="I48" s="12"/>
      <c r="J48" s="12"/>
      <c r="K48" s="1"/>
    </row>
    <row r="49" spans="1:11" ht="13.05" customHeight="1">
      <c r="A49" s="8"/>
      <c r="B49" s="65" t="s">
        <v>156</v>
      </c>
      <c r="C49" s="65"/>
      <c r="D49" s="6" t="s">
        <v>157</v>
      </c>
      <c r="E49" s="6" t="s">
        <v>56</v>
      </c>
      <c r="F49" s="9">
        <v>612000</v>
      </c>
      <c r="G49" s="10">
        <v>740.7</v>
      </c>
      <c r="H49" s="11">
        <v>8.3999999999999995E-3</v>
      </c>
      <c r="I49" s="12"/>
      <c r="J49" s="12"/>
      <c r="K49" s="1"/>
    </row>
    <row r="50" spans="1:11" ht="13.05" customHeight="1">
      <c r="A50" s="8"/>
      <c r="B50" s="65" t="s">
        <v>158</v>
      </c>
      <c r="C50" s="65"/>
      <c r="D50" s="6" t="s">
        <v>159</v>
      </c>
      <c r="E50" s="6" t="s">
        <v>115</v>
      </c>
      <c r="F50" s="9">
        <v>612000</v>
      </c>
      <c r="G50" s="10">
        <v>740.7</v>
      </c>
      <c r="H50" s="11">
        <v>8.3999999999999995E-3</v>
      </c>
      <c r="I50" s="12"/>
      <c r="J50" s="12"/>
      <c r="K50" s="1"/>
    </row>
    <row r="51" spans="1:11" ht="13.05" customHeight="1">
      <c r="A51" s="1"/>
      <c r="B51" s="66" t="s">
        <v>160</v>
      </c>
      <c r="C51" s="66"/>
      <c r="D51" s="13"/>
      <c r="E51" s="13"/>
      <c r="F51" s="13"/>
      <c r="G51" s="14">
        <f>SUM(G7:G50)</f>
        <v>83455.999999999971</v>
      </c>
      <c r="H51" s="15">
        <f>SUM(H7:H50)</f>
        <v>0.94189999999999996</v>
      </c>
      <c r="I51" s="16"/>
      <c r="J51" s="16"/>
      <c r="K51" s="1"/>
    </row>
    <row r="52" spans="1:11" ht="13.05" customHeight="1">
      <c r="A52" s="1"/>
      <c r="B52" s="66" t="s">
        <v>161</v>
      </c>
      <c r="C52" s="66"/>
      <c r="D52" s="13"/>
      <c r="E52" s="13"/>
      <c r="F52" s="13"/>
      <c r="G52" s="16" t="s">
        <v>162</v>
      </c>
      <c r="H52" s="16" t="s">
        <v>162</v>
      </c>
      <c r="I52" s="16"/>
      <c r="J52" s="16"/>
      <c r="K52" s="1"/>
    </row>
    <row r="53" spans="1:11" ht="13.05" customHeight="1">
      <c r="A53" s="1"/>
      <c r="B53" s="66" t="s">
        <v>160</v>
      </c>
      <c r="C53" s="66"/>
      <c r="D53" s="13"/>
      <c r="E53" s="13"/>
      <c r="F53" s="13"/>
      <c r="G53" s="16" t="s">
        <v>162</v>
      </c>
      <c r="H53" s="16" t="s">
        <v>162</v>
      </c>
      <c r="I53" s="16"/>
      <c r="J53" s="16"/>
      <c r="K53" s="1"/>
    </row>
    <row r="54" spans="1:11" ht="13.05" customHeight="1">
      <c r="A54" s="1"/>
      <c r="B54" s="66" t="s">
        <v>163</v>
      </c>
      <c r="C54" s="66"/>
      <c r="D54" s="17"/>
      <c r="E54" s="13"/>
      <c r="F54" s="17"/>
      <c r="G54" s="14">
        <v>83456</v>
      </c>
      <c r="H54" s="15">
        <v>0.94189999999999996</v>
      </c>
      <c r="I54" s="16"/>
      <c r="J54" s="16"/>
      <c r="K54" s="1"/>
    </row>
    <row r="55" spans="1:11" ht="13.05" customHeight="1">
      <c r="A55" s="1"/>
      <c r="B55" s="69" t="s">
        <v>164</v>
      </c>
      <c r="C55" s="69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69" t="s">
        <v>165</v>
      </c>
      <c r="C56" s="69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166</v>
      </c>
      <c r="B57" s="65" t="s">
        <v>167</v>
      </c>
      <c r="C57" s="65"/>
      <c r="D57" s="6"/>
      <c r="E57" s="6" t="s">
        <v>168</v>
      </c>
      <c r="F57" s="9">
        <v>39375</v>
      </c>
      <c r="G57" s="10">
        <v>1175.1099999999999</v>
      </c>
      <c r="H57" s="11">
        <v>1.3299999999999999E-2</v>
      </c>
      <c r="I57" s="12"/>
      <c r="J57" s="12"/>
      <c r="K57" s="1"/>
    </row>
    <row r="58" spans="1:11" ht="13.05" customHeight="1">
      <c r="A58" s="1"/>
      <c r="B58" s="66" t="s">
        <v>160</v>
      </c>
      <c r="C58" s="66"/>
      <c r="D58" s="13"/>
      <c r="E58" s="13"/>
      <c r="F58" s="13"/>
      <c r="G58" s="14">
        <v>1175.1099999999999</v>
      </c>
      <c r="H58" s="15">
        <v>1.3299999999999999E-2</v>
      </c>
      <c r="I58" s="16"/>
      <c r="J58" s="16"/>
      <c r="K58" s="1"/>
    </row>
    <row r="59" spans="1:11" ht="13.05" customHeight="1">
      <c r="A59" s="1"/>
      <c r="B59" s="66" t="s">
        <v>163</v>
      </c>
      <c r="C59" s="66"/>
      <c r="D59" s="17"/>
      <c r="E59" s="13"/>
      <c r="F59" s="17"/>
      <c r="G59" s="14">
        <v>1175.1099999999999</v>
      </c>
      <c r="H59" s="15">
        <v>1.3299999999999999E-2</v>
      </c>
      <c r="I59" s="16"/>
      <c r="J59" s="16"/>
      <c r="K59" s="1"/>
    </row>
    <row r="60" spans="1:11" ht="13.05" customHeight="1">
      <c r="A60" s="1"/>
      <c r="B60" s="69" t="s">
        <v>169</v>
      </c>
      <c r="C60" s="69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69" t="s">
        <v>170</v>
      </c>
      <c r="C61" s="69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171</v>
      </c>
      <c r="B62" s="65" t="s">
        <v>172</v>
      </c>
      <c r="C62" s="65"/>
      <c r="D62" s="6" t="s">
        <v>173</v>
      </c>
      <c r="E62" s="6" t="s">
        <v>174</v>
      </c>
      <c r="F62" s="9">
        <v>1500000</v>
      </c>
      <c r="G62" s="10">
        <v>1441.99</v>
      </c>
      <c r="H62" s="11">
        <v>1.6299999999999999E-2</v>
      </c>
      <c r="I62" s="18">
        <v>5.9206000000000002E-2</v>
      </c>
      <c r="J62" s="12"/>
      <c r="K62" s="1"/>
    </row>
    <row r="63" spans="1:11" ht="13.05" customHeight="1">
      <c r="A63" s="8" t="s">
        <v>175</v>
      </c>
      <c r="B63" s="65" t="s">
        <v>176</v>
      </c>
      <c r="C63" s="65"/>
      <c r="D63" s="6" t="s">
        <v>177</v>
      </c>
      <c r="E63" s="6" t="s">
        <v>174</v>
      </c>
      <c r="F63" s="9">
        <v>1000000</v>
      </c>
      <c r="G63" s="10">
        <v>996.58</v>
      </c>
      <c r="H63" s="11">
        <v>1.12E-2</v>
      </c>
      <c r="I63" s="18">
        <v>5.2169E-2</v>
      </c>
      <c r="J63" s="12"/>
      <c r="K63" s="1"/>
    </row>
    <row r="64" spans="1:11" ht="13.05" customHeight="1">
      <c r="A64" s="1"/>
      <c r="B64" s="66" t="s">
        <v>160</v>
      </c>
      <c r="C64" s="66"/>
      <c r="D64" s="13"/>
      <c r="E64" s="13"/>
      <c r="F64" s="13"/>
      <c r="G64" s="14">
        <v>2438.5700000000002</v>
      </c>
      <c r="H64" s="15">
        <v>2.75E-2</v>
      </c>
      <c r="I64" s="16"/>
      <c r="J64" s="16"/>
      <c r="K64" s="1"/>
    </row>
    <row r="65" spans="1:11" ht="13.05" customHeight="1">
      <c r="A65" s="1"/>
      <c r="B65" s="66" t="s">
        <v>163</v>
      </c>
      <c r="C65" s="66"/>
      <c r="D65" s="17"/>
      <c r="E65" s="13"/>
      <c r="F65" s="17"/>
      <c r="G65" s="14">
        <v>2438.5700000000002</v>
      </c>
      <c r="H65" s="15">
        <v>2.75E-2</v>
      </c>
      <c r="I65" s="16"/>
      <c r="J65" s="16"/>
      <c r="K65" s="1"/>
    </row>
    <row r="66" spans="1:11" ht="13.05" customHeight="1">
      <c r="A66" s="1"/>
      <c r="B66" s="69" t="s">
        <v>178</v>
      </c>
      <c r="C66" s="69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179</v>
      </c>
      <c r="B67" s="65" t="s">
        <v>180</v>
      </c>
      <c r="C67" s="65"/>
      <c r="D67" s="6"/>
      <c r="E67" s="6" t="s">
        <v>168</v>
      </c>
      <c r="F67" s="9"/>
      <c r="G67" s="10">
        <v>3077.32</v>
      </c>
      <c r="H67" s="11">
        <v>3.4700000000000002E-2</v>
      </c>
      <c r="I67" s="18">
        <v>0.16103455178686787</v>
      </c>
      <c r="J67" s="12"/>
      <c r="K67" s="1"/>
    </row>
    <row r="68" spans="1:11" ht="13.05" customHeight="1">
      <c r="A68" s="1"/>
      <c r="B68" s="66" t="s">
        <v>160</v>
      </c>
      <c r="C68" s="66"/>
      <c r="D68" s="13"/>
      <c r="E68" s="13"/>
      <c r="F68" s="13"/>
      <c r="G68" s="14">
        <v>3077.32</v>
      </c>
      <c r="H68" s="15">
        <v>3.4700000000000002E-2</v>
      </c>
      <c r="I68" s="16"/>
      <c r="J68" s="16"/>
      <c r="K68" s="1"/>
    </row>
    <row r="69" spans="1:11" ht="13.05" customHeight="1">
      <c r="A69" s="1"/>
      <c r="B69" s="66" t="s">
        <v>163</v>
      </c>
      <c r="C69" s="66"/>
      <c r="D69" s="17"/>
      <c r="E69" s="13"/>
      <c r="F69" s="17"/>
      <c r="G69" s="14">
        <v>3077.32</v>
      </c>
      <c r="H69" s="15">
        <v>3.4700000000000002E-2</v>
      </c>
      <c r="I69" s="16"/>
      <c r="J69" s="16"/>
      <c r="K69" s="1"/>
    </row>
    <row r="70" spans="1:11" ht="13.05" customHeight="1">
      <c r="A70" s="1"/>
      <c r="B70" s="66" t="s">
        <v>181</v>
      </c>
      <c r="C70" s="66"/>
      <c r="D70" s="6"/>
      <c r="E70" s="13"/>
      <c r="F70" s="6"/>
      <c r="G70" s="19">
        <v>-1514.53</v>
      </c>
      <c r="H70" s="15">
        <v>-1.7399999999999999E-2</v>
      </c>
      <c r="I70" s="16"/>
      <c r="J70" s="16"/>
      <c r="K70" s="1"/>
    </row>
    <row r="71" spans="1:11" ht="13.05" customHeight="1" thickBot="1">
      <c r="A71" s="1"/>
      <c r="B71" s="67" t="s">
        <v>182</v>
      </c>
      <c r="C71" s="67"/>
      <c r="D71" s="20"/>
      <c r="E71" s="20"/>
      <c r="F71" s="20"/>
      <c r="G71" s="21">
        <v>88632.47</v>
      </c>
      <c r="H71" s="22">
        <v>1</v>
      </c>
      <c r="I71" s="23"/>
      <c r="J71" s="23"/>
      <c r="K71" s="1"/>
    </row>
    <row r="72" spans="1:11" ht="13.05" customHeight="1">
      <c r="A72" s="1"/>
      <c r="B72" s="68"/>
      <c r="C72" s="68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64"/>
      <c r="C73" s="64"/>
      <c r="D73" s="64"/>
      <c r="E73" s="64"/>
      <c r="F73" s="64"/>
      <c r="G73" s="64"/>
      <c r="H73" s="64"/>
      <c r="I73" s="64"/>
      <c r="J73" s="1"/>
      <c r="K73" s="1"/>
    </row>
    <row r="74" spans="1:11" ht="13.05" customHeight="1">
      <c r="A74" s="1"/>
      <c r="B74" s="64"/>
      <c r="C74" s="64"/>
      <c r="D74" s="64"/>
      <c r="E74" s="64"/>
      <c r="F74" s="64"/>
      <c r="G74" s="64"/>
      <c r="H74" s="64"/>
      <c r="I74" s="64"/>
      <c r="J74" s="1"/>
      <c r="K74" s="1"/>
    </row>
    <row r="75" spans="1:11" ht="13.05" customHeight="1">
      <c r="A75" s="1"/>
      <c r="B75" s="64" t="s">
        <v>168</v>
      </c>
      <c r="C75" s="64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64" t="s">
        <v>183</v>
      </c>
      <c r="C76" s="64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64" t="s">
        <v>184</v>
      </c>
      <c r="C77" s="64"/>
      <c r="D77" s="1"/>
      <c r="E77" s="1"/>
      <c r="F77" s="1"/>
      <c r="G77" s="1"/>
      <c r="H77" s="1"/>
      <c r="I77" s="1"/>
      <c r="J77" s="1"/>
      <c r="K77" s="1"/>
    </row>
    <row r="78" spans="1:11" ht="26.25" customHeight="1">
      <c r="A78" s="1"/>
      <c r="B78" s="64" t="s">
        <v>185</v>
      </c>
      <c r="C78" s="64"/>
      <c r="D78" s="64"/>
      <c r="E78" s="64"/>
      <c r="F78" s="64"/>
      <c r="G78" s="64"/>
      <c r="H78" s="64"/>
      <c r="I78" s="64"/>
      <c r="J78" s="1"/>
      <c r="K78" s="1"/>
    </row>
    <row r="79" spans="1:11" ht="13.05" customHeight="1">
      <c r="A79" s="1"/>
      <c r="B79" s="24" t="s">
        <v>186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 ht="40.049999999999997" customHeight="1">
      <c r="A80" s="1"/>
      <c r="B80" s="56" t="s">
        <v>187</v>
      </c>
      <c r="C80" s="56"/>
      <c r="D80" s="25" t="s">
        <v>3</v>
      </c>
      <c r="E80" s="25" t="s">
        <v>188</v>
      </c>
      <c r="F80" s="25" t="s">
        <v>189</v>
      </c>
      <c r="G80" s="25" t="s">
        <v>190</v>
      </c>
      <c r="H80" s="25" t="s">
        <v>191</v>
      </c>
      <c r="I80" s="1"/>
      <c r="J80" s="1"/>
      <c r="K80" s="1"/>
    </row>
    <row r="81" spans="1:11" ht="13.05" customHeight="1">
      <c r="A81" s="1"/>
      <c r="B81" s="57" t="s">
        <v>192</v>
      </c>
      <c r="C81" s="57"/>
      <c r="D81" s="13" t="s">
        <v>193</v>
      </c>
      <c r="E81" s="13" t="s">
        <v>194</v>
      </c>
      <c r="F81" s="26">
        <v>39375</v>
      </c>
      <c r="G81" s="27">
        <v>1175.1075000000001</v>
      </c>
      <c r="H81" s="28">
        <v>1.3299999999999999E-2</v>
      </c>
      <c r="I81" s="1"/>
      <c r="J81" s="1"/>
      <c r="K81" s="1"/>
    </row>
    <row r="85" spans="1:11">
      <c r="B85" s="29" t="s">
        <v>195</v>
      </c>
      <c r="C85" s="30"/>
      <c r="D85" s="30"/>
      <c r="E85" s="31"/>
    </row>
    <row r="86" spans="1:11">
      <c r="B86" s="30" t="s">
        <v>196</v>
      </c>
      <c r="C86" s="30"/>
      <c r="D86" s="30"/>
      <c r="E86" s="31"/>
    </row>
    <row r="87" spans="1:11">
      <c r="B87" s="32" t="s">
        <v>197</v>
      </c>
      <c r="C87" s="30"/>
      <c r="D87" s="30"/>
      <c r="E87" s="31"/>
    </row>
    <row r="88" spans="1:11">
      <c r="B88" s="30" t="s">
        <v>198</v>
      </c>
      <c r="C88" s="30"/>
      <c r="D88" s="30"/>
      <c r="E88" s="31"/>
    </row>
    <row r="89" spans="1:11">
      <c r="B89" s="30" t="s">
        <v>199</v>
      </c>
      <c r="C89" s="30"/>
      <c r="D89" s="30"/>
      <c r="E89" s="31"/>
    </row>
    <row r="90" spans="1:11">
      <c r="B90" s="30" t="s">
        <v>200</v>
      </c>
      <c r="C90" s="33"/>
      <c r="D90" s="33"/>
      <c r="E90" s="33"/>
    </row>
    <row r="91" spans="1:11">
      <c r="B91" s="30" t="s">
        <v>201</v>
      </c>
      <c r="C91" s="30"/>
      <c r="D91" s="30"/>
      <c r="E91" s="31"/>
    </row>
    <row r="92" spans="1:11">
      <c r="B92" s="30" t="s">
        <v>202</v>
      </c>
      <c r="C92" s="30"/>
      <c r="D92" s="30"/>
      <c r="E92" s="31"/>
    </row>
    <row r="93" spans="1:11">
      <c r="B93" s="30" t="s">
        <v>203</v>
      </c>
      <c r="C93" s="30"/>
      <c r="D93" s="30"/>
      <c r="E93" s="31"/>
    </row>
    <row r="94" spans="1:11">
      <c r="B94" s="30" t="s">
        <v>204</v>
      </c>
      <c r="C94" s="30"/>
      <c r="D94" s="30"/>
      <c r="E94" s="31"/>
    </row>
    <row r="95" spans="1:11">
      <c r="B95" s="29" t="s">
        <v>205</v>
      </c>
      <c r="C95" s="29"/>
      <c r="D95" s="29" t="s">
        <v>206</v>
      </c>
      <c r="E95" s="29" t="s">
        <v>207</v>
      </c>
    </row>
    <row r="96" spans="1:11">
      <c r="B96" s="30" t="s">
        <v>208</v>
      </c>
      <c r="C96" s="30"/>
      <c r="D96" s="34">
        <v>10.6487</v>
      </c>
      <c r="E96" s="34">
        <v>10.8872</v>
      </c>
    </row>
    <row r="97" spans="2:5">
      <c r="B97" s="30" t="s">
        <v>209</v>
      </c>
      <c r="C97" s="30"/>
      <c r="D97" s="34">
        <v>10.6487</v>
      </c>
      <c r="E97" s="34">
        <v>10.8872</v>
      </c>
    </row>
    <row r="98" spans="2:5">
      <c r="B98" s="30" t="s">
        <v>210</v>
      </c>
      <c r="C98" s="30"/>
      <c r="D98" s="34">
        <v>10.929</v>
      </c>
      <c r="E98" s="34">
        <v>11.1839</v>
      </c>
    </row>
    <row r="99" spans="2:5">
      <c r="B99" s="30" t="s">
        <v>211</v>
      </c>
      <c r="C99" s="30"/>
      <c r="D99" s="34">
        <v>10.929</v>
      </c>
      <c r="E99" s="34">
        <v>11.1839</v>
      </c>
    </row>
    <row r="100" spans="2:5">
      <c r="B100" s="30"/>
      <c r="C100" s="30"/>
      <c r="D100" s="30"/>
      <c r="E100" s="31"/>
    </row>
    <row r="101" spans="2:5">
      <c r="B101" s="30" t="s">
        <v>212</v>
      </c>
      <c r="C101" s="30"/>
      <c r="D101" s="30"/>
      <c r="E101" s="31"/>
    </row>
    <row r="102" spans="2:5">
      <c r="B102" t="s">
        <v>213</v>
      </c>
      <c r="C102" s="30"/>
      <c r="D102" s="30"/>
      <c r="E102" s="31"/>
    </row>
    <row r="103" spans="2:5">
      <c r="B103" s="30" t="s">
        <v>214</v>
      </c>
      <c r="C103" s="30"/>
      <c r="D103" s="30"/>
      <c r="E103" s="31"/>
    </row>
    <row r="104" spans="2:5">
      <c r="B104" s="30" t="s">
        <v>215</v>
      </c>
      <c r="C104" s="30"/>
      <c r="D104" s="30"/>
      <c r="E104" s="31"/>
    </row>
    <row r="105" spans="2:5">
      <c r="B105" s="30" t="s">
        <v>216</v>
      </c>
      <c r="C105" s="30"/>
      <c r="D105" s="30"/>
      <c r="E105" s="31"/>
    </row>
    <row r="106" spans="2:5">
      <c r="B106" s="30" t="s">
        <v>217</v>
      </c>
      <c r="C106" s="30"/>
      <c r="D106" s="30"/>
      <c r="E106" s="31"/>
    </row>
    <row r="107" spans="2:5">
      <c r="B107" s="30" t="s">
        <v>218</v>
      </c>
      <c r="C107" s="30"/>
      <c r="D107" s="30"/>
      <c r="E107" s="31"/>
    </row>
    <row r="108" spans="2:5">
      <c r="B108" s="30" t="s">
        <v>219</v>
      </c>
      <c r="C108" s="30"/>
      <c r="D108" s="30"/>
      <c r="E108" s="31"/>
    </row>
    <row r="109" spans="2:5">
      <c r="B109" s="30" t="s">
        <v>220</v>
      </c>
      <c r="C109" s="30"/>
      <c r="D109" s="30"/>
      <c r="E109" s="31"/>
    </row>
    <row r="110" spans="2:5">
      <c r="B110" s="30" t="s">
        <v>221</v>
      </c>
      <c r="C110" s="30"/>
      <c r="D110" s="30"/>
      <c r="E110" s="31"/>
    </row>
    <row r="111" spans="2:5">
      <c r="B111" s="30" t="s">
        <v>222</v>
      </c>
      <c r="C111" s="30"/>
      <c r="D111" s="30"/>
      <c r="E111" s="31"/>
    </row>
    <row r="112" spans="2:5">
      <c r="B112" s="30" t="s">
        <v>223</v>
      </c>
      <c r="C112" s="30"/>
      <c r="D112" s="30"/>
      <c r="E112" s="31"/>
    </row>
    <row r="113" spans="1:54">
      <c r="B113" s="30" t="s">
        <v>224</v>
      </c>
      <c r="C113" s="30"/>
      <c r="D113" s="30"/>
      <c r="E113" s="31"/>
    </row>
    <row r="115" spans="1:54">
      <c r="A115" t="s">
        <v>225</v>
      </c>
      <c r="B115" s="35" t="s">
        <v>226</v>
      </c>
      <c r="C115" s="36"/>
      <c r="D115" s="37"/>
      <c r="E115" s="37"/>
      <c r="F115" s="37"/>
      <c r="G115" s="37"/>
      <c r="H115" s="38"/>
      <c r="I115" s="38"/>
      <c r="J115" s="39"/>
      <c r="K115" s="39"/>
      <c r="L115" s="3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40"/>
      <c r="AD115" s="40"/>
      <c r="AE115" s="40"/>
      <c r="AF115" s="40"/>
      <c r="AG115" s="40"/>
      <c r="AH115" s="40"/>
      <c r="AI115" s="41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1"/>
      <c r="AW115" s="40"/>
      <c r="AX115" s="41"/>
      <c r="AY115" s="40"/>
      <c r="AZ115" s="40"/>
      <c r="BA115" s="40"/>
      <c r="BB115" s="41"/>
    </row>
    <row r="116" spans="1:54">
      <c r="B116" s="37"/>
      <c r="C116" s="37"/>
      <c r="D116" s="37"/>
      <c r="E116" s="37"/>
      <c r="F116" s="37"/>
      <c r="G116" s="37"/>
      <c r="H116" s="42"/>
      <c r="I116" s="42"/>
      <c r="J116" s="42"/>
      <c r="K116" s="39"/>
      <c r="L116" s="3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40"/>
      <c r="AD116" s="40"/>
      <c r="AE116" s="40"/>
      <c r="AF116" s="40"/>
      <c r="AG116" s="40"/>
      <c r="AH116" s="40"/>
      <c r="AI116" s="41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1"/>
      <c r="AW116" s="40"/>
      <c r="AX116" s="41"/>
      <c r="AY116" s="40"/>
      <c r="AZ116" s="40"/>
      <c r="BA116" s="40"/>
      <c r="BB116" s="41"/>
    </row>
    <row r="117" spans="1:54" ht="43.2">
      <c r="B117" s="43" t="s">
        <v>227</v>
      </c>
      <c r="C117" s="43" t="s">
        <v>228</v>
      </c>
      <c r="D117" s="44" t="s">
        <v>229</v>
      </c>
      <c r="E117" s="43" t="s">
        <v>230</v>
      </c>
      <c r="F117" s="43" t="s">
        <v>231</v>
      </c>
      <c r="G117" s="43" t="s">
        <v>232</v>
      </c>
      <c r="H117" s="42"/>
      <c r="I117" s="42"/>
      <c r="J117" s="42"/>
      <c r="K117" s="39"/>
      <c r="L117" s="3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40"/>
      <c r="AD117" s="40"/>
      <c r="AE117" s="40"/>
      <c r="AF117" s="40"/>
      <c r="AG117" s="40"/>
      <c r="AH117" s="40"/>
      <c r="AI117" s="41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1"/>
      <c r="AW117" s="40"/>
      <c r="AX117" s="41"/>
      <c r="AY117" s="40"/>
      <c r="AZ117" s="40"/>
      <c r="BA117" s="40"/>
      <c r="BB117" s="41"/>
    </row>
    <row r="118" spans="1:54">
      <c r="B118" s="58" t="s">
        <v>233</v>
      </c>
      <c r="C118" s="59"/>
      <c r="D118" s="59"/>
      <c r="E118" s="59"/>
      <c r="F118" s="59"/>
      <c r="G118" s="60"/>
      <c r="H118" s="42"/>
      <c r="I118" s="42"/>
      <c r="J118" s="42"/>
      <c r="K118" s="39"/>
      <c r="L118" s="3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40"/>
      <c r="AD118" s="40"/>
      <c r="AE118" s="40"/>
      <c r="AF118" s="40"/>
      <c r="AG118" s="40"/>
      <c r="AH118" s="40"/>
      <c r="AI118" s="41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1"/>
      <c r="AW118" s="40"/>
      <c r="AX118" s="41"/>
      <c r="AY118" s="40"/>
      <c r="AZ118" s="40"/>
      <c r="BA118" s="40"/>
      <c r="BB118" s="41"/>
    </row>
    <row r="119" spans="1:54">
      <c r="H119" s="38"/>
      <c r="I119" s="38"/>
      <c r="J119" s="39"/>
      <c r="K119" s="39"/>
      <c r="L119" s="3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40"/>
      <c r="AD119" s="40"/>
      <c r="AE119" s="40"/>
      <c r="AF119" s="40"/>
      <c r="AG119" s="40"/>
      <c r="AH119" s="40"/>
      <c r="AI119" s="41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1"/>
      <c r="AW119" s="40"/>
      <c r="AX119" s="41"/>
      <c r="AY119" s="40"/>
      <c r="AZ119" s="40"/>
      <c r="BA119" s="40"/>
      <c r="BB119" s="41"/>
    </row>
    <row r="120" spans="1:54">
      <c r="B120" t="s">
        <v>234</v>
      </c>
      <c r="H120" s="38"/>
      <c r="I120" s="38"/>
      <c r="J120" s="39"/>
      <c r="K120" s="39"/>
      <c r="L120" s="3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40"/>
      <c r="AD120" s="40"/>
      <c r="AE120" s="40"/>
      <c r="AF120" s="40"/>
      <c r="AG120" s="40"/>
      <c r="AH120" s="40"/>
      <c r="AI120" s="41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1"/>
      <c r="AW120" s="40"/>
      <c r="AX120" s="41"/>
      <c r="AY120" s="40"/>
      <c r="AZ120" s="40"/>
      <c r="BA120" s="40"/>
      <c r="BB120" s="41"/>
    </row>
    <row r="121" spans="1:54">
      <c r="B121" t="s">
        <v>235</v>
      </c>
      <c r="H121" s="38"/>
      <c r="I121" s="38"/>
      <c r="J121" s="39"/>
      <c r="K121" s="39"/>
      <c r="L121" s="3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40"/>
      <c r="AD121" s="40"/>
      <c r="AE121" s="40"/>
      <c r="AF121" s="40"/>
      <c r="AG121" s="40"/>
      <c r="AH121" s="40"/>
      <c r="AI121" s="41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1"/>
      <c r="AW121" s="40"/>
      <c r="AX121" s="41"/>
      <c r="AY121" s="40"/>
      <c r="AZ121" s="40"/>
      <c r="BA121" s="40"/>
      <c r="BB121" s="41"/>
    </row>
    <row r="122" spans="1:54" ht="48">
      <c r="B122" s="45" t="s">
        <v>236</v>
      </c>
      <c r="C122" s="45" t="s">
        <v>237</v>
      </c>
      <c r="D122" s="45" t="s">
        <v>238</v>
      </c>
      <c r="E122" s="45" t="s">
        <v>239</v>
      </c>
      <c r="F122" s="45" t="s">
        <v>240</v>
      </c>
      <c r="H122" s="38"/>
      <c r="I122" s="38"/>
      <c r="J122" s="39"/>
      <c r="K122" s="39"/>
      <c r="L122" s="3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40"/>
      <c r="AD122" s="40"/>
      <c r="AE122" s="40"/>
      <c r="AF122" s="40"/>
      <c r="AG122" s="40"/>
      <c r="AH122" s="40"/>
      <c r="AI122" s="41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1"/>
      <c r="AW122" s="40"/>
      <c r="AX122" s="41"/>
      <c r="AY122" s="40"/>
      <c r="AZ122" s="40"/>
      <c r="BA122" s="40"/>
      <c r="BB122" s="41"/>
    </row>
    <row r="123" spans="1:54">
      <c r="B123" s="61" t="s">
        <v>233</v>
      </c>
      <c r="C123" s="62"/>
      <c r="D123" s="62"/>
      <c r="E123" s="62"/>
      <c r="F123" s="63"/>
      <c r="H123" s="46"/>
      <c r="I123" s="46"/>
      <c r="J123" s="39"/>
      <c r="K123" s="39"/>
      <c r="L123" s="3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40"/>
      <c r="AD123" s="40"/>
      <c r="AE123" s="40"/>
      <c r="AF123" s="40"/>
      <c r="AG123" s="40"/>
      <c r="AH123" s="40"/>
      <c r="AI123" s="41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1"/>
      <c r="AW123" s="40"/>
      <c r="AX123" s="41"/>
      <c r="AY123" s="40"/>
      <c r="AZ123" s="40"/>
      <c r="BA123" s="40"/>
      <c r="BB123" s="41"/>
    </row>
    <row r="124" spans="1:54">
      <c r="H124" s="38"/>
      <c r="I124" s="38"/>
      <c r="J124" s="39"/>
      <c r="K124" s="39"/>
      <c r="L124" s="3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40"/>
      <c r="AD124" s="40"/>
      <c r="AE124" s="40"/>
      <c r="AF124" s="40"/>
      <c r="AG124" s="40"/>
      <c r="AH124" s="40"/>
      <c r="AI124" s="41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1"/>
      <c r="AW124" s="40"/>
      <c r="AX124" s="41"/>
      <c r="AY124" s="40"/>
      <c r="AZ124" s="40"/>
      <c r="BA124" s="40"/>
      <c r="BB124" s="41"/>
    </row>
    <row r="125" spans="1:54">
      <c r="A125" t="s">
        <v>241</v>
      </c>
      <c r="B125" s="35" t="s">
        <v>242</v>
      </c>
      <c r="H125" s="38"/>
      <c r="I125" s="38"/>
      <c r="J125" s="39"/>
      <c r="K125" s="39"/>
      <c r="L125" s="3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40"/>
      <c r="AD125" s="40"/>
      <c r="AE125" s="40"/>
      <c r="AF125" s="40"/>
      <c r="AG125" s="40"/>
      <c r="AH125" s="40"/>
      <c r="AI125" s="41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1"/>
      <c r="AW125" s="40"/>
      <c r="AX125" s="41"/>
      <c r="AY125" s="40"/>
      <c r="AZ125" s="40"/>
      <c r="BA125" s="40"/>
      <c r="BB125" s="41"/>
    </row>
    <row r="126" spans="1:54" ht="43.2">
      <c r="B126" s="43" t="s">
        <v>227</v>
      </c>
      <c r="C126" s="43" t="s">
        <v>228</v>
      </c>
      <c r="D126" s="44" t="s">
        <v>229</v>
      </c>
      <c r="E126" s="43" t="s">
        <v>230</v>
      </c>
      <c r="F126" s="43" t="s">
        <v>231</v>
      </c>
      <c r="G126" s="43" t="s">
        <v>232</v>
      </c>
      <c r="H126" s="38"/>
      <c r="I126" s="38"/>
      <c r="J126" s="39"/>
      <c r="K126" s="39"/>
      <c r="L126" s="3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40"/>
      <c r="AD126" s="40"/>
      <c r="AE126" s="40"/>
      <c r="AF126" s="40"/>
      <c r="AG126" s="40"/>
      <c r="AH126" s="40"/>
      <c r="AI126" s="41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1"/>
      <c r="AW126" s="40"/>
      <c r="AX126" s="41"/>
      <c r="AY126" s="40"/>
      <c r="AZ126" s="40"/>
      <c r="BA126" s="40"/>
      <c r="BB126" s="41"/>
    </row>
    <row r="127" spans="1:54">
      <c r="B127" s="47" t="s">
        <v>243</v>
      </c>
      <c r="C127" s="47" t="s">
        <v>192</v>
      </c>
      <c r="D127" s="48">
        <v>63</v>
      </c>
      <c r="E127" s="49">
        <v>3385.846</v>
      </c>
      <c r="F127" s="49">
        <v>2984.4</v>
      </c>
      <c r="G127" s="50">
        <v>300.88</v>
      </c>
      <c r="H127" s="42"/>
      <c r="I127" s="42"/>
      <c r="J127" s="42"/>
      <c r="K127" s="39"/>
      <c r="L127" s="3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40"/>
      <c r="AD127" s="40"/>
      <c r="AE127" s="40"/>
      <c r="AF127" s="40"/>
      <c r="AG127" s="40"/>
      <c r="AH127" s="40"/>
      <c r="AI127" s="41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1"/>
      <c r="AW127" s="40"/>
      <c r="AX127" s="41"/>
      <c r="AY127" s="40"/>
      <c r="AZ127" s="40"/>
      <c r="BA127" s="40"/>
      <c r="BB127" s="41"/>
    </row>
    <row r="128" spans="1:54">
      <c r="D128" s="51"/>
      <c r="E128" s="52"/>
      <c r="F128" s="52"/>
      <c r="G128" s="53"/>
      <c r="H128" s="42"/>
      <c r="I128" s="42"/>
      <c r="J128" s="42"/>
      <c r="K128" s="39"/>
      <c r="L128" s="3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40"/>
      <c r="AD128" s="40"/>
      <c r="AE128" s="40"/>
      <c r="AF128" s="40"/>
      <c r="AG128" s="40"/>
      <c r="AH128" s="40"/>
      <c r="AI128" s="41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1"/>
      <c r="AW128" s="40"/>
      <c r="AX128" s="41"/>
      <c r="AY128" s="40"/>
      <c r="AZ128" s="40"/>
      <c r="BA128" s="40"/>
      <c r="BB128" s="41"/>
    </row>
    <row r="129" spans="1:6">
      <c r="B129" t="s">
        <v>244</v>
      </c>
    </row>
    <row r="130" spans="1:6">
      <c r="B130" t="s">
        <v>245</v>
      </c>
    </row>
    <row r="131" spans="1:6" ht="48">
      <c r="B131" s="45" t="s">
        <v>236</v>
      </c>
      <c r="C131" s="45" t="s">
        <v>237</v>
      </c>
      <c r="D131" s="45" t="s">
        <v>238</v>
      </c>
      <c r="E131" s="45" t="s">
        <v>239</v>
      </c>
      <c r="F131" s="45" t="s">
        <v>246</v>
      </c>
    </row>
    <row r="132" spans="1:6">
      <c r="B132" s="54">
        <v>0</v>
      </c>
      <c r="C132" s="54">
        <v>63</v>
      </c>
      <c r="D132" s="54">
        <v>0</v>
      </c>
      <c r="E132" s="54">
        <v>132603188</v>
      </c>
      <c r="F132" s="54">
        <v>22495064</v>
      </c>
    </row>
    <row r="134" spans="1:6">
      <c r="A134" t="s">
        <v>247</v>
      </c>
      <c r="B134" s="35" t="s">
        <v>248</v>
      </c>
    </row>
    <row r="135" spans="1:6">
      <c r="B135" t="s">
        <v>249</v>
      </c>
    </row>
    <row r="136" spans="1:6" ht="14.55" customHeight="1">
      <c r="B136" t="s">
        <v>250</v>
      </c>
      <c r="C136" s="55"/>
      <c r="D136" s="55"/>
      <c r="E136" s="55"/>
    </row>
    <row r="138" spans="1:6">
      <c r="A138" t="s">
        <v>251</v>
      </c>
      <c r="B138" s="35" t="s">
        <v>252</v>
      </c>
    </row>
    <row r="139" spans="1:6">
      <c r="B139" t="s">
        <v>253</v>
      </c>
    </row>
    <row r="140" spans="1:6">
      <c r="B140" t="s">
        <v>254</v>
      </c>
    </row>
    <row r="142" spans="1:6">
      <c r="A142" t="s">
        <v>255</v>
      </c>
      <c r="B142" s="35" t="s">
        <v>256</v>
      </c>
    </row>
    <row r="162" spans="2:2">
      <c r="B162" t="s">
        <v>257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81:C81"/>
    <mergeCell ref="B118:G118"/>
    <mergeCell ref="B123:F123"/>
    <mergeCell ref="B73:I73"/>
    <mergeCell ref="B74:I74"/>
    <mergeCell ref="B75:C75"/>
    <mergeCell ref="B76:C76"/>
    <mergeCell ref="B77:C77"/>
    <mergeCell ref="B78:I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2026-06-07T11:10:06Z</dcterms:created>
  <dcterms:modified xsi:type="dcterms:W3CDTF">2026-06-09T10:01:03Z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2026-06-07T11:10:06Z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80c539a2-f747-484e-97fb-1c5a95d5a927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