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1507EC90-AAA6-4DC9-88A1-10E59C013894}" xr6:coauthVersionLast="47" xr6:coauthVersionMax="47" xr10:uidLastSave="{67CA80E6-B4B2-4C70-B7C6-6A74E37A0771}"/>
  <bookViews>
    <workbookView xWindow="-108" yWindow="-108" windowWidth="23256" windowHeight="12576" xr2:uid="{ABD99528-52D0-499C-AAB7-DBD0EE5EFA08}"/>
  </bookViews>
  <sheets>
    <sheet name="SI" sheetId="1" r:id="rId1"/>
  </sheets>
  <externalReferences>
    <externalReference r:id="rId2"/>
  </externalReferences>
  <definedNames>
    <definedName name="XDO_?CLASS_3?16?">SI!$C$18:$C$30</definedName>
    <definedName name="XDO_?FINAL_ISIN?68?">SI!$D$20:$D$30</definedName>
    <definedName name="XDO_?FINAL_ISIN?69?">SI!$D$20:$D$43</definedName>
    <definedName name="XDO_?FINAL_ISIN?70?">SI!$D$20:$D$49</definedName>
    <definedName name="XDO_?FINAL_ISIN?71?">SI!$D$20:$D$54</definedName>
    <definedName name="XDO_?FINAL_ISIN?72?">SI!$D$20:$D$73</definedName>
    <definedName name="XDO_?FINAL_ISIN?73?">SI!$D$20:$D$77</definedName>
    <definedName name="XDO_?FINAL_MV?68?">SI!$G$20:$G$30</definedName>
    <definedName name="XDO_?FINAL_MV?69?">SI!$G$20:$G$43</definedName>
    <definedName name="XDO_?FINAL_MV?70?">SI!$G$20:$G$49</definedName>
    <definedName name="XDO_?FINAL_MV?71?">SI!$G$20:$G$54</definedName>
    <definedName name="XDO_?FINAL_MV?72?">SI!$G$20:$G$73</definedName>
    <definedName name="XDO_?FINAL_MV?73?">SI!$G$20:$G$77</definedName>
    <definedName name="XDO_?FINAL_NAME?68?">SI!$C$20:$C$30</definedName>
    <definedName name="XDO_?FINAL_NAME?69?">SI!$C$20:$C$43</definedName>
    <definedName name="XDO_?FINAL_NAME?70?">SI!$C$20:$C$49</definedName>
    <definedName name="XDO_?FINAL_NAME?71?">SI!$C$20:$C$54</definedName>
    <definedName name="XDO_?FINAL_NAME?72?">SI!$C$20:$C$73</definedName>
    <definedName name="XDO_?FINAL_NAME?73?">SI!$C$20:$C$77</definedName>
    <definedName name="XDO_?FINAL_PER_NET?68?">SI!$H$20:$H$30</definedName>
    <definedName name="XDO_?FINAL_PER_NET?69?">SI!$H$20:$H$43</definedName>
    <definedName name="XDO_?FINAL_PER_NET?70?">SI!$H$20:$H$49</definedName>
    <definedName name="XDO_?FINAL_PER_NET?71?">SI!$H$20:$H$54</definedName>
    <definedName name="XDO_?FINAL_PER_NET?72?">SI!$H$20:$H$73</definedName>
    <definedName name="XDO_?FINAL_PER_NET?73?">SI!$H$20:$H$77</definedName>
    <definedName name="XDO_?FINAL_QUANTITE?68?">SI!$F$20:$F$30</definedName>
    <definedName name="XDO_?FINAL_QUANTITE?69?">SI!$F$20:$F$43</definedName>
    <definedName name="XDO_?FINAL_QUANTITE?70?">SI!$F$20:$F$49</definedName>
    <definedName name="XDO_?FINAL_QUANTITE?71?">SI!$F$20:$F$54</definedName>
    <definedName name="XDO_?FINAL_QUANTITE?72?">SI!$F$20:$F$73</definedName>
    <definedName name="XDO_?FINAL_QUANTITE?73?">SI!$F$20:$F$77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SI!$C$2:$C$30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8?">SI!$B$20:$B$30</definedName>
    <definedName name="XDO_?NOVAL?69?">SI!$B$20:$B$43</definedName>
    <definedName name="XDO_?NOVAL?70?">SI!$B$20:$B$49</definedName>
    <definedName name="XDO_?NOVAL?71?">SI!$B$20:$B$54</definedName>
    <definedName name="XDO_?NOVAL?72?">SI!$B$20:$B$73</definedName>
    <definedName name="XDO_?NOVAL?73?">SI!$B$20:$B$77</definedName>
    <definedName name="XDO_?NPTF?16?">SI!$D$2:$D$30</definedName>
    <definedName name="XDO_?RATING?68?">SI!$E$20:$E$30</definedName>
    <definedName name="XDO_?RATING?69?">SI!$E$20:$E$43</definedName>
    <definedName name="XDO_?RATING?70?">SI!$E$20:$E$49</definedName>
    <definedName name="XDO_?RATING?71?">SI!$E$20:$E$54</definedName>
    <definedName name="XDO_?RATING?72?">SI!$E$20:$E$73</definedName>
    <definedName name="XDO_?RATING?73?">SI!$E$20:$E$77</definedName>
    <definedName name="XDO_?REMARKS?68?">SI!$K$20:$K$30</definedName>
    <definedName name="XDO_?REMARKS?69?">SI!$K$20:$K$43</definedName>
    <definedName name="XDO_?REMARKS?70?">SI!$K$20:$K$49</definedName>
    <definedName name="XDO_?REMARKS?71?">SI!$K$20:$K$54</definedName>
    <definedName name="XDO_?REMARKS?72?">SI!$K$20:$K$73</definedName>
    <definedName name="XDO_?REMARKS?73?">SI!$K$20:$K$77</definedName>
    <definedName name="XDO_?TITL?16?">SI!$A$18:$A$30</definedName>
    <definedName name="XDO_?YTM?68?">SI!$I$20:$I$30</definedName>
    <definedName name="XDO_?YTM?69?">SI!$I$20:$I$43</definedName>
    <definedName name="XDO_?YTM?70?">SI!$I$20:$I$49</definedName>
    <definedName name="XDO_?YTM?71?">SI!$I$20:$I$54</definedName>
    <definedName name="XDO_?YTM?72?">SI!$I$20:$I$73</definedName>
    <definedName name="XDO_?YTM?73?">SI!$I$20:$I$77</definedName>
    <definedName name="XDO_GROUP_?G_2?16?">SI!$2:$53</definedName>
    <definedName name="XDO_GROUP_?G_3?16?">SI!$8:$52</definedName>
    <definedName name="XDO_GROUP_?G_4?68?">SI!$B$10:$IV$20</definedName>
    <definedName name="XDO_GROUP_?G_4?69?">SI!$B$24:$IV$29</definedName>
    <definedName name="XDO_GROUP_?G_4?70?">SI!$B$33:$IV$35</definedName>
    <definedName name="XDO_GROUP_?G_4?71?">SI!$B$40:$IV$40</definedName>
    <definedName name="XDO_GROUP_?G_4?72?">SI!$B$45:$IV$45</definedName>
    <definedName name="XDO_GROUP_?G_4?73?">SI!$B$50:$IV$50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0" i="1" l="1"/>
</calcChain>
</file>

<file path=xl/sharedStrings.xml><?xml version="1.0" encoding="utf-8"?>
<sst xmlns="http://schemas.openxmlformats.org/spreadsheetml/2006/main" count="239" uniqueCount="181">
  <si>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</si>
  <si>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</si>
  <si>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</si>
  <si>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</si>
  <si>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</si>
  <si>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</si>
  <si>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</si>
  <si>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</si>
  <si>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</si>
  <si>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</si>
  <si>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</si>
  <si>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</si>
  <si>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</si>
  <si>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</si>
  <si>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</si>
  <si>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</si>
  <si>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</si>
  <si>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</si>
  <si>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</si>
  <si>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</si>
  <si>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</si>
  <si>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</si>
  <si>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702686</t>
  </si>
  <si>
    <t>4.50% Oil &amp; Natural Gas Corporation Ltd. 09-Feb-2024</t>
  </si>
  <si>
    <t>INE213A08040</t>
  </si>
  <si>
    <t>[ICRA]AAA</t>
  </si>
  <si>
    <t>N**</t>
  </si>
  <si>
    <t>703028</t>
  </si>
  <si>
    <t>6.25% Embassy Office Parks Reit 18-Oct-2024</t>
  </si>
  <si>
    <t>INE041007076</t>
  </si>
  <si>
    <t>CRISIL AAA</t>
  </si>
  <si>
    <t>702798</t>
  </si>
  <si>
    <t>5.74% REC Ltd. 20-Jun-2024</t>
  </si>
  <si>
    <t>INE020B08DR1</t>
  </si>
  <si>
    <t>702701</t>
  </si>
  <si>
    <t>5.44% National Bank for Agriculture and Rural Development 05-Feb-2024</t>
  </si>
  <si>
    <t>INE261F08CU8</t>
  </si>
  <si>
    <t>703450</t>
  </si>
  <si>
    <t>5.75% Bajaj Finance Ltd. 16-Feb-2024</t>
  </si>
  <si>
    <t>INE296A07RX9</t>
  </si>
  <si>
    <t>703515</t>
  </si>
  <si>
    <t>6.50% Torrent Power Ltd. 03-Mar-2025</t>
  </si>
  <si>
    <t>INE813H07135</t>
  </si>
  <si>
    <t>CRISIL AA+</t>
  </si>
  <si>
    <t>702738</t>
  </si>
  <si>
    <t>5.35% National Housing Bank 12-Feb-2024</t>
  </si>
  <si>
    <t>INE557F08FL1</t>
  </si>
  <si>
    <t>701251</t>
  </si>
  <si>
    <t>8.25% Indian Railway Finance Corporation Ltd. 28-Feb-2024</t>
  </si>
  <si>
    <t>INE053F07BB3</t>
  </si>
  <si>
    <t>703646</t>
  </si>
  <si>
    <t>6.20% Sundaram Home Finance Ltd. 04-Aug-2023</t>
  </si>
  <si>
    <t>INE667F07HU7</t>
  </si>
  <si>
    <t>703453</t>
  </si>
  <si>
    <t>6.87% Muthoot Finance Ltd. 27-Feb-2025</t>
  </si>
  <si>
    <t>INE414G07GA6</t>
  </si>
  <si>
    <t>700186</t>
  </si>
  <si>
    <t>11.00% Motilal Oswal Home Finance Ltd. 07-Aug-2026</t>
  </si>
  <si>
    <t>INE658R08123</t>
  </si>
  <si>
    <t>[ICRA]AA-</t>
  </si>
  <si>
    <t>Total</t>
  </si>
  <si>
    <t>b) Privately Placed/Unlisted</t>
  </si>
  <si>
    <t>c) Securitised Debt Instruments</t>
  </si>
  <si>
    <t>d) Central Government Securities</t>
  </si>
  <si>
    <t>900098</t>
  </si>
  <si>
    <t>7.32% Government of India 28-Jan-2024</t>
  </si>
  <si>
    <t>IN0020180488</t>
  </si>
  <si>
    <t>Sovereign</t>
  </si>
  <si>
    <t>900145</t>
  </si>
  <si>
    <t>5.22% Government of India 15-Jun-2025</t>
  </si>
  <si>
    <t>IN0020200112</t>
  </si>
  <si>
    <t>900157</t>
  </si>
  <si>
    <t>5.63% Government of India 12-Apr-2026</t>
  </si>
  <si>
    <t>IN0020210012</t>
  </si>
  <si>
    <t>900006</t>
  </si>
  <si>
    <t>8.40% Government of India 28-Jul-2024</t>
  </si>
  <si>
    <t>IN0020140045</t>
  </si>
  <si>
    <t>900013</t>
  </si>
  <si>
    <t>7.35% Government of India 22-Jun-2024</t>
  </si>
  <si>
    <t>IN0020090034</t>
  </si>
  <si>
    <t>900154</t>
  </si>
  <si>
    <t>5.53% Government of India 22-Sep-2033</t>
  </si>
  <si>
    <t>IN0020200120</t>
  </si>
  <si>
    <t>e) State Government Securities</t>
  </si>
  <si>
    <t>1901554</t>
  </si>
  <si>
    <t>7.37% State Government of Maharashtra 14-Sep-2026</t>
  </si>
  <si>
    <t>IN2220160062</t>
  </si>
  <si>
    <t>1900324</t>
  </si>
  <si>
    <t>8.21% State Government of Rajasthan 31-Mar-2025</t>
  </si>
  <si>
    <t>IN2920150447</t>
  </si>
  <si>
    <t>1901546</t>
  </si>
  <si>
    <t>6.86% State Government of Haryana 23-Nov-2026</t>
  </si>
  <si>
    <t>IN1620160235</t>
  </si>
  <si>
    <t>MONEY MARKET INSTRUMENTS</t>
  </si>
  <si>
    <t>a) Commercial Paper</t>
  </si>
  <si>
    <t>1008292</t>
  </si>
  <si>
    <t>Vedanta Ltd. 07-Mar-2023</t>
  </si>
  <si>
    <t>INE205A14WM9</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</si>
  <si>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</si>
  <si>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</si>
  <si>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</si>
  <si>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</si>
  <si>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</si>
  <si>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</si>
  <si>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</si>
  <si>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</si>
  <si>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</si>
  <si>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</si>
  <si>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</si>
  <si>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</si>
  <si>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</si>
  <si>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</si>
  <si>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</si>
  <si>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</si>
  <si>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</si>
  <si>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</si>
  <si>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</si>
  <si>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</si>
  <si>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</si>
  <si>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</si>
  <si>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</si>
  <si>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</si>
  <si>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</si>
  <si>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</si>
  <si>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</si>
  <si>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</si>
  <si>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</si>
  <si>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</si>
  <si>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</si>
  <si>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</si>
  <si>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</si>
  <si>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</si>
  <si>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</si>
  <si>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</si>
  <si>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</si>
  <si>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</si>
  <si>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</si>
  <si>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</si>
  <si>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</si>
  <si>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</si>
  <si>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</si>
  <si>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</si>
  <si>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683 Days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</si>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</sst>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sz val="10"/>
      <name val="Franklin Gothic Book"/>
      <family val="2"/>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2" fontId="3" fillId="0" borderId="0" xfId="0" applyNumberFormat="1" applyFont="1"/>
    <xf numFmtId="2" fontId="3" fillId="0" borderId="0" xfId="1" applyNumberFormat="1" applyFont="1"/>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5"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22" fillId="0" borderId="30" xfId="0" applyFont="1" applyBorder="1" applyAlignment="1">
      <alignment vertical="center" wrapText="1"/>
    </xf>
    <xf numFmtId="0" fontId="22" fillId="5" borderId="29" xfId="0" applyFont="1" applyFill="1" applyBorder="1" applyAlignment="1">
      <alignment horizontal="center" vertical="center" wrapText="1"/>
    </xf>
    <xf numFmtId="0" fontId="22" fillId="0" borderId="29" xfId="0" applyFont="1" applyBorder="1" applyAlignment="1">
      <alignment vertical="center" wrapText="1"/>
    </xf>
    <xf numFmtId="0" fontId="23" fillId="0" borderId="0" xfId="0" applyFont="1"/>
    <xf numFmtId="0" fontId="22" fillId="0" borderId="0" xfId="0" applyFont="1"/>
  </cellXfs>
  <cellStyles count="6">
    <cellStyle name="Comma" xfId="1" builtinId="3"/>
    <cellStyle name="Comma 2" xfId="5" xr:uid="{145AC5DC-CAB5-4912-A520-8D4DA52FD02A}"/>
    <cellStyle name="Hyperlink" xfId="2" builtinId="8"/>
    <cellStyle name="Normal" xfId="0" builtinId="0"/>
    <cellStyle name="Normal 2" xfId="4" xr:uid="{24700FA1-8DCD-4CD1-807D-0AA56C28ED69}"/>
    <cellStyle name="Style 1" xfId="3" xr:uid="{60DE00CE-A14D-434E-9B5D-0909F130DA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5</xdr:col>
      <xdr:colOff>504275</xdr:colOff>
      <xdr:row>152</xdr:row>
      <xdr:rowOff>73152</xdr:rowOff>
    </xdr:to>
    <xdr:pic>
      <xdr:nvPicPr>
        <xdr:cNvPr id="3" name="Picture 2">
          <a:extLst>
            <a:ext uri="{FF2B5EF4-FFF2-40B4-BE49-F238E27FC236}">
              <a16:creationId xmlns:a16="http://schemas.microsoft.com/office/drawing/2014/main" id="{A6D15961-0EE1-4BEB-813C-C32E641221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771600"/>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DD10-1E21-4B36-9E30-E8E74830D648}">
  <dimension ref="A1:IS163"/>
  <sheetViews>
    <sheetView showGridLines="0" tabSelected="1" zoomScale="85" zoomScaleNormal="85" workbookViewId="0">
      <pane ySplit="6" topLeftCell="A142" activePane="bottomLeft" state="frozen"/>
      <selection activeCell="L1" sqref="L1:L65536"/>
      <selection pane="bottomLeft" activeCell="C154" sqref="C154:F16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300</v>
      </c>
      <c r="G20" s="33">
        <v>2893.04</v>
      </c>
      <c r="H20" s="33">
        <v>9.42</v>
      </c>
      <c r="I20" s="34">
        <v>6.8949999999999996</v>
      </c>
      <c r="J20" s="35"/>
      <c r="K20" s="36" t="s">
        <v>26</v>
      </c>
    </row>
    <row r="21" spans="1:11" x14ac:dyDescent="0.3">
      <c r="B21" s="1" t="s">
        <v>27</v>
      </c>
      <c r="C21" s="21" t="s">
        <v>28</v>
      </c>
      <c r="D21" s="30" t="s">
        <v>29</v>
      </c>
      <c r="E21" s="31" t="s">
        <v>30</v>
      </c>
      <c r="F21" s="32">
        <v>250</v>
      </c>
      <c r="G21" s="33">
        <v>2426.92</v>
      </c>
      <c r="H21" s="33">
        <v>7.9</v>
      </c>
      <c r="I21" s="34">
        <v>7.8707000000000003</v>
      </c>
      <c r="J21" s="35"/>
      <c r="K21" s="36" t="s">
        <v>26</v>
      </c>
    </row>
    <row r="22" spans="1:11" x14ac:dyDescent="0.3">
      <c r="B22" s="1" t="s">
        <v>31</v>
      </c>
      <c r="C22" s="21" t="s">
        <v>32</v>
      </c>
      <c r="D22" s="30" t="s">
        <v>33</v>
      </c>
      <c r="E22" s="31" t="s">
        <v>30</v>
      </c>
      <c r="F22" s="32">
        <v>245</v>
      </c>
      <c r="G22" s="33">
        <v>2385.1999999999998</v>
      </c>
      <c r="H22" s="33">
        <v>7.76</v>
      </c>
      <c r="I22" s="34">
        <v>7.2249999999999996</v>
      </c>
      <c r="J22" s="35"/>
      <c r="K22" s="36" t="s">
        <v>26</v>
      </c>
    </row>
    <row r="23" spans="1:11" x14ac:dyDescent="0.3">
      <c r="B23" s="1" t="s">
        <v>34</v>
      </c>
      <c r="C23" s="21" t="s">
        <v>35</v>
      </c>
      <c r="D23" s="30" t="s">
        <v>36</v>
      </c>
      <c r="E23" s="31" t="s">
        <v>25</v>
      </c>
      <c r="F23" s="32">
        <v>230</v>
      </c>
      <c r="G23" s="33">
        <v>2246.0700000000002</v>
      </c>
      <c r="H23" s="33">
        <v>7.31</v>
      </c>
      <c r="I23" s="34">
        <v>7.0099</v>
      </c>
      <c r="J23" s="35"/>
      <c r="K23" s="36" t="s">
        <v>26</v>
      </c>
    </row>
    <row r="24" spans="1:11" x14ac:dyDescent="0.3">
      <c r="B24" s="1" t="s">
        <v>37</v>
      </c>
      <c r="C24" s="21" t="s">
        <v>38</v>
      </c>
      <c r="D24" s="30" t="s">
        <v>39</v>
      </c>
      <c r="E24" s="31" t="s">
        <v>30</v>
      </c>
      <c r="F24" s="32">
        <v>225</v>
      </c>
      <c r="G24" s="33">
        <v>2198.81</v>
      </c>
      <c r="H24" s="33">
        <v>7.16</v>
      </c>
      <c r="I24" s="34">
        <v>7.2491000000000003</v>
      </c>
      <c r="J24" s="35"/>
      <c r="K24" s="36"/>
    </row>
    <row r="25" spans="1:11" x14ac:dyDescent="0.3">
      <c r="B25" s="1" t="s">
        <v>40</v>
      </c>
      <c r="C25" s="21" t="s">
        <v>41</v>
      </c>
      <c r="D25" s="30" t="s">
        <v>42</v>
      </c>
      <c r="E25" s="31" t="s">
        <v>43</v>
      </c>
      <c r="F25" s="32">
        <v>200</v>
      </c>
      <c r="G25" s="33">
        <v>1932.86</v>
      </c>
      <c r="H25" s="33">
        <v>6.29</v>
      </c>
      <c r="I25" s="34">
        <v>7.92</v>
      </c>
      <c r="J25" s="35"/>
      <c r="K25" s="36" t="s">
        <v>26</v>
      </c>
    </row>
    <row r="26" spans="1:11" x14ac:dyDescent="0.3">
      <c r="B26" s="1" t="s">
        <v>44</v>
      </c>
      <c r="C26" s="21" t="s">
        <v>45</v>
      </c>
      <c r="D26" s="30" t="s">
        <v>46</v>
      </c>
      <c r="E26" s="31" t="s">
        <v>30</v>
      </c>
      <c r="F26" s="32">
        <v>155</v>
      </c>
      <c r="G26" s="33">
        <v>1513.46</v>
      </c>
      <c r="H26" s="33">
        <v>4.93</v>
      </c>
      <c r="I26" s="34">
        <v>6.91</v>
      </c>
      <c r="J26" s="35"/>
      <c r="K26" s="36" t="s">
        <v>26</v>
      </c>
    </row>
    <row r="27" spans="1:11" x14ac:dyDescent="0.3">
      <c r="B27" s="1" t="s">
        <v>47</v>
      </c>
      <c r="C27" s="21" t="s">
        <v>48</v>
      </c>
      <c r="D27" s="30" t="s">
        <v>49</v>
      </c>
      <c r="E27" s="31" t="s">
        <v>30</v>
      </c>
      <c r="F27" s="32">
        <v>100</v>
      </c>
      <c r="G27" s="33">
        <v>1020.4</v>
      </c>
      <c r="H27" s="33">
        <v>3.32</v>
      </c>
      <c r="I27" s="34">
        <v>6.91</v>
      </c>
      <c r="J27" s="35"/>
      <c r="K27" s="36" t="s">
        <v>26</v>
      </c>
    </row>
    <row r="28" spans="1:11" x14ac:dyDescent="0.3">
      <c r="B28" s="1" t="s">
        <v>50</v>
      </c>
      <c r="C28" s="21" t="s">
        <v>51</v>
      </c>
      <c r="D28" s="30" t="s">
        <v>52</v>
      </c>
      <c r="E28" s="31" t="s">
        <v>43</v>
      </c>
      <c r="F28" s="32">
        <v>100</v>
      </c>
      <c r="G28" s="33">
        <v>991.02</v>
      </c>
      <c r="H28" s="33">
        <v>3.23</v>
      </c>
      <c r="I28" s="34">
        <v>7.0650000000000004</v>
      </c>
      <c r="J28" s="35"/>
      <c r="K28" s="36" t="s">
        <v>26</v>
      </c>
    </row>
    <row r="29" spans="1:11" x14ac:dyDescent="0.3">
      <c r="B29" s="1" t="s">
        <v>53</v>
      </c>
      <c r="C29" s="21" t="s">
        <v>54</v>
      </c>
      <c r="D29" s="30" t="s">
        <v>55</v>
      </c>
      <c r="E29" s="31" t="s">
        <v>43</v>
      </c>
      <c r="F29" s="32">
        <v>40</v>
      </c>
      <c r="G29" s="33">
        <v>388.49</v>
      </c>
      <c r="H29" s="33">
        <v>1.26</v>
      </c>
      <c r="I29" s="34">
        <v>8.09</v>
      </c>
      <c r="J29" s="35"/>
      <c r="K29" s="36" t="s">
        <v>26</v>
      </c>
    </row>
    <row r="30" spans="1:11" x14ac:dyDescent="0.3">
      <c r="B30" s="1" t="s">
        <v>56</v>
      </c>
      <c r="C30" s="21" t="s">
        <v>57</v>
      </c>
      <c r="D30" s="30" t="s">
        <v>58</v>
      </c>
      <c r="E30" s="31" t="s">
        <v>59</v>
      </c>
      <c r="F30" s="32">
        <v>25</v>
      </c>
      <c r="G30" s="33">
        <v>253.75</v>
      </c>
      <c r="H30" s="33">
        <v>0.83</v>
      </c>
      <c r="I30" s="34">
        <v>10.5146</v>
      </c>
      <c r="J30" s="35"/>
      <c r="K30" s="36" t="s">
        <v>26</v>
      </c>
    </row>
    <row r="31" spans="1:11" x14ac:dyDescent="0.3">
      <c r="C31" s="29" t="s">
        <v>60</v>
      </c>
      <c r="D31" s="30"/>
      <c r="E31" s="31"/>
      <c r="F31" s="32"/>
      <c r="G31" s="40">
        <v>18250.02</v>
      </c>
      <c r="H31" s="40">
        <v>59.41</v>
      </c>
      <c r="I31" s="34"/>
      <c r="J31" s="35"/>
      <c r="K31" s="36"/>
    </row>
    <row r="32" spans="1:11" x14ac:dyDescent="0.3">
      <c r="C32" s="21"/>
      <c r="D32" s="30"/>
      <c r="E32" s="31"/>
      <c r="F32" s="32"/>
      <c r="G32" s="33"/>
      <c r="H32" s="33"/>
      <c r="I32" s="34"/>
      <c r="J32" s="35"/>
      <c r="K32" s="36"/>
    </row>
    <row r="33" spans="2:11" x14ac:dyDescent="0.3">
      <c r="C33" s="29" t="s">
        <v>61</v>
      </c>
      <c r="D33" s="30"/>
      <c r="E33" s="31"/>
      <c r="F33" s="32"/>
      <c r="G33" s="33" t="s">
        <v>16</v>
      </c>
      <c r="H33" s="33" t="s">
        <v>16</v>
      </c>
      <c r="I33" s="34"/>
      <c r="J33" s="35"/>
      <c r="K33" s="36"/>
    </row>
    <row r="34" spans="2:11" x14ac:dyDescent="0.3">
      <c r="C34" s="21"/>
      <c r="D34" s="30"/>
      <c r="E34" s="31"/>
      <c r="F34" s="32"/>
      <c r="G34" s="33"/>
      <c r="H34" s="33"/>
      <c r="I34" s="34"/>
      <c r="J34" s="35"/>
      <c r="K34" s="36"/>
    </row>
    <row r="35" spans="2:11" x14ac:dyDescent="0.3">
      <c r="C35" s="29" t="s">
        <v>62</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39" t="s">
        <v>63</v>
      </c>
      <c r="D37" s="30"/>
      <c r="E37" s="31"/>
      <c r="F37" s="32"/>
      <c r="G37" s="33"/>
      <c r="H37" s="33"/>
      <c r="I37" s="34"/>
      <c r="J37" s="35"/>
      <c r="K37" s="36"/>
    </row>
    <row r="38" spans="2:11" x14ac:dyDescent="0.3">
      <c r="B38" s="1" t="s">
        <v>64</v>
      </c>
      <c r="C38" s="21" t="s">
        <v>65</v>
      </c>
      <c r="D38" s="30" t="s">
        <v>66</v>
      </c>
      <c r="E38" s="31" t="s">
        <v>67</v>
      </c>
      <c r="F38" s="32">
        <v>5000000</v>
      </c>
      <c r="G38" s="33">
        <v>5057.03</v>
      </c>
      <c r="H38" s="33">
        <v>16.46</v>
      </c>
      <c r="I38" s="34">
        <v>6.5410000000000004</v>
      </c>
      <c r="J38" s="35"/>
      <c r="K38" s="36"/>
    </row>
    <row r="39" spans="2:11" x14ac:dyDescent="0.3">
      <c r="B39" s="1" t="s">
        <v>68</v>
      </c>
      <c r="C39" s="21" t="s">
        <v>69</v>
      </c>
      <c r="D39" s="30" t="s">
        <v>70</v>
      </c>
      <c r="E39" s="31" t="s">
        <v>67</v>
      </c>
      <c r="F39" s="32">
        <v>1001000</v>
      </c>
      <c r="G39" s="33">
        <v>955.51</v>
      </c>
      <c r="H39" s="33">
        <v>3.11</v>
      </c>
      <c r="I39" s="34">
        <v>6.9459</v>
      </c>
      <c r="J39" s="35"/>
      <c r="K39" s="36"/>
    </row>
    <row r="40" spans="2:11" x14ac:dyDescent="0.3">
      <c r="B40" s="1" t="s">
        <v>71</v>
      </c>
      <c r="C40" s="21" t="s">
        <v>72</v>
      </c>
      <c r="D40" s="30" t="s">
        <v>73</v>
      </c>
      <c r="E40" s="31" t="s">
        <v>67</v>
      </c>
      <c r="F40" s="32">
        <v>1000000</v>
      </c>
      <c r="G40" s="33">
        <v>951.43</v>
      </c>
      <c r="H40" s="33">
        <v>3.1</v>
      </c>
      <c r="I40" s="34">
        <v>7.1139999999999999</v>
      </c>
      <c r="J40" s="35"/>
      <c r="K40" s="36"/>
    </row>
    <row r="41" spans="2:11" x14ac:dyDescent="0.3">
      <c r="B41" s="1" t="s">
        <v>74</v>
      </c>
      <c r="C41" s="21" t="s">
        <v>75</v>
      </c>
      <c r="D41" s="30" t="s">
        <v>76</v>
      </c>
      <c r="E41" s="31" t="s">
        <v>67</v>
      </c>
      <c r="F41" s="32">
        <v>500000</v>
      </c>
      <c r="G41" s="33">
        <v>515.1</v>
      </c>
      <c r="H41" s="33">
        <v>1.68</v>
      </c>
      <c r="I41" s="34">
        <v>6.8103999999999996</v>
      </c>
      <c r="J41" s="35"/>
      <c r="K41" s="36"/>
    </row>
    <row r="42" spans="2:11" x14ac:dyDescent="0.3">
      <c r="B42" s="1" t="s">
        <v>77</v>
      </c>
      <c r="C42" s="21" t="s">
        <v>78</v>
      </c>
      <c r="D42" s="30" t="s">
        <v>79</v>
      </c>
      <c r="E42" s="31" t="s">
        <v>67</v>
      </c>
      <c r="F42" s="32">
        <v>500000</v>
      </c>
      <c r="G42" s="33">
        <v>505.86</v>
      </c>
      <c r="H42" s="33">
        <v>1.65</v>
      </c>
      <c r="I42" s="34">
        <v>6.7045000000000003</v>
      </c>
      <c r="J42" s="35"/>
      <c r="K42" s="36"/>
    </row>
    <row r="43" spans="2:11" x14ac:dyDescent="0.3">
      <c r="B43" s="1" t="s">
        <v>80</v>
      </c>
      <c r="C43" s="21" t="s">
        <v>81</v>
      </c>
      <c r="D43" s="30" t="s">
        <v>82</v>
      </c>
      <c r="E43" s="31" t="s">
        <v>67</v>
      </c>
      <c r="F43" s="32">
        <v>350000</v>
      </c>
      <c r="G43" s="33">
        <v>341.6</v>
      </c>
      <c r="H43" s="33">
        <v>1.1100000000000001</v>
      </c>
      <c r="I43" s="34">
        <v>0</v>
      </c>
      <c r="J43" s="35"/>
      <c r="K43" s="36"/>
    </row>
    <row r="44" spans="2:11" x14ac:dyDescent="0.3">
      <c r="C44" s="29" t="s">
        <v>60</v>
      </c>
      <c r="D44" s="30"/>
      <c r="E44" s="31"/>
      <c r="F44" s="32"/>
      <c r="G44" s="40">
        <v>8326.5300000000007</v>
      </c>
      <c r="H44" s="40">
        <v>27.11</v>
      </c>
      <c r="I44" s="34"/>
      <c r="J44" s="35"/>
      <c r="K44" s="36"/>
    </row>
    <row r="45" spans="2:11" x14ac:dyDescent="0.3">
      <c r="C45" s="21"/>
      <c r="D45" s="30"/>
      <c r="E45" s="31"/>
      <c r="F45" s="32"/>
      <c r="G45" s="33"/>
      <c r="H45" s="33"/>
      <c r="I45" s="34"/>
      <c r="J45" s="35"/>
      <c r="K45" s="36"/>
    </row>
    <row r="46" spans="2:11" x14ac:dyDescent="0.3">
      <c r="C46" s="39" t="s">
        <v>83</v>
      </c>
      <c r="D46" s="30"/>
      <c r="E46" s="31"/>
      <c r="F46" s="32"/>
      <c r="G46" s="33"/>
      <c r="H46" s="33"/>
      <c r="I46" s="34"/>
      <c r="J46" s="35"/>
      <c r="K46" s="36"/>
    </row>
    <row r="47" spans="2:11" x14ac:dyDescent="0.3">
      <c r="B47" s="1" t="s">
        <v>84</v>
      </c>
      <c r="C47" s="21" t="s">
        <v>85</v>
      </c>
      <c r="D47" s="30" t="s">
        <v>86</v>
      </c>
      <c r="E47" s="31" t="s">
        <v>67</v>
      </c>
      <c r="F47" s="32">
        <v>200000</v>
      </c>
      <c r="G47" s="33">
        <v>199.61</v>
      </c>
      <c r="H47" s="33">
        <v>0.65</v>
      </c>
      <c r="I47" s="34">
        <v>7.4199000000000002</v>
      </c>
      <c r="J47" s="35"/>
      <c r="K47" s="36"/>
    </row>
    <row r="48" spans="2:11" x14ac:dyDescent="0.3">
      <c r="B48" s="1" t="s">
        <v>87</v>
      </c>
      <c r="C48" s="21" t="s">
        <v>88</v>
      </c>
      <c r="D48" s="30" t="s">
        <v>89</v>
      </c>
      <c r="E48" s="31" t="s">
        <v>67</v>
      </c>
      <c r="F48" s="32">
        <v>100000</v>
      </c>
      <c r="G48" s="33">
        <v>102.04</v>
      </c>
      <c r="H48" s="33">
        <v>0.33</v>
      </c>
      <c r="I48" s="34">
        <v>7.36965</v>
      </c>
      <c r="J48" s="35"/>
      <c r="K48" s="36"/>
    </row>
    <row r="49" spans="1:11" x14ac:dyDescent="0.3">
      <c r="B49" s="1" t="s">
        <v>90</v>
      </c>
      <c r="C49" s="21" t="s">
        <v>91</v>
      </c>
      <c r="D49" s="30" t="s">
        <v>92</v>
      </c>
      <c r="E49" s="31" t="s">
        <v>67</v>
      </c>
      <c r="F49" s="32">
        <v>100000</v>
      </c>
      <c r="G49" s="33">
        <v>97.8</v>
      </c>
      <c r="H49" s="33">
        <v>0.32</v>
      </c>
      <c r="I49" s="34">
        <v>7.4528999999999996</v>
      </c>
      <c r="J49" s="35"/>
      <c r="K49" s="36"/>
    </row>
    <row r="50" spans="1:11" x14ac:dyDescent="0.3">
      <c r="C50" s="29" t="s">
        <v>60</v>
      </c>
      <c r="D50" s="30"/>
      <c r="E50" s="31"/>
      <c r="F50" s="32"/>
      <c r="G50" s="40">
        <v>399.45</v>
      </c>
      <c r="H50" s="40">
        <v>1.3</v>
      </c>
      <c r="I50" s="34"/>
      <c r="J50" s="35"/>
      <c r="K50" s="36"/>
    </row>
    <row r="51" spans="1:11" x14ac:dyDescent="0.3">
      <c r="C51" s="21"/>
      <c r="D51" s="30"/>
      <c r="E51" s="31"/>
      <c r="F51" s="32"/>
      <c r="G51" s="33"/>
      <c r="H51" s="33"/>
      <c r="I51" s="34"/>
      <c r="J51" s="35"/>
      <c r="K51" s="36"/>
    </row>
    <row r="52" spans="1:11" x14ac:dyDescent="0.3">
      <c r="A52" s="37"/>
      <c r="B52" s="38"/>
      <c r="C52" s="29" t="s">
        <v>93</v>
      </c>
      <c r="D52" s="30"/>
      <c r="E52" s="31"/>
      <c r="F52" s="32"/>
      <c r="G52" s="33"/>
      <c r="H52" s="33"/>
      <c r="I52" s="34"/>
      <c r="J52" s="35"/>
      <c r="K52" s="36"/>
    </row>
    <row r="53" spans="1:11" x14ac:dyDescent="0.3">
      <c r="C53" s="39" t="s">
        <v>94</v>
      </c>
      <c r="D53" s="30"/>
      <c r="E53" s="31"/>
      <c r="F53" s="32"/>
      <c r="G53" s="33"/>
      <c r="H53" s="33"/>
      <c r="I53" s="34"/>
      <c r="J53" s="35"/>
      <c r="K53" s="36"/>
    </row>
    <row r="54" spans="1:11" x14ac:dyDescent="0.3">
      <c r="B54" s="1" t="s">
        <v>95</v>
      </c>
      <c r="C54" s="21" t="s">
        <v>96</v>
      </c>
      <c r="D54" s="30" t="s">
        <v>97</v>
      </c>
      <c r="E54" s="31" t="s">
        <v>98</v>
      </c>
      <c r="F54" s="32">
        <v>300</v>
      </c>
      <c r="G54" s="33">
        <v>1426.06</v>
      </c>
      <c r="H54" s="33">
        <v>4.6399999999999997</v>
      </c>
      <c r="I54" s="34">
        <v>7.6</v>
      </c>
      <c r="J54" s="35"/>
      <c r="K54" s="36" t="s">
        <v>26</v>
      </c>
    </row>
    <row r="55" spans="1:11" x14ac:dyDescent="0.3">
      <c r="C55" s="29" t="s">
        <v>60</v>
      </c>
      <c r="D55" s="30"/>
      <c r="E55" s="31"/>
      <c r="F55" s="32"/>
      <c r="G55" s="40">
        <v>1426.06</v>
      </c>
      <c r="H55" s="40">
        <v>4.6399999999999997</v>
      </c>
      <c r="I55" s="34"/>
      <c r="J55" s="35"/>
      <c r="K55" s="36"/>
    </row>
    <row r="56" spans="1:11" x14ac:dyDescent="0.3">
      <c r="C56" s="21"/>
      <c r="D56" s="30"/>
      <c r="E56" s="31"/>
      <c r="F56" s="32"/>
      <c r="G56" s="33"/>
      <c r="H56" s="33"/>
      <c r="I56" s="34"/>
      <c r="J56" s="35"/>
      <c r="K56" s="36"/>
    </row>
    <row r="57" spans="1:11" x14ac:dyDescent="0.3">
      <c r="C57" s="29" t="s">
        <v>99</v>
      </c>
      <c r="D57" s="30"/>
      <c r="E57" s="31"/>
      <c r="F57" s="32"/>
      <c r="G57" s="33" t="s">
        <v>16</v>
      </c>
      <c r="H57" s="33" t="s">
        <v>16</v>
      </c>
      <c r="I57" s="34"/>
      <c r="J57" s="35"/>
      <c r="K57" s="36"/>
    </row>
    <row r="58" spans="1:11" x14ac:dyDescent="0.3">
      <c r="C58" s="21"/>
      <c r="D58" s="30"/>
      <c r="E58" s="31"/>
      <c r="F58" s="32"/>
      <c r="G58" s="33"/>
      <c r="H58" s="33"/>
      <c r="I58" s="34"/>
      <c r="J58" s="35"/>
      <c r="K58" s="36"/>
    </row>
    <row r="59" spans="1:11" x14ac:dyDescent="0.3">
      <c r="C59" s="29" t="s">
        <v>100</v>
      </c>
      <c r="D59" s="30"/>
      <c r="E59" s="31"/>
      <c r="F59" s="32"/>
      <c r="G59" s="33" t="s">
        <v>16</v>
      </c>
      <c r="H59" s="33" t="s">
        <v>16</v>
      </c>
      <c r="I59" s="34"/>
      <c r="J59" s="35"/>
      <c r="K59" s="36"/>
    </row>
    <row r="60" spans="1:11" x14ac:dyDescent="0.3">
      <c r="C60" s="21"/>
      <c r="D60" s="30"/>
      <c r="E60" s="31"/>
      <c r="F60" s="32"/>
      <c r="G60" s="33"/>
      <c r="H60" s="33"/>
      <c r="I60" s="34"/>
      <c r="J60" s="35"/>
      <c r="K60" s="36"/>
    </row>
    <row r="61" spans="1:11" x14ac:dyDescent="0.3">
      <c r="C61" s="29" t="s">
        <v>101</v>
      </c>
      <c r="D61" s="30"/>
      <c r="E61" s="31"/>
      <c r="F61" s="32"/>
      <c r="G61" s="33" t="s">
        <v>16</v>
      </c>
      <c r="H61" s="33" t="s">
        <v>16</v>
      </c>
      <c r="I61" s="34"/>
      <c r="J61" s="35"/>
      <c r="K61" s="36"/>
    </row>
    <row r="62" spans="1:11" x14ac:dyDescent="0.3">
      <c r="C62" s="21"/>
      <c r="D62" s="30"/>
      <c r="E62" s="31"/>
      <c r="F62" s="32"/>
      <c r="G62" s="33"/>
      <c r="H62" s="33"/>
      <c r="I62" s="34"/>
      <c r="J62" s="35"/>
      <c r="K62" s="36"/>
    </row>
    <row r="63" spans="1:11" x14ac:dyDescent="0.3">
      <c r="A63" s="37"/>
      <c r="B63" s="38"/>
      <c r="C63" s="29" t="s">
        <v>102</v>
      </c>
      <c r="D63" s="30"/>
      <c r="E63" s="31"/>
      <c r="F63" s="32"/>
      <c r="G63" s="33"/>
      <c r="H63" s="33"/>
      <c r="I63" s="34"/>
      <c r="J63" s="35"/>
      <c r="K63" s="36"/>
    </row>
    <row r="64" spans="1:11" x14ac:dyDescent="0.3">
      <c r="A64" s="38"/>
      <c r="B64" s="38"/>
      <c r="C64" s="29" t="s">
        <v>103</v>
      </c>
      <c r="D64" s="30"/>
      <c r="E64" s="31"/>
      <c r="F64" s="32"/>
      <c r="G64" s="33" t="s">
        <v>16</v>
      </c>
      <c r="H64" s="33" t="s">
        <v>16</v>
      </c>
      <c r="I64" s="34"/>
      <c r="J64" s="35"/>
      <c r="K64" s="36"/>
    </row>
    <row r="65" spans="1:11" x14ac:dyDescent="0.3">
      <c r="A65" s="38"/>
      <c r="B65" s="38"/>
      <c r="C65" s="29"/>
      <c r="D65" s="30"/>
      <c r="E65" s="31"/>
      <c r="F65" s="32"/>
      <c r="G65" s="33"/>
      <c r="H65" s="33"/>
      <c r="I65" s="34"/>
      <c r="J65" s="35"/>
      <c r="K65" s="36"/>
    </row>
    <row r="66" spans="1:11" x14ac:dyDescent="0.3">
      <c r="A66" s="38"/>
      <c r="B66" s="38"/>
      <c r="C66" s="29" t="s">
        <v>104</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105</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106</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C72" s="39" t="s">
        <v>107</v>
      </c>
      <c r="D72" s="30"/>
      <c r="E72" s="31"/>
      <c r="F72" s="32"/>
      <c r="G72" s="33"/>
      <c r="H72" s="33"/>
      <c r="I72" s="34"/>
      <c r="J72" s="35"/>
      <c r="K72" s="36"/>
    </row>
    <row r="73" spans="1:11" x14ac:dyDescent="0.3">
      <c r="B73" s="1" t="s">
        <v>108</v>
      </c>
      <c r="C73" s="21" t="s">
        <v>109</v>
      </c>
      <c r="D73" s="30"/>
      <c r="E73" s="31"/>
      <c r="F73" s="32"/>
      <c r="G73" s="33">
        <v>2464.67</v>
      </c>
      <c r="H73" s="33">
        <v>8.02</v>
      </c>
      <c r="I73" s="34">
        <v>4.71</v>
      </c>
      <c r="J73" s="35"/>
      <c r="K73" s="36"/>
    </row>
    <row r="74" spans="1:11" x14ac:dyDescent="0.3">
      <c r="C74" s="29" t="s">
        <v>60</v>
      </c>
      <c r="D74" s="30"/>
      <c r="E74" s="31"/>
      <c r="F74" s="32"/>
      <c r="G74" s="40">
        <v>2464.67</v>
      </c>
      <c r="H74" s="40">
        <v>8.02</v>
      </c>
      <c r="I74" s="34"/>
      <c r="J74" s="35"/>
      <c r="K74" s="36"/>
    </row>
    <row r="75" spans="1:11" x14ac:dyDescent="0.3">
      <c r="C75" s="21"/>
      <c r="D75" s="30"/>
      <c r="E75" s="31"/>
      <c r="F75" s="32"/>
      <c r="G75" s="33"/>
      <c r="H75" s="33"/>
      <c r="I75" s="34"/>
      <c r="J75" s="35"/>
      <c r="K75" s="36"/>
    </row>
    <row r="76" spans="1:11" x14ac:dyDescent="0.3">
      <c r="A76" s="37"/>
      <c r="B76" s="38"/>
      <c r="C76" s="29" t="s">
        <v>110</v>
      </c>
      <c r="D76" s="30"/>
      <c r="E76" s="31"/>
      <c r="F76" s="32"/>
      <c r="G76" s="33"/>
      <c r="H76" s="33"/>
      <c r="I76" s="34"/>
      <c r="J76" s="35"/>
      <c r="K76" s="36"/>
    </row>
    <row r="77" spans="1:11" x14ac:dyDescent="0.3">
      <c r="B77" s="1"/>
      <c r="C77" s="21" t="s">
        <v>111</v>
      </c>
      <c r="D77" s="30"/>
      <c r="E77" s="31"/>
      <c r="F77" s="32"/>
      <c r="G77" s="33">
        <v>-140.46</v>
      </c>
      <c r="H77" s="33">
        <v>-0.48000000000000004</v>
      </c>
      <c r="I77" s="34"/>
      <c r="J77" s="35"/>
      <c r="K77" s="36"/>
    </row>
    <row r="78" spans="1:11" x14ac:dyDescent="0.3">
      <c r="C78" s="29" t="s">
        <v>60</v>
      </c>
      <c r="D78" s="30"/>
      <c r="E78" s="31"/>
      <c r="F78" s="32"/>
      <c r="G78" s="40">
        <v>-140.46</v>
      </c>
      <c r="H78" s="40">
        <v>-0.48000000000000004</v>
      </c>
      <c r="I78" s="34"/>
      <c r="J78" s="35"/>
      <c r="K78" s="36"/>
    </row>
    <row r="79" spans="1:11" x14ac:dyDescent="0.3">
      <c r="C79" s="21"/>
      <c r="D79" s="30"/>
      <c r="E79" s="31"/>
      <c r="F79" s="32"/>
      <c r="G79" s="33"/>
      <c r="H79" s="33"/>
      <c r="I79" s="34"/>
      <c r="J79" s="35"/>
      <c r="K79" s="36"/>
    </row>
    <row r="80" spans="1:11" ht="14.4" thickBot="1" x14ac:dyDescent="0.35">
      <c r="C80" s="41" t="s">
        <v>112</v>
      </c>
      <c r="D80" s="42"/>
      <c r="E80" s="43"/>
      <c r="F80" s="44"/>
      <c r="G80" s="45">
        <v>30726.27</v>
      </c>
      <c r="H80" s="45">
        <f>SUMIFS(H:H,C:C,"Total")</f>
        <v>99.999999999999986</v>
      </c>
      <c r="I80" s="46"/>
      <c r="J80" s="47"/>
      <c r="K80" s="48"/>
    </row>
    <row r="83" spans="2:54" x14ac:dyDescent="0.3">
      <c r="C83" s="11" t="s">
        <v>113</v>
      </c>
      <c r="E83" s="7"/>
      <c r="F83" s="8"/>
      <c r="I83" s="10"/>
      <c r="J83" s="2"/>
      <c r="K83" s="2"/>
      <c r="L83" s="2"/>
      <c r="T83" s="10"/>
      <c r="AG83" s="10"/>
      <c r="AM83" s="10"/>
      <c r="AV83" s="2"/>
      <c r="AX83" s="2"/>
      <c r="BB83" s="2"/>
    </row>
    <row r="84" spans="2:54" ht="13.5" customHeight="1" x14ac:dyDescent="0.3">
      <c r="C84" s="2" t="s">
        <v>114</v>
      </c>
      <c r="F84" s="2"/>
      <c r="G84" s="2"/>
      <c r="H84" s="2"/>
      <c r="I84" s="2"/>
      <c r="J84" s="2"/>
      <c r="L84" s="2"/>
      <c r="AB84" s="10"/>
      <c r="AI84" s="2"/>
      <c r="AO84" s="10"/>
      <c r="AQ84" s="10"/>
      <c r="AU84" s="10"/>
      <c r="AV84" s="2"/>
      <c r="AX84" s="2"/>
      <c r="BB84" s="2"/>
    </row>
    <row r="85" spans="2:54" ht="13.5" customHeight="1" x14ac:dyDescent="0.3">
      <c r="C85" s="49" t="s">
        <v>115</v>
      </c>
      <c r="D85" s="50"/>
      <c r="E85" s="50"/>
      <c r="F85" s="50"/>
      <c r="G85" s="50"/>
      <c r="H85" s="50"/>
      <c r="I85" s="50"/>
      <c r="J85" s="50"/>
      <c r="L85" s="2"/>
      <c r="AB85" s="10"/>
      <c r="AI85" s="2"/>
      <c r="AO85" s="10"/>
      <c r="AQ85" s="10"/>
      <c r="AU85" s="10"/>
      <c r="AV85" s="2"/>
      <c r="AX85" s="2"/>
      <c r="BB85" s="2"/>
    </row>
    <row r="86" spans="2:54" x14ac:dyDescent="0.3">
      <c r="C86" s="51" t="s">
        <v>116</v>
      </c>
      <c r="D86" s="51"/>
      <c r="E86" s="51"/>
      <c r="F86" s="52"/>
      <c r="G86" s="52"/>
      <c r="I86" s="10"/>
      <c r="J86" s="2"/>
      <c r="K86" s="2"/>
      <c r="L86" s="2"/>
      <c r="M86" s="10"/>
      <c r="Z86" s="10"/>
      <c r="AB86" s="10"/>
      <c r="AF86" s="10"/>
      <c r="AI86" s="2"/>
      <c r="AV86" s="2"/>
      <c r="AX86" s="2"/>
      <c r="BB86" s="2"/>
    </row>
    <row r="87" spans="2:54" x14ac:dyDescent="0.3">
      <c r="C87" s="51" t="s">
        <v>117</v>
      </c>
      <c r="D87" s="51"/>
      <c r="E87" s="51"/>
      <c r="F87" s="52"/>
      <c r="G87" s="52"/>
      <c r="I87" s="10"/>
      <c r="J87" s="2"/>
      <c r="K87" s="2"/>
      <c r="L87" s="2"/>
      <c r="M87" s="10"/>
      <c r="Z87" s="10"/>
      <c r="AB87" s="10"/>
      <c r="AF87" s="10"/>
      <c r="AI87" s="2"/>
      <c r="AV87" s="2"/>
      <c r="AX87" s="2"/>
      <c r="BB87" s="2"/>
    </row>
    <row r="88" spans="2:54" x14ac:dyDescent="0.3">
      <c r="C88" s="51" t="s">
        <v>118</v>
      </c>
      <c r="D88" s="51"/>
      <c r="E88" s="51"/>
      <c r="F88" s="52"/>
      <c r="G88" s="52"/>
      <c r="I88" s="10"/>
      <c r="J88" s="2"/>
      <c r="K88" s="2"/>
      <c r="L88" s="2"/>
      <c r="M88" s="10"/>
      <c r="Z88" s="10"/>
      <c r="AB88" s="10"/>
      <c r="AF88" s="10"/>
      <c r="AI88" s="2"/>
      <c r="AV88" s="2"/>
      <c r="AX88" s="2"/>
      <c r="BB88" s="2"/>
    </row>
    <row r="89" spans="2:54" x14ac:dyDescent="0.3">
      <c r="C89" s="51" t="s">
        <v>119</v>
      </c>
      <c r="D89" s="51"/>
      <c r="E89" s="51"/>
      <c r="F89" s="52"/>
      <c r="G89" s="52"/>
      <c r="I89" s="10"/>
      <c r="J89" s="2"/>
      <c r="K89" s="2"/>
      <c r="L89" s="2"/>
      <c r="M89" s="10"/>
      <c r="Z89" s="10"/>
      <c r="AB89" s="10"/>
      <c r="AF89" s="10"/>
      <c r="AI89" s="2"/>
      <c r="AV89" s="2"/>
      <c r="AX89" s="2"/>
      <c r="BB89" s="2"/>
    </row>
    <row r="90" spans="2:54" x14ac:dyDescent="0.3">
      <c r="C90" s="51" t="s">
        <v>120</v>
      </c>
      <c r="D90" s="51"/>
      <c r="E90" s="51"/>
      <c r="F90" s="52"/>
      <c r="G90" s="52"/>
      <c r="I90" s="10"/>
      <c r="J90" s="2"/>
      <c r="K90" s="2"/>
      <c r="L90" s="2"/>
      <c r="M90" s="10"/>
      <c r="Z90" s="10"/>
      <c r="AB90" s="10"/>
      <c r="AF90" s="10"/>
      <c r="AI90" s="2"/>
      <c r="AV90" s="2"/>
      <c r="AX90" s="2"/>
      <c r="BB90" s="2"/>
    </row>
    <row r="91" spans="2:54" x14ac:dyDescent="0.3">
      <c r="C91" s="51" t="s">
        <v>121</v>
      </c>
      <c r="D91" s="51"/>
      <c r="E91" s="51"/>
      <c r="F91" s="52"/>
      <c r="G91" s="52"/>
      <c r="I91" s="10"/>
      <c r="J91" s="2"/>
      <c r="K91" s="2"/>
      <c r="L91" s="2"/>
      <c r="M91" s="10"/>
      <c r="Z91" s="10"/>
      <c r="AB91" s="10"/>
      <c r="AF91" s="10"/>
      <c r="AI91" s="2"/>
      <c r="AV91" s="2"/>
      <c r="AX91" s="2"/>
      <c r="BB91" s="2"/>
    </row>
    <row r="92" spans="2:54" s="51" customFormat="1" x14ac:dyDescent="0.3">
      <c r="B92" s="53" t="s">
        <v>122</v>
      </c>
      <c r="C92" s="53" t="s">
        <v>122</v>
      </c>
      <c r="D92" s="53"/>
      <c r="E92" s="54" t="s">
        <v>123</v>
      </c>
      <c r="F92" s="54" t="s">
        <v>124</v>
      </c>
    </row>
    <row r="93" spans="2:54" x14ac:dyDescent="0.3">
      <c r="B93" s="2" t="s">
        <v>125</v>
      </c>
      <c r="C93" s="2" t="s">
        <v>126</v>
      </c>
      <c r="E93" s="55">
        <v>23.512699999999999</v>
      </c>
      <c r="F93" s="2">
        <v>23.565899999999999</v>
      </c>
      <c r="G93" s="2"/>
      <c r="H93" s="2"/>
      <c r="I93" s="2"/>
      <c r="J93" s="2"/>
      <c r="K93" s="2"/>
      <c r="L93" s="2"/>
      <c r="AI93" s="2"/>
      <c r="AV93" s="2"/>
      <c r="AX93" s="2"/>
      <c r="BB93" s="2"/>
    </row>
    <row r="94" spans="2:54" x14ac:dyDescent="0.3">
      <c r="B94" s="2" t="s">
        <v>127</v>
      </c>
      <c r="C94" s="2" t="s">
        <v>128</v>
      </c>
      <c r="E94" s="55">
        <v>9.923</v>
      </c>
      <c r="F94" s="2">
        <v>9.9453999999999994</v>
      </c>
      <c r="G94" s="2"/>
      <c r="H94" s="2"/>
      <c r="I94" s="2"/>
      <c r="J94" s="2"/>
      <c r="K94" s="2"/>
      <c r="L94" s="2"/>
      <c r="AI94" s="2"/>
      <c r="AV94" s="2"/>
      <c r="AX94" s="2"/>
      <c r="BB94" s="2"/>
    </row>
    <row r="95" spans="2:54" x14ac:dyDescent="0.3">
      <c r="B95" s="2" t="s">
        <v>129</v>
      </c>
      <c r="C95" s="2" t="s">
        <v>130</v>
      </c>
      <c r="E95" s="55">
        <v>10.5334</v>
      </c>
      <c r="F95" s="2">
        <v>10.427199999999999</v>
      </c>
      <c r="G95" s="2"/>
      <c r="H95" s="2"/>
      <c r="I95" s="2"/>
      <c r="J95" s="2"/>
      <c r="K95" s="2"/>
      <c r="L95" s="2"/>
      <c r="AI95" s="2"/>
      <c r="AV95" s="2"/>
      <c r="AX95" s="2"/>
      <c r="BB95" s="2"/>
    </row>
    <row r="96" spans="2:54" x14ac:dyDescent="0.3">
      <c r="B96" s="2" t="s">
        <v>131</v>
      </c>
      <c r="C96" s="2" t="s">
        <v>132</v>
      </c>
      <c r="E96" s="55">
        <v>24.995000000000001</v>
      </c>
      <c r="F96" s="2">
        <v>25.0654</v>
      </c>
      <c r="G96" s="2"/>
      <c r="H96" s="2"/>
      <c r="I96" s="2"/>
      <c r="J96" s="2"/>
      <c r="K96" s="2"/>
      <c r="L96" s="2"/>
      <c r="AI96" s="2"/>
      <c r="AV96" s="2"/>
      <c r="AX96" s="2"/>
      <c r="BB96" s="2"/>
    </row>
    <row r="97" spans="1:253" x14ac:dyDescent="0.3">
      <c r="B97" s="2" t="s">
        <v>133</v>
      </c>
      <c r="C97" s="2" t="s">
        <v>134</v>
      </c>
      <c r="E97" s="55">
        <v>9.9408999999999992</v>
      </c>
      <c r="F97" s="2">
        <v>9.9688999999999997</v>
      </c>
      <c r="G97" s="2"/>
      <c r="H97" s="2"/>
      <c r="I97" s="2"/>
      <c r="J97" s="2"/>
      <c r="K97" s="2"/>
      <c r="L97" s="2"/>
      <c r="AI97" s="2"/>
      <c r="AV97" s="2"/>
      <c r="AX97" s="2"/>
      <c r="BB97" s="2"/>
    </row>
    <row r="98" spans="1:253" x14ac:dyDescent="0.3">
      <c r="B98" s="2" t="s">
        <v>135</v>
      </c>
      <c r="C98" s="2" t="s">
        <v>136</v>
      </c>
      <c r="E98" s="55">
        <v>10.8797</v>
      </c>
      <c r="F98" s="2">
        <v>10.770300000000001</v>
      </c>
      <c r="G98" s="2"/>
      <c r="H98" s="2"/>
      <c r="I98" s="2"/>
      <c r="J98" s="2"/>
      <c r="K98" s="2"/>
      <c r="L98" s="2"/>
      <c r="AI98" s="2"/>
      <c r="AV98" s="2"/>
      <c r="AX98" s="2"/>
      <c r="BB98" s="2"/>
    </row>
    <row r="99" spans="1:253" x14ac:dyDescent="0.3">
      <c r="E99" s="55"/>
      <c r="F99" s="55"/>
      <c r="G99" s="2"/>
      <c r="H99" s="2"/>
      <c r="I99" s="2"/>
      <c r="J99" s="2"/>
      <c r="K99" s="2"/>
      <c r="L99" s="2"/>
      <c r="AI99" s="2"/>
      <c r="AV99" s="2"/>
      <c r="AX99" s="2"/>
      <c r="BB99" s="2"/>
    </row>
    <row r="100" spans="1:253" x14ac:dyDescent="0.3">
      <c r="C100" s="2" t="s">
        <v>137</v>
      </c>
      <c r="E100" s="11" t="s">
        <v>138</v>
      </c>
      <c r="F100" s="54" t="s">
        <v>139</v>
      </c>
      <c r="J100" s="10"/>
      <c r="L100" s="2"/>
      <c r="AC100" s="10"/>
      <c r="AI100" s="2"/>
      <c r="AP100" s="10"/>
      <c r="AR100" s="10"/>
      <c r="AX100" s="2"/>
      <c r="BB100" s="2"/>
    </row>
    <row r="101" spans="1:253" x14ac:dyDescent="0.3">
      <c r="C101" s="2" t="s">
        <v>130</v>
      </c>
      <c r="E101" s="56">
        <v>0.13</v>
      </c>
      <c r="F101" s="57">
        <v>0.13</v>
      </c>
      <c r="J101" s="10"/>
      <c r="L101" s="2"/>
      <c r="AC101" s="10"/>
      <c r="AI101" s="2"/>
      <c r="AP101" s="10"/>
      <c r="AR101" s="10"/>
      <c r="AX101" s="2"/>
      <c r="BB101" s="2"/>
    </row>
    <row r="102" spans="1:253" x14ac:dyDescent="0.3">
      <c r="C102" s="2" t="s">
        <v>136</v>
      </c>
      <c r="E102" s="56">
        <v>0.14000000000000001</v>
      </c>
      <c r="F102" s="57">
        <v>0.14000000000000001</v>
      </c>
      <c r="J102" s="10"/>
      <c r="L102" s="2"/>
      <c r="AC102" s="10"/>
      <c r="AI102" s="2"/>
      <c r="AP102" s="10"/>
      <c r="AR102" s="10"/>
      <c r="AX102" s="2"/>
      <c r="BB102" s="2"/>
    </row>
    <row r="103" spans="1:253" x14ac:dyDescent="0.3">
      <c r="F103" s="58"/>
      <c r="G103" s="58"/>
      <c r="H103" s="59"/>
      <c r="I103" s="10"/>
      <c r="J103" s="2"/>
      <c r="K103" s="2"/>
      <c r="L103" s="2"/>
      <c r="N103" s="10"/>
      <c r="AA103" s="10"/>
      <c r="AC103" s="10"/>
      <c r="AG103" s="10"/>
      <c r="AI103" s="2"/>
      <c r="AV103" s="2"/>
      <c r="AX103" s="2"/>
      <c r="BB103" s="2"/>
    </row>
    <row r="104" spans="1:253" x14ac:dyDescent="0.3">
      <c r="C104" s="2" t="s">
        <v>140</v>
      </c>
      <c r="J104" s="10"/>
      <c r="L104" s="2"/>
      <c r="AC104" s="10"/>
      <c r="AI104" s="2"/>
      <c r="AP104" s="10"/>
      <c r="AR104" s="10"/>
      <c r="AX104" s="2"/>
      <c r="BB104" s="2"/>
    </row>
    <row r="105" spans="1:253" x14ac:dyDescent="0.3">
      <c r="C105" s="2" t="s">
        <v>141</v>
      </c>
      <c r="F105" s="58"/>
      <c r="G105" s="52"/>
      <c r="I105" s="10"/>
      <c r="J105" s="2"/>
      <c r="K105" s="2"/>
      <c r="L105" s="2"/>
      <c r="M105" s="10"/>
      <c r="Z105" s="10"/>
      <c r="AB105" s="10"/>
      <c r="AF105" s="10"/>
      <c r="AI105" s="2"/>
      <c r="AV105" s="2"/>
      <c r="AX105" s="2"/>
      <c r="BB105" s="2"/>
    </row>
    <row r="106" spans="1:253" x14ac:dyDescent="0.3">
      <c r="C106" s="2" t="s">
        <v>142</v>
      </c>
      <c r="F106" s="58"/>
      <c r="G106" s="58"/>
      <c r="H106" s="59"/>
      <c r="I106" s="10"/>
      <c r="J106" s="2"/>
      <c r="K106" s="2"/>
      <c r="L106" s="2"/>
      <c r="M106" s="10"/>
      <c r="Z106" s="10"/>
      <c r="AB106" s="10"/>
      <c r="AF106" s="10"/>
      <c r="AI106" s="2"/>
      <c r="AV106" s="2"/>
      <c r="AX106" s="2"/>
      <c r="BB106" s="2"/>
    </row>
    <row r="107" spans="1:253" x14ac:dyDescent="0.3">
      <c r="C107" s="2" t="s">
        <v>143</v>
      </c>
      <c r="F107" s="58"/>
      <c r="G107" s="58"/>
      <c r="H107" s="59"/>
      <c r="I107" s="10"/>
      <c r="J107" s="2"/>
      <c r="K107" s="2"/>
      <c r="L107" s="2"/>
      <c r="M107" s="10"/>
      <c r="Z107" s="10"/>
      <c r="AB107" s="10"/>
      <c r="AF107" s="10"/>
      <c r="AI107" s="2"/>
      <c r="AV107" s="2"/>
      <c r="AX107" s="2"/>
      <c r="BB107" s="2"/>
    </row>
    <row r="108" spans="1:253" x14ac:dyDescent="0.3">
      <c r="C108" s="2" t="s">
        <v>144</v>
      </c>
      <c r="F108" s="58"/>
      <c r="G108" s="52"/>
      <c r="I108" s="10"/>
      <c r="J108" s="2"/>
      <c r="K108" s="2"/>
      <c r="L108" s="2"/>
      <c r="M108" s="10"/>
      <c r="Z108" s="10"/>
      <c r="AB108" s="10"/>
      <c r="AF108" s="10"/>
      <c r="AI108" s="2"/>
      <c r="AV108" s="2"/>
      <c r="AX108" s="2"/>
      <c r="BB108" s="2"/>
    </row>
    <row r="109" spans="1:253" x14ac:dyDescent="0.3">
      <c r="C109" s="2" t="s">
        <v>145</v>
      </c>
      <c r="F109" s="58"/>
      <c r="G109" s="52"/>
      <c r="I109" s="10"/>
      <c r="J109" s="2"/>
      <c r="K109" s="2"/>
      <c r="L109" s="2"/>
      <c r="M109" s="10"/>
      <c r="Z109" s="10"/>
      <c r="AB109" s="10"/>
      <c r="AF109" s="10"/>
      <c r="AI109" s="2"/>
      <c r="AV109" s="2"/>
      <c r="AX109" s="2"/>
      <c r="BB109" s="2"/>
    </row>
    <row r="110" spans="1:253" ht="14.4" x14ac:dyDescent="0.3">
      <c r="A110"/>
      <c r="B110"/>
      <c r="C110" s="2" t="s">
        <v>146</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ht="14.4" x14ac:dyDescent="0.3">
      <c r="A111"/>
      <c r="B111"/>
      <c r="C111" s="2" t="s">
        <v>147</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row>
    <row r="112" spans="1:253" ht="14.4" x14ac:dyDescent="0.3">
      <c r="A112"/>
      <c r="B112"/>
      <c r="C112" s="2" t="s">
        <v>148</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row>
    <row r="113" spans="1:253" ht="14.4" x14ac:dyDescent="0.3">
      <c r="A113"/>
      <c r="B113"/>
      <c r="C113" s="2" t="s">
        <v>149</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row>
    <row r="114" spans="1:253" ht="14.4" x14ac:dyDescent="0.3">
      <c r="A114"/>
      <c r="B114"/>
      <c r="C114" s="2" t="s">
        <v>150</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14.4" x14ac:dyDescent="0.3">
      <c r="A115"/>
      <c r="B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x14ac:dyDescent="0.3">
      <c r="C116" s="2" t="s">
        <v>151</v>
      </c>
      <c r="F116" s="58"/>
      <c r="G116" s="52"/>
      <c r="I116" s="10"/>
      <c r="J116" s="2"/>
      <c r="K116" s="2"/>
      <c r="L116" s="2"/>
      <c r="M116" s="10"/>
      <c r="Z116" s="10"/>
      <c r="AB116" s="10"/>
      <c r="AF116" s="10"/>
      <c r="AI116" s="2"/>
      <c r="AV116" s="2"/>
      <c r="AX116" s="2"/>
      <c r="BB116" s="2"/>
    </row>
    <row r="117" spans="1:253" ht="60.75" customHeight="1" x14ac:dyDescent="0.3">
      <c r="C117" s="68" t="s">
        <v>152</v>
      </c>
      <c r="D117" s="68"/>
      <c r="E117" s="68"/>
      <c r="F117" s="68"/>
      <c r="G117" s="68"/>
      <c r="H117" s="68"/>
      <c r="I117" s="68"/>
      <c r="J117" s="68"/>
      <c r="K117" s="68"/>
      <c r="L117" s="2"/>
      <c r="M117" s="10"/>
      <c r="Z117" s="10"/>
      <c r="AB117" s="10"/>
      <c r="AF117" s="10"/>
      <c r="AI117" s="2"/>
      <c r="AV117" s="2"/>
      <c r="AX117" s="2"/>
      <c r="BB117" s="2"/>
    </row>
    <row r="118" spans="1:253" ht="60" customHeight="1" x14ac:dyDescent="0.3">
      <c r="A118"/>
      <c r="B118"/>
      <c r="C118" s="69" t="s">
        <v>153</v>
      </c>
      <c r="D118" s="69"/>
      <c r="E118" s="69"/>
      <c r="F118" s="69"/>
      <c r="G118" s="69"/>
      <c r="H118" s="69"/>
      <c r="I118" s="69"/>
      <c r="J118" s="69"/>
      <c r="K118" s="69"/>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s="61" customFormat="1" ht="14.25" customHeight="1" thickBot="1" x14ac:dyDescent="0.35">
      <c r="A119"/>
      <c r="B119"/>
      <c r="C119" s="60"/>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s="61" customFormat="1" ht="53.25" customHeight="1" x14ac:dyDescent="0.3">
      <c r="A120"/>
      <c r="B120"/>
      <c r="C120" s="70" t="s">
        <v>154</v>
      </c>
      <c r="D120" s="70" t="s">
        <v>155</v>
      </c>
      <c r="E120" s="70" t="s">
        <v>156</v>
      </c>
      <c r="F120" s="62" t="s">
        <v>157</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row>
    <row r="121" spans="1:253" ht="28.2" thickBot="1" x14ac:dyDescent="0.35">
      <c r="A121"/>
      <c r="B121"/>
      <c r="C121" s="71"/>
      <c r="D121" s="71"/>
      <c r="E121" s="71"/>
      <c r="F121" s="63" t="s">
        <v>158</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row>
    <row r="122" spans="1:253" ht="15" thickBot="1" x14ac:dyDescent="0.35">
      <c r="A122"/>
      <c r="B122"/>
      <c r="C122" s="72">
        <v>1</v>
      </c>
      <c r="D122" s="74" t="s">
        <v>159</v>
      </c>
      <c r="E122" s="64" t="s">
        <v>160</v>
      </c>
      <c r="F122" s="64" t="s">
        <v>161</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row>
    <row r="123" spans="1:253" ht="15" thickBot="1" x14ac:dyDescent="0.35">
      <c r="A123"/>
      <c r="B123"/>
      <c r="C123" s="73"/>
      <c r="D123" s="75"/>
      <c r="E123" s="64" t="s">
        <v>162</v>
      </c>
      <c r="F123" s="64" t="s">
        <v>163</v>
      </c>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row>
    <row r="124" spans="1:253" ht="15" x14ac:dyDescent="0.3">
      <c r="A124"/>
      <c r="B124"/>
      <c r="C124" s="60"/>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row>
    <row r="125" spans="1:253" ht="14.4" x14ac:dyDescent="0.3">
      <c r="A125"/>
      <c r="B125"/>
      <c r="C125" s="65" t="s">
        <v>164</v>
      </c>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row>
    <row r="126" spans="1:253" x14ac:dyDescent="0.3">
      <c r="L126" s="2"/>
      <c r="AE126" s="10"/>
      <c r="AI126" s="2"/>
      <c r="AR126" s="10"/>
      <c r="AT126" s="10"/>
      <c r="AV126" s="2"/>
      <c r="BB126" s="2"/>
    </row>
    <row r="127" spans="1:253" ht="117" customHeight="1" x14ac:dyDescent="0.3">
      <c r="A127" s="61"/>
      <c r="B127" s="61"/>
      <c r="C127" s="67" t="s">
        <v>165</v>
      </c>
      <c r="D127" s="67"/>
      <c r="E127" s="67"/>
      <c r="F127" s="67"/>
      <c r="G127" s="67"/>
      <c r="H127" s="67"/>
      <c r="I127" s="67"/>
      <c r="J127" s="67"/>
      <c r="K127" s="67"/>
      <c r="L127" s="61"/>
      <c r="M127" s="61"/>
      <c r="N127" s="61"/>
      <c r="O127" s="61"/>
      <c r="P127" s="61"/>
      <c r="Q127" s="61"/>
      <c r="R127" s="61"/>
      <c r="S127" s="61"/>
      <c r="T127" s="61"/>
      <c r="U127" s="61"/>
      <c r="V127" s="61"/>
      <c r="W127" s="61"/>
      <c r="X127" s="61"/>
      <c r="Y127" s="61"/>
      <c r="Z127" s="61"/>
      <c r="AA127" s="66"/>
      <c r="AB127" s="61"/>
      <c r="AC127" s="61"/>
      <c r="AD127" s="61"/>
      <c r="AE127" s="61"/>
      <c r="AF127" s="61"/>
      <c r="AG127" s="61"/>
      <c r="AH127" s="61"/>
      <c r="AI127" s="61"/>
      <c r="AJ127" s="61"/>
      <c r="AK127" s="61"/>
      <c r="AL127" s="61"/>
      <c r="AM127" s="61"/>
      <c r="AN127" s="66"/>
      <c r="AO127" s="61"/>
      <c r="AP127" s="66"/>
      <c r="AQ127" s="61"/>
      <c r="AR127" s="61"/>
      <c r="AS127" s="61"/>
      <c r="AT127" s="66"/>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c r="HS127" s="61"/>
      <c r="HT127" s="61"/>
      <c r="HU127" s="61"/>
      <c r="HV127" s="61"/>
      <c r="HW127" s="61"/>
      <c r="HX127" s="61"/>
      <c r="HY127" s="61"/>
      <c r="HZ127" s="61"/>
      <c r="IA127" s="61"/>
      <c r="IB127" s="61"/>
      <c r="IC127" s="61"/>
      <c r="ID127" s="61"/>
      <c r="IE127" s="61"/>
      <c r="IF127" s="61"/>
      <c r="IG127" s="61"/>
      <c r="IH127" s="61"/>
      <c r="II127" s="61"/>
      <c r="IJ127" s="61"/>
      <c r="IK127" s="61"/>
      <c r="IL127" s="61"/>
      <c r="IM127" s="61"/>
      <c r="IN127" s="61"/>
      <c r="IO127" s="61"/>
      <c r="IP127" s="61"/>
      <c r="IQ127" s="61"/>
      <c r="IR127" s="61"/>
      <c r="IS127" s="61"/>
    </row>
    <row r="128" spans="1:253" ht="51" customHeight="1" x14ac:dyDescent="0.3">
      <c r="A128" s="61"/>
      <c r="B128" s="61"/>
      <c r="C128" s="67" t="s">
        <v>166</v>
      </c>
      <c r="D128" s="67"/>
      <c r="E128" s="67"/>
      <c r="F128" s="67"/>
      <c r="G128" s="67"/>
      <c r="H128" s="67"/>
      <c r="I128" s="67"/>
      <c r="J128" s="67"/>
      <c r="K128" s="67"/>
      <c r="L128" s="61"/>
      <c r="M128" s="61"/>
      <c r="N128" s="61"/>
      <c r="O128" s="61"/>
      <c r="P128" s="61"/>
      <c r="Q128" s="61"/>
      <c r="R128" s="61"/>
      <c r="S128" s="61"/>
      <c r="T128" s="61"/>
      <c r="U128" s="61"/>
      <c r="V128" s="61"/>
      <c r="W128" s="61"/>
      <c r="X128" s="61"/>
      <c r="Y128" s="61"/>
      <c r="Z128" s="61"/>
      <c r="AA128" s="66"/>
      <c r="AB128" s="61"/>
      <c r="AC128" s="61"/>
      <c r="AD128" s="61"/>
      <c r="AE128" s="61"/>
      <c r="AF128" s="61"/>
      <c r="AG128" s="61"/>
      <c r="AH128" s="61"/>
      <c r="AI128" s="61"/>
      <c r="AJ128" s="61"/>
      <c r="AK128" s="61"/>
      <c r="AL128" s="61"/>
      <c r="AM128" s="61"/>
      <c r="AN128" s="66"/>
      <c r="AO128" s="61"/>
      <c r="AP128" s="66"/>
      <c r="AQ128" s="61"/>
      <c r="AR128" s="61"/>
      <c r="AS128" s="61"/>
      <c r="AT128" s="66"/>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c r="HS128" s="61"/>
      <c r="HT128" s="61"/>
      <c r="HU128" s="61"/>
      <c r="HV128" s="61"/>
      <c r="HW128" s="61"/>
      <c r="HX128" s="61"/>
      <c r="HY128" s="61"/>
      <c r="HZ128" s="61"/>
      <c r="IA128" s="61"/>
      <c r="IB128" s="61"/>
      <c r="IC128" s="61"/>
      <c r="ID128" s="61"/>
      <c r="IE128" s="61"/>
      <c r="IF128" s="61"/>
      <c r="IG128" s="61"/>
      <c r="IH128" s="61"/>
      <c r="II128" s="61"/>
      <c r="IJ128" s="61"/>
      <c r="IK128" s="61"/>
      <c r="IL128" s="61"/>
      <c r="IM128" s="61"/>
      <c r="IN128" s="61"/>
      <c r="IO128" s="61"/>
      <c r="IP128" s="61"/>
      <c r="IQ128" s="61"/>
      <c r="IR128" s="61"/>
      <c r="IS128" s="61"/>
    </row>
    <row r="129" spans="12:54" x14ac:dyDescent="0.3">
      <c r="L129" s="2"/>
      <c r="AG129" s="10"/>
      <c r="AI129" s="2"/>
      <c r="AT129" s="10"/>
      <c r="AX129" s="2"/>
      <c r="AZ129" s="10"/>
      <c r="BB129" s="2"/>
    </row>
    <row r="130" spans="12:54" x14ac:dyDescent="0.3">
      <c r="L130" s="2"/>
      <c r="AG130" s="10"/>
      <c r="AI130" s="2"/>
      <c r="AT130" s="10"/>
      <c r="AX130" s="2"/>
      <c r="AZ130" s="10"/>
      <c r="BB130" s="2"/>
    </row>
    <row r="131" spans="12:54" x14ac:dyDescent="0.3">
      <c r="L131" s="2"/>
      <c r="AG131" s="10"/>
      <c r="AI131" s="2"/>
      <c r="AT131" s="10"/>
      <c r="AX131" s="2"/>
      <c r="AZ131" s="10"/>
      <c r="BB131" s="2"/>
    </row>
    <row r="132" spans="12:54" x14ac:dyDescent="0.3">
      <c r="L132" s="2"/>
      <c r="AG132" s="10"/>
      <c r="AI132" s="2"/>
      <c r="AT132" s="10"/>
      <c r="AX132" s="2"/>
      <c r="AZ132" s="10"/>
      <c r="BB132" s="2"/>
    </row>
    <row r="133" spans="12:54" x14ac:dyDescent="0.3">
      <c r="L133" s="2"/>
      <c r="AG133" s="10"/>
      <c r="AI133" s="2"/>
      <c r="AT133" s="10"/>
      <c r="AX133" s="2"/>
      <c r="AZ133" s="10"/>
      <c r="BB133" s="2"/>
    </row>
    <row r="134" spans="12:54" x14ac:dyDescent="0.3">
      <c r="L134" s="2"/>
      <c r="AH134" s="10"/>
      <c r="AI134" s="2"/>
      <c r="AU134" s="10"/>
      <c r="AV134" s="2"/>
      <c r="AW134" s="10"/>
      <c r="AX134" s="2"/>
      <c r="BA134" s="10"/>
      <c r="BB134" s="2"/>
    </row>
    <row r="135" spans="12:54" x14ac:dyDescent="0.3">
      <c r="L135" s="2"/>
      <c r="AH135" s="10"/>
      <c r="AI135" s="2"/>
      <c r="AU135" s="10"/>
      <c r="AV135" s="2"/>
      <c r="AW135" s="10"/>
      <c r="AX135" s="2"/>
      <c r="BA135" s="10"/>
      <c r="BB135" s="2"/>
    </row>
    <row r="136" spans="12:54" x14ac:dyDescent="0.3">
      <c r="L136" s="2"/>
      <c r="AH136" s="10"/>
      <c r="AI136" s="2"/>
      <c r="AU136" s="10"/>
      <c r="AV136" s="2"/>
      <c r="AW136" s="10"/>
      <c r="AX136" s="2"/>
      <c r="BA136" s="10"/>
      <c r="BB136" s="2"/>
    </row>
    <row r="137" spans="12:54" x14ac:dyDescent="0.3">
      <c r="L137" s="2"/>
      <c r="AH137" s="10"/>
      <c r="AI137" s="2"/>
      <c r="AU137" s="10"/>
      <c r="AV137" s="2"/>
      <c r="AW137" s="10"/>
      <c r="AX137" s="2"/>
      <c r="BA137" s="10"/>
      <c r="BB137" s="2"/>
    </row>
    <row r="138" spans="12:54" x14ac:dyDescent="0.3">
      <c r="L138" s="2"/>
      <c r="AH138" s="10"/>
      <c r="AI138" s="2"/>
      <c r="AU138" s="10"/>
      <c r="AV138" s="2"/>
      <c r="AW138" s="10"/>
      <c r="AX138" s="2"/>
      <c r="BA138" s="10"/>
      <c r="BB138" s="2"/>
    </row>
    <row r="139" spans="12:54" x14ac:dyDescent="0.3">
      <c r="L139" s="2"/>
      <c r="AH139" s="10"/>
      <c r="AI139" s="2"/>
      <c r="AU139" s="10"/>
      <c r="AV139" s="2"/>
      <c r="AW139" s="10"/>
      <c r="AX139" s="2"/>
      <c r="BA139" s="10"/>
      <c r="BB139" s="2"/>
    </row>
    <row r="153" spans="3:6" ht="14.4" thickBot="1" x14ac:dyDescent="0.35"/>
    <row r="154" spans="3:6" ht="15" thickBot="1" x14ac:dyDescent="0.35">
      <c r="C154" s="76" t="s">
        <v>167</v>
      </c>
      <c r="D154" s="77"/>
      <c r="E154" s="77"/>
      <c r="F154" s="78"/>
    </row>
    <row r="155" spans="3:6" ht="15" thickBot="1" x14ac:dyDescent="0.35">
      <c r="C155" s="79" t="s">
        <v>168</v>
      </c>
      <c r="D155" s="80" t="s">
        <v>169</v>
      </c>
      <c r="E155" s="80" t="s">
        <v>170</v>
      </c>
      <c r="F155" s="80" t="s">
        <v>171</v>
      </c>
    </row>
    <row r="156" spans="3:6" ht="15" thickBot="1" x14ac:dyDescent="0.35">
      <c r="C156" s="79" t="s">
        <v>172</v>
      </c>
      <c r="D156" s="81"/>
      <c r="E156" s="81"/>
      <c r="F156" s="81"/>
    </row>
    <row r="157" spans="3:6" ht="15" thickBot="1" x14ac:dyDescent="0.35">
      <c r="C157" s="82" t="s">
        <v>173</v>
      </c>
      <c r="D157" s="83"/>
      <c r="E157" s="84"/>
      <c r="F157" s="84"/>
    </row>
    <row r="158" spans="3:6" ht="14.4" x14ac:dyDescent="0.3">
      <c r="C158" s="85" t="s">
        <v>174</v>
      </c>
      <c r="E158" s="86" t="s">
        <v>175</v>
      </c>
      <c r="F158" s="87"/>
    </row>
    <row r="159" spans="3:6" ht="15" thickBot="1" x14ac:dyDescent="0.35">
      <c r="C159" s="82" t="s">
        <v>176</v>
      </c>
      <c r="E159" s="88"/>
      <c r="F159" s="89"/>
    </row>
    <row r="160" spans="3:6" ht="14.4" x14ac:dyDescent="0.3">
      <c r="C160" s="85" t="s">
        <v>177</v>
      </c>
      <c r="D160" s="87"/>
      <c r="E160" s="87"/>
      <c r="F160" s="87"/>
    </row>
    <row r="161" spans="3:6" ht="15" thickBot="1" x14ac:dyDescent="0.35">
      <c r="C161" s="82" t="s">
        <v>178</v>
      </c>
      <c r="D161" s="89"/>
      <c r="E161" s="89"/>
      <c r="F161" s="89"/>
    </row>
    <row r="162" spans="3:6" ht="14.4" x14ac:dyDescent="0.35">
      <c r="C162" s="90" t="s">
        <v>179</v>
      </c>
      <c r="D162" s="91"/>
      <c r="E162" s="91"/>
      <c r="F162" s="91"/>
    </row>
    <row r="163" spans="3:6" x14ac:dyDescent="0.3">
      <c r="C163" s="2" t="s">
        <v>180</v>
      </c>
    </row>
  </sheetData>
  <mergeCells count="18">
    <mergeCell ref="D160:D161"/>
    <mergeCell ref="E160:E161"/>
    <mergeCell ref="F160:F161"/>
    <mergeCell ref="C154:F154"/>
    <mergeCell ref="D155:D156"/>
    <mergeCell ref="E155:E156"/>
    <mergeCell ref="F155:F156"/>
    <mergeCell ref="E158:E159"/>
    <mergeCell ref="F158:F159"/>
    <mergeCell ref="C127:K127"/>
    <mergeCell ref="C128:K128"/>
    <mergeCell ref="C117:K117"/>
    <mergeCell ref="C118:K118"/>
    <mergeCell ref="C120:C121"/>
    <mergeCell ref="D120:D121"/>
    <mergeCell ref="E120:E121"/>
    <mergeCell ref="C122:C123"/>
    <mergeCell ref="D122:D123"/>
  </mergeCells>
  <hyperlinks>
    <hyperlink ref="C12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02324B2-99F6-4172-B5A1-7EECA9F26B3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XDO_?CLASS_3?16?</vt:lpstr>
      <vt:lpstr>XDO_?FINAL_ISIN?68?</vt:lpstr>
      <vt:lpstr>XDO_?FINAL_ISIN?69?</vt:lpstr>
      <vt:lpstr>XDO_?FINAL_ISIN?70?</vt:lpstr>
      <vt:lpstr>XDO_?FINAL_ISIN?71?</vt:lpstr>
      <vt:lpstr>XDO_?FINAL_ISIN?72?</vt:lpstr>
      <vt:lpstr>XDO_?FINAL_ISIN?73?</vt:lpstr>
      <vt:lpstr>XDO_?FINAL_MV?68?</vt:lpstr>
      <vt:lpstr>XDO_?FINAL_MV?69?</vt:lpstr>
      <vt:lpstr>XDO_?FINAL_MV?70?</vt:lpstr>
      <vt:lpstr>XDO_?FINAL_MV?71?</vt:lpstr>
      <vt:lpstr>XDO_?FINAL_MV?72?</vt:lpstr>
      <vt:lpstr>XDO_?FINAL_MV?73?</vt:lpstr>
      <vt:lpstr>XDO_?FINAL_NAME?68?</vt:lpstr>
      <vt:lpstr>XDO_?FINAL_NAME?69?</vt:lpstr>
      <vt:lpstr>XDO_?FINAL_NAME?70?</vt:lpstr>
      <vt:lpstr>XDO_?FINAL_NAME?71?</vt:lpstr>
      <vt:lpstr>XDO_?FINAL_NAME?72?</vt:lpstr>
      <vt:lpstr>XDO_?FINAL_NAME?73?</vt:lpstr>
      <vt:lpstr>XDO_?FINAL_PER_NET?68?</vt:lpstr>
      <vt:lpstr>XDO_?FINAL_PER_NET?69?</vt:lpstr>
      <vt:lpstr>XDO_?FINAL_PER_NET?70?</vt:lpstr>
      <vt:lpstr>XDO_?FINAL_PER_NET?71?</vt:lpstr>
      <vt:lpstr>XDO_?FINAL_PER_NET?72?</vt:lpstr>
      <vt:lpstr>XDO_?FINAL_PER_NET?73?</vt:lpstr>
      <vt:lpstr>XDO_?FINAL_QUANTITE?68?</vt:lpstr>
      <vt:lpstr>XDO_?FINAL_QUANTITE?69?</vt:lpstr>
      <vt:lpstr>XDO_?FINAL_QUANTITE?70?</vt:lpstr>
      <vt:lpstr>XDO_?FINAL_QUANTITE?71?</vt:lpstr>
      <vt:lpstr>XDO_?FINAL_QUANTITE?72?</vt:lpstr>
      <vt:lpstr>XDO_?FINAL_QUANTITE?73?</vt:lpstr>
      <vt:lpstr>XDO_?NAMCNAME?16?</vt:lpstr>
      <vt:lpstr>XDO_?NOVAL?68?</vt:lpstr>
      <vt:lpstr>XDO_?NOVAL?69?</vt:lpstr>
      <vt:lpstr>XDO_?NOVAL?70?</vt:lpstr>
      <vt:lpstr>XDO_?NOVAL?71?</vt:lpstr>
      <vt:lpstr>XDO_?NOVAL?72?</vt:lpstr>
      <vt:lpstr>XDO_?NOVAL?73?</vt:lpstr>
      <vt:lpstr>XDO_?NPTF?16?</vt:lpstr>
      <vt:lpstr>XDO_?RATING?68?</vt:lpstr>
      <vt:lpstr>XDO_?RATING?69?</vt:lpstr>
      <vt:lpstr>XDO_?RATING?70?</vt:lpstr>
      <vt:lpstr>XDO_?RATING?71?</vt:lpstr>
      <vt:lpstr>XDO_?RATING?72?</vt:lpstr>
      <vt:lpstr>XDO_?RATING?73?</vt:lpstr>
      <vt:lpstr>XDO_?REMARKS?68?</vt:lpstr>
      <vt:lpstr>XDO_?REMARKS?69?</vt:lpstr>
      <vt:lpstr>XDO_?REMARKS?70?</vt:lpstr>
      <vt:lpstr>XDO_?REMARKS?71?</vt:lpstr>
      <vt:lpstr>XDO_?REMARKS?72?</vt:lpstr>
      <vt:lpstr>XDO_?REMARKS?73?</vt:lpstr>
      <vt:lpstr>XDO_?TITL?16?</vt:lpstr>
      <vt:lpstr>XDO_?YTM?68?</vt:lpstr>
      <vt:lpstr>XDO_?YTM?69?</vt:lpstr>
      <vt:lpstr>XDO_?YTM?70?</vt:lpstr>
      <vt:lpstr>XDO_?YTM?71?</vt:lpstr>
      <vt:lpstr>XDO_?YTM?72?</vt:lpstr>
      <vt:lpstr>XDO_?YTM?73?</vt:lpstr>
      <vt:lpstr>XDO_GROUP_?G_2?16?</vt:lpstr>
      <vt:lpstr>XDO_GROUP_?G_3?16?</vt:lpstr>
      <vt:lpstr>XDO_GROUP_?G_4?68?</vt:lpstr>
      <vt:lpstr>XDO_GROUP_?G_4?69?</vt:lpstr>
      <vt:lpstr>XDO_GROUP_?G_4?70?</vt:lpstr>
      <vt:lpstr>XDO_GROUP_?G_4?71?</vt:lpstr>
      <vt:lpstr>XDO_GROUP_?G_4?72?</vt:lpstr>
      <vt:lpstr>XDO_GROUP_?G_4?73?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2022-07-04T12:15:50Z</dcterms:created>
  <dcterms:modified xsi:type="dcterms:W3CDTF">2022-07-08T11:53:04Z</dcterms:modified>
</cp:coreProperties>
</file>