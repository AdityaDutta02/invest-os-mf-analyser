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rodabnpparibasmf-my.sharepoint.com/personal/sanket_uchil_ext_barodabnpparibasmf_in/Documents/Documents/DebT Funds/"/>
    </mc:Choice>
  </mc:AlternateContent>
  <xr:revisionPtr revIDLastSave="1" documentId="8_{D8B6CB20-5537-48A0-8816-A7021481A172}" xr6:coauthVersionLast="47" xr6:coauthVersionMax="47" xr10:uidLastSave="{F93E125D-9901-45A0-9C5C-8959BDFBE92C}"/>
  <bookViews>
    <workbookView xWindow="-108" yWindow="-108" windowWidth="23256" windowHeight="12576" xr2:uid="{3339F7A6-638E-4E68-842B-F9F090FB765B}"/>
  </bookViews>
  <sheets>
    <sheet name="FL" sheetId="1" r:id="rId1"/>
  </sheets>
  <externalReferences>
    <externalReference r:id="rId2"/>
  </externalReferences>
  <definedNames>
    <definedName name="XDO_?CLASS_3?2?">FL!$C$16:$C$28</definedName>
    <definedName name="XDO_?FINAL_ISIN?10?">FL!$D$24:$D$62</definedName>
    <definedName name="XDO_?FINAL_ISIN?7?">FL!$D$24:$D$28</definedName>
    <definedName name="XDO_?FINAL_ISIN?8?">FL!$D$24:$D$35</definedName>
    <definedName name="XDO_?FINAL_ISIN?9?">FL!$D$24:$D$58</definedName>
    <definedName name="XDO_?FINAL_MV?10?">FL!$G$24:$G$62</definedName>
    <definedName name="XDO_?FINAL_MV?7?">FL!$G$24:$G$28</definedName>
    <definedName name="XDO_?FINAL_MV?8?">FL!$G$24:$G$35</definedName>
    <definedName name="XDO_?FINAL_MV?9?">FL!$G$24:$G$58</definedName>
    <definedName name="XDO_?FINAL_NAME?10?">FL!$C$24:$C$62</definedName>
    <definedName name="XDO_?FINAL_NAME?7?">FL!$C$24:$C$28</definedName>
    <definedName name="XDO_?FINAL_NAME?8?">FL!$C$24:$C$35</definedName>
    <definedName name="XDO_?FINAL_NAME?9?">FL!$C$24:$C$58</definedName>
    <definedName name="XDO_?FINAL_PER_NET?10?">FL!$H$24:$H$62</definedName>
    <definedName name="XDO_?FINAL_PER_NET?7?">FL!$H$24:$H$28</definedName>
    <definedName name="XDO_?FINAL_PER_NET?8?">FL!$H$24:$H$35</definedName>
    <definedName name="XDO_?FINAL_PER_NET?9?">FL!$H$24:$H$58</definedName>
    <definedName name="XDO_?FINAL_QUANTITE?10?">FL!$F$24:$F$62</definedName>
    <definedName name="XDO_?FINAL_QUANTITE?7?">FL!$F$24:$F$28</definedName>
    <definedName name="XDO_?FINAL_QUANTITE?8?">FL!$F$24:$F$35</definedName>
    <definedName name="XDO_?FINAL_QUANTITE?9?">FL!$F$24:$F$58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2?">FL!$C$2:$C$28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10?">FL!$B$24:$B$62</definedName>
    <definedName name="XDO_?NOVAL?7?">FL!$B$24:$B$28</definedName>
    <definedName name="XDO_?NOVAL?8?">FL!$B$24:$B$35</definedName>
    <definedName name="XDO_?NOVAL?9?">FL!$B$24:$B$58</definedName>
    <definedName name="XDO_?NPTF?2?">FL!$D$2:$D$28</definedName>
    <definedName name="XDO_?RATING?10?">FL!$E$24:$E$62</definedName>
    <definedName name="XDO_?RATING?7?">FL!$E$24:$E$28</definedName>
    <definedName name="XDO_?RATING?8?">FL!$E$24:$E$35</definedName>
    <definedName name="XDO_?RATING?9?">FL!$E$24:$E$58</definedName>
    <definedName name="XDO_?REMARKS?10?">FL!$K$24:$K$62</definedName>
    <definedName name="XDO_?REMARKS?7?">FL!$K$24:$K$28</definedName>
    <definedName name="XDO_?REMARKS?8?">FL!$K$24:$K$35</definedName>
    <definedName name="XDO_?REMARKS?9?">FL!$K$24:$K$58</definedName>
    <definedName name="XDO_?TITL?2?">FL!$A$16:$A$28</definedName>
    <definedName name="XDO_?YTM?10?">FL!$I$24:$I$62</definedName>
    <definedName name="XDO_?YTM?7?">FL!$I$24:$I$28</definedName>
    <definedName name="XDO_?YTM?8?">FL!$I$24:$I$35</definedName>
    <definedName name="XDO_?YTM?9?">FL!$I$24:$I$58</definedName>
    <definedName name="XDO_GROUP_?G_2?2?">FL!$2:$32</definedName>
    <definedName name="XDO_GROUP_?G_3?2?">FL!$8:$31</definedName>
    <definedName name="XDO_GROUP_?G_4?10?">FL!$B$29:$IV$29</definedName>
    <definedName name="XDO_GROUP_?G_4?114?">[1]ON!#REF!</definedName>
    <definedName name="XDO_GROUP_?G_4?28?">[1]TA!#REF!</definedName>
    <definedName name="XDO_GROUP_?G_4?7?">FL!$B$10:$IV$14</definedName>
    <definedName name="XDO_GROUP_?G_4?71?">[1]GR!#REF!</definedName>
    <definedName name="XDO_GROUP_?G_4?8?">FL!$B$16:$IV$19</definedName>
    <definedName name="XDO_GROUP_?G_4?9?">FL!$B$24:$IV$24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1" l="1"/>
</calcChain>
</file>

<file path=xl/sharedStrings.xml><?xml version="1.0" encoding="utf-8"?>
<sst xmlns="http://schemas.openxmlformats.org/spreadsheetml/2006/main" count="159" uniqueCount="114">
  <si>
    <t>Baroda BNP Paribas Mutual Fund</t>
  </si>
  <si>
    <t>T0MD12</t>
  </si>
  <si>
    <t>SCHEME NAME :</t>
  </si>
  <si>
    <t xml:space="preserve">Baroda BNP Paribas Dynamic Bond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</si>
  <si>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</si>
  <si>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</si>
  <si>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</si>
  <si>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</si>
  <si>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</si>
  <si>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</si>
  <si>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</si>
  <si>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</si>
  <si>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</si>
  <si>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</si>
  <si>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</si>
  <si>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</si>
  <si>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</si>
  <si>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</si>
  <si>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</si>
  <si>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</si>
  <si>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</si>
  <si>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</si>
  <si>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</si>
  <si>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</si>
  <si>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900254</t>
  </si>
  <si>
    <t>7.38% Government of India 20-Jun-2027</t>
  </si>
  <si>
    <t>IN0020220037</t>
  </si>
  <si>
    <t>Sovereign</t>
  </si>
  <si>
    <t>900163</t>
  </si>
  <si>
    <t>5.74% Government of India 15-Nov-2026</t>
  </si>
  <si>
    <t>IN0020210186</t>
  </si>
  <si>
    <t>900249</t>
  </si>
  <si>
    <t>7.10% Government of India 18-Apr-2029</t>
  </si>
  <si>
    <t>IN0020220011</t>
  </si>
  <si>
    <t>900103</t>
  </si>
  <si>
    <t>6.01% Government of India 25-Mar-2028</t>
  </si>
  <si>
    <t>IN0020020247</t>
  </si>
  <si>
    <t>900145</t>
  </si>
  <si>
    <t>5.22% Government of India 15-Jun-2025</t>
  </si>
  <si>
    <t>IN0020200112</t>
  </si>
  <si>
    <t>Total</t>
  </si>
  <si>
    <t>e) State Government Securities</t>
  </si>
  <si>
    <t>1903492</t>
  </si>
  <si>
    <t>7.86% State Government of Maharashtra 08-Jun-2030</t>
  </si>
  <si>
    <t>IN2220220080</t>
  </si>
  <si>
    <t>900023</t>
  </si>
  <si>
    <t>9.35% State Government of Maharashtra 30-Jan-2024</t>
  </si>
  <si>
    <t>IN2220130172</t>
  </si>
  <si>
    <t>1900361</t>
  </si>
  <si>
    <t>8.26% State Government of Maharashtra 02-Jan-2029</t>
  </si>
  <si>
    <t>IN2220180060</t>
  </si>
  <si>
    <t>#</t>
  </si>
  <si>
    <t>1900072</t>
  </si>
  <si>
    <t>7.64% State Government of Haryana 29-Mar-2027</t>
  </si>
  <si>
    <t>IN1620160292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</si>
  <si>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</si>
  <si>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</si>
  <si>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</si>
  <si>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</si>
  <si>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</si>
  <si>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</si>
  <si>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</si>
  <si>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</si>
  <si>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</si>
  <si>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</si>
  <si>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</si>
  <si>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</si>
  <si>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</si>
  <si>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</si>
  <si>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</si>
  <si>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</si>
  <si>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</si>
  <si>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</si>
  <si>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</si>
  <si>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</si>
  <si>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</si>
  <si>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</si>
  <si>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</si>
  <si>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</si>
  <si>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</si>
  <si>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</si>
  <si>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</si>
  <si>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30, 2022</t>
  </si>
  <si>
    <t>As on January 31, 2023</t>
  </si>
  <si>
    <t>Regular Plan - Daily IDCW Option</t>
  </si>
  <si>
    <t>Regular Plan - Growth Option</t>
  </si>
  <si>
    <t>Regular Plan - Half Yearly IDCW Option</t>
  </si>
  <si>
    <t>Regular Plan - Monthly IDCW Option</t>
  </si>
  <si>
    <t>Regular Plan - Quarterly IDCW Option</t>
  </si>
  <si>
    <t>Regular Plan - Weekly IDCW Option</t>
  </si>
  <si>
    <t>Defunct Plan - Growth Option</t>
  </si>
  <si>
    <t>Direct Plan - Daily IDCW Option</t>
  </si>
  <si>
    <t>Direct Plan - Growth Option</t>
  </si>
  <si>
    <t>Direct Plan - Monthly IDCW Option</t>
  </si>
  <si>
    <t>Direct Plan - Quarterly IDCW Option</t>
  </si>
  <si>
    <t>Direct Plan - Weekly IDCW Option</t>
  </si>
  <si>
    <t>Direct Plan - Half Yearly IDCW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</si>
  <si>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</si>
  <si>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</si>
  <si>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</si>
  <si>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January 31, 2023. Further there are no investments in derivative instruments as on January 31, 2023.</t>
  </si>
  <si>
    <t>(10) Total Market value of investments in Foreign Securities/American Depositary Receipts/Global Depositary Receipts as at  January 31, 2023 is Rs. Nil.</t>
  </si>
  <si>
    <t>(11)  The Average Maturity period of the portfolio has been 1131 days.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</si>
  <si>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</si>
  <si>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</si>
  <si>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</si>
  <si>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</si>
  <si>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</si>
  <si>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</si>
  <si>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</si>
  <si>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</si>
  <si>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</si>
  <si>
    <t>(17) Macaulay Duration of the portfolio has been 963 days.</t>
  </si>
  <si>
    <t>(18) Annualised Portfolio YTM has been7.0524.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</si>
</sst>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5" fontId="3" fillId="0" borderId="10" xfId="1" applyNumberFormat="1" applyFont="1" applyBorder="1"/>
    <xf numFmtId="164" fontId="3" fillId="0" borderId="10" xfId="1" applyFont="1" applyBorder="1" applyAlignment="1">
      <alignment horizontal="right"/>
    </xf>
    <xf numFmtId="164" fontId="3" fillId="0" borderId="10" xfId="1" applyFont="1" applyBorder="1"/>
    <xf numFmtId="166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168" fontId="3" fillId="0" borderId="0" xfId="0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B3FC3846-D98D-42ED-8935-F67A5701D66F}"/>
    <cellStyle name="Hyperlink" xfId="2" builtinId="8"/>
    <cellStyle name="Normal" xfId="0" builtinId="0"/>
    <cellStyle name="Normal 2" xfId="4" xr:uid="{241E7F0E-6627-4B7C-B362-2C9F3221C042}"/>
    <cellStyle name="Style 1" xfId="3" xr:uid="{95E76E38-C13F-4EB5-A04C-CF29BA16F2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5</xdr:col>
      <xdr:colOff>504275</xdr:colOff>
      <xdr:row>133</xdr:row>
      <xdr:rowOff>163237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64D3E0-6F7E-049B-F46A-547E730C4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946533"/>
          <a:ext cx="7455408" cy="31943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Relationship Id="rId1" Type="http://schemas.openxmlformats.org/officeDocument/2006/relationships/externalLinkPath" Target="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BD294-2213-482D-AF80-C67C75E01A9D}">
  <dimension ref="A1:BC117"/>
  <sheetViews>
    <sheetView showGridLines="0" tabSelected="1" zoomScale="90" zoomScaleNormal="90" workbookViewId="0">
      <pane ySplit="6" topLeftCell="A109" activePane="bottomLeft" state="frozen"/>
      <selection activeCell="J4" sqref="J4"/>
      <selection pane="bottomLeft" activeCell="H119" sqref="H119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C8" s="28" t="s">
        <v>14</v>
      </c>
      <c r="D8" s="29"/>
      <c r="E8" s="30"/>
      <c r="F8" s="31"/>
      <c r="G8" s="32"/>
      <c r="H8" s="32"/>
      <c r="I8" s="33"/>
      <c r="J8" s="33"/>
      <c r="K8" s="34"/>
    </row>
    <row r="9" spans="1:55" x14ac:dyDescent="0.3">
      <c r="C9" s="21"/>
      <c r="D9" s="29"/>
      <c r="E9" s="30"/>
      <c r="F9" s="31"/>
      <c r="G9" s="32"/>
      <c r="H9" s="32"/>
      <c r="I9" s="33"/>
      <c r="J9" s="33"/>
      <c r="K9" s="34"/>
    </row>
    <row r="10" spans="1:55" x14ac:dyDescent="0.3">
      <c r="C10" s="28" t="s">
        <v>15</v>
      </c>
      <c r="D10" s="29"/>
      <c r="E10" s="30"/>
      <c r="F10" s="31"/>
      <c r="G10" s="32" t="s">
        <v>16</v>
      </c>
      <c r="H10" s="32" t="s">
        <v>16</v>
      </c>
      <c r="I10" s="33"/>
      <c r="J10" s="33"/>
      <c r="K10" s="34"/>
    </row>
    <row r="11" spans="1:55" x14ac:dyDescent="0.3">
      <c r="C11" s="21"/>
      <c r="D11" s="29"/>
      <c r="E11" s="30"/>
      <c r="F11" s="31"/>
      <c r="G11" s="32"/>
      <c r="H11" s="32"/>
      <c r="I11" s="33"/>
      <c r="J11" s="33"/>
      <c r="K11" s="34"/>
    </row>
    <row r="12" spans="1:55" x14ac:dyDescent="0.3">
      <c r="C12" s="28" t="s">
        <v>17</v>
      </c>
      <c r="D12" s="29"/>
      <c r="E12" s="30"/>
      <c r="F12" s="31"/>
      <c r="G12" s="32" t="s">
        <v>16</v>
      </c>
      <c r="H12" s="32" t="s">
        <v>16</v>
      </c>
      <c r="I12" s="33"/>
      <c r="J12" s="33"/>
      <c r="K12" s="34"/>
    </row>
    <row r="13" spans="1:55" x14ac:dyDescent="0.3">
      <c r="C13" s="21"/>
      <c r="D13" s="29"/>
      <c r="E13" s="30"/>
      <c r="F13" s="31"/>
      <c r="G13" s="32"/>
      <c r="H13" s="32"/>
      <c r="I13" s="33"/>
      <c r="J13" s="33"/>
      <c r="K13" s="34"/>
    </row>
    <row r="14" spans="1:55" x14ac:dyDescent="0.3">
      <c r="C14" s="28" t="s">
        <v>18</v>
      </c>
      <c r="D14" s="29"/>
      <c r="E14" s="30"/>
      <c r="F14" s="31"/>
      <c r="G14" s="32" t="s">
        <v>16</v>
      </c>
      <c r="H14" s="32" t="s">
        <v>16</v>
      </c>
      <c r="I14" s="33"/>
      <c r="J14" s="33"/>
      <c r="K14" s="34"/>
    </row>
    <row r="15" spans="1:55" x14ac:dyDescent="0.3">
      <c r="C15" s="21"/>
      <c r="D15" s="29"/>
      <c r="E15" s="30"/>
      <c r="F15" s="31"/>
      <c r="G15" s="32"/>
      <c r="H15" s="32"/>
      <c r="I15" s="33"/>
      <c r="J15" s="33"/>
      <c r="K15" s="34"/>
    </row>
    <row r="16" spans="1:55" x14ac:dyDescent="0.3">
      <c r="A16" s="35"/>
      <c r="B16" s="36"/>
      <c r="C16" s="28" t="s">
        <v>19</v>
      </c>
      <c r="D16" s="29"/>
      <c r="E16" s="30"/>
      <c r="F16" s="31"/>
      <c r="G16" s="32"/>
      <c r="H16" s="32"/>
      <c r="I16" s="33"/>
      <c r="J16" s="33"/>
      <c r="K16" s="34"/>
    </row>
    <row r="17" spans="1:11" x14ac:dyDescent="0.3">
      <c r="A17" s="36"/>
      <c r="B17" s="36"/>
      <c r="C17" s="28" t="s">
        <v>20</v>
      </c>
      <c r="D17" s="29"/>
      <c r="E17" s="30"/>
      <c r="F17" s="31"/>
      <c r="G17" s="32" t="s">
        <v>16</v>
      </c>
      <c r="H17" s="32" t="s">
        <v>16</v>
      </c>
      <c r="I17" s="33"/>
      <c r="J17" s="33"/>
      <c r="K17" s="34"/>
    </row>
    <row r="18" spans="1:11" x14ac:dyDescent="0.3">
      <c r="A18" s="36"/>
      <c r="B18" s="36"/>
      <c r="C18" s="28"/>
      <c r="D18" s="29"/>
      <c r="E18" s="30"/>
      <c r="F18" s="31"/>
      <c r="G18" s="32"/>
      <c r="H18" s="32"/>
      <c r="I18" s="33"/>
      <c r="J18" s="33"/>
      <c r="K18" s="34"/>
    </row>
    <row r="19" spans="1:11" x14ac:dyDescent="0.3">
      <c r="A19" s="36"/>
      <c r="B19" s="36"/>
      <c r="C19" s="28" t="s">
        <v>21</v>
      </c>
      <c r="D19" s="29"/>
      <c r="E19" s="30"/>
      <c r="F19" s="31"/>
      <c r="G19" s="32" t="s">
        <v>16</v>
      </c>
      <c r="H19" s="32" t="s">
        <v>16</v>
      </c>
      <c r="I19" s="33"/>
      <c r="J19" s="33"/>
      <c r="K19" s="34"/>
    </row>
    <row r="20" spans="1:11" x14ac:dyDescent="0.3">
      <c r="A20" s="36"/>
      <c r="B20" s="36"/>
      <c r="C20" s="28"/>
      <c r="D20" s="29"/>
      <c r="E20" s="30"/>
      <c r="F20" s="31"/>
      <c r="G20" s="32"/>
      <c r="H20" s="32"/>
      <c r="I20" s="33"/>
      <c r="J20" s="33"/>
      <c r="K20" s="34"/>
    </row>
    <row r="21" spans="1:11" x14ac:dyDescent="0.3">
      <c r="A21" s="36"/>
      <c r="B21" s="36"/>
      <c r="C21" s="28" t="s">
        <v>22</v>
      </c>
      <c r="D21" s="29"/>
      <c r="E21" s="30"/>
      <c r="F21" s="31"/>
      <c r="G21" s="32" t="s">
        <v>16</v>
      </c>
      <c r="H21" s="32" t="s">
        <v>16</v>
      </c>
      <c r="I21" s="33"/>
      <c r="J21" s="33"/>
      <c r="K21" s="34"/>
    </row>
    <row r="22" spans="1:11" x14ac:dyDescent="0.3">
      <c r="A22" s="36"/>
      <c r="B22" s="36"/>
      <c r="C22" s="28"/>
      <c r="D22" s="29"/>
      <c r="E22" s="30"/>
      <c r="F22" s="31"/>
      <c r="G22" s="32"/>
      <c r="H22" s="32"/>
      <c r="I22" s="33"/>
      <c r="J22" s="33"/>
      <c r="K22" s="34"/>
    </row>
    <row r="23" spans="1:11" x14ac:dyDescent="0.3">
      <c r="C23" s="37" t="s">
        <v>23</v>
      </c>
      <c r="D23" s="29"/>
      <c r="E23" s="30"/>
      <c r="F23" s="31"/>
      <c r="G23" s="32"/>
      <c r="H23" s="32"/>
      <c r="I23" s="33"/>
      <c r="J23" s="33"/>
      <c r="K23" s="34"/>
    </row>
    <row r="24" spans="1:11" x14ac:dyDescent="0.3">
      <c r="B24" s="1" t="s">
        <v>24</v>
      </c>
      <c r="C24" s="21" t="s">
        <v>25</v>
      </c>
      <c r="D24" s="29" t="s">
        <v>26</v>
      </c>
      <c r="E24" s="30" t="s">
        <v>27</v>
      </c>
      <c r="F24" s="31">
        <v>3000000</v>
      </c>
      <c r="G24" s="32">
        <v>3017.08</v>
      </c>
      <c r="H24" s="32">
        <v>25.75</v>
      </c>
      <c r="I24" s="33">
        <v>7.3527507999999999</v>
      </c>
      <c r="J24" s="33"/>
      <c r="K24" s="34"/>
    </row>
    <row r="25" spans="1:11" x14ac:dyDescent="0.3">
      <c r="B25" s="1" t="s">
        <v>28</v>
      </c>
      <c r="C25" s="21" t="s">
        <v>29</v>
      </c>
      <c r="D25" s="29" t="s">
        <v>30</v>
      </c>
      <c r="E25" s="30" t="s">
        <v>27</v>
      </c>
      <c r="F25" s="31">
        <v>2350000</v>
      </c>
      <c r="G25" s="32">
        <v>2238.4</v>
      </c>
      <c r="H25" s="32">
        <v>19.11</v>
      </c>
      <c r="I25" s="33">
        <v>7.3198273</v>
      </c>
      <c r="J25" s="33"/>
      <c r="K25" s="34"/>
    </row>
    <row r="26" spans="1:11" x14ac:dyDescent="0.3">
      <c r="B26" s="1" t="s">
        <v>31</v>
      </c>
      <c r="C26" s="21" t="s">
        <v>32</v>
      </c>
      <c r="D26" s="29" t="s">
        <v>33</v>
      </c>
      <c r="E26" s="30" t="s">
        <v>27</v>
      </c>
      <c r="F26" s="31">
        <v>1500000</v>
      </c>
      <c r="G26" s="32">
        <v>1483.02</v>
      </c>
      <c r="H26" s="32">
        <v>12.66</v>
      </c>
      <c r="I26" s="33">
        <v>7.4605024999999996</v>
      </c>
      <c r="J26" s="33"/>
      <c r="K26" s="34"/>
    </row>
    <row r="27" spans="1:11" x14ac:dyDescent="0.3">
      <c r="B27" s="1" t="s">
        <v>34</v>
      </c>
      <c r="C27" s="21" t="s">
        <v>35</v>
      </c>
      <c r="D27" s="29" t="s">
        <v>36</v>
      </c>
      <c r="E27" s="30" t="s">
        <v>27</v>
      </c>
      <c r="F27" s="31">
        <v>500000</v>
      </c>
      <c r="G27" s="32">
        <v>473.24</v>
      </c>
      <c r="H27" s="32">
        <v>4.04</v>
      </c>
      <c r="I27" s="33">
        <v>7.4036584999999997</v>
      </c>
      <c r="J27" s="33"/>
      <c r="K27" s="34"/>
    </row>
    <row r="28" spans="1:11" x14ac:dyDescent="0.3">
      <c r="B28" s="1" t="s">
        <v>37</v>
      </c>
      <c r="C28" s="21" t="s">
        <v>38</v>
      </c>
      <c r="D28" s="29" t="s">
        <v>39</v>
      </c>
      <c r="E28" s="30" t="s">
        <v>27</v>
      </c>
      <c r="F28" s="31">
        <v>100000</v>
      </c>
      <c r="G28" s="32">
        <v>96</v>
      </c>
      <c r="H28" s="32">
        <v>0.82</v>
      </c>
      <c r="I28" s="33">
        <v>7.2007424999999996</v>
      </c>
      <c r="J28" s="33"/>
      <c r="K28" s="34"/>
    </row>
    <row r="29" spans="1:11" x14ac:dyDescent="0.3">
      <c r="C29" s="28" t="s">
        <v>40</v>
      </c>
      <c r="D29" s="29"/>
      <c r="E29" s="30"/>
      <c r="F29" s="31"/>
      <c r="G29" s="38">
        <v>7307.74</v>
      </c>
      <c r="H29" s="38">
        <v>62.38</v>
      </c>
      <c r="I29" s="33"/>
      <c r="J29" s="33"/>
      <c r="K29" s="34"/>
    </row>
    <row r="30" spans="1:11" x14ac:dyDescent="0.3">
      <c r="C30" s="21"/>
      <c r="D30" s="29"/>
      <c r="E30" s="30"/>
      <c r="F30" s="31"/>
      <c r="G30" s="32"/>
      <c r="H30" s="32"/>
      <c r="I30" s="33"/>
      <c r="J30" s="33"/>
      <c r="K30" s="34"/>
    </row>
    <row r="31" spans="1:11" x14ac:dyDescent="0.3">
      <c r="C31" s="37" t="s">
        <v>41</v>
      </c>
      <c r="D31" s="29"/>
      <c r="E31" s="30"/>
      <c r="F31" s="31"/>
      <c r="G31" s="32"/>
      <c r="H31" s="32"/>
      <c r="I31" s="33"/>
      <c r="J31" s="33"/>
      <c r="K31" s="34"/>
    </row>
    <row r="32" spans="1:11" x14ac:dyDescent="0.3">
      <c r="B32" s="1" t="s">
        <v>42</v>
      </c>
      <c r="C32" s="21" t="s">
        <v>43</v>
      </c>
      <c r="D32" s="29" t="s">
        <v>44</v>
      </c>
      <c r="E32" s="30" t="s">
        <v>27</v>
      </c>
      <c r="F32" s="31">
        <v>346800</v>
      </c>
      <c r="G32" s="32">
        <v>352.24</v>
      </c>
      <c r="H32" s="32">
        <v>3.01</v>
      </c>
      <c r="I32" s="33">
        <v>7.7187125999999999</v>
      </c>
      <c r="J32" s="33"/>
      <c r="K32" s="34"/>
    </row>
    <row r="33" spans="1:11" x14ac:dyDescent="0.3">
      <c r="B33" s="1" t="s">
        <v>45</v>
      </c>
      <c r="C33" s="21" t="s">
        <v>46</v>
      </c>
      <c r="D33" s="29" t="s">
        <v>47</v>
      </c>
      <c r="E33" s="30" t="s">
        <v>27</v>
      </c>
      <c r="F33" s="31">
        <v>75600</v>
      </c>
      <c r="G33" s="32">
        <v>77.14</v>
      </c>
      <c r="H33" s="32">
        <v>0.66</v>
      </c>
      <c r="I33" s="33">
        <v>7.3192611000000003</v>
      </c>
      <c r="J33" s="33"/>
      <c r="K33" s="34"/>
    </row>
    <row r="34" spans="1:11" x14ac:dyDescent="0.3">
      <c r="B34" s="1" t="s">
        <v>48</v>
      </c>
      <c r="C34" s="21" t="s">
        <v>49</v>
      </c>
      <c r="D34" s="29" t="s">
        <v>50</v>
      </c>
      <c r="E34" s="30" t="s">
        <v>27</v>
      </c>
      <c r="F34" s="31">
        <v>500</v>
      </c>
      <c r="G34" s="32">
        <v>0.52</v>
      </c>
      <c r="H34" s="32" t="s">
        <v>51</v>
      </c>
      <c r="I34" s="33">
        <v>7.7096844999999998</v>
      </c>
      <c r="J34" s="33"/>
      <c r="K34" s="34"/>
    </row>
    <row r="35" spans="1:11" x14ac:dyDescent="0.3">
      <c r="B35" s="1" t="s">
        <v>52</v>
      </c>
      <c r="C35" s="21" t="s">
        <v>53</v>
      </c>
      <c r="D35" s="29" t="s">
        <v>54</v>
      </c>
      <c r="E35" s="30" t="s">
        <v>27</v>
      </c>
      <c r="F35" s="31">
        <v>300</v>
      </c>
      <c r="G35" s="32">
        <v>0.3</v>
      </c>
      <c r="H35" s="32" t="s">
        <v>51</v>
      </c>
      <c r="I35" s="33">
        <v>7.5329921999999998</v>
      </c>
      <c r="J35" s="33"/>
      <c r="K35" s="34"/>
    </row>
    <row r="36" spans="1:11" x14ac:dyDescent="0.3">
      <c r="C36" s="28" t="s">
        <v>40</v>
      </c>
      <c r="D36" s="29"/>
      <c r="E36" s="30"/>
      <c r="F36" s="31"/>
      <c r="G36" s="38">
        <v>430.2</v>
      </c>
      <c r="H36" s="38">
        <v>3.67</v>
      </c>
      <c r="I36" s="33"/>
      <c r="J36" s="33"/>
      <c r="K36" s="34"/>
    </row>
    <row r="37" spans="1:11" x14ac:dyDescent="0.3">
      <c r="C37" s="21"/>
      <c r="D37" s="29"/>
      <c r="E37" s="30"/>
      <c r="F37" s="31"/>
      <c r="G37" s="32"/>
      <c r="H37" s="32"/>
      <c r="I37" s="33"/>
      <c r="J37" s="33"/>
      <c r="K37" s="34"/>
    </row>
    <row r="38" spans="1:11" x14ac:dyDescent="0.3">
      <c r="C38" s="28" t="s">
        <v>55</v>
      </c>
      <c r="D38" s="29"/>
      <c r="E38" s="30"/>
      <c r="F38" s="31"/>
      <c r="G38" s="32"/>
      <c r="H38" s="32"/>
      <c r="I38" s="33"/>
      <c r="J38" s="33"/>
      <c r="K38" s="34"/>
    </row>
    <row r="39" spans="1:11" x14ac:dyDescent="0.3">
      <c r="C39" s="21"/>
      <c r="D39" s="29"/>
      <c r="E39" s="30"/>
      <c r="F39" s="31"/>
      <c r="G39" s="32"/>
      <c r="H39" s="32"/>
      <c r="I39" s="33"/>
      <c r="J39" s="33"/>
      <c r="K39" s="34"/>
    </row>
    <row r="40" spans="1:11" x14ac:dyDescent="0.3">
      <c r="C40" s="28" t="s">
        <v>56</v>
      </c>
      <c r="D40" s="29"/>
      <c r="E40" s="30"/>
      <c r="F40" s="31"/>
      <c r="G40" s="32" t="s">
        <v>16</v>
      </c>
      <c r="H40" s="32" t="s">
        <v>16</v>
      </c>
      <c r="I40" s="33"/>
      <c r="J40" s="33"/>
      <c r="K40" s="34"/>
    </row>
    <row r="41" spans="1:11" x14ac:dyDescent="0.3">
      <c r="C41" s="21"/>
      <c r="D41" s="29"/>
      <c r="E41" s="30"/>
      <c r="F41" s="31"/>
      <c r="G41" s="32"/>
      <c r="H41" s="32"/>
      <c r="I41" s="33"/>
      <c r="J41" s="33"/>
      <c r="K41" s="34"/>
    </row>
    <row r="42" spans="1:11" x14ac:dyDescent="0.3">
      <c r="C42" s="28" t="s">
        <v>57</v>
      </c>
      <c r="D42" s="29"/>
      <c r="E42" s="30"/>
      <c r="F42" s="31"/>
      <c r="G42" s="32" t="s">
        <v>16</v>
      </c>
      <c r="H42" s="32" t="s">
        <v>16</v>
      </c>
      <c r="I42" s="33"/>
      <c r="J42" s="33"/>
      <c r="K42" s="34"/>
    </row>
    <row r="43" spans="1:11" x14ac:dyDescent="0.3">
      <c r="C43" s="21"/>
      <c r="D43" s="29"/>
      <c r="E43" s="30"/>
      <c r="F43" s="31"/>
      <c r="G43" s="32"/>
      <c r="H43" s="32"/>
      <c r="I43" s="33"/>
      <c r="J43" s="33"/>
      <c r="K43" s="34"/>
    </row>
    <row r="44" spans="1:11" x14ac:dyDescent="0.3">
      <c r="C44" s="28" t="s">
        <v>58</v>
      </c>
      <c r="D44" s="29"/>
      <c r="E44" s="30"/>
      <c r="F44" s="31"/>
      <c r="G44" s="32" t="s">
        <v>16</v>
      </c>
      <c r="H44" s="32" t="s">
        <v>16</v>
      </c>
      <c r="I44" s="33"/>
      <c r="J44" s="33"/>
      <c r="K44" s="34"/>
    </row>
    <row r="45" spans="1:11" x14ac:dyDescent="0.3">
      <c r="C45" s="21"/>
      <c r="D45" s="29"/>
      <c r="E45" s="30"/>
      <c r="F45" s="31"/>
      <c r="G45" s="32"/>
      <c r="H45" s="32"/>
      <c r="I45" s="33"/>
      <c r="J45" s="33"/>
      <c r="K45" s="34"/>
    </row>
    <row r="46" spans="1:11" x14ac:dyDescent="0.3">
      <c r="C46" s="28" t="s">
        <v>59</v>
      </c>
      <c r="D46" s="29"/>
      <c r="E46" s="30"/>
      <c r="F46" s="31"/>
      <c r="G46" s="32" t="s">
        <v>16</v>
      </c>
      <c r="H46" s="32" t="s">
        <v>16</v>
      </c>
      <c r="I46" s="33"/>
      <c r="J46" s="33"/>
      <c r="K46" s="34"/>
    </row>
    <row r="47" spans="1:11" x14ac:dyDescent="0.3">
      <c r="C47" s="21"/>
      <c r="D47" s="29"/>
      <c r="E47" s="30"/>
      <c r="F47" s="31"/>
      <c r="G47" s="32"/>
      <c r="H47" s="32"/>
      <c r="I47" s="33"/>
      <c r="J47" s="33"/>
      <c r="K47" s="34"/>
    </row>
    <row r="48" spans="1:11" x14ac:dyDescent="0.3">
      <c r="A48" s="35"/>
      <c r="B48" s="36"/>
      <c r="C48" s="28" t="s">
        <v>60</v>
      </c>
      <c r="D48" s="29"/>
      <c r="E48" s="30"/>
      <c r="F48" s="31"/>
      <c r="G48" s="32"/>
      <c r="H48" s="32"/>
      <c r="I48" s="33"/>
      <c r="J48" s="33"/>
      <c r="K48" s="34"/>
    </row>
    <row r="49" spans="1:11" x14ac:dyDescent="0.3">
      <c r="A49" s="36"/>
      <c r="B49" s="36"/>
      <c r="C49" s="28" t="s">
        <v>61</v>
      </c>
      <c r="D49" s="29"/>
      <c r="E49" s="30"/>
      <c r="F49" s="31"/>
      <c r="G49" s="32" t="s">
        <v>16</v>
      </c>
      <c r="H49" s="32" t="s">
        <v>16</v>
      </c>
      <c r="I49" s="33"/>
      <c r="J49" s="33"/>
      <c r="K49" s="34"/>
    </row>
    <row r="50" spans="1:11" x14ac:dyDescent="0.3">
      <c r="A50" s="36"/>
      <c r="B50" s="36"/>
      <c r="C50" s="28"/>
      <c r="D50" s="29"/>
      <c r="E50" s="30"/>
      <c r="F50" s="31"/>
      <c r="G50" s="32"/>
      <c r="H50" s="32"/>
      <c r="I50" s="33"/>
      <c r="J50" s="33"/>
      <c r="K50" s="34"/>
    </row>
    <row r="51" spans="1:11" x14ac:dyDescent="0.3">
      <c r="A51" s="36"/>
      <c r="B51" s="36"/>
      <c r="C51" s="28" t="s">
        <v>62</v>
      </c>
      <c r="D51" s="29"/>
      <c r="E51" s="30"/>
      <c r="F51" s="31"/>
      <c r="G51" s="32" t="s">
        <v>16</v>
      </c>
      <c r="H51" s="32" t="s">
        <v>16</v>
      </c>
      <c r="I51" s="33"/>
      <c r="J51" s="33"/>
      <c r="K51" s="34"/>
    </row>
    <row r="52" spans="1:11" x14ac:dyDescent="0.3">
      <c r="A52" s="36"/>
      <c r="B52" s="36"/>
      <c r="C52" s="28"/>
      <c r="D52" s="29"/>
      <c r="E52" s="30"/>
      <c r="F52" s="31"/>
      <c r="G52" s="32"/>
      <c r="H52" s="32"/>
      <c r="I52" s="33"/>
      <c r="J52" s="33"/>
      <c r="K52" s="34"/>
    </row>
    <row r="53" spans="1:11" x14ac:dyDescent="0.3">
      <c r="A53" s="36"/>
      <c r="B53" s="36"/>
      <c r="C53" s="28" t="s">
        <v>63</v>
      </c>
      <c r="D53" s="29"/>
      <c r="E53" s="30"/>
      <c r="F53" s="31"/>
      <c r="G53" s="32" t="s">
        <v>16</v>
      </c>
      <c r="H53" s="32" t="s">
        <v>16</v>
      </c>
      <c r="I53" s="33"/>
      <c r="J53" s="33"/>
      <c r="K53" s="34"/>
    </row>
    <row r="54" spans="1:11" x14ac:dyDescent="0.3">
      <c r="A54" s="36"/>
      <c r="B54" s="36"/>
      <c r="C54" s="28"/>
      <c r="D54" s="29"/>
      <c r="E54" s="30"/>
      <c r="F54" s="31"/>
      <c r="G54" s="32"/>
      <c r="H54" s="32"/>
      <c r="I54" s="33"/>
      <c r="J54" s="33"/>
      <c r="K54" s="34"/>
    </row>
    <row r="55" spans="1:11" x14ac:dyDescent="0.3">
      <c r="A55" s="36"/>
      <c r="B55" s="36"/>
      <c r="C55" s="28" t="s">
        <v>64</v>
      </c>
      <c r="D55" s="29"/>
      <c r="E55" s="30"/>
      <c r="F55" s="31"/>
      <c r="G55" s="32" t="s">
        <v>16</v>
      </c>
      <c r="H55" s="32" t="s">
        <v>16</v>
      </c>
      <c r="I55" s="33"/>
      <c r="J55" s="33"/>
      <c r="K55" s="34"/>
    </row>
    <row r="56" spans="1:11" x14ac:dyDescent="0.3">
      <c r="A56" s="36"/>
      <c r="B56" s="36"/>
      <c r="C56" s="28"/>
      <c r="D56" s="29"/>
      <c r="E56" s="30"/>
      <c r="F56" s="31"/>
      <c r="G56" s="32"/>
      <c r="H56" s="32"/>
      <c r="I56" s="33"/>
      <c r="J56" s="33"/>
      <c r="K56" s="34"/>
    </row>
    <row r="57" spans="1:11" x14ac:dyDescent="0.3">
      <c r="C57" s="37" t="s">
        <v>65</v>
      </c>
      <c r="D57" s="29"/>
      <c r="E57" s="30"/>
      <c r="F57" s="31"/>
      <c r="G57" s="32"/>
      <c r="H57" s="32"/>
      <c r="I57" s="33"/>
      <c r="J57" s="33"/>
      <c r="K57" s="34"/>
    </row>
    <row r="58" spans="1:11" x14ac:dyDescent="0.3">
      <c r="B58" s="1" t="s">
        <v>66</v>
      </c>
      <c r="C58" s="21" t="s">
        <v>67</v>
      </c>
      <c r="D58" s="29"/>
      <c r="E58" s="30"/>
      <c r="F58" s="31"/>
      <c r="G58" s="32">
        <v>2666.24</v>
      </c>
      <c r="H58" s="32">
        <v>22.76</v>
      </c>
      <c r="I58" s="33">
        <v>6.4121865622509997</v>
      </c>
      <c r="J58" s="33"/>
      <c r="K58" s="34"/>
    </row>
    <row r="59" spans="1:11" x14ac:dyDescent="0.3">
      <c r="C59" s="28" t="s">
        <v>40</v>
      </c>
      <c r="D59" s="29"/>
      <c r="E59" s="30"/>
      <c r="F59" s="31"/>
      <c r="G59" s="38">
        <v>2666.24</v>
      </c>
      <c r="H59" s="38">
        <v>22.76</v>
      </c>
      <c r="I59" s="33"/>
      <c r="J59" s="33"/>
      <c r="K59" s="34"/>
    </row>
    <row r="60" spans="1:11" x14ac:dyDescent="0.3">
      <c r="C60" s="21"/>
      <c r="D60" s="29"/>
      <c r="E60" s="30"/>
      <c r="F60" s="31"/>
      <c r="G60" s="32"/>
      <c r="H60" s="32"/>
      <c r="I60" s="33"/>
      <c r="J60" s="33"/>
      <c r="K60" s="34"/>
    </row>
    <row r="61" spans="1:11" x14ac:dyDescent="0.3">
      <c r="A61" s="35"/>
      <c r="B61" s="36"/>
      <c r="C61" s="28" t="s">
        <v>68</v>
      </c>
      <c r="D61" s="29"/>
      <c r="E61" s="30"/>
      <c r="F61" s="31"/>
      <c r="G61" s="32"/>
      <c r="H61" s="32"/>
      <c r="I61" s="33"/>
      <c r="J61" s="33"/>
      <c r="K61" s="34"/>
    </row>
    <row r="62" spans="1:11" x14ac:dyDescent="0.3">
      <c r="B62" s="1"/>
      <c r="C62" s="21" t="s">
        <v>69</v>
      </c>
      <c r="D62" s="29"/>
      <c r="E62" s="30"/>
      <c r="F62" s="31"/>
      <c r="G62" s="32">
        <v>1311</v>
      </c>
      <c r="H62" s="32">
        <v>11.19</v>
      </c>
      <c r="I62" s="33"/>
      <c r="J62" s="33"/>
      <c r="K62" s="34"/>
    </row>
    <row r="63" spans="1:11" x14ac:dyDescent="0.3">
      <c r="C63" s="28" t="s">
        <v>40</v>
      </c>
      <c r="D63" s="29"/>
      <c r="E63" s="30"/>
      <c r="F63" s="31"/>
      <c r="G63" s="38">
        <v>1311</v>
      </c>
      <c r="H63" s="38">
        <v>11.19</v>
      </c>
      <c r="I63" s="33"/>
      <c r="J63" s="33"/>
      <c r="K63" s="34"/>
    </row>
    <row r="64" spans="1:11" x14ac:dyDescent="0.3">
      <c r="C64" s="21"/>
      <c r="D64" s="29"/>
      <c r="E64" s="30"/>
      <c r="F64" s="31"/>
      <c r="G64" s="32"/>
      <c r="H64" s="32"/>
      <c r="I64" s="33"/>
      <c r="J64" s="33"/>
      <c r="K64" s="34"/>
    </row>
    <row r="65" spans="3:55" ht="14.4" thickBot="1" x14ac:dyDescent="0.35">
      <c r="C65" s="39" t="s">
        <v>70</v>
      </c>
      <c r="D65" s="40"/>
      <c r="E65" s="41"/>
      <c r="F65" s="42"/>
      <c r="G65" s="43">
        <v>11715.18</v>
      </c>
      <c r="H65" s="43">
        <f>SUMIFS(H:H,C:C,"Total")</f>
        <v>100</v>
      </c>
      <c r="I65" s="44"/>
      <c r="J65" s="44"/>
      <c r="K65" s="45"/>
    </row>
    <row r="68" spans="3:55" x14ac:dyDescent="0.3">
      <c r="C68" s="11" t="s">
        <v>71</v>
      </c>
    </row>
    <row r="69" spans="3:55" x14ac:dyDescent="0.3">
      <c r="C69" s="2" t="s">
        <v>72</v>
      </c>
    </row>
    <row r="70" spans="3:55" x14ac:dyDescent="0.3">
      <c r="C70" s="46" t="s">
        <v>73</v>
      </c>
    </row>
    <row r="71" spans="3:55" x14ac:dyDescent="0.3">
      <c r="C71" s="2" t="s">
        <v>74</v>
      </c>
    </row>
    <row r="72" spans="3:55" x14ac:dyDescent="0.3">
      <c r="C72" s="2" t="s">
        <v>75</v>
      </c>
    </row>
    <row r="73" spans="3:55" x14ac:dyDescent="0.3">
      <c r="C73" s="2" t="s">
        <v>76</v>
      </c>
      <c r="D73" s="47"/>
      <c r="E73" s="47"/>
      <c r="F73" s="47"/>
      <c r="G73" s="48"/>
      <c r="H73" s="48"/>
    </row>
    <row r="74" spans="3:55" x14ac:dyDescent="0.3">
      <c r="C74" s="2" t="s">
        <v>77</v>
      </c>
    </row>
    <row r="75" spans="3:55" x14ac:dyDescent="0.3">
      <c r="C75" s="2" t="s">
        <v>78</v>
      </c>
    </row>
    <row r="76" spans="3:55" x14ac:dyDescent="0.3">
      <c r="C76" s="2" t="s">
        <v>79</v>
      </c>
    </row>
    <row r="77" spans="3:55" x14ac:dyDescent="0.3">
      <c r="C77" s="2" t="s">
        <v>80</v>
      </c>
    </row>
    <row r="78" spans="3:55" s="11" customFormat="1" x14ac:dyDescent="0.3">
      <c r="C78" s="11" t="s">
        <v>81</v>
      </c>
      <c r="E78" s="11" t="s">
        <v>82</v>
      </c>
      <c r="F78" s="49" t="s">
        <v>83</v>
      </c>
      <c r="G78" s="50"/>
      <c r="H78" s="50"/>
      <c r="I78" s="50"/>
      <c r="J78" s="50"/>
      <c r="K78" s="51"/>
      <c r="L78" s="51"/>
      <c r="M78" s="51"/>
      <c r="AJ78" s="51"/>
      <c r="AW78" s="51"/>
      <c r="AY78" s="51"/>
      <c r="BC78" s="51"/>
    </row>
    <row r="79" spans="3:55" x14ac:dyDescent="0.3">
      <c r="C79" s="2" t="s">
        <v>84</v>
      </c>
      <c r="E79" s="52">
        <v>10.1119</v>
      </c>
      <c r="F79" s="53">
        <v>10.1031</v>
      </c>
    </row>
    <row r="80" spans="3:55" x14ac:dyDescent="0.3">
      <c r="C80" s="2" t="s">
        <v>85</v>
      </c>
      <c r="E80" s="52">
        <v>37.990200000000002</v>
      </c>
      <c r="F80" s="53">
        <v>38.1691</v>
      </c>
    </row>
    <row r="81" spans="3:6" x14ac:dyDescent="0.3">
      <c r="C81" s="2" t="s">
        <v>86</v>
      </c>
      <c r="E81" s="52">
        <v>10.2079</v>
      </c>
      <c r="F81" s="53">
        <v>10.256</v>
      </c>
    </row>
    <row r="82" spans="3:6" x14ac:dyDescent="0.3">
      <c r="C82" s="2" t="s">
        <v>87</v>
      </c>
      <c r="E82" s="52">
        <v>10.1409</v>
      </c>
      <c r="F82" s="53">
        <v>10.1387</v>
      </c>
    </row>
    <row r="83" spans="3:6" x14ac:dyDescent="0.3">
      <c r="C83" s="2" t="s">
        <v>88</v>
      </c>
      <c r="E83" s="52">
        <v>10.1409</v>
      </c>
      <c r="F83" s="53">
        <v>10.188700000000001</v>
      </c>
    </row>
    <row r="84" spans="3:6" x14ac:dyDescent="0.3">
      <c r="C84" s="2" t="s">
        <v>89</v>
      </c>
      <c r="E84" s="52">
        <v>10.0832</v>
      </c>
      <c r="F84" s="53">
        <v>10.074299999999999</v>
      </c>
    </row>
    <row r="85" spans="3:6" x14ac:dyDescent="0.3">
      <c r="C85" s="2" t="s">
        <v>90</v>
      </c>
      <c r="E85" s="52">
        <v>26.756</v>
      </c>
      <c r="F85" s="53">
        <v>26.882100000000001</v>
      </c>
    </row>
    <row r="86" spans="3:6" x14ac:dyDescent="0.3">
      <c r="C86" s="2" t="s">
        <v>91</v>
      </c>
      <c r="E86" s="52">
        <v>10.114800000000001</v>
      </c>
      <c r="F86" s="53">
        <v>10.106299999999999</v>
      </c>
    </row>
    <row r="87" spans="3:6" x14ac:dyDescent="0.3">
      <c r="C87" s="2" t="s">
        <v>92</v>
      </c>
      <c r="E87" s="52">
        <v>41.301000000000002</v>
      </c>
      <c r="F87" s="53">
        <v>41.531199999999998</v>
      </c>
    </row>
    <row r="88" spans="3:6" x14ac:dyDescent="0.3">
      <c r="C88" s="2" t="s">
        <v>93</v>
      </c>
      <c r="E88" s="52">
        <v>10.2782</v>
      </c>
      <c r="F88" s="53">
        <v>10.285500000000001</v>
      </c>
    </row>
    <row r="89" spans="3:6" x14ac:dyDescent="0.3">
      <c r="C89" s="2" t="s">
        <v>94</v>
      </c>
      <c r="E89" s="52">
        <v>10.312799999999999</v>
      </c>
      <c r="F89" s="53">
        <v>10.3703</v>
      </c>
    </row>
    <row r="90" spans="3:6" x14ac:dyDescent="0.3">
      <c r="C90" s="2" t="s">
        <v>95</v>
      </c>
      <c r="E90" s="52">
        <v>10.085000000000001</v>
      </c>
      <c r="F90" s="53">
        <v>10.0762</v>
      </c>
    </row>
    <row r="91" spans="3:6" x14ac:dyDescent="0.3">
      <c r="C91" s="2" t="s">
        <v>96</v>
      </c>
      <c r="E91" s="54">
        <v>10</v>
      </c>
      <c r="F91" s="55">
        <v>10</v>
      </c>
    </row>
    <row r="93" spans="3:6" x14ac:dyDescent="0.3">
      <c r="C93" s="2" t="s">
        <v>97</v>
      </c>
      <c r="E93" s="11" t="s">
        <v>98</v>
      </c>
      <c r="F93" s="49" t="s">
        <v>99</v>
      </c>
    </row>
    <row r="94" spans="3:6" x14ac:dyDescent="0.3">
      <c r="C94" s="2" t="s">
        <v>84</v>
      </c>
      <c r="E94" s="52">
        <v>5.6428279999999997E-2</v>
      </c>
      <c r="F94" s="53">
        <v>5.6428279999999997E-2</v>
      </c>
    </row>
    <row r="95" spans="3:6" x14ac:dyDescent="0.3">
      <c r="C95" s="2" t="s">
        <v>87</v>
      </c>
      <c r="E95" s="52">
        <v>0.05</v>
      </c>
      <c r="F95" s="53">
        <v>0.05</v>
      </c>
    </row>
    <row r="96" spans="3:6" x14ac:dyDescent="0.3">
      <c r="C96" s="2" t="s">
        <v>89</v>
      </c>
      <c r="E96" s="52">
        <v>5.6355950000000002E-2</v>
      </c>
      <c r="F96" s="53">
        <v>5.6355950000000002E-2</v>
      </c>
    </row>
    <row r="97" spans="3:6" x14ac:dyDescent="0.3">
      <c r="C97" s="2" t="s">
        <v>91</v>
      </c>
      <c r="E97" s="52">
        <v>6.474640999999999E-2</v>
      </c>
      <c r="F97" s="53">
        <v>6.474640999999999E-2</v>
      </c>
    </row>
    <row r="98" spans="3:6" x14ac:dyDescent="0.3">
      <c r="C98" s="2" t="s">
        <v>93</v>
      </c>
      <c r="E98" s="52">
        <v>0.05</v>
      </c>
      <c r="F98" s="53">
        <v>0.05</v>
      </c>
    </row>
    <row r="99" spans="3:6" x14ac:dyDescent="0.3">
      <c r="C99" s="2" t="s">
        <v>95</v>
      </c>
      <c r="E99" s="52">
        <v>6.4909159999999994E-2</v>
      </c>
      <c r="F99" s="53">
        <v>6.4909159999999994E-2</v>
      </c>
    </row>
    <row r="101" spans="3:6" x14ac:dyDescent="0.3">
      <c r="C101" s="2" t="s">
        <v>100</v>
      </c>
    </row>
    <row r="102" spans="3:6" x14ac:dyDescent="0.3">
      <c r="C102" s="2" t="s">
        <v>101</v>
      </c>
    </row>
    <row r="103" spans="3:6" x14ac:dyDescent="0.3">
      <c r="C103" s="2" t="s">
        <v>102</v>
      </c>
    </row>
    <row r="104" spans="3:6" x14ac:dyDescent="0.3">
      <c r="C104" s="2" t="s">
        <v>103</v>
      </c>
    </row>
    <row r="105" spans="3:6" x14ac:dyDescent="0.3">
      <c r="C105" s="2" t="s">
        <v>104</v>
      </c>
    </row>
    <row r="106" spans="3:6" x14ac:dyDescent="0.3">
      <c r="C106" s="2" t="s">
        <v>105</v>
      </c>
    </row>
    <row r="107" spans="3:6" x14ac:dyDescent="0.3">
      <c r="C107" s="2" t="s">
        <v>106</v>
      </c>
    </row>
    <row r="108" spans="3:6" x14ac:dyDescent="0.3">
      <c r="C108" s="2" t="s">
        <v>107</v>
      </c>
    </row>
    <row r="109" spans="3:6" x14ac:dyDescent="0.3">
      <c r="C109" s="2" t="s">
        <v>108</v>
      </c>
    </row>
    <row r="110" spans="3:6" x14ac:dyDescent="0.3">
      <c r="C110" s="2" t="s">
        <v>109</v>
      </c>
    </row>
    <row r="111" spans="3:6" x14ac:dyDescent="0.3">
      <c r="C111" s="2" t="s">
        <v>110</v>
      </c>
    </row>
    <row r="112" spans="3:6" x14ac:dyDescent="0.3">
      <c r="C112" s="2" t="s">
        <v>111</v>
      </c>
    </row>
    <row r="113" spans="3:55" ht="14.4" x14ac:dyDescent="0.3">
      <c r="C113" s="2" t="s">
        <v>112</v>
      </c>
      <c r="D113" s="56"/>
      <c r="E113" s="57"/>
      <c r="F113" s="57"/>
      <c r="G113" s="57"/>
      <c r="H113" s="57"/>
      <c r="I113" s="57"/>
      <c r="J113" s="57"/>
      <c r="K113" s="57"/>
      <c r="L113" s="2"/>
      <c r="M113" s="2"/>
      <c r="AF113" s="10"/>
      <c r="AJ113" s="2"/>
      <c r="AS113" s="10"/>
      <c r="AU113" s="10"/>
      <c r="AW113" s="2"/>
      <c r="BC113" s="2"/>
    </row>
    <row r="114" spans="3:55" ht="14.4" x14ac:dyDescent="0.3">
      <c r="C114" s="2" t="s">
        <v>113</v>
      </c>
      <c r="D114" s="57"/>
      <c r="E114" s="57"/>
      <c r="F114" s="57"/>
      <c r="G114" s="57"/>
      <c r="H114" s="57"/>
      <c r="I114" s="57"/>
      <c r="J114" s="57"/>
      <c r="K114" s="57"/>
      <c r="L114" s="2"/>
      <c r="M114" s="2"/>
      <c r="AF114" s="10"/>
      <c r="AJ114" s="2"/>
      <c r="AS114" s="10"/>
      <c r="AU114" s="10"/>
      <c r="AW114" s="2"/>
      <c r="BC114" s="2"/>
    </row>
    <row r="115" spans="3:55" ht="14.4" x14ac:dyDescent="0.3">
      <c r="C115" s="56"/>
      <c r="D115" s="56"/>
      <c r="E115" s="57"/>
      <c r="F115" s="57"/>
      <c r="G115" s="57"/>
      <c r="H115" s="57"/>
      <c r="I115" s="57"/>
      <c r="J115" s="57"/>
      <c r="K115" s="57"/>
    </row>
    <row r="116" spans="3:55" ht="14.4" x14ac:dyDescent="0.3">
      <c r="C116" s="57"/>
      <c r="D116" s="57"/>
      <c r="E116" s="57"/>
      <c r="F116" s="57"/>
      <c r="G116" s="57"/>
      <c r="H116" s="57"/>
      <c r="I116" s="57"/>
      <c r="J116" s="57"/>
      <c r="K116" s="57"/>
    </row>
    <row r="117" spans="3:55" ht="14.4" x14ac:dyDescent="0.3">
      <c r="C117" s="57"/>
      <c r="D117" s="57"/>
      <c r="E117" s="57"/>
      <c r="F117" s="57"/>
      <c r="G117" s="57"/>
      <c r="H117" s="57"/>
      <c r="I117" s="57"/>
      <c r="J117" s="57"/>
      <c r="K117" s="57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FL</vt:lpstr>
      <vt:lpstr>XDO_?CLASS_3?2?</vt:lpstr>
      <vt:lpstr>XDO_?FINAL_ISIN?10?</vt:lpstr>
      <vt:lpstr>XDO_?FINAL_ISIN?7?</vt:lpstr>
      <vt:lpstr>XDO_?FINAL_ISIN?8?</vt:lpstr>
      <vt:lpstr>XDO_?FINAL_ISIN?9?</vt:lpstr>
      <vt:lpstr>XDO_?FINAL_MV?10?</vt:lpstr>
      <vt:lpstr>XDO_?FINAL_MV?7?</vt:lpstr>
      <vt:lpstr>XDO_?FINAL_MV?8?</vt:lpstr>
      <vt:lpstr>XDO_?FINAL_MV?9?</vt:lpstr>
      <vt:lpstr>XDO_?FINAL_NAME?10?</vt:lpstr>
      <vt:lpstr>XDO_?FINAL_NAME?7?</vt:lpstr>
      <vt:lpstr>XDO_?FINAL_NAME?8?</vt:lpstr>
      <vt:lpstr>XDO_?FINAL_NAME?9?</vt:lpstr>
      <vt:lpstr>XDO_?FINAL_PER_NET?10?</vt:lpstr>
      <vt:lpstr>XDO_?FINAL_PER_NET?7?</vt:lpstr>
      <vt:lpstr>XDO_?FINAL_PER_NET?8?</vt:lpstr>
      <vt:lpstr>XDO_?FINAL_PER_NET?9?</vt:lpstr>
      <vt:lpstr>XDO_?FINAL_QUANTITE?10?</vt:lpstr>
      <vt:lpstr>XDO_?FINAL_QUANTITE?7?</vt:lpstr>
      <vt:lpstr>XDO_?FINAL_QUANTITE?8?</vt:lpstr>
      <vt:lpstr>XDO_?FINAL_QUANTITE?9?</vt:lpstr>
      <vt:lpstr>XDO_?NAMCNAME?2?</vt:lpstr>
      <vt:lpstr>XDO_?NOVAL?10?</vt:lpstr>
      <vt:lpstr>XDO_?NOVAL?7?</vt:lpstr>
      <vt:lpstr>XDO_?NOVAL?8?</vt:lpstr>
      <vt:lpstr>XDO_?NOVAL?9?</vt:lpstr>
      <vt:lpstr>XDO_?NPTF?2?</vt:lpstr>
      <vt:lpstr>XDO_?RATING?10?</vt:lpstr>
      <vt:lpstr>XDO_?RATING?7?</vt:lpstr>
      <vt:lpstr>XDO_?RATING?8?</vt:lpstr>
      <vt:lpstr>XDO_?RATING?9?</vt:lpstr>
      <vt:lpstr>XDO_?REMARKS?10?</vt:lpstr>
      <vt:lpstr>XDO_?REMARKS?7?</vt:lpstr>
      <vt:lpstr>XDO_?REMARKS?8?</vt:lpstr>
      <vt:lpstr>XDO_?REMARKS?9?</vt:lpstr>
      <vt:lpstr>XDO_?TITL?2?</vt:lpstr>
      <vt:lpstr>XDO_?YTM?10?</vt:lpstr>
      <vt:lpstr>XDO_?YTM?7?</vt:lpstr>
      <vt:lpstr>XDO_?YTM?8?</vt:lpstr>
      <vt:lpstr>XDO_?YTM?9?</vt:lpstr>
      <vt:lpstr>XDO_GROUP_?G_2?2?</vt:lpstr>
      <vt:lpstr>XDO_GROUP_?G_3?2?</vt:lpstr>
      <vt:lpstr>XDO_GROUP_?G_4?10?</vt:lpstr>
      <vt:lpstr>XDO_GROUP_?G_4?7?</vt:lpstr>
      <vt:lpstr>XDO_GROUP_?G_4?8?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2023-02-06T13:49:30Z</dcterms:created>
  <dcterms:modified xsi:type="dcterms:W3CDTF">2023-02-09T10:43:32Z</dcterms:modified>
</cp:coreProperties>
</file>