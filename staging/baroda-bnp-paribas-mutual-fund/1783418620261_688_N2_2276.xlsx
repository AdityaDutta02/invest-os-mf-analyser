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5?">'Monthly Portfolio'!$C$16:$C$31</definedName>
    <definedName name="XDO_?FINAL_ISIN?18?">'Monthly Portfolio'!$D$26:$D$31</definedName>
    <definedName name="XDO_?FINAL_ISIN?19?">'Monthly Portfolio'!$D$26:$D$54</definedName>
    <definedName name="XDO_?FINAL_ISIN?20?">'Monthly Portfolio'!$D$26:$D$58</definedName>
    <definedName name="XDO_?FINAL_MV?18?">'Monthly Portfolio'!$G$26:$G$31</definedName>
    <definedName name="XDO_?FINAL_MV?19?">'Monthly Portfolio'!$G$26:$G$54</definedName>
    <definedName name="XDO_?FINAL_MV?20?">'Monthly Portfolio'!$G$26:$G$58</definedName>
    <definedName name="XDO_?FINAL_NAME?18?">'Monthly Portfolio'!$C$26:$C$31</definedName>
    <definedName name="XDO_?FINAL_NAME?19?">'Monthly Portfolio'!$C$26:$C$54</definedName>
    <definedName name="XDO_?FINAL_NAME?20?">'Monthly Portfolio'!$C$26:$C$58</definedName>
    <definedName name="XDO_?FINAL_PER_NET?18?">'Monthly Portfolio'!$H$26:$H$31</definedName>
    <definedName name="XDO_?FINAL_PER_NET?19?">'Monthly Portfolio'!$H$26:$H$54</definedName>
    <definedName name="XDO_?FINAL_PER_NET?20?">'Monthly Portfolio'!$H$26:$H$58</definedName>
    <definedName name="XDO_?FINAL_QUANTITE?18?">'Monthly Portfolio'!$F$26:$F$31</definedName>
    <definedName name="XDO_?FINAL_QUANTITE?19?">'Monthly Portfolio'!$F$26:$F$54</definedName>
    <definedName name="XDO_?FINAL_QUANTITE?20?">'Monthly Portfolio'!$F$26:$F$58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[1]IC!#REF!</definedName>
    <definedName name="XDO_?NAMC?14?">[1]AF!#REF!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'Monthly Portfolio'!#REF!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5?">'Monthly Portfolio'!$C$2:$C$31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[1]IC!#REF!</definedName>
    <definedName name="XDO_?NDATE?14?">[1]AF!#REF!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'Monthly Portfolio'!#REF!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[1]IC!#REF!</definedName>
    <definedName name="XDO_?NNPTF?14?">[1]AF!#REF!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'Monthly Portfolio'!#REF!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18?">'Monthly Portfolio'!$B$26:$B$31</definedName>
    <definedName name="XDO_?NOVAL?19?">'Monthly Portfolio'!$B$26:$B$54</definedName>
    <definedName name="XDO_?NOVAL?20?">'Monthly Portfolio'!$B$26:$B$58</definedName>
    <definedName name="XDO_?NPTF?5?">'Monthly Portfolio'!$D$2:$D$31</definedName>
    <definedName name="XDO_?RATING?18?">'Monthly Portfolio'!$E$26:$E$31</definedName>
    <definedName name="XDO_?RATING?19?">'Monthly Portfolio'!$E$26:$E$54</definedName>
    <definedName name="XDO_?RATING?20?">'Monthly Portfolio'!$E$26:$E$58</definedName>
    <definedName name="XDO_?REMARKS?18?">'Monthly Portfolio'!$K$26:$K$31</definedName>
    <definedName name="XDO_?REMARKS?19?">'Monthly Portfolio'!$K$26:$K$54</definedName>
    <definedName name="XDO_?REMARKS?20?">'Monthly Portfolio'!$K$26:$K$58</definedName>
    <definedName name="XDO_?TITL?5?">'Monthly Portfolio'!$A$16:$A$31</definedName>
    <definedName name="XDO_?YTM?18?">'Monthly Portfolio'!$I$26:$I$31</definedName>
    <definedName name="XDO_?YTM?19?">'Monthly Portfolio'!$I$26:$I$54</definedName>
    <definedName name="XDO_?YTM?20?">'Monthly Portfolio'!$I$26:$I$58</definedName>
    <definedName name="XDO_GROUP_?G_2?5?">'Monthly Portfolio'!$2:$26</definedName>
    <definedName name="XDO_GROUP_?G_3?5?">'Monthly Portfolio'!$8:$25</definedName>
    <definedName name="XDO_GROUP_?G_4?117?">[1]ON!#REF!</definedName>
    <definedName name="XDO_GROUP_?G_4?18?">'Monthly Portfolio'!$B$10:$IV$15</definedName>
    <definedName name="XDO_GROUP_?G_4?19?">'Monthly Portfolio'!$B$18:$IV$18</definedName>
    <definedName name="XDO_GROUP_?G_4?20?">'Monthly Portfolio'!$B$23:$IV$23</definedName>
    <definedName name="XDO_GROUP_?G_4?32?">[1]TA!#REF!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2"/>
  <c r="H61" i="1"/>
</calcChain>
</file>

<file path=xl/sharedStrings.xml><?xml version="1.0" encoding="utf-8"?>
<sst xmlns="http://schemas.openxmlformats.org/spreadsheetml/2006/main" count="263" uniqueCount="103">
  <si>
    <t>Baroda BNP Paribas Mutual Fund</t>
  </si>
  <si>
    <t>T0MD28</t>
  </si>
  <si>
    <t>SCHEME NAME :</t>
  </si>
  <si>
    <t xml:space="preserve">Baroda BNP Paribas NIFTY SDL December 2028 Index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</si>
  <si>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</si>
  <si>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</si>
  <si>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</si>
  <si>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</si>
  <si>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</si>
  <si>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</si>
  <si>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</si>
  <si>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</si>
  <si>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</si>
  <si>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</si>
  <si>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</si>
  <si>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</si>
  <si>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</si>
  <si>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</si>
  <si>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</si>
  <si>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</si>
  <si>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</si>
  <si>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</si>
  <si>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</si>
  <si>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</si>
  <si>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</si>
  <si>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1900364</t>
  </si>
  <si>
    <t>8.08% State Government of Gujarat 26-Dec-2028</t>
  </si>
  <si>
    <t>IN1520180234</t>
  </si>
  <si>
    <t>Sovereign</t>
  </si>
  <si>
    <t>1900285</t>
  </si>
  <si>
    <t>8.08% State Government of Maharashtra 26-Dec-2028</t>
  </si>
  <si>
    <t>IN2220180052</t>
  </si>
  <si>
    <t>1901362</t>
  </si>
  <si>
    <t>8.18% State Government of Tamil Nadu 19-Dec-2028</t>
  </si>
  <si>
    <t>IN3120180192</t>
  </si>
  <si>
    <t>1900283</t>
  </si>
  <si>
    <t>8.08% State Government of Tamil Nadu 26-Dec-2028</t>
  </si>
  <si>
    <t>IN3120180200</t>
  </si>
  <si>
    <t>1901657</t>
  </si>
  <si>
    <t>8.65% State Government of Gujarat 10-Oct-2028</t>
  </si>
  <si>
    <t>IN1520180143</t>
  </si>
  <si>
    <t>1904813</t>
  </si>
  <si>
    <t>7.50% State Government of Andhra Pradesh 30-Nov-2028</t>
  </si>
  <si>
    <t>IN1020220589</t>
  </si>
  <si>
    <t>Total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</si>
  <si>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</si>
  <si>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</si>
  <si>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</si>
  <si>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</si>
  <si>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</si>
  <si>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</si>
  <si>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</si>
  <si>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</si>
  <si>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</si>
  <si>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</si>
  <si>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</si>
  <si>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</si>
  <si>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</si>
  <si>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</si>
  <si>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</si>
  <si>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</si>
  <si>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</si>
  <si>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</si>
  <si>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</si>
  <si>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</si>
  <si>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</si>
  <si>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</si>
  <si>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</si>
  <si>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</si>
  <si>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</si>
  <si>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</si>
  <si>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</si>
  <si>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</si>
  <si>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</si>
  <si>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</si>
  <si>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N.A.</t>
  </si>
  <si>
    <t>Regular Plan - Growth Option</t>
  </si>
  <si>
    <t>Direct Plan - IDCW Option</t>
  </si>
  <si>
    <t>Direct Plan - Growth Option</t>
  </si>
  <si>
    <t>(8) No Dividend declared during the Month ended March 31, 2023</t>
  </si>
  <si>
    <t>(9) There were no investments made in derivative instruments and no such derivative instrument was squared off/ expired /exercised during the Month ended March 31, 2023. Further there are no investments in derivative instruments as on March 31, 2023.</t>
  </si>
  <si>
    <t>(10) Total Market value of investments in Foreign Securities/American Depositary Receipts/Global Depositary Receipts as at  March 31, 2023 is Rs. Nil.</t>
  </si>
  <si>
    <t>(11)  The Average Maturity period of the portfolio has been 1985 days.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</si>
  <si>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</si>
  <si>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</si>
  <si>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</si>
  <si>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</si>
  <si>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</si>
  <si>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</si>
  <si>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</si>
  <si>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</si>
  <si>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</si>
  <si>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(17) Macaulay Duration of the portfolio has been 1,595,days.</t>
  </si>
  <si>
    <t>(18) Annualised Portfolio YTM has been 7.5992.</t>
  </si>
  <si>
    <t>Baroda BNP Paribas NIFTY SDL December 2028 Index Fund 
(An open-ended Target Maturity Index Fund replicating / tracking the NIFTY SDL December 2028 Index)
A Relatively High Interest Rate Risk and Relatively Low Credit Risk.)</t>
  </si>
  <si>
    <t>HALF YEARLY PORTFOLIO STATEMENT AS ON MARCH 31, 2023
(Pursuant to the provisions of Regulation 59A of the Securities and Exchange Board of India (Mutual Funds) Regulations, 1996)</t>
  </si>
  <si>
    <t>As on September 30, 2022</t>
  </si>
  <si>
    <t>(8) No Dividend declared during the Half Year ended March 31, 2023</t>
  </si>
  <si>
    <t>(9) There were no investments made in derivative instruments and no such derivative instrument was squared off/ expired /exercised during the Half Year ended March 31, 2023. Further there are no investments in derivative instruments as on March 31, 2023.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</si>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</sst>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5" fontId="3" fillId="0" borderId="10" xfId="1" applyNumberFormat="1" applyFont="1" applyBorder="1"/>
    <xf numFmtId="164" fontId="3" fillId="0" borderId="10" xfId="1" applyFont="1" applyBorder="1" applyAlignment="1">
      <alignment horizontal="right"/>
    </xf>
    <xf numFmtId="164" fontId="3" fillId="0" borderId="10" xfId="1" applyFont="1" applyBorder="1"/>
    <xf numFmtId="166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 applyAlignment="1">
      <alignment horizontal="center"/>
    </xf>
    <xf numFmtId="168" fontId="3" fillId="0" borderId="0" xfId="1" applyNumberFormat="1" applyFont="1"/>
    <xf numFmtId="0" fontId="0" fillId="0" borderId="0" xfId="0" applyAlignment="1">
      <alignment vertical="top"/>
    </xf>
    <xf numFmtId="0" fontId="12" fillId="4" borderId="19" xfId="0" applyFont="1" applyFill="1" applyBorder="1" applyAlignment="1">
      <alignment horizontal="center" wrapText="1"/>
    </xf>
    <xf numFmtId="0" fontId="12" fillId="4" borderId="20" xfId="0" applyFont="1" applyFill="1" applyBorder="1" applyAlignment="1">
      <alignment horizontal="center" wrapText="1"/>
    </xf>
    <xf numFmtId="0" fontId="12" fillId="4" borderId="21" xfId="0" applyFont="1" applyFill="1" applyBorder="1" applyAlignment="1">
      <alignment horizontal="center" wrapText="1"/>
    </xf>
    <xf numFmtId="0" fontId="12" fillId="4" borderId="22" xfId="0" applyFont="1" applyFill="1" applyBorder="1" applyAlignment="1">
      <alignment horizontal="center" wrapText="1"/>
    </xf>
    <xf numFmtId="0" fontId="12" fillId="4" borderId="23" xfId="0" applyFont="1" applyFill="1" applyBorder="1" applyAlignment="1">
      <alignment horizontal="center" wrapText="1"/>
    </xf>
    <xf numFmtId="0" fontId="12" fillId="4" borderId="24" xfId="0" applyFont="1" applyFill="1" applyBorder="1" applyAlignment="1">
      <alignment horizontal="center" wrapText="1"/>
    </xf>
    <xf numFmtId="0" fontId="12" fillId="5" borderId="25" xfId="0" applyFont="1" applyFill="1" applyBorder="1" applyAlignment="1">
      <alignment horizontal="center" wrapText="1"/>
    </xf>
    <xf numFmtId="0" fontId="12" fillId="5" borderId="26" xfId="0" applyFont="1" applyFill="1" applyBorder="1" applyAlignment="1">
      <alignment horizontal="center" wrapText="1"/>
    </xf>
    <xf numFmtId="0" fontId="12" fillId="5" borderId="27" xfId="0" applyFont="1" applyFill="1" applyBorder="1" applyAlignment="1">
      <alignment horizontal="center" wrapText="1"/>
    </xf>
    <xf numFmtId="168" fontId="3" fillId="0" borderId="0" xfId="0" applyNumberFormat="1" applyFont="1" applyAlignment="1">
      <alignment horizontal="right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5</xdr:col>
      <xdr:colOff>703241</xdr:colOff>
      <xdr:row>114</xdr:row>
      <xdr:rowOff>125137</xdr:rowOff>
    </xdr:to>
    <xdr:pic>
      <xdr:nvPicPr>
        <xdr:cNvPr id="2" name="Picture 1" descr="NIFTY SDL December 2028 Index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16615833"/>
          <a:ext cx="7455408" cy="3194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5</xdr:col>
      <xdr:colOff>703241</xdr:colOff>
      <xdr:row>116</xdr:row>
      <xdr:rowOff>125137</xdr:rowOff>
    </xdr:to>
    <xdr:pic>
      <xdr:nvPicPr>
        <xdr:cNvPr id="2" name="Picture 1" descr="NIFTY SDL December 2028 Index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17129760"/>
          <a:ext cx="7652681" cy="32874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7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2" sqref="C2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C8" s="28" t="s">
        <v>14</v>
      </c>
      <c r="D8" s="29"/>
      <c r="E8" s="30"/>
      <c r="F8" s="31"/>
      <c r="G8" s="32"/>
      <c r="H8" s="32"/>
      <c r="I8" s="33"/>
      <c r="J8" s="33"/>
      <c r="K8" s="34"/>
    </row>
    <row r="9" spans="1:54">
      <c r="C9" s="21"/>
      <c r="D9" s="29"/>
      <c r="E9" s="30"/>
      <c r="F9" s="31"/>
      <c r="G9" s="32"/>
      <c r="H9" s="32"/>
      <c r="I9" s="33"/>
      <c r="J9" s="33"/>
      <c r="K9" s="34"/>
    </row>
    <row r="10" spans="1:54">
      <c r="C10" s="28" t="s">
        <v>15</v>
      </c>
      <c r="D10" s="29"/>
      <c r="E10" s="30"/>
      <c r="F10" s="31"/>
      <c r="G10" s="32" t="s">
        <v>16</v>
      </c>
      <c r="H10" s="32" t="s">
        <v>16</v>
      </c>
      <c r="I10" s="33"/>
      <c r="J10" s="33"/>
      <c r="K10" s="34"/>
    </row>
    <row r="11" spans="1:54">
      <c r="C11" s="21"/>
      <c r="D11" s="29"/>
      <c r="E11" s="30"/>
      <c r="F11" s="31"/>
      <c r="G11" s="32"/>
      <c r="H11" s="32"/>
      <c r="I11" s="33"/>
      <c r="J11" s="33"/>
      <c r="K11" s="34"/>
    </row>
    <row r="12" spans="1:54">
      <c r="C12" s="28" t="s">
        <v>17</v>
      </c>
      <c r="D12" s="29"/>
      <c r="E12" s="30"/>
      <c r="F12" s="31"/>
      <c r="G12" s="32" t="s">
        <v>16</v>
      </c>
      <c r="H12" s="32" t="s">
        <v>16</v>
      </c>
      <c r="I12" s="33"/>
      <c r="J12" s="33"/>
      <c r="K12" s="34"/>
    </row>
    <row r="13" spans="1:54">
      <c r="C13" s="21"/>
      <c r="D13" s="29"/>
      <c r="E13" s="30"/>
      <c r="F13" s="31"/>
      <c r="G13" s="32"/>
      <c r="H13" s="32"/>
      <c r="I13" s="33"/>
      <c r="J13" s="33"/>
      <c r="K13" s="34"/>
    </row>
    <row r="14" spans="1:54">
      <c r="C14" s="28" t="s">
        <v>18</v>
      </c>
      <c r="D14" s="29"/>
      <c r="E14" s="30"/>
      <c r="F14" s="31"/>
      <c r="G14" s="32" t="s">
        <v>16</v>
      </c>
      <c r="H14" s="32" t="s">
        <v>16</v>
      </c>
      <c r="I14" s="33"/>
      <c r="J14" s="33"/>
      <c r="K14" s="34"/>
    </row>
    <row r="15" spans="1:54">
      <c r="C15" s="21"/>
      <c r="D15" s="29"/>
      <c r="E15" s="30"/>
      <c r="F15" s="31"/>
      <c r="G15" s="32"/>
      <c r="H15" s="32"/>
      <c r="I15" s="33"/>
      <c r="J15" s="33"/>
      <c r="K15" s="34"/>
    </row>
    <row r="16" spans="1:54">
      <c r="A16" s="35"/>
      <c r="B16" s="36"/>
      <c r="C16" s="28" t="s">
        <v>19</v>
      </c>
      <c r="D16" s="29"/>
      <c r="E16" s="30"/>
      <c r="F16" s="31"/>
      <c r="G16" s="32"/>
      <c r="H16" s="32"/>
      <c r="I16" s="33"/>
      <c r="J16" s="33"/>
      <c r="K16" s="34"/>
    </row>
    <row r="17" spans="1:11">
      <c r="A17" s="36"/>
      <c r="B17" s="36"/>
      <c r="C17" s="28" t="s">
        <v>20</v>
      </c>
      <c r="D17" s="29"/>
      <c r="E17" s="30"/>
      <c r="F17" s="31"/>
      <c r="G17" s="32" t="s">
        <v>16</v>
      </c>
      <c r="H17" s="32" t="s">
        <v>16</v>
      </c>
      <c r="I17" s="33"/>
      <c r="J17" s="33"/>
      <c r="K17" s="34"/>
    </row>
    <row r="18" spans="1:11">
      <c r="A18" s="36"/>
      <c r="B18" s="36"/>
      <c r="C18" s="28"/>
      <c r="D18" s="29"/>
      <c r="E18" s="30"/>
      <c r="F18" s="31"/>
      <c r="G18" s="32"/>
      <c r="H18" s="32"/>
      <c r="I18" s="33"/>
      <c r="J18" s="33"/>
      <c r="K18" s="34"/>
    </row>
    <row r="19" spans="1:11">
      <c r="A19" s="36"/>
      <c r="B19" s="36"/>
      <c r="C19" s="28" t="s">
        <v>21</v>
      </c>
      <c r="D19" s="29"/>
      <c r="E19" s="30"/>
      <c r="F19" s="31"/>
      <c r="G19" s="32" t="s">
        <v>16</v>
      </c>
      <c r="H19" s="32" t="s">
        <v>16</v>
      </c>
      <c r="I19" s="33"/>
      <c r="J19" s="33"/>
      <c r="K19" s="34"/>
    </row>
    <row r="20" spans="1:11">
      <c r="A20" s="36"/>
      <c r="B20" s="36"/>
      <c r="C20" s="28"/>
      <c r="D20" s="29"/>
      <c r="E20" s="30"/>
      <c r="F20" s="31"/>
      <c r="G20" s="32"/>
      <c r="H20" s="32"/>
      <c r="I20" s="33"/>
      <c r="J20" s="33"/>
      <c r="K20" s="34"/>
    </row>
    <row r="21" spans="1:11">
      <c r="A21" s="36"/>
      <c r="B21" s="36"/>
      <c r="C21" s="28" t="s">
        <v>22</v>
      </c>
      <c r="D21" s="29"/>
      <c r="E21" s="30"/>
      <c r="F21" s="31"/>
      <c r="G21" s="32" t="s">
        <v>16</v>
      </c>
      <c r="H21" s="32" t="s">
        <v>16</v>
      </c>
      <c r="I21" s="33"/>
      <c r="J21" s="33"/>
      <c r="K21" s="34"/>
    </row>
    <row r="22" spans="1:11">
      <c r="A22" s="36"/>
      <c r="B22" s="36"/>
      <c r="C22" s="28"/>
      <c r="D22" s="29"/>
      <c r="E22" s="30"/>
      <c r="F22" s="31"/>
      <c r="G22" s="32"/>
      <c r="H22" s="32"/>
      <c r="I22" s="33"/>
      <c r="J22" s="33"/>
      <c r="K22" s="34"/>
    </row>
    <row r="23" spans="1:11">
      <c r="A23" s="36"/>
      <c r="B23" s="36"/>
      <c r="C23" s="28" t="s">
        <v>23</v>
      </c>
      <c r="D23" s="29"/>
      <c r="E23" s="30"/>
      <c r="F23" s="31"/>
      <c r="G23" s="32" t="s">
        <v>16</v>
      </c>
      <c r="H23" s="32" t="s">
        <v>16</v>
      </c>
      <c r="I23" s="33"/>
      <c r="J23" s="33"/>
      <c r="K23" s="34"/>
    </row>
    <row r="24" spans="1:11">
      <c r="A24" s="36"/>
      <c r="B24" s="36"/>
      <c r="C24" s="28"/>
      <c r="D24" s="29"/>
      <c r="E24" s="30"/>
      <c r="F24" s="31"/>
      <c r="G24" s="32"/>
      <c r="H24" s="32"/>
      <c r="I24" s="33"/>
      <c r="J24" s="33"/>
      <c r="K24" s="34"/>
    </row>
    <row r="25" spans="1:11">
      <c r="C25" s="37" t="s">
        <v>24</v>
      </c>
      <c r="D25" s="29"/>
      <c r="E25" s="30"/>
      <c r="F25" s="31"/>
      <c r="G25" s="32"/>
      <c r="H25" s="32"/>
      <c r="I25" s="33"/>
      <c r="J25" s="33"/>
      <c r="K25" s="34"/>
    </row>
    <row r="26" spans="1:11">
      <c r="B26" s="1" t="s">
        <v>25</v>
      </c>
      <c r="C26" s="21" t="s">
        <v>26</v>
      </c>
      <c r="D26" s="29" t="s">
        <v>27</v>
      </c>
      <c r="E26" s="30" t="s">
        <v>28</v>
      </c>
      <c r="F26" s="31">
        <v>2237800</v>
      </c>
      <c r="G26" s="32">
        <v>2299.19</v>
      </c>
      <c r="H26" s="32">
        <v>33.36</v>
      </c>
      <c r="I26" s="33">
        <v>7.6188896000000002</v>
      </c>
      <c r="J26" s="33"/>
      <c r="K26" s="34"/>
    </row>
    <row r="27" spans="1:11">
      <c r="B27" s="1" t="s">
        <v>29</v>
      </c>
      <c r="C27" s="21" t="s">
        <v>30</v>
      </c>
      <c r="D27" s="29" t="s">
        <v>31</v>
      </c>
      <c r="E27" s="30" t="s">
        <v>28</v>
      </c>
      <c r="F27" s="31">
        <v>1137400</v>
      </c>
      <c r="G27" s="32">
        <v>1168.29</v>
      </c>
      <c r="H27" s="32">
        <v>16.95</v>
      </c>
      <c r="I27" s="33">
        <v>7.6250625000000003</v>
      </c>
      <c r="J27" s="33"/>
      <c r="K27" s="34"/>
    </row>
    <row r="28" spans="1:11">
      <c r="B28" s="1" t="s">
        <v>32</v>
      </c>
      <c r="C28" s="21" t="s">
        <v>33</v>
      </c>
      <c r="D28" s="29" t="s">
        <v>34</v>
      </c>
      <c r="E28" s="30" t="s">
        <v>28</v>
      </c>
      <c r="F28" s="31">
        <v>1000000</v>
      </c>
      <c r="G28" s="32">
        <v>1030.5899999999999</v>
      </c>
      <c r="H28" s="32">
        <v>14.95</v>
      </c>
      <c r="I28" s="33">
        <v>7.6489126000000001</v>
      </c>
      <c r="J28" s="33"/>
      <c r="K28" s="34"/>
    </row>
    <row r="29" spans="1:11">
      <c r="B29" s="1" t="s">
        <v>35</v>
      </c>
      <c r="C29" s="21" t="s">
        <v>36</v>
      </c>
      <c r="D29" s="29" t="s">
        <v>37</v>
      </c>
      <c r="E29" s="30" t="s">
        <v>28</v>
      </c>
      <c r="F29" s="31">
        <v>1000000</v>
      </c>
      <c r="G29" s="32">
        <v>1027.3900000000001</v>
      </c>
      <c r="H29" s="32">
        <v>14.91</v>
      </c>
      <c r="I29" s="33">
        <v>7.6199789000000004</v>
      </c>
      <c r="J29" s="33"/>
      <c r="K29" s="34"/>
    </row>
    <row r="30" spans="1:11">
      <c r="B30" s="1" t="s">
        <v>38</v>
      </c>
      <c r="C30" s="21" t="s">
        <v>39</v>
      </c>
      <c r="D30" s="29" t="s">
        <v>40</v>
      </c>
      <c r="E30" s="30" t="s">
        <v>28</v>
      </c>
      <c r="F30" s="31">
        <v>500000</v>
      </c>
      <c r="G30" s="32">
        <v>526.29</v>
      </c>
      <c r="H30" s="32">
        <v>7.64</v>
      </c>
      <c r="I30" s="33">
        <v>7.6096836999999997</v>
      </c>
      <c r="J30" s="33"/>
      <c r="K30" s="34"/>
    </row>
    <row r="31" spans="1:11">
      <c r="B31" s="1" t="s">
        <v>41</v>
      </c>
      <c r="C31" s="21" t="s">
        <v>42</v>
      </c>
      <c r="D31" s="29" t="s">
        <v>43</v>
      </c>
      <c r="E31" s="30" t="s">
        <v>28</v>
      </c>
      <c r="F31" s="31">
        <v>500000</v>
      </c>
      <c r="G31" s="32">
        <v>500.61</v>
      </c>
      <c r="H31" s="32">
        <v>7.26</v>
      </c>
      <c r="I31" s="33">
        <v>7.6096319000000001</v>
      </c>
      <c r="J31" s="33"/>
      <c r="K31" s="34"/>
    </row>
    <row r="32" spans="1:11">
      <c r="C32" s="28" t="s">
        <v>44</v>
      </c>
      <c r="D32" s="29"/>
      <c r="E32" s="30"/>
      <c r="F32" s="31"/>
      <c r="G32" s="38">
        <v>6552.36</v>
      </c>
      <c r="H32" s="38">
        <v>95.07</v>
      </c>
      <c r="I32" s="33"/>
      <c r="J32" s="33"/>
      <c r="K32" s="34"/>
    </row>
    <row r="33" spans="1:11">
      <c r="C33" s="21"/>
      <c r="D33" s="29"/>
      <c r="E33" s="30"/>
      <c r="F33" s="31"/>
      <c r="G33" s="32"/>
      <c r="H33" s="32"/>
      <c r="I33" s="33"/>
      <c r="J33" s="33"/>
      <c r="K33" s="34"/>
    </row>
    <row r="34" spans="1:11">
      <c r="C34" s="28" t="s">
        <v>45</v>
      </c>
      <c r="D34" s="29"/>
      <c r="E34" s="30"/>
      <c r="F34" s="31"/>
      <c r="G34" s="32"/>
      <c r="H34" s="32"/>
      <c r="I34" s="33"/>
      <c r="J34" s="33"/>
      <c r="K34" s="34"/>
    </row>
    <row r="35" spans="1:11">
      <c r="C35" s="21"/>
      <c r="D35" s="29"/>
      <c r="E35" s="30"/>
      <c r="F35" s="31"/>
      <c r="G35" s="32"/>
      <c r="H35" s="32"/>
      <c r="I35" s="33"/>
      <c r="J35" s="33"/>
      <c r="K35" s="34"/>
    </row>
    <row r="36" spans="1:11">
      <c r="C36" s="28" t="s">
        <v>46</v>
      </c>
      <c r="D36" s="29"/>
      <c r="E36" s="30"/>
      <c r="F36" s="31"/>
      <c r="G36" s="32" t="s">
        <v>16</v>
      </c>
      <c r="H36" s="32" t="s">
        <v>16</v>
      </c>
      <c r="I36" s="33"/>
      <c r="J36" s="33"/>
      <c r="K36" s="34"/>
    </row>
    <row r="37" spans="1:11">
      <c r="C37" s="21"/>
      <c r="D37" s="29"/>
      <c r="E37" s="30"/>
      <c r="F37" s="31"/>
      <c r="G37" s="32"/>
      <c r="H37" s="32"/>
      <c r="I37" s="33"/>
      <c r="J37" s="33"/>
      <c r="K37" s="34"/>
    </row>
    <row r="38" spans="1:11">
      <c r="C38" s="28" t="s">
        <v>47</v>
      </c>
      <c r="D38" s="29"/>
      <c r="E38" s="30"/>
      <c r="F38" s="31"/>
      <c r="G38" s="32" t="s">
        <v>16</v>
      </c>
      <c r="H38" s="32" t="s">
        <v>16</v>
      </c>
      <c r="I38" s="33"/>
      <c r="J38" s="33"/>
      <c r="K38" s="34"/>
    </row>
    <row r="39" spans="1:11">
      <c r="C39" s="21"/>
      <c r="D39" s="29"/>
      <c r="E39" s="30"/>
      <c r="F39" s="31"/>
      <c r="G39" s="32"/>
      <c r="H39" s="32"/>
      <c r="I39" s="33"/>
      <c r="J39" s="33"/>
      <c r="K39" s="34"/>
    </row>
    <row r="40" spans="1:11">
      <c r="C40" s="28" t="s">
        <v>48</v>
      </c>
      <c r="D40" s="29"/>
      <c r="E40" s="30"/>
      <c r="F40" s="31"/>
      <c r="G40" s="32" t="s">
        <v>16</v>
      </c>
      <c r="H40" s="32" t="s">
        <v>16</v>
      </c>
      <c r="I40" s="33"/>
      <c r="J40" s="33"/>
      <c r="K40" s="34"/>
    </row>
    <row r="41" spans="1:11">
      <c r="C41" s="21"/>
      <c r="D41" s="29"/>
      <c r="E41" s="30"/>
      <c r="F41" s="31"/>
      <c r="G41" s="32"/>
      <c r="H41" s="32"/>
      <c r="I41" s="33"/>
      <c r="J41" s="33"/>
      <c r="K41" s="34"/>
    </row>
    <row r="42" spans="1:11">
      <c r="C42" s="28" t="s">
        <v>49</v>
      </c>
      <c r="D42" s="29"/>
      <c r="E42" s="30"/>
      <c r="F42" s="31"/>
      <c r="G42" s="32" t="s">
        <v>16</v>
      </c>
      <c r="H42" s="32" t="s">
        <v>16</v>
      </c>
      <c r="I42" s="33"/>
      <c r="J42" s="33"/>
      <c r="K42" s="34"/>
    </row>
    <row r="43" spans="1:11">
      <c r="C43" s="21"/>
      <c r="D43" s="29"/>
      <c r="E43" s="30"/>
      <c r="F43" s="31"/>
      <c r="G43" s="32"/>
      <c r="H43" s="32"/>
      <c r="I43" s="33"/>
      <c r="J43" s="33"/>
      <c r="K43" s="34"/>
    </row>
    <row r="44" spans="1:11">
      <c r="A44" s="35"/>
      <c r="B44" s="36"/>
      <c r="C44" s="28" t="s">
        <v>50</v>
      </c>
      <c r="D44" s="29"/>
      <c r="E44" s="30"/>
      <c r="F44" s="31"/>
      <c r="G44" s="32"/>
      <c r="H44" s="32"/>
      <c r="I44" s="33"/>
      <c r="J44" s="33"/>
      <c r="K44" s="34"/>
    </row>
    <row r="45" spans="1:11">
      <c r="A45" s="36"/>
      <c r="B45" s="36"/>
      <c r="C45" s="28" t="s">
        <v>51</v>
      </c>
      <c r="D45" s="29"/>
      <c r="E45" s="30"/>
      <c r="F45" s="31"/>
      <c r="G45" s="32" t="s">
        <v>16</v>
      </c>
      <c r="H45" s="32" t="s">
        <v>16</v>
      </c>
      <c r="I45" s="33"/>
      <c r="J45" s="33"/>
      <c r="K45" s="34"/>
    </row>
    <row r="46" spans="1:11">
      <c r="A46" s="36"/>
      <c r="B46" s="36"/>
      <c r="C46" s="28"/>
      <c r="D46" s="29"/>
      <c r="E46" s="30"/>
      <c r="F46" s="31"/>
      <c r="G46" s="32"/>
      <c r="H46" s="32"/>
      <c r="I46" s="33"/>
      <c r="J46" s="33"/>
      <c r="K46" s="34"/>
    </row>
    <row r="47" spans="1:11">
      <c r="A47" s="36"/>
      <c r="B47" s="36"/>
      <c r="C47" s="28" t="s">
        <v>52</v>
      </c>
      <c r="D47" s="29"/>
      <c r="E47" s="30"/>
      <c r="F47" s="31"/>
      <c r="G47" s="32" t="s">
        <v>16</v>
      </c>
      <c r="H47" s="32" t="s">
        <v>16</v>
      </c>
      <c r="I47" s="33"/>
      <c r="J47" s="33"/>
      <c r="K47" s="34"/>
    </row>
    <row r="48" spans="1:11">
      <c r="A48" s="36"/>
      <c r="B48" s="36"/>
      <c r="C48" s="28"/>
      <c r="D48" s="29"/>
      <c r="E48" s="30"/>
      <c r="F48" s="31"/>
      <c r="G48" s="32"/>
      <c r="H48" s="32"/>
      <c r="I48" s="33"/>
      <c r="J48" s="33"/>
      <c r="K48" s="34"/>
    </row>
    <row r="49" spans="1:11">
      <c r="A49" s="36"/>
      <c r="B49" s="36"/>
      <c r="C49" s="28" t="s">
        <v>53</v>
      </c>
      <c r="D49" s="29"/>
      <c r="E49" s="30"/>
      <c r="F49" s="31"/>
      <c r="G49" s="32" t="s">
        <v>16</v>
      </c>
      <c r="H49" s="32" t="s">
        <v>16</v>
      </c>
      <c r="I49" s="33"/>
      <c r="J49" s="33"/>
      <c r="K49" s="34"/>
    </row>
    <row r="50" spans="1:11">
      <c r="A50" s="36"/>
      <c r="B50" s="36"/>
      <c r="C50" s="28"/>
      <c r="D50" s="29"/>
      <c r="E50" s="30"/>
      <c r="F50" s="31"/>
      <c r="G50" s="32"/>
      <c r="H50" s="32"/>
      <c r="I50" s="33"/>
      <c r="J50" s="33"/>
      <c r="K50" s="34"/>
    </row>
    <row r="51" spans="1:11">
      <c r="A51" s="36"/>
      <c r="B51" s="36"/>
      <c r="C51" s="28" t="s">
        <v>54</v>
      </c>
      <c r="D51" s="29"/>
      <c r="E51" s="30"/>
      <c r="F51" s="31"/>
      <c r="G51" s="32" t="s">
        <v>16</v>
      </c>
      <c r="H51" s="32" t="s">
        <v>16</v>
      </c>
      <c r="I51" s="33"/>
      <c r="J51" s="33"/>
      <c r="K51" s="34"/>
    </row>
    <row r="52" spans="1:11">
      <c r="A52" s="36"/>
      <c r="B52" s="36"/>
      <c r="C52" s="28"/>
      <c r="D52" s="29"/>
      <c r="E52" s="30"/>
      <c r="F52" s="31"/>
      <c r="G52" s="32"/>
      <c r="H52" s="32"/>
      <c r="I52" s="33"/>
      <c r="J52" s="33"/>
      <c r="K52" s="34"/>
    </row>
    <row r="53" spans="1:11">
      <c r="C53" s="37" t="s">
        <v>55</v>
      </c>
      <c r="D53" s="29"/>
      <c r="E53" s="30"/>
      <c r="F53" s="31"/>
      <c r="G53" s="32"/>
      <c r="H53" s="32"/>
      <c r="I53" s="33"/>
      <c r="J53" s="33"/>
      <c r="K53" s="34"/>
    </row>
    <row r="54" spans="1:11">
      <c r="B54" s="1" t="s">
        <v>56</v>
      </c>
      <c r="C54" s="21" t="s">
        <v>57</v>
      </c>
      <c r="D54" s="29"/>
      <c r="E54" s="30"/>
      <c r="F54" s="31"/>
      <c r="G54" s="32">
        <v>600.65</v>
      </c>
      <c r="H54" s="32">
        <v>8.7100000000000009</v>
      </c>
      <c r="I54" s="33">
        <v>7.14</v>
      </c>
      <c r="J54" s="33"/>
      <c r="K54" s="34"/>
    </row>
    <row r="55" spans="1:11">
      <c r="C55" s="28" t="s">
        <v>44</v>
      </c>
      <c r="D55" s="29"/>
      <c r="E55" s="30"/>
      <c r="F55" s="31"/>
      <c r="G55" s="38">
        <v>600.65</v>
      </c>
      <c r="H55" s="38">
        <v>8.7100000000000009</v>
      </c>
      <c r="I55" s="33"/>
      <c r="J55" s="33"/>
      <c r="K55" s="34"/>
    </row>
    <row r="56" spans="1:11">
      <c r="C56" s="21"/>
      <c r="D56" s="29"/>
      <c r="E56" s="30"/>
      <c r="F56" s="31"/>
      <c r="G56" s="32"/>
      <c r="H56" s="32"/>
      <c r="I56" s="33"/>
      <c r="J56" s="33"/>
      <c r="K56" s="34"/>
    </row>
    <row r="57" spans="1:11">
      <c r="A57" s="35"/>
      <c r="B57" s="36"/>
      <c r="C57" s="28" t="s">
        <v>58</v>
      </c>
      <c r="D57" s="29"/>
      <c r="E57" s="30"/>
      <c r="F57" s="31"/>
      <c r="G57" s="32"/>
      <c r="H57" s="32"/>
      <c r="I57" s="33"/>
      <c r="J57" s="33"/>
      <c r="K57" s="34"/>
    </row>
    <row r="58" spans="1:11">
      <c r="B58" s="1"/>
      <c r="C58" s="21" t="s">
        <v>59</v>
      </c>
      <c r="D58" s="29"/>
      <c r="E58" s="30"/>
      <c r="F58" s="31"/>
      <c r="G58" s="32">
        <v>-260.23</v>
      </c>
      <c r="H58" s="32">
        <v>-3.78</v>
      </c>
      <c r="I58" s="33"/>
      <c r="J58" s="33"/>
      <c r="K58" s="34"/>
    </row>
    <row r="59" spans="1:11">
      <c r="C59" s="28" t="s">
        <v>44</v>
      </c>
      <c r="D59" s="29"/>
      <c r="E59" s="30"/>
      <c r="F59" s="31"/>
      <c r="G59" s="38">
        <v>-260.23</v>
      </c>
      <c r="H59" s="38">
        <v>-3.78</v>
      </c>
      <c r="I59" s="33"/>
      <c r="J59" s="33"/>
      <c r="K59" s="34"/>
    </row>
    <row r="60" spans="1:11">
      <c r="C60" s="21"/>
      <c r="D60" s="29"/>
      <c r="E60" s="30"/>
      <c r="F60" s="31"/>
      <c r="G60" s="32"/>
      <c r="H60" s="32"/>
      <c r="I60" s="33"/>
      <c r="J60" s="33"/>
      <c r="K60" s="34"/>
    </row>
    <row r="61" spans="1:11" ht="14.4" thickBot="1">
      <c r="C61" s="39" t="s">
        <v>60</v>
      </c>
      <c r="D61" s="40"/>
      <c r="E61" s="41"/>
      <c r="F61" s="42"/>
      <c r="G61" s="43">
        <v>6892.78</v>
      </c>
      <c r="H61" s="43">
        <f>SUMIFS(H:H,C:C,"Total")</f>
        <v>100</v>
      </c>
      <c r="I61" s="44"/>
      <c r="J61" s="44"/>
      <c r="K61" s="45"/>
    </row>
    <row r="64" spans="1:11">
      <c r="C64" s="11" t="s">
        <v>61</v>
      </c>
    </row>
    <row r="65" spans="3:54">
      <c r="C65" s="2" t="s">
        <v>62</v>
      </c>
    </row>
    <row r="66" spans="3:54">
      <c r="C66" s="46" t="s">
        <v>63</v>
      </c>
    </row>
    <row r="67" spans="3:54">
      <c r="C67" s="2" t="s">
        <v>64</v>
      </c>
    </row>
    <row r="68" spans="3:54">
      <c r="C68" s="2" t="s">
        <v>65</v>
      </c>
    </row>
    <row r="69" spans="3:54">
      <c r="C69" s="2" t="s">
        <v>66</v>
      </c>
      <c r="D69" s="47"/>
      <c r="E69" s="47"/>
      <c r="F69" s="47"/>
      <c r="G69" s="48"/>
      <c r="H69" s="48"/>
    </row>
    <row r="70" spans="3:54">
      <c r="C70" s="2" t="s">
        <v>67</v>
      </c>
    </row>
    <row r="71" spans="3:54">
      <c r="C71" s="2" t="s">
        <v>68</v>
      </c>
    </row>
    <row r="72" spans="3:54">
      <c r="C72" s="2" t="s">
        <v>69</v>
      </c>
    </row>
    <row r="73" spans="3:54">
      <c r="C73" s="2" t="s">
        <v>70</v>
      </c>
    </row>
    <row r="74" spans="3:54" s="11" customFormat="1">
      <c r="C74" s="11" t="s">
        <v>71</v>
      </c>
      <c r="E74" s="11" t="s">
        <v>72</v>
      </c>
      <c r="F74" s="49" t="s">
        <v>73</v>
      </c>
      <c r="G74" s="50"/>
      <c r="H74" s="50"/>
      <c r="I74" s="50"/>
      <c r="J74" s="50"/>
      <c r="K74" s="51"/>
      <c r="L74" s="51"/>
      <c r="AI74" s="51"/>
      <c r="AV74" s="51"/>
      <c r="AX74" s="51"/>
      <c r="BB74" s="51"/>
    </row>
    <row r="75" spans="3:54">
      <c r="C75" s="2" t="s">
        <v>74</v>
      </c>
      <c r="E75" s="52" t="s">
        <v>75</v>
      </c>
      <c r="F75" s="53">
        <v>10.068099999999999</v>
      </c>
    </row>
    <row r="76" spans="3:54">
      <c r="C76" s="2" t="s">
        <v>76</v>
      </c>
      <c r="E76" s="52" t="s">
        <v>75</v>
      </c>
      <c r="F76" s="53">
        <v>10.068099999999999</v>
      </c>
    </row>
    <row r="77" spans="3:54">
      <c r="C77" s="2" t="s">
        <v>77</v>
      </c>
      <c r="E77" s="52" t="s">
        <v>75</v>
      </c>
      <c r="F77" s="53">
        <v>10.0688</v>
      </c>
    </row>
    <row r="78" spans="3:54">
      <c r="C78" s="2" t="s">
        <v>78</v>
      </c>
      <c r="E78" s="52" t="s">
        <v>75</v>
      </c>
      <c r="F78" s="53">
        <v>10.0688</v>
      </c>
    </row>
    <row r="80" spans="3:54">
      <c r="C80" s="2" t="s">
        <v>79</v>
      </c>
    </row>
    <row r="82" spans="3:11">
      <c r="C82" s="2" t="s">
        <v>80</v>
      </c>
    </row>
    <row r="83" spans="3:11">
      <c r="C83" s="2" t="s">
        <v>81</v>
      </c>
    </row>
    <row r="84" spans="3:11">
      <c r="C84" s="2" t="s">
        <v>82</v>
      </c>
    </row>
    <row r="85" spans="3:11">
      <c r="C85" s="2" t="s">
        <v>83</v>
      </c>
    </row>
    <row r="86" spans="3:11">
      <c r="C86" s="2" t="s">
        <v>84</v>
      </c>
    </row>
    <row r="87" spans="3:11">
      <c r="C87" s="2" t="s">
        <v>85</v>
      </c>
    </row>
    <row r="88" spans="3:11">
      <c r="C88" s="2" t="s">
        <v>86</v>
      </c>
    </row>
    <row r="89" spans="3:11">
      <c r="C89" s="2" t="s">
        <v>87</v>
      </c>
    </row>
    <row r="90" spans="3:11">
      <c r="C90" s="2" t="s">
        <v>88</v>
      </c>
    </row>
    <row r="91" spans="3:11">
      <c r="C91" s="2" t="s">
        <v>89</v>
      </c>
    </row>
    <row r="92" spans="3:11">
      <c r="C92" s="2" t="s">
        <v>90</v>
      </c>
    </row>
    <row r="93" spans="3:11">
      <c r="C93" s="2" t="s">
        <v>91</v>
      </c>
    </row>
    <row r="94" spans="3:11">
      <c r="C94" s="2" t="s">
        <v>92</v>
      </c>
    </row>
    <row r="95" spans="3:11">
      <c r="C95" s="2" t="s">
        <v>93</v>
      </c>
    </row>
    <row r="96" spans="3:11" ht="14.4">
      <c r="C96" s="54"/>
      <c r="D96" s="54"/>
      <c r="E96" s="54"/>
      <c r="F96" s="54"/>
      <c r="G96" s="54"/>
      <c r="H96" s="54"/>
      <c r="I96" s="54"/>
      <c r="J96" s="54"/>
      <c r="K96" s="54"/>
    </row>
    <row r="97" spans="3:11" ht="14.4">
      <c r="C97" s="54"/>
      <c r="D97" s="54"/>
      <c r="E97" s="54"/>
      <c r="F97" s="54"/>
      <c r="G97" s="54"/>
      <c r="H97" s="54"/>
      <c r="I97" s="54"/>
      <c r="J97" s="54"/>
      <c r="K97" s="54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99"/>
  <sheetViews>
    <sheetView workbookViewId="0"/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7.109375" style="2" bestFit="1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7.109375" style="2" bestFit="1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7.109375" style="2" bestFit="1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7.109375" style="2" bestFit="1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7.109375" style="2" bestFit="1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7.109375" style="2" bestFit="1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7.109375" style="2" bestFit="1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7.109375" style="2" bestFit="1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7.109375" style="2" bestFit="1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7.109375" style="2" bestFit="1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7.109375" style="2" bestFit="1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7.109375" style="2" bestFit="1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7.109375" style="2" bestFit="1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7.109375" style="2" bestFit="1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7.109375" style="2" bestFit="1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7.109375" style="2" bestFit="1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7.109375" style="2" bestFit="1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7.109375" style="2" bestFit="1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7.109375" style="2" bestFit="1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7.109375" style="2" bestFit="1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7.109375" style="2" bestFit="1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7.109375" style="2" bestFit="1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7.109375" style="2" bestFit="1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7.109375" style="2" bestFit="1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7.109375" style="2" bestFit="1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7.109375" style="2" bestFit="1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7.109375" style="2" bestFit="1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7.109375" style="2" bestFit="1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7.109375" style="2" bestFit="1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7.109375" style="2" bestFit="1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7.109375" style="2" bestFit="1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7.109375" style="2" bestFit="1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7.109375" style="2" bestFit="1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7.109375" style="2" bestFit="1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7.109375" style="2" bestFit="1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7.109375" style="2" bestFit="1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7.109375" style="2" bestFit="1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7.109375" style="2" bestFit="1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7.109375" style="2" bestFit="1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7.109375" style="2" bestFit="1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7.109375" style="2" bestFit="1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7.109375" style="2" bestFit="1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7.109375" style="2" bestFit="1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7.109375" style="2" bestFit="1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7.109375" style="2" bestFit="1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7.109375" style="2" bestFit="1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7.109375" style="2" bestFit="1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7.109375" style="2" bestFit="1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7.109375" style="2" bestFit="1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7.109375" style="2" bestFit="1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7.109375" style="2" bestFit="1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7.109375" style="2" bestFit="1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7.109375" style="2" bestFit="1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7.109375" style="2" bestFit="1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7.109375" style="2" bestFit="1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7.109375" style="2" bestFit="1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7.109375" style="2" bestFit="1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7.109375" style="2" bestFit="1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7.109375" style="2" bestFit="1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7.109375" style="2" bestFit="1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7.109375" style="2" bestFit="1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7.109375" style="2" bestFit="1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7.109375" style="2" bestFit="1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7.109375" style="2" bestFit="1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55" t="s">
        <v>94</v>
      </c>
      <c r="D2" s="56"/>
      <c r="E2" s="56"/>
      <c r="F2" s="56"/>
      <c r="G2" s="56"/>
      <c r="H2" s="56"/>
      <c r="I2" s="56"/>
      <c r="J2" s="56"/>
      <c r="K2" s="57"/>
      <c r="M2" s="9"/>
    </row>
    <row r="3" spans="1:54" ht="14.4" thickBot="1">
      <c r="C3" s="58"/>
      <c r="D3" s="59"/>
      <c r="E3" s="59"/>
      <c r="F3" s="59"/>
      <c r="G3" s="59"/>
      <c r="H3" s="59"/>
      <c r="I3" s="59"/>
      <c r="J3" s="59"/>
      <c r="K3" s="60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61" t="s">
        <v>95</v>
      </c>
      <c r="D5" s="62"/>
      <c r="E5" s="62"/>
      <c r="F5" s="62"/>
      <c r="G5" s="62"/>
      <c r="H5" s="62"/>
      <c r="I5" s="62"/>
      <c r="J5" s="62"/>
      <c r="K5" s="63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C9" s="28" t="s">
        <v>14</v>
      </c>
      <c r="D9" s="29"/>
      <c r="E9" s="30"/>
      <c r="F9" s="31"/>
      <c r="G9" s="32"/>
      <c r="H9" s="32"/>
      <c r="I9" s="33"/>
      <c r="J9" s="33"/>
      <c r="K9" s="34"/>
    </row>
    <row r="10" spans="1:54">
      <c r="C10" s="21"/>
      <c r="D10" s="29"/>
      <c r="E10" s="30"/>
      <c r="F10" s="31"/>
      <c r="G10" s="32"/>
      <c r="H10" s="32"/>
      <c r="I10" s="33"/>
      <c r="J10" s="33"/>
      <c r="K10" s="34"/>
    </row>
    <row r="11" spans="1:54">
      <c r="C11" s="28" t="s">
        <v>15</v>
      </c>
      <c r="D11" s="29"/>
      <c r="E11" s="30"/>
      <c r="F11" s="31"/>
      <c r="G11" s="32" t="s">
        <v>16</v>
      </c>
      <c r="H11" s="32" t="s">
        <v>16</v>
      </c>
      <c r="I11" s="33"/>
      <c r="J11" s="33"/>
      <c r="K11" s="34"/>
    </row>
    <row r="12" spans="1:54">
      <c r="C12" s="21"/>
      <c r="D12" s="29"/>
      <c r="E12" s="30"/>
      <c r="F12" s="31"/>
      <c r="G12" s="32"/>
      <c r="H12" s="32"/>
      <c r="I12" s="33"/>
      <c r="J12" s="33"/>
      <c r="K12" s="34"/>
    </row>
    <row r="13" spans="1:54">
      <c r="C13" s="28" t="s">
        <v>17</v>
      </c>
      <c r="D13" s="29"/>
      <c r="E13" s="30"/>
      <c r="F13" s="31"/>
      <c r="G13" s="32" t="s">
        <v>16</v>
      </c>
      <c r="H13" s="32" t="s">
        <v>16</v>
      </c>
      <c r="I13" s="33"/>
      <c r="J13" s="33"/>
      <c r="K13" s="34"/>
    </row>
    <row r="14" spans="1:54">
      <c r="C14" s="21"/>
      <c r="D14" s="29"/>
      <c r="E14" s="30"/>
      <c r="F14" s="31"/>
      <c r="G14" s="32"/>
      <c r="H14" s="32"/>
      <c r="I14" s="33"/>
      <c r="J14" s="33"/>
      <c r="K14" s="34"/>
    </row>
    <row r="15" spans="1:54">
      <c r="C15" s="28" t="s">
        <v>18</v>
      </c>
      <c r="D15" s="29"/>
      <c r="E15" s="30"/>
      <c r="F15" s="31"/>
      <c r="G15" s="32" t="s">
        <v>16</v>
      </c>
      <c r="H15" s="32" t="s">
        <v>16</v>
      </c>
      <c r="I15" s="33"/>
      <c r="J15" s="33"/>
      <c r="K15" s="34"/>
    </row>
    <row r="16" spans="1:54">
      <c r="C16" s="21"/>
      <c r="D16" s="29"/>
      <c r="E16" s="30"/>
      <c r="F16" s="31"/>
      <c r="G16" s="32"/>
      <c r="H16" s="32"/>
      <c r="I16" s="33"/>
      <c r="J16" s="33"/>
      <c r="K16" s="34"/>
    </row>
    <row r="17" spans="1:11">
      <c r="A17" s="35"/>
      <c r="B17" s="36"/>
      <c r="C17" s="28" t="s">
        <v>19</v>
      </c>
      <c r="D17" s="29"/>
      <c r="E17" s="30"/>
      <c r="F17" s="31"/>
      <c r="G17" s="32"/>
      <c r="H17" s="32"/>
      <c r="I17" s="33"/>
      <c r="J17" s="33"/>
      <c r="K17" s="34"/>
    </row>
    <row r="18" spans="1:11">
      <c r="A18" s="36"/>
      <c r="B18" s="36"/>
      <c r="C18" s="28" t="s">
        <v>20</v>
      </c>
      <c r="D18" s="29"/>
      <c r="E18" s="30"/>
      <c r="F18" s="31"/>
      <c r="G18" s="32" t="s">
        <v>16</v>
      </c>
      <c r="H18" s="32" t="s">
        <v>16</v>
      </c>
      <c r="I18" s="33"/>
      <c r="J18" s="33"/>
      <c r="K18" s="34"/>
    </row>
    <row r="19" spans="1:11">
      <c r="A19" s="36"/>
      <c r="B19" s="36"/>
      <c r="C19" s="28"/>
      <c r="D19" s="29"/>
      <c r="E19" s="30"/>
      <c r="F19" s="31"/>
      <c r="G19" s="32"/>
      <c r="H19" s="32"/>
      <c r="I19" s="33"/>
      <c r="J19" s="33"/>
      <c r="K19" s="34"/>
    </row>
    <row r="20" spans="1:11">
      <c r="A20" s="36"/>
      <c r="B20" s="36"/>
      <c r="C20" s="28" t="s">
        <v>21</v>
      </c>
      <c r="D20" s="29"/>
      <c r="E20" s="30"/>
      <c r="F20" s="31"/>
      <c r="G20" s="32" t="s">
        <v>16</v>
      </c>
      <c r="H20" s="32" t="s">
        <v>16</v>
      </c>
      <c r="I20" s="33"/>
      <c r="J20" s="33"/>
      <c r="K20" s="34"/>
    </row>
    <row r="21" spans="1:11">
      <c r="A21" s="36"/>
      <c r="B21" s="36"/>
      <c r="C21" s="28"/>
      <c r="D21" s="29"/>
      <c r="E21" s="30"/>
      <c r="F21" s="31"/>
      <c r="G21" s="32"/>
      <c r="H21" s="32"/>
      <c r="I21" s="33"/>
      <c r="J21" s="33"/>
      <c r="K21" s="34"/>
    </row>
    <row r="22" spans="1:11">
      <c r="A22" s="36"/>
      <c r="B22" s="36"/>
      <c r="C22" s="28" t="s">
        <v>22</v>
      </c>
      <c r="D22" s="29"/>
      <c r="E22" s="30"/>
      <c r="F22" s="31"/>
      <c r="G22" s="32" t="s">
        <v>16</v>
      </c>
      <c r="H22" s="32" t="s">
        <v>16</v>
      </c>
      <c r="I22" s="33"/>
      <c r="J22" s="33"/>
      <c r="K22" s="34"/>
    </row>
    <row r="23" spans="1:11">
      <c r="A23" s="36"/>
      <c r="B23" s="36"/>
      <c r="C23" s="28"/>
      <c r="D23" s="29"/>
      <c r="E23" s="30"/>
      <c r="F23" s="31"/>
      <c r="G23" s="32"/>
      <c r="H23" s="32"/>
      <c r="I23" s="33"/>
      <c r="J23" s="33"/>
      <c r="K23" s="34"/>
    </row>
    <row r="24" spans="1:11">
      <c r="A24" s="36"/>
      <c r="B24" s="36"/>
      <c r="C24" s="28" t="s">
        <v>23</v>
      </c>
      <c r="D24" s="29"/>
      <c r="E24" s="30"/>
      <c r="F24" s="31"/>
      <c r="G24" s="32" t="s">
        <v>16</v>
      </c>
      <c r="H24" s="32" t="s">
        <v>16</v>
      </c>
      <c r="I24" s="33"/>
      <c r="J24" s="33"/>
      <c r="K24" s="34"/>
    </row>
    <row r="25" spans="1:11">
      <c r="A25" s="36"/>
      <c r="B25" s="36"/>
      <c r="C25" s="28"/>
      <c r="D25" s="29"/>
      <c r="E25" s="30"/>
      <c r="F25" s="31"/>
      <c r="G25" s="32"/>
      <c r="H25" s="32"/>
      <c r="I25" s="33"/>
      <c r="J25" s="33"/>
      <c r="K25" s="34"/>
    </row>
    <row r="26" spans="1:11">
      <c r="C26" s="37" t="s">
        <v>24</v>
      </c>
      <c r="D26" s="29"/>
      <c r="E26" s="30"/>
      <c r="F26" s="31"/>
      <c r="G26" s="32"/>
      <c r="H26" s="32"/>
      <c r="I26" s="33"/>
      <c r="J26" s="33"/>
      <c r="K26" s="34"/>
    </row>
    <row r="27" spans="1:11">
      <c r="B27" s="1" t="s">
        <v>25</v>
      </c>
      <c r="C27" s="21" t="s">
        <v>26</v>
      </c>
      <c r="D27" s="29" t="s">
        <v>27</v>
      </c>
      <c r="E27" s="30" t="s">
        <v>28</v>
      </c>
      <c r="F27" s="31">
        <v>2237800</v>
      </c>
      <c r="G27" s="32">
        <v>2299.19</v>
      </c>
      <c r="H27" s="32">
        <v>33.36</v>
      </c>
      <c r="I27" s="33">
        <v>7.6188896000000002</v>
      </c>
      <c r="J27" s="33"/>
      <c r="K27" s="34"/>
    </row>
    <row r="28" spans="1:11">
      <c r="B28" s="1" t="s">
        <v>29</v>
      </c>
      <c r="C28" s="21" t="s">
        <v>30</v>
      </c>
      <c r="D28" s="29" t="s">
        <v>31</v>
      </c>
      <c r="E28" s="30" t="s">
        <v>28</v>
      </c>
      <c r="F28" s="31">
        <v>1137400</v>
      </c>
      <c r="G28" s="32">
        <v>1168.29</v>
      </c>
      <c r="H28" s="32">
        <v>16.95</v>
      </c>
      <c r="I28" s="33">
        <v>7.6250625000000003</v>
      </c>
      <c r="J28" s="33"/>
      <c r="K28" s="34"/>
    </row>
    <row r="29" spans="1:11">
      <c r="B29" s="1" t="s">
        <v>32</v>
      </c>
      <c r="C29" s="21" t="s">
        <v>33</v>
      </c>
      <c r="D29" s="29" t="s">
        <v>34</v>
      </c>
      <c r="E29" s="30" t="s">
        <v>28</v>
      </c>
      <c r="F29" s="31">
        <v>1000000</v>
      </c>
      <c r="G29" s="32">
        <v>1030.5899999999999</v>
      </c>
      <c r="H29" s="32">
        <v>14.95</v>
      </c>
      <c r="I29" s="33">
        <v>7.6489126000000001</v>
      </c>
      <c r="J29" s="33"/>
      <c r="K29" s="34"/>
    </row>
    <row r="30" spans="1:11">
      <c r="B30" s="1" t="s">
        <v>35</v>
      </c>
      <c r="C30" s="21" t="s">
        <v>36</v>
      </c>
      <c r="D30" s="29" t="s">
        <v>37</v>
      </c>
      <c r="E30" s="30" t="s">
        <v>28</v>
      </c>
      <c r="F30" s="31">
        <v>1000000</v>
      </c>
      <c r="G30" s="32">
        <v>1027.3900000000001</v>
      </c>
      <c r="H30" s="32">
        <v>14.91</v>
      </c>
      <c r="I30" s="33">
        <v>7.6199789000000004</v>
      </c>
      <c r="J30" s="33"/>
      <c r="K30" s="34"/>
    </row>
    <row r="31" spans="1:11">
      <c r="B31" s="1" t="s">
        <v>38</v>
      </c>
      <c r="C31" s="21" t="s">
        <v>39</v>
      </c>
      <c r="D31" s="29" t="s">
        <v>40</v>
      </c>
      <c r="E31" s="30" t="s">
        <v>28</v>
      </c>
      <c r="F31" s="31">
        <v>500000</v>
      </c>
      <c r="G31" s="32">
        <v>526.29</v>
      </c>
      <c r="H31" s="32">
        <v>7.64</v>
      </c>
      <c r="I31" s="33">
        <v>7.6096836999999997</v>
      </c>
      <c r="J31" s="33"/>
      <c r="K31" s="34"/>
    </row>
    <row r="32" spans="1:11">
      <c r="B32" s="1" t="s">
        <v>41</v>
      </c>
      <c r="C32" s="21" t="s">
        <v>42</v>
      </c>
      <c r="D32" s="29" t="s">
        <v>43</v>
      </c>
      <c r="E32" s="30" t="s">
        <v>28</v>
      </c>
      <c r="F32" s="31">
        <v>500000</v>
      </c>
      <c r="G32" s="32">
        <v>500.61</v>
      </c>
      <c r="H32" s="32">
        <v>7.26</v>
      </c>
      <c r="I32" s="33">
        <v>7.6096319000000001</v>
      </c>
      <c r="J32" s="33"/>
      <c r="K32" s="34"/>
    </row>
    <row r="33" spans="1:11">
      <c r="C33" s="28" t="s">
        <v>44</v>
      </c>
      <c r="D33" s="29"/>
      <c r="E33" s="30"/>
      <c r="F33" s="31"/>
      <c r="G33" s="38">
        <v>6552.36</v>
      </c>
      <c r="H33" s="38">
        <v>95.07</v>
      </c>
      <c r="I33" s="33"/>
      <c r="J33" s="33"/>
      <c r="K33" s="34"/>
    </row>
    <row r="34" spans="1:11">
      <c r="C34" s="21"/>
      <c r="D34" s="29"/>
      <c r="E34" s="30"/>
      <c r="F34" s="31"/>
      <c r="G34" s="32"/>
      <c r="H34" s="32"/>
      <c r="I34" s="33"/>
      <c r="J34" s="33"/>
      <c r="K34" s="34"/>
    </row>
    <row r="35" spans="1:11">
      <c r="C35" s="28" t="s">
        <v>45</v>
      </c>
      <c r="D35" s="29"/>
      <c r="E35" s="30"/>
      <c r="F35" s="31"/>
      <c r="G35" s="32"/>
      <c r="H35" s="32"/>
      <c r="I35" s="33"/>
      <c r="J35" s="33"/>
      <c r="K35" s="34"/>
    </row>
    <row r="36" spans="1:11">
      <c r="C36" s="21"/>
      <c r="D36" s="29"/>
      <c r="E36" s="30"/>
      <c r="F36" s="31"/>
      <c r="G36" s="32"/>
      <c r="H36" s="32"/>
      <c r="I36" s="33"/>
      <c r="J36" s="33"/>
      <c r="K36" s="34"/>
    </row>
    <row r="37" spans="1:11">
      <c r="C37" s="28" t="s">
        <v>46</v>
      </c>
      <c r="D37" s="29"/>
      <c r="E37" s="30"/>
      <c r="F37" s="31"/>
      <c r="G37" s="32" t="s">
        <v>16</v>
      </c>
      <c r="H37" s="32" t="s">
        <v>16</v>
      </c>
      <c r="I37" s="33"/>
      <c r="J37" s="33"/>
      <c r="K37" s="34"/>
    </row>
    <row r="38" spans="1:11">
      <c r="C38" s="21"/>
      <c r="D38" s="29"/>
      <c r="E38" s="30"/>
      <c r="F38" s="31"/>
      <c r="G38" s="32"/>
      <c r="H38" s="32"/>
      <c r="I38" s="33"/>
      <c r="J38" s="33"/>
      <c r="K38" s="34"/>
    </row>
    <row r="39" spans="1:11">
      <c r="C39" s="28" t="s">
        <v>47</v>
      </c>
      <c r="D39" s="29"/>
      <c r="E39" s="30"/>
      <c r="F39" s="31"/>
      <c r="G39" s="32" t="s">
        <v>16</v>
      </c>
      <c r="H39" s="32" t="s">
        <v>16</v>
      </c>
      <c r="I39" s="33"/>
      <c r="J39" s="33"/>
      <c r="K39" s="34"/>
    </row>
    <row r="40" spans="1:11">
      <c r="C40" s="21"/>
      <c r="D40" s="29"/>
      <c r="E40" s="30"/>
      <c r="F40" s="31"/>
      <c r="G40" s="32"/>
      <c r="H40" s="32"/>
      <c r="I40" s="33"/>
      <c r="J40" s="33"/>
      <c r="K40" s="34"/>
    </row>
    <row r="41" spans="1:11">
      <c r="C41" s="28" t="s">
        <v>48</v>
      </c>
      <c r="D41" s="29"/>
      <c r="E41" s="30"/>
      <c r="F41" s="31"/>
      <c r="G41" s="32" t="s">
        <v>16</v>
      </c>
      <c r="H41" s="32" t="s">
        <v>16</v>
      </c>
      <c r="I41" s="33"/>
      <c r="J41" s="33"/>
      <c r="K41" s="34"/>
    </row>
    <row r="42" spans="1:11">
      <c r="C42" s="21"/>
      <c r="D42" s="29"/>
      <c r="E42" s="30"/>
      <c r="F42" s="31"/>
      <c r="G42" s="32"/>
      <c r="H42" s="32"/>
      <c r="I42" s="33"/>
      <c r="J42" s="33"/>
      <c r="K42" s="34"/>
    </row>
    <row r="43" spans="1:11">
      <c r="C43" s="28" t="s">
        <v>49</v>
      </c>
      <c r="D43" s="29"/>
      <c r="E43" s="30"/>
      <c r="F43" s="31"/>
      <c r="G43" s="32" t="s">
        <v>16</v>
      </c>
      <c r="H43" s="32" t="s">
        <v>16</v>
      </c>
      <c r="I43" s="33"/>
      <c r="J43" s="33"/>
      <c r="K43" s="34"/>
    </row>
    <row r="44" spans="1:11">
      <c r="C44" s="21"/>
      <c r="D44" s="29"/>
      <c r="E44" s="30"/>
      <c r="F44" s="31"/>
      <c r="G44" s="32"/>
      <c r="H44" s="32"/>
      <c r="I44" s="33"/>
      <c r="J44" s="33"/>
      <c r="K44" s="34"/>
    </row>
    <row r="45" spans="1:11">
      <c r="A45" s="35"/>
      <c r="B45" s="36"/>
      <c r="C45" s="28" t="s">
        <v>50</v>
      </c>
      <c r="D45" s="29"/>
      <c r="E45" s="30"/>
      <c r="F45" s="31"/>
      <c r="G45" s="32"/>
      <c r="H45" s="32"/>
      <c r="I45" s="33"/>
      <c r="J45" s="33"/>
      <c r="K45" s="34"/>
    </row>
    <row r="46" spans="1:11">
      <c r="A46" s="36"/>
      <c r="B46" s="36"/>
      <c r="C46" s="28" t="s">
        <v>51</v>
      </c>
      <c r="D46" s="29"/>
      <c r="E46" s="30"/>
      <c r="F46" s="31"/>
      <c r="G46" s="32" t="s">
        <v>16</v>
      </c>
      <c r="H46" s="32" t="s">
        <v>16</v>
      </c>
      <c r="I46" s="33"/>
      <c r="J46" s="33"/>
      <c r="K46" s="34"/>
    </row>
    <row r="47" spans="1:11">
      <c r="A47" s="36"/>
      <c r="B47" s="36"/>
      <c r="C47" s="28"/>
      <c r="D47" s="29"/>
      <c r="E47" s="30"/>
      <c r="F47" s="31"/>
      <c r="G47" s="32"/>
      <c r="H47" s="32"/>
      <c r="I47" s="33"/>
      <c r="J47" s="33"/>
      <c r="K47" s="34"/>
    </row>
    <row r="48" spans="1:11">
      <c r="A48" s="36"/>
      <c r="B48" s="36"/>
      <c r="C48" s="28" t="s">
        <v>52</v>
      </c>
      <c r="D48" s="29"/>
      <c r="E48" s="30"/>
      <c r="F48" s="31"/>
      <c r="G48" s="32" t="s">
        <v>16</v>
      </c>
      <c r="H48" s="32" t="s">
        <v>16</v>
      </c>
      <c r="I48" s="33"/>
      <c r="J48" s="33"/>
      <c r="K48" s="34"/>
    </row>
    <row r="49" spans="1:11">
      <c r="A49" s="36"/>
      <c r="B49" s="36"/>
      <c r="C49" s="28"/>
      <c r="D49" s="29"/>
      <c r="E49" s="30"/>
      <c r="F49" s="31"/>
      <c r="G49" s="32"/>
      <c r="H49" s="32"/>
      <c r="I49" s="33"/>
      <c r="J49" s="33"/>
      <c r="K49" s="34"/>
    </row>
    <row r="50" spans="1:11">
      <c r="A50" s="36"/>
      <c r="B50" s="36"/>
      <c r="C50" s="28" t="s">
        <v>53</v>
      </c>
      <c r="D50" s="29"/>
      <c r="E50" s="30"/>
      <c r="F50" s="31"/>
      <c r="G50" s="32" t="s">
        <v>16</v>
      </c>
      <c r="H50" s="32" t="s">
        <v>16</v>
      </c>
      <c r="I50" s="33"/>
      <c r="J50" s="33"/>
      <c r="K50" s="34"/>
    </row>
    <row r="51" spans="1:11">
      <c r="A51" s="36"/>
      <c r="B51" s="36"/>
      <c r="C51" s="28"/>
      <c r="D51" s="29"/>
      <c r="E51" s="30"/>
      <c r="F51" s="31"/>
      <c r="G51" s="32"/>
      <c r="H51" s="32"/>
      <c r="I51" s="33"/>
      <c r="J51" s="33"/>
      <c r="K51" s="34"/>
    </row>
    <row r="52" spans="1:11">
      <c r="A52" s="36"/>
      <c r="B52" s="36"/>
      <c r="C52" s="28" t="s">
        <v>54</v>
      </c>
      <c r="D52" s="29"/>
      <c r="E52" s="30"/>
      <c r="F52" s="31"/>
      <c r="G52" s="32" t="s">
        <v>16</v>
      </c>
      <c r="H52" s="32" t="s">
        <v>16</v>
      </c>
      <c r="I52" s="33"/>
      <c r="J52" s="33"/>
      <c r="K52" s="34"/>
    </row>
    <row r="53" spans="1:11">
      <c r="A53" s="36"/>
      <c r="B53" s="36"/>
      <c r="C53" s="28"/>
      <c r="D53" s="29"/>
      <c r="E53" s="30"/>
      <c r="F53" s="31"/>
      <c r="G53" s="32"/>
      <c r="H53" s="32"/>
      <c r="I53" s="33"/>
      <c r="J53" s="33"/>
      <c r="K53" s="34"/>
    </row>
    <row r="54" spans="1:11">
      <c r="C54" s="37" t="s">
        <v>55</v>
      </c>
      <c r="D54" s="29"/>
      <c r="E54" s="30"/>
      <c r="F54" s="31"/>
      <c r="G54" s="32"/>
      <c r="H54" s="32"/>
      <c r="I54" s="33"/>
      <c r="J54" s="33"/>
      <c r="K54" s="34"/>
    </row>
    <row r="55" spans="1:11">
      <c r="B55" s="1" t="s">
        <v>56</v>
      </c>
      <c r="C55" s="21" t="s">
        <v>57</v>
      </c>
      <c r="D55" s="29"/>
      <c r="E55" s="30"/>
      <c r="F55" s="31"/>
      <c r="G55" s="32">
        <v>600.65</v>
      </c>
      <c r="H55" s="32">
        <v>8.7100000000000009</v>
      </c>
      <c r="I55" s="33">
        <v>7.14</v>
      </c>
      <c r="J55" s="33"/>
      <c r="K55" s="34"/>
    </row>
    <row r="56" spans="1:11">
      <c r="C56" s="28" t="s">
        <v>44</v>
      </c>
      <c r="D56" s="29"/>
      <c r="E56" s="30"/>
      <c r="F56" s="31"/>
      <c r="G56" s="38">
        <v>600.65</v>
      </c>
      <c r="H56" s="38">
        <v>8.7100000000000009</v>
      </c>
      <c r="I56" s="33"/>
      <c r="J56" s="33"/>
      <c r="K56" s="34"/>
    </row>
    <row r="57" spans="1:11">
      <c r="C57" s="21"/>
      <c r="D57" s="29"/>
      <c r="E57" s="30"/>
      <c r="F57" s="31"/>
      <c r="G57" s="32"/>
      <c r="H57" s="32"/>
      <c r="I57" s="33"/>
      <c r="J57" s="33"/>
      <c r="K57" s="34"/>
    </row>
    <row r="58" spans="1:11">
      <c r="A58" s="35"/>
      <c r="B58" s="36"/>
      <c r="C58" s="28" t="s">
        <v>58</v>
      </c>
      <c r="D58" s="29"/>
      <c r="E58" s="30"/>
      <c r="F58" s="31"/>
      <c r="G58" s="32"/>
      <c r="H58" s="32"/>
      <c r="I58" s="33"/>
      <c r="J58" s="33"/>
      <c r="K58" s="34"/>
    </row>
    <row r="59" spans="1:11">
      <c r="B59" s="1"/>
      <c r="C59" s="21" t="s">
        <v>59</v>
      </c>
      <c r="D59" s="29"/>
      <c r="E59" s="30"/>
      <c r="F59" s="31"/>
      <c r="G59" s="32">
        <v>-260.23</v>
      </c>
      <c r="H59" s="32">
        <v>-3.78</v>
      </c>
      <c r="I59" s="33"/>
      <c r="J59" s="33"/>
      <c r="K59" s="34"/>
    </row>
    <row r="60" spans="1:11">
      <c r="C60" s="28" t="s">
        <v>44</v>
      </c>
      <c r="D60" s="29"/>
      <c r="E60" s="30"/>
      <c r="F60" s="31"/>
      <c r="G60" s="38">
        <v>-260.23</v>
      </c>
      <c r="H60" s="38">
        <v>-3.78</v>
      </c>
      <c r="I60" s="33"/>
      <c r="J60" s="33"/>
      <c r="K60" s="34"/>
    </row>
    <row r="61" spans="1:11">
      <c r="C61" s="21"/>
      <c r="D61" s="29"/>
      <c r="E61" s="30"/>
      <c r="F61" s="31"/>
      <c r="G61" s="32"/>
      <c r="H61" s="32"/>
      <c r="I61" s="33"/>
      <c r="J61" s="33"/>
      <c r="K61" s="34"/>
    </row>
    <row r="62" spans="1:11" ht="14.4" thickBot="1">
      <c r="C62" s="39" t="s">
        <v>60</v>
      </c>
      <c r="D62" s="40"/>
      <c r="E62" s="41"/>
      <c r="F62" s="42"/>
      <c r="G62" s="43">
        <v>6892.78</v>
      </c>
      <c r="H62" s="43">
        <f>SUMIFS(H:H,C:C,"Total")</f>
        <v>100</v>
      </c>
      <c r="I62" s="44"/>
      <c r="J62" s="44"/>
      <c r="K62" s="45"/>
    </row>
    <row r="65" spans="3:54">
      <c r="C65" s="11" t="s">
        <v>61</v>
      </c>
    </row>
    <row r="66" spans="3:54">
      <c r="C66" s="2" t="s">
        <v>62</v>
      </c>
    </row>
    <row r="67" spans="3:54">
      <c r="C67" s="46" t="s">
        <v>63</v>
      </c>
    </row>
    <row r="68" spans="3:54">
      <c r="C68" s="2" t="s">
        <v>64</v>
      </c>
    </row>
    <row r="69" spans="3:54">
      <c r="C69" s="2" t="s">
        <v>65</v>
      </c>
    </row>
    <row r="70" spans="3:54">
      <c r="C70" s="2" t="s">
        <v>66</v>
      </c>
      <c r="D70" s="47"/>
      <c r="E70" s="47"/>
      <c r="F70" s="47"/>
      <c r="G70" s="48"/>
      <c r="H70" s="48"/>
    </row>
    <row r="71" spans="3:54">
      <c r="C71" s="2" t="s">
        <v>67</v>
      </c>
    </row>
    <row r="72" spans="3:54">
      <c r="C72" s="2" t="s">
        <v>68</v>
      </c>
    </row>
    <row r="73" spans="3:54">
      <c r="C73" s="2" t="s">
        <v>69</v>
      </c>
    </row>
    <row r="74" spans="3:54">
      <c r="C74" s="2" t="s">
        <v>70</v>
      </c>
    </row>
    <row r="75" spans="3:54" s="11" customFormat="1">
      <c r="C75" s="11" t="s">
        <v>71</v>
      </c>
      <c r="E75" s="11" t="s">
        <v>96</v>
      </c>
      <c r="F75" s="49" t="s">
        <v>73</v>
      </c>
      <c r="G75" s="50"/>
      <c r="H75" s="50"/>
      <c r="I75" s="50"/>
      <c r="J75" s="50"/>
      <c r="K75" s="51"/>
      <c r="L75" s="51"/>
      <c r="AI75" s="51"/>
      <c r="AV75" s="51"/>
      <c r="AX75" s="51"/>
      <c r="BB75" s="51"/>
    </row>
    <row r="76" spans="3:54">
      <c r="C76" s="2" t="s">
        <v>74</v>
      </c>
      <c r="E76" s="64" t="s">
        <v>75</v>
      </c>
      <c r="F76" s="53">
        <v>10.068099999999999</v>
      </c>
    </row>
    <row r="77" spans="3:54">
      <c r="C77" s="2" t="s">
        <v>76</v>
      </c>
      <c r="E77" s="64" t="s">
        <v>75</v>
      </c>
      <c r="F77" s="53">
        <v>10.068099999999999</v>
      </c>
    </row>
    <row r="78" spans="3:54">
      <c r="C78" s="2" t="s">
        <v>77</v>
      </c>
      <c r="E78" s="64" t="s">
        <v>75</v>
      </c>
      <c r="F78" s="53">
        <v>10.0688</v>
      </c>
    </row>
    <row r="79" spans="3:54">
      <c r="C79" s="2" t="s">
        <v>78</v>
      </c>
      <c r="E79" s="64" t="s">
        <v>75</v>
      </c>
      <c r="F79" s="53">
        <v>10.0688</v>
      </c>
    </row>
    <row r="81" spans="3:3">
      <c r="C81" s="2" t="s">
        <v>97</v>
      </c>
    </row>
    <row r="83" spans="3:3">
      <c r="C83" s="2" t="s">
        <v>98</v>
      </c>
    </row>
    <row r="84" spans="3:3">
      <c r="C84" s="2" t="s">
        <v>81</v>
      </c>
    </row>
    <row r="85" spans="3:3">
      <c r="C85" s="2" t="s">
        <v>82</v>
      </c>
    </row>
    <row r="86" spans="3:3">
      <c r="C86" s="2" t="s">
        <v>99</v>
      </c>
    </row>
    <row r="87" spans="3:3">
      <c r="C87" s="2" t="s">
        <v>84</v>
      </c>
    </row>
    <row r="88" spans="3:3">
      <c r="C88" s="2" t="s">
        <v>100</v>
      </c>
    </row>
    <row r="89" spans="3:3">
      <c r="C89" s="2" t="s">
        <v>86</v>
      </c>
    </row>
    <row r="90" spans="3:3">
      <c r="C90" s="2" t="s">
        <v>87</v>
      </c>
    </row>
    <row r="91" spans="3:3">
      <c r="C91" s="2" t="s">
        <v>101</v>
      </c>
    </row>
    <row r="92" spans="3:3">
      <c r="C92" s="2" t="s">
        <v>89</v>
      </c>
    </row>
    <row r="93" spans="3:3">
      <c r="C93" s="2" t="s">
        <v>90</v>
      </c>
    </row>
    <row r="94" spans="3:3">
      <c r="C94" s="2" t="s">
        <v>102</v>
      </c>
    </row>
    <row r="95" spans="3:3">
      <c r="C95" s="2" t="s">
        <v>92</v>
      </c>
    </row>
    <row r="96" spans="3:3">
      <c r="C96" s="2" t="s">
        <v>93</v>
      </c>
    </row>
    <row r="97" spans="3:11" ht="14.4">
      <c r="C97" s="54"/>
      <c r="D97" s="54"/>
      <c r="E97" s="54"/>
      <c r="F97" s="54"/>
      <c r="G97" s="54"/>
      <c r="H97" s="54"/>
      <c r="I97" s="54"/>
      <c r="J97" s="54"/>
      <c r="K97" s="54"/>
    </row>
    <row r="98" spans="3:11" ht="14.4">
      <c r="C98" s="54"/>
      <c r="D98" s="54"/>
      <c r="E98" s="54"/>
      <c r="F98" s="54"/>
      <c r="G98" s="54"/>
      <c r="H98" s="54"/>
      <c r="I98" s="54"/>
      <c r="J98" s="54"/>
      <c r="K98" s="54"/>
    </row>
    <row r="99" spans="3:11" ht="14.4">
      <c r="C99" s="54"/>
      <c r="D99" s="54"/>
      <c r="E99" s="54"/>
      <c r="F99" s="54"/>
      <c r="G99" s="54"/>
      <c r="H99" s="54"/>
      <c r="I99" s="54"/>
      <c r="J99" s="54"/>
      <c r="K99" s="54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Monthly Portfolio</vt:lpstr>
      <vt:lpstr>Half Yearly Portfolio</vt:lpstr>
      <vt:lpstr>XDO_?CLASS_3?5?</vt:lpstr>
      <vt:lpstr>XDO_?FINAL_ISIN?18?</vt:lpstr>
      <vt:lpstr>XDO_?FINAL_ISIN?19?</vt:lpstr>
      <vt:lpstr>XDO_?FINAL_ISIN?20?</vt:lpstr>
      <vt:lpstr>XDO_?FINAL_MV?18?</vt:lpstr>
      <vt:lpstr>XDO_?FINAL_MV?19?</vt:lpstr>
      <vt:lpstr>XDO_?FINAL_MV?20?</vt:lpstr>
      <vt:lpstr>XDO_?FINAL_NAME?18?</vt:lpstr>
      <vt:lpstr>XDO_?FINAL_NAME?19?</vt:lpstr>
      <vt:lpstr>XDO_?FINAL_NAME?20?</vt:lpstr>
      <vt:lpstr>XDO_?FINAL_PER_NET?18?</vt:lpstr>
      <vt:lpstr>XDO_?FINAL_PER_NET?19?</vt:lpstr>
      <vt:lpstr>XDO_?FINAL_PER_NET?20?</vt:lpstr>
      <vt:lpstr>XDO_?FINAL_QUANTITE?18?</vt:lpstr>
      <vt:lpstr>XDO_?FINAL_QUANTITE?19?</vt:lpstr>
      <vt:lpstr>XDO_?FINAL_QUANTITE?20?</vt:lpstr>
      <vt:lpstr>XDO_?NAMCNAME?5?</vt:lpstr>
      <vt:lpstr>XDO_?NOVAL?18?</vt:lpstr>
      <vt:lpstr>XDO_?NOVAL?19?</vt:lpstr>
      <vt:lpstr>XDO_?NOVAL?20?</vt:lpstr>
      <vt:lpstr>XDO_?NPTF?5?</vt:lpstr>
      <vt:lpstr>XDO_?RATING?18?</vt:lpstr>
      <vt:lpstr>XDO_?RATING?19?</vt:lpstr>
      <vt:lpstr>XDO_?RATING?20?</vt:lpstr>
      <vt:lpstr>XDO_?REMARKS?18?</vt:lpstr>
      <vt:lpstr>XDO_?REMARKS?19?</vt:lpstr>
      <vt:lpstr>XDO_?REMARKS?20?</vt:lpstr>
      <vt:lpstr>XDO_?TITL?5?</vt:lpstr>
      <vt:lpstr>XDO_?YTM?18?</vt:lpstr>
      <vt:lpstr>XDO_?YTM?19?</vt:lpstr>
      <vt:lpstr>XDO_?YTM?20?</vt:lpstr>
      <vt:lpstr>XDO_GROUP_?G_2?5?</vt:lpstr>
      <vt:lpstr>XDO_GROUP_?G_3?5?</vt:lpstr>
      <vt:lpstr>XDO_GROUP_?G_4?18?</vt:lpstr>
      <vt:lpstr>XDO_GROUP_?G_4?19?</vt:lpstr>
      <vt:lpstr>XDO_GROUP_?G_4?20?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2023-04-05T12:36:11Z</dcterms:created>
  <dcterms:modified xsi:type="dcterms:W3CDTF">2023-04-08T12:39:50Z</dcterms:modified>
</cp:coreProperties>
</file>