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3?">'Monthly Portfolio'!$C$18:$C$34</definedName>
    <definedName name="XDO_?FINAL_ISIN?11?">'Monthly Portfolio'!$D$20:$D$34</definedName>
    <definedName name="XDO_?FINAL_ISIN?12?">'Monthly Portfolio'!$D$20:$D$43</definedName>
    <definedName name="XDO_?FINAL_ISIN?13?">'Monthly Portfolio'!$D$20:$D$47</definedName>
    <definedName name="XDO_?FINAL_ISIN?14?">'Monthly Portfolio'!$D$20:$D$70</definedName>
    <definedName name="XDO_?FINAL_ISIN?15?">'Monthly Portfolio'!$D$20:$D$74</definedName>
    <definedName name="XDO_?FINAL_MV?11?">'Monthly Portfolio'!$G$20:$G$34</definedName>
    <definedName name="XDO_?FINAL_MV?12?">'Monthly Portfolio'!$G$20:$G$43</definedName>
    <definedName name="XDO_?FINAL_MV?13?">'Monthly Portfolio'!$G$20:$G$47</definedName>
    <definedName name="XDO_?FINAL_MV?14?">'Monthly Portfolio'!$G$20:$G$70</definedName>
    <definedName name="XDO_?FINAL_MV?15?">'Monthly Portfolio'!$G$20:$G$74</definedName>
    <definedName name="XDO_?FINAL_NAME?11?">'Monthly Portfolio'!$C$20:$C$34</definedName>
    <definedName name="XDO_?FINAL_NAME?12?">'Monthly Portfolio'!$C$20:$C$43</definedName>
    <definedName name="XDO_?FINAL_NAME?13?">'Monthly Portfolio'!$C$20:$C$47</definedName>
    <definedName name="XDO_?FINAL_NAME?14?">'Monthly Portfolio'!$C$20:$C$70</definedName>
    <definedName name="XDO_?FINAL_NAME?15?">'Monthly Portfolio'!$C$20:$C$74</definedName>
    <definedName name="XDO_?FINAL_PER_NET?11?">'Monthly Portfolio'!$H$20:$H$34</definedName>
    <definedName name="XDO_?FINAL_PER_NET?12?">'Monthly Portfolio'!$H$20:$H$43</definedName>
    <definedName name="XDO_?FINAL_PER_NET?13?">'Monthly Portfolio'!$H$20:$H$47</definedName>
    <definedName name="XDO_?FINAL_PER_NET?14?">'Monthly Portfolio'!$H$20:$H$70</definedName>
    <definedName name="XDO_?FINAL_PER_NET?15?">'Monthly Portfolio'!$H$20:$H$74</definedName>
    <definedName name="XDO_?FINAL_QUANTITE?11?">'Monthly Portfolio'!$F$20:$F$34</definedName>
    <definedName name="XDO_?FINAL_QUANTITE?12?">'Monthly Portfolio'!$F$20:$F$43</definedName>
    <definedName name="XDO_?FINAL_QUANTITE?13?">'Monthly Portfolio'!$F$20:$F$47</definedName>
    <definedName name="XDO_?FINAL_QUANTITE?14?">'Monthly Portfolio'!$F$20:$F$70</definedName>
    <definedName name="XDO_?FINAL_QUANTITE?15?">'Monthly Portfolio'!$F$20:$F$74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'Monthly Portfolio'!#REF!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'Monthly Portfolio'!$C$2:$C$34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'Monthly Portfolio'!#REF!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'Monthly Portfolio'!#REF!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'Monthly Portfolio'!$B$20:$B$34</definedName>
    <definedName name="XDO_?NOVAL?12?">'Monthly Portfolio'!$B$20:$B$43</definedName>
    <definedName name="XDO_?NOVAL?13?">'Monthly Portfolio'!$B$20:$B$47</definedName>
    <definedName name="XDO_?NOVAL?14?">'Monthly Portfolio'!$B$20:$B$70</definedName>
    <definedName name="XDO_?NOVAL?15?">'Monthly Portfolio'!$B$20:$B$74</definedName>
    <definedName name="XDO_?NPTF?3?">'Monthly Portfolio'!$D$2:$D$34</definedName>
    <definedName name="XDO_?RATING?11?">'Monthly Portfolio'!$E$20:$E$34</definedName>
    <definedName name="XDO_?RATING?12?">'Monthly Portfolio'!$E$20:$E$43</definedName>
    <definedName name="XDO_?RATING?13?">'Monthly Portfolio'!$E$20:$E$47</definedName>
    <definedName name="XDO_?RATING?14?">'Monthly Portfolio'!$E$20:$E$70</definedName>
    <definedName name="XDO_?RATING?15?">'Monthly Portfolio'!$E$20:$E$74</definedName>
    <definedName name="XDO_?REMARKS?11?">'Monthly Portfolio'!$K$20:$K$34</definedName>
    <definedName name="XDO_?REMARKS?12?">'Monthly Portfolio'!$K$20:$K$43</definedName>
    <definedName name="XDO_?REMARKS?13?">'Monthly Portfolio'!$K$20:$K$47</definedName>
    <definedName name="XDO_?REMARKS?14?">'Monthly Portfolio'!$K$20:$K$70</definedName>
    <definedName name="XDO_?REMARKS?15?">'Monthly Portfolio'!$K$20:$K$74</definedName>
    <definedName name="XDO_?TITL?3?">'Monthly Portfolio'!$A$18:$A$34</definedName>
    <definedName name="XDO_?YTM?11?">'Monthly Portfolio'!$I$20:$I$34</definedName>
    <definedName name="XDO_?YTM?12?">'Monthly Portfolio'!$I$20:$I$43</definedName>
    <definedName name="XDO_?YTM?13?">'Monthly Portfolio'!$I$20:$I$47</definedName>
    <definedName name="XDO_?YTM?14?">'Monthly Portfolio'!$I$20:$I$70</definedName>
    <definedName name="XDO_?YTM?15?">'Monthly Portfolio'!$I$20:$I$74</definedName>
    <definedName name="XDO_GROUP_?G_2?3?">'Monthly Portfolio'!$2:$44</definedName>
    <definedName name="XDO_GROUP_?G_3?3?">'Monthly Portfolio'!$8:$43</definedName>
    <definedName name="XDO_GROUP_?G_4?11?">'Monthly Portfolio'!$B$10:$IV$22</definedName>
    <definedName name="XDO_GROUP_?G_4?12?">'Monthly Portfolio'!$B$26:$IV$27</definedName>
    <definedName name="XDO_GROUP_?G_4?13?">'Monthly Portfolio'!$B$31:$IV$31</definedName>
    <definedName name="XDO_GROUP_?G_4?14?">'Monthly Portfolio'!$B$36:$IV$36</definedName>
    <definedName name="XDO_GROUP_?G_4?140?">[1]BM!#REF!</definedName>
    <definedName name="XDO_GROUP_?G_4?15?">'Monthly Portfolio'!$B$41:$IV$41</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2" l="1"/>
  <c r="H77" i="1" l="1"/>
</calcChain>
</file>

<file path=xl/sharedStrings.xml><?xml version="1.0" encoding="utf-8"?>
<sst xmlns="http://schemas.openxmlformats.org/spreadsheetml/2006/main" count="443" uniqueCount="168">
  <si>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</si>
  <si>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</si>
  <si>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</si>
  <si>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</si>
  <si>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</si>
  <si>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</si>
  <si>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</si>
  <si>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</si>
  <si>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</si>
  <si>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</si>
  <si>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</si>
  <si>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</si>
  <si>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</si>
  <si>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</si>
  <si>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</si>
  <si>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</si>
  <si>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</si>
  <si>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</si>
  <si>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</si>
  <si>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</si>
  <si>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</si>
  <si>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</si>
  <si>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704164</t>
  </si>
  <si>
    <t>8.30% Tata Capital Financial Services Ltd. 13-Mar-2026</t>
  </si>
  <si>
    <t>INE306N07NL3</t>
  </si>
  <si>
    <t>[ICRA]AAA</t>
  </si>
  <si>
    <t>N**</t>
  </si>
  <si>
    <t>704060</t>
  </si>
  <si>
    <t>7.65% Indian Railway Finance Corporation Ltd. 30-Dec-2032</t>
  </si>
  <si>
    <t>INE053F08221</t>
  </si>
  <si>
    <t>CRISIL AAA</t>
  </si>
  <si>
    <t>704197</t>
  </si>
  <si>
    <t>8.25% Export-Import Bank of India 23-Jun-2031</t>
  </si>
  <si>
    <t>INE514E08FE0</t>
  </si>
  <si>
    <t>704184</t>
  </si>
  <si>
    <t>8.31% Sundaram Home Finance Ltd. 20-Mar-2026</t>
  </si>
  <si>
    <t>INE667F07IK6</t>
  </si>
  <si>
    <t>704199</t>
  </si>
  <si>
    <t>7.70% Power Finance Corporation Ltd. 15-Apr-2033</t>
  </si>
  <si>
    <t>INE134E08MI4</t>
  </si>
  <si>
    <t>704189</t>
  </si>
  <si>
    <t>7.54% Hindustan Petroleum Corporation Ltd. 15-Apr-2033</t>
  </si>
  <si>
    <t>INE094A08143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</si>
  <si>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</si>
  <si>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</si>
  <si>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</si>
  <si>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</si>
  <si>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</si>
  <si>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</si>
  <si>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</si>
  <si>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</si>
  <si>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</si>
  <si>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</si>
  <si>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</si>
  <si>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</si>
  <si>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</si>
  <si>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</si>
  <si>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701234</t>
  </si>
  <si>
    <t>8.65% Reliance Industries Ltd. 11-Dec-2028</t>
  </si>
  <si>
    <t>INE002A08567</t>
  </si>
  <si>
    <t>702693</t>
  </si>
  <si>
    <t>5.94% REC Ltd. 31-Jan-2026</t>
  </si>
  <si>
    <t>INE020B08DK6</t>
  </si>
  <si>
    <t>701284</t>
  </si>
  <si>
    <t>8.41% Housing and Urban Development Corporation Ltd. 15-Mar-2029</t>
  </si>
  <si>
    <t>INE031A08699</t>
  </si>
  <si>
    <t>704167</t>
  </si>
  <si>
    <t>8.03% LIC Housing Finance Ltd. 23-Mar-2033</t>
  </si>
  <si>
    <t>INE115A07QH6</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</si>
  <si>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</si>
  <si>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</si>
  <si>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</si>
  <si>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</si>
  <si>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</si>
  <si>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</si>
  <si>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</si>
  <si>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</si>
  <si>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</si>
  <si>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</si>
  <si>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</si>
  <si>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</si>
  <si>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</si>
  <si>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</si>
  <si>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</si>
  <si>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</si>
  <si>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</si>
  <si>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</si>
  <si>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</si>
  <si>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</si>
  <si>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</si>
  <si>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</si>
  <si>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</si>
  <si>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</si>
  <si>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</si>
  <si>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</si>
  <si>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</si>
  <si>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</si>
  <si>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</si>
  <si>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</si>
  <si>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</si>
  <si>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</si>
  <si>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</si>
  <si>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</si>
  <si>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</si>
  <si>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</si>
  <si>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</si>
  <si>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</si>
  <si>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</si>
  <si>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</si>
  <si>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</si>
  <si>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</si>
  <si>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</si>
  <si>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</si>
  <si>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</si>
  <si>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</si>
  <si>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</si>
  <si>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</si>
  <si>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</si>
  <si>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</si>
  <si>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</si>
  <si>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</si>
  <si>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</si>
  <si>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</si>
  <si>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</si>
  <si>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</si>
  <si>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</si>
  <si>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</si>
  <si>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</si>
  <si>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</si>
  <si>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</si>
  <si>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</si>
  <si>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</si>
  <si>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</si>
  <si>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2098 days.</t>
  </si>
  <si>
    <t>(12)  Details of repo transaction in corporate debt securities for the Month ended September 30, 2023 is Nil.</t>
  </si>
  <si>
    <t>(13)  Investments in debt instruments having structured obligations or credit enhancement features as at September 30, 2023 is Rs. 574.32 Lacs.</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</si>
  <si>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</si>
  <si>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</si>
  <si>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</si>
  <si>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</si>
  <si>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</si>
  <si>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</si>
  <si>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</si>
  <si>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1548 days.</t>
  </si>
  <si>
    <t>(18) Annualised Portfolio YTM has been 7.5924.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</si>
  <si>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</si>
  <si>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</si>
  <si>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</si>
  <si>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</si>
  <si>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</si>
  <si>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</si>
  <si>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</si>
  <si>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</si>
  <si>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</si>
  <si>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</si>
  <si>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</si>
  <si>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</si>
  <si>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</si>
  <si>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</si>
  <si>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CORPORATE BOND FUND
(An Open ended Debt Scheme predominantly investing in AA+ and above rated corporate bonds. A relatively high interest rate risk and moderate credit risk scheme.)</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</si>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</sst>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5</xdr:col>
      <xdr:colOff>504275</xdr:colOff>
      <xdr:row>141</xdr:row>
      <xdr:rowOff>150707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716067"/>
          <a:ext cx="7455408" cy="2834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5</xdr:col>
      <xdr:colOff>504275</xdr:colOff>
      <xdr:row>143</xdr:row>
      <xdr:rowOff>150707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402800"/>
          <a:ext cx="7453715" cy="27948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3"/>
  <sheetViews>
    <sheetView showGridLines="0" tabSelected="1" zoomScale="90" zoomScaleNormal="90" workbookViewId="0">
      <pane ySplit="6" topLeftCell="A138" activePane="bottomLeft" state="frozen"/>
      <selection activeCell="I2" sqref="I2"/>
      <selection pane="bottomLeft" activeCell="G147" sqref="G14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1130</v>
      </c>
      <c r="G20" s="32">
        <v>1134.92</v>
      </c>
      <c r="H20" s="32">
        <v>7.99</v>
      </c>
      <c r="I20" s="33">
        <v>8.06</v>
      </c>
      <c r="J20" s="33"/>
      <c r="K20" s="34" t="s">
        <v>26</v>
      </c>
    </row>
    <row r="21" spans="1:11" x14ac:dyDescent="0.3">
      <c r="B21" s="1" t="s">
        <v>27</v>
      </c>
      <c r="C21" s="21" t="s">
        <v>28</v>
      </c>
      <c r="D21" s="29" t="s">
        <v>29</v>
      </c>
      <c r="E21" s="30" t="s">
        <v>30</v>
      </c>
      <c r="F21" s="31">
        <v>110</v>
      </c>
      <c r="G21" s="32">
        <v>1109.8399999999999</v>
      </c>
      <c r="H21" s="32">
        <v>7.82</v>
      </c>
      <c r="I21" s="33">
        <v>7.5149999999999997</v>
      </c>
      <c r="J21" s="33"/>
      <c r="K21" s="34" t="s">
        <v>26</v>
      </c>
    </row>
    <row r="22" spans="1:11" x14ac:dyDescent="0.3">
      <c r="B22" s="1" t="s">
        <v>31</v>
      </c>
      <c r="C22" s="21" t="s">
        <v>32</v>
      </c>
      <c r="D22" s="29" t="s">
        <v>33</v>
      </c>
      <c r="E22" s="30" t="s">
        <v>30</v>
      </c>
      <c r="F22" s="31">
        <v>100</v>
      </c>
      <c r="G22" s="32">
        <v>1038.73</v>
      </c>
      <c r="H22" s="32">
        <v>7.32</v>
      </c>
      <c r="I22" s="33">
        <v>7.5594999999999999</v>
      </c>
      <c r="J22" s="33"/>
      <c r="K22" s="34" t="s">
        <v>26</v>
      </c>
    </row>
    <row r="23" spans="1:11" x14ac:dyDescent="0.3">
      <c r="B23" s="1" t="s">
        <v>34</v>
      </c>
      <c r="C23" s="21" t="s">
        <v>35</v>
      </c>
      <c r="D23" s="29" t="s">
        <v>36</v>
      </c>
      <c r="E23" s="30" t="s">
        <v>25</v>
      </c>
      <c r="F23" s="31">
        <v>1000</v>
      </c>
      <c r="G23" s="32">
        <v>1010.03</v>
      </c>
      <c r="H23" s="32">
        <v>7.11</v>
      </c>
      <c r="I23" s="33">
        <v>7.8116000000000003</v>
      </c>
      <c r="J23" s="33"/>
      <c r="K23" s="34" t="s">
        <v>26</v>
      </c>
    </row>
    <row r="24" spans="1:11" x14ac:dyDescent="0.3">
      <c r="B24" s="1" t="s">
        <v>37</v>
      </c>
      <c r="C24" s="21" t="s">
        <v>38</v>
      </c>
      <c r="D24" s="29" t="s">
        <v>39</v>
      </c>
      <c r="E24" s="30" t="s">
        <v>30</v>
      </c>
      <c r="F24" s="31">
        <v>1000</v>
      </c>
      <c r="G24" s="32">
        <v>1005.98</v>
      </c>
      <c r="H24" s="32">
        <v>7.09</v>
      </c>
      <c r="I24" s="33">
        <v>7.6</v>
      </c>
      <c r="J24" s="33"/>
      <c r="K24" s="34" t="s">
        <v>26</v>
      </c>
    </row>
    <row r="25" spans="1:11" x14ac:dyDescent="0.3">
      <c r="B25" s="1" t="s">
        <v>40</v>
      </c>
      <c r="C25" s="21" t="s">
        <v>41</v>
      </c>
      <c r="D25" s="29" t="s">
        <v>42</v>
      </c>
      <c r="E25" s="30" t="s">
        <v>30</v>
      </c>
      <c r="F25" s="31">
        <v>100</v>
      </c>
      <c r="G25" s="32">
        <v>999.19</v>
      </c>
      <c r="H25" s="32">
        <v>7.04</v>
      </c>
      <c r="I25" s="33">
        <v>7.55</v>
      </c>
      <c r="J25" s="33"/>
      <c r="K25" s="34" t="s">
        <v>26</v>
      </c>
    </row>
    <row r="26" spans="1:11" x14ac:dyDescent="0.3">
      <c r="B26" s="1" t="s">
        <v>43</v>
      </c>
      <c r="C26" s="21" t="s">
        <v>44</v>
      </c>
      <c r="D26" s="29" t="s">
        <v>45</v>
      </c>
      <c r="E26" s="30" t="s">
        <v>30</v>
      </c>
      <c r="F26" s="31">
        <v>100</v>
      </c>
      <c r="G26" s="32">
        <v>996.04</v>
      </c>
      <c r="H26" s="32">
        <v>7.02</v>
      </c>
      <c r="I26" s="33">
        <v>7.8849999999999998</v>
      </c>
      <c r="J26" s="33"/>
      <c r="K26" s="34" t="s">
        <v>26</v>
      </c>
    </row>
    <row r="27" spans="1:11" x14ac:dyDescent="0.3">
      <c r="B27" s="1" t="s">
        <v>46</v>
      </c>
      <c r="C27" s="21" t="s">
        <v>47</v>
      </c>
      <c r="D27" s="29" t="s">
        <v>48</v>
      </c>
      <c r="E27" s="30" t="s">
        <v>49</v>
      </c>
      <c r="F27" s="31">
        <v>100</v>
      </c>
      <c r="G27" s="32">
        <v>992.88</v>
      </c>
      <c r="H27" s="32">
        <v>6.99</v>
      </c>
      <c r="I27" s="33">
        <v>7.57</v>
      </c>
      <c r="J27" s="33"/>
      <c r="K27" s="34" t="s">
        <v>26</v>
      </c>
    </row>
    <row r="28" spans="1:11" x14ac:dyDescent="0.3">
      <c r="B28" s="1" t="s">
        <v>50</v>
      </c>
      <c r="C28" s="21" t="s">
        <v>51</v>
      </c>
      <c r="D28" s="29" t="s">
        <v>52</v>
      </c>
      <c r="E28" s="30" t="s">
        <v>30</v>
      </c>
      <c r="F28" s="31">
        <v>1000</v>
      </c>
      <c r="G28" s="32">
        <v>984.42</v>
      </c>
      <c r="H28" s="32">
        <v>6.93</v>
      </c>
      <c r="I28" s="33">
        <v>7.5803000000000003</v>
      </c>
      <c r="J28" s="33"/>
      <c r="K28" s="34" t="s">
        <v>26</v>
      </c>
    </row>
    <row r="29" spans="1:11" x14ac:dyDescent="0.3">
      <c r="B29" s="1" t="s">
        <v>53</v>
      </c>
      <c r="C29" s="21" t="s">
        <v>54</v>
      </c>
      <c r="D29" s="29" t="s">
        <v>55</v>
      </c>
      <c r="E29" s="30" t="s">
        <v>56</v>
      </c>
      <c r="F29" s="31">
        <v>60</v>
      </c>
      <c r="G29" s="32">
        <v>574.32000000000005</v>
      </c>
      <c r="H29" s="32">
        <v>4.05</v>
      </c>
      <c r="I29" s="33">
        <v>7.7350000000000003</v>
      </c>
      <c r="J29" s="33"/>
      <c r="K29" s="34" t="s">
        <v>26</v>
      </c>
    </row>
    <row r="30" spans="1:11" x14ac:dyDescent="0.3">
      <c r="B30" s="1" t="s">
        <v>57</v>
      </c>
      <c r="C30" s="21" t="s">
        <v>58</v>
      </c>
      <c r="D30" s="29" t="s">
        <v>59</v>
      </c>
      <c r="E30" s="30" t="s">
        <v>30</v>
      </c>
      <c r="F30" s="31">
        <v>30</v>
      </c>
      <c r="G30" s="32">
        <v>312.2</v>
      </c>
      <c r="H30" s="32">
        <v>2.2000000000000002</v>
      </c>
      <c r="I30" s="33">
        <v>7.66</v>
      </c>
      <c r="J30" s="33"/>
      <c r="K30" s="34" t="s">
        <v>26</v>
      </c>
    </row>
    <row r="31" spans="1:11" x14ac:dyDescent="0.3">
      <c r="B31" s="1" t="s">
        <v>60</v>
      </c>
      <c r="C31" s="21" t="s">
        <v>61</v>
      </c>
      <c r="D31" s="29" t="s">
        <v>62</v>
      </c>
      <c r="E31" s="30" t="s">
        <v>30</v>
      </c>
      <c r="F31" s="31">
        <v>30</v>
      </c>
      <c r="G31" s="32">
        <v>289.43</v>
      </c>
      <c r="H31" s="32">
        <v>2.04</v>
      </c>
      <c r="I31" s="33">
        <v>7.62</v>
      </c>
      <c r="J31" s="33"/>
      <c r="K31" s="34" t="s">
        <v>26</v>
      </c>
    </row>
    <row r="32" spans="1:11" x14ac:dyDescent="0.3">
      <c r="B32" s="1" t="s">
        <v>63</v>
      </c>
      <c r="C32" s="21" t="s">
        <v>64</v>
      </c>
      <c r="D32" s="29" t="s">
        <v>65</v>
      </c>
      <c r="E32" s="30" t="s">
        <v>25</v>
      </c>
      <c r="F32" s="31">
        <v>25</v>
      </c>
      <c r="G32" s="32">
        <v>261.11</v>
      </c>
      <c r="H32" s="32">
        <v>1.84</v>
      </c>
      <c r="I32" s="33">
        <v>7.54</v>
      </c>
      <c r="J32" s="33"/>
      <c r="K32" s="34" t="s">
        <v>26</v>
      </c>
    </row>
    <row r="33" spans="2:11" x14ac:dyDescent="0.3">
      <c r="B33" s="1" t="s">
        <v>66</v>
      </c>
      <c r="C33" s="21" t="s">
        <v>67</v>
      </c>
      <c r="D33" s="29" t="s">
        <v>68</v>
      </c>
      <c r="E33" s="30" t="s">
        <v>30</v>
      </c>
      <c r="F33" s="31">
        <v>20</v>
      </c>
      <c r="G33" s="32">
        <v>202.99</v>
      </c>
      <c r="H33" s="32">
        <v>1.43</v>
      </c>
      <c r="I33" s="33">
        <v>7.7850000000000001</v>
      </c>
      <c r="J33" s="33"/>
      <c r="K33" s="34" t="s">
        <v>26</v>
      </c>
    </row>
    <row r="34" spans="2:11" x14ac:dyDescent="0.3">
      <c r="B34" s="1" t="s">
        <v>69</v>
      </c>
      <c r="C34" s="21" t="s">
        <v>70</v>
      </c>
      <c r="D34" s="29" t="s">
        <v>71</v>
      </c>
      <c r="E34" s="30" t="s">
        <v>30</v>
      </c>
      <c r="F34" s="31">
        <v>15</v>
      </c>
      <c r="G34" s="32">
        <v>146.43</v>
      </c>
      <c r="H34" s="32">
        <v>1.03</v>
      </c>
      <c r="I34" s="33">
        <v>7.585</v>
      </c>
      <c r="J34" s="33"/>
      <c r="K34" s="34" t="s">
        <v>26</v>
      </c>
    </row>
    <row r="35" spans="2:11" x14ac:dyDescent="0.3">
      <c r="C35" s="28" t="s">
        <v>72</v>
      </c>
      <c r="D35" s="29"/>
      <c r="E35" s="30"/>
      <c r="F35" s="31"/>
      <c r="G35" s="38">
        <v>11058.51</v>
      </c>
      <c r="H35" s="38">
        <v>77.900000000000006</v>
      </c>
      <c r="I35" s="33"/>
      <c r="J35" s="33"/>
      <c r="K35" s="34"/>
    </row>
    <row r="36" spans="2:11" x14ac:dyDescent="0.3">
      <c r="C36" s="21"/>
      <c r="D36" s="29"/>
      <c r="E36" s="30"/>
      <c r="F36" s="31"/>
      <c r="G36" s="32"/>
      <c r="H36" s="32"/>
      <c r="I36" s="33"/>
      <c r="J36" s="33"/>
      <c r="K36" s="34"/>
    </row>
    <row r="37" spans="2:11" x14ac:dyDescent="0.3">
      <c r="C37" s="28" t="s">
        <v>73</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28" t="s">
        <v>74</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37" t="s">
        <v>75</v>
      </c>
      <c r="D41" s="29"/>
      <c r="E41" s="30"/>
      <c r="F41" s="31"/>
      <c r="G41" s="32"/>
      <c r="H41" s="32"/>
      <c r="I41" s="33"/>
      <c r="J41" s="33"/>
      <c r="K41" s="34"/>
    </row>
    <row r="42" spans="2:11" x14ac:dyDescent="0.3">
      <c r="B42" s="1" t="s">
        <v>76</v>
      </c>
      <c r="C42" s="21" t="s">
        <v>77</v>
      </c>
      <c r="D42" s="29" t="s">
        <v>78</v>
      </c>
      <c r="E42" s="30" t="s">
        <v>79</v>
      </c>
      <c r="F42" s="31">
        <v>1500000</v>
      </c>
      <c r="G42" s="32">
        <v>1489.86</v>
      </c>
      <c r="H42" s="32">
        <v>10.49</v>
      </c>
      <c r="I42" s="33">
        <v>7.3802832</v>
      </c>
      <c r="J42" s="33"/>
      <c r="K42" s="34"/>
    </row>
    <row r="43" spans="2:11" x14ac:dyDescent="0.3">
      <c r="B43" s="1" t="s">
        <v>80</v>
      </c>
      <c r="C43" s="21" t="s">
        <v>81</v>
      </c>
      <c r="D43" s="29" t="s">
        <v>82</v>
      </c>
      <c r="E43" s="30" t="s">
        <v>79</v>
      </c>
      <c r="F43" s="31">
        <v>10000</v>
      </c>
      <c r="G43" s="32">
        <v>9.69</v>
      </c>
      <c r="H43" s="32">
        <v>7.0000000000000007E-2</v>
      </c>
      <c r="I43" s="33">
        <v>7.3317877999999999</v>
      </c>
      <c r="J43" s="33"/>
      <c r="K43" s="34"/>
    </row>
    <row r="44" spans="2:11" x14ac:dyDescent="0.3">
      <c r="C44" s="28" t="s">
        <v>72</v>
      </c>
      <c r="D44" s="29"/>
      <c r="E44" s="30"/>
      <c r="F44" s="31"/>
      <c r="G44" s="38">
        <v>1499.55</v>
      </c>
      <c r="H44" s="38">
        <v>10.56</v>
      </c>
      <c r="I44" s="33"/>
      <c r="J44" s="33"/>
      <c r="K44" s="34"/>
    </row>
    <row r="45" spans="2:11" x14ac:dyDescent="0.3">
      <c r="C45" s="21"/>
      <c r="D45" s="29"/>
      <c r="E45" s="30"/>
      <c r="F45" s="31"/>
      <c r="G45" s="32"/>
      <c r="H45" s="32"/>
      <c r="I45" s="33"/>
      <c r="J45" s="33"/>
      <c r="K45" s="34"/>
    </row>
    <row r="46" spans="2:11" x14ac:dyDescent="0.3">
      <c r="C46" s="37" t="s">
        <v>83</v>
      </c>
      <c r="D46" s="29"/>
      <c r="E46" s="30"/>
      <c r="F46" s="31"/>
      <c r="G46" s="32"/>
      <c r="H46" s="32"/>
      <c r="I46" s="33"/>
      <c r="J46" s="33"/>
      <c r="K46" s="34"/>
    </row>
    <row r="47" spans="2:11" x14ac:dyDescent="0.3">
      <c r="B47" s="1" t="s">
        <v>84</v>
      </c>
      <c r="C47" s="21" t="s">
        <v>85</v>
      </c>
      <c r="D47" s="29" t="s">
        <v>86</v>
      </c>
      <c r="E47" s="30" t="s">
        <v>79</v>
      </c>
      <c r="F47" s="31">
        <v>800000</v>
      </c>
      <c r="G47" s="32">
        <v>808.69</v>
      </c>
      <c r="H47" s="32">
        <v>5.7</v>
      </c>
      <c r="I47" s="33">
        <v>7.5880001999999998</v>
      </c>
      <c r="J47" s="33"/>
      <c r="K47" s="34"/>
    </row>
    <row r="48" spans="2:11" x14ac:dyDescent="0.3">
      <c r="C48" s="28" t="s">
        <v>72</v>
      </c>
      <c r="D48" s="29"/>
      <c r="E48" s="30"/>
      <c r="F48" s="31"/>
      <c r="G48" s="38">
        <v>808.69</v>
      </c>
      <c r="H48" s="38">
        <v>5.7</v>
      </c>
      <c r="I48" s="33"/>
      <c r="J48" s="33"/>
      <c r="K48" s="34"/>
    </row>
    <row r="49" spans="1:11" x14ac:dyDescent="0.3">
      <c r="C49" s="21"/>
      <c r="D49" s="29"/>
      <c r="E49" s="30"/>
      <c r="F49" s="31"/>
      <c r="G49" s="32"/>
      <c r="H49" s="32"/>
      <c r="I49" s="33"/>
      <c r="J49" s="33"/>
      <c r="K49" s="34"/>
    </row>
    <row r="50" spans="1:11" x14ac:dyDescent="0.3">
      <c r="C50" s="28" t="s">
        <v>87</v>
      </c>
      <c r="D50" s="29"/>
      <c r="E50" s="30"/>
      <c r="F50" s="31"/>
      <c r="G50" s="32"/>
      <c r="H50" s="32"/>
      <c r="I50" s="33"/>
      <c r="J50" s="33"/>
      <c r="K50" s="34"/>
    </row>
    <row r="51" spans="1:11" x14ac:dyDescent="0.3">
      <c r="C51" s="21"/>
      <c r="D51" s="29"/>
      <c r="E51" s="30"/>
      <c r="F51" s="31"/>
      <c r="G51" s="32"/>
      <c r="H51" s="32"/>
      <c r="I51" s="33"/>
      <c r="J51" s="33"/>
      <c r="K51" s="34"/>
    </row>
    <row r="52" spans="1:11" x14ac:dyDescent="0.3">
      <c r="C52" s="28" t="s">
        <v>88</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89</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90</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91</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A60" s="35"/>
      <c r="B60" s="36"/>
      <c r="C60" s="28" t="s">
        <v>92</v>
      </c>
      <c r="D60" s="29"/>
      <c r="E60" s="30"/>
      <c r="F60" s="31"/>
      <c r="G60" s="32"/>
      <c r="H60" s="32"/>
      <c r="I60" s="33"/>
      <c r="J60" s="33"/>
      <c r="K60" s="34"/>
    </row>
    <row r="61" spans="1:11" x14ac:dyDescent="0.3">
      <c r="A61" s="36"/>
      <c r="B61" s="36"/>
      <c r="C61" s="28" t="s">
        <v>93</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94</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95</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A67" s="36"/>
      <c r="B67" s="36"/>
      <c r="C67" s="28" t="s">
        <v>96</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C69" s="37" t="s">
        <v>97</v>
      </c>
      <c r="D69" s="29"/>
      <c r="E69" s="30"/>
      <c r="F69" s="31"/>
      <c r="G69" s="32"/>
      <c r="H69" s="32"/>
      <c r="I69" s="33"/>
      <c r="J69" s="33"/>
      <c r="K69" s="34"/>
    </row>
    <row r="70" spans="1:11" x14ac:dyDescent="0.3">
      <c r="B70" s="1" t="s">
        <v>98</v>
      </c>
      <c r="C70" s="21" t="s">
        <v>99</v>
      </c>
      <c r="D70" s="29"/>
      <c r="E70" s="30"/>
      <c r="F70" s="31"/>
      <c r="G70" s="32">
        <v>350.29</v>
      </c>
      <c r="H70" s="32">
        <v>2.4700000000000002</v>
      </c>
      <c r="I70" s="33">
        <v>6.79</v>
      </c>
      <c r="J70" s="33"/>
      <c r="K70" s="34"/>
    </row>
    <row r="71" spans="1:11" x14ac:dyDescent="0.3">
      <c r="C71" s="28" t="s">
        <v>72</v>
      </c>
      <c r="D71" s="29"/>
      <c r="E71" s="30"/>
      <c r="F71" s="31"/>
      <c r="G71" s="38">
        <v>350.29</v>
      </c>
      <c r="H71" s="38">
        <v>2.4700000000000002</v>
      </c>
      <c r="I71" s="33"/>
      <c r="J71" s="33"/>
      <c r="K71" s="34"/>
    </row>
    <row r="72" spans="1:11" x14ac:dyDescent="0.3">
      <c r="C72" s="21"/>
      <c r="D72" s="29"/>
      <c r="E72" s="30"/>
      <c r="F72" s="31"/>
      <c r="G72" s="32"/>
      <c r="H72" s="32"/>
      <c r="I72" s="33"/>
      <c r="J72" s="33"/>
      <c r="K72" s="34"/>
    </row>
    <row r="73" spans="1:11" x14ac:dyDescent="0.3">
      <c r="A73" s="35"/>
      <c r="B73" s="36"/>
      <c r="C73" s="28" t="s">
        <v>100</v>
      </c>
      <c r="D73" s="29"/>
      <c r="E73" s="30"/>
      <c r="F73" s="31"/>
      <c r="G73" s="32"/>
      <c r="H73" s="32"/>
      <c r="I73" s="33"/>
      <c r="J73" s="33"/>
      <c r="K73" s="34"/>
    </row>
    <row r="74" spans="1:11" x14ac:dyDescent="0.3">
      <c r="B74" s="1"/>
      <c r="C74" s="21" t="s">
        <v>101</v>
      </c>
      <c r="D74" s="29"/>
      <c r="E74" s="30"/>
      <c r="F74" s="31"/>
      <c r="G74" s="32">
        <v>479.44</v>
      </c>
      <c r="H74" s="32">
        <v>3.37</v>
      </c>
      <c r="I74" s="33"/>
      <c r="J74" s="33"/>
      <c r="K74" s="34"/>
    </row>
    <row r="75" spans="1:11" x14ac:dyDescent="0.3">
      <c r="C75" s="28" t="s">
        <v>72</v>
      </c>
      <c r="D75" s="29"/>
      <c r="E75" s="30"/>
      <c r="F75" s="31"/>
      <c r="G75" s="38">
        <v>479.44</v>
      </c>
      <c r="H75" s="38">
        <v>3.37</v>
      </c>
      <c r="I75" s="33"/>
      <c r="J75" s="33"/>
      <c r="K75" s="34"/>
    </row>
    <row r="76" spans="1:11" x14ac:dyDescent="0.3">
      <c r="C76" s="21"/>
      <c r="D76" s="29"/>
      <c r="E76" s="30"/>
      <c r="F76" s="31"/>
      <c r="G76" s="32"/>
      <c r="H76" s="32"/>
      <c r="I76" s="33"/>
      <c r="J76" s="33"/>
      <c r="K76" s="34"/>
    </row>
    <row r="77" spans="1:11" ht="14.4" thickBot="1" x14ac:dyDescent="0.35">
      <c r="C77" s="39" t="s">
        <v>102</v>
      </c>
      <c r="D77" s="40"/>
      <c r="E77" s="41"/>
      <c r="F77" s="42"/>
      <c r="G77" s="43">
        <v>14196.48</v>
      </c>
      <c r="H77" s="43">
        <f>SUMIFS(H:H,C:C,"Total")</f>
        <v>100.00000000000001</v>
      </c>
      <c r="I77" s="44"/>
      <c r="J77" s="44"/>
      <c r="K77" s="45"/>
    </row>
    <row r="80" spans="1:11" x14ac:dyDescent="0.3">
      <c r="C80" s="11" t="s">
        <v>103</v>
      </c>
    </row>
    <row r="81" spans="3:55" x14ac:dyDescent="0.3">
      <c r="C81" s="2" t="s">
        <v>104</v>
      </c>
    </row>
    <row r="82" spans="3:55" x14ac:dyDescent="0.3">
      <c r="C82" s="46" t="s">
        <v>105</v>
      </c>
    </row>
    <row r="83" spans="3:55" x14ac:dyDescent="0.3">
      <c r="C83" s="2" t="s">
        <v>106</v>
      </c>
    </row>
    <row r="84" spans="3:55" x14ac:dyDescent="0.3">
      <c r="C84" s="2" t="s">
        <v>107</v>
      </c>
    </row>
    <row r="85" spans="3:55" x14ac:dyDescent="0.3">
      <c r="C85" s="2" t="s">
        <v>108</v>
      </c>
      <c r="D85" s="47"/>
      <c r="E85" s="47"/>
      <c r="F85" s="47"/>
      <c r="G85" s="48"/>
      <c r="H85" s="48"/>
    </row>
    <row r="86" spans="3:55" x14ac:dyDescent="0.3">
      <c r="C86" s="2" t="s">
        <v>109</v>
      </c>
    </row>
    <row r="87" spans="3:55" x14ac:dyDescent="0.3">
      <c r="C87" s="2" t="s">
        <v>110</v>
      </c>
    </row>
    <row r="88" spans="3:55" x14ac:dyDescent="0.3">
      <c r="C88" s="2" t="s">
        <v>111</v>
      </c>
    </row>
    <row r="89" spans="3:55" x14ac:dyDescent="0.3">
      <c r="C89" s="2" t="s">
        <v>112</v>
      </c>
    </row>
    <row r="90" spans="3:55" s="11" customFormat="1" x14ac:dyDescent="0.3">
      <c r="C90" s="11" t="s">
        <v>113</v>
      </c>
      <c r="E90" s="11" t="s">
        <v>114</v>
      </c>
      <c r="F90" s="49" t="s">
        <v>115</v>
      </c>
      <c r="G90" s="50"/>
      <c r="H90" s="50"/>
      <c r="I90" s="50"/>
      <c r="J90" s="50"/>
      <c r="K90" s="51"/>
      <c r="L90" s="51"/>
      <c r="M90" s="51"/>
      <c r="AJ90" s="51"/>
      <c r="AW90" s="51"/>
      <c r="AY90" s="51"/>
      <c r="BC90" s="51"/>
    </row>
    <row r="91" spans="3:55" x14ac:dyDescent="0.3">
      <c r="C91" s="2" t="s">
        <v>116</v>
      </c>
      <c r="E91" s="52">
        <v>23.694099999999999</v>
      </c>
      <c r="F91" s="53">
        <v>23.7972</v>
      </c>
    </row>
    <row r="92" spans="3:55" x14ac:dyDescent="0.3">
      <c r="C92" s="2" t="s">
        <v>117</v>
      </c>
      <c r="E92" s="52">
        <v>10.1754</v>
      </c>
      <c r="F92" s="53">
        <v>10.1698</v>
      </c>
    </row>
    <row r="93" spans="3:55" x14ac:dyDescent="0.3">
      <c r="C93" s="2" t="s">
        <v>118</v>
      </c>
      <c r="E93" s="52">
        <v>10.266500000000001</v>
      </c>
      <c r="F93" s="53">
        <v>10.162000000000001</v>
      </c>
    </row>
    <row r="94" spans="3:55" x14ac:dyDescent="0.3">
      <c r="C94" s="2" t="s">
        <v>119</v>
      </c>
      <c r="E94" s="52">
        <v>27.422000000000001</v>
      </c>
      <c r="F94" s="53">
        <v>27.541399999999999</v>
      </c>
    </row>
    <row r="95" spans="3:55" x14ac:dyDescent="0.3">
      <c r="C95" s="2" t="s">
        <v>120</v>
      </c>
      <c r="E95" s="52">
        <v>10.142899999999999</v>
      </c>
      <c r="F95" s="53">
        <v>10.137</v>
      </c>
    </row>
    <row r="96" spans="3:55" x14ac:dyDescent="0.3">
      <c r="C96" s="2" t="s">
        <v>121</v>
      </c>
      <c r="E96" s="52">
        <v>10.255699999999999</v>
      </c>
      <c r="F96" s="53">
        <v>10.1502</v>
      </c>
    </row>
    <row r="97" spans="3:6" x14ac:dyDescent="0.3">
      <c r="C97" s="2" t="s">
        <v>122</v>
      </c>
      <c r="E97" s="52">
        <v>10.609500000000001</v>
      </c>
      <c r="F97" s="53">
        <v>10.6557</v>
      </c>
    </row>
    <row r="98" spans="3:6" x14ac:dyDescent="0.3">
      <c r="C98" s="2" t="s">
        <v>123</v>
      </c>
      <c r="E98" s="52">
        <v>10.5457</v>
      </c>
      <c r="F98" s="53">
        <v>10.5916</v>
      </c>
    </row>
    <row r="99" spans="3:6" x14ac:dyDescent="0.3">
      <c r="C99" s="2" t="s">
        <v>124</v>
      </c>
      <c r="E99" s="52">
        <v>25.026</v>
      </c>
      <c r="F99" s="53">
        <v>25.142399999999999</v>
      </c>
    </row>
    <row r="100" spans="3:6" x14ac:dyDescent="0.3">
      <c r="C100" s="2" t="s">
        <v>125</v>
      </c>
      <c r="E100" s="52">
        <v>10.233599999999999</v>
      </c>
      <c r="F100" s="53">
        <v>10.2315</v>
      </c>
    </row>
    <row r="101" spans="3:6" x14ac:dyDescent="0.3">
      <c r="C101" s="2" t="s">
        <v>126</v>
      </c>
      <c r="E101" s="52">
        <v>10.4285</v>
      </c>
      <c r="F101" s="53">
        <v>10.3171</v>
      </c>
    </row>
    <row r="102" spans="3:6" x14ac:dyDescent="0.3">
      <c r="C102" s="2" t="s">
        <v>127</v>
      </c>
      <c r="E102" s="52">
        <v>10.7875</v>
      </c>
      <c r="F102" s="53">
        <v>10.8377</v>
      </c>
    </row>
    <row r="104" spans="3:6" x14ac:dyDescent="0.3">
      <c r="C104" s="2" t="s">
        <v>128</v>
      </c>
      <c r="E104" s="11" t="s">
        <v>129</v>
      </c>
      <c r="F104" s="49" t="s">
        <v>130</v>
      </c>
    </row>
    <row r="105" spans="3:6" x14ac:dyDescent="0.3">
      <c r="C105" s="2" t="s">
        <v>117</v>
      </c>
      <c r="E105" s="52">
        <v>0.05</v>
      </c>
      <c r="F105" s="53">
        <v>0.05</v>
      </c>
    </row>
    <row r="106" spans="3:6" x14ac:dyDescent="0.3">
      <c r="C106" s="2" t="s">
        <v>118</v>
      </c>
      <c r="E106" s="52">
        <v>0.15</v>
      </c>
      <c r="F106" s="53">
        <v>0.15</v>
      </c>
    </row>
    <row r="107" spans="3:6" x14ac:dyDescent="0.3">
      <c r="C107" s="2" t="s">
        <v>120</v>
      </c>
      <c r="E107" s="52">
        <v>0.05</v>
      </c>
      <c r="F107" s="53">
        <v>0.05</v>
      </c>
    </row>
    <row r="108" spans="3:6" x14ac:dyDescent="0.3">
      <c r="C108" s="2" t="s">
        <v>121</v>
      </c>
      <c r="E108" s="52">
        <v>0.15</v>
      </c>
      <c r="F108" s="53">
        <v>0.15</v>
      </c>
    </row>
    <row r="109" spans="3:6" x14ac:dyDescent="0.3">
      <c r="C109" s="2" t="s">
        <v>125</v>
      </c>
      <c r="E109" s="52">
        <v>0.05</v>
      </c>
      <c r="F109" s="53">
        <v>0.05</v>
      </c>
    </row>
    <row r="110" spans="3:6" x14ac:dyDescent="0.3">
      <c r="C110" s="2" t="s">
        <v>126</v>
      </c>
      <c r="E110" s="52">
        <v>0.16</v>
      </c>
      <c r="F110" s="53">
        <v>0.16</v>
      </c>
    </row>
    <row r="112" spans="3:6" x14ac:dyDescent="0.3">
      <c r="C112" s="2" t="s">
        <v>131</v>
      </c>
    </row>
    <row r="113" spans="3:11" x14ac:dyDescent="0.3">
      <c r="C113" s="2" t="s">
        <v>132</v>
      </c>
    </row>
    <row r="114" spans="3:11" x14ac:dyDescent="0.3">
      <c r="C114" s="2" t="s">
        <v>133</v>
      </c>
    </row>
    <row r="115" spans="3:11" x14ac:dyDescent="0.3">
      <c r="C115" s="2" t="s">
        <v>134</v>
      </c>
    </row>
    <row r="116" spans="3:11" x14ac:dyDescent="0.3">
      <c r="C116" s="2" t="s">
        <v>135</v>
      </c>
    </row>
    <row r="117" spans="3:11" x14ac:dyDescent="0.3">
      <c r="C117" s="2" t="s">
        <v>136</v>
      </c>
    </row>
    <row r="118" spans="3:11" x14ac:dyDescent="0.3">
      <c r="C118" s="2" t="s">
        <v>137</v>
      </c>
    </row>
    <row r="119" spans="3:11" x14ac:dyDescent="0.3">
      <c r="C119" s="2" t="s">
        <v>138</v>
      </c>
    </row>
    <row r="120" spans="3:11" x14ac:dyDescent="0.3">
      <c r="C120" s="2" t="s">
        <v>139</v>
      </c>
    </row>
    <row r="121" spans="3:11" x14ac:dyDescent="0.3">
      <c r="C121" s="2" t="s">
        <v>140</v>
      </c>
    </row>
    <row r="122" spans="3:11" x14ac:dyDescent="0.3">
      <c r="C122" s="2" t="s">
        <v>141</v>
      </c>
    </row>
    <row r="123" spans="3:11" x14ac:dyDescent="0.3">
      <c r="C123" s="2" t="s">
        <v>142</v>
      </c>
    </row>
    <row r="124" spans="3:11" ht="14.4" x14ac:dyDescent="0.3">
      <c r="C124" s="2" t="s">
        <v>143</v>
      </c>
      <c r="D124" s="54"/>
      <c r="E124" s="55"/>
      <c r="F124" s="55"/>
      <c r="G124" s="55"/>
      <c r="H124" s="55"/>
      <c r="I124" s="55"/>
      <c r="J124" s="55"/>
      <c r="K124" s="55"/>
    </row>
    <row r="125" spans="3:11" ht="14.4" x14ac:dyDescent="0.3">
      <c r="C125" s="2" t="s">
        <v>144</v>
      </c>
      <c r="D125" s="55"/>
      <c r="E125" s="55"/>
      <c r="F125" s="55"/>
      <c r="G125" s="55"/>
      <c r="H125" s="55"/>
      <c r="I125" s="55"/>
      <c r="J125" s="55"/>
      <c r="K125" s="55"/>
    </row>
    <row r="126" spans="3:11" ht="14.4" x14ac:dyDescent="0.3">
      <c r="C126" s="54"/>
      <c r="D126" s="54"/>
      <c r="E126" s="55"/>
      <c r="F126" s="55"/>
      <c r="G126" s="55"/>
      <c r="H126" s="55"/>
      <c r="I126" s="55"/>
      <c r="J126" s="55"/>
      <c r="K126" s="55"/>
    </row>
    <row r="127" spans="3:11" ht="14.4" x14ac:dyDescent="0.3">
      <c r="C127" s="55"/>
      <c r="D127" s="55"/>
      <c r="E127" s="55"/>
      <c r="F127" s="55"/>
      <c r="G127" s="55"/>
      <c r="H127" s="55"/>
      <c r="I127" s="55"/>
      <c r="J127" s="55"/>
      <c r="K127" s="55"/>
    </row>
    <row r="128" spans="3:11" ht="14.4" x14ac:dyDescent="0.3">
      <c r="C128" s="55"/>
      <c r="D128" s="55"/>
      <c r="E128" s="55"/>
      <c r="F128" s="55"/>
      <c r="G128" s="55"/>
      <c r="H128" s="55"/>
      <c r="I128" s="55"/>
      <c r="J128" s="55"/>
      <c r="K128" s="55"/>
    </row>
    <row r="143" spans="3:6" ht="14.4" thickBot="1" x14ac:dyDescent="0.35"/>
    <row r="144" spans="3:6" ht="15" thickBot="1" x14ac:dyDescent="0.35">
      <c r="C144" s="66" t="s">
        <v>145</v>
      </c>
      <c r="D144" s="67"/>
      <c r="E144" s="67"/>
      <c r="F144" s="68"/>
    </row>
    <row r="145" spans="3:6" ht="15" thickBot="1" x14ac:dyDescent="0.35">
      <c r="C145" s="56" t="s">
        <v>146</v>
      </c>
      <c r="D145" s="69" t="s">
        <v>147</v>
      </c>
      <c r="E145" s="69" t="s">
        <v>148</v>
      </c>
      <c r="F145" s="69" t="s">
        <v>149</v>
      </c>
    </row>
    <row r="146" spans="3:6" ht="15" thickBot="1" x14ac:dyDescent="0.35">
      <c r="C146" s="56" t="s">
        <v>150</v>
      </c>
      <c r="D146" s="70"/>
      <c r="E146" s="70"/>
      <c r="F146" s="70"/>
    </row>
    <row r="147" spans="3:6" ht="15" thickBot="1" x14ac:dyDescent="0.35">
      <c r="C147" s="57" t="s">
        <v>151</v>
      </c>
      <c r="D147" s="58"/>
      <c r="E147" s="58"/>
      <c r="F147" s="58"/>
    </row>
    <row r="148" spans="3:6" ht="14.4" x14ac:dyDescent="0.3">
      <c r="C148" s="59" t="s">
        <v>152</v>
      </c>
      <c r="D148" s="62"/>
      <c r="E148" s="62"/>
      <c r="F148" s="62"/>
    </row>
    <row r="149" spans="3:6" ht="15" thickBot="1" x14ac:dyDescent="0.35">
      <c r="C149" s="57" t="s">
        <v>153</v>
      </c>
      <c r="D149" s="63"/>
      <c r="E149" s="63"/>
      <c r="F149" s="63"/>
    </row>
    <row r="150" spans="3:6" ht="14.4" x14ac:dyDescent="0.3">
      <c r="C150" s="59" t="s">
        <v>154</v>
      </c>
      <c r="D150" s="62"/>
      <c r="E150" s="64" t="s">
        <v>155</v>
      </c>
      <c r="F150" s="62"/>
    </row>
    <row r="151" spans="3:6" ht="15" thickBot="1" x14ac:dyDescent="0.35">
      <c r="C151" s="57" t="s">
        <v>156</v>
      </c>
      <c r="D151" s="63"/>
      <c r="E151" s="65"/>
      <c r="F151" s="63"/>
    </row>
    <row r="152" spans="3:6" ht="14.4" x14ac:dyDescent="0.35">
      <c r="C152" s="60" t="s">
        <v>157</v>
      </c>
      <c r="D152" s="61"/>
      <c r="E152" s="61"/>
      <c r="F152" s="61"/>
    </row>
    <row r="153" spans="3:6" ht="14.4" x14ac:dyDescent="0.35">
      <c r="C153" s="2" t="s">
        <v>158</v>
      </c>
      <c r="D153" s="61"/>
      <c r="E153" s="61"/>
      <c r="F153" s="61"/>
    </row>
  </sheetData>
  <mergeCells count="10">
    <mergeCell ref="D150:D151"/>
    <mergeCell ref="E150:E151"/>
    <mergeCell ref="F150:F151"/>
    <mergeCell ref="C144:F144"/>
    <mergeCell ref="D145:D146"/>
    <mergeCell ref="E145:E146"/>
    <mergeCell ref="F145:F146"/>
    <mergeCell ref="D148:D149"/>
    <mergeCell ref="E148:E149"/>
    <mergeCell ref="F148:F149"/>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5"/>
  <sheetViews>
    <sheetView topLeftCell="A118" workbookViewId="0">
      <selection activeCell="F132" sqref="F13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1" t="s">
        <v>159</v>
      </c>
      <c r="D3" s="72"/>
      <c r="E3" s="72"/>
      <c r="F3" s="72"/>
      <c r="G3" s="72"/>
      <c r="H3" s="72"/>
      <c r="I3" s="72"/>
      <c r="J3" s="72"/>
      <c r="K3" s="73"/>
      <c r="M3" s="9"/>
    </row>
    <row r="4" spans="1:55" ht="39" customHeight="1" thickBot="1" x14ac:dyDescent="0.35">
      <c r="C4" s="74"/>
      <c r="D4" s="75"/>
      <c r="E4" s="75"/>
      <c r="F4" s="75"/>
      <c r="G4" s="75"/>
      <c r="H4" s="75"/>
      <c r="I4" s="75"/>
      <c r="J4" s="75"/>
      <c r="K4" s="76"/>
    </row>
    <row r="5" spans="1:55" ht="14.4" thickBot="1" x14ac:dyDescent="0.35">
      <c r="C5" s="11"/>
    </row>
    <row r="6" spans="1:55" ht="57" customHeight="1" thickBot="1" x14ac:dyDescent="0.5">
      <c r="C6" s="77" t="s">
        <v>160</v>
      </c>
      <c r="D6" s="78"/>
      <c r="E6" s="78"/>
      <c r="F6" s="78"/>
      <c r="G6" s="78"/>
      <c r="H6" s="78"/>
      <c r="I6" s="78"/>
      <c r="J6" s="78"/>
      <c r="K6" s="79"/>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1130</v>
      </c>
      <c r="G22" s="32">
        <v>1134.92</v>
      </c>
      <c r="H22" s="32">
        <v>7.99</v>
      </c>
      <c r="I22" s="33">
        <v>8.06</v>
      </c>
      <c r="J22" s="33"/>
      <c r="K22" s="34" t="s">
        <v>26</v>
      </c>
    </row>
    <row r="23" spans="1:11" x14ac:dyDescent="0.3">
      <c r="B23" s="1" t="s">
        <v>27</v>
      </c>
      <c r="C23" s="21" t="s">
        <v>28</v>
      </c>
      <c r="D23" s="29" t="s">
        <v>29</v>
      </c>
      <c r="E23" s="30" t="s">
        <v>30</v>
      </c>
      <c r="F23" s="31">
        <v>110</v>
      </c>
      <c r="G23" s="32">
        <v>1109.8399999999999</v>
      </c>
      <c r="H23" s="32">
        <v>7.82</v>
      </c>
      <c r="I23" s="33">
        <v>7.5149999999999997</v>
      </c>
      <c r="J23" s="33"/>
      <c r="K23" s="34" t="s">
        <v>26</v>
      </c>
    </row>
    <row r="24" spans="1:11" x14ac:dyDescent="0.3">
      <c r="B24" s="1" t="s">
        <v>31</v>
      </c>
      <c r="C24" s="21" t="s">
        <v>32</v>
      </c>
      <c r="D24" s="29" t="s">
        <v>33</v>
      </c>
      <c r="E24" s="30" t="s">
        <v>30</v>
      </c>
      <c r="F24" s="31">
        <v>100</v>
      </c>
      <c r="G24" s="32">
        <v>1038.73</v>
      </c>
      <c r="H24" s="32">
        <v>7.32</v>
      </c>
      <c r="I24" s="33">
        <v>7.5594999999999999</v>
      </c>
      <c r="J24" s="33"/>
      <c r="K24" s="34" t="s">
        <v>26</v>
      </c>
    </row>
    <row r="25" spans="1:11" x14ac:dyDescent="0.3">
      <c r="B25" s="1" t="s">
        <v>34</v>
      </c>
      <c r="C25" s="21" t="s">
        <v>35</v>
      </c>
      <c r="D25" s="29" t="s">
        <v>36</v>
      </c>
      <c r="E25" s="30" t="s">
        <v>25</v>
      </c>
      <c r="F25" s="31">
        <v>1000</v>
      </c>
      <c r="G25" s="32">
        <v>1010.03</v>
      </c>
      <c r="H25" s="32">
        <v>7.11</v>
      </c>
      <c r="I25" s="33">
        <v>7.8116000000000003</v>
      </c>
      <c r="J25" s="33"/>
      <c r="K25" s="34" t="s">
        <v>26</v>
      </c>
    </row>
    <row r="26" spans="1:11" x14ac:dyDescent="0.3">
      <c r="B26" s="1" t="s">
        <v>37</v>
      </c>
      <c r="C26" s="21" t="s">
        <v>38</v>
      </c>
      <c r="D26" s="29" t="s">
        <v>39</v>
      </c>
      <c r="E26" s="30" t="s">
        <v>30</v>
      </c>
      <c r="F26" s="31">
        <v>1000</v>
      </c>
      <c r="G26" s="32">
        <v>1005.98</v>
      </c>
      <c r="H26" s="32">
        <v>7.09</v>
      </c>
      <c r="I26" s="33">
        <v>7.6</v>
      </c>
      <c r="J26" s="33"/>
      <c r="K26" s="34" t="s">
        <v>26</v>
      </c>
    </row>
    <row r="27" spans="1:11" x14ac:dyDescent="0.3">
      <c r="B27" s="1" t="s">
        <v>40</v>
      </c>
      <c r="C27" s="21" t="s">
        <v>41</v>
      </c>
      <c r="D27" s="29" t="s">
        <v>42</v>
      </c>
      <c r="E27" s="30" t="s">
        <v>30</v>
      </c>
      <c r="F27" s="31">
        <v>100</v>
      </c>
      <c r="G27" s="32">
        <v>999.19</v>
      </c>
      <c r="H27" s="32">
        <v>7.04</v>
      </c>
      <c r="I27" s="33">
        <v>7.55</v>
      </c>
      <c r="J27" s="33"/>
      <c r="K27" s="34" t="s">
        <v>26</v>
      </c>
    </row>
    <row r="28" spans="1:11" x14ac:dyDescent="0.3">
      <c r="B28" s="1" t="s">
        <v>43</v>
      </c>
      <c r="C28" s="21" t="s">
        <v>44</v>
      </c>
      <c r="D28" s="29" t="s">
        <v>45</v>
      </c>
      <c r="E28" s="30" t="s">
        <v>30</v>
      </c>
      <c r="F28" s="31">
        <v>100</v>
      </c>
      <c r="G28" s="32">
        <v>996.04</v>
      </c>
      <c r="H28" s="32">
        <v>7.02</v>
      </c>
      <c r="I28" s="33">
        <v>7.8849999999999998</v>
      </c>
      <c r="J28" s="33"/>
      <c r="K28" s="34" t="s">
        <v>26</v>
      </c>
    </row>
    <row r="29" spans="1:11" x14ac:dyDescent="0.3">
      <c r="B29" s="1" t="s">
        <v>46</v>
      </c>
      <c r="C29" s="21" t="s">
        <v>47</v>
      </c>
      <c r="D29" s="29" t="s">
        <v>48</v>
      </c>
      <c r="E29" s="30" t="s">
        <v>49</v>
      </c>
      <c r="F29" s="31">
        <v>100</v>
      </c>
      <c r="G29" s="32">
        <v>992.88</v>
      </c>
      <c r="H29" s="32">
        <v>6.99</v>
      </c>
      <c r="I29" s="33">
        <v>7.57</v>
      </c>
      <c r="J29" s="33"/>
      <c r="K29" s="34" t="s">
        <v>26</v>
      </c>
    </row>
    <row r="30" spans="1:11" x14ac:dyDescent="0.3">
      <c r="B30" s="1" t="s">
        <v>50</v>
      </c>
      <c r="C30" s="21" t="s">
        <v>51</v>
      </c>
      <c r="D30" s="29" t="s">
        <v>52</v>
      </c>
      <c r="E30" s="30" t="s">
        <v>30</v>
      </c>
      <c r="F30" s="31">
        <v>1000</v>
      </c>
      <c r="G30" s="32">
        <v>984.42</v>
      </c>
      <c r="H30" s="32">
        <v>6.93</v>
      </c>
      <c r="I30" s="33">
        <v>7.5803000000000003</v>
      </c>
      <c r="J30" s="33"/>
      <c r="K30" s="34" t="s">
        <v>26</v>
      </c>
    </row>
    <row r="31" spans="1:11" x14ac:dyDescent="0.3">
      <c r="B31" s="1" t="s">
        <v>53</v>
      </c>
      <c r="C31" s="21" t="s">
        <v>54</v>
      </c>
      <c r="D31" s="29" t="s">
        <v>55</v>
      </c>
      <c r="E31" s="30" t="s">
        <v>56</v>
      </c>
      <c r="F31" s="31">
        <v>60</v>
      </c>
      <c r="G31" s="32">
        <v>574.32000000000005</v>
      </c>
      <c r="H31" s="32">
        <v>4.05</v>
      </c>
      <c r="I31" s="33">
        <v>7.7350000000000003</v>
      </c>
      <c r="J31" s="33"/>
      <c r="K31" s="34" t="s">
        <v>26</v>
      </c>
    </row>
    <row r="32" spans="1:11" x14ac:dyDescent="0.3">
      <c r="B32" s="1" t="s">
        <v>57</v>
      </c>
      <c r="C32" s="21" t="s">
        <v>58</v>
      </c>
      <c r="D32" s="29" t="s">
        <v>59</v>
      </c>
      <c r="E32" s="30" t="s">
        <v>30</v>
      </c>
      <c r="F32" s="31">
        <v>30</v>
      </c>
      <c r="G32" s="32">
        <v>312.2</v>
      </c>
      <c r="H32" s="32">
        <v>2.2000000000000002</v>
      </c>
      <c r="I32" s="33">
        <v>7.66</v>
      </c>
      <c r="J32" s="33"/>
      <c r="K32" s="34" t="s">
        <v>26</v>
      </c>
    </row>
    <row r="33" spans="2:11" x14ac:dyDescent="0.3">
      <c r="B33" s="1" t="s">
        <v>60</v>
      </c>
      <c r="C33" s="21" t="s">
        <v>61</v>
      </c>
      <c r="D33" s="29" t="s">
        <v>62</v>
      </c>
      <c r="E33" s="30" t="s">
        <v>30</v>
      </c>
      <c r="F33" s="31">
        <v>30</v>
      </c>
      <c r="G33" s="32">
        <v>289.43</v>
      </c>
      <c r="H33" s="32">
        <v>2.04</v>
      </c>
      <c r="I33" s="33">
        <v>7.62</v>
      </c>
      <c r="J33" s="33"/>
      <c r="K33" s="34" t="s">
        <v>26</v>
      </c>
    </row>
    <row r="34" spans="2:11" x14ac:dyDescent="0.3">
      <c r="B34" s="1" t="s">
        <v>63</v>
      </c>
      <c r="C34" s="21" t="s">
        <v>64</v>
      </c>
      <c r="D34" s="29" t="s">
        <v>65</v>
      </c>
      <c r="E34" s="30" t="s">
        <v>25</v>
      </c>
      <c r="F34" s="31">
        <v>25</v>
      </c>
      <c r="G34" s="32">
        <v>261.11</v>
      </c>
      <c r="H34" s="32">
        <v>1.84</v>
      </c>
      <c r="I34" s="33">
        <v>7.54</v>
      </c>
      <c r="J34" s="33"/>
      <c r="K34" s="34" t="s">
        <v>26</v>
      </c>
    </row>
    <row r="35" spans="2:11" x14ac:dyDescent="0.3">
      <c r="B35" s="1" t="s">
        <v>66</v>
      </c>
      <c r="C35" s="21" t="s">
        <v>67</v>
      </c>
      <c r="D35" s="29" t="s">
        <v>68</v>
      </c>
      <c r="E35" s="30" t="s">
        <v>30</v>
      </c>
      <c r="F35" s="31">
        <v>20</v>
      </c>
      <c r="G35" s="32">
        <v>202.99</v>
      </c>
      <c r="H35" s="32">
        <v>1.43</v>
      </c>
      <c r="I35" s="33">
        <v>7.7850000000000001</v>
      </c>
      <c r="J35" s="33"/>
      <c r="K35" s="34" t="s">
        <v>26</v>
      </c>
    </row>
    <row r="36" spans="2:11" x14ac:dyDescent="0.3">
      <c r="B36" s="1" t="s">
        <v>69</v>
      </c>
      <c r="C36" s="21" t="s">
        <v>70</v>
      </c>
      <c r="D36" s="29" t="s">
        <v>71</v>
      </c>
      <c r="E36" s="30" t="s">
        <v>30</v>
      </c>
      <c r="F36" s="31">
        <v>15</v>
      </c>
      <c r="G36" s="32">
        <v>146.43</v>
      </c>
      <c r="H36" s="32">
        <v>1.03</v>
      </c>
      <c r="I36" s="33">
        <v>7.585</v>
      </c>
      <c r="J36" s="33"/>
      <c r="K36" s="34" t="s">
        <v>26</v>
      </c>
    </row>
    <row r="37" spans="2:11" x14ac:dyDescent="0.3">
      <c r="C37" s="28" t="s">
        <v>72</v>
      </c>
      <c r="D37" s="29"/>
      <c r="E37" s="30"/>
      <c r="F37" s="31"/>
      <c r="G37" s="38">
        <v>11058.51</v>
      </c>
      <c r="H37" s="38">
        <v>77.900000000000006</v>
      </c>
      <c r="I37" s="33"/>
      <c r="J37" s="33"/>
      <c r="K37" s="34"/>
    </row>
    <row r="38" spans="2:11" x14ac:dyDescent="0.3">
      <c r="C38" s="21"/>
      <c r="D38" s="29"/>
      <c r="E38" s="30"/>
      <c r="F38" s="31"/>
      <c r="G38" s="32"/>
      <c r="H38" s="32"/>
      <c r="I38" s="33"/>
      <c r="J38" s="33"/>
      <c r="K38" s="34"/>
    </row>
    <row r="39" spans="2:11" x14ac:dyDescent="0.3">
      <c r="C39" s="28" t="s">
        <v>73</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28" t="s">
        <v>74</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37" t="s">
        <v>75</v>
      </c>
      <c r="D43" s="29"/>
      <c r="E43" s="30"/>
      <c r="F43" s="31"/>
      <c r="G43" s="32"/>
      <c r="H43" s="32"/>
      <c r="I43" s="33"/>
      <c r="J43" s="33"/>
      <c r="K43" s="34"/>
    </row>
    <row r="44" spans="2:11" x14ac:dyDescent="0.3">
      <c r="B44" s="1" t="s">
        <v>76</v>
      </c>
      <c r="C44" s="21" t="s">
        <v>77</v>
      </c>
      <c r="D44" s="29" t="s">
        <v>78</v>
      </c>
      <c r="E44" s="30" t="s">
        <v>79</v>
      </c>
      <c r="F44" s="31">
        <v>1500000</v>
      </c>
      <c r="G44" s="32">
        <v>1489.86</v>
      </c>
      <c r="H44" s="32">
        <v>10.49</v>
      </c>
      <c r="I44" s="33">
        <v>7.3802832</v>
      </c>
      <c r="J44" s="33"/>
      <c r="K44" s="34"/>
    </row>
    <row r="45" spans="2:11" x14ac:dyDescent="0.3">
      <c r="B45" s="1" t="s">
        <v>80</v>
      </c>
      <c r="C45" s="21" t="s">
        <v>81</v>
      </c>
      <c r="D45" s="29" t="s">
        <v>82</v>
      </c>
      <c r="E45" s="30" t="s">
        <v>79</v>
      </c>
      <c r="F45" s="31">
        <v>10000</v>
      </c>
      <c r="G45" s="32">
        <v>9.69</v>
      </c>
      <c r="H45" s="32">
        <v>7.0000000000000007E-2</v>
      </c>
      <c r="I45" s="33">
        <v>7.3317877999999999</v>
      </c>
      <c r="J45" s="33"/>
      <c r="K45" s="34"/>
    </row>
    <row r="46" spans="2:11" x14ac:dyDescent="0.3">
      <c r="C46" s="28" t="s">
        <v>72</v>
      </c>
      <c r="D46" s="29"/>
      <c r="E46" s="30"/>
      <c r="F46" s="31"/>
      <c r="G46" s="38">
        <v>1499.55</v>
      </c>
      <c r="H46" s="38">
        <v>10.56</v>
      </c>
      <c r="I46" s="33"/>
      <c r="J46" s="33"/>
      <c r="K46" s="34"/>
    </row>
    <row r="47" spans="2:11" x14ac:dyDescent="0.3">
      <c r="C47" s="21"/>
      <c r="D47" s="29"/>
      <c r="E47" s="30"/>
      <c r="F47" s="31"/>
      <c r="G47" s="32"/>
      <c r="H47" s="32"/>
      <c r="I47" s="33"/>
      <c r="J47" s="33"/>
      <c r="K47" s="34"/>
    </row>
    <row r="48" spans="2:11" x14ac:dyDescent="0.3">
      <c r="C48" s="37" t="s">
        <v>83</v>
      </c>
      <c r="D48" s="29"/>
      <c r="E48" s="30"/>
      <c r="F48" s="31"/>
      <c r="G48" s="32"/>
      <c r="H48" s="32"/>
      <c r="I48" s="33"/>
      <c r="J48" s="33"/>
      <c r="K48" s="34"/>
    </row>
    <row r="49" spans="1:11" x14ac:dyDescent="0.3">
      <c r="B49" s="1" t="s">
        <v>84</v>
      </c>
      <c r="C49" s="21" t="s">
        <v>85</v>
      </c>
      <c r="D49" s="29" t="s">
        <v>86</v>
      </c>
      <c r="E49" s="30" t="s">
        <v>79</v>
      </c>
      <c r="F49" s="31">
        <v>800000</v>
      </c>
      <c r="G49" s="32">
        <v>808.69</v>
      </c>
      <c r="H49" s="32">
        <v>5.7</v>
      </c>
      <c r="I49" s="33">
        <v>7.5880001999999998</v>
      </c>
      <c r="J49" s="33"/>
      <c r="K49" s="34"/>
    </row>
    <row r="50" spans="1:11" x14ac:dyDescent="0.3">
      <c r="C50" s="28" t="s">
        <v>72</v>
      </c>
      <c r="D50" s="29"/>
      <c r="E50" s="30"/>
      <c r="F50" s="31"/>
      <c r="G50" s="38">
        <v>808.69</v>
      </c>
      <c r="H50" s="38">
        <v>5.7</v>
      </c>
      <c r="I50" s="33"/>
      <c r="J50" s="33"/>
      <c r="K50" s="34"/>
    </row>
    <row r="51" spans="1:11" x14ac:dyDescent="0.3">
      <c r="C51" s="21"/>
      <c r="D51" s="29"/>
      <c r="E51" s="30"/>
      <c r="F51" s="31"/>
      <c r="G51" s="32"/>
      <c r="H51" s="32"/>
      <c r="I51" s="33"/>
      <c r="J51" s="33"/>
      <c r="K51" s="34"/>
    </row>
    <row r="52" spans="1:11" x14ac:dyDescent="0.3">
      <c r="C52" s="28" t="s">
        <v>87</v>
      </c>
      <c r="D52" s="29"/>
      <c r="E52" s="30"/>
      <c r="F52" s="31"/>
      <c r="G52" s="32"/>
      <c r="H52" s="32"/>
      <c r="I52" s="33"/>
      <c r="J52" s="33"/>
      <c r="K52" s="34"/>
    </row>
    <row r="53" spans="1:11" x14ac:dyDescent="0.3">
      <c r="C53" s="21"/>
      <c r="D53" s="29"/>
      <c r="E53" s="30"/>
      <c r="F53" s="31"/>
      <c r="G53" s="32"/>
      <c r="H53" s="32"/>
      <c r="I53" s="33"/>
      <c r="J53" s="33"/>
      <c r="K53" s="34"/>
    </row>
    <row r="54" spans="1:11" x14ac:dyDescent="0.3">
      <c r="C54" s="28" t="s">
        <v>88</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89</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90</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91</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A62" s="35"/>
      <c r="B62" s="36"/>
      <c r="C62" s="28" t="s">
        <v>92</v>
      </c>
      <c r="D62" s="29"/>
      <c r="E62" s="30"/>
      <c r="F62" s="31"/>
      <c r="G62" s="32"/>
      <c r="H62" s="32"/>
      <c r="I62" s="33"/>
      <c r="J62" s="33"/>
      <c r="K62" s="34"/>
    </row>
    <row r="63" spans="1:11" x14ac:dyDescent="0.3">
      <c r="A63" s="36"/>
      <c r="B63" s="36"/>
      <c r="C63" s="28" t="s">
        <v>93</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94</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A67" s="36"/>
      <c r="B67" s="36"/>
      <c r="C67" s="28" t="s">
        <v>95</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A69" s="36"/>
      <c r="B69" s="36"/>
      <c r="C69" s="28" t="s">
        <v>96</v>
      </c>
      <c r="D69" s="29"/>
      <c r="E69" s="30"/>
      <c r="F69" s="31"/>
      <c r="G69" s="32" t="s">
        <v>16</v>
      </c>
      <c r="H69" s="32" t="s">
        <v>16</v>
      </c>
      <c r="I69" s="33"/>
      <c r="J69" s="33"/>
      <c r="K69" s="34"/>
    </row>
    <row r="70" spans="1:11" x14ac:dyDescent="0.3">
      <c r="A70" s="36"/>
      <c r="B70" s="36"/>
      <c r="C70" s="28"/>
      <c r="D70" s="29"/>
      <c r="E70" s="30"/>
      <c r="F70" s="31"/>
      <c r="G70" s="32"/>
      <c r="H70" s="32"/>
      <c r="I70" s="33"/>
      <c r="J70" s="33"/>
      <c r="K70" s="34"/>
    </row>
    <row r="71" spans="1:11" x14ac:dyDescent="0.3">
      <c r="C71" s="37" t="s">
        <v>97</v>
      </c>
      <c r="D71" s="29"/>
      <c r="E71" s="30"/>
      <c r="F71" s="31"/>
      <c r="G71" s="32"/>
      <c r="H71" s="32"/>
      <c r="I71" s="33"/>
      <c r="J71" s="33"/>
      <c r="K71" s="34"/>
    </row>
    <row r="72" spans="1:11" x14ac:dyDescent="0.3">
      <c r="B72" s="1" t="s">
        <v>98</v>
      </c>
      <c r="C72" s="21" t="s">
        <v>99</v>
      </c>
      <c r="D72" s="29"/>
      <c r="E72" s="30"/>
      <c r="F72" s="31"/>
      <c r="G72" s="32">
        <v>350.29</v>
      </c>
      <c r="H72" s="32">
        <v>2.4700000000000002</v>
      </c>
      <c r="I72" s="33">
        <v>6.79</v>
      </c>
      <c r="J72" s="33"/>
      <c r="K72" s="34"/>
    </row>
    <row r="73" spans="1:11" x14ac:dyDescent="0.3">
      <c r="C73" s="28" t="s">
        <v>72</v>
      </c>
      <c r="D73" s="29"/>
      <c r="E73" s="30"/>
      <c r="F73" s="31"/>
      <c r="G73" s="38">
        <v>350.29</v>
      </c>
      <c r="H73" s="38">
        <v>2.4700000000000002</v>
      </c>
      <c r="I73" s="33"/>
      <c r="J73" s="33"/>
      <c r="K73" s="34"/>
    </row>
    <row r="74" spans="1:11" x14ac:dyDescent="0.3">
      <c r="C74" s="21"/>
      <c r="D74" s="29"/>
      <c r="E74" s="30"/>
      <c r="F74" s="31"/>
      <c r="G74" s="32"/>
      <c r="H74" s="32"/>
      <c r="I74" s="33"/>
      <c r="J74" s="33"/>
      <c r="K74" s="34"/>
    </row>
    <row r="75" spans="1:11" x14ac:dyDescent="0.3">
      <c r="A75" s="35"/>
      <c r="B75" s="36"/>
      <c r="C75" s="28" t="s">
        <v>100</v>
      </c>
      <c r="D75" s="29"/>
      <c r="E75" s="30"/>
      <c r="F75" s="31"/>
      <c r="G75" s="32"/>
      <c r="H75" s="32"/>
      <c r="I75" s="33"/>
      <c r="J75" s="33"/>
      <c r="K75" s="34"/>
    </row>
    <row r="76" spans="1:11" x14ac:dyDescent="0.3">
      <c r="B76" s="1"/>
      <c r="C76" s="21" t="s">
        <v>101</v>
      </c>
      <c r="D76" s="29"/>
      <c r="E76" s="30"/>
      <c r="F76" s="31"/>
      <c r="G76" s="32">
        <v>479.44</v>
      </c>
      <c r="H76" s="32">
        <v>3.37</v>
      </c>
      <c r="I76" s="33"/>
      <c r="J76" s="33"/>
      <c r="K76" s="34"/>
    </row>
    <row r="77" spans="1:11" x14ac:dyDescent="0.3">
      <c r="C77" s="28" t="s">
        <v>72</v>
      </c>
      <c r="D77" s="29"/>
      <c r="E77" s="30"/>
      <c r="F77" s="31"/>
      <c r="G77" s="38">
        <v>479.44</v>
      </c>
      <c r="H77" s="38">
        <v>3.37</v>
      </c>
      <c r="I77" s="33"/>
      <c r="J77" s="33"/>
      <c r="K77" s="34"/>
    </row>
    <row r="78" spans="1:11" x14ac:dyDescent="0.3">
      <c r="C78" s="21"/>
      <c r="D78" s="29"/>
      <c r="E78" s="30"/>
      <c r="F78" s="31"/>
      <c r="G78" s="32"/>
      <c r="H78" s="32"/>
      <c r="I78" s="33"/>
      <c r="J78" s="33"/>
      <c r="K78" s="34"/>
    </row>
    <row r="79" spans="1:11" ht="14.4" thickBot="1" x14ac:dyDescent="0.35">
      <c r="C79" s="39" t="s">
        <v>102</v>
      </c>
      <c r="D79" s="40"/>
      <c r="E79" s="41"/>
      <c r="F79" s="42"/>
      <c r="G79" s="43">
        <v>14196.48</v>
      </c>
      <c r="H79" s="43">
        <f>SUMIFS(H:H,C:C,"Total")</f>
        <v>100.00000000000001</v>
      </c>
      <c r="I79" s="44"/>
      <c r="J79" s="44"/>
      <c r="K79" s="45"/>
    </row>
    <row r="82" spans="3:55" x14ac:dyDescent="0.3">
      <c r="C82" s="11" t="s">
        <v>103</v>
      </c>
    </row>
    <row r="83" spans="3:55" x14ac:dyDescent="0.3">
      <c r="C83" s="2" t="s">
        <v>104</v>
      </c>
    </row>
    <row r="84" spans="3:55" x14ac:dyDescent="0.3">
      <c r="C84" s="46" t="s">
        <v>105</v>
      </c>
    </row>
    <row r="85" spans="3:55" x14ac:dyDescent="0.3">
      <c r="C85" s="2" t="s">
        <v>106</v>
      </c>
    </row>
    <row r="86" spans="3:55" x14ac:dyDescent="0.3">
      <c r="C86" s="2" t="s">
        <v>107</v>
      </c>
    </row>
    <row r="87" spans="3:55" x14ac:dyDescent="0.3">
      <c r="C87" s="2" t="s">
        <v>108</v>
      </c>
      <c r="D87" s="47"/>
      <c r="E87" s="47"/>
      <c r="F87" s="47"/>
      <c r="G87" s="48"/>
      <c r="H87" s="48"/>
    </row>
    <row r="88" spans="3:55" x14ac:dyDescent="0.3">
      <c r="C88" s="2" t="s">
        <v>109</v>
      </c>
    </row>
    <row r="89" spans="3:55" x14ac:dyDescent="0.3">
      <c r="C89" s="2" t="s">
        <v>110</v>
      </c>
    </row>
    <row r="90" spans="3:55" x14ac:dyDescent="0.3">
      <c r="C90" s="2" t="s">
        <v>111</v>
      </c>
    </row>
    <row r="91" spans="3:55" x14ac:dyDescent="0.3">
      <c r="C91" s="2" t="s">
        <v>112</v>
      </c>
    </row>
    <row r="92" spans="3:55" s="11" customFormat="1" x14ac:dyDescent="0.3">
      <c r="C92" s="11" t="s">
        <v>113</v>
      </c>
      <c r="E92" s="11" t="s">
        <v>161</v>
      </c>
      <c r="F92" s="49" t="s">
        <v>115</v>
      </c>
      <c r="G92" s="50"/>
      <c r="H92" s="50"/>
      <c r="I92" s="50"/>
      <c r="J92" s="50"/>
      <c r="K92" s="51"/>
      <c r="L92" s="51"/>
      <c r="M92" s="51"/>
      <c r="AJ92" s="51"/>
      <c r="AW92" s="51"/>
      <c r="AY92" s="51"/>
      <c r="BC92" s="51"/>
    </row>
    <row r="93" spans="3:55" x14ac:dyDescent="0.3">
      <c r="C93" s="2" t="s">
        <v>116</v>
      </c>
      <c r="E93" s="52">
        <v>22.943200000000001</v>
      </c>
      <c r="F93" s="53">
        <v>23.7972</v>
      </c>
    </row>
    <row r="94" spans="3:55" x14ac:dyDescent="0.3">
      <c r="C94" s="2" t="s">
        <v>117</v>
      </c>
      <c r="E94" s="52">
        <v>10.096399999999999</v>
      </c>
      <c r="F94" s="53">
        <v>10.1698</v>
      </c>
    </row>
    <row r="95" spans="3:55" x14ac:dyDescent="0.3">
      <c r="C95" s="2" t="s">
        <v>118</v>
      </c>
      <c r="E95" s="52">
        <v>10.134499999999999</v>
      </c>
      <c r="F95" s="53">
        <v>10.162000000000001</v>
      </c>
    </row>
    <row r="96" spans="3:55" x14ac:dyDescent="0.3">
      <c r="C96" s="2" t="s">
        <v>119</v>
      </c>
      <c r="E96" s="52">
        <v>26.552099999999999</v>
      </c>
      <c r="F96" s="53">
        <v>27.541399999999999</v>
      </c>
    </row>
    <row r="97" spans="3:6" x14ac:dyDescent="0.3">
      <c r="C97" s="2" t="s">
        <v>120</v>
      </c>
      <c r="E97" s="52">
        <v>10.065300000000001</v>
      </c>
      <c r="F97" s="53">
        <v>10.137</v>
      </c>
    </row>
    <row r="98" spans="3:6" x14ac:dyDescent="0.3">
      <c r="C98" s="2" t="s">
        <v>121</v>
      </c>
      <c r="E98" s="52">
        <v>10.0587</v>
      </c>
      <c r="F98" s="53">
        <v>10.1502</v>
      </c>
    </row>
    <row r="99" spans="3:6" x14ac:dyDescent="0.3">
      <c r="C99" s="2" t="s">
        <v>122</v>
      </c>
      <c r="E99" s="52">
        <v>10.273</v>
      </c>
      <c r="F99" s="53">
        <v>10.6557</v>
      </c>
    </row>
    <row r="100" spans="3:6" x14ac:dyDescent="0.3">
      <c r="C100" s="2" t="s">
        <v>123</v>
      </c>
      <c r="E100" s="52">
        <v>10.211399999999999</v>
      </c>
      <c r="F100" s="53">
        <v>10.5916</v>
      </c>
    </row>
    <row r="101" spans="3:6" x14ac:dyDescent="0.3">
      <c r="C101" s="2" t="s">
        <v>124</v>
      </c>
      <c r="E101" s="52">
        <v>24.194099999999999</v>
      </c>
      <c r="F101" s="53">
        <v>25.142399999999999</v>
      </c>
    </row>
    <row r="102" spans="3:6" x14ac:dyDescent="0.3">
      <c r="C102" s="2" t="s">
        <v>125</v>
      </c>
      <c r="E102" s="52">
        <v>10.135999999999999</v>
      </c>
      <c r="F102" s="53">
        <v>10.2315</v>
      </c>
    </row>
    <row r="103" spans="3:6" x14ac:dyDescent="0.3">
      <c r="C103" s="2" t="s">
        <v>126</v>
      </c>
      <c r="E103" s="52">
        <v>10.237</v>
      </c>
      <c r="F103" s="53">
        <v>10.3171</v>
      </c>
    </row>
    <row r="104" spans="3:6" x14ac:dyDescent="0.3">
      <c r="C104" s="2" t="s">
        <v>127</v>
      </c>
      <c r="E104" s="52">
        <v>10.428900000000001</v>
      </c>
      <c r="F104" s="53">
        <v>10.8377</v>
      </c>
    </row>
    <row r="106" spans="3:6" x14ac:dyDescent="0.3">
      <c r="C106" s="2" t="s">
        <v>162</v>
      </c>
      <c r="E106" s="11" t="s">
        <v>129</v>
      </c>
      <c r="F106" s="49" t="s">
        <v>130</v>
      </c>
    </row>
    <row r="107" spans="3:6" x14ac:dyDescent="0.3">
      <c r="C107" s="2" t="s">
        <v>117</v>
      </c>
      <c r="E107" s="52">
        <v>0.3</v>
      </c>
      <c r="F107" s="53">
        <v>0.3</v>
      </c>
    </row>
    <row r="108" spans="3:6" x14ac:dyDescent="0.3">
      <c r="C108" s="2" t="s">
        <v>118</v>
      </c>
      <c r="E108" s="52">
        <v>0.31</v>
      </c>
      <c r="F108" s="53">
        <v>0.31</v>
      </c>
    </row>
    <row r="109" spans="3:6" x14ac:dyDescent="0.3">
      <c r="C109" s="2" t="s">
        <v>120</v>
      </c>
      <c r="E109" s="52">
        <v>0.3</v>
      </c>
      <c r="F109" s="53">
        <v>0.3</v>
      </c>
    </row>
    <row r="110" spans="3:6" x14ac:dyDescent="0.3">
      <c r="C110" s="2" t="s">
        <v>121</v>
      </c>
      <c r="E110" s="52">
        <v>0.3</v>
      </c>
      <c r="F110" s="53">
        <v>0.3</v>
      </c>
    </row>
    <row r="111" spans="3:6" x14ac:dyDescent="0.3">
      <c r="C111" s="2" t="s">
        <v>125</v>
      </c>
      <c r="E111" s="52">
        <v>0.3</v>
      </c>
      <c r="F111" s="53">
        <v>0.3</v>
      </c>
    </row>
    <row r="112" spans="3:6" x14ac:dyDescent="0.3">
      <c r="C112" s="2" t="s">
        <v>126</v>
      </c>
      <c r="E112" s="52">
        <v>0.32</v>
      </c>
      <c r="F112" s="53">
        <v>0.32</v>
      </c>
    </row>
    <row r="114" spans="3:11" x14ac:dyDescent="0.3">
      <c r="C114" s="2" t="s">
        <v>163</v>
      </c>
    </row>
    <row r="115" spans="3:11" x14ac:dyDescent="0.3">
      <c r="C115" s="2" t="s">
        <v>132</v>
      </c>
    </row>
    <row r="116" spans="3:11" x14ac:dyDescent="0.3">
      <c r="C116" s="2" t="s">
        <v>133</v>
      </c>
    </row>
    <row r="117" spans="3:11" x14ac:dyDescent="0.3">
      <c r="C117" s="2" t="s">
        <v>164</v>
      </c>
    </row>
    <row r="118" spans="3:11" x14ac:dyDescent="0.3">
      <c r="C118" s="2" t="s">
        <v>135</v>
      </c>
    </row>
    <row r="119" spans="3:11" x14ac:dyDescent="0.3">
      <c r="C119" s="2" t="s">
        <v>165</v>
      </c>
    </row>
    <row r="120" spans="3:11" x14ac:dyDescent="0.3">
      <c r="C120" s="2" t="s">
        <v>137</v>
      </c>
    </row>
    <row r="121" spans="3:11" x14ac:dyDescent="0.3">
      <c r="C121" s="2" t="s">
        <v>138</v>
      </c>
    </row>
    <row r="122" spans="3:11" x14ac:dyDescent="0.3">
      <c r="C122" s="2" t="s">
        <v>166</v>
      </c>
    </row>
    <row r="123" spans="3:11" x14ac:dyDescent="0.3">
      <c r="C123" s="2" t="s">
        <v>140</v>
      </c>
    </row>
    <row r="124" spans="3:11" x14ac:dyDescent="0.3">
      <c r="C124" s="2" t="s">
        <v>141</v>
      </c>
    </row>
    <row r="125" spans="3:11" x14ac:dyDescent="0.3">
      <c r="C125" s="2" t="s">
        <v>167</v>
      </c>
    </row>
    <row r="126" spans="3:11" ht="14.4" x14ac:dyDescent="0.3">
      <c r="C126" s="2" t="s">
        <v>143</v>
      </c>
      <c r="D126" s="54"/>
      <c r="E126" s="55"/>
      <c r="F126" s="55"/>
      <c r="G126" s="55"/>
      <c r="H126" s="55"/>
      <c r="I126" s="55"/>
      <c r="J126" s="55"/>
      <c r="K126" s="55"/>
    </row>
    <row r="127" spans="3:11" ht="14.4" x14ac:dyDescent="0.3">
      <c r="C127" s="2" t="s">
        <v>144</v>
      </c>
      <c r="D127" s="55"/>
      <c r="E127" s="55"/>
      <c r="F127" s="55"/>
      <c r="G127" s="55"/>
      <c r="H127" s="55"/>
      <c r="I127" s="55"/>
      <c r="J127" s="55"/>
      <c r="K127" s="55"/>
    </row>
    <row r="128" spans="3:11" ht="14.4" x14ac:dyDescent="0.3">
      <c r="C128" s="54"/>
      <c r="D128" s="54"/>
      <c r="E128" s="55"/>
      <c r="F128" s="55"/>
      <c r="G128" s="55"/>
      <c r="H128" s="55"/>
      <c r="I128" s="55"/>
      <c r="J128" s="55"/>
      <c r="K128" s="55"/>
    </row>
    <row r="129" spans="3:11" ht="14.4" x14ac:dyDescent="0.3">
      <c r="C129" s="55"/>
      <c r="D129" s="55"/>
      <c r="E129" s="55"/>
      <c r="F129" s="55"/>
      <c r="G129" s="55"/>
      <c r="H129" s="55"/>
      <c r="I129" s="55"/>
      <c r="J129" s="55"/>
      <c r="K129" s="55"/>
    </row>
    <row r="130" spans="3:11" ht="14.4" x14ac:dyDescent="0.3">
      <c r="C130" s="55"/>
      <c r="D130" s="55"/>
      <c r="E130" s="55"/>
      <c r="F130" s="55"/>
      <c r="G130" s="55"/>
      <c r="H130" s="55"/>
      <c r="I130" s="55"/>
      <c r="J130" s="55"/>
      <c r="K130" s="55"/>
    </row>
    <row r="145" spans="3:6" ht="14.4" thickBot="1" x14ac:dyDescent="0.35"/>
    <row r="146" spans="3:6" ht="15" thickBot="1" x14ac:dyDescent="0.35">
      <c r="C146" s="66" t="s">
        <v>145</v>
      </c>
      <c r="D146" s="67"/>
      <c r="E146" s="67"/>
      <c r="F146" s="68"/>
    </row>
    <row r="147" spans="3:6" ht="15" thickBot="1" x14ac:dyDescent="0.35">
      <c r="C147" s="56" t="s">
        <v>146</v>
      </c>
      <c r="D147" s="69" t="s">
        <v>147</v>
      </c>
      <c r="E147" s="69" t="s">
        <v>148</v>
      </c>
      <c r="F147" s="69" t="s">
        <v>149</v>
      </c>
    </row>
    <row r="148" spans="3:6" ht="15" thickBot="1" x14ac:dyDescent="0.35">
      <c r="C148" s="56" t="s">
        <v>150</v>
      </c>
      <c r="D148" s="70"/>
      <c r="E148" s="70"/>
      <c r="F148" s="70"/>
    </row>
    <row r="149" spans="3:6" ht="15" thickBot="1" x14ac:dyDescent="0.35">
      <c r="C149" s="57" t="s">
        <v>151</v>
      </c>
      <c r="D149" s="58"/>
      <c r="E149" s="58"/>
      <c r="F149" s="58"/>
    </row>
    <row r="150" spans="3:6" ht="14.4" x14ac:dyDescent="0.3">
      <c r="C150" s="59" t="s">
        <v>152</v>
      </c>
      <c r="D150" s="62"/>
      <c r="E150" s="62"/>
      <c r="F150" s="62"/>
    </row>
    <row r="151" spans="3:6" ht="15" thickBot="1" x14ac:dyDescent="0.35">
      <c r="C151" s="57" t="s">
        <v>153</v>
      </c>
      <c r="D151" s="63"/>
      <c r="E151" s="63"/>
      <c r="F151" s="63"/>
    </row>
    <row r="152" spans="3:6" ht="14.4" x14ac:dyDescent="0.3">
      <c r="C152" s="59" t="s">
        <v>154</v>
      </c>
      <c r="D152" s="62"/>
      <c r="E152" s="64" t="s">
        <v>155</v>
      </c>
      <c r="F152" s="62"/>
    </row>
    <row r="153" spans="3:6" ht="15" thickBot="1" x14ac:dyDescent="0.35">
      <c r="C153" s="57" t="s">
        <v>156</v>
      </c>
      <c r="D153" s="63"/>
      <c r="E153" s="65"/>
      <c r="F153" s="63"/>
    </row>
    <row r="154" spans="3:6" ht="14.4" x14ac:dyDescent="0.35">
      <c r="C154" s="60" t="s">
        <v>157</v>
      </c>
      <c r="D154" s="61"/>
      <c r="E154" s="61"/>
      <c r="F154" s="61"/>
    </row>
    <row r="155" spans="3:6" ht="14.4" x14ac:dyDescent="0.35">
      <c r="C155" s="2" t="s">
        <v>158</v>
      </c>
      <c r="D155" s="61"/>
      <c r="E155" s="61"/>
      <c r="F155" s="61"/>
    </row>
  </sheetData>
  <mergeCells count="12">
    <mergeCell ref="C3:K4"/>
    <mergeCell ref="C6:K6"/>
    <mergeCell ref="C146:F146"/>
    <mergeCell ref="D147:D148"/>
    <mergeCell ref="E147:E148"/>
    <mergeCell ref="F147:F148"/>
    <mergeCell ref="D150:D151"/>
    <mergeCell ref="E150:E151"/>
    <mergeCell ref="F150:F151"/>
    <mergeCell ref="D152:D153"/>
    <mergeCell ref="E152:E153"/>
    <mergeCell ref="F152:F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Monthly Portfolio</vt:lpstr>
      <vt:lpstr>Half Yearly Portfolio</vt:lpstr>
      <vt:lpstr>XDO_?CLASS_3?3?</vt:lpstr>
      <vt:lpstr>XDO_?FINAL_ISIN?11?</vt:lpstr>
      <vt:lpstr>XDO_?FINAL_ISIN?12?</vt:lpstr>
      <vt:lpstr>XDO_?FINAL_ISIN?13?</vt:lpstr>
      <vt:lpstr>XDO_?FINAL_ISIN?14?</vt:lpstr>
      <vt:lpstr>XDO_?FINAL_ISIN?15?</vt:lpstr>
      <vt:lpstr>XDO_?FINAL_MV?11?</vt:lpstr>
      <vt:lpstr>XDO_?FINAL_MV?12?</vt:lpstr>
      <vt:lpstr>XDO_?FINAL_MV?13?</vt:lpstr>
      <vt:lpstr>XDO_?FINAL_MV?14?</vt:lpstr>
      <vt:lpstr>XDO_?FINAL_MV?15?</vt:lpstr>
      <vt:lpstr>XDO_?FINAL_NAME?11?</vt:lpstr>
      <vt:lpstr>XDO_?FINAL_NAME?12?</vt:lpstr>
      <vt:lpstr>XDO_?FINAL_NAME?13?</vt:lpstr>
      <vt:lpstr>XDO_?FINAL_NAME?14?</vt:lpstr>
      <vt:lpstr>XDO_?FINAL_NAME?15?</vt:lpstr>
      <vt:lpstr>XDO_?FINAL_PER_NET?11?</vt:lpstr>
      <vt:lpstr>XDO_?FINAL_PER_NET?12?</vt:lpstr>
      <vt:lpstr>XDO_?FINAL_PER_NET?13?</vt:lpstr>
      <vt:lpstr>XDO_?FINAL_PER_NET?14?</vt:lpstr>
      <vt:lpstr>XDO_?FINAL_PER_NET?15?</vt:lpstr>
      <vt:lpstr>XDO_?FINAL_QUANTITE?11?</vt:lpstr>
      <vt:lpstr>XDO_?FINAL_QUANTITE?12?</vt:lpstr>
      <vt:lpstr>XDO_?FINAL_QUANTITE?13?</vt:lpstr>
      <vt:lpstr>XDO_?FINAL_QUANTITE?14?</vt:lpstr>
      <vt:lpstr>XDO_?FINAL_QUANTITE?15?</vt:lpstr>
      <vt:lpstr>XDO_?NAMCNAME?3?</vt:lpstr>
      <vt:lpstr>XDO_?NOVAL?11?</vt:lpstr>
      <vt:lpstr>XDO_?NOVAL?12?</vt:lpstr>
      <vt:lpstr>XDO_?NOVAL?13?</vt:lpstr>
      <vt:lpstr>XDO_?NOVAL?14?</vt:lpstr>
      <vt:lpstr>XDO_?NOVAL?15?</vt:lpstr>
      <vt:lpstr>XDO_?NPTF?3?</vt:lpstr>
      <vt:lpstr>XDO_?RATING?11?</vt:lpstr>
      <vt:lpstr>XDO_?RATING?12?</vt:lpstr>
      <vt:lpstr>XDO_?RATING?13?</vt:lpstr>
      <vt:lpstr>XDO_?RATING?14?</vt:lpstr>
      <vt:lpstr>XDO_?RATING?15?</vt:lpstr>
      <vt:lpstr>XDO_?REMARKS?11?</vt:lpstr>
      <vt:lpstr>XDO_?REMARKS?12?</vt:lpstr>
      <vt:lpstr>XDO_?REMARKS?13?</vt:lpstr>
      <vt:lpstr>XDO_?REMARKS?14?</vt:lpstr>
      <vt:lpstr>XDO_?REMARKS?15?</vt:lpstr>
      <vt:lpstr>XDO_?TITL?3?</vt:lpstr>
      <vt:lpstr>XDO_?YTM?11?</vt:lpstr>
      <vt:lpstr>XDO_?YTM?12?</vt:lpstr>
      <vt:lpstr>XDO_?YTM?13?</vt:lpstr>
      <vt:lpstr>XDO_?YTM?14?</vt:lpstr>
      <vt:lpstr>XDO_?YTM?15?</vt:lpstr>
      <vt:lpstr>XDO_GROUP_?G_2?3?</vt:lpstr>
      <vt:lpstr>XDO_GROUP_?G_3?3?</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2023-10-05T12:54:04Z</dcterms:created>
  <dcterms:modified xsi:type="dcterms:W3CDTF">2023-10-09T10:12:57Z</dcterms:modified>
</cp:coreProperties>
</file>