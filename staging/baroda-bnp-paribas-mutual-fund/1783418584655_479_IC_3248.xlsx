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june-2023\BOBBNPMF_Monthly portfolio_Split_30-06-2023\"/>
    </mc:Choice>
  </mc:AlternateContent>
  <bookViews>
    <workbookView xWindow="0" yWindow="0" windowWidth="23040" windowHeight="9072"/>
  </bookViews>
  <sheets>
    <sheet name="IC" sheetId="1" r:id="rId1"/>
  </sheets>
  <externalReferences>
    <externalReference r:id="rId2"/>
  </externalReferences>
  <definedNames>
    <definedName name="XDO_?CLASS_3?14?">IC!$C$8:$C$50</definedName>
    <definedName name="XDO_?FINAL_ISIN?68?">IC!$D$10:$D$50</definedName>
    <definedName name="XDO_?FINAL_ISIN?69?">IC!$D$10:$D$75</definedName>
    <definedName name="XDO_?FINAL_ISIN?70?">IC!$D$10:$D$90</definedName>
    <definedName name="XDO_?FINAL_ISIN?71?">IC!$D$10:$D$94</definedName>
    <definedName name="XDO_?FINAL_MV?68?">IC!$G$10:$G$50</definedName>
    <definedName name="XDO_?FINAL_MV?69?">IC!$G$10:$G$75</definedName>
    <definedName name="XDO_?FINAL_MV?70?">IC!$G$10:$G$90</definedName>
    <definedName name="XDO_?FINAL_MV?71?">IC!$G$10:$G$94</definedName>
    <definedName name="XDO_?FINAL_NAME?68?">IC!$C$10:$C$50</definedName>
    <definedName name="XDO_?FINAL_NAME?69?">IC!$C$10:$C$75</definedName>
    <definedName name="XDO_?FINAL_NAME?70?">IC!$C$10:$C$90</definedName>
    <definedName name="XDO_?FINAL_NAME?71?">IC!$C$10:$C$94</definedName>
    <definedName name="XDO_?FINAL_PER_NET?68?">IC!$H$10:$H$50</definedName>
    <definedName name="XDO_?FINAL_PER_NET?69?">IC!$H$10:$H$75</definedName>
    <definedName name="XDO_?FINAL_PER_NET?70?">IC!$H$10:$H$90</definedName>
    <definedName name="XDO_?FINAL_PER_NET?71?">IC!$H$10:$H$94</definedName>
    <definedName name="XDO_?FINAL_QUANTITE?68?">IC!$F$10:$F$50</definedName>
    <definedName name="XDO_?FINAL_QUANTITE?69?">IC!$F$10:$F$75</definedName>
    <definedName name="XDO_?FINAL_QUANTITE?70?">IC!$F$10:$F$90</definedName>
    <definedName name="XDO_?FINAL_QUANTITE?71?">IC!$F$10:$F$94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4?">IC!$C$2:$C$50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68?">IC!$B$10:$B$50</definedName>
    <definedName name="XDO_?NOVAL?69?">IC!$B$10:$B$75</definedName>
    <definedName name="XDO_?NOVAL?70?">IC!$B$10:$B$90</definedName>
    <definedName name="XDO_?NOVAL?71?">IC!$B$10:$B$94</definedName>
    <definedName name="XDO_?NPTF?14?">IC!$D$2:$D$50</definedName>
    <definedName name="XDO_?RATING?68?">IC!$E$10:$E$50</definedName>
    <definedName name="XDO_?RATING?69?">IC!$E$10:$E$75</definedName>
    <definedName name="XDO_?RATING?70?">IC!$E$10:$E$90</definedName>
    <definedName name="XDO_?RATING?71?">IC!$E$10:$E$94</definedName>
    <definedName name="XDO_?REMARKS?68?">IC!$K$10:$K$50</definedName>
    <definedName name="XDO_?REMARKS?69?">IC!$K$10:$K$75</definedName>
    <definedName name="XDO_?REMARKS?70?">IC!$K$10:$K$90</definedName>
    <definedName name="XDO_?REMARKS?71?">IC!$K$10:$K$94</definedName>
    <definedName name="XDO_?TITL?14?">IC!$A$8:$A$50</definedName>
    <definedName name="XDO_?YTM?68?">IC!$I$10:$I$50</definedName>
    <definedName name="XDO_?YTM?69?">IC!$I$10:$I$75</definedName>
    <definedName name="XDO_?YTM?70?">IC!$I$10:$I$90</definedName>
    <definedName name="XDO_?YTM?71?">IC!$I$10:$I$94</definedName>
    <definedName name="XDO_GROUP_?G_2?14?">IC!$2:$66</definedName>
    <definedName name="XDO_GROUP_?G_3?14?">IC!$8:$65</definedName>
    <definedName name="XDO_GROUP_?G_4?135?">[1]ON!#REF!</definedName>
    <definedName name="XDO_GROUP_?G_4?41?">[1]TA!#REF!</definedName>
    <definedName name="XDO_GROUP_?G_4?68?">IC!$B$10:$IV$50</definedName>
    <definedName name="XDO_GROUP_?G_4?69?">IC!$B$55:$IV$55</definedName>
    <definedName name="XDO_GROUP_?G_4?70?">IC!$B$58:$IV$58</definedName>
    <definedName name="XDO_GROUP_?G_4?71?">IC!$B$63:$IV$63</definedName>
    <definedName name="XDO_GROUP_?G_4?92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" i="1" l="1"/>
</calcChain>
</file>

<file path=xl/sharedStrings.xml><?xml version="1.0" encoding="utf-8"?>
<sst xmlns="http://schemas.openxmlformats.org/spreadsheetml/2006/main" count="270" uniqueCount="215">
  <si>
    <t>Baroda BNP Paribas Mutual Fund</t>
  </si>
  <si>
    <t>T0ME21</t>
  </si>
  <si>
    <t>SCHEME NAME :</t>
  </si>
  <si>
    <t xml:space="preserve">Baroda BNP Paribas India Consumption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</si>
  <si>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</si>
  <si>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</si>
  <si>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</si>
  <si>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</si>
  <si>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</si>
  <si>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</si>
  <si>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</si>
  <si>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</si>
  <si>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</si>
  <si>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</si>
  <si>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</si>
  <si>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</si>
  <si>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</si>
  <si>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</si>
  <si>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</si>
  <si>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</si>
  <si>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100099</t>
  </si>
  <si>
    <t>Hindustan Unilever Ltd.</t>
  </si>
  <si>
    <t>INE030A01027</t>
  </si>
  <si>
    <t>100095</t>
  </si>
  <si>
    <t>Bharti Airtel Ltd.</t>
  </si>
  <si>
    <t>INE397D01024</t>
  </si>
  <si>
    <t>Telecom - Services</t>
  </si>
  <si>
    <t>100081</t>
  </si>
  <si>
    <t>Titan Company Ltd.</t>
  </si>
  <si>
    <t>INE280A01028</t>
  </si>
  <si>
    <t>Consumer Durables</t>
  </si>
  <si>
    <t>100025</t>
  </si>
  <si>
    <t>Nestle India Ltd.</t>
  </si>
  <si>
    <t>INE239A01016</t>
  </si>
  <si>
    <t>Food Products</t>
  </si>
  <si>
    <t>100106</t>
  </si>
  <si>
    <t>Maruti Suzuki India Ltd.</t>
  </si>
  <si>
    <t>INE585B01010</t>
  </si>
  <si>
    <t>Automobiles</t>
  </si>
  <si>
    <t>100050</t>
  </si>
  <si>
    <t>Trent Ltd.</t>
  </si>
  <si>
    <t>INE849A01020</t>
  </si>
  <si>
    <t>Retailing</t>
  </si>
  <si>
    <t>100014</t>
  </si>
  <si>
    <t>Mahindra &amp; Mahindra Ltd.</t>
  </si>
  <si>
    <t>INE101A01026</t>
  </si>
  <si>
    <t>100157</t>
  </si>
  <si>
    <t>Godrej Consumer Products Ltd.</t>
  </si>
  <si>
    <t>INE102D01028</t>
  </si>
  <si>
    <t>Personal Products</t>
  </si>
  <si>
    <t>100173</t>
  </si>
  <si>
    <t>Asian Paints Ltd.</t>
  </si>
  <si>
    <t>INE021A01026</t>
  </si>
  <si>
    <t>100280</t>
  </si>
  <si>
    <t>TVS Motor Company Ltd.</t>
  </si>
  <si>
    <t>INE494B01023</t>
  </si>
  <si>
    <t>100001</t>
  </si>
  <si>
    <t>Housing Development Finance Corporation Ltd.</t>
  </si>
  <si>
    <t>INE001A01036</t>
  </si>
  <si>
    <t>Finance</t>
  </si>
  <si>
    <t>100126</t>
  </si>
  <si>
    <t>Britannia Industries Ltd.</t>
  </si>
  <si>
    <t>INE216A01030</t>
  </si>
  <si>
    <t>100363</t>
  </si>
  <si>
    <t>Procter &amp; Gamble Hygiene and Health Care Ltd.</t>
  </si>
  <si>
    <t>INE179A01014</t>
  </si>
  <si>
    <t>100020</t>
  </si>
  <si>
    <t>Tata Consumer Products Ltd.</t>
  </si>
  <si>
    <t>INE192A01025</t>
  </si>
  <si>
    <t>Agricultural Food &amp; other Products</t>
  </si>
  <si>
    <t>100505</t>
  </si>
  <si>
    <t>ICICI Prudential Life Insurance Company Ltd.</t>
  </si>
  <si>
    <t>INE726G01019</t>
  </si>
  <si>
    <t>Insurance</t>
  </si>
  <si>
    <t>100814</t>
  </si>
  <si>
    <t>HDFC Asset Management Co. Ltd.</t>
  </si>
  <si>
    <t>INE127D01025</t>
  </si>
  <si>
    <t>Capital Markets</t>
  </si>
  <si>
    <t>100902</t>
  </si>
  <si>
    <t>Jtekt India Ltd.</t>
  </si>
  <si>
    <t>INE643A01035</t>
  </si>
  <si>
    <t>Auto Components</t>
  </si>
  <si>
    <t>100706</t>
  </si>
  <si>
    <t>HDFC Life Insurance Company Ltd.</t>
  </si>
  <si>
    <t>INE795G01014</t>
  </si>
  <si>
    <t>100289</t>
  </si>
  <si>
    <t>Shoppers Stop Ltd.</t>
  </si>
  <si>
    <t>INE498B01024</t>
  </si>
  <si>
    <t>100421</t>
  </si>
  <si>
    <t>Dabur India Ltd.</t>
  </si>
  <si>
    <t>INE016A01026</t>
  </si>
  <si>
    <t>100128</t>
  </si>
  <si>
    <t>Eicher Motors Ltd.</t>
  </si>
  <si>
    <t>INE066A01021</t>
  </si>
  <si>
    <t>101313</t>
  </si>
  <si>
    <t>Zomato Ltd.</t>
  </si>
  <si>
    <t>INE758T01015</t>
  </si>
  <si>
    <t>101433</t>
  </si>
  <si>
    <t>Metro Brands Ltd.</t>
  </si>
  <si>
    <t>INE317I01021</t>
  </si>
  <si>
    <t>100012</t>
  </si>
  <si>
    <t>ICICI Bank Ltd.</t>
  </si>
  <si>
    <t>INE090A01021</t>
  </si>
  <si>
    <t>Banks</t>
  </si>
  <si>
    <t>100105</t>
  </si>
  <si>
    <t>Marico Ltd.</t>
  </si>
  <si>
    <t>INE196A01026</t>
  </si>
  <si>
    <t>100222</t>
  </si>
  <si>
    <t>The Indian Hotels Company Ltd.</t>
  </si>
  <si>
    <t>INE053A01029</t>
  </si>
  <si>
    <t>Leisure Services</t>
  </si>
  <si>
    <t>101213</t>
  </si>
  <si>
    <t>Mrs. Bectors Food Specialities Ltd.</t>
  </si>
  <si>
    <t>INE495P01012</t>
  </si>
  <si>
    <t>100519</t>
  </si>
  <si>
    <t>Westlife Foodworld Ltd.</t>
  </si>
  <si>
    <t>INE274F01020</t>
  </si>
  <si>
    <t>100821</t>
  </si>
  <si>
    <t>TTK Prestige Ltd.</t>
  </si>
  <si>
    <t>INE690A01028</t>
  </si>
  <si>
    <t>100223</t>
  </si>
  <si>
    <t>United Spirits Ltd.</t>
  </si>
  <si>
    <t>INE854D01024</t>
  </si>
  <si>
    <t>Beverages</t>
  </si>
  <si>
    <t>100125</t>
  </si>
  <si>
    <t>Bajaj Finance Ltd.</t>
  </si>
  <si>
    <t>INE296A01024</t>
  </si>
  <si>
    <t>100335</t>
  </si>
  <si>
    <t>Kajaria Ceramics Ltd.</t>
  </si>
  <si>
    <t>INE217B01036</t>
  </si>
  <si>
    <t>100047</t>
  </si>
  <si>
    <t>Emami Ltd.</t>
  </si>
  <si>
    <t>INE548C01032</t>
  </si>
  <si>
    <t>100068</t>
  </si>
  <si>
    <t>Kansai Nerolac Paints Ltd.</t>
  </si>
  <si>
    <t>INE531A01024</t>
  </si>
  <si>
    <t>100227</t>
  </si>
  <si>
    <t>Jubilant Foodworks Ltd.</t>
  </si>
  <si>
    <t>INE797F01020</t>
  </si>
  <si>
    <t>100282</t>
  </si>
  <si>
    <t>Blue Star Ltd.</t>
  </si>
  <si>
    <t>INE472A01039</t>
  </si>
  <si>
    <t>100121</t>
  </si>
  <si>
    <t>United Breweries Ltd.</t>
  </si>
  <si>
    <t>INE686F01025</t>
  </si>
  <si>
    <t>100830</t>
  </si>
  <si>
    <t>Varun Beverages Ltd.</t>
  </si>
  <si>
    <t>INE200M01021</t>
  </si>
  <si>
    <t>100138</t>
  </si>
  <si>
    <t>PVR Inox Ltd.</t>
  </si>
  <si>
    <t>INE191H01014</t>
  </si>
  <si>
    <t>Entertainment</t>
  </si>
  <si>
    <t>100144</t>
  </si>
  <si>
    <t>Voltas Ltd.</t>
  </si>
  <si>
    <t>INE226A01021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</si>
  <si>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</si>
  <si>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</si>
  <si>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</si>
  <si>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</si>
  <si>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</si>
  <si>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</si>
  <si>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</si>
  <si>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</si>
  <si>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</si>
  <si>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</si>
  <si>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</si>
  <si>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</si>
  <si>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</si>
  <si>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</si>
  <si>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</si>
  <si>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</si>
  <si>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</si>
  <si>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</si>
  <si>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</si>
  <si>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</si>
  <si>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</si>
  <si>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</si>
  <si>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</si>
  <si>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</si>
  <si>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</si>
  <si>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307230100</t>
  </si>
  <si>
    <t>TREPS 03-Jul-2023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</si>
  <si>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</si>
  <si>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</si>
  <si>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</si>
  <si>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</si>
  <si>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</si>
  <si>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</si>
  <si>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</si>
  <si>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</si>
  <si>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</si>
  <si>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</si>
  <si>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June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</si>
  <si>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</si>
  <si>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</si>
  <si>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</si>
  <si>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May 31, 2023</t>
  </si>
  <si>
    <t>As on June 30,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</si>
  <si>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</si>
  <si>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</si>
  <si>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</si>
  <si>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</si>
  <si>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June 30, 2023</t>
  </si>
  <si>
    <t>(9) There were no investments made in derivative instruments and no such derivative instrument was squared off/ expired /exercised during the Month ended June 30, 2023. Further there are no investments in derivative instruments as on June 30, 2023.</t>
  </si>
  <si>
    <t>(10) Total Market value of investments in Foreign Securities/American Depositary Receipts/Global Depositary Receipts as at  June 30, 2023 is Rs. Nil.</t>
  </si>
  <si>
    <t>(11)  During the period, the portfolio turnover ratio is  0.01 times.</t>
  </si>
  <si>
    <t>(12)  Details of repo transaction in corporate debt securities for the Month ended June 30, 2023 is Nil.</t>
  </si>
  <si>
    <t>(13)  Investments in debt instruments having structured obligations or credit enhancement features as at June 30, 2023 is Rs. Nil.</t>
  </si>
  <si>
    <t>(14) Investment in Partly paid Debentures during the Month ended  June 30, 2023 and as on  June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</si>
  <si>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</si>
  <si>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</si>
  <si>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</si>
  <si>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</si>
  <si>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</si>
  <si>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June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</si>
</sst>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5</xdr:col>
      <xdr:colOff>504275</xdr:colOff>
      <xdr:row>148</xdr:row>
      <xdr:rowOff>149352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3073360"/>
          <a:ext cx="7453715" cy="33192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ne%202023\Month%20end%2030%20June%202023\Split%20Portfolio\BOBBNPMF_Monthly%20portfolio%2030-06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0"/>
  <sheetViews>
    <sheetView showGridLines="0" tabSelected="1" zoomScale="90" zoomScaleNormal="90" workbookViewId="0">
      <pane ySplit="6" topLeftCell="A124" activePane="bottomLeft" state="frozen"/>
      <selection activeCell="E119" sqref="E119"/>
      <selection pane="bottomLeft" activeCell="A131" sqref="A131:XFD149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45107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2140000</v>
      </c>
      <c r="G10" s="34">
        <v>9664.24</v>
      </c>
      <c r="H10" s="34">
        <v>9.4499999999999993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275000</v>
      </c>
      <c r="G11" s="34">
        <v>7364.91</v>
      </c>
      <c r="H11" s="34">
        <v>7.2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700000</v>
      </c>
      <c r="G12" s="34">
        <v>6151.25</v>
      </c>
      <c r="H12" s="34">
        <v>6.02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180000</v>
      </c>
      <c r="G13" s="34">
        <v>5485.77</v>
      </c>
      <c r="H13" s="34">
        <v>5.37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22500</v>
      </c>
      <c r="G14" s="34">
        <v>5151.22</v>
      </c>
      <c r="H14" s="34">
        <v>5.04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48500</v>
      </c>
      <c r="G15" s="34">
        <v>4747.6899999999996</v>
      </c>
      <c r="H15" s="34">
        <v>4.6399999999999997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250000</v>
      </c>
      <c r="G16" s="34">
        <v>4410.38</v>
      </c>
      <c r="H16" s="34">
        <v>4.3099999999999996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38</v>
      </c>
      <c r="F17" s="33">
        <v>300000</v>
      </c>
      <c r="G17" s="34">
        <v>4360.8</v>
      </c>
      <c r="H17" s="34">
        <v>4.2699999999999996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365000</v>
      </c>
      <c r="G18" s="34">
        <v>3945.65</v>
      </c>
      <c r="H18" s="34">
        <v>3.86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30</v>
      </c>
      <c r="F19" s="33">
        <v>110000</v>
      </c>
      <c r="G19" s="34">
        <v>3698.26</v>
      </c>
      <c r="H19" s="34">
        <v>3.62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38</v>
      </c>
      <c r="F20" s="33">
        <v>270000</v>
      </c>
      <c r="G20" s="34">
        <v>3579.26</v>
      </c>
      <c r="H20" s="34">
        <v>3.5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87000</v>
      </c>
      <c r="G21" s="34">
        <v>2455.1</v>
      </c>
      <c r="H21" s="34">
        <v>2.4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34</v>
      </c>
      <c r="F22" s="33">
        <v>40000</v>
      </c>
      <c r="G22" s="34">
        <v>2009.82</v>
      </c>
      <c r="H22" s="34">
        <v>1.97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49</v>
      </c>
      <c r="F23" s="33">
        <v>13000</v>
      </c>
      <c r="G23" s="34">
        <v>1862.18</v>
      </c>
      <c r="H23" s="34">
        <v>1.82</v>
      </c>
      <c r="I23" s="35"/>
      <c r="J23" s="35"/>
      <c r="K23" s="36"/>
    </row>
    <row r="24" spans="2:11" x14ac:dyDescent="0.3">
      <c r="B24" s="1" t="s">
        <v>66</v>
      </c>
      <c r="C24" s="21" t="s">
        <v>67</v>
      </c>
      <c r="D24" s="31" t="s">
        <v>68</v>
      </c>
      <c r="E24" s="32" t="s">
        <v>69</v>
      </c>
      <c r="F24" s="33">
        <v>200000</v>
      </c>
      <c r="G24" s="34">
        <v>1721.8</v>
      </c>
      <c r="H24" s="34">
        <v>1.68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73</v>
      </c>
      <c r="F25" s="33">
        <v>300000</v>
      </c>
      <c r="G25" s="34">
        <v>1717.5</v>
      </c>
      <c r="H25" s="34">
        <v>1.68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77</v>
      </c>
      <c r="F26" s="33">
        <v>70000</v>
      </c>
      <c r="G26" s="34">
        <v>1606.96</v>
      </c>
      <c r="H26" s="34">
        <v>1.57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81</v>
      </c>
      <c r="F27" s="33">
        <v>1063670</v>
      </c>
      <c r="G27" s="34">
        <v>1518.39</v>
      </c>
      <c r="H27" s="34">
        <v>1.49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73</v>
      </c>
      <c r="F28" s="33">
        <v>230000</v>
      </c>
      <c r="G28" s="34">
        <v>1497.76</v>
      </c>
      <c r="H28" s="34">
        <v>1.47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42</v>
      </c>
      <c r="F29" s="33">
        <v>180000</v>
      </c>
      <c r="G29" s="34">
        <v>1469.97</v>
      </c>
      <c r="H29" s="34">
        <v>1.44</v>
      </c>
      <c r="I29" s="35"/>
      <c r="J29" s="35"/>
      <c r="K29" s="36"/>
    </row>
    <row r="30" spans="2:11" x14ac:dyDescent="0.3">
      <c r="B30" s="1" t="s">
        <v>88</v>
      </c>
      <c r="C30" s="21" t="s">
        <v>89</v>
      </c>
      <c r="D30" s="31" t="s">
        <v>90</v>
      </c>
      <c r="E30" s="32" t="s">
        <v>49</v>
      </c>
      <c r="F30" s="33">
        <v>250000</v>
      </c>
      <c r="G30" s="34">
        <v>1432.38</v>
      </c>
      <c r="H30" s="34">
        <v>1.4</v>
      </c>
      <c r="I30" s="35"/>
      <c r="J30" s="35"/>
      <c r="K30" s="36"/>
    </row>
    <row r="31" spans="2:11" x14ac:dyDescent="0.3">
      <c r="B31" s="1" t="s">
        <v>91</v>
      </c>
      <c r="C31" s="21" t="s">
        <v>92</v>
      </c>
      <c r="D31" s="31" t="s">
        <v>93</v>
      </c>
      <c r="E31" s="32" t="s">
        <v>38</v>
      </c>
      <c r="F31" s="33">
        <v>40000</v>
      </c>
      <c r="G31" s="34">
        <v>1432.04</v>
      </c>
      <c r="H31" s="34">
        <v>1.4</v>
      </c>
      <c r="I31" s="35"/>
      <c r="J31" s="35"/>
      <c r="K31" s="36"/>
    </row>
    <row r="32" spans="2:11" x14ac:dyDescent="0.3">
      <c r="B32" s="1" t="s">
        <v>94</v>
      </c>
      <c r="C32" s="21" t="s">
        <v>95</v>
      </c>
      <c r="D32" s="31" t="s">
        <v>96</v>
      </c>
      <c r="E32" s="32" t="s">
        <v>42</v>
      </c>
      <c r="F32" s="33">
        <v>1900000</v>
      </c>
      <c r="G32" s="34">
        <v>1425.95</v>
      </c>
      <c r="H32" s="34">
        <v>1.39</v>
      </c>
      <c r="I32" s="35"/>
      <c r="J32" s="35"/>
      <c r="K32" s="36"/>
    </row>
    <row r="33" spans="2:11" x14ac:dyDescent="0.3">
      <c r="B33" s="1" t="s">
        <v>97</v>
      </c>
      <c r="C33" s="21" t="s">
        <v>98</v>
      </c>
      <c r="D33" s="31" t="s">
        <v>99</v>
      </c>
      <c r="E33" s="32" t="s">
        <v>30</v>
      </c>
      <c r="F33" s="33">
        <v>150000</v>
      </c>
      <c r="G33" s="34">
        <v>1404.75</v>
      </c>
      <c r="H33" s="34">
        <v>1.37</v>
      </c>
      <c r="I33" s="35"/>
      <c r="J33" s="35"/>
      <c r="K33" s="36"/>
    </row>
    <row r="34" spans="2:11" x14ac:dyDescent="0.3">
      <c r="B34" s="1" t="s">
        <v>100</v>
      </c>
      <c r="C34" s="21" t="s">
        <v>101</v>
      </c>
      <c r="D34" s="31" t="s">
        <v>102</v>
      </c>
      <c r="E34" s="32" t="s">
        <v>103</v>
      </c>
      <c r="F34" s="33">
        <v>150000</v>
      </c>
      <c r="G34" s="34">
        <v>1401.9</v>
      </c>
      <c r="H34" s="34">
        <v>1.37</v>
      </c>
      <c r="I34" s="35"/>
      <c r="J34" s="35"/>
      <c r="K34" s="36"/>
    </row>
    <row r="35" spans="2:11" x14ac:dyDescent="0.3">
      <c r="B35" s="1" t="s">
        <v>104</v>
      </c>
      <c r="C35" s="21" t="s">
        <v>105</v>
      </c>
      <c r="D35" s="31" t="s">
        <v>106</v>
      </c>
      <c r="E35" s="32" t="s">
        <v>69</v>
      </c>
      <c r="F35" s="33">
        <v>250000</v>
      </c>
      <c r="G35" s="34">
        <v>1327.38</v>
      </c>
      <c r="H35" s="34">
        <v>1.3</v>
      </c>
      <c r="I35" s="35"/>
      <c r="J35" s="35"/>
      <c r="K35" s="36"/>
    </row>
    <row r="36" spans="2:11" x14ac:dyDescent="0.3">
      <c r="B36" s="1" t="s">
        <v>107</v>
      </c>
      <c r="C36" s="21" t="s">
        <v>108</v>
      </c>
      <c r="D36" s="31" t="s">
        <v>109</v>
      </c>
      <c r="E36" s="32" t="s">
        <v>110</v>
      </c>
      <c r="F36" s="33">
        <v>310000</v>
      </c>
      <c r="G36" s="34">
        <v>1216.75</v>
      </c>
      <c r="H36" s="34">
        <v>1.19</v>
      </c>
      <c r="I36" s="35"/>
      <c r="J36" s="35"/>
      <c r="K36" s="36"/>
    </row>
    <row r="37" spans="2:11" x14ac:dyDescent="0.3">
      <c r="B37" s="1" t="s">
        <v>111</v>
      </c>
      <c r="C37" s="21" t="s">
        <v>112</v>
      </c>
      <c r="D37" s="31" t="s">
        <v>113</v>
      </c>
      <c r="E37" s="32" t="s">
        <v>34</v>
      </c>
      <c r="F37" s="33">
        <v>150000</v>
      </c>
      <c r="G37" s="34">
        <v>1210.43</v>
      </c>
      <c r="H37" s="34">
        <v>1.18</v>
      </c>
      <c r="I37" s="35"/>
      <c r="J37" s="35"/>
      <c r="K37" s="36"/>
    </row>
    <row r="38" spans="2:11" x14ac:dyDescent="0.3">
      <c r="B38" s="1" t="s">
        <v>114</v>
      </c>
      <c r="C38" s="21" t="s">
        <v>115</v>
      </c>
      <c r="D38" s="31" t="s">
        <v>116</v>
      </c>
      <c r="E38" s="32" t="s">
        <v>110</v>
      </c>
      <c r="F38" s="33">
        <v>135000</v>
      </c>
      <c r="G38" s="34">
        <v>1155.4000000000001</v>
      </c>
      <c r="H38" s="34">
        <v>1.1299999999999999</v>
      </c>
      <c r="I38" s="35"/>
      <c r="J38" s="35"/>
      <c r="K38" s="36"/>
    </row>
    <row r="39" spans="2:11" x14ac:dyDescent="0.3">
      <c r="B39" s="1" t="s">
        <v>117</v>
      </c>
      <c r="C39" s="21" t="s">
        <v>118</v>
      </c>
      <c r="D39" s="31" t="s">
        <v>119</v>
      </c>
      <c r="E39" s="32" t="s">
        <v>30</v>
      </c>
      <c r="F39" s="33">
        <v>149024</v>
      </c>
      <c r="G39" s="34">
        <v>1117.68</v>
      </c>
      <c r="H39" s="34">
        <v>1.0900000000000001</v>
      </c>
      <c r="I39" s="35"/>
      <c r="J39" s="35"/>
      <c r="K39" s="36"/>
    </row>
    <row r="40" spans="2:11" x14ac:dyDescent="0.3">
      <c r="B40" s="1" t="s">
        <v>120</v>
      </c>
      <c r="C40" s="21" t="s">
        <v>121</v>
      </c>
      <c r="D40" s="31" t="s">
        <v>122</v>
      </c>
      <c r="E40" s="32" t="s">
        <v>123</v>
      </c>
      <c r="F40" s="33">
        <v>120000</v>
      </c>
      <c r="G40" s="34">
        <v>1094.6400000000001</v>
      </c>
      <c r="H40" s="34">
        <v>1.07</v>
      </c>
      <c r="I40" s="35"/>
      <c r="J40" s="35"/>
      <c r="K40" s="36"/>
    </row>
    <row r="41" spans="2:11" x14ac:dyDescent="0.3">
      <c r="B41" s="1" t="s">
        <v>124</v>
      </c>
      <c r="C41" s="21" t="s">
        <v>125</v>
      </c>
      <c r="D41" s="31" t="s">
        <v>126</v>
      </c>
      <c r="E41" s="32" t="s">
        <v>59</v>
      </c>
      <c r="F41" s="33">
        <v>15000</v>
      </c>
      <c r="G41" s="34">
        <v>1074.0899999999999</v>
      </c>
      <c r="H41" s="34">
        <v>1.05</v>
      </c>
      <c r="I41" s="35"/>
      <c r="J41" s="35"/>
      <c r="K41" s="36"/>
    </row>
    <row r="42" spans="2:11" x14ac:dyDescent="0.3">
      <c r="B42" s="1" t="s">
        <v>127</v>
      </c>
      <c r="C42" s="21" t="s">
        <v>128</v>
      </c>
      <c r="D42" s="31" t="s">
        <v>129</v>
      </c>
      <c r="E42" s="32" t="s">
        <v>30</v>
      </c>
      <c r="F42" s="33">
        <v>85000</v>
      </c>
      <c r="G42" s="34">
        <v>1068.96</v>
      </c>
      <c r="H42" s="34">
        <v>1.05</v>
      </c>
      <c r="I42" s="35"/>
      <c r="J42" s="35"/>
      <c r="K42" s="36"/>
    </row>
    <row r="43" spans="2:11" x14ac:dyDescent="0.3">
      <c r="B43" s="1" t="s">
        <v>130</v>
      </c>
      <c r="C43" s="21" t="s">
        <v>131</v>
      </c>
      <c r="D43" s="31" t="s">
        <v>132</v>
      </c>
      <c r="E43" s="32" t="s">
        <v>49</v>
      </c>
      <c r="F43" s="33">
        <v>250000</v>
      </c>
      <c r="G43" s="34">
        <v>1061.75</v>
      </c>
      <c r="H43" s="34">
        <v>1.04</v>
      </c>
      <c r="I43" s="35"/>
      <c r="J43" s="35"/>
      <c r="K43" s="36"/>
    </row>
    <row r="44" spans="2:11" x14ac:dyDescent="0.3">
      <c r="B44" s="1" t="s">
        <v>133</v>
      </c>
      <c r="C44" s="21" t="s">
        <v>134</v>
      </c>
      <c r="D44" s="31" t="s">
        <v>135</v>
      </c>
      <c r="E44" s="32" t="s">
        <v>30</v>
      </c>
      <c r="F44" s="33">
        <v>235000</v>
      </c>
      <c r="G44" s="34">
        <v>1058.56</v>
      </c>
      <c r="H44" s="34">
        <v>1.04</v>
      </c>
      <c r="I44" s="35"/>
      <c r="J44" s="35"/>
      <c r="K44" s="36"/>
    </row>
    <row r="45" spans="2:11" x14ac:dyDescent="0.3">
      <c r="B45" s="1" t="s">
        <v>136</v>
      </c>
      <c r="C45" s="21" t="s">
        <v>137</v>
      </c>
      <c r="D45" s="31" t="s">
        <v>138</v>
      </c>
      <c r="E45" s="32" t="s">
        <v>110</v>
      </c>
      <c r="F45" s="33">
        <v>210000</v>
      </c>
      <c r="G45" s="34">
        <v>1052.6300000000001</v>
      </c>
      <c r="H45" s="34">
        <v>1.03</v>
      </c>
      <c r="I45" s="35"/>
      <c r="J45" s="35"/>
      <c r="K45" s="36"/>
    </row>
    <row r="46" spans="2:11" x14ac:dyDescent="0.3">
      <c r="B46" s="1" t="s">
        <v>139</v>
      </c>
      <c r="C46" s="21" t="s">
        <v>140</v>
      </c>
      <c r="D46" s="31" t="s">
        <v>141</v>
      </c>
      <c r="E46" s="32" t="s">
        <v>30</v>
      </c>
      <c r="F46" s="33">
        <v>130000</v>
      </c>
      <c r="G46" s="34">
        <v>997.23</v>
      </c>
      <c r="H46" s="34">
        <v>0.98</v>
      </c>
      <c r="I46" s="35"/>
      <c r="J46" s="35"/>
      <c r="K46" s="36"/>
    </row>
    <row r="47" spans="2:11" x14ac:dyDescent="0.3">
      <c r="B47" s="1" t="s">
        <v>142</v>
      </c>
      <c r="C47" s="21" t="s">
        <v>143</v>
      </c>
      <c r="D47" s="31" t="s">
        <v>144</v>
      </c>
      <c r="E47" s="32" t="s">
        <v>123</v>
      </c>
      <c r="F47" s="33">
        <v>65000</v>
      </c>
      <c r="G47" s="34">
        <v>982.77</v>
      </c>
      <c r="H47" s="34">
        <v>0.96</v>
      </c>
      <c r="I47" s="35"/>
      <c r="J47" s="35"/>
      <c r="K47" s="36"/>
    </row>
    <row r="48" spans="2:11" x14ac:dyDescent="0.3">
      <c r="B48" s="1" t="s">
        <v>145</v>
      </c>
      <c r="C48" s="21" t="s">
        <v>146</v>
      </c>
      <c r="D48" s="31" t="s">
        <v>147</v>
      </c>
      <c r="E48" s="32" t="s">
        <v>123</v>
      </c>
      <c r="F48" s="33">
        <v>120000</v>
      </c>
      <c r="G48" s="34">
        <v>963.06</v>
      </c>
      <c r="H48" s="34">
        <v>0.94</v>
      </c>
      <c r="I48" s="35"/>
      <c r="J48" s="35"/>
      <c r="K48" s="36"/>
    </row>
    <row r="49" spans="2:11" x14ac:dyDescent="0.3">
      <c r="B49" s="1" t="s">
        <v>148</v>
      </c>
      <c r="C49" s="21" t="s">
        <v>149</v>
      </c>
      <c r="D49" s="31" t="s">
        <v>150</v>
      </c>
      <c r="E49" s="32" t="s">
        <v>151</v>
      </c>
      <c r="F49" s="33">
        <v>69000</v>
      </c>
      <c r="G49" s="34">
        <v>947.68</v>
      </c>
      <c r="H49" s="34">
        <v>0.93</v>
      </c>
      <c r="I49" s="35"/>
      <c r="J49" s="35"/>
      <c r="K49" s="36"/>
    </row>
    <row r="50" spans="2:11" x14ac:dyDescent="0.3">
      <c r="B50" s="1" t="s">
        <v>152</v>
      </c>
      <c r="C50" s="21" t="s">
        <v>153</v>
      </c>
      <c r="D50" s="31" t="s">
        <v>154</v>
      </c>
      <c r="E50" s="32" t="s">
        <v>30</v>
      </c>
      <c r="F50" s="33">
        <v>100000</v>
      </c>
      <c r="G50" s="34">
        <v>759.75</v>
      </c>
      <c r="H50" s="34">
        <v>0.74</v>
      </c>
      <c r="I50" s="35"/>
      <c r="J50" s="35"/>
      <c r="K50" s="36"/>
    </row>
    <row r="51" spans="2:11" x14ac:dyDescent="0.3">
      <c r="C51" s="30" t="s">
        <v>155</v>
      </c>
      <c r="D51" s="31"/>
      <c r="E51" s="32"/>
      <c r="F51" s="33"/>
      <c r="G51" s="38">
        <v>98604.69</v>
      </c>
      <c r="H51" s="38">
        <v>96.45</v>
      </c>
      <c r="I51" s="35"/>
      <c r="J51" s="35"/>
      <c r="K51" s="36"/>
    </row>
    <row r="52" spans="2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2:11" x14ac:dyDescent="0.3">
      <c r="C53" s="30" t="s">
        <v>156</v>
      </c>
      <c r="D53" s="31"/>
      <c r="E53" s="32"/>
      <c r="F53" s="33"/>
      <c r="G53" s="34" t="s">
        <v>157</v>
      </c>
      <c r="H53" s="34" t="s">
        <v>157</v>
      </c>
      <c r="I53" s="35"/>
      <c r="J53" s="35"/>
      <c r="K53" s="36"/>
    </row>
    <row r="54" spans="2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2:11" x14ac:dyDescent="0.3">
      <c r="C55" s="30" t="s">
        <v>158</v>
      </c>
      <c r="D55" s="31"/>
      <c r="E55" s="32"/>
      <c r="F55" s="33"/>
      <c r="G55" s="34" t="s">
        <v>157</v>
      </c>
      <c r="H55" s="34" t="s">
        <v>157</v>
      </c>
      <c r="I55" s="35"/>
      <c r="J55" s="35"/>
      <c r="K55" s="36"/>
    </row>
    <row r="56" spans="2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2:11" x14ac:dyDescent="0.3">
      <c r="C57" s="30" t="s">
        <v>159</v>
      </c>
      <c r="D57" s="31"/>
      <c r="E57" s="32"/>
      <c r="F57" s="33"/>
      <c r="G57" s="34"/>
      <c r="H57" s="34"/>
      <c r="I57" s="35"/>
      <c r="J57" s="35"/>
      <c r="K57" s="36"/>
    </row>
    <row r="58" spans="2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30" t="s">
        <v>160</v>
      </c>
      <c r="D59" s="31"/>
      <c r="E59" s="32"/>
      <c r="F59" s="33"/>
      <c r="G59" s="34" t="s">
        <v>157</v>
      </c>
      <c r="H59" s="34" t="s">
        <v>157</v>
      </c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0" t="s">
        <v>161</v>
      </c>
      <c r="D61" s="31"/>
      <c r="E61" s="32"/>
      <c r="F61" s="33"/>
      <c r="G61" s="34" t="s">
        <v>157</v>
      </c>
      <c r="H61" s="34" t="s">
        <v>157</v>
      </c>
      <c r="I61" s="35"/>
      <c r="J61" s="35"/>
      <c r="K61" s="36"/>
    </row>
    <row r="62" spans="2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0" t="s">
        <v>162</v>
      </c>
      <c r="D63" s="31"/>
      <c r="E63" s="32"/>
      <c r="F63" s="33"/>
      <c r="G63" s="34" t="s">
        <v>157</v>
      </c>
      <c r="H63" s="34" t="s">
        <v>157</v>
      </c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0" t="s">
        <v>163</v>
      </c>
      <c r="D65" s="31"/>
      <c r="E65" s="32"/>
      <c r="F65" s="33"/>
      <c r="G65" s="34" t="s">
        <v>157</v>
      </c>
      <c r="H65" s="34" t="s">
        <v>157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164</v>
      </c>
      <c r="D67" s="31"/>
      <c r="E67" s="32"/>
      <c r="F67" s="33"/>
      <c r="G67" s="34" t="s">
        <v>157</v>
      </c>
      <c r="H67" s="34" t="s">
        <v>157</v>
      </c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A69" s="28"/>
      <c r="B69" s="29"/>
      <c r="C69" s="30" t="s">
        <v>165</v>
      </c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A70" s="29"/>
      <c r="B70" s="29"/>
      <c r="C70" s="30" t="s">
        <v>166</v>
      </c>
      <c r="D70" s="31"/>
      <c r="E70" s="32"/>
      <c r="F70" s="33"/>
      <c r="G70" s="34" t="s">
        <v>157</v>
      </c>
      <c r="H70" s="34" t="s">
        <v>157</v>
      </c>
      <c r="I70" s="35"/>
      <c r="J70" s="35"/>
      <c r="K70" s="36"/>
    </row>
    <row r="71" spans="1:11" x14ac:dyDescent="0.3">
      <c r="A71" s="29"/>
      <c r="B71" s="29"/>
      <c r="C71" s="30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A72" s="29"/>
      <c r="B72" s="29"/>
      <c r="C72" s="30" t="s">
        <v>167</v>
      </c>
      <c r="D72" s="31"/>
      <c r="E72" s="32"/>
      <c r="F72" s="33"/>
      <c r="G72" s="34" t="s">
        <v>157</v>
      </c>
      <c r="H72" s="34" t="s">
        <v>157</v>
      </c>
      <c r="I72" s="35"/>
      <c r="J72" s="35"/>
      <c r="K72" s="36"/>
    </row>
    <row r="73" spans="1:11" x14ac:dyDescent="0.3">
      <c r="A73" s="29"/>
      <c r="B73" s="29"/>
      <c r="C73" s="30"/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C74" s="37" t="s">
        <v>168</v>
      </c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B75" s="1" t="s">
        <v>169</v>
      </c>
      <c r="C75" s="21" t="s">
        <v>170</v>
      </c>
      <c r="D75" s="31" t="s">
        <v>171</v>
      </c>
      <c r="E75" s="32" t="s">
        <v>172</v>
      </c>
      <c r="F75" s="33">
        <v>900000</v>
      </c>
      <c r="G75" s="34">
        <v>871.81</v>
      </c>
      <c r="H75" s="34">
        <v>0.85</v>
      </c>
      <c r="I75" s="35">
        <v>6.8219000000000003</v>
      </c>
      <c r="J75" s="35"/>
      <c r="K75" s="36"/>
    </row>
    <row r="76" spans="1:11" x14ac:dyDescent="0.3">
      <c r="C76" s="30" t="s">
        <v>155</v>
      </c>
      <c r="D76" s="31"/>
      <c r="E76" s="32"/>
      <c r="F76" s="33"/>
      <c r="G76" s="38">
        <v>871.81</v>
      </c>
      <c r="H76" s="38">
        <v>0.85</v>
      </c>
      <c r="I76" s="35"/>
      <c r="J76" s="35"/>
      <c r="K76" s="36"/>
    </row>
    <row r="77" spans="1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C78" s="30" t="s">
        <v>173</v>
      </c>
      <c r="D78" s="31"/>
      <c r="E78" s="32"/>
      <c r="F78" s="33"/>
      <c r="G78" s="34" t="s">
        <v>157</v>
      </c>
      <c r="H78" s="34" t="s">
        <v>157</v>
      </c>
      <c r="I78" s="35"/>
      <c r="J78" s="35"/>
      <c r="K78" s="36"/>
    </row>
    <row r="79" spans="1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A80" s="28"/>
      <c r="B80" s="29"/>
      <c r="C80" s="30" t="s">
        <v>174</v>
      </c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A81" s="29"/>
      <c r="B81" s="29"/>
      <c r="C81" s="30" t="s">
        <v>175</v>
      </c>
      <c r="D81" s="31"/>
      <c r="E81" s="32"/>
      <c r="F81" s="33"/>
      <c r="G81" s="34" t="s">
        <v>157</v>
      </c>
      <c r="H81" s="34" t="s">
        <v>157</v>
      </c>
      <c r="I81" s="35"/>
      <c r="J81" s="35"/>
      <c r="K81" s="36"/>
    </row>
    <row r="82" spans="1:11" x14ac:dyDescent="0.3">
      <c r="A82" s="29"/>
      <c r="B82" s="29"/>
      <c r="C82" s="30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A83" s="29"/>
      <c r="B83" s="29"/>
      <c r="C83" s="30" t="s">
        <v>176</v>
      </c>
      <c r="D83" s="31"/>
      <c r="E83" s="32"/>
      <c r="F83" s="33"/>
      <c r="G83" s="34" t="s">
        <v>157</v>
      </c>
      <c r="H83" s="34" t="s">
        <v>157</v>
      </c>
      <c r="I83" s="35"/>
      <c r="J83" s="35"/>
      <c r="K83" s="36"/>
    </row>
    <row r="84" spans="1:11" x14ac:dyDescent="0.3">
      <c r="A84" s="29"/>
      <c r="B84" s="29"/>
      <c r="C84" s="30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A85" s="29"/>
      <c r="B85" s="29"/>
      <c r="C85" s="30" t="s">
        <v>177</v>
      </c>
      <c r="D85" s="31"/>
      <c r="E85" s="32"/>
      <c r="F85" s="33"/>
      <c r="G85" s="34" t="s">
        <v>157</v>
      </c>
      <c r="H85" s="34" t="s">
        <v>157</v>
      </c>
      <c r="I85" s="35"/>
      <c r="J85" s="35"/>
      <c r="K85" s="36"/>
    </row>
    <row r="86" spans="1:11" x14ac:dyDescent="0.3">
      <c r="A86" s="29"/>
      <c r="B86" s="29"/>
      <c r="C86" s="30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A87" s="29"/>
      <c r="B87" s="29"/>
      <c r="C87" s="30" t="s">
        <v>178</v>
      </c>
      <c r="D87" s="31"/>
      <c r="E87" s="32"/>
      <c r="F87" s="33"/>
      <c r="G87" s="34" t="s">
        <v>157</v>
      </c>
      <c r="H87" s="34" t="s">
        <v>157</v>
      </c>
      <c r="I87" s="35"/>
      <c r="J87" s="35"/>
      <c r="K87" s="36"/>
    </row>
    <row r="88" spans="1:11" x14ac:dyDescent="0.3">
      <c r="A88" s="29"/>
      <c r="B88" s="29"/>
      <c r="C88" s="30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C89" s="37" t="s">
        <v>179</v>
      </c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B90" s="1" t="s">
        <v>180</v>
      </c>
      <c r="C90" s="21" t="s">
        <v>181</v>
      </c>
      <c r="D90" s="31"/>
      <c r="E90" s="32"/>
      <c r="F90" s="33"/>
      <c r="G90" s="34">
        <v>2722.9</v>
      </c>
      <c r="H90" s="34">
        <v>2.66</v>
      </c>
      <c r="I90" s="35">
        <v>6.78</v>
      </c>
      <c r="J90" s="35"/>
      <c r="K90" s="36"/>
    </row>
    <row r="91" spans="1:11" x14ac:dyDescent="0.3">
      <c r="C91" s="30" t="s">
        <v>155</v>
      </c>
      <c r="D91" s="31"/>
      <c r="E91" s="32"/>
      <c r="F91" s="33"/>
      <c r="G91" s="38">
        <v>2722.9</v>
      </c>
      <c r="H91" s="38">
        <v>2.66</v>
      </c>
      <c r="I91" s="35"/>
      <c r="J91" s="35"/>
      <c r="K91" s="36"/>
    </row>
    <row r="92" spans="1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8"/>
      <c r="B93" s="29"/>
      <c r="C93" s="30" t="s">
        <v>182</v>
      </c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B94" s="1"/>
      <c r="C94" s="21" t="s">
        <v>183</v>
      </c>
      <c r="D94" s="31"/>
      <c r="E94" s="32"/>
      <c r="F94" s="33"/>
      <c r="G94" s="34">
        <v>28.18</v>
      </c>
      <c r="H94" s="34">
        <v>0.04</v>
      </c>
      <c r="I94" s="35"/>
      <c r="J94" s="35"/>
      <c r="K94" s="36"/>
    </row>
    <row r="95" spans="1:11" x14ac:dyDescent="0.3">
      <c r="C95" s="30" t="s">
        <v>155</v>
      </c>
      <c r="D95" s="31"/>
      <c r="E95" s="32"/>
      <c r="F95" s="33"/>
      <c r="G95" s="38">
        <v>28.18</v>
      </c>
      <c r="H95" s="38">
        <v>0.04</v>
      </c>
      <c r="I95" s="35"/>
      <c r="J95" s="35"/>
      <c r="K95" s="36"/>
    </row>
    <row r="96" spans="1:1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3:55" ht="14.4" thickBot="1" x14ac:dyDescent="0.35">
      <c r="C97" s="39" t="s">
        <v>184</v>
      </c>
      <c r="D97" s="40"/>
      <c r="E97" s="41"/>
      <c r="F97" s="42"/>
      <c r="G97" s="43">
        <v>102227.58</v>
      </c>
      <c r="H97" s="43">
        <f>SUMIFS(H:H,C:C,"Total")</f>
        <v>100</v>
      </c>
      <c r="I97" s="44"/>
      <c r="J97" s="44"/>
      <c r="K97" s="45"/>
    </row>
    <row r="100" spans="3:55" x14ac:dyDescent="0.3">
      <c r="C100" s="11" t="s">
        <v>185</v>
      </c>
    </row>
    <row r="101" spans="3:55" x14ac:dyDescent="0.3">
      <c r="C101" s="2" t="s">
        <v>186</v>
      </c>
    </row>
    <row r="102" spans="3:55" x14ac:dyDescent="0.3">
      <c r="C102" s="46" t="s">
        <v>187</v>
      </c>
    </row>
    <row r="103" spans="3:55" x14ac:dyDescent="0.3">
      <c r="C103" s="2" t="s">
        <v>188</v>
      </c>
    </row>
    <row r="104" spans="3:55" x14ac:dyDescent="0.3">
      <c r="C104" s="2" t="s">
        <v>189</v>
      </c>
    </row>
    <row r="105" spans="3:55" x14ac:dyDescent="0.3">
      <c r="C105" s="2" t="s">
        <v>190</v>
      </c>
      <c r="D105" s="47"/>
      <c r="E105" s="47"/>
      <c r="F105" s="47"/>
      <c r="G105" s="48"/>
      <c r="H105" s="48"/>
    </row>
    <row r="106" spans="3:55" x14ac:dyDescent="0.3">
      <c r="C106" s="2" t="s">
        <v>191</v>
      </c>
    </row>
    <row r="107" spans="3:55" x14ac:dyDescent="0.3">
      <c r="C107" s="2" t="s">
        <v>192</v>
      </c>
    </row>
    <row r="108" spans="3:55" x14ac:dyDescent="0.3">
      <c r="C108" s="2" t="s">
        <v>193</v>
      </c>
    </row>
    <row r="109" spans="3:55" x14ac:dyDescent="0.3">
      <c r="C109" s="2" t="s">
        <v>194</v>
      </c>
    </row>
    <row r="110" spans="3:55" s="11" customFormat="1" x14ac:dyDescent="0.3">
      <c r="C110" s="11" t="s">
        <v>195</v>
      </c>
      <c r="E110" s="11" t="s">
        <v>196</v>
      </c>
      <c r="F110" s="49" t="s">
        <v>197</v>
      </c>
      <c r="G110" s="50"/>
      <c r="H110" s="50"/>
      <c r="I110" s="50"/>
      <c r="J110" s="50"/>
      <c r="K110" s="51"/>
      <c r="L110" s="51"/>
      <c r="M110" s="51"/>
      <c r="AJ110" s="51"/>
      <c r="AW110" s="51"/>
      <c r="AY110" s="51"/>
      <c r="BC110" s="51"/>
    </row>
    <row r="111" spans="3:55" x14ac:dyDescent="0.3">
      <c r="C111" s="2" t="s">
        <v>198</v>
      </c>
      <c r="E111" s="52">
        <v>17.557099999999998</v>
      </c>
      <c r="F111" s="53">
        <v>18.357399999999998</v>
      </c>
    </row>
    <row r="112" spans="3:55" x14ac:dyDescent="0.3">
      <c r="C112" s="2" t="s">
        <v>199</v>
      </c>
      <c r="E112" s="52">
        <v>21.683499999999999</v>
      </c>
      <c r="F112" s="53">
        <v>22.671900000000001</v>
      </c>
    </row>
    <row r="113" spans="3:6" x14ac:dyDescent="0.3">
      <c r="C113" s="2" t="s">
        <v>200</v>
      </c>
      <c r="E113" s="52">
        <v>19.457899999999999</v>
      </c>
      <c r="F113" s="53">
        <v>20.3687</v>
      </c>
    </row>
    <row r="114" spans="3:6" x14ac:dyDescent="0.3">
      <c r="C114" s="2" t="s">
        <v>201</v>
      </c>
      <c r="E114" s="52">
        <v>23.282599999999999</v>
      </c>
      <c r="F114" s="53">
        <v>24.372399999999999</v>
      </c>
    </row>
    <row r="116" spans="3:6" x14ac:dyDescent="0.3">
      <c r="C116" s="2" t="s">
        <v>202</v>
      </c>
    </row>
    <row r="118" spans="3:6" x14ac:dyDescent="0.3">
      <c r="C118" s="2" t="s">
        <v>203</v>
      </c>
    </row>
    <row r="119" spans="3:6" x14ac:dyDescent="0.3">
      <c r="C119" s="2" t="s">
        <v>204</v>
      </c>
    </row>
    <row r="120" spans="3:6" x14ac:dyDescent="0.3">
      <c r="C120" s="2" t="s">
        <v>205</v>
      </c>
    </row>
    <row r="121" spans="3:6" x14ac:dyDescent="0.3">
      <c r="C121" s="2" t="s">
        <v>206</v>
      </c>
    </row>
    <row r="122" spans="3:6" x14ac:dyDescent="0.3">
      <c r="C122" s="2" t="s">
        <v>207</v>
      </c>
    </row>
    <row r="123" spans="3:6" x14ac:dyDescent="0.3">
      <c r="C123" s="2" t="s">
        <v>208</v>
      </c>
    </row>
    <row r="124" spans="3:6" x14ac:dyDescent="0.3">
      <c r="C124" s="2" t="s">
        <v>209</v>
      </c>
    </row>
    <row r="125" spans="3:6" x14ac:dyDescent="0.3">
      <c r="C125" s="2" t="s">
        <v>210</v>
      </c>
    </row>
    <row r="126" spans="3:6" x14ac:dyDescent="0.3">
      <c r="C126" s="2" t="s">
        <v>211</v>
      </c>
    </row>
    <row r="127" spans="3:6" x14ac:dyDescent="0.3">
      <c r="C127" s="2" t="s">
        <v>212</v>
      </c>
    </row>
    <row r="128" spans="3:6" x14ac:dyDescent="0.3">
      <c r="C128" s="2" t="s">
        <v>213</v>
      </c>
    </row>
    <row r="129" spans="3:11" x14ac:dyDescent="0.3">
      <c r="C129" s="2" t="s">
        <v>214</v>
      </c>
    </row>
    <row r="130" spans="3:11" ht="14.4" x14ac:dyDescent="0.3">
      <c r="C130" s="54"/>
      <c r="D130" s="54"/>
      <c r="E130" s="55"/>
      <c r="F130" s="55"/>
      <c r="G130" s="55"/>
      <c r="H130" s="55"/>
      <c r="I130" s="55"/>
      <c r="J130" s="55"/>
      <c r="K130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IC</vt:lpstr>
      <vt:lpstr>XDO_?CLASS_3?14?</vt:lpstr>
      <vt:lpstr>XDO_?FINAL_ISIN?68?</vt:lpstr>
      <vt:lpstr>XDO_?FINAL_ISIN?69?</vt:lpstr>
      <vt:lpstr>XDO_?FINAL_ISIN?70?</vt:lpstr>
      <vt:lpstr>XDO_?FINAL_ISIN?71?</vt:lpstr>
      <vt:lpstr>XDO_?FINAL_MV?68?</vt:lpstr>
      <vt:lpstr>XDO_?FINAL_MV?69?</vt:lpstr>
      <vt:lpstr>XDO_?FINAL_MV?70?</vt:lpstr>
      <vt:lpstr>XDO_?FINAL_MV?71?</vt:lpstr>
      <vt:lpstr>XDO_?FINAL_NAME?68?</vt:lpstr>
      <vt:lpstr>XDO_?FINAL_NAME?69?</vt:lpstr>
      <vt:lpstr>XDO_?FINAL_NAME?70?</vt:lpstr>
      <vt:lpstr>XDO_?FINAL_NAME?71?</vt:lpstr>
      <vt:lpstr>XDO_?FINAL_PER_NET?68?</vt:lpstr>
      <vt:lpstr>XDO_?FINAL_PER_NET?69?</vt:lpstr>
      <vt:lpstr>XDO_?FINAL_PER_NET?70?</vt:lpstr>
      <vt:lpstr>XDO_?FINAL_PER_NET?71?</vt:lpstr>
      <vt:lpstr>XDO_?FINAL_QUANTITE?68?</vt:lpstr>
      <vt:lpstr>XDO_?FINAL_QUANTITE?69?</vt:lpstr>
      <vt:lpstr>XDO_?FINAL_QUANTITE?70?</vt:lpstr>
      <vt:lpstr>XDO_?FINAL_QUANTITE?71?</vt:lpstr>
      <vt:lpstr>XDO_?NAMCNAME?14?</vt:lpstr>
      <vt:lpstr>XDO_?NOVAL?68?</vt:lpstr>
      <vt:lpstr>XDO_?NOVAL?69?</vt:lpstr>
      <vt:lpstr>XDO_?NOVAL?70?</vt:lpstr>
      <vt:lpstr>XDO_?NOVAL?71?</vt:lpstr>
      <vt:lpstr>XDO_?NPTF?14?</vt:lpstr>
      <vt:lpstr>XDO_?RATING?68?</vt:lpstr>
      <vt:lpstr>XDO_?RATING?69?</vt:lpstr>
      <vt:lpstr>XDO_?RATING?70?</vt:lpstr>
      <vt:lpstr>XDO_?RATING?71?</vt:lpstr>
      <vt:lpstr>XDO_?REMARKS?68?</vt:lpstr>
      <vt:lpstr>XDO_?REMARKS?69?</vt:lpstr>
      <vt:lpstr>XDO_?REMARKS?70?</vt:lpstr>
      <vt:lpstr>XDO_?REMARKS?71?</vt:lpstr>
      <vt:lpstr>XDO_?TITL?14?</vt:lpstr>
      <vt:lpstr>XDO_?YTM?68?</vt:lpstr>
      <vt:lpstr>XDO_?YTM?69?</vt:lpstr>
      <vt:lpstr>XDO_?YTM?70?</vt:lpstr>
      <vt:lpstr>XDO_?YTM?71?</vt:lpstr>
      <vt:lpstr>XDO_GROUP_?G_2?14?</vt:lpstr>
      <vt:lpstr>XDO_GROUP_?G_3?14?</vt:lpstr>
      <vt:lpstr>XDO_GROUP_?G_4?68?</vt:lpstr>
      <vt:lpstr>XDO_GROUP_?G_4?69?</vt:lpstr>
      <vt:lpstr>XDO_GROUP_?G_4?70?</vt:lpstr>
      <vt:lpstr>XDO_GROUP_?G_4?71?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2023-07-07T05:40:50Z</dcterms:created>
  <dcterms:modified xsi:type="dcterms:W3CDTF">2023-07-07T12:34:38Z</dcterms:modified>
</cp:coreProperties>
</file>