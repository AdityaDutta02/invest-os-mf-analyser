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Nov-2025\"/>
    </mc:Choice>
  </mc:AlternateContent>
  <xr:revisionPtr revIDLastSave="0" documentId="13_ncr:1_{ED753CAC-24C9-4BD6-851F-1AB3FB1CED0D}" xr6:coauthVersionLast="47" xr6:coauthVersionMax="47" xr10:uidLastSave="{00000000-0000-0000-0000-000000000000}"/>
  <bookViews>
    <workbookView xWindow="-108" yWindow="-108" windowWidth="23256" windowHeight="12456" xr2:uid="{5975F2E0-09AA-4453-BF4C-41DE81AF1B1F}"/>
  </bookViews>
  <sheets>
    <sheet name="T0MD28" sheetId="1" r:id="rId1"/>
  </sheets>
  <definedNames>
    <definedName name="JR_PAGE_ANCHOR_0_39">#REF!</definedName>
    <definedName name="JR_PAGE_ANCHOR_0_43">#REF!</definedName>
    <definedName name="JR_PAGE_ANCHOR_0_6">T0MD28!$A$1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C30" i="1"/>
  <c r="E29" i="1"/>
  <c r="E28" i="1"/>
  <c r="E27" i="1"/>
  <c r="E30" i="1" s="1"/>
</calcChain>
</file>

<file path=xl/sharedStrings.xml><?xml version="1.0" encoding="utf-8"?>
<sst xmlns="http://schemas.openxmlformats.org/spreadsheetml/2006/main" count="64" uniqueCount="44">
  <si>
    <t>Baroda BNP Paribas NIFTY SDL December 2028 Index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</si>
  <si>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</si>
  <si>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</si>
  <si>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</si>
  <si>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</si>
  <si>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</si>
  <si>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</si>
  <si>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</si>
  <si>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</si>
  <si>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</si>
  <si>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</si>
  <si>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</si>
  <si>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</si>
  <si>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</si>
  <si>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GOI2167</t>
  </si>
  <si>
    <t>8.08% State Government Securities (26/12/2028)</t>
  </si>
  <si>
    <t>IN2220180052</t>
  </si>
  <si>
    <t>Sovereign</t>
  </si>
  <si>
    <t>GOI2183</t>
  </si>
  <si>
    <t>IN3120180200</t>
  </si>
  <si>
    <t>GOI2171</t>
  </si>
  <si>
    <t>IN1920180115</t>
  </si>
  <si>
    <t>GOI2168</t>
  </si>
  <si>
    <t>IN1520180234</t>
  </si>
  <si>
    <t>Sub Total</t>
  </si>
  <si>
    <t>(b) Privately placed / Unlisted</t>
  </si>
  <si>
    <t>NIL</t>
  </si>
  <si>
    <t>Total</t>
  </si>
  <si>
    <t>Reverse Repo / TREPS</t>
  </si>
  <si>
    <t>TRP_011225</t>
  </si>
  <si>
    <t>Clearing Corporation of India Ltd</t>
  </si>
  <si>
    <t xml:space="preserve"> </t>
  </si>
  <si>
    <t>Net Receivables / (Payables)</t>
  </si>
  <si>
    <t>GRAND TOTAL</t>
  </si>
  <si>
    <t>Issuer</t>
  </si>
  <si>
    <t>Index Weight</t>
  </si>
  <si>
    <t>Portfolio Weight</t>
  </si>
  <si>
    <t>Replication Factor</t>
  </si>
  <si>
    <t>G-Secs / T-Bills</t>
  </si>
  <si>
    <t>SDLs</t>
  </si>
  <si>
    <t>Cash &amp; Cash Equivalents</t>
  </si>
  <si>
    <t>~ YTM as on November 30, 2025</t>
  </si>
  <si>
    <t>^ YTC represents Yield to Call provided by valuation agencies as on November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</si>
  <si>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https://www.barodabnpparibasmf.in/assets/download_documents/Performance_of_Schemes_Nov-2025_15612.pdf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</si>
</sst>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14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1" fillId="0" borderId="17" xfId="1" applyBorder="1"/>
    <xf numFmtId="9" fontId="1" fillId="0" borderId="18" xfId="1" applyNumberFormat="1" applyBorder="1"/>
    <xf numFmtId="9" fontId="1" fillId="0" borderId="19" xfId="1" applyNumberFormat="1" applyBorder="1"/>
    <xf numFmtId="0" fontId="2" fillId="0" borderId="20" xfId="1" applyFont="1" applyBorder="1"/>
    <xf numFmtId="9" fontId="2" fillId="0" borderId="21" xfId="1" applyNumberFormat="1" applyFont="1" applyBorder="1"/>
    <xf numFmtId="9" fontId="2" fillId="0" borderId="22" xfId="1" applyNumberFormat="1" applyFont="1" applyBorder="1"/>
    <xf numFmtId="0" fontId="3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39875D99-8C4D-4F2F-9071-86D385B4DF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1</xdr:col>
      <xdr:colOff>3855720</xdr:colOff>
      <xdr:row>66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EE180-2BE5-414E-9A70-CE15A2D2D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933450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2708148</xdr:colOff>
      <xdr:row>51</xdr:row>
      <xdr:rowOff>97536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A1B327-F1AD-4902-95FD-41AE8DE3D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042660"/>
          <a:ext cx="7455408" cy="2840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F0E46-A989-48ED-A4CD-8E203F462B2D}">
  <sheetPr codeName="Sheet6">
    <outlinePr summaryBelow="0"/>
  </sheetPr>
  <dimension ref="A1:J70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1272700</v>
      </c>
      <c r="F7" s="16">
        <v>1332.88</v>
      </c>
      <c r="G7" s="17">
        <v>0.45079999999999998</v>
      </c>
      <c r="H7" s="18">
        <v>6.4583000000000002E-2</v>
      </c>
      <c r="I7" s="19"/>
      <c r="J7" s="1"/>
    </row>
    <row r="8" spans="1:10" ht="13.05" customHeight="1">
      <c r="A8" s="13" t="s">
        <v>18</v>
      </c>
      <c r="B8" s="14" t="s">
        <v>15</v>
      </c>
      <c r="C8" s="11" t="s">
        <v>19</v>
      </c>
      <c r="D8" s="11" t="s">
        <v>17</v>
      </c>
      <c r="E8" s="15">
        <v>760000</v>
      </c>
      <c r="F8" s="16">
        <v>795.94</v>
      </c>
      <c r="G8" s="17">
        <v>0.26919999999999999</v>
      </c>
      <c r="H8" s="18">
        <v>6.4583000000000002E-2</v>
      </c>
      <c r="I8" s="19"/>
      <c r="J8" s="1"/>
    </row>
    <row r="9" spans="1:10" ht="13.05" customHeight="1">
      <c r="A9" s="13" t="s">
        <v>20</v>
      </c>
      <c r="B9" s="14" t="s">
        <v>15</v>
      </c>
      <c r="C9" s="11" t="s">
        <v>21</v>
      </c>
      <c r="D9" s="11" t="s">
        <v>17</v>
      </c>
      <c r="E9" s="15">
        <v>375000</v>
      </c>
      <c r="F9" s="16">
        <v>392.73</v>
      </c>
      <c r="G9" s="17">
        <v>0.1328</v>
      </c>
      <c r="H9" s="18">
        <v>6.4583000000000002E-2</v>
      </c>
      <c r="I9" s="19"/>
      <c r="J9" s="1"/>
    </row>
    <row r="10" spans="1:10" ht="13.05" customHeight="1">
      <c r="A10" s="13" t="s">
        <v>22</v>
      </c>
      <c r="B10" s="14" t="s">
        <v>15</v>
      </c>
      <c r="C10" s="11" t="s">
        <v>23</v>
      </c>
      <c r="D10" s="11" t="s">
        <v>17</v>
      </c>
      <c r="E10" s="15">
        <v>255000</v>
      </c>
      <c r="F10" s="16">
        <v>267.06</v>
      </c>
      <c r="G10" s="17">
        <v>9.0300000000000005E-2</v>
      </c>
      <c r="H10" s="18">
        <v>6.4583000000000002E-2</v>
      </c>
      <c r="I10" s="19"/>
      <c r="J10" s="1"/>
    </row>
    <row r="11" spans="1:10" ht="13.05" customHeight="1">
      <c r="A11" s="1"/>
      <c r="B11" s="20" t="s">
        <v>24</v>
      </c>
      <c r="C11" s="21"/>
      <c r="D11" s="21"/>
      <c r="E11" s="21"/>
      <c r="F11" s="22">
        <v>2788.61</v>
      </c>
      <c r="G11" s="23">
        <v>0.94310000000000005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26</v>
      </c>
      <c r="G12" s="24" t="s">
        <v>26</v>
      </c>
      <c r="H12" s="24"/>
      <c r="I12" s="24"/>
      <c r="J12" s="1"/>
    </row>
    <row r="13" spans="1:10" ht="13.05" customHeight="1">
      <c r="A13" s="1"/>
      <c r="B13" s="20" t="s">
        <v>24</v>
      </c>
      <c r="C13" s="21"/>
      <c r="D13" s="21"/>
      <c r="E13" s="21"/>
      <c r="F13" s="24" t="s">
        <v>26</v>
      </c>
      <c r="G13" s="24" t="s">
        <v>26</v>
      </c>
      <c r="H13" s="24"/>
      <c r="I13" s="24"/>
      <c r="J13" s="1"/>
    </row>
    <row r="14" spans="1:10" ht="13.05" customHeight="1">
      <c r="A14" s="1"/>
      <c r="B14" s="20" t="s">
        <v>27</v>
      </c>
      <c r="C14" s="25"/>
      <c r="D14" s="21"/>
      <c r="E14" s="25"/>
      <c r="F14" s="22">
        <v>2788.61</v>
      </c>
      <c r="G14" s="23">
        <v>0.94310000000000005</v>
      </c>
      <c r="H14" s="24"/>
      <c r="I14" s="24"/>
      <c r="J14" s="1"/>
    </row>
    <row r="15" spans="1:10" ht="13.05" customHeight="1">
      <c r="A15" s="1"/>
      <c r="B15" s="10" t="s">
        <v>28</v>
      </c>
      <c r="C15" s="11"/>
      <c r="D15" s="11"/>
      <c r="E15" s="11"/>
      <c r="F15" s="11"/>
      <c r="G15" s="11"/>
      <c r="H15" s="12"/>
      <c r="I15" s="12"/>
      <c r="J15" s="1"/>
    </row>
    <row r="16" spans="1:10" ht="13.05" customHeight="1">
      <c r="A16" s="13" t="s">
        <v>29</v>
      </c>
      <c r="B16" s="14" t="s">
        <v>30</v>
      </c>
      <c r="C16" s="11"/>
      <c r="D16" s="11" t="s">
        <v>31</v>
      </c>
      <c r="E16" s="15"/>
      <c r="F16" s="16">
        <v>76.92</v>
      </c>
      <c r="G16" s="17">
        <v>2.5999999999999999E-2</v>
      </c>
      <c r="H16" s="18">
        <v>5.4295788500487108E-2</v>
      </c>
      <c r="I16" s="19"/>
      <c r="J16" s="1"/>
    </row>
    <row r="17" spans="1:10" ht="13.05" customHeight="1">
      <c r="A17" s="1"/>
      <c r="B17" s="20" t="s">
        <v>24</v>
      </c>
      <c r="C17" s="21"/>
      <c r="D17" s="21"/>
      <c r="E17" s="21"/>
      <c r="F17" s="22">
        <v>76.92</v>
      </c>
      <c r="G17" s="23">
        <v>2.5999999999999999E-2</v>
      </c>
      <c r="H17" s="24"/>
      <c r="I17" s="24"/>
      <c r="J17" s="1"/>
    </row>
    <row r="18" spans="1:10" ht="13.05" customHeight="1">
      <c r="A18" s="1"/>
      <c r="B18" s="20" t="s">
        <v>25</v>
      </c>
      <c r="C18" s="21"/>
      <c r="D18" s="21"/>
      <c r="E18" s="21"/>
      <c r="F18" s="24" t="s">
        <v>26</v>
      </c>
      <c r="G18" s="24" t="s">
        <v>26</v>
      </c>
      <c r="H18" s="24"/>
      <c r="I18" s="24"/>
      <c r="J18" s="1"/>
    </row>
    <row r="19" spans="1:10" ht="13.05" customHeight="1">
      <c r="A19" s="1"/>
      <c r="B19" s="20" t="s">
        <v>24</v>
      </c>
      <c r="C19" s="21"/>
      <c r="D19" s="21"/>
      <c r="E19" s="21"/>
      <c r="F19" s="24" t="s">
        <v>26</v>
      </c>
      <c r="G19" s="24" t="s">
        <v>26</v>
      </c>
      <c r="H19" s="24"/>
      <c r="I19" s="24"/>
      <c r="J19" s="1"/>
    </row>
    <row r="20" spans="1:10" ht="13.05" customHeight="1">
      <c r="A20" s="1"/>
      <c r="B20" s="20" t="s">
        <v>27</v>
      </c>
      <c r="C20" s="25"/>
      <c r="D20" s="21"/>
      <c r="E20" s="25"/>
      <c r="F20" s="22">
        <v>76.92</v>
      </c>
      <c r="G20" s="23">
        <v>2.5999999999999999E-2</v>
      </c>
      <c r="H20" s="24"/>
      <c r="I20" s="24"/>
      <c r="J20" s="1"/>
    </row>
    <row r="21" spans="1:10" ht="13.05" customHeight="1">
      <c r="A21" s="1"/>
      <c r="B21" s="20" t="s">
        <v>32</v>
      </c>
      <c r="C21" s="11"/>
      <c r="D21" s="21"/>
      <c r="E21" s="11"/>
      <c r="F21" s="26">
        <v>90.86</v>
      </c>
      <c r="G21" s="23">
        <v>3.09E-2</v>
      </c>
      <c r="H21" s="24"/>
      <c r="I21" s="24"/>
      <c r="J21" s="1"/>
    </row>
    <row r="22" spans="1:10" ht="13.05" customHeight="1" thickBot="1">
      <c r="A22" s="1"/>
      <c r="B22" s="27" t="s">
        <v>33</v>
      </c>
      <c r="C22" s="28"/>
      <c r="D22" s="28"/>
      <c r="E22" s="28"/>
      <c r="F22" s="29">
        <v>2956.39</v>
      </c>
      <c r="G22" s="30">
        <v>1</v>
      </c>
      <c r="H22" s="31"/>
      <c r="I22" s="31"/>
      <c r="J22" s="1"/>
    </row>
    <row r="23" spans="1:10" ht="13.05" customHeight="1">
      <c r="A23" s="1"/>
      <c r="B23" s="4"/>
      <c r="C23" s="1"/>
      <c r="D23" s="1"/>
      <c r="E23" s="1"/>
      <c r="F23" s="1"/>
      <c r="G23" s="1"/>
      <c r="H23" s="1"/>
      <c r="I23" s="1"/>
      <c r="J23" s="1"/>
    </row>
    <row r="24" spans="1:10" ht="13.05" customHeight="1">
      <c r="A24" s="1"/>
      <c r="B24" s="41"/>
      <c r="C24" s="41"/>
      <c r="D24" s="41"/>
      <c r="E24" s="41"/>
      <c r="F24" s="41"/>
      <c r="G24" s="41"/>
      <c r="H24" s="41"/>
      <c r="I24" s="1"/>
      <c r="J24" s="1"/>
    </row>
    <row r="25" spans="1:10" ht="13.05" customHeight="1" thickBot="1">
      <c r="A25" s="1"/>
      <c r="B25" s="41"/>
      <c r="C25" s="41"/>
      <c r="D25" s="41"/>
      <c r="E25" s="41"/>
      <c r="F25" s="41"/>
      <c r="G25" s="41"/>
      <c r="H25" s="41"/>
      <c r="I25" s="1"/>
      <c r="J25" s="1"/>
    </row>
    <row r="26" spans="1:10" ht="13.05" customHeight="1">
      <c r="A26" s="1"/>
      <c r="B26" s="32" t="s">
        <v>34</v>
      </c>
      <c r="C26" s="33" t="s">
        <v>35</v>
      </c>
      <c r="D26" s="33" t="s">
        <v>36</v>
      </c>
      <c r="E26" s="34" t="s">
        <v>37</v>
      </c>
      <c r="F26" s="2"/>
      <c r="G26" s="2"/>
      <c r="H26" s="2"/>
      <c r="I26" s="1"/>
      <c r="J26" s="1"/>
    </row>
    <row r="27" spans="1:10" ht="13.05" customHeight="1">
      <c r="A27" s="1"/>
      <c r="B27" s="35" t="s">
        <v>38</v>
      </c>
      <c r="C27" s="36">
        <v>0</v>
      </c>
      <c r="D27" s="36">
        <v>0</v>
      </c>
      <c r="E27" s="37">
        <f>MIN(C27:D27)</f>
        <v>0</v>
      </c>
      <c r="F27" s="2"/>
      <c r="G27" s="2"/>
      <c r="H27" s="2"/>
      <c r="I27" s="1"/>
      <c r="J27" s="1"/>
    </row>
    <row r="28" spans="1:10" ht="13.05" customHeight="1">
      <c r="A28" s="1"/>
      <c r="B28" s="35" t="s">
        <v>39</v>
      </c>
      <c r="C28" s="36">
        <v>1</v>
      </c>
      <c r="D28" s="36">
        <v>0.94310000000000005</v>
      </c>
      <c r="E28" s="37">
        <f t="shared" ref="E28:E29" si="0">MIN(C28:D28)</f>
        <v>0.94310000000000005</v>
      </c>
      <c r="F28" s="2"/>
      <c r="G28" s="2"/>
      <c r="H28" s="2"/>
      <c r="I28" s="1"/>
      <c r="J28" s="1"/>
    </row>
    <row r="29" spans="1:10" ht="13.05" customHeight="1">
      <c r="A29" s="1"/>
      <c r="B29" s="35" t="s">
        <v>40</v>
      </c>
      <c r="C29" s="36">
        <v>0</v>
      </c>
      <c r="D29" s="36">
        <v>5.6899999999999999E-2</v>
      </c>
      <c r="E29" s="37">
        <f t="shared" si="0"/>
        <v>0</v>
      </c>
      <c r="F29" s="2"/>
      <c r="G29" s="2"/>
      <c r="H29" s="2"/>
      <c r="I29" s="1"/>
      <c r="J29" s="1"/>
    </row>
    <row r="30" spans="1:10" ht="13.05" customHeight="1" thickBot="1">
      <c r="A30" s="1"/>
      <c r="B30" s="38" t="s">
        <v>27</v>
      </c>
      <c r="C30" s="39">
        <f>SUM(C27:C29)</f>
        <v>1</v>
      </c>
      <c r="D30" s="39">
        <f t="shared" ref="D30:E30" si="1">SUM(D27:D29)</f>
        <v>1</v>
      </c>
      <c r="E30" s="40">
        <f t="shared" si="1"/>
        <v>0.94310000000000005</v>
      </c>
      <c r="F30" s="2"/>
      <c r="G30" s="2"/>
      <c r="H30" s="2"/>
      <c r="I30" s="1"/>
      <c r="J30" s="1"/>
    </row>
    <row r="31" spans="1:10" ht="13.05" customHeight="1">
      <c r="A31" s="1"/>
      <c r="B31" s="2" t="s">
        <v>31</v>
      </c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</row>
    <row r="33" spans="1:10" ht="25.95" customHeight="1">
      <c r="A33" s="1"/>
      <c r="B33" s="41" t="s">
        <v>42</v>
      </c>
      <c r="C33" s="41"/>
      <c r="D33" s="41"/>
      <c r="E33" s="41"/>
      <c r="F33" s="41"/>
      <c r="G33" s="41"/>
      <c r="H33" s="41"/>
      <c r="I33" s="1"/>
      <c r="J33" s="1"/>
    </row>
    <row r="70" spans="2:2">
      <c r="B70" t="s">
        <v>43</v>
      </c>
    </row>
  </sheetData>
  <mergeCells count="3">
    <mergeCell ref="B24:H24"/>
    <mergeCell ref="B25:H25"/>
    <mergeCell ref="B33:H3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T0MD28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2025-12-08T10:48:47Z</dcterms:created>
  <dcterms:modified xsi:type="dcterms:W3CDTF">2025-12-09T05:47:08Z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2025-12-08T10:48:47Z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717dc058-8806-4ba0-a54d-8cffd4dfee2b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