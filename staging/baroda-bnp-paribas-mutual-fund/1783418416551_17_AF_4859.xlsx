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6F350CB6-5BB3-415E-94B2-A3F3683846A3}" xr6:coauthVersionLast="47" xr6:coauthVersionMax="47" xr10:uidLastSave="{00000000-0000-0000-0000-000000000000}"/>
  <bookViews>
    <workbookView xWindow="-108" yWindow="-108" windowWidth="23256" windowHeight="12456" xr2:uid="{AC8FC63B-45D4-4BEB-8A2C-5E5E872F4B01}"/>
  </bookViews>
  <sheets>
    <sheet name="AF" sheetId="1" r:id="rId1"/>
  </sheets>
  <externalReferences>
    <externalReference r:id="rId2"/>
  </externalReferences>
  <definedNames>
    <definedName name="XDO_?CLASS_3?15?">AF!$C$8:$C$14</definedName>
    <definedName name="XDO_?FINAL_ISIN?79?">AF!$D$14</definedName>
    <definedName name="XDO_?FINAL_ISIN?80?">AF!$D$14:$D$49</definedName>
    <definedName name="XDO_?FINAL_ISIN?81?">AF!$D$14:$D$53</definedName>
    <definedName name="XDO_?FINAL_MV?79?">AF!$G$14</definedName>
    <definedName name="XDO_?FINAL_MV?80?">AF!$G$14:$G$49</definedName>
    <definedName name="XDO_?FINAL_MV?81?">AF!$G$14:$G$53</definedName>
    <definedName name="XDO_?FINAL_NAME?79?">AF!$C$14</definedName>
    <definedName name="XDO_?FINAL_NAME?80?">AF!$C$14:$C$49</definedName>
    <definedName name="XDO_?FINAL_NAME?81?">AF!$C$14:$C$53</definedName>
    <definedName name="XDO_?FINAL_PER_NET?79?">AF!$H$14</definedName>
    <definedName name="XDO_?FINAL_PER_NET?80?">AF!$H$14:$H$49</definedName>
    <definedName name="XDO_?FINAL_PER_NET?81?">AF!$H$14:$H$53</definedName>
    <definedName name="XDO_?FINAL_QUANTITE?79?">AF!$F$14</definedName>
    <definedName name="XDO_?FINAL_QUANTITE?80?">AF!$F$14:$F$49</definedName>
    <definedName name="XDO_?FINAL_QUANTITE?81?">AF!$F$14:$F$53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5?">AF!$C$2:$C$14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9?">AF!$B$14</definedName>
    <definedName name="XDO_?NOVAL?80?">AF!$B$14:$B$49</definedName>
    <definedName name="XDO_?NOVAL?81?">AF!$B$14:$B$53</definedName>
    <definedName name="XDO_?NPTF?15?">AF!$D$2:$D$14</definedName>
    <definedName name="XDO_?RATING?79?">AF!$E$14</definedName>
    <definedName name="XDO_?RATING?80?">AF!$E$14:$E$49</definedName>
    <definedName name="XDO_?RATING?81?">AF!$E$14:$E$53</definedName>
    <definedName name="XDO_?REMARKS?79?">AF!$K$14</definedName>
    <definedName name="XDO_?REMARKS?80?">AF!$K$14:$K$49</definedName>
    <definedName name="XDO_?REMARKS?81?">AF!$K$14:$K$53</definedName>
    <definedName name="XDO_?TITL?15?">AF!$A$8:$A$14</definedName>
    <definedName name="XDO_?YTM?79?">AF!$I$14</definedName>
    <definedName name="XDO_?YTM?80?">AF!$I$14:$I$49</definedName>
    <definedName name="XDO_?YTM?81?">AF!$I$14:$I$53</definedName>
    <definedName name="XDO_GROUP_?G_2?15?">AF!$2:$19</definedName>
    <definedName name="XDO_GROUP_?G_3?15?">AF!$8:$18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73?">[1]FO!#REF!</definedName>
    <definedName name="XDO_GROUP_?G_4?77?">[1]IC!#REF!</definedName>
    <definedName name="XDO_GROUP_?G_4?79?">AF!$B$10:$IV$10</definedName>
    <definedName name="XDO_GROUP_?G_4?80?">AF!$B$15:$IV$15</definedName>
    <definedName name="XDO_GROUP_?G_4?81?">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" i="1" l="1"/>
</calcChain>
</file>

<file path=xl/sharedStrings.xml><?xml version="1.0" encoding="utf-8"?>
<sst xmlns="http://schemas.openxmlformats.org/spreadsheetml/2006/main" count="107" uniqueCount="76">
  <si>
    <t>Baroda BNP Paribas Mutual Fund</t>
  </si>
  <si>
    <t>T0ME24</t>
  </si>
  <si>
    <t>SCHEME NAME :</t>
  </si>
  <si>
    <t xml:space="preserve">Baroda BNP Paribas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</si>
  <si>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</si>
  <si>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</si>
  <si>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</si>
  <si>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</si>
  <si>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</si>
  <si>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</si>
  <si>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</si>
  <si>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</si>
  <si>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</si>
  <si>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</si>
  <si>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</si>
  <si>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</si>
  <si>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</si>
  <si>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</si>
  <si>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</si>
  <si>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</si>
  <si>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</si>
  <si>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</si>
  <si>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</si>
  <si>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</si>
  <si>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</si>
  <si>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</si>
  <si>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</si>
  <si>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</si>
  <si>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</si>
  <si>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</si>
  <si>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</si>
  <si>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</si>
  <si>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</si>
  <si>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</si>
  <si>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</si>
  <si>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</si>
  <si>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</si>
  <si>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</si>
  <si>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</si>
  <si>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</si>
  <si>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</si>
  <si>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</si>
  <si>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</si>
  <si>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</si>
  <si>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</si>
  <si>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</si>
  <si>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</si>
  <si>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</si>
  <si>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</si>
  <si>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</si>
  <si>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</si>
  <si>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</si>
  <si>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</si>
  <si>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</si>
  <si>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</si>
  <si>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</si>
  <si>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</si>
  <si>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</si>
  <si>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</si>
  <si>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</si>
  <si>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</si>
  <si>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</si>
  <si>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</si>
  <si>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</si>
  <si>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There were no investments made in derivative instruments and no such derivative instrument was squared off/ expired /exercised during the Month ended November 30, 2023. Further there are no investments in derivative instruments as on November 30, 2023.</t>
  </si>
  <si>
    <t>(10) Total Market value of investments in Foreign Securities/American Depositary Receipts/Global Depositary Receipts as at  November 30, 2023 is Rs. 6,897.85 Lacs.</t>
  </si>
  <si>
    <t>(11)  During the period, the portfolio turnover ratio is  0.00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</si>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</sst>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5415B3F8-3F50-419B-8A19-9D3280C6E562}"/>
    <cellStyle name="Hyperlink" xfId="2" builtinId="8"/>
    <cellStyle name="Normal" xfId="0" builtinId="0"/>
    <cellStyle name="Normal 2" xfId="4" xr:uid="{06287E16-4DA4-4A43-A283-73DACF5F8B85}"/>
    <cellStyle name="Style 1" xfId="3" xr:uid="{3D5BFA6A-E40A-4801-92D6-AC0088EB8F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5</xdr:col>
      <xdr:colOff>510540</xdr:colOff>
      <xdr:row>104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0CB9935-BA12-4ED3-AF1B-3D74A4BBF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15887700"/>
          <a:ext cx="7459980" cy="272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AFDE-9461-487D-BC57-C32E48EC9213}">
  <sheetPr codeName="Sheet1"/>
  <dimension ref="A1:BC91"/>
  <sheetViews>
    <sheetView showGridLines="0" tabSelected="1" zoomScale="90" zoomScaleNormal="90" workbookViewId="0">
      <pane ySplit="6" topLeftCell="A86" activePane="bottomLeft" state="frozen"/>
      <selection activeCell="G17" sqref="G17"/>
      <selection pane="bottomLeft" activeCell="I89" sqref="I8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5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5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5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5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81047.579599999997</v>
      </c>
      <c r="G14" s="34">
        <v>6897.85</v>
      </c>
      <c r="H14" s="34">
        <v>99.64</v>
      </c>
      <c r="I14" s="35"/>
      <c r="J14" s="35"/>
      <c r="K14" s="36"/>
    </row>
    <row r="15" spans="1:55" x14ac:dyDescent="0.3">
      <c r="C15" s="30" t="s">
        <v>23</v>
      </c>
      <c r="D15" s="31"/>
      <c r="E15" s="32"/>
      <c r="F15" s="33"/>
      <c r="G15" s="38">
        <v>6897.85</v>
      </c>
      <c r="H15" s="38">
        <v>99.64</v>
      </c>
      <c r="I15" s="35"/>
      <c r="J15" s="35"/>
      <c r="K15" s="36"/>
    </row>
    <row r="16" spans="1:55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0" t="s">
        <v>24</v>
      </c>
      <c r="D17" s="31"/>
      <c r="E17" s="32"/>
      <c r="F17" s="33"/>
      <c r="G17" s="34"/>
      <c r="H17" s="34"/>
      <c r="I17" s="35"/>
      <c r="J17" s="35"/>
      <c r="K17" s="36"/>
    </row>
    <row r="18" spans="3:11" x14ac:dyDescent="0.3">
      <c r="C18" s="21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 t="s">
        <v>16</v>
      </c>
      <c r="H21" s="34" t="s">
        <v>16</v>
      </c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/>
      <c r="H29" s="34"/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 t="s">
        <v>16</v>
      </c>
      <c r="H33" s="34" t="s">
        <v>16</v>
      </c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A39" s="28"/>
      <c r="B39" s="29"/>
      <c r="C39" s="30" t="s">
        <v>35</v>
      </c>
      <c r="D39" s="31"/>
      <c r="E39" s="32"/>
      <c r="F39" s="33"/>
      <c r="G39" s="34"/>
      <c r="H39" s="34"/>
      <c r="I39" s="35"/>
      <c r="J39" s="35"/>
      <c r="K39" s="36"/>
    </row>
    <row r="40" spans="1:11" x14ac:dyDescent="0.3">
      <c r="A40" s="29"/>
      <c r="B40" s="29"/>
      <c r="C40" s="30" t="s">
        <v>36</v>
      </c>
      <c r="D40" s="31"/>
      <c r="E40" s="32"/>
      <c r="F40" s="33"/>
      <c r="G40" s="34" t="s">
        <v>16</v>
      </c>
      <c r="H40" s="34" t="s">
        <v>16</v>
      </c>
      <c r="I40" s="35"/>
      <c r="J40" s="35"/>
      <c r="K40" s="36"/>
    </row>
    <row r="41" spans="1:11" x14ac:dyDescent="0.3">
      <c r="A41" s="29"/>
      <c r="B41" s="29"/>
      <c r="C41" s="30"/>
      <c r="D41" s="31"/>
      <c r="E41" s="32"/>
      <c r="F41" s="33"/>
      <c r="G41" s="34"/>
      <c r="H41" s="34"/>
      <c r="I41" s="35"/>
      <c r="J41" s="35"/>
      <c r="K41" s="36"/>
    </row>
    <row r="42" spans="1:11" x14ac:dyDescent="0.3">
      <c r="A42" s="29"/>
      <c r="B42" s="29"/>
      <c r="C42" s="30" t="s">
        <v>37</v>
      </c>
      <c r="D42" s="31"/>
      <c r="E42" s="32"/>
      <c r="F42" s="33"/>
      <c r="G42" s="34" t="s">
        <v>16</v>
      </c>
      <c r="H42" s="34" t="s">
        <v>16</v>
      </c>
      <c r="I42" s="35"/>
      <c r="J42" s="35"/>
      <c r="K42" s="36"/>
    </row>
    <row r="43" spans="1:11" x14ac:dyDescent="0.3">
      <c r="A43" s="29"/>
      <c r="B43" s="29"/>
      <c r="C43" s="30"/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C48" s="37" t="s">
        <v>40</v>
      </c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B49" s="1" t="s">
        <v>41</v>
      </c>
      <c r="C49" s="21" t="s">
        <v>42</v>
      </c>
      <c r="D49" s="31"/>
      <c r="E49" s="32"/>
      <c r="F49" s="33"/>
      <c r="G49" s="34">
        <v>80.06</v>
      </c>
      <c r="H49" s="34">
        <v>1.1599999999999999</v>
      </c>
      <c r="I49" s="35">
        <v>6.76</v>
      </c>
      <c r="J49" s="35"/>
      <c r="K49" s="36"/>
    </row>
    <row r="50" spans="1:11" x14ac:dyDescent="0.3">
      <c r="C50" s="30" t="s">
        <v>23</v>
      </c>
      <c r="D50" s="31"/>
      <c r="E50" s="32"/>
      <c r="F50" s="33"/>
      <c r="G50" s="38">
        <v>80.06</v>
      </c>
      <c r="H50" s="38">
        <v>1.1599999999999999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A52" s="28"/>
      <c r="B52" s="29"/>
      <c r="C52" s="30" t="s">
        <v>43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B53" s="1"/>
      <c r="C53" s="21" t="s">
        <v>44</v>
      </c>
      <c r="D53" s="31"/>
      <c r="E53" s="32"/>
      <c r="F53" s="33"/>
      <c r="G53" s="34">
        <v>-55.06</v>
      </c>
      <c r="H53" s="34">
        <v>-0.8</v>
      </c>
      <c r="I53" s="35"/>
      <c r="J53" s="35"/>
      <c r="K53" s="36"/>
    </row>
    <row r="54" spans="1:11" x14ac:dyDescent="0.3">
      <c r="C54" s="30" t="s">
        <v>23</v>
      </c>
      <c r="D54" s="31"/>
      <c r="E54" s="32"/>
      <c r="F54" s="33"/>
      <c r="G54" s="38">
        <v>-55.06</v>
      </c>
      <c r="H54" s="38">
        <v>-0.8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ht="14.4" thickBot="1" x14ac:dyDescent="0.35">
      <c r="C56" s="39" t="s">
        <v>45</v>
      </c>
      <c r="D56" s="40"/>
      <c r="E56" s="41"/>
      <c r="F56" s="42"/>
      <c r="G56" s="43">
        <v>6922.85</v>
      </c>
      <c r="H56" s="43">
        <f>SUMIFS(H:H,C:C,"Total")</f>
        <v>100</v>
      </c>
      <c r="I56" s="44"/>
      <c r="J56" s="44"/>
      <c r="K56" s="45"/>
    </row>
    <row r="59" spans="1:11" x14ac:dyDescent="0.3">
      <c r="C59" s="11" t="s">
        <v>46</v>
      </c>
    </row>
    <row r="60" spans="1:11" x14ac:dyDescent="0.3">
      <c r="C60" s="2" t="s">
        <v>47</v>
      </c>
    </row>
    <row r="61" spans="1:11" x14ac:dyDescent="0.3">
      <c r="C61" s="46" t="s">
        <v>48</v>
      </c>
    </row>
    <row r="62" spans="1:11" x14ac:dyDescent="0.3">
      <c r="C62" s="2" t="s">
        <v>49</v>
      </c>
    </row>
    <row r="63" spans="1:11" x14ac:dyDescent="0.3">
      <c r="C63" s="2" t="s">
        <v>50</v>
      </c>
    </row>
    <row r="64" spans="1:11" x14ac:dyDescent="0.3">
      <c r="C64" s="2" t="s">
        <v>51</v>
      </c>
      <c r="D64" s="47"/>
      <c r="E64" s="47"/>
      <c r="F64" s="47"/>
      <c r="G64" s="48"/>
      <c r="H64" s="48"/>
    </row>
    <row r="65" spans="3:55" x14ac:dyDescent="0.3">
      <c r="C65" s="2" t="s">
        <v>52</v>
      </c>
    </row>
    <row r="66" spans="3:55" x14ac:dyDescent="0.3">
      <c r="C66" s="2" t="s">
        <v>53</v>
      </c>
    </row>
    <row r="67" spans="3:55" x14ac:dyDescent="0.3">
      <c r="C67" s="2" t="s">
        <v>54</v>
      </c>
    </row>
    <row r="68" spans="3:55" x14ac:dyDescent="0.3">
      <c r="C68" s="2" t="s">
        <v>55</v>
      </c>
    </row>
    <row r="69" spans="3:55" s="11" customFormat="1" x14ac:dyDescent="0.3">
      <c r="C69" s="11" t="s">
        <v>56</v>
      </c>
      <c r="E69" s="11" t="s">
        <v>57</v>
      </c>
      <c r="F69" s="49" t="s">
        <v>58</v>
      </c>
      <c r="G69" s="50"/>
      <c r="H69" s="50"/>
      <c r="I69" s="50"/>
      <c r="J69" s="50"/>
      <c r="K69" s="51"/>
      <c r="L69" s="51"/>
      <c r="M69" s="51"/>
      <c r="AJ69" s="51"/>
      <c r="AW69" s="51"/>
      <c r="AY69" s="51"/>
      <c r="BC69" s="51"/>
    </row>
    <row r="70" spans="3:55" x14ac:dyDescent="0.3">
      <c r="C70" s="2" t="s">
        <v>59</v>
      </c>
      <c r="E70" s="52">
        <v>9.7238000000000007</v>
      </c>
      <c r="F70" s="53">
        <v>10.899800000000001</v>
      </c>
    </row>
    <row r="71" spans="3:55" x14ac:dyDescent="0.3">
      <c r="C71" s="2" t="s">
        <v>60</v>
      </c>
      <c r="E71" s="52">
        <v>9.7238000000000007</v>
      </c>
      <c r="F71" s="53">
        <v>10.899800000000001</v>
      </c>
    </row>
    <row r="72" spans="3:55" x14ac:dyDescent="0.3">
      <c r="C72" s="2" t="s">
        <v>61</v>
      </c>
      <c r="E72" s="52">
        <v>9.9944000000000006</v>
      </c>
      <c r="F72" s="53">
        <v>11.212899999999999</v>
      </c>
    </row>
    <row r="73" spans="3:55" x14ac:dyDescent="0.3">
      <c r="C73" s="2" t="s">
        <v>62</v>
      </c>
      <c r="E73" s="52">
        <v>9.9944000000000006</v>
      </c>
      <c r="F73" s="53">
        <v>11.212899999999999</v>
      </c>
    </row>
    <row r="75" spans="3:55" x14ac:dyDescent="0.3">
      <c r="C75" s="2" t="s">
        <v>63</v>
      </c>
    </row>
    <row r="77" spans="3:55" x14ac:dyDescent="0.3">
      <c r="C77" s="2" t="s">
        <v>64</v>
      </c>
    </row>
    <row r="78" spans="3:55" x14ac:dyDescent="0.3">
      <c r="C78" s="2" t="s">
        <v>65</v>
      </c>
    </row>
    <row r="79" spans="3:55" x14ac:dyDescent="0.3">
      <c r="C79" s="2" t="s">
        <v>66</v>
      </c>
    </row>
    <row r="80" spans="3:55" x14ac:dyDescent="0.3">
      <c r="C80" s="2" t="s">
        <v>67</v>
      </c>
    </row>
    <row r="81" spans="3:11" x14ac:dyDescent="0.3">
      <c r="C81" s="2" t="s">
        <v>68</v>
      </c>
    </row>
    <row r="82" spans="3:11" x14ac:dyDescent="0.3">
      <c r="C82" s="2" t="s">
        <v>69</v>
      </c>
    </row>
    <row r="83" spans="3:11" x14ac:dyDescent="0.3">
      <c r="C83" s="2" t="s">
        <v>70</v>
      </c>
    </row>
    <row r="84" spans="3:11" x14ac:dyDescent="0.3">
      <c r="C84" s="2" t="s">
        <v>71</v>
      </c>
    </row>
    <row r="85" spans="3:11" x14ac:dyDescent="0.3">
      <c r="C85" s="2" t="s">
        <v>72</v>
      </c>
    </row>
    <row r="86" spans="3:11" x14ac:dyDescent="0.3">
      <c r="C86" s="2" t="s">
        <v>73</v>
      </c>
    </row>
    <row r="87" spans="3:11" x14ac:dyDescent="0.3">
      <c r="C87" s="2" t="s">
        <v>74</v>
      </c>
    </row>
    <row r="88" spans="3:11" x14ac:dyDescent="0.3">
      <c r="C88" s="2" t="s">
        <v>75</v>
      </c>
    </row>
    <row r="89" spans="3:11" ht="14.4" x14ac:dyDescent="0.3">
      <c r="C89" s="54"/>
      <c r="D89" s="54"/>
      <c r="E89" s="55"/>
      <c r="F89" s="55"/>
      <c r="G89" s="55"/>
      <c r="H89" s="55"/>
      <c r="I89" s="55"/>
      <c r="J89" s="55"/>
      <c r="K89" s="55"/>
    </row>
    <row r="90" spans="3:11" ht="14.4" x14ac:dyDescent="0.3">
      <c r="C90" s="55"/>
      <c r="D90" s="55"/>
      <c r="E90" s="55"/>
      <c r="F90" s="55"/>
      <c r="G90" s="55"/>
      <c r="H90" s="55"/>
      <c r="I90" s="55"/>
      <c r="J90" s="55"/>
      <c r="K90" s="55"/>
    </row>
    <row r="91" spans="3:11" ht="14.4" x14ac:dyDescent="0.3">
      <c r="C91" s="55"/>
      <c r="D91" s="55"/>
      <c r="E91" s="55"/>
      <c r="F91" s="55"/>
      <c r="G91" s="55"/>
      <c r="H91" s="55"/>
      <c r="I91" s="55"/>
      <c r="J91" s="55"/>
      <c r="K91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AF</vt:lpstr>
      <vt:lpstr>XDO_?CLASS_3?15?</vt:lpstr>
      <vt:lpstr>XDO_?FINAL_ISIN?79?</vt:lpstr>
      <vt:lpstr>XDO_?FINAL_ISIN?80?</vt:lpstr>
      <vt:lpstr>XDO_?FINAL_ISIN?81?</vt:lpstr>
      <vt:lpstr>XDO_?FINAL_MV?79?</vt:lpstr>
      <vt:lpstr>XDO_?FINAL_MV?80?</vt:lpstr>
      <vt:lpstr>XDO_?FINAL_MV?81?</vt:lpstr>
      <vt:lpstr>XDO_?FINAL_NAME?79?</vt:lpstr>
      <vt:lpstr>XDO_?FINAL_NAME?80?</vt:lpstr>
      <vt:lpstr>XDO_?FINAL_NAME?81?</vt:lpstr>
      <vt:lpstr>XDO_?FINAL_PER_NET?79?</vt:lpstr>
      <vt:lpstr>XDO_?FINAL_PER_NET?80?</vt:lpstr>
      <vt:lpstr>XDO_?FINAL_PER_NET?81?</vt:lpstr>
      <vt:lpstr>XDO_?FINAL_QUANTITE?79?</vt:lpstr>
      <vt:lpstr>XDO_?FINAL_QUANTITE?80?</vt:lpstr>
      <vt:lpstr>XDO_?FINAL_QUANTITE?81?</vt:lpstr>
      <vt:lpstr>XDO_?NAMCNAME?15?</vt:lpstr>
      <vt:lpstr>XDO_?NOVAL?79?</vt:lpstr>
      <vt:lpstr>XDO_?NOVAL?80?</vt:lpstr>
      <vt:lpstr>XDO_?NOVAL?81?</vt:lpstr>
      <vt:lpstr>XDO_?NPTF?15?</vt:lpstr>
      <vt:lpstr>XDO_?RATING?79?</vt:lpstr>
      <vt:lpstr>XDO_?RATING?80?</vt:lpstr>
      <vt:lpstr>XDO_?RATING?81?</vt:lpstr>
      <vt:lpstr>XDO_?REMARKS?79?</vt:lpstr>
      <vt:lpstr>XDO_?REMARKS?80?</vt:lpstr>
      <vt:lpstr>XDO_?REMARKS?81?</vt:lpstr>
      <vt:lpstr>XDO_?TITL?15?</vt:lpstr>
      <vt:lpstr>XDO_?YTM?79?</vt:lpstr>
      <vt:lpstr>XDO_?YTM?80?</vt:lpstr>
      <vt:lpstr>XDO_?YTM?81?</vt:lpstr>
      <vt:lpstr>XDO_GROUP_?G_2?15?</vt:lpstr>
      <vt:lpstr>XDO_GROUP_?G_3?15?</vt:lpstr>
      <vt:lpstr>XDO_GROUP_?G_4?79?</vt:lpstr>
      <vt:lpstr>XDO_GROUP_?G_4?80?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2023-12-07T09:48:35Z</dcterms:created>
  <dcterms:modified xsi:type="dcterms:W3CDTF">2023-12-07T13:36:13Z</dcterms:modified>
</cp:coreProperties>
</file>