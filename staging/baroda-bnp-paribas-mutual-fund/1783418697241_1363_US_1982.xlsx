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March 2023\Monthly Portfolio\Debt\"/>
    </mc:Choice>
  </mc:AlternateContent>
  <xr:revisionPtr revIDLastSave="0" documentId="13_ncr:1_{E362A937-BB88-4BBB-8AE2-AC315E053AF5}" xr6:coauthVersionLast="47" xr6:coauthVersionMax="47" xr10:uidLastSave="{00000000-0000-0000-0000-000000000000}"/>
  <bookViews>
    <workbookView xWindow="-108" yWindow="-108" windowWidth="23256" windowHeight="12576" xr2:uid="{3F5600ED-4B12-4985-834D-7ED9863EED94}"/>
  </bookViews>
  <sheets>
    <sheet name="US" sheetId="1" r:id="rId1"/>
  </sheets>
  <externalReferences>
    <externalReference r:id="rId2"/>
  </externalReferences>
  <definedNames>
    <definedName name="XDO_?CLASS_3?22?">US!$C$16:$C$21</definedName>
    <definedName name="XDO_?FINAL_ISIN?100?">US!$D$18:$D$66</definedName>
    <definedName name="XDO_?FINAL_ISIN?101?">US!$D$18:$D$81</definedName>
    <definedName name="XDO_?FINAL_ISIN?102?">US!$D$18:$D$85</definedName>
    <definedName name="XDO_?FINAL_ISIN?95?">US!$D$18:$D$21</definedName>
    <definedName name="XDO_?FINAL_ISIN?96?">US!$D$18:$D$30</definedName>
    <definedName name="XDO_?FINAL_ISIN?97?">US!$D$18:$D$34</definedName>
    <definedName name="XDO_?FINAL_ISIN?98?">US!$D$18:$D$45</definedName>
    <definedName name="XDO_?FINAL_ISIN?99?">US!$D$18:$D$62</definedName>
    <definedName name="XDO_?FINAL_MV?100?">US!$G$18:$G$66</definedName>
    <definedName name="XDO_?FINAL_MV?101?">US!$G$18:$G$81</definedName>
    <definedName name="XDO_?FINAL_MV?102?">US!$G$18:$G$85</definedName>
    <definedName name="XDO_?FINAL_MV?95?">US!$G$18:$G$21</definedName>
    <definedName name="XDO_?FINAL_MV?96?">US!$G$18:$G$30</definedName>
    <definedName name="XDO_?FINAL_MV?97?">US!$G$18:$G$34</definedName>
    <definedName name="XDO_?FINAL_MV?98?">US!$G$18:$G$45</definedName>
    <definedName name="XDO_?FINAL_MV?99?">US!$G$18:$G$62</definedName>
    <definedName name="XDO_?FINAL_NAME?100?">US!$C$18:$C$66</definedName>
    <definedName name="XDO_?FINAL_NAME?101?">US!$C$18:$C$81</definedName>
    <definedName name="XDO_?FINAL_NAME?102?">US!$C$18:$C$85</definedName>
    <definedName name="XDO_?FINAL_NAME?95?">US!$C$18:$C$21</definedName>
    <definedName name="XDO_?FINAL_NAME?96?">US!$C$18:$C$30</definedName>
    <definedName name="XDO_?FINAL_NAME?97?">US!$C$18:$C$34</definedName>
    <definedName name="XDO_?FINAL_NAME?98?">US!$C$18:$C$45</definedName>
    <definedName name="XDO_?FINAL_NAME?99?">US!$C$18:$C$62</definedName>
    <definedName name="XDO_?FINAL_PER_NET?100?">US!$H$18:$H$66</definedName>
    <definedName name="XDO_?FINAL_PER_NET?101?">US!$H$18:$H$81</definedName>
    <definedName name="XDO_?FINAL_PER_NET?102?">US!$H$18:$H$85</definedName>
    <definedName name="XDO_?FINAL_PER_NET?95?">US!$H$18:$H$21</definedName>
    <definedName name="XDO_?FINAL_PER_NET?96?">US!$H$18:$H$30</definedName>
    <definedName name="XDO_?FINAL_PER_NET?97?">US!$H$18:$H$34</definedName>
    <definedName name="XDO_?FINAL_PER_NET?98?">US!$H$18:$H$45</definedName>
    <definedName name="XDO_?FINAL_PER_NET?99?">US!$H$18:$H$62</definedName>
    <definedName name="XDO_?FINAL_QUANTITE?100?">US!$F$18:$F$66</definedName>
    <definedName name="XDO_?FINAL_QUANTITE?101?">US!$F$18:$F$81</definedName>
    <definedName name="XDO_?FINAL_QUANTITE?102?">US!$F$18:$F$85</definedName>
    <definedName name="XDO_?FINAL_QUANTITE?95?">US!$F$18:$F$21</definedName>
    <definedName name="XDO_?FINAL_QUANTITE?96?">US!$F$18:$F$30</definedName>
    <definedName name="XDO_?FINAL_QUANTITE?97?">US!$F$18:$F$34</definedName>
    <definedName name="XDO_?FINAL_QUANTITE?98?">US!$F$18:$F$45</definedName>
    <definedName name="XDO_?FINAL_QUANTITE?99?">US!$F$18:$F$62</definedName>
    <definedName name="XDO_?NAMC?">[1]MT!#REF!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[1]SI!#REF!</definedName>
    <definedName name="XDO_?NAMC?2?">[1]FL!#REF!</definedName>
    <definedName name="XDO_?NAMC?20?">[1]BS!#REF!</definedName>
    <definedName name="XDO_?NAMC?21?">[1]CO!#REF!</definedName>
    <definedName name="XDO_?NAMC?22?">US!#REF!</definedName>
    <definedName name="XDO_?NAMC?23?">[1]DE!#REF!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[1]CB!#REF!</definedName>
    <definedName name="XDO_?NAMC?4?">[1]NS!#REF!</definedName>
    <definedName name="XDO_?NAMC?5?">[1]MC!#REF!</definedName>
    <definedName name="XDO_?NAMC?6?">[1]LC!#REF!</definedName>
    <definedName name="XDO_?NAMC?7?">[1]TA!#REF!</definedName>
    <definedName name="XDO_?NAMC?8?">[1]CH!#REF!</definedName>
    <definedName name="XDO_?NAMC?9?">[1]AR!#REF!</definedName>
    <definedName name="XDO_?NAMCNAME?22?">US!$C$2:$C$21</definedName>
    <definedName name="XDO_?NDATE?">[1]MT!#REF!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[1]SI!#REF!</definedName>
    <definedName name="XDO_?NDATE?2?">[1]FL!#REF!</definedName>
    <definedName name="XDO_?NDATE?20?">[1]BS!#REF!</definedName>
    <definedName name="XDO_?NDATE?21?">[1]CO!#REF!</definedName>
    <definedName name="XDO_?NDATE?22?">US!#REF!</definedName>
    <definedName name="XDO_?NDATE?23?">[1]DE!#REF!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[1]CB!#REF!</definedName>
    <definedName name="XDO_?NDATE?4?">[1]NS!#REF!</definedName>
    <definedName name="XDO_?NDATE?5?">[1]MC!#REF!</definedName>
    <definedName name="XDO_?NDATE?6?">[1]LC!#REF!</definedName>
    <definedName name="XDO_?NDATE?7?">[1]TA!#REF!</definedName>
    <definedName name="XDO_?NDATE?8?">[1]CH!#REF!</definedName>
    <definedName name="XDO_?NDATE?9?">[1]AR!#REF!</definedName>
    <definedName name="XDO_?NNPTF?">[1]MT!#REF!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[1]SI!#REF!</definedName>
    <definedName name="XDO_?NNPTF?2?">[1]FL!#REF!</definedName>
    <definedName name="XDO_?NNPTF?20?">[1]BS!#REF!</definedName>
    <definedName name="XDO_?NNPTF?21?">[1]CO!#REF!</definedName>
    <definedName name="XDO_?NNPTF?22?">US!#REF!</definedName>
    <definedName name="XDO_?NNPTF?23?">[1]DE!#REF!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[1]CB!#REF!</definedName>
    <definedName name="XDO_?NNPTF?4?">[1]NS!#REF!</definedName>
    <definedName name="XDO_?NNPTF?5?">[1]MC!#REF!</definedName>
    <definedName name="XDO_?NNPTF?6?">[1]LC!#REF!</definedName>
    <definedName name="XDO_?NNPTF?7?">[1]TA!#REF!</definedName>
    <definedName name="XDO_?NNPTF?8?">[1]CH!#REF!</definedName>
    <definedName name="XDO_?NNPTF?9?">[1]AR!#REF!</definedName>
    <definedName name="XDO_?NOVAL?100?">US!$B$18:$B$66</definedName>
    <definedName name="XDO_?NOVAL?101?">US!$B$18:$B$81</definedName>
    <definedName name="XDO_?NOVAL?102?">US!$B$18:$B$85</definedName>
    <definedName name="XDO_?NOVAL?95?">US!$B$18:$B$21</definedName>
    <definedName name="XDO_?NOVAL?96?">US!$B$18:$B$30</definedName>
    <definedName name="XDO_?NOVAL?97?">US!$B$18:$B$34</definedName>
    <definedName name="XDO_?NOVAL?98?">US!$B$18:$B$45</definedName>
    <definedName name="XDO_?NOVAL?99?">US!$B$18:$B$62</definedName>
    <definedName name="XDO_?NPTF?22?">US!$D$2:$D$21</definedName>
    <definedName name="XDO_?RATING?100?">US!$E$18:$E$66</definedName>
    <definedName name="XDO_?RATING?101?">US!$E$18:$E$81</definedName>
    <definedName name="XDO_?RATING?102?">US!$E$18:$E$85</definedName>
    <definedName name="XDO_?RATING?95?">US!$E$18:$E$21</definedName>
    <definedName name="XDO_?RATING?96?">US!$E$18:$E$30</definedName>
    <definedName name="XDO_?RATING?97?">US!$E$18:$E$34</definedName>
    <definedName name="XDO_?RATING?98?">US!$E$18:$E$45</definedName>
    <definedName name="XDO_?RATING?99?">US!$E$18:$E$62</definedName>
    <definedName name="XDO_?REMARKS?100?">US!$K$18:$K$66</definedName>
    <definedName name="XDO_?REMARKS?101?">US!$K$18:$K$81</definedName>
    <definedName name="XDO_?REMARKS?102?">US!$K$18:$K$85</definedName>
    <definedName name="XDO_?REMARKS?95?">US!$K$18:$K$21</definedName>
    <definedName name="XDO_?REMARKS?96?">US!$K$18:$K$30</definedName>
    <definedName name="XDO_?REMARKS?97?">US!$K$18:$K$34</definedName>
    <definedName name="XDO_?REMARKS?98?">US!$K$18:$K$45</definedName>
    <definedName name="XDO_?REMARKS?99?">US!$K$18:$K$62</definedName>
    <definedName name="XDO_?TITL?22?">US!$A$16:$A$21</definedName>
    <definedName name="XDO_?YTM?100?">US!$I$18:$I$66</definedName>
    <definedName name="XDO_?YTM?101?">US!$I$18:$I$81</definedName>
    <definedName name="XDO_?YTM?102?">US!$I$18:$I$85</definedName>
    <definedName name="XDO_?YTM?95?">US!$I$18:$I$21</definedName>
    <definedName name="XDO_?YTM?96?">US!$I$18:$I$30</definedName>
    <definedName name="XDO_?YTM?97?">US!$I$18:$I$34</definedName>
    <definedName name="XDO_?YTM?98?">US!$I$18:$I$45</definedName>
    <definedName name="XDO_?YTM?99?">US!$I$18:$I$62</definedName>
    <definedName name="XDO_GROUP_?G_2?22?">US!$2:$65</definedName>
    <definedName name="XDO_GROUP_?G_3?22?">US!$8:$64</definedName>
    <definedName name="XDO_GROUP_?G_4?100?">US!$B$52:$IV$52</definedName>
    <definedName name="XDO_GROUP_?G_4?101?">US!$B$57:$IV$57</definedName>
    <definedName name="XDO_GROUP_?G_4?102?">US!$B$62:$IV$62</definedName>
    <definedName name="XDO_GROUP_?G_4?28?">[1]TA!#REF!</definedName>
    <definedName name="XDO_GROUP_?G_4?71?">[1]GR!#REF!</definedName>
    <definedName name="XDO_GROUP_?G_4?95?">US!$B$10:$IV$13</definedName>
    <definedName name="XDO_GROUP_?G_4?96?">US!$B$16:$IV$16</definedName>
    <definedName name="XDO_GROUP_?G_4?97?">US!$B$20:$IV$20</definedName>
    <definedName name="XDO_GROUP_?G_4?98?">US!$B$25:$IV$31</definedName>
    <definedName name="XDO_GROUP_?G_4?99?">US!$B$35:$IV$48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8" i="1" l="1"/>
</calcChain>
</file>

<file path=xl/sharedStrings.xml><?xml version="1.0" encoding="utf-8"?>
<sst xmlns="http://schemas.openxmlformats.org/spreadsheetml/2006/main" count="260" uniqueCount="188">
  <si>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</si>
  <si>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</si>
  <si>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</si>
  <si>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</si>
  <si>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</si>
  <si>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</si>
  <si>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</si>
  <si>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</si>
  <si>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</si>
  <si>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</si>
  <si>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</si>
  <si>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</si>
  <si>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</si>
  <si>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</si>
  <si>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</si>
  <si>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</si>
  <si>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</si>
  <si>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</si>
  <si>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</si>
  <si>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</si>
  <si>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</si>
  <si>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702700</t>
  </si>
  <si>
    <t>5.04% Indian Railway Finance Corporation Ltd. 05-May-2023</t>
  </si>
  <si>
    <t>INE053F07CU1</t>
  </si>
  <si>
    <t>CRISIL AAA</t>
  </si>
  <si>
    <t>N**</t>
  </si>
  <si>
    <t>703776</t>
  </si>
  <si>
    <t>7.00% Shriram Finance Ltd. 21-Feb-2024</t>
  </si>
  <si>
    <t>INE721A07QS8</t>
  </si>
  <si>
    <t>CRISIL AA+</t>
  </si>
  <si>
    <t>703630</t>
  </si>
  <si>
    <t>8.50% Piramal Capital &amp; Housing Finance Ltd. 31-Jul-2023</t>
  </si>
  <si>
    <t>INE516Y07188</t>
  </si>
  <si>
    <t>[ICRA]AA</t>
  </si>
  <si>
    <t>702468</t>
  </si>
  <si>
    <t>6.55% National Housing Bank 17-Apr-2023</t>
  </si>
  <si>
    <t>INE557F08FI7</t>
  </si>
  <si>
    <t>Total</t>
  </si>
  <si>
    <t>b) Privately Placed/Unlisted</t>
  </si>
  <si>
    <t>c) Securitised Debt Instruments</t>
  </si>
  <si>
    <t>d) Central Government Securities</t>
  </si>
  <si>
    <t>900166</t>
  </si>
  <si>
    <t>7.69% Government of India 30-Oct-2034</t>
  </si>
  <si>
    <t>IN0020210137</t>
  </si>
  <si>
    <t>Sovereign</t>
  </si>
  <si>
    <t>900154</t>
  </si>
  <si>
    <t>7.42% Government of India 22-Sep-2033</t>
  </si>
  <si>
    <t>IN0020200120</t>
  </si>
  <si>
    <t>e) State Government Securities</t>
  </si>
  <si>
    <t>1900490</t>
  </si>
  <si>
    <t>9.37% State Government of Gujarat 04-Dec-2023</t>
  </si>
  <si>
    <t>IN1520130130</t>
  </si>
  <si>
    <t>MONEY MARKET INSTRUMENTS</t>
  </si>
  <si>
    <t>a) Commercial Paper</t>
  </si>
  <si>
    <t>1008699</t>
  </si>
  <si>
    <t>Bajaj Finance Ltd. 23-May-2023</t>
  </si>
  <si>
    <t>INE296A14TX1</t>
  </si>
  <si>
    <t>CRISIL A1+</t>
  </si>
  <si>
    <t>1008696</t>
  </si>
  <si>
    <t>National Bank for Agriculture and Rural Development 07-Jun-2023</t>
  </si>
  <si>
    <t>INE261F14JJ4</t>
  </si>
  <si>
    <t>1008697</t>
  </si>
  <si>
    <t>Aditya Birla Finance Ltd. 07-Jun-2023</t>
  </si>
  <si>
    <t>INE860H14Z40</t>
  </si>
  <si>
    <t>[ICRA]A1+</t>
  </si>
  <si>
    <t>1008660</t>
  </si>
  <si>
    <t>LIC Housing Finance Ltd. 12-Dec-2023</t>
  </si>
  <si>
    <t>INE115A14EB1</t>
  </si>
  <si>
    <t>1008570</t>
  </si>
  <si>
    <t>Housing Development Finance Corporation Ltd. 25-Jul-2023</t>
  </si>
  <si>
    <t>INE001A14ZE2</t>
  </si>
  <si>
    <t>1008735</t>
  </si>
  <si>
    <t>Tata Capital Financial Services Ltd. 20-Feb-2024</t>
  </si>
  <si>
    <t>INE306N14VR9</t>
  </si>
  <si>
    <t>1008641</t>
  </si>
  <si>
    <t>Kotak Mahindra Investments Ltd. 24-Jul-2023</t>
  </si>
  <si>
    <t>INE975F14XW3</t>
  </si>
  <si>
    <t>b) Certificate of Deposits</t>
  </si>
  <si>
    <t>1102042</t>
  </si>
  <si>
    <t>State Bank of India 12-Sep-2023</t>
  </si>
  <si>
    <t>INE062A16465</t>
  </si>
  <si>
    <t>IND A1+</t>
  </si>
  <si>
    <t>1102092</t>
  </si>
  <si>
    <t>ICICI Bank Ltd. 29-Sep-2023</t>
  </si>
  <si>
    <t>INE090A162Y1</t>
  </si>
  <si>
    <t>1101993</t>
  </si>
  <si>
    <t>HDFC Bank Ltd. 15-May-2023</t>
  </si>
  <si>
    <t>INE040A16DF9</t>
  </si>
  <si>
    <t>1102130</t>
  </si>
  <si>
    <t>Small Industries Development Bank of India 07-Jun-2023</t>
  </si>
  <si>
    <t>INE556F16978</t>
  </si>
  <si>
    <t>1102174</t>
  </si>
  <si>
    <t>Axis Bank Ltd. 16-Jun-2023</t>
  </si>
  <si>
    <t>INE238AD6017</t>
  </si>
  <si>
    <t>1102202</t>
  </si>
  <si>
    <t>Export-Import Bank of India 22-Jun-2023</t>
  </si>
  <si>
    <t>INE514E16CB6</t>
  </si>
  <si>
    <t>1102018</t>
  </si>
  <si>
    <t>Export-Import Bank of India 17-Aug-2023</t>
  </si>
  <si>
    <t>INE514E16CC4</t>
  </si>
  <si>
    <t>1102023</t>
  </si>
  <si>
    <t>Canara Bank 18-Aug-2023</t>
  </si>
  <si>
    <t>INE476A16TV8</t>
  </si>
  <si>
    <t>1102049</t>
  </si>
  <si>
    <t>Kotak Mahindra Bank Ltd. 18-Aug-2023</t>
  </si>
  <si>
    <t>INE237A160Q5</t>
  </si>
  <si>
    <t>1102015</t>
  </si>
  <si>
    <t>Kotak Mahindra Bank Ltd. 11-Aug-2023</t>
  </si>
  <si>
    <t>INE237A168P0</t>
  </si>
  <si>
    <t>1102131</t>
  </si>
  <si>
    <t>HDFC Bank Ltd. 14-Dec-2023</t>
  </si>
  <si>
    <t>INE040A16DO1</t>
  </si>
  <si>
    <t>1102128</t>
  </si>
  <si>
    <t>ICICI Bank Ltd. 12-Dec-2023</t>
  </si>
  <si>
    <t>INE090A161Z0</t>
  </si>
  <si>
    <t>1102183</t>
  </si>
  <si>
    <t>National Bank for Agriculture and Rural Development 23-Jan-2024</t>
  </si>
  <si>
    <t>INE261F16686</t>
  </si>
  <si>
    <t>1102078</t>
  </si>
  <si>
    <t>IndusInd Bank Ltd. 11-Oct-2023</t>
  </si>
  <si>
    <t>INE095A16R00</t>
  </si>
  <si>
    <t>c) Treasury Bills</t>
  </si>
  <si>
    <t>1800937</t>
  </si>
  <si>
    <t>364 DAY T-BILL 16-Nov-2023</t>
  </si>
  <si>
    <t>IN002022Z333</t>
  </si>
  <si>
    <t>d) Bills Re- Discounting</t>
  </si>
  <si>
    <t>OTHERS</t>
  </si>
  <si>
    <t>a) Mutual Fund Units / Exchange Traded Funds</t>
  </si>
  <si>
    <t>b) Gold</t>
  </si>
  <si>
    <t>c) Short Term Deposits</t>
  </si>
  <si>
    <t>d) Term Deposits Placed as Margins</t>
  </si>
  <si>
    <t>e) TREPS / Reverse Repo Investments</t>
  </si>
  <si>
    <t>103230100</t>
  </si>
  <si>
    <t>TREPS 01-Mar-2023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</si>
  <si>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</si>
  <si>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</si>
  <si>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</si>
  <si>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</si>
  <si>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</si>
  <si>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</si>
  <si>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</si>
  <si>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</si>
  <si>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</si>
  <si>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</si>
  <si>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February 28,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</si>
  <si>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</si>
  <si>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</si>
  <si>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</si>
  <si>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January 31, 2023</t>
  </si>
  <si>
    <t>As on February 28, 2023</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</si>
  <si>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</si>
  <si>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</si>
  <si>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</si>
  <si>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</si>
  <si>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</si>
  <si>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</si>
  <si>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</si>
  <si>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</si>
  <si>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</si>
  <si>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February 28, 2023. Further there are no investments in derivative instruments as on February 28, 2023.</t>
  </si>
  <si>
    <t>(10) Total Market value of investments in Foreign Securities/American Depositary Receipts/Global Depositary Receipts as at  February 28, 2023 is Rs. Nil.</t>
  </si>
  <si>
    <t>(11)  The Average Maturity period of the portfolio has been 320 days.</t>
  </si>
  <si>
    <t>(12)  Details of repo transaction in corporate debt securities for the Month ended February 28, 2023 is Nil.</t>
  </si>
  <si>
    <t>(13)  Investments in debt instruments having structured obligations or credit enhancement features as at February 28, 2023 is Rs. Nil.</t>
  </si>
  <si>
    <t>(14) Investment in Partly paid Debentures during the Month ended  February 28, 2023 and as on  February 28,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</si>
  <si>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</si>
  <si>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</si>
  <si>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</si>
  <si>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</si>
  <si>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</si>
  <si>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February 28, 2023 : Rs. Nil</t>
  </si>
  <si>
    <t>(17) Macaulay Duration of the portfolio has been 141 days.</t>
  </si>
  <si>
    <t>(18) Annualised Portfolio YTM has been 7.2893.</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</si>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</sst>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CB3643EC-1C65-4781-AB26-B5AD95050439}"/>
    <cellStyle name="Hyperlink" xfId="2" builtinId="8"/>
    <cellStyle name="Normal" xfId="0" builtinId="0"/>
    <cellStyle name="Normal 2" xfId="4" xr:uid="{10028B11-33E9-4636-BE4C-E9551536398C}"/>
    <cellStyle name="Style 1" xfId="3" xr:uid="{443BD0ED-FDD9-4175-98CE-0BD42F84C5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5</xdr:col>
      <xdr:colOff>504275</xdr:colOff>
      <xdr:row>152</xdr:row>
      <xdr:rowOff>76878</xdr:rowOff>
    </xdr:to>
    <xdr:pic>
      <xdr:nvPicPr>
        <xdr:cNvPr id="3" name="Picture 2">
          <a:extLst>
            <a:ext uri="{FF2B5EF4-FFF2-40B4-BE49-F238E27FC236}">
              <a16:creationId xmlns:a16="http://schemas.microsoft.com/office/drawing/2014/main" id="{53CEF966-224A-169C-FD9D-EA1DE317A2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3452667"/>
          <a:ext cx="7455408" cy="43525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 Id="rId1"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B3560-C5CF-4AAC-A6F0-B0BF688AD6F9}">
  <dimension ref="A1:BC163"/>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44985</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250</v>
      </c>
      <c r="G18" s="32">
        <v>2486.9699999999998</v>
      </c>
      <c r="H18" s="32">
        <v>4.43</v>
      </c>
      <c r="I18" s="33">
        <v>7.8601999999999999</v>
      </c>
      <c r="J18" s="33"/>
      <c r="K18" s="34" t="s">
        <v>25</v>
      </c>
    </row>
    <row r="19" spans="2:11" x14ac:dyDescent="0.3">
      <c r="B19" s="1" t="s">
        <v>26</v>
      </c>
      <c r="C19" s="21" t="s">
        <v>27</v>
      </c>
      <c r="D19" s="29" t="s">
        <v>28</v>
      </c>
      <c r="E19" s="30" t="s">
        <v>29</v>
      </c>
      <c r="F19" s="31">
        <v>140</v>
      </c>
      <c r="G19" s="32">
        <v>1381.37</v>
      </c>
      <c r="H19" s="32">
        <v>2.46</v>
      </c>
      <c r="I19" s="33">
        <v>8.4600000000000009</v>
      </c>
      <c r="J19" s="33"/>
      <c r="K19" s="34" t="s">
        <v>25</v>
      </c>
    </row>
    <row r="20" spans="2:11" x14ac:dyDescent="0.3">
      <c r="B20" s="1" t="s">
        <v>30</v>
      </c>
      <c r="C20" s="21" t="s">
        <v>31</v>
      </c>
      <c r="D20" s="29" t="s">
        <v>32</v>
      </c>
      <c r="E20" s="30" t="s">
        <v>33</v>
      </c>
      <c r="F20" s="31">
        <v>130</v>
      </c>
      <c r="G20" s="32">
        <v>1297.96</v>
      </c>
      <c r="H20" s="32">
        <v>2.31</v>
      </c>
      <c r="I20" s="33">
        <v>8.6857000000000006</v>
      </c>
      <c r="J20" s="33"/>
      <c r="K20" s="34" t="s">
        <v>25</v>
      </c>
    </row>
    <row r="21" spans="2:11" x14ac:dyDescent="0.3">
      <c r="B21" s="1" t="s">
        <v>34</v>
      </c>
      <c r="C21" s="21" t="s">
        <v>35</v>
      </c>
      <c r="D21" s="29" t="s">
        <v>36</v>
      </c>
      <c r="E21" s="30" t="s">
        <v>24</v>
      </c>
      <c r="F21" s="31">
        <v>80</v>
      </c>
      <c r="G21" s="32">
        <v>798.4</v>
      </c>
      <c r="H21" s="32">
        <v>1.42</v>
      </c>
      <c r="I21" s="33">
        <v>7.6802999999999999</v>
      </c>
      <c r="J21" s="33"/>
      <c r="K21" s="34" t="s">
        <v>25</v>
      </c>
    </row>
    <row r="22" spans="2:11" x14ac:dyDescent="0.3">
      <c r="C22" s="28" t="s">
        <v>37</v>
      </c>
      <c r="D22" s="29"/>
      <c r="E22" s="30"/>
      <c r="F22" s="31"/>
      <c r="G22" s="38">
        <v>5964.7</v>
      </c>
      <c r="H22" s="38">
        <v>10.62</v>
      </c>
      <c r="I22" s="33"/>
      <c r="J22" s="33"/>
      <c r="K22" s="34"/>
    </row>
    <row r="23" spans="2:11" x14ac:dyDescent="0.3">
      <c r="C23" s="21"/>
      <c r="D23" s="29"/>
      <c r="E23" s="30"/>
      <c r="F23" s="31"/>
      <c r="G23" s="32"/>
      <c r="H23" s="32"/>
      <c r="I23" s="33"/>
      <c r="J23" s="33"/>
      <c r="K23" s="34"/>
    </row>
    <row r="24" spans="2:11" x14ac:dyDescent="0.3">
      <c r="C24" s="28" t="s">
        <v>38</v>
      </c>
      <c r="D24" s="29"/>
      <c r="E24" s="30"/>
      <c r="F24" s="31"/>
      <c r="G24" s="32" t="s">
        <v>16</v>
      </c>
      <c r="H24" s="32" t="s">
        <v>16</v>
      </c>
      <c r="I24" s="33"/>
      <c r="J24" s="33"/>
      <c r="K24" s="34"/>
    </row>
    <row r="25" spans="2:11" x14ac:dyDescent="0.3">
      <c r="C25" s="21"/>
      <c r="D25" s="29"/>
      <c r="E25" s="30"/>
      <c r="F25" s="31"/>
      <c r="G25" s="32"/>
      <c r="H25" s="32"/>
      <c r="I25" s="33"/>
      <c r="J25" s="33"/>
      <c r="K25" s="34"/>
    </row>
    <row r="26" spans="2:11" x14ac:dyDescent="0.3">
      <c r="C26" s="28" t="s">
        <v>39</v>
      </c>
      <c r="D26" s="29"/>
      <c r="E26" s="30"/>
      <c r="F26" s="31"/>
      <c r="G26" s="32" t="s">
        <v>16</v>
      </c>
      <c r="H26" s="32" t="s">
        <v>16</v>
      </c>
      <c r="I26" s="33"/>
      <c r="J26" s="33"/>
      <c r="K26" s="34"/>
    </row>
    <row r="27" spans="2:11" x14ac:dyDescent="0.3">
      <c r="C27" s="21"/>
      <c r="D27" s="29"/>
      <c r="E27" s="30"/>
      <c r="F27" s="31"/>
      <c r="G27" s="32"/>
      <c r="H27" s="32"/>
      <c r="I27" s="33"/>
      <c r="J27" s="33"/>
      <c r="K27" s="34"/>
    </row>
    <row r="28" spans="2:11" x14ac:dyDescent="0.3">
      <c r="C28" s="37" t="s">
        <v>40</v>
      </c>
      <c r="D28" s="29"/>
      <c r="E28" s="30"/>
      <c r="F28" s="31"/>
      <c r="G28" s="32"/>
      <c r="H28" s="32"/>
      <c r="I28" s="33"/>
      <c r="J28" s="33"/>
      <c r="K28" s="34"/>
    </row>
    <row r="29" spans="2:11" x14ac:dyDescent="0.3">
      <c r="B29" s="1" t="s">
        <v>41</v>
      </c>
      <c r="C29" s="21" t="s">
        <v>42</v>
      </c>
      <c r="D29" s="29" t="s">
        <v>43</v>
      </c>
      <c r="E29" s="30" t="s">
        <v>44</v>
      </c>
      <c r="F29" s="31">
        <v>1500000</v>
      </c>
      <c r="G29" s="32">
        <v>1464.75</v>
      </c>
      <c r="H29" s="32">
        <v>2.61</v>
      </c>
      <c r="I29" s="33">
        <v>0</v>
      </c>
      <c r="J29" s="33"/>
      <c r="K29" s="34"/>
    </row>
    <row r="30" spans="2:11" x14ac:dyDescent="0.3">
      <c r="B30" s="1" t="s">
        <v>45</v>
      </c>
      <c r="C30" s="21" t="s">
        <v>46</v>
      </c>
      <c r="D30" s="29" t="s">
        <v>47</v>
      </c>
      <c r="E30" s="30" t="s">
        <v>44</v>
      </c>
      <c r="F30" s="31">
        <v>1000000</v>
      </c>
      <c r="G30" s="32">
        <v>996.01</v>
      </c>
      <c r="H30" s="32">
        <v>1.78</v>
      </c>
      <c r="I30" s="33">
        <v>0</v>
      </c>
      <c r="J30" s="33"/>
      <c r="K30" s="34"/>
    </row>
    <row r="31" spans="2:11" x14ac:dyDescent="0.3">
      <c r="C31" s="28" t="s">
        <v>37</v>
      </c>
      <c r="D31" s="29"/>
      <c r="E31" s="30"/>
      <c r="F31" s="31"/>
      <c r="G31" s="38">
        <v>2460.7600000000002</v>
      </c>
      <c r="H31" s="38">
        <v>4.3899999999999997</v>
      </c>
      <c r="I31" s="33"/>
      <c r="J31" s="33"/>
      <c r="K31" s="34"/>
    </row>
    <row r="32" spans="2:11" x14ac:dyDescent="0.3">
      <c r="C32" s="21"/>
      <c r="D32" s="29"/>
      <c r="E32" s="30"/>
      <c r="F32" s="31"/>
      <c r="G32" s="32"/>
      <c r="H32" s="32"/>
      <c r="I32" s="33"/>
      <c r="J32" s="33"/>
      <c r="K32" s="34"/>
    </row>
    <row r="33" spans="1:11" x14ac:dyDescent="0.3">
      <c r="C33" s="37" t="s">
        <v>48</v>
      </c>
      <c r="D33" s="29"/>
      <c r="E33" s="30"/>
      <c r="F33" s="31"/>
      <c r="G33" s="32"/>
      <c r="H33" s="32"/>
      <c r="I33" s="33"/>
      <c r="J33" s="33"/>
      <c r="K33" s="34"/>
    </row>
    <row r="34" spans="1:11" x14ac:dyDescent="0.3">
      <c r="B34" s="1" t="s">
        <v>49</v>
      </c>
      <c r="C34" s="21" t="s">
        <v>50</v>
      </c>
      <c r="D34" s="29" t="s">
        <v>51</v>
      </c>
      <c r="E34" s="30" t="s">
        <v>44</v>
      </c>
      <c r="F34" s="31">
        <v>100000</v>
      </c>
      <c r="G34" s="32">
        <v>101.38</v>
      </c>
      <c r="H34" s="32">
        <v>0.18</v>
      </c>
      <c r="I34" s="33">
        <v>7.5691192999999997</v>
      </c>
      <c r="J34" s="33"/>
      <c r="K34" s="34"/>
    </row>
    <row r="35" spans="1:11" x14ac:dyDescent="0.3">
      <c r="C35" s="28" t="s">
        <v>37</v>
      </c>
      <c r="D35" s="29"/>
      <c r="E35" s="30"/>
      <c r="F35" s="31"/>
      <c r="G35" s="38">
        <v>101.38</v>
      </c>
      <c r="H35" s="38">
        <v>0.18</v>
      </c>
      <c r="I35" s="33"/>
      <c r="J35" s="33"/>
      <c r="K35" s="34"/>
    </row>
    <row r="36" spans="1:11" x14ac:dyDescent="0.3">
      <c r="C36" s="21"/>
      <c r="D36" s="29"/>
      <c r="E36" s="30"/>
      <c r="F36" s="31"/>
      <c r="G36" s="32"/>
      <c r="H36" s="32"/>
      <c r="I36" s="33"/>
      <c r="J36" s="33"/>
      <c r="K36" s="34"/>
    </row>
    <row r="37" spans="1:11" x14ac:dyDescent="0.3">
      <c r="A37" s="35"/>
      <c r="B37" s="36"/>
      <c r="C37" s="28" t="s">
        <v>52</v>
      </c>
      <c r="D37" s="29"/>
      <c r="E37" s="30"/>
      <c r="F37" s="31"/>
      <c r="G37" s="32"/>
      <c r="H37" s="32"/>
      <c r="I37" s="33"/>
      <c r="J37" s="33"/>
      <c r="K37" s="34"/>
    </row>
    <row r="38" spans="1:11" x14ac:dyDescent="0.3">
      <c r="C38" s="37" t="s">
        <v>53</v>
      </c>
      <c r="D38" s="29"/>
      <c r="E38" s="30"/>
      <c r="F38" s="31"/>
      <c r="G38" s="32"/>
      <c r="H38" s="32"/>
      <c r="I38" s="33"/>
      <c r="J38" s="33"/>
      <c r="K38" s="34"/>
    </row>
    <row r="39" spans="1:11" x14ac:dyDescent="0.3">
      <c r="B39" s="1" t="s">
        <v>54</v>
      </c>
      <c r="C39" s="21" t="s">
        <v>55</v>
      </c>
      <c r="D39" s="29" t="s">
        <v>56</v>
      </c>
      <c r="E39" s="30" t="s">
        <v>57</v>
      </c>
      <c r="F39" s="31">
        <v>500</v>
      </c>
      <c r="G39" s="32">
        <v>2456.6799999999998</v>
      </c>
      <c r="H39" s="32">
        <v>4.38</v>
      </c>
      <c r="I39" s="33">
        <v>7.7549999999999999</v>
      </c>
      <c r="J39" s="33"/>
      <c r="K39" s="34" t="s">
        <v>25</v>
      </c>
    </row>
    <row r="40" spans="1:11" x14ac:dyDescent="0.3">
      <c r="B40" s="1" t="s">
        <v>58</v>
      </c>
      <c r="C40" s="21" t="s">
        <v>59</v>
      </c>
      <c r="D40" s="29" t="s">
        <v>60</v>
      </c>
      <c r="E40" s="30" t="s">
        <v>57</v>
      </c>
      <c r="F40" s="31">
        <v>500</v>
      </c>
      <c r="G40" s="32">
        <v>2449.9499999999998</v>
      </c>
      <c r="H40" s="32">
        <v>4.37</v>
      </c>
      <c r="I40" s="33">
        <v>7.6097000000000001</v>
      </c>
      <c r="J40" s="33"/>
      <c r="K40" s="34" t="s">
        <v>25</v>
      </c>
    </row>
    <row r="41" spans="1:11" x14ac:dyDescent="0.3">
      <c r="B41" s="1" t="s">
        <v>61</v>
      </c>
      <c r="C41" s="21" t="s">
        <v>62</v>
      </c>
      <c r="D41" s="29" t="s">
        <v>63</v>
      </c>
      <c r="E41" s="30" t="s">
        <v>64</v>
      </c>
      <c r="F41" s="31">
        <v>500</v>
      </c>
      <c r="G41" s="32">
        <v>2448.2399999999998</v>
      </c>
      <c r="H41" s="32">
        <v>4.37</v>
      </c>
      <c r="I41" s="33">
        <v>7.875</v>
      </c>
      <c r="J41" s="33"/>
      <c r="K41" s="34" t="s">
        <v>25</v>
      </c>
    </row>
    <row r="42" spans="1:11" x14ac:dyDescent="0.3">
      <c r="B42" s="1" t="s">
        <v>65</v>
      </c>
      <c r="C42" s="21" t="s">
        <v>66</v>
      </c>
      <c r="D42" s="29" t="s">
        <v>67</v>
      </c>
      <c r="E42" s="30" t="s">
        <v>57</v>
      </c>
      <c r="F42" s="31">
        <v>340</v>
      </c>
      <c r="G42" s="32">
        <v>1600.25</v>
      </c>
      <c r="H42" s="32">
        <v>2.85</v>
      </c>
      <c r="I42" s="33">
        <v>7.9549000000000003</v>
      </c>
      <c r="J42" s="33"/>
      <c r="K42" s="34"/>
    </row>
    <row r="43" spans="1:11" x14ac:dyDescent="0.3">
      <c r="B43" s="1" t="s">
        <v>68</v>
      </c>
      <c r="C43" s="21" t="s">
        <v>69</v>
      </c>
      <c r="D43" s="29" t="s">
        <v>70</v>
      </c>
      <c r="E43" s="30" t="s">
        <v>57</v>
      </c>
      <c r="F43" s="31">
        <v>300</v>
      </c>
      <c r="G43" s="32">
        <v>1454.33</v>
      </c>
      <c r="H43" s="32">
        <v>2.59</v>
      </c>
      <c r="I43" s="33">
        <v>7.85</v>
      </c>
      <c r="J43" s="33"/>
      <c r="K43" s="34" t="s">
        <v>25</v>
      </c>
    </row>
    <row r="44" spans="1:11" x14ac:dyDescent="0.3">
      <c r="B44" s="1" t="s">
        <v>71</v>
      </c>
      <c r="C44" s="21" t="s">
        <v>72</v>
      </c>
      <c r="D44" s="29" t="s">
        <v>73</v>
      </c>
      <c r="E44" s="30" t="s">
        <v>57</v>
      </c>
      <c r="F44" s="31">
        <v>300</v>
      </c>
      <c r="G44" s="32">
        <v>1389.98</v>
      </c>
      <c r="H44" s="32">
        <v>2.48</v>
      </c>
      <c r="I44" s="33">
        <v>8.1150000000000002</v>
      </c>
      <c r="J44" s="33"/>
      <c r="K44" s="34" t="s">
        <v>25</v>
      </c>
    </row>
    <row r="45" spans="1:11" x14ac:dyDescent="0.3">
      <c r="B45" s="1" t="s">
        <v>74</v>
      </c>
      <c r="C45" s="21" t="s">
        <v>75</v>
      </c>
      <c r="D45" s="29" t="s">
        <v>76</v>
      </c>
      <c r="E45" s="30" t="s">
        <v>57</v>
      </c>
      <c r="F45" s="31">
        <v>100</v>
      </c>
      <c r="G45" s="32">
        <v>484.64</v>
      </c>
      <c r="H45" s="32">
        <v>0.86</v>
      </c>
      <c r="I45" s="33">
        <v>7.9798999999999998</v>
      </c>
      <c r="J45" s="33"/>
      <c r="K45" s="34" t="s">
        <v>25</v>
      </c>
    </row>
    <row r="46" spans="1:11" x14ac:dyDescent="0.3">
      <c r="C46" s="28" t="s">
        <v>37</v>
      </c>
      <c r="D46" s="29"/>
      <c r="E46" s="30"/>
      <c r="F46" s="31"/>
      <c r="G46" s="38">
        <v>12284.07</v>
      </c>
      <c r="H46" s="38">
        <v>21.9</v>
      </c>
      <c r="I46" s="33"/>
      <c r="J46" s="33"/>
      <c r="K46" s="34"/>
    </row>
    <row r="47" spans="1:11" x14ac:dyDescent="0.3">
      <c r="C47" s="21"/>
      <c r="D47" s="29"/>
      <c r="E47" s="30"/>
      <c r="F47" s="31"/>
      <c r="G47" s="32"/>
      <c r="H47" s="32"/>
      <c r="I47" s="33"/>
      <c r="J47" s="33"/>
      <c r="K47" s="34"/>
    </row>
    <row r="48" spans="1:11" x14ac:dyDescent="0.3">
      <c r="C48" s="37" t="s">
        <v>77</v>
      </c>
      <c r="D48" s="29"/>
      <c r="E48" s="30"/>
      <c r="F48" s="31"/>
      <c r="G48" s="32"/>
      <c r="H48" s="32"/>
      <c r="I48" s="33"/>
      <c r="J48" s="33"/>
      <c r="K48" s="34"/>
    </row>
    <row r="49" spans="2:11" x14ac:dyDescent="0.3">
      <c r="B49" s="1" t="s">
        <v>78</v>
      </c>
      <c r="C49" s="21" t="s">
        <v>79</v>
      </c>
      <c r="D49" s="29" t="s">
        <v>80</v>
      </c>
      <c r="E49" s="30" t="s">
        <v>81</v>
      </c>
      <c r="F49" s="31">
        <v>860</v>
      </c>
      <c r="G49" s="32">
        <v>4130.91</v>
      </c>
      <c r="H49" s="32">
        <v>7.37</v>
      </c>
      <c r="I49" s="33">
        <v>7.6619000000000002</v>
      </c>
      <c r="J49" s="33"/>
      <c r="K49" s="34"/>
    </row>
    <row r="50" spans="2:11" x14ac:dyDescent="0.3">
      <c r="B50" s="1" t="s">
        <v>82</v>
      </c>
      <c r="C50" s="21" t="s">
        <v>83</v>
      </c>
      <c r="D50" s="29" t="s">
        <v>84</v>
      </c>
      <c r="E50" s="30" t="s">
        <v>64</v>
      </c>
      <c r="F50" s="31">
        <v>700</v>
      </c>
      <c r="G50" s="32">
        <v>3349.98</v>
      </c>
      <c r="H50" s="32">
        <v>5.97</v>
      </c>
      <c r="I50" s="33">
        <v>7.7100999999999997</v>
      </c>
      <c r="J50" s="33"/>
      <c r="K50" s="34" t="s">
        <v>25</v>
      </c>
    </row>
    <row r="51" spans="2:11" x14ac:dyDescent="0.3">
      <c r="B51" s="1" t="s">
        <v>85</v>
      </c>
      <c r="C51" s="21" t="s">
        <v>86</v>
      </c>
      <c r="D51" s="29" t="s">
        <v>87</v>
      </c>
      <c r="E51" s="30" t="s">
        <v>81</v>
      </c>
      <c r="F51" s="31">
        <v>500</v>
      </c>
      <c r="G51" s="32">
        <v>2461.81</v>
      </c>
      <c r="H51" s="32">
        <v>4.3899999999999997</v>
      </c>
      <c r="I51" s="33">
        <v>7.5502000000000002</v>
      </c>
      <c r="J51" s="33"/>
      <c r="K51" s="34"/>
    </row>
    <row r="52" spans="2:11" x14ac:dyDescent="0.3">
      <c r="B52" s="1" t="s">
        <v>88</v>
      </c>
      <c r="C52" s="21" t="s">
        <v>89</v>
      </c>
      <c r="D52" s="29" t="s">
        <v>90</v>
      </c>
      <c r="E52" s="30" t="s">
        <v>57</v>
      </c>
      <c r="F52" s="31">
        <v>500</v>
      </c>
      <c r="G52" s="32">
        <v>2450.14</v>
      </c>
      <c r="H52" s="32">
        <v>4.37</v>
      </c>
      <c r="I52" s="33">
        <v>7.5800999999999998</v>
      </c>
      <c r="J52" s="33"/>
      <c r="K52" s="34" t="s">
        <v>25</v>
      </c>
    </row>
    <row r="53" spans="2:11" x14ac:dyDescent="0.3">
      <c r="B53" s="1" t="s">
        <v>91</v>
      </c>
      <c r="C53" s="21" t="s">
        <v>92</v>
      </c>
      <c r="D53" s="29" t="s">
        <v>93</v>
      </c>
      <c r="E53" s="30" t="s">
        <v>57</v>
      </c>
      <c r="F53" s="31">
        <v>500</v>
      </c>
      <c r="G53" s="32">
        <v>2445.52</v>
      </c>
      <c r="H53" s="32">
        <v>4.3600000000000003</v>
      </c>
      <c r="I53" s="33">
        <v>7.6</v>
      </c>
      <c r="J53" s="33"/>
      <c r="K53" s="34" t="s">
        <v>25</v>
      </c>
    </row>
    <row r="54" spans="2:11" x14ac:dyDescent="0.3">
      <c r="B54" s="1" t="s">
        <v>94</v>
      </c>
      <c r="C54" s="21" t="s">
        <v>95</v>
      </c>
      <c r="D54" s="29" t="s">
        <v>96</v>
      </c>
      <c r="E54" s="30" t="s">
        <v>57</v>
      </c>
      <c r="F54" s="31">
        <v>500</v>
      </c>
      <c r="G54" s="32">
        <v>2442.94</v>
      </c>
      <c r="H54" s="32">
        <v>4.3600000000000003</v>
      </c>
      <c r="I54" s="33">
        <v>7.5450999999999997</v>
      </c>
      <c r="J54" s="33"/>
      <c r="K54" s="34" t="s">
        <v>25</v>
      </c>
    </row>
    <row r="55" spans="2:11" x14ac:dyDescent="0.3">
      <c r="B55" s="1" t="s">
        <v>97</v>
      </c>
      <c r="C55" s="21" t="s">
        <v>98</v>
      </c>
      <c r="D55" s="29" t="s">
        <v>99</v>
      </c>
      <c r="E55" s="30" t="s">
        <v>57</v>
      </c>
      <c r="F55" s="31">
        <v>500</v>
      </c>
      <c r="G55" s="32">
        <v>2414.2600000000002</v>
      </c>
      <c r="H55" s="32">
        <v>4.3099999999999996</v>
      </c>
      <c r="I55" s="33">
        <v>7.6700999999999997</v>
      </c>
      <c r="J55" s="33"/>
      <c r="K55" s="34" t="s">
        <v>25</v>
      </c>
    </row>
    <row r="56" spans="2:11" x14ac:dyDescent="0.3">
      <c r="B56" s="1" t="s">
        <v>100</v>
      </c>
      <c r="C56" s="21" t="s">
        <v>101</v>
      </c>
      <c r="D56" s="29" t="s">
        <v>102</v>
      </c>
      <c r="E56" s="30" t="s">
        <v>57</v>
      </c>
      <c r="F56" s="31">
        <v>500</v>
      </c>
      <c r="G56" s="32">
        <v>2413.4499999999998</v>
      </c>
      <c r="H56" s="32">
        <v>4.3</v>
      </c>
      <c r="I56" s="33">
        <v>7.6999000000000004</v>
      </c>
      <c r="J56" s="33"/>
      <c r="K56" s="34" t="s">
        <v>25</v>
      </c>
    </row>
    <row r="57" spans="2:11" x14ac:dyDescent="0.3">
      <c r="B57" s="1" t="s">
        <v>103</v>
      </c>
      <c r="C57" s="21" t="s">
        <v>104</v>
      </c>
      <c r="D57" s="29" t="s">
        <v>105</v>
      </c>
      <c r="E57" s="30" t="s">
        <v>57</v>
      </c>
      <c r="F57" s="31">
        <v>400</v>
      </c>
      <c r="G57" s="32">
        <v>1931.15</v>
      </c>
      <c r="H57" s="32">
        <v>3.44</v>
      </c>
      <c r="I57" s="33">
        <v>7.6550000000000002</v>
      </c>
      <c r="J57" s="33"/>
      <c r="K57" s="34" t="s">
        <v>25</v>
      </c>
    </row>
    <row r="58" spans="2:11" x14ac:dyDescent="0.3">
      <c r="B58" s="1" t="s">
        <v>106</v>
      </c>
      <c r="C58" s="21" t="s">
        <v>107</v>
      </c>
      <c r="D58" s="29" t="s">
        <v>108</v>
      </c>
      <c r="E58" s="30" t="s">
        <v>57</v>
      </c>
      <c r="F58" s="31">
        <v>260</v>
      </c>
      <c r="G58" s="32">
        <v>1257.03</v>
      </c>
      <c r="H58" s="32">
        <v>2.2400000000000002</v>
      </c>
      <c r="I58" s="33">
        <v>7.6548999999999996</v>
      </c>
      <c r="J58" s="33"/>
      <c r="K58" s="34" t="s">
        <v>25</v>
      </c>
    </row>
    <row r="59" spans="2:11" x14ac:dyDescent="0.3">
      <c r="B59" s="1" t="s">
        <v>109</v>
      </c>
      <c r="C59" s="21" t="s">
        <v>110</v>
      </c>
      <c r="D59" s="29" t="s">
        <v>111</v>
      </c>
      <c r="E59" s="30" t="s">
        <v>81</v>
      </c>
      <c r="F59" s="31">
        <v>240</v>
      </c>
      <c r="G59" s="32">
        <v>1130.3</v>
      </c>
      <c r="H59" s="32">
        <v>2.02</v>
      </c>
      <c r="I59" s="33">
        <v>7.8150000000000004</v>
      </c>
      <c r="J59" s="33"/>
      <c r="K59" s="34" t="s">
        <v>25</v>
      </c>
    </row>
    <row r="60" spans="2:11" x14ac:dyDescent="0.3">
      <c r="B60" s="1" t="s">
        <v>112</v>
      </c>
      <c r="C60" s="21" t="s">
        <v>113</v>
      </c>
      <c r="D60" s="29" t="s">
        <v>114</v>
      </c>
      <c r="E60" s="30" t="s">
        <v>64</v>
      </c>
      <c r="F60" s="31">
        <v>220</v>
      </c>
      <c r="G60" s="32">
        <v>1036.95</v>
      </c>
      <c r="H60" s="32">
        <v>1.85</v>
      </c>
      <c r="I60" s="33">
        <v>7.76</v>
      </c>
      <c r="J60" s="33"/>
      <c r="K60" s="34" t="s">
        <v>25</v>
      </c>
    </row>
    <row r="61" spans="2:11" x14ac:dyDescent="0.3">
      <c r="B61" s="1" t="s">
        <v>115</v>
      </c>
      <c r="C61" s="21" t="s">
        <v>116</v>
      </c>
      <c r="D61" s="29" t="s">
        <v>117</v>
      </c>
      <c r="E61" s="30" t="s">
        <v>57</v>
      </c>
      <c r="F61" s="31">
        <v>200</v>
      </c>
      <c r="G61" s="32">
        <v>934.01</v>
      </c>
      <c r="H61" s="32">
        <v>1.67</v>
      </c>
      <c r="I61" s="33">
        <v>7.8624999999999998</v>
      </c>
      <c r="J61" s="33"/>
      <c r="K61" s="34" t="s">
        <v>25</v>
      </c>
    </row>
    <row r="62" spans="2:11" x14ac:dyDescent="0.3">
      <c r="B62" s="1" t="s">
        <v>118</v>
      </c>
      <c r="C62" s="21" t="s">
        <v>119</v>
      </c>
      <c r="D62" s="29" t="s">
        <v>120</v>
      </c>
      <c r="E62" s="30" t="s">
        <v>57</v>
      </c>
      <c r="F62" s="31">
        <v>100</v>
      </c>
      <c r="G62" s="32">
        <v>476.99</v>
      </c>
      <c r="H62" s="32">
        <v>0.85</v>
      </c>
      <c r="I62" s="33">
        <v>7.8598999999999997</v>
      </c>
      <c r="J62" s="33"/>
      <c r="K62" s="34" t="s">
        <v>25</v>
      </c>
    </row>
    <row r="63" spans="2:11" x14ac:dyDescent="0.3">
      <c r="C63" s="28" t="s">
        <v>37</v>
      </c>
      <c r="D63" s="29"/>
      <c r="E63" s="30"/>
      <c r="F63" s="31"/>
      <c r="G63" s="38">
        <v>28875.439999999999</v>
      </c>
      <c r="H63" s="38">
        <v>51.5</v>
      </c>
      <c r="I63" s="33"/>
      <c r="J63" s="33"/>
      <c r="K63" s="34"/>
    </row>
    <row r="64" spans="2:11" x14ac:dyDescent="0.3">
      <c r="C64" s="21"/>
      <c r="D64" s="29"/>
      <c r="E64" s="30"/>
      <c r="F64" s="31"/>
      <c r="G64" s="32"/>
      <c r="H64" s="32"/>
      <c r="I64" s="33"/>
      <c r="J64" s="33"/>
      <c r="K64" s="34"/>
    </row>
    <row r="65" spans="1:11" x14ac:dyDescent="0.3">
      <c r="C65" s="37" t="s">
        <v>121</v>
      </c>
      <c r="D65" s="29"/>
      <c r="E65" s="30"/>
      <c r="F65" s="31"/>
      <c r="G65" s="32"/>
      <c r="H65" s="32"/>
      <c r="I65" s="33"/>
      <c r="J65" s="33"/>
      <c r="K65" s="34"/>
    </row>
    <row r="66" spans="1:11" x14ac:dyDescent="0.3">
      <c r="B66" s="1" t="s">
        <v>122</v>
      </c>
      <c r="C66" s="21" t="s">
        <v>123</v>
      </c>
      <c r="D66" s="29" t="s">
        <v>124</v>
      </c>
      <c r="E66" s="30" t="s">
        <v>44</v>
      </c>
      <c r="F66" s="31">
        <v>500000</v>
      </c>
      <c r="G66" s="32">
        <v>475.41</v>
      </c>
      <c r="H66" s="32">
        <v>0.85</v>
      </c>
      <c r="I66" s="33">
        <v>7.26</v>
      </c>
      <c r="J66" s="33"/>
      <c r="K66" s="34"/>
    </row>
    <row r="67" spans="1:11" x14ac:dyDescent="0.3">
      <c r="C67" s="28" t="s">
        <v>37</v>
      </c>
      <c r="D67" s="29"/>
      <c r="E67" s="30"/>
      <c r="F67" s="31"/>
      <c r="G67" s="38">
        <v>475.41</v>
      </c>
      <c r="H67" s="38">
        <v>0.85</v>
      </c>
      <c r="I67" s="33"/>
      <c r="J67" s="33"/>
      <c r="K67" s="34"/>
    </row>
    <row r="68" spans="1:11" x14ac:dyDescent="0.3">
      <c r="C68" s="21"/>
      <c r="D68" s="29"/>
      <c r="E68" s="30"/>
      <c r="F68" s="31"/>
      <c r="G68" s="32"/>
      <c r="H68" s="32"/>
      <c r="I68" s="33"/>
      <c r="J68" s="33"/>
      <c r="K68" s="34"/>
    </row>
    <row r="69" spans="1:11" x14ac:dyDescent="0.3">
      <c r="C69" s="28" t="s">
        <v>125</v>
      </c>
      <c r="D69" s="29"/>
      <c r="E69" s="30"/>
      <c r="F69" s="31"/>
      <c r="G69" s="32" t="s">
        <v>16</v>
      </c>
      <c r="H69" s="32" t="s">
        <v>16</v>
      </c>
      <c r="I69" s="33"/>
      <c r="J69" s="33"/>
      <c r="K69" s="34"/>
    </row>
    <row r="70" spans="1:11" x14ac:dyDescent="0.3">
      <c r="C70" s="21"/>
      <c r="D70" s="29"/>
      <c r="E70" s="30"/>
      <c r="F70" s="31"/>
      <c r="G70" s="32"/>
      <c r="H70" s="32"/>
      <c r="I70" s="33"/>
      <c r="J70" s="33"/>
      <c r="K70" s="34"/>
    </row>
    <row r="71" spans="1:11" x14ac:dyDescent="0.3">
      <c r="A71" s="35"/>
      <c r="B71" s="36"/>
      <c r="C71" s="28" t="s">
        <v>126</v>
      </c>
      <c r="D71" s="29"/>
      <c r="E71" s="30"/>
      <c r="F71" s="31"/>
      <c r="G71" s="32"/>
      <c r="H71" s="32"/>
      <c r="I71" s="33"/>
      <c r="J71" s="33"/>
      <c r="K71" s="34"/>
    </row>
    <row r="72" spans="1:11" x14ac:dyDescent="0.3">
      <c r="A72" s="36"/>
      <c r="B72" s="36"/>
      <c r="C72" s="28" t="s">
        <v>127</v>
      </c>
      <c r="D72" s="29"/>
      <c r="E72" s="30"/>
      <c r="F72" s="31"/>
      <c r="G72" s="32" t="s">
        <v>16</v>
      </c>
      <c r="H72" s="32" t="s">
        <v>16</v>
      </c>
      <c r="I72" s="33"/>
      <c r="J72" s="33"/>
      <c r="K72" s="34"/>
    </row>
    <row r="73" spans="1:11" x14ac:dyDescent="0.3">
      <c r="A73" s="36"/>
      <c r="B73" s="36"/>
      <c r="C73" s="28"/>
      <c r="D73" s="29"/>
      <c r="E73" s="30"/>
      <c r="F73" s="31"/>
      <c r="G73" s="32"/>
      <c r="H73" s="32"/>
      <c r="I73" s="33"/>
      <c r="J73" s="33"/>
      <c r="K73" s="34"/>
    </row>
    <row r="74" spans="1:11" x14ac:dyDescent="0.3">
      <c r="A74" s="36"/>
      <c r="B74" s="36"/>
      <c r="C74" s="28" t="s">
        <v>128</v>
      </c>
      <c r="D74" s="29"/>
      <c r="E74" s="30"/>
      <c r="F74" s="31"/>
      <c r="G74" s="32" t="s">
        <v>16</v>
      </c>
      <c r="H74" s="32" t="s">
        <v>16</v>
      </c>
      <c r="I74" s="33"/>
      <c r="J74" s="33"/>
      <c r="K74" s="34"/>
    </row>
    <row r="75" spans="1:11" x14ac:dyDescent="0.3">
      <c r="A75" s="36"/>
      <c r="B75" s="36"/>
      <c r="C75" s="28"/>
      <c r="D75" s="29"/>
      <c r="E75" s="30"/>
      <c r="F75" s="31"/>
      <c r="G75" s="32"/>
      <c r="H75" s="32"/>
      <c r="I75" s="33"/>
      <c r="J75" s="33"/>
      <c r="K75" s="34"/>
    </row>
    <row r="76" spans="1:11" x14ac:dyDescent="0.3">
      <c r="A76" s="36"/>
      <c r="B76" s="36"/>
      <c r="C76" s="28" t="s">
        <v>129</v>
      </c>
      <c r="D76" s="29"/>
      <c r="E76" s="30"/>
      <c r="F76" s="31"/>
      <c r="G76" s="32" t="s">
        <v>16</v>
      </c>
      <c r="H76" s="32" t="s">
        <v>16</v>
      </c>
      <c r="I76" s="33"/>
      <c r="J76" s="33"/>
      <c r="K76" s="34"/>
    </row>
    <row r="77" spans="1:11" x14ac:dyDescent="0.3">
      <c r="A77" s="36"/>
      <c r="B77" s="36"/>
      <c r="C77" s="28"/>
      <c r="D77" s="29"/>
      <c r="E77" s="30"/>
      <c r="F77" s="31"/>
      <c r="G77" s="32"/>
      <c r="H77" s="32"/>
      <c r="I77" s="33"/>
      <c r="J77" s="33"/>
      <c r="K77" s="34"/>
    </row>
    <row r="78" spans="1:11" x14ac:dyDescent="0.3">
      <c r="A78" s="36"/>
      <c r="B78" s="36"/>
      <c r="C78" s="28" t="s">
        <v>130</v>
      </c>
      <c r="D78" s="29"/>
      <c r="E78" s="30"/>
      <c r="F78" s="31"/>
      <c r="G78" s="32" t="s">
        <v>16</v>
      </c>
      <c r="H78" s="32" t="s">
        <v>16</v>
      </c>
      <c r="I78" s="33"/>
      <c r="J78" s="33"/>
      <c r="K78" s="34"/>
    </row>
    <row r="79" spans="1:11" x14ac:dyDescent="0.3">
      <c r="A79" s="36"/>
      <c r="B79" s="36"/>
      <c r="C79" s="28"/>
      <c r="D79" s="29"/>
      <c r="E79" s="30"/>
      <c r="F79" s="31"/>
      <c r="G79" s="32"/>
      <c r="H79" s="32"/>
      <c r="I79" s="33"/>
      <c r="J79" s="33"/>
      <c r="K79" s="34"/>
    </row>
    <row r="80" spans="1:11" x14ac:dyDescent="0.3">
      <c r="C80" s="37" t="s">
        <v>131</v>
      </c>
      <c r="D80" s="29"/>
      <c r="E80" s="30"/>
      <c r="F80" s="31"/>
      <c r="G80" s="32"/>
      <c r="H80" s="32"/>
      <c r="I80" s="33"/>
      <c r="J80" s="33"/>
      <c r="K80" s="34"/>
    </row>
    <row r="81" spans="1:11" x14ac:dyDescent="0.3">
      <c r="B81" s="1" t="s">
        <v>132</v>
      </c>
      <c r="C81" s="21" t="s">
        <v>133</v>
      </c>
      <c r="D81" s="29"/>
      <c r="E81" s="30"/>
      <c r="F81" s="31"/>
      <c r="G81" s="32">
        <v>4925.76</v>
      </c>
      <c r="H81" s="32">
        <v>8.7799999999999994</v>
      </c>
      <c r="I81" s="33">
        <v>6.51</v>
      </c>
      <c r="J81" s="33"/>
      <c r="K81" s="34"/>
    </row>
    <row r="82" spans="1:11" x14ac:dyDescent="0.3">
      <c r="C82" s="28" t="s">
        <v>37</v>
      </c>
      <c r="D82" s="29"/>
      <c r="E82" s="30"/>
      <c r="F82" s="31"/>
      <c r="G82" s="38">
        <v>4925.76</v>
      </c>
      <c r="H82" s="38">
        <v>8.7799999999999994</v>
      </c>
      <c r="I82" s="33"/>
      <c r="J82" s="33"/>
      <c r="K82" s="34"/>
    </row>
    <row r="83" spans="1:11" x14ac:dyDescent="0.3">
      <c r="C83" s="21"/>
      <c r="D83" s="29"/>
      <c r="E83" s="30"/>
      <c r="F83" s="31"/>
      <c r="G83" s="32"/>
      <c r="H83" s="32"/>
      <c r="I83" s="33"/>
      <c r="J83" s="33"/>
      <c r="K83" s="34"/>
    </row>
    <row r="84" spans="1:11" x14ac:dyDescent="0.3">
      <c r="A84" s="35"/>
      <c r="B84" s="36"/>
      <c r="C84" s="28" t="s">
        <v>134</v>
      </c>
      <c r="D84" s="29"/>
      <c r="E84" s="30"/>
      <c r="F84" s="31"/>
      <c r="G84" s="32"/>
      <c r="H84" s="32"/>
      <c r="I84" s="33"/>
      <c r="J84" s="33"/>
      <c r="K84" s="34"/>
    </row>
    <row r="85" spans="1:11" x14ac:dyDescent="0.3">
      <c r="B85" s="1"/>
      <c r="C85" s="21" t="s">
        <v>135</v>
      </c>
      <c r="D85" s="29"/>
      <c r="E85" s="30"/>
      <c r="F85" s="31"/>
      <c r="G85" s="32">
        <v>991.08</v>
      </c>
      <c r="H85" s="32">
        <v>1.78</v>
      </c>
      <c r="I85" s="33"/>
      <c r="J85" s="33"/>
      <c r="K85" s="34"/>
    </row>
    <row r="86" spans="1:11" x14ac:dyDescent="0.3">
      <c r="C86" s="28" t="s">
        <v>37</v>
      </c>
      <c r="D86" s="29"/>
      <c r="E86" s="30"/>
      <c r="F86" s="31"/>
      <c r="G86" s="38">
        <v>991.08</v>
      </c>
      <c r="H86" s="38">
        <v>1.78</v>
      </c>
      <c r="I86" s="33"/>
      <c r="J86" s="33"/>
      <c r="K86" s="34"/>
    </row>
    <row r="87" spans="1:11" x14ac:dyDescent="0.3">
      <c r="C87" s="21"/>
      <c r="D87" s="29"/>
      <c r="E87" s="30"/>
      <c r="F87" s="31"/>
      <c r="G87" s="32"/>
      <c r="H87" s="32"/>
      <c r="I87" s="33"/>
      <c r="J87" s="33"/>
      <c r="K87" s="34"/>
    </row>
    <row r="88" spans="1:11" ht="14.4" thickBot="1" x14ac:dyDescent="0.35">
      <c r="C88" s="39" t="s">
        <v>136</v>
      </c>
      <c r="D88" s="40"/>
      <c r="E88" s="41"/>
      <c r="F88" s="42"/>
      <c r="G88" s="43">
        <v>56078.6</v>
      </c>
      <c r="H88" s="43">
        <f>SUMIFS(H:H,C:C,"Total")</f>
        <v>100</v>
      </c>
      <c r="I88" s="44"/>
      <c r="J88" s="44"/>
      <c r="K88" s="45"/>
    </row>
    <row r="91" spans="1:11" x14ac:dyDescent="0.3">
      <c r="C91" s="11" t="s">
        <v>137</v>
      </c>
    </row>
    <row r="92" spans="1:11" x14ac:dyDescent="0.3">
      <c r="C92" s="2" t="s">
        <v>138</v>
      </c>
    </row>
    <row r="93" spans="1:11" x14ac:dyDescent="0.3">
      <c r="C93" s="46" t="s">
        <v>139</v>
      </c>
    </row>
    <row r="94" spans="1:11" x14ac:dyDescent="0.3">
      <c r="C94" s="2" t="s">
        <v>140</v>
      </c>
    </row>
    <row r="95" spans="1:11" x14ac:dyDescent="0.3">
      <c r="C95" s="2" t="s">
        <v>141</v>
      </c>
    </row>
    <row r="96" spans="1:11" x14ac:dyDescent="0.3">
      <c r="C96" s="2" t="s">
        <v>142</v>
      </c>
      <c r="D96" s="47"/>
      <c r="E96" s="47"/>
      <c r="F96" s="47"/>
      <c r="G96" s="48"/>
      <c r="H96" s="48"/>
    </row>
    <row r="97" spans="3:55" x14ac:dyDescent="0.3">
      <c r="C97" s="2" t="s">
        <v>143</v>
      </c>
    </row>
    <row r="98" spans="3:55" x14ac:dyDescent="0.3">
      <c r="C98" s="2" t="s">
        <v>144</v>
      </c>
    </row>
    <row r="99" spans="3:55" x14ac:dyDescent="0.3">
      <c r="C99" s="2" t="s">
        <v>145</v>
      </c>
    </row>
    <row r="100" spans="3:55" x14ac:dyDescent="0.3">
      <c r="C100" s="2" t="s">
        <v>146</v>
      </c>
    </row>
    <row r="101" spans="3:55" s="11" customFormat="1" x14ac:dyDescent="0.3">
      <c r="C101" s="11" t="s">
        <v>147</v>
      </c>
      <c r="E101" s="11" t="s">
        <v>148</v>
      </c>
      <c r="F101" s="49" t="s">
        <v>149</v>
      </c>
      <c r="G101" s="50"/>
      <c r="H101" s="50"/>
      <c r="I101" s="50"/>
      <c r="J101" s="50"/>
      <c r="K101" s="51"/>
      <c r="L101" s="51"/>
      <c r="M101" s="51"/>
      <c r="AJ101" s="51"/>
      <c r="AW101" s="51"/>
      <c r="AY101" s="51"/>
      <c r="BC101" s="51"/>
    </row>
    <row r="102" spans="3:55" x14ac:dyDescent="0.3">
      <c r="C102" s="2" t="s">
        <v>150</v>
      </c>
      <c r="E102" s="52">
        <v>1006.2583</v>
      </c>
      <c r="F102" s="53">
        <v>1006.2583</v>
      </c>
    </row>
    <row r="103" spans="3:55" x14ac:dyDescent="0.3">
      <c r="C103" s="2" t="s">
        <v>151</v>
      </c>
      <c r="E103" s="52">
        <v>1296.0935999999999</v>
      </c>
      <c r="F103" s="53">
        <v>1302.604</v>
      </c>
    </row>
    <row r="104" spans="3:55" x14ac:dyDescent="0.3">
      <c r="C104" s="2" t="s">
        <v>152</v>
      </c>
      <c r="E104" s="52">
        <v>1000</v>
      </c>
      <c r="F104" s="53">
        <v>1000</v>
      </c>
    </row>
    <row r="105" spans="3:55" x14ac:dyDescent="0.3">
      <c r="C105" s="2" t="s">
        <v>153</v>
      </c>
      <c r="E105" s="52">
        <v>1007.0751</v>
      </c>
      <c r="F105" s="53">
        <v>1007.0751</v>
      </c>
    </row>
    <row r="106" spans="3:55" x14ac:dyDescent="0.3">
      <c r="C106" s="2" t="s">
        <v>154</v>
      </c>
      <c r="E106" s="52">
        <v>1307.134</v>
      </c>
      <c r="F106" s="53">
        <v>1313.8208</v>
      </c>
    </row>
    <row r="107" spans="3:55" x14ac:dyDescent="0.3">
      <c r="C107" s="2" t="s">
        <v>155</v>
      </c>
      <c r="E107" s="54">
        <v>1000</v>
      </c>
      <c r="F107" s="55">
        <v>1000</v>
      </c>
    </row>
    <row r="109" spans="3:55" x14ac:dyDescent="0.3">
      <c r="C109" s="2" t="s">
        <v>156</v>
      </c>
      <c r="E109" s="11" t="s">
        <v>157</v>
      </c>
      <c r="F109" s="49" t="s">
        <v>158</v>
      </c>
    </row>
    <row r="110" spans="3:55" x14ac:dyDescent="0.3">
      <c r="C110" s="2" t="s">
        <v>150</v>
      </c>
      <c r="E110" s="52">
        <v>5.0427758100000002</v>
      </c>
      <c r="F110" s="53">
        <v>5.0427758100000002</v>
      </c>
    </row>
    <row r="111" spans="3:55" x14ac:dyDescent="0.3">
      <c r="C111" s="2" t="s">
        <v>152</v>
      </c>
      <c r="E111" s="52">
        <v>4.0424604300000002</v>
      </c>
      <c r="F111" s="53">
        <v>4.0424604300000002</v>
      </c>
    </row>
    <row r="112" spans="3:55" x14ac:dyDescent="0.3">
      <c r="C112" s="2" t="s">
        <v>153</v>
      </c>
      <c r="E112" s="52">
        <v>5.1395811400000007</v>
      </c>
      <c r="F112" s="53">
        <v>5.1395811400000007</v>
      </c>
    </row>
    <row r="114" spans="3:11" x14ac:dyDescent="0.3">
      <c r="C114" s="2" t="s">
        <v>159</v>
      </c>
    </row>
    <row r="115" spans="3:11" x14ac:dyDescent="0.3">
      <c r="C115" s="2" t="s">
        <v>160</v>
      </c>
    </row>
    <row r="116" spans="3:11" x14ac:dyDescent="0.3">
      <c r="C116" s="2" t="s">
        <v>161</v>
      </c>
    </row>
    <row r="117" spans="3:11" x14ac:dyDescent="0.3">
      <c r="C117" s="2" t="s">
        <v>162</v>
      </c>
    </row>
    <row r="118" spans="3:11" x14ac:dyDescent="0.3">
      <c r="C118" s="2" t="s">
        <v>163</v>
      </c>
    </row>
    <row r="119" spans="3:11" x14ac:dyDescent="0.3">
      <c r="C119" s="2" t="s">
        <v>164</v>
      </c>
    </row>
    <row r="120" spans="3:11" x14ac:dyDescent="0.3">
      <c r="C120" s="2" t="s">
        <v>165</v>
      </c>
    </row>
    <row r="121" spans="3:11" x14ac:dyDescent="0.3">
      <c r="C121" s="2" t="s">
        <v>166</v>
      </c>
    </row>
    <row r="122" spans="3:11" x14ac:dyDescent="0.3">
      <c r="C122" s="2" t="s">
        <v>167</v>
      </c>
    </row>
    <row r="123" spans="3:11" x14ac:dyDescent="0.3">
      <c r="C123" s="2" t="s">
        <v>168</v>
      </c>
    </row>
    <row r="124" spans="3:11" x14ac:dyDescent="0.3">
      <c r="C124" s="2" t="s">
        <v>169</v>
      </c>
    </row>
    <row r="125" spans="3:11" x14ac:dyDescent="0.3">
      <c r="C125" s="2" t="s">
        <v>170</v>
      </c>
    </row>
    <row r="126" spans="3:11" x14ac:dyDescent="0.3">
      <c r="C126" s="2" t="s">
        <v>171</v>
      </c>
    </row>
    <row r="127" spans="3:11" x14ac:dyDescent="0.3">
      <c r="C127" s="2" t="s">
        <v>172</v>
      </c>
    </row>
    <row r="128" spans="3:11" ht="46.5" customHeight="1" x14ac:dyDescent="0.3">
      <c r="C128" s="57" t="s">
        <v>173</v>
      </c>
      <c r="D128" s="58"/>
      <c r="E128" s="58"/>
      <c r="F128" s="58"/>
      <c r="G128" s="58"/>
      <c r="H128" s="58"/>
      <c r="I128" s="58"/>
      <c r="J128" s="58"/>
      <c r="K128" s="58"/>
    </row>
    <row r="129" spans="3:11" ht="14.4" x14ac:dyDescent="0.3">
      <c r="C129" s="56"/>
      <c r="D129" s="56"/>
      <c r="E129" s="56"/>
      <c r="F129" s="56"/>
      <c r="G129" s="56"/>
      <c r="H129" s="56"/>
      <c r="I129" s="56"/>
      <c r="J129" s="56"/>
      <c r="K129" s="56"/>
    </row>
    <row r="153" spans="3:6" ht="14.4" thickBot="1" x14ac:dyDescent="0.35"/>
    <row r="154" spans="3:6" ht="15" thickBot="1" x14ac:dyDescent="0.35">
      <c r="C154" s="59" t="s">
        <v>174</v>
      </c>
      <c r="D154" s="60"/>
      <c r="E154" s="60"/>
      <c r="F154" s="61"/>
    </row>
    <row r="155" spans="3:6" ht="15" thickBot="1" x14ac:dyDescent="0.35">
      <c r="C155" s="62" t="s">
        <v>175</v>
      </c>
      <c r="D155" s="63" t="s">
        <v>176</v>
      </c>
      <c r="E155" s="63" t="s">
        <v>177</v>
      </c>
      <c r="F155" s="63" t="s">
        <v>178</v>
      </c>
    </row>
    <row r="156" spans="3:6" ht="15" thickBot="1" x14ac:dyDescent="0.35">
      <c r="C156" s="62" t="s">
        <v>179</v>
      </c>
      <c r="D156" s="64"/>
      <c r="E156" s="64"/>
      <c r="F156" s="64"/>
    </row>
    <row r="157" spans="3:6" ht="15" thickBot="1" x14ac:dyDescent="0.35">
      <c r="C157" s="65" t="s">
        <v>180</v>
      </c>
      <c r="D157"/>
      <c r="E157" s="66" t="s">
        <v>181</v>
      </c>
      <c r="F157" s="67"/>
    </row>
    <row r="158" spans="3:6" ht="14.4" x14ac:dyDescent="0.3">
      <c r="C158" s="68" t="s">
        <v>182</v>
      </c>
      <c r="D158" s="69"/>
      <c r="E158" s="69"/>
      <c r="F158" s="69"/>
    </row>
    <row r="159" spans="3:6" ht="15" thickBot="1" x14ac:dyDescent="0.35">
      <c r="C159" s="65" t="s">
        <v>183</v>
      </c>
      <c r="D159" s="70"/>
      <c r="E159" s="70"/>
      <c r="F159" s="70"/>
    </row>
    <row r="160" spans="3:6" ht="14.4" x14ac:dyDescent="0.3">
      <c r="C160" s="68" t="s">
        <v>184</v>
      </c>
      <c r="D160" s="69"/>
      <c r="E160" s="69"/>
      <c r="F160" s="69"/>
    </row>
    <row r="161" spans="3:6" ht="15" thickBot="1" x14ac:dyDescent="0.35">
      <c r="C161" s="65" t="s">
        <v>185</v>
      </c>
      <c r="D161" s="70"/>
      <c r="E161" s="70"/>
      <c r="F161" s="70"/>
    </row>
    <row r="162" spans="3:6" ht="14.4" x14ac:dyDescent="0.35">
      <c r="C162" s="71" t="s">
        <v>186</v>
      </c>
      <c r="D162" s="72"/>
      <c r="E162" s="72"/>
      <c r="F162" s="72"/>
    </row>
    <row r="163" spans="3:6" ht="14.4" x14ac:dyDescent="0.3">
      <c r="C163" s="2" t="s">
        <v>187</v>
      </c>
      <c r="D163"/>
      <c r="E163"/>
      <c r="F163"/>
    </row>
  </sheetData>
  <mergeCells count="11">
    <mergeCell ref="D158:D159"/>
    <mergeCell ref="E158:E159"/>
    <mergeCell ref="F158:F159"/>
    <mergeCell ref="D160:D161"/>
    <mergeCell ref="E160:E161"/>
    <mergeCell ref="F160:F161"/>
    <mergeCell ref="C128:K128"/>
    <mergeCell ref="C154:F154"/>
    <mergeCell ref="D155:D156"/>
    <mergeCell ref="E155:E156"/>
    <mergeCell ref="F155:F15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US</vt:lpstr>
      <vt:lpstr>XDO_?CLASS_3?22?</vt:lpstr>
      <vt:lpstr>XDO_?FINAL_ISIN?100?</vt:lpstr>
      <vt:lpstr>XDO_?FINAL_ISIN?101?</vt:lpstr>
      <vt:lpstr>XDO_?FINAL_ISIN?102?</vt:lpstr>
      <vt:lpstr>XDO_?FINAL_ISIN?95?</vt:lpstr>
      <vt:lpstr>XDO_?FINAL_ISIN?96?</vt:lpstr>
      <vt:lpstr>XDO_?FINAL_ISIN?97?</vt:lpstr>
      <vt:lpstr>XDO_?FINAL_ISIN?98?</vt:lpstr>
      <vt:lpstr>XDO_?FINAL_ISIN?99?</vt:lpstr>
      <vt:lpstr>XDO_?FINAL_MV?100?</vt:lpstr>
      <vt:lpstr>XDO_?FINAL_MV?101?</vt:lpstr>
      <vt:lpstr>XDO_?FINAL_MV?102?</vt:lpstr>
      <vt:lpstr>XDO_?FINAL_MV?95?</vt:lpstr>
      <vt:lpstr>XDO_?FINAL_MV?96?</vt:lpstr>
      <vt:lpstr>XDO_?FINAL_MV?97?</vt:lpstr>
      <vt:lpstr>XDO_?FINAL_MV?98?</vt:lpstr>
      <vt:lpstr>XDO_?FINAL_MV?99?</vt:lpstr>
      <vt:lpstr>XDO_?FINAL_NAME?100?</vt:lpstr>
      <vt:lpstr>XDO_?FINAL_NAME?101?</vt:lpstr>
      <vt:lpstr>XDO_?FINAL_NAME?102?</vt:lpstr>
      <vt:lpstr>XDO_?FINAL_NAME?95?</vt:lpstr>
      <vt:lpstr>XDO_?FINAL_NAME?96?</vt:lpstr>
      <vt:lpstr>XDO_?FINAL_NAME?97?</vt:lpstr>
      <vt:lpstr>XDO_?FINAL_NAME?98?</vt:lpstr>
      <vt:lpstr>XDO_?FINAL_NAME?99?</vt:lpstr>
      <vt:lpstr>XDO_?FINAL_PER_NET?100?</vt:lpstr>
      <vt:lpstr>XDO_?FINAL_PER_NET?101?</vt:lpstr>
      <vt:lpstr>XDO_?FINAL_PER_NET?102?</vt:lpstr>
      <vt:lpstr>XDO_?FINAL_PER_NET?95?</vt:lpstr>
      <vt:lpstr>XDO_?FINAL_PER_NET?96?</vt:lpstr>
      <vt:lpstr>XDO_?FINAL_PER_NET?97?</vt:lpstr>
      <vt:lpstr>XDO_?FINAL_PER_NET?98?</vt:lpstr>
      <vt:lpstr>XDO_?FINAL_PER_NET?99?</vt:lpstr>
      <vt:lpstr>XDO_?FINAL_QUANTITE?100?</vt:lpstr>
      <vt:lpstr>XDO_?FINAL_QUANTITE?101?</vt:lpstr>
      <vt:lpstr>XDO_?FINAL_QUANTITE?102?</vt:lpstr>
      <vt:lpstr>XDO_?FINAL_QUANTITE?95?</vt:lpstr>
      <vt:lpstr>XDO_?FINAL_QUANTITE?96?</vt:lpstr>
      <vt:lpstr>XDO_?FINAL_QUANTITE?97?</vt:lpstr>
      <vt:lpstr>XDO_?FINAL_QUANTITE?98?</vt:lpstr>
      <vt:lpstr>XDO_?FINAL_QUANTITE?99?</vt:lpstr>
      <vt:lpstr>XDO_?NAMCNAME?22?</vt:lpstr>
      <vt:lpstr>XDO_?NOVAL?100?</vt:lpstr>
      <vt:lpstr>XDO_?NOVAL?101?</vt:lpstr>
      <vt:lpstr>XDO_?NOVAL?102?</vt:lpstr>
      <vt:lpstr>XDO_?NOVAL?95?</vt:lpstr>
      <vt:lpstr>XDO_?NOVAL?96?</vt:lpstr>
      <vt:lpstr>XDO_?NOVAL?97?</vt:lpstr>
      <vt:lpstr>XDO_?NOVAL?98?</vt:lpstr>
      <vt:lpstr>XDO_?NOVAL?99?</vt:lpstr>
      <vt:lpstr>XDO_?NPTF?22?</vt:lpstr>
      <vt:lpstr>XDO_?RATING?100?</vt:lpstr>
      <vt:lpstr>XDO_?RATING?101?</vt:lpstr>
      <vt:lpstr>XDO_?RATING?102?</vt:lpstr>
      <vt:lpstr>XDO_?RATING?95?</vt:lpstr>
      <vt:lpstr>XDO_?RATING?96?</vt:lpstr>
      <vt:lpstr>XDO_?RATING?97?</vt:lpstr>
      <vt:lpstr>XDO_?RATING?98?</vt:lpstr>
      <vt:lpstr>XDO_?RATING?99?</vt:lpstr>
      <vt:lpstr>XDO_?REMARKS?100?</vt:lpstr>
      <vt:lpstr>XDO_?REMARKS?101?</vt:lpstr>
      <vt:lpstr>XDO_?REMARKS?102?</vt:lpstr>
      <vt:lpstr>XDO_?REMARKS?95?</vt:lpstr>
      <vt:lpstr>XDO_?REMARKS?96?</vt:lpstr>
      <vt:lpstr>XDO_?REMARKS?97?</vt:lpstr>
      <vt:lpstr>XDO_?REMARKS?98?</vt:lpstr>
      <vt:lpstr>XDO_?REMARKS?99?</vt:lpstr>
      <vt:lpstr>XDO_?TITL?22?</vt:lpstr>
      <vt:lpstr>XDO_?YTM?100?</vt:lpstr>
      <vt:lpstr>XDO_?YTM?101?</vt:lpstr>
      <vt:lpstr>XDO_?YTM?102?</vt:lpstr>
      <vt:lpstr>XDO_?YTM?95?</vt:lpstr>
      <vt:lpstr>XDO_?YTM?96?</vt:lpstr>
      <vt:lpstr>XDO_?YTM?97?</vt:lpstr>
      <vt:lpstr>XDO_?YTM?98?</vt:lpstr>
      <vt:lpstr>XDO_?YTM?99?</vt:lpstr>
      <vt:lpstr>XDO_GROUP_?G_2?22?</vt:lpstr>
      <vt:lpstr>XDO_GROUP_?G_3?22?</vt:lpstr>
      <vt:lpstr>XDO_GROUP_?G_4?100?</vt:lpstr>
      <vt:lpstr>XDO_GROUP_?G_4?101?</vt:lpstr>
      <vt:lpstr>XDO_GROUP_?G_4?102?</vt:lpstr>
      <vt:lpstr>XDO_GROUP_?G_4?95?</vt:lpstr>
      <vt:lpstr>XDO_GROUP_?G_4?96?</vt:lpstr>
      <vt:lpstr>XDO_GROUP_?G_4?97?</vt:lpstr>
      <vt:lpstr>XDO_GROUP_?G_4?98?</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2023-03-06T13:25:38Z</dcterms:created>
  <dcterms:modified xsi:type="dcterms:W3CDTF">2023-03-09T10:16:38Z</dcterms:modified>
</cp:coreProperties>
</file>