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ttps://barodabnpparibasmf-my.sharepoint.com/personal/kshitija_desai_barodabnpparibasmf_in/Documents/Desktop/portfolio/BOBNPMF_ Monthly Portfolio_Report 30th June 2022/"/>
    </mc:Choice>
  </mc:AlternateContent>
  <xr:revisionPtr revIDLastSave="0" documentId="10_ncr:8000_{6B330C65-C93D-4274-955D-7D0F19093E7F}" xr6:coauthVersionLast="47" xr6:coauthVersionMax="47" xr10:uidLastSave="{00000000-0000-0000-0000-000000000000}"/>
  <bookViews>
    <workbookView xWindow="-108" yWindow="-108" windowWidth="23256" windowHeight="12576" xr2:uid="{7B5556F0-79FB-4C24-8FC4-894BB3869FFD}"/>
  </bookViews>
  <sheets>
    <sheet name="BS" sheetId="1" r:id="rId1"/>
  </sheets>
  <externalReferences>
    <externalReference r:id="rId2"/>
  </externalReferences>
  <definedNames>
    <definedName name="XDO_?CLASS_3?17?">BS!$C$8:$C$32</definedName>
    <definedName name="XDO_?FINAL_ISIN?74?">BS!$D$10:$D$32</definedName>
    <definedName name="XDO_?FINAL_ISIN?75?">BS!$D$10:$D$73</definedName>
    <definedName name="XDO_?FINAL_ISIN?76?">BS!$D$10:$D$77</definedName>
    <definedName name="XDO_?FINAL_MV?74?">BS!$G$10:$G$32</definedName>
    <definedName name="XDO_?FINAL_MV?75?">BS!$G$10:$G$73</definedName>
    <definedName name="XDO_?FINAL_MV?76?">BS!$G$10:$G$77</definedName>
    <definedName name="XDO_?FINAL_NAME?74?">BS!$C$10:$C$32</definedName>
    <definedName name="XDO_?FINAL_NAME?75?">BS!$C$10:$C$73</definedName>
    <definedName name="XDO_?FINAL_NAME?76?">BS!$C$10:$C$77</definedName>
    <definedName name="XDO_?FINAL_PER_NET?74?">BS!$H$10:$H$32</definedName>
    <definedName name="XDO_?FINAL_PER_NET?75?">BS!$H$10:$H$73</definedName>
    <definedName name="XDO_?FINAL_PER_NET?76?">BS!$H$10:$H$77</definedName>
    <definedName name="XDO_?FINAL_QUANTITE?74?">BS!$F$10:$F$32</definedName>
    <definedName name="XDO_?FINAL_QUANTITE?75?">BS!$F$10:$F$73</definedName>
    <definedName name="XDO_?FINAL_QUANTITE?76?">BS!$F$10:$F$77</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7?">BS!$C$2:$C$32</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74?">BS!$B$10:$B$32</definedName>
    <definedName name="XDO_?NOVAL?75?">BS!$B$10:$B$73</definedName>
    <definedName name="XDO_?NOVAL?76?">BS!$B$10:$B$77</definedName>
    <definedName name="XDO_?NPTF?17?">BS!$D$2:$D$32</definedName>
    <definedName name="XDO_?RATING?74?">BS!$E$10:$E$32</definedName>
    <definedName name="XDO_?RATING?75?">BS!$E$10:$E$73</definedName>
    <definedName name="XDO_?RATING?76?">BS!$E$10:$E$77</definedName>
    <definedName name="XDO_?REMARKS?74?">BS!$K$10:$K$32</definedName>
    <definedName name="XDO_?REMARKS?75?">BS!$K$10:$K$73</definedName>
    <definedName name="XDO_?REMARKS?76?">BS!$K$10:$K$77</definedName>
    <definedName name="XDO_?TITL?17?">BS!$A$8:$A$32</definedName>
    <definedName name="XDO_?YTM?74?">BS!$I$10:$I$32</definedName>
    <definedName name="XDO_?YTM?75?">BS!$I$10:$I$73</definedName>
    <definedName name="XDO_?YTM?76?">BS!$I$10:$I$77</definedName>
    <definedName name="XDO_GROUP_?G_2?17?">BS!$2:$45</definedName>
    <definedName name="XDO_GROUP_?G_3?17?">BS!$8:$44</definedName>
    <definedName name="XDO_GROUP_?G_4?74?">BS!$B$10:$IV$32</definedName>
    <definedName name="XDO_GROUP_?G_4?75?">BS!$B$37:$IV$37</definedName>
    <definedName name="XDO_GROUP_?G_4?76?">BS!$B$42:$IV$42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80" i="1" l="1"/>
</calcChain>
</file>

<file path=xl/sharedStrings.xml><?xml version="1.0" encoding="utf-8"?>
<sst xmlns="http://schemas.openxmlformats.org/spreadsheetml/2006/main" count="217" uniqueCount="163">
  <si>
    <t>Baroda BNP Paribas Mutual Fund</t>
  </si>
  <si>
    <t>YR29</t>
  </si>
  <si>
    <t>SCHEME NAME :</t>
  </si>
  <si>
    <t xml:space="preserve">Baroda BNP Paribas Banking &amp; Financial Services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</si>
  <si>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</si>
  <si>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</si>
  <si>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</si>
  <si>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</si>
  <si>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</si>
  <si>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</si>
  <si>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</si>
  <si>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</si>
  <si>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</si>
  <si>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</si>
  <si>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</si>
  <si>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</si>
  <si>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100006</t>
  </si>
  <si>
    <t>HDFC Bank Ltd.</t>
  </si>
  <si>
    <t>INE040A01034</t>
  </si>
  <si>
    <t>Banks</t>
  </si>
  <si>
    <t>100012</t>
  </si>
  <si>
    <t>ICICI Bank Ltd.</t>
  </si>
  <si>
    <t>INE090A01021</t>
  </si>
  <si>
    <t>100010</t>
  </si>
  <si>
    <t>State Bank of India</t>
  </si>
  <si>
    <t>INE062A01020</t>
  </si>
  <si>
    <t>100001</t>
  </si>
  <si>
    <t>Housing Development Finance Corporation Ltd.</t>
  </si>
  <si>
    <t>INE001A01036</t>
  </si>
  <si>
    <t>Finance</t>
  </si>
  <si>
    <t>100104</t>
  </si>
  <si>
    <t>Kotak Mahindra Bank Ltd.</t>
  </si>
  <si>
    <t>INE237A01028</t>
  </si>
  <si>
    <t>100024</t>
  </si>
  <si>
    <t>Axis Bank Ltd.</t>
  </si>
  <si>
    <t>INE238A01034</t>
  </si>
  <si>
    <t>100125</t>
  </si>
  <si>
    <t>Bajaj Finance Ltd.</t>
  </si>
  <si>
    <t>INE296A01024</t>
  </si>
  <si>
    <t>101119</t>
  </si>
  <si>
    <t>SBI Cards &amp; Payment Services Ltd.</t>
  </si>
  <si>
    <t>INE018E01016</t>
  </si>
  <si>
    <t>100116</t>
  </si>
  <si>
    <t>Sundaram Finance Ltd.</t>
  </si>
  <si>
    <t>INE660A01013</t>
  </si>
  <si>
    <t>100684</t>
  </si>
  <si>
    <t>SBI Life Insurance Company Ltd.</t>
  </si>
  <si>
    <t>INE123W01016</t>
  </si>
  <si>
    <t>Insurance</t>
  </si>
  <si>
    <t>100092</t>
  </si>
  <si>
    <t>Bank of Baroda</t>
  </si>
  <si>
    <t>INE028A01039</t>
  </si>
  <si>
    <t>100399</t>
  </si>
  <si>
    <t>Cholamandalam Investment &amp; Finance Co. Ltd.</t>
  </si>
  <si>
    <t>INE121A01024</t>
  </si>
  <si>
    <t>100013</t>
  </si>
  <si>
    <t>IndusInd Bank Ltd.</t>
  </si>
  <si>
    <t>INE095A01012</t>
  </si>
  <si>
    <t>100380</t>
  </si>
  <si>
    <t>Bajaj Finserv Ltd.</t>
  </si>
  <si>
    <t>INE918I01018</t>
  </si>
  <si>
    <t>300005</t>
  </si>
  <si>
    <t>INE001A13049</t>
  </si>
  <si>
    <t>W**</t>
  </si>
  <si>
    <t>100814</t>
  </si>
  <si>
    <t>HDFC Asset Management Company Ltd.</t>
  </si>
  <si>
    <t>INE127D01025</t>
  </si>
  <si>
    <t>Capital Markets</t>
  </si>
  <si>
    <t>100036</t>
  </si>
  <si>
    <t>Mahindra &amp; Mahindra Financial Services Ltd.</t>
  </si>
  <si>
    <t>INE774D01024</t>
  </si>
  <si>
    <t>100055</t>
  </si>
  <si>
    <t>The Federal Bank Ltd.</t>
  </si>
  <si>
    <t>INE171A01029</t>
  </si>
  <si>
    <t>101432</t>
  </si>
  <si>
    <t>Star Health &amp; Allied Insurance Company Ltd.</t>
  </si>
  <si>
    <t>INE575P01011</t>
  </si>
  <si>
    <t>100663</t>
  </si>
  <si>
    <t>AU Small Finance Bank Ltd.</t>
  </si>
  <si>
    <t>INE949L01017</t>
  </si>
  <si>
    <t>100256</t>
  </si>
  <si>
    <t>City Union Bank Ltd.</t>
  </si>
  <si>
    <t>INE491A01021</t>
  </si>
  <si>
    <t>100771</t>
  </si>
  <si>
    <t>Bandhan Bank Ltd.</t>
  </si>
  <si>
    <t>INE545U01014</t>
  </si>
  <si>
    <t>100240</t>
  </si>
  <si>
    <t>Can Fin Homes Ltd.</t>
  </si>
  <si>
    <t>INE477A01020</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</si>
  <si>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</si>
  <si>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</si>
  <si>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</si>
  <si>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</si>
  <si>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</si>
  <si>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</si>
  <si>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</si>
  <si>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</si>
  <si>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</si>
  <si>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</si>
  <si>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</si>
  <si>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</si>
  <si>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</si>
  <si>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</si>
  <si>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</si>
  <si>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</si>
  <si>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</si>
  <si>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</si>
  <si>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</si>
  <si>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</si>
  <si>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</si>
  <si>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</si>
  <si>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107220100</t>
  </si>
  <si>
    <t>TREPS 01-Jul-2022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</si>
  <si>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</si>
  <si>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</si>
  <si>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</si>
  <si>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</si>
  <si>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</si>
  <si>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</si>
  <si>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</si>
  <si>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</si>
  <si>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</si>
  <si>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June,30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</si>
  <si>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</si>
  <si>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</si>
  <si>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</si>
  <si>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May 31, 2022</t>
  </si>
  <si>
    <t>As on June,30 2022</t>
  </si>
  <si>
    <t xml:space="preserve">      Monthly Dividend Option</t>
  </si>
  <si>
    <t>Regular Plan - Growth Option</t>
  </si>
  <si>
    <t xml:space="preserve">      Calendar Quarterly Dividend Option</t>
  </si>
  <si>
    <t>Regular Plan - IDCW Option</t>
  </si>
  <si>
    <t xml:space="preserve">      Half-Yearly Dividend Option</t>
  </si>
  <si>
    <t>Direct Plan - Growth Option</t>
  </si>
  <si>
    <t xml:space="preserve">      Annual-Dividend Option</t>
  </si>
  <si>
    <t>Direct Plan - IDCW Option</t>
  </si>
  <si>
    <t xml:space="preserve">      Direct Plan - Growth Option</t>
  </si>
  <si>
    <t>(7) No Dividend declared during the Month ended June,30 2022</t>
  </si>
  <si>
    <t>(8) There were no investments made in derivative instruments and no such derivative instrument was squared off/ expired /exercised during the Month ended June,30 2022. Further there are no investments in derivative instruments as on June,30 2022.</t>
  </si>
  <si>
    <t>(9) Total Market value of investments in Foreign Securities/American Depositary Receipts/Global Depositary Receipts as at June,30 2022 is Rs. Nil .</t>
  </si>
  <si>
    <t>(10)  During the period, the portfolio turnover ratio is  0.05 times.</t>
  </si>
  <si>
    <t>(11)  Details of repo transaction in corporate debt securities for the Month ended June,30 2022 is Nil.</t>
  </si>
  <si>
    <t xml:space="preserve">(12)  Investments in debt instruments having structured obligations or credit enhancement features as at June,30 2022 is Rs. Nil </t>
  </si>
  <si>
    <t>(13) Investment in Partly paid Debentures during the Month ended June,30 2022 and as on June,30 2022 is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</si>
  <si>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</si>
  <si>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</si>
  <si>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</si>
  <si>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</si>
  <si>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</si>
  <si>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June,30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</si>
  <si>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</si>
  <si>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</si>
  <si>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</si>
  <si>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</si>
  <si>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</si>
  <si>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</si>
  <si>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Banking and Financial Services Fund</t>
  </si>
  <si>
    <t>Plan A</t>
  </si>
  <si>
    <t>Regular Plan</t>
  </si>
  <si>
    <t>Plan B (Direct)</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</si>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</sst>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7"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ont>
    <font>
      <b/>
      <sz val="10"/>
      <color rgb="FF231F2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4" fontId="3" fillId="0" borderId="0" xfId="0" applyNumberFormat="1" applyFont="1"/>
    <xf numFmtId="164" fontId="3" fillId="0" borderId="0" xfId="1" applyFont="1" applyFill="1"/>
    <xf numFmtId="0" fontId="11" fillId="0" borderId="0" xfId="0" applyFont="1"/>
    <xf numFmtId="0" fontId="15" fillId="0" borderId="0" xfId="0" applyFont="1" applyAlignment="1">
      <alignment vertical="center"/>
    </xf>
    <xf numFmtId="0" fontId="16" fillId="0" borderId="23" xfId="0" applyFont="1" applyBorder="1" applyAlignment="1">
      <alignment horizontal="center" vertical="center" wrapText="1"/>
    </xf>
    <xf numFmtId="0" fontId="16" fillId="0" borderId="25"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0" xfId="0" applyFont="1" applyAlignment="1">
      <alignment vertical="center"/>
    </xf>
    <xf numFmtId="166" fontId="11" fillId="0" borderId="0" xfId="0" applyNumberFormat="1" applyFont="1"/>
    <xf numFmtId="0" fontId="11" fillId="0" borderId="0" xfId="2" applyFont="1" applyAlignment="1" applyProtection="1">
      <alignment horizontal="left" vertical="center" wrapText="1"/>
    </xf>
    <xf numFmtId="0" fontId="12" fillId="0" borderId="0" xfId="0" applyFont="1" applyAlignment="1">
      <alignment horizontal="left" vertical="center" wrapText="1"/>
    </xf>
    <xf numFmtId="0" fontId="16" fillId="0" borderId="22" xfId="0" applyFont="1" applyBorder="1" applyAlignment="1">
      <alignment horizontal="center" vertical="center" wrapText="1"/>
    </xf>
    <xf numFmtId="0" fontId="16" fillId="0" borderId="24"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2" xfId="0" applyFont="1" applyBorder="1" applyAlignment="1">
      <alignment horizontal="justify" vertical="center" wrapText="1"/>
    </xf>
    <xf numFmtId="0" fontId="12" fillId="0" borderId="24" xfId="0" applyFont="1" applyBorder="1" applyAlignment="1">
      <alignment horizontal="justify" vertical="center" wrapText="1"/>
    </xf>
  </cellXfs>
  <cellStyles count="6">
    <cellStyle name="Comma" xfId="1" builtinId="3"/>
    <cellStyle name="Comma 2" xfId="5" xr:uid="{C195EFC9-EF22-4F62-B020-3A78D333E351}"/>
    <cellStyle name="Hyperlink" xfId="2" builtinId="8"/>
    <cellStyle name="Normal" xfId="0" builtinId="0"/>
    <cellStyle name="Normal 2" xfId="4" xr:uid="{0A994EF8-676A-4678-A4A8-53E2E5BF9E19}"/>
    <cellStyle name="Style 1" xfId="3" xr:uid="{BF3F4AE7-5E22-4018-A6DE-A1C0871D3B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123</xdr:row>
      <xdr:rowOff>0</xdr:rowOff>
    </xdr:from>
    <xdr:to>
      <xdr:col>5</xdr:col>
      <xdr:colOff>504275</xdr:colOff>
      <xdr:row>138</xdr:row>
      <xdr:rowOff>100584</xdr:rowOff>
    </xdr:to>
    <xdr:pic>
      <xdr:nvPicPr>
        <xdr:cNvPr id="3" name="Picture 2">
          <a:extLst>
            <a:ext uri="{FF2B5EF4-FFF2-40B4-BE49-F238E27FC236}">
              <a16:creationId xmlns:a16="http://schemas.microsoft.com/office/drawing/2014/main" id="{FC175686-88DF-4E8B-9454-E3BFA8EF13A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4273933"/>
          <a:ext cx="7455408" cy="27675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P_Monthly_Portfolio_Report%2030%20June%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41F0C-DC1F-4035-BFEB-724C80F4ECE2}">
  <dimension ref="A1:IS123"/>
  <sheetViews>
    <sheetView showGridLines="0" tabSelected="1" zoomScale="85" zoomScaleNormal="85" workbookViewId="0">
      <pane ySplit="6" topLeftCell="A121" activePane="bottomLeft" state="frozen"/>
      <selection activeCell="L1" sqref="L1:L65536"/>
      <selection pane="bottomLeft" activeCell="C124" sqref="C124"/>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44742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84000</v>
      </c>
      <c r="G10" s="35">
        <v>1132.32</v>
      </c>
      <c r="H10" s="35">
        <v>21.82</v>
      </c>
      <c r="I10" s="36"/>
      <c r="J10" s="37"/>
      <c r="K10" s="38"/>
    </row>
    <row r="11" spans="1:54" x14ac:dyDescent="0.3">
      <c r="B11" s="1" t="s">
        <v>20</v>
      </c>
      <c r="C11" s="21" t="s">
        <v>21</v>
      </c>
      <c r="D11" s="32" t="s">
        <v>22</v>
      </c>
      <c r="E11" s="33" t="s">
        <v>19</v>
      </c>
      <c r="F11" s="34">
        <v>145000</v>
      </c>
      <c r="G11" s="35">
        <v>1025.44</v>
      </c>
      <c r="H11" s="35">
        <v>19.760000000000002</v>
      </c>
      <c r="I11" s="36"/>
      <c r="J11" s="37"/>
      <c r="K11" s="38"/>
    </row>
    <row r="12" spans="1:54" x14ac:dyDescent="0.3">
      <c r="B12" s="1" t="s">
        <v>23</v>
      </c>
      <c r="C12" s="21" t="s">
        <v>24</v>
      </c>
      <c r="D12" s="32" t="s">
        <v>25</v>
      </c>
      <c r="E12" s="33" t="s">
        <v>19</v>
      </c>
      <c r="F12" s="34">
        <v>90000</v>
      </c>
      <c r="G12" s="35">
        <v>419.31</v>
      </c>
      <c r="H12" s="35">
        <v>8.08</v>
      </c>
      <c r="I12" s="36"/>
      <c r="J12" s="37"/>
      <c r="K12" s="38"/>
    </row>
    <row r="13" spans="1:54" x14ac:dyDescent="0.3">
      <c r="B13" s="1" t="s">
        <v>26</v>
      </c>
      <c r="C13" s="21" t="s">
        <v>27</v>
      </c>
      <c r="D13" s="32" t="s">
        <v>28</v>
      </c>
      <c r="E13" s="33" t="s">
        <v>29</v>
      </c>
      <c r="F13" s="34">
        <v>18000</v>
      </c>
      <c r="G13" s="35">
        <v>390.75</v>
      </c>
      <c r="H13" s="35">
        <v>7.53</v>
      </c>
      <c r="I13" s="36"/>
      <c r="J13" s="37"/>
      <c r="K13" s="38"/>
    </row>
    <row r="14" spans="1:54" x14ac:dyDescent="0.3">
      <c r="B14" s="1" t="s">
        <v>30</v>
      </c>
      <c r="C14" s="21" t="s">
        <v>31</v>
      </c>
      <c r="D14" s="32" t="s">
        <v>32</v>
      </c>
      <c r="E14" s="33" t="s">
        <v>19</v>
      </c>
      <c r="F14" s="34">
        <v>22600</v>
      </c>
      <c r="G14" s="35">
        <v>375.41</v>
      </c>
      <c r="H14" s="35">
        <v>7.23</v>
      </c>
      <c r="I14" s="36"/>
      <c r="J14" s="37"/>
      <c r="K14" s="38"/>
    </row>
    <row r="15" spans="1:54" x14ac:dyDescent="0.3">
      <c r="B15" s="1" t="s">
        <v>33</v>
      </c>
      <c r="C15" s="21" t="s">
        <v>34</v>
      </c>
      <c r="D15" s="32" t="s">
        <v>35</v>
      </c>
      <c r="E15" s="33" t="s">
        <v>19</v>
      </c>
      <c r="F15" s="34">
        <v>41000</v>
      </c>
      <c r="G15" s="35">
        <v>261.08999999999997</v>
      </c>
      <c r="H15" s="35">
        <v>5.03</v>
      </c>
      <c r="I15" s="36"/>
      <c r="J15" s="37"/>
      <c r="K15" s="38"/>
    </row>
    <row r="16" spans="1:54" x14ac:dyDescent="0.3">
      <c r="B16" s="1" t="s">
        <v>36</v>
      </c>
      <c r="C16" s="21" t="s">
        <v>37</v>
      </c>
      <c r="D16" s="32" t="s">
        <v>38</v>
      </c>
      <c r="E16" s="33" t="s">
        <v>29</v>
      </c>
      <c r="F16" s="34">
        <v>3000</v>
      </c>
      <c r="G16" s="35">
        <v>162.02000000000001</v>
      </c>
      <c r="H16" s="35">
        <v>3.12</v>
      </c>
      <c r="I16" s="36"/>
      <c r="J16" s="37"/>
      <c r="K16" s="38"/>
    </row>
    <row r="17" spans="2:11" x14ac:dyDescent="0.3">
      <c r="B17" s="1" t="s">
        <v>39</v>
      </c>
      <c r="C17" s="21" t="s">
        <v>40</v>
      </c>
      <c r="D17" s="32" t="s">
        <v>41</v>
      </c>
      <c r="E17" s="33" t="s">
        <v>29</v>
      </c>
      <c r="F17" s="34">
        <v>21000</v>
      </c>
      <c r="G17" s="35">
        <v>161.33000000000001</v>
      </c>
      <c r="H17" s="35">
        <v>3.11</v>
      </c>
      <c r="I17" s="36"/>
      <c r="J17" s="37"/>
      <c r="K17" s="38"/>
    </row>
    <row r="18" spans="2:11" x14ac:dyDescent="0.3">
      <c r="B18" s="1" t="s">
        <v>42</v>
      </c>
      <c r="C18" s="21" t="s">
        <v>43</v>
      </c>
      <c r="D18" s="32" t="s">
        <v>44</v>
      </c>
      <c r="E18" s="33" t="s">
        <v>29</v>
      </c>
      <c r="F18" s="34">
        <v>7400</v>
      </c>
      <c r="G18" s="35">
        <v>130.36000000000001</v>
      </c>
      <c r="H18" s="35">
        <v>2.5099999999999998</v>
      </c>
      <c r="I18" s="36"/>
      <c r="J18" s="37"/>
      <c r="K18" s="38"/>
    </row>
    <row r="19" spans="2:11" x14ac:dyDescent="0.3">
      <c r="B19" s="1" t="s">
        <v>45</v>
      </c>
      <c r="C19" s="21" t="s">
        <v>46</v>
      </c>
      <c r="D19" s="32" t="s">
        <v>47</v>
      </c>
      <c r="E19" s="33" t="s">
        <v>48</v>
      </c>
      <c r="F19" s="34">
        <v>10350</v>
      </c>
      <c r="G19" s="35">
        <v>111.95</v>
      </c>
      <c r="H19" s="35">
        <v>2.16</v>
      </c>
      <c r="I19" s="36"/>
      <c r="J19" s="37"/>
      <c r="K19" s="38"/>
    </row>
    <row r="20" spans="2:11" x14ac:dyDescent="0.3">
      <c r="B20" s="1" t="s">
        <v>49</v>
      </c>
      <c r="C20" s="21" t="s">
        <v>50</v>
      </c>
      <c r="D20" s="32" t="s">
        <v>51</v>
      </c>
      <c r="E20" s="33" t="s">
        <v>19</v>
      </c>
      <c r="F20" s="34">
        <v>100000</v>
      </c>
      <c r="G20" s="35">
        <v>97.4</v>
      </c>
      <c r="H20" s="35">
        <v>1.88</v>
      </c>
      <c r="I20" s="36"/>
      <c r="J20" s="37"/>
      <c r="K20" s="38"/>
    </row>
    <row r="21" spans="2:11" x14ac:dyDescent="0.3">
      <c r="B21" s="1" t="s">
        <v>52</v>
      </c>
      <c r="C21" s="21" t="s">
        <v>53</v>
      </c>
      <c r="D21" s="32" t="s">
        <v>54</v>
      </c>
      <c r="E21" s="33" t="s">
        <v>29</v>
      </c>
      <c r="F21" s="34">
        <v>13000</v>
      </c>
      <c r="G21" s="35">
        <v>80.540000000000006</v>
      </c>
      <c r="H21" s="35">
        <v>1.55</v>
      </c>
      <c r="I21" s="36"/>
      <c r="J21" s="37"/>
      <c r="K21" s="38"/>
    </row>
    <row r="22" spans="2:11" x14ac:dyDescent="0.3">
      <c r="B22" s="1" t="s">
        <v>55</v>
      </c>
      <c r="C22" s="21" t="s">
        <v>56</v>
      </c>
      <c r="D22" s="32" t="s">
        <v>57</v>
      </c>
      <c r="E22" s="33" t="s">
        <v>19</v>
      </c>
      <c r="F22" s="34">
        <v>10000</v>
      </c>
      <c r="G22" s="35">
        <v>79.44</v>
      </c>
      <c r="H22" s="35">
        <v>1.53</v>
      </c>
      <c r="I22" s="36"/>
      <c r="J22" s="37"/>
      <c r="K22" s="38"/>
    </row>
    <row r="23" spans="2:11" x14ac:dyDescent="0.3">
      <c r="B23" s="1" t="s">
        <v>58</v>
      </c>
      <c r="C23" s="21" t="s">
        <v>59</v>
      </c>
      <c r="D23" s="32" t="s">
        <v>60</v>
      </c>
      <c r="E23" s="33" t="s">
        <v>29</v>
      </c>
      <c r="F23" s="34">
        <v>600</v>
      </c>
      <c r="G23" s="35">
        <v>65.59</v>
      </c>
      <c r="H23" s="35">
        <v>1.26</v>
      </c>
      <c r="I23" s="36"/>
      <c r="J23" s="37"/>
      <c r="K23" s="38"/>
    </row>
    <row r="24" spans="2:11" x14ac:dyDescent="0.3">
      <c r="B24" s="1" t="s">
        <v>61</v>
      </c>
      <c r="C24" s="21" t="s">
        <v>27</v>
      </c>
      <c r="D24" s="32" t="s">
        <v>62</v>
      </c>
      <c r="E24" s="33" t="s">
        <v>29</v>
      </c>
      <c r="F24" s="34">
        <v>14400</v>
      </c>
      <c r="G24" s="35">
        <v>56.31</v>
      </c>
      <c r="H24" s="35">
        <v>1.08</v>
      </c>
      <c r="I24" s="36"/>
      <c r="J24" s="37"/>
      <c r="K24" s="38" t="s">
        <v>63</v>
      </c>
    </row>
    <row r="25" spans="2:11" x14ac:dyDescent="0.3">
      <c r="B25" s="1" t="s">
        <v>64</v>
      </c>
      <c r="C25" s="21" t="s">
        <v>65</v>
      </c>
      <c r="D25" s="32" t="s">
        <v>66</v>
      </c>
      <c r="E25" s="33" t="s">
        <v>67</v>
      </c>
      <c r="F25" s="34">
        <v>3000</v>
      </c>
      <c r="G25" s="35">
        <v>53.77</v>
      </c>
      <c r="H25" s="35">
        <v>1.04</v>
      </c>
      <c r="I25" s="36"/>
      <c r="J25" s="37"/>
      <c r="K25" s="38"/>
    </row>
    <row r="26" spans="2:11" x14ac:dyDescent="0.3">
      <c r="B26" s="1" t="s">
        <v>68</v>
      </c>
      <c r="C26" s="21" t="s">
        <v>69</v>
      </c>
      <c r="D26" s="32" t="s">
        <v>70</v>
      </c>
      <c r="E26" s="33" t="s">
        <v>29</v>
      </c>
      <c r="F26" s="34">
        <v>30000</v>
      </c>
      <c r="G26" s="35">
        <v>52.62</v>
      </c>
      <c r="H26" s="35">
        <v>1.01</v>
      </c>
      <c r="I26" s="36"/>
      <c r="J26" s="37"/>
      <c r="K26" s="38"/>
    </row>
    <row r="27" spans="2:11" x14ac:dyDescent="0.3">
      <c r="B27" s="1" t="s">
        <v>71</v>
      </c>
      <c r="C27" s="21" t="s">
        <v>72</v>
      </c>
      <c r="D27" s="32" t="s">
        <v>73</v>
      </c>
      <c r="E27" s="33" t="s">
        <v>19</v>
      </c>
      <c r="F27" s="34">
        <v>55000</v>
      </c>
      <c r="G27" s="35">
        <v>49.61</v>
      </c>
      <c r="H27" s="35">
        <v>0.96</v>
      </c>
      <c r="I27" s="36"/>
      <c r="J27" s="37"/>
      <c r="K27" s="38"/>
    </row>
    <row r="28" spans="2:11" x14ac:dyDescent="0.3">
      <c r="B28" s="1" t="s">
        <v>74</v>
      </c>
      <c r="C28" s="21" t="s">
        <v>75</v>
      </c>
      <c r="D28" s="32" t="s">
        <v>76</v>
      </c>
      <c r="E28" s="33" t="s">
        <v>48</v>
      </c>
      <c r="F28" s="34">
        <v>10000</v>
      </c>
      <c r="G28" s="35">
        <v>48.87</v>
      </c>
      <c r="H28" s="35">
        <v>0.94</v>
      </c>
      <c r="I28" s="36"/>
      <c r="J28" s="37"/>
      <c r="K28" s="38"/>
    </row>
    <row r="29" spans="2:11" x14ac:dyDescent="0.3">
      <c r="B29" s="1" t="s">
        <v>77</v>
      </c>
      <c r="C29" s="21" t="s">
        <v>78</v>
      </c>
      <c r="D29" s="32" t="s">
        <v>79</v>
      </c>
      <c r="E29" s="33" t="s">
        <v>19</v>
      </c>
      <c r="F29" s="34">
        <v>8000</v>
      </c>
      <c r="G29" s="35">
        <v>47.34</v>
      </c>
      <c r="H29" s="35">
        <v>0.91</v>
      </c>
      <c r="I29" s="36"/>
      <c r="J29" s="37"/>
      <c r="K29" s="38"/>
    </row>
    <row r="30" spans="2:11" x14ac:dyDescent="0.3">
      <c r="B30" s="1" t="s">
        <v>80</v>
      </c>
      <c r="C30" s="21" t="s">
        <v>81</v>
      </c>
      <c r="D30" s="32" t="s">
        <v>82</v>
      </c>
      <c r="E30" s="33" t="s">
        <v>19</v>
      </c>
      <c r="F30" s="34">
        <v>22000</v>
      </c>
      <c r="G30" s="35">
        <v>29.27</v>
      </c>
      <c r="H30" s="35">
        <v>0.56000000000000005</v>
      </c>
      <c r="I30" s="36"/>
      <c r="J30" s="37"/>
      <c r="K30" s="38"/>
    </row>
    <row r="31" spans="2:11" x14ac:dyDescent="0.3">
      <c r="B31" s="1" t="s">
        <v>83</v>
      </c>
      <c r="C31" s="21" t="s">
        <v>84</v>
      </c>
      <c r="D31" s="32" t="s">
        <v>85</v>
      </c>
      <c r="E31" s="33" t="s">
        <v>19</v>
      </c>
      <c r="F31" s="34">
        <v>10000</v>
      </c>
      <c r="G31" s="35">
        <v>26.35</v>
      </c>
      <c r="H31" s="35">
        <v>0.51</v>
      </c>
      <c r="I31" s="36"/>
      <c r="J31" s="37"/>
      <c r="K31" s="38"/>
    </row>
    <row r="32" spans="2:11" x14ac:dyDescent="0.3">
      <c r="B32" s="1" t="s">
        <v>86</v>
      </c>
      <c r="C32" s="21" t="s">
        <v>87</v>
      </c>
      <c r="D32" s="32" t="s">
        <v>88</v>
      </c>
      <c r="E32" s="33" t="s">
        <v>29</v>
      </c>
      <c r="F32" s="34">
        <v>5000</v>
      </c>
      <c r="G32" s="35">
        <v>21.32</v>
      </c>
      <c r="H32" s="35">
        <v>0.41</v>
      </c>
      <c r="I32" s="36"/>
      <c r="J32" s="37"/>
      <c r="K32" s="38"/>
    </row>
    <row r="33" spans="3:11" x14ac:dyDescent="0.3">
      <c r="C33" s="31" t="s">
        <v>89</v>
      </c>
      <c r="D33" s="32"/>
      <c r="E33" s="33"/>
      <c r="F33" s="34"/>
      <c r="G33" s="40">
        <v>4878.41</v>
      </c>
      <c r="H33" s="40">
        <v>93.99</v>
      </c>
      <c r="I33" s="36"/>
      <c r="J33" s="37"/>
      <c r="K33" s="38"/>
    </row>
    <row r="34" spans="3:11" x14ac:dyDescent="0.3">
      <c r="C34" s="21"/>
      <c r="D34" s="32"/>
      <c r="E34" s="33"/>
      <c r="F34" s="34"/>
      <c r="G34" s="35"/>
      <c r="H34" s="35"/>
      <c r="I34" s="36"/>
      <c r="J34" s="37"/>
      <c r="K34" s="38"/>
    </row>
    <row r="35" spans="3:11" x14ac:dyDescent="0.3">
      <c r="C35" s="31" t="s">
        <v>90</v>
      </c>
      <c r="D35" s="32"/>
      <c r="E35" s="33"/>
      <c r="F35" s="34"/>
      <c r="G35" s="35" t="s">
        <v>91</v>
      </c>
      <c r="H35" s="35" t="s">
        <v>91</v>
      </c>
      <c r="I35" s="36"/>
      <c r="J35" s="37"/>
      <c r="K35" s="38"/>
    </row>
    <row r="36" spans="3:11" x14ac:dyDescent="0.3">
      <c r="C36" s="21"/>
      <c r="D36" s="32"/>
      <c r="E36" s="33"/>
      <c r="F36" s="34"/>
      <c r="G36" s="35"/>
      <c r="H36" s="35"/>
      <c r="I36" s="36"/>
      <c r="J36" s="37"/>
      <c r="K36" s="38"/>
    </row>
    <row r="37" spans="3:11" x14ac:dyDescent="0.3">
      <c r="C37" s="31" t="s">
        <v>92</v>
      </c>
      <c r="D37" s="32"/>
      <c r="E37" s="33"/>
      <c r="F37" s="34"/>
      <c r="G37" s="35" t="s">
        <v>91</v>
      </c>
      <c r="H37" s="35" t="s">
        <v>91</v>
      </c>
      <c r="I37" s="36"/>
      <c r="J37" s="37"/>
      <c r="K37" s="38"/>
    </row>
    <row r="38" spans="3:11" x14ac:dyDescent="0.3">
      <c r="C38" s="21"/>
      <c r="D38" s="32"/>
      <c r="E38" s="33"/>
      <c r="F38" s="34"/>
      <c r="G38" s="35"/>
      <c r="H38" s="35"/>
      <c r="I38" s="36"/>
      <c r="J38" s="37"/>
      <c r="K38" s="38"/>
    </row>
    <row r="39" spans="3:11" x14ac:dyDescent="0.3">
      <c r="C39" s="31" t="s">
        <v>93</v>
      </c>
      <c r="D39" s="32"/>
      <c r="E39" s="33"/>
      <c r="F39" s="34"/>
      <c r="G39" s="35" t="s">
        <v>91</v>
      </c>
      <c r="H39" s="35" t="s">
        <v>91</v>
      </c>
      <c r="I39" s="36"/>
      <c r="J39" s="37"/>
      <c r="K39" s="38"/>
    </row>
    <row r="40" spans="3:11" x14ac:dyDescent="0.3">
      <c r="C40" s="21"/>
      <c r="D40" s="32"/>
      <c r="E40" s="33"/>
      <c r="F40" s="34"/>
      <c r="G40" s="35"/>
      <c r="H40" s="35"/>
      <c r="I40" s="36"/>
      <c r="J40" s="37"/>
      <c r="K40" s="38"/>
    </row>
    <row r="41" spans="3:11" x14ac:dyDescent="0.3">
      <c r="C41" s="31" t="s">
        <v>94</v>
      </c>
      <c r="D41" s="32"/>
      <c r="E41" s="33"/>
      <c r="F41" s="34"/>
      <c r="G41" s="35"/>
      <c r="H41" s="35"/>
      <c r="I41" s="36"/>
      <c r="J41" s="37"/>
      <c r="K41" s="38"/>
    </row>
    <row r="42" spans="3:11" x14ac:dyDescent="0.3">
      <c r="C42" s="21"/>
      <c r="D42" s="32"/>
      <c r="E42" s="33"/>
      <c r="F42" s="34"/>
      <c r="G42" s="35"/>
      <c r="H42" s="35"/>
      <c r="I42" s="36"/>
      <c r="J42" s="37"/>
      <c r="K42" s="38"/>
    </row>
    <row r="43" spans="3:11" x14ac:dyDescent="0.3">
      <c r="C43" s="31" t="s">
        <v>95</v>
      </c>
      <c r="D43" s="32"/>
      <c r="E43" s="33"/>
      <c r="F43" s="34"/>
      <c r="G43" s="35" t="s">
        <v>91</v>
      </c>
      <c r="H43" s="35" t="s">
        <v>91</v>
      </c>
      <c r="I43" s="36"/>
      <c r="J43" s="37"/>
      <c r="K43" s="38"/>
    </row>
    <row r="44" spans="3:11" x14ac:dyDescent="0.3">
      <c r="C44" s="21"/>
      <c r="D44" s="32"/>
      <c r="E44" s="33"/>
      <c r="F44" s="34"/>
      <c r="G44" s="35"/>
      <c r="H44" s="35"/>
      <c r="I44" s="36"/>
      <c r="J44" s="37"/>
      <c r="K44" s="38"/>
    </row>
    <row r="45" spans="3:11" x14ac:dyDescent="0.3">
      <c r="C45" s="31" t="s">
        <v>96</v>
      </c>
      <c r="D45" s="32"/>
      <c r="E45" s="33"/>
      <c r="F45" s="34"/>
      <c r="G45" s="35" t="s">
        <v>91</v>
      </c>
      <c r="H45" s="35" t="s">
        <v>91</v>
      </c>
      <c r="I45" s="36"/>
      <c r="J45" s="37"/>
      <c r="K45" s="38"/>
    </row>
    <row r="46" spans="3:11" x14ac:dyDescent="0.3">
      <c r="C46" s="21"/>
      <c r="D46" s="32"/>
      <c r="E46" s="33"/>
      <c r="F46" s="34"/>
      <c r="G46" s="35"/>
      <c r="H46" s="35"/>
      <c r="I46" s="36"/>
      <c r="J46" s="37"/>
      <c r="K46" s="38"/>
    </row>
    <row r="47" spans="3:11" x14ac:dyDescent="0.3">
      <c r="C47" s="31" t="s">
        <v>97</v>
      </c>
      <c r="D47" s="32"/>
      <c r="E47" s="33"/>
      <c r="F47" s="34"/>
      <c r="G47" s="35" t="s">
        <v>91</v>
      </c>
      <c r="H47" s="35" t="s">
        <v>91</v>
      </c>
      <c r="I47" s="36"/>
      <c r="J47" s="37"/>
      <c r="K47" s="38"/>
    </row>
    <row r="48" spans="3:11" x14ac:dyDescent="0.3">
      <c r="C48" s="21"/>
      <c r="D48" s="32"/>
      <c r="E48" s="33"/>
      <c r="F48" s="34"/>
      <c r="G48" s="35"/>
      <c r="H48" s="35"/>
      <c r="I48" s="36"/>
      <c r="J48" s="37"/>
      <c r="K48" s="38"/>
    </row>
    <row r="49" spans="1:11" x14ac:dyDescent="0.3">
      <c r="C49" s="31" t="s">
        <v>98</v>
      </c>
      <c r="D49" s="32"/>
      <c r="E49" s="33"/>
      <c r="F49" s="34"/>
      <c r="G49" s="35" t="s">
        <v>91</v>
      </c>
      <c r="H49" s="35" t="s">
        <v>91</v>
      </c>
      <c r="I49" s="36"/>
      <c r="J49" s="37"/>
      <c r="K49" s="38"/>
    </row>
    <row r="50" spans="1:11" x14ac:dyDescent="0.3">
      <c r="C50" s="21"/>
      <c r="D50" s="32"/>
      <c r="E50" s="33"/>
      <c r="F50" s="34"/>
      <c r="G50" s="35"/>
      <c r="H50" s="35"/>
      <c r="I50" s="36"/>
      <c r="J50" s="37"/>
      <c r="K50" s="38"/>
    </row>
    <row r="51" spans="1:11" x14ac:dyDescent="0.3">
      <c r="C51" s="31" t="s">
        <v>99</v>
      </c>
      <c r="D51" s="32"/>
      <c r="E51" s="33"/>
      <c r="F51" s="34"/>
      <c r="G51" s="35" t="s">
        <v>91</v>
      </c>
      <c r="H51" s="35" t="s">
        <v>91</v>
      </c>
      <c r="I51" s="36"/>
      <c r="J51" s="37"/>
      <c r="K51" s="38"/>
    </row>
    <row r="52" spans="1:11" x14ac:dyDescent="0.3">
      <c r="C52" s="21"/>
      <c r="D52" s="32"/>
      <c r="E52" s="33"/>
      <c r="F52" s="34"/>
      <c r="G52" s="35"/>
      <c r="H52" s="35"/>
      <c r="I52" s="36"/>
      <c r="J52" s="37"/>
      <c r="K52" s="38"/>
    </row>
    <row r="53" spans="1:11" x14ac:dyDescent="0.3">
      <c r="C53" s="31" t="s">
        <v>100</v>
      </c>
      <c r="D53" s="32"/>
      <c r="E53" s="33"/>
      <c r="F53" s="34"/>
      <c r="G53" s="35"/>
      <c r="H53" s="35"/>
      <c r="I53" s="36"/>
      <c r="J53" s="37"/>
      <c r="K53" s="38"/>
    </row>
    <row r="54" spans="1:11" x14ac:dyDescent="0.3">
      <c r="C54" s="21"/>
      <c r="D54" s="32"/>
      <c r="E54" s="33"/>
      <c r="F54" s="34"/>
      <c r="G54" s="35"/>
      <c r="H54" s="35"/>
      <c r="I54" s="36"/>
      <c r="J54" s="37"/>
      <c r="K54" s="38"/>
    </row>
    <row r="55" spans="1:11" x14ac:dyDescent="0.3">
      <c r="C55" s="31" t="s">
        <v>101</v>
      </c>
      <c r="D55" s="32"/>
      <c r="E55" s="33"/>
      <c r="F55" s="34"/>
      <c r="G55" s="35" t="s">
        <v>91</v>
      </c>
      <c r="H55" s="35" t="s">
        <v>91</v>
      </c>
      <c r="I55" s="36"/>
      <c r="J55" s="37"/>
      <c r="K55" s="38"/>
    </row>
    <row r="56" spans="1:11" x14ac:dyDescent="0.3">
      <c r="C56" s="21"/>
      <c r="D56" s="32"/>
      <c r="E56" s="33"/>
      <c r="F56" s="34"/>
      <c r="G56" s="35"/>
      <c r="H56" s="35"/>
      <c r="I56" s="36"/>
      <c r="J56" s="37"/>
      <c r="K56" s="38"/>
    </row>
    <row r="57" spans="1:11" x14ac:dyDescent="0.3">
      <c r="C57" s="31" t="s">
        <v>102</v>
      </c>
      <c r="D57" s="32"/>
      <c r="E57" s="33"/>
      <c r="F57" s="34"/>
      <c r="G57" s="35" t="s">
        <v>91</v>
      </c>
      <c r="H57" s="35" t="s">
        <v>91</v>
      </c>
      <c r="I57" s="36"/>
      <c r="J57" s="37"/>
      <c r="K57" s="38"/>
    </row>
    <row r="58" spans="1:11" x14ac:dyDescent="0.3">
      <c r="C58" s="21"/>
      <c r="D58" s="32"/>
      <c r="E58" s="33"/>
      <c r="F58" s="34"/>
      <c r="G58" s="35"/>
      <c r="H58" s="35"/>
      <c r="I58" s="36"/>
      <c r="J58" s="37"/>
      <c r="K58" s="38"/>
    </row>
    <row r="59" spans="1:11" x14ac:dyDescent="0.3">
      <c r="C59" s="31" t="s">
        <v>103</v>
      </c>
      <c r="D59" s="32"/>
      <c r="E59" s="33"/>
      <c r="F59" s="34"/>
      <c r="G59" s="35" t="s">
        <v>91</v>
      </c>
      <c r="H59" s="35" t="s">
        <v>91</v>
      </c>
      <c r="I59" s="36"/>
      <c r="J59" s="37"/>
      <c r="K59" s="38"/>
    </row>
    <row r="60" spans="1:11" x14ac:dyDescent="0.3">
      <c r="C60" s="21"/>
      <c r="D60" s="32"/>
      <c r="E60" s="33"/>
      <c r="F60" s="34"/>
      <c r="G60" s="35"/>
      <c r="H60" s="35"/>
      <c r="I60" s="36"/>
      <c r="J60" s="37"/>
      <c r="K60" s="38"/>
    </row>
    <row r="61" spans="1:11" x14ac:dyDescent="0.3">
      <c r="C61" s="31" t="s">
        <v>104</v>
      </c>
      <c r="D61" s="32"/>
      <c r="E61" s="33"/>
      <c r="F61" s="34"/>
      <c r="G61" s="35" t="s">
        <v>91</v>
      </c>
      <c r="H61" s="35" t="s">
        <v>91</v>
      </c>
      <c r="I61" s="36"/>
      <c r="J61" s="37"/>
      <c r="K61" s="38"/>
    </row>
    <row r="62" spans="1:11" x14ac:dyDescent="0.3">
      <c r="C62" s="21"/>
      <c r="D62" s="32"/>
      <c r="E62" s="33"/>
      <c r="F62" s="34"/>
      <c r="G62" s="35"/>
      <c r="H62" s="35"/>
      <c r="I62" s="36"/>
      <c r="J62" s="37"/>
      <c r="K62" s="38"/>
    </row>
    <row r="63" spans="1:11" x14ac:dyDescent="0.3">
      <c r="A63" s="29"/>
      <c r="B63" s="30"/>
      <c r="C63" s="31" t="s">
        <v>105</v>
      </c>
      <c r="D63" s="32"/>
      <c r="E63" s="33"/>
      <c r="F63" s="34"/>
      <c r="G63" s="35"/>
      <c r="H63" s="35"/>
      <c r="I63" s="36"/>
      <c r="J63" s="37"/>
      <c r="K63" s="38"/>
    </row>
    <row r="64" spans="1:11" x14ac:dyDescent="0.3">
      <c r="A64" s="30"/>
      <c r="B64" s="30"/>
      <c r="C64" s="31" t="s">
        <v>106</v>
      </c>
      <c r="D64" s="32"/>
      <c r="E64" s="33"/>
      <c r="F64" s="34"/>
      <c r="G64" s="35" t="s">
        <v>91</v>
      </c>
      <c r="H64" s="35" t="s">
        <v>91</v>
      </c>
      <c r="I64" s="36"/>
      <c r="J64" s="37"/>
      <c r="K64" s="38"/>
    </row>
    <row r="65" spans="1:11" x14ac:dyDescent="0.3">
      <c r="A65" s="30"/>
      <c r="B65" s="30"/>
      <c r="C65" s="31"/>
      <c r="D65" s="32"/>
      <c r="E65" s="33"/>
      <c r="F65" s="34"/>
      <c r="G65" s="35"/>
      <c r="H65" s="35"/>
      <c r="I65" s="36"/>
      <c r="J65" s="37"/>
      <c r="K65" s="38"/>
    </row>
    <row r="66" spans="1:11" x14ac:dyDescent="0.3">
      <c r="A66" s="30"/>
      <c r="B66" s="30"/>
      <c r="C66" s="31" t="s">
        <v>107</v>
      </c>
      <c r="D66" s="32"/>
      <c r="E66" s="33"/>
      <c r="F66" s="34"/>
      <c r="G66" s="35" t="s">
        <v>91</v>
      </c>
      <c r="H66" s="35" t="s">
        <v>91</v>
      </c>
      <c r="I66" s="36"/>
      <c r="J66" s="37"/>
      <c r="K66" s="38"/>
    </row>
    <row r="67" spans="1:11" x14ac:dyDescent="0.3">
      <c r="A67" s="30"/>
      <c r="B67" s="30"/>
      <c r="C67" s="31"/>
      <c r="D67" s="32"/>
      <c r="E67" s="33"/>
      <c r="F67" s="34"/>
      <c r="G67" s="35"/>
      <c r="H67" s="35"/>
      <c r="I67" s="36"/>
      <c r="J67" s="37"/>
      <c r="K67" s="38"/>
    </row>
    <row r="68" spans="1:11" x14ac:dyDescent="0.3">
      <c r="A68" s="30"/>
      <c r="B68" s="30"/>
      <c r="C68" s="31" t="s">
        <v>108</v>
      </c>
      <c r="D68" s="32"/>
      <c r="E68" s="33"/>
      <c r="F68" s="34"/>
      <c r="G68" s="35" t="s">
        <v>91</v>
      </c>
      <c r="H68" s="35" t="s">
        <v>91</v>
      </c>
      <c r="I68" s="36"/>
      <c r="J68" s="37"/>
      <c r="K68" s="38"/>
    </row>
    <row r="69" spans="1:11" x14ac:dyDescent="0.3">
      <c r="A69" s="30"/>
      <c r="B69" s="30"/>
      <c r="C69" s="31"/>
      <c r="D69" s="32"/>
      <c r="E69" s="33"/>
      <c r="F69" s="34"/>
      <c r="G69" s="35"/>
      <c r="H69" s="35"/>
      <c r="I69" s="36"/>
      <c r="J69" s="37"/>
      <c r="K69" s="38"/>
    </row>
    <row r="70" spans="1:11" x14ac:dyDescent="0.3">
      <c r="A70" s="30"/>
      <c r="B70" s="30"/>
      <c r="C70" s="31" t="s">
        <v>109</v>
      </c>
      <c r="D70" s="32"/>
      <c r="E70" s="33"/>
      <c r="F70" s="34"/>
      <c r="G70" s="35" t="s">
        <v>91</v>
      </c>
      <c r="H70" s="35" t="s">
        <v>91</v>
      </c>
      <c r="I70" s="36"/>
      <c r="J70" s="37"/>
      <c r="K70" s="38"/>
    </row>
    <row r="71" spans="1:11" x14ac:dyDescent="0.3">
      <c r="A71" s="30"/>
      <c r="B71" s="30"/>
      <c r="C71" s="31"/>
      <c r="D71" s="32"/>
      <c r="E71" s="33"/>
      <c r="F71" s="34"/>
      <c r="G71" s="35"/>
      <c r="H71" s="35"/>
      <c r="I71" s="36"/>
      <c r="J71" s="37"/>
      <c r="K71" s="38"/>
    </row>
    <row r="72" spans="1:11" x14ac:dyDescent="0.3">
      <c r="C72" s="39" t="s">
        <v>110</v>
      </c>
      <c r="D72" s="32"/>
      <c r="E72" s="33"/>
      <c r="F72" s="34"/>
      <c r="G72" s="35"/>
      <c r="H72" s="35"/>
      <c r="I72" s="36"/>
      <c r="J72" s="37"/>
      <c r="K72" s="38"/>
    </row>
    <row r="73" spans="1:11" x14ac:dyDescent="0.3">
      <c r="B73" s="1" t="s">
        <v>111</v>
      </c>
      <c r="C73" s="21" t="s">
        <v>112</v>
      </c>
      <c r="D73" s="32"/>
      <c r="E73" s="33"/>
      <c r="F73" s="34"/>
      <c r="G73" s="35">
        <v>262.48</v>
      </c>
      <c r="H73" s="35">
        <v>5.0599999999999996</v>
      </c>
      <c r="I73" s="36">
        <v>4.71</v>
      </c>
      <c r="J73" s="37"/>
      <c r="K73" s="38"/>
    </row>
    <row r="74" spans="1:11" x14ac:dyDescent="0.3">
      <c r="C74" s="31" t="s">
        <v>89</v>
      </c>
      <c r="D74" s="32"/>
      <c r="E74" s="33"/>
      <c r="F74" s="34"/>
      <c r="G74" s="40">
        <v>262.48</v>
      </c>
      <c r="H74" s="40">
        <v>5.0599999999999996</v>
      </c>
      <c r="I74" s="36"/>
      <c r="J74" s="37"/>
      <c r="K74" s="38"/>
    </row>
    <row r="75" spans="1:11" x14ac:dyDescent="0.3">
      <c r="C75" s="21"/>
      <c r="D75" s="32"/>
      <c r="E75" s="33"/>
      <c r="F75" s="34"/>
      <c r="G75" s="35"/>
      <c r="H75" s="35"/>
      <c r="I75" s="36"/>
      <c r="J75" s="37"/>
      <c r="K75" s="38"/>
    </row>
    <row r="76" spans="1:11" x14ac:dyDescent="0.3">
      <c r="A76" s="29"/>
      <c r="B76" s="30"/>
      <c r="C76" s="31" t="s">
        <v>113</v>
      </c>
      <c r="D76" s="32"/>
      <c r="E76" s="33"/>
      <c r="F76" s="34"/>
      <c r="G76" s="35"/>
      <c r="H76" s="35"/>
      <c r="I76" s="36"/>
      <c r="J76" s="37"/>
      <c r="K76" s="38"/>
    </row>
    <row r="77" spans="1:11" x14ac:dyDescent="0.3">
      <c r="B77" s="1"/>
      <c r="C77" s="21" t="s">
        <v>114</v>
      </c>
      <c r="D77" s="32"/>
      <c r="E77" s="33"/>
      <c r="F77" s="34"/>
      <c r="G77" s="35">
        <v>49.61</v>
      </c>
      <c r="H77" s="35">
        <v>0.95</v>
      </c>
      <c r="I77" s="36"/>
      <c r="J77" s="37"/>
      <c r="K77" s="38"/>
    </row>
    <row r="78" spans="1:11" x14ac:dyDescent="0.3">
      <c r="C78" s="31" t="s">
        <v>89</v>
      </c>
      <c r="D78" s="32"/>
      <c r="E78" s="33"/>
      <c r="F78" s="34"/>
      <c r="G78" s="40">
        <v>49.61</v>
      </c>
      <c r="H78" s="40">
        <v>0.95</v>
      </c>
      <c r="I78" s="36"/>
      <c r="J78" s="37"/>
      <c r="K78" s="38"/>
    </row>
    <row r="79" spans="1:11" x14ac:dyDescent="0.3">
      <c r="C79" s="21"/>
      <c r="D79" s="32"/>
      <c r="E79" s="33"/>
      <c r="F79" s="34"/>
      <c r="G79" s="35"/>
      <c r="H79" s="35"/>
      <c r="I79" s="36"/>
      <c r="J79" s="37"/>
      <c r="K79" s="38"/>
    </row>
    <row r="80" spans="1:11" ht="14.4" thickBot="1" x14ac:dyDescent="0.35">
      <c r="C80" s="41" t="s">
        <v>115</v>
      </c>
      <c r="D80" s="42"/>
      <c r="E80" s="43"/>
      <c r="F80" s="44"/>
      <c r="G80" s="45">
        <v>5190.5</v>
      </c>
      <c r="H80" s="45">
        <f>SUMIFS(H:H,C:C,"Total")</f>
        <v>100</v>
      </c>
      <c r="I80" s="46"/>
      <c r="J80" s="47"/>
      <c r="K80" s="48"/>
    </row>
    <row r="83" spans="2:54" x14ac:dyDescent="0.3">
      <c r="C83" s="11" t="s">
        <v>116</v>
      </c>
      <c r="E83" s="7"/>
      <c r="F83" s="8"/>
      <c r="I83" s="10"/>
      <c r="J83" s="2"/>
      <c r="K83" s="2"/>
      <c r="L83" s="2"/>
      <c r="T83" s="10"/>
      <c r="AG83" s="10"/>
      <c r="AM83" s="10"/>
      <c r="AV83" s="2"/>
      <c r="AX83" s="2"/>
      <c r="BB83" s="2"/>
    </row>
    <row r="84" spans="2:54" ht="13.5" customHeight="1" x14ac:dyDescent="0.3">
      <c r="C84" s="2" t="s">
        <v>117</v>
      </c>
      <c r="F84" s="2"/>
      <c r="G84" s="2"/>
      <c r="H84" s="2"/>
      <c r="I84" s="2"/>
      <c r="J84" s="2"/>
      <c r="L84" s="2"/>
      <c r="AB84" s="10"/>
      <c r="AI84" s="2"/>
      <c r="AO84" s="10"/>
      <c r="AQ84" s="10"/>
      <c r="AU84" s="10"/>
      <c r="AV84" s="2"/>
      <c r="AX84" s="2"/>
      <c r="BB84" s="2"/>
    </row>
    <row r="85" spans="2:54" ht="13.5" customHeight="1" x14ac:dyDescent="0.3">
      <c r="C85" s="49" t="s">
        <v>118</v>
      </c>
      <c r="D85" s="50"/>
      <c r="E85" s="50"/>
      <c r="F85" s="50"/>
      <c r="G85" s="50"/>
      <c r="H85" s="50"/>
      <c r="I85" s="50"/>
      <c r="J85" s="50"/>
      <c r="L85" s="2"/>
      <c r="AB85" s="10"/>
      <c r="AI85" s="2"/>
      <c r="AO85" s="10"/>
      <c r="AQ85" s="10"/>
      <c r="AU85" s="10"/>
      <c r="AV85" s="2"/>
      <c r="AX85" s="2"/>
      <c r="BB85" s="2"/>
    </row>
    <row r="86" spans="2:54" x14ac:dyDescent="0.3">
      <c r="C86" s="51" t="s">
        <v>119</v>
      </c>
      <c r="D86" s="51"/>
      <c r="E86" s="51"/>
      <c r="F86" s="52"/>
      <c r="G86" s="52"/>
      <c r="I86" s="10"/>
      <c r="J86" s="2"/>
      <c r="K86" s="2"/>
      <c r="L86" s="2"/>
      <c r="M86" s="10"/>
      <c r="Z86" s="10"/>
      <c r="AB86" s="10"/>
      <c r="AF86" s="10"/>
      <c r="AI86" s="2"/>
      <c r="AV86" s="2"/>
      <c r="AX86" s="2"/>
      <c r="BB86" s="2"/>
    </row>
    <row r="87" spans="2:54" x14ac:dyDescent="0.3">
      <c r="C87" s="51" t="s">
        <v>120</v>
      </c>
      <c r="D87" s="51"/>
      <c r="E87" s="51"/>
      <c r="F87" s="52"/>
      <c r="G87" s="52"/>
      <c r="I87" s="10"/>
      <c r="J87" s="2"/>
      <c r="K87" s="2"/>
      <c r="L87" s="2"/>
      <c r="M87" s="10"/>
      <c r="Z87" s="10"/>
      <c r="AB87" s="10"/>
      <c r="AF87" s="10"/>
      <c r="AI87" s="2"/>
      <c r="AV87" s="2"/>
      <c r="AX87" s="2"/>
      <c r="BB87" s="2"/>
    </row>
    <row r="88" spans="2:54" x14ac:dyDescent="0.3">
      <c r="C88" s="51" t="s">
        <v>121</v>
      </c>
      <c r="D88" s="51"/>
      <c r="E88" s="51"/>
      <c r="F88" s="52"/>
      <c r="G88" s="52"/>
      <c r="I88" s="10"/>
      <c r="J88" s="2"/>
      <c r="K88" s="2"/>
      <c r="L88" s="2"/>
      <c r="M88" s="10"/>
      <c r="Z88" s="10"/>
      <c r="AB88" s="10"/>
      <c r="AF88" s="10"/>
      <c r="AI88" s="2"/>
      <c r="AV88" s="2"/>
      <c r="AX88" s="2"/>
      <c r="BB88" s="2"/>
    </row>
    <row r="89" spans="2:54" x14ac:dyDescent="0.3">
      <c r="C89" s="51" t="s">
        <v>122</v>
      </c>
      <c r="D89" s="51"/>
      <c r="E89" s="51"/>
      <c r="F89" s="52"/>
      <c r="G89" s="52"/>
      <c r="I89" s="10"/>
      <c r="J89" s="2"/>
      <c r="K89" s="2"/>
      <c r="L89" s="2"/>
      <c r="M89" s="10"/>
      <c r="Z89" s="10"/>
      <c r="AB89" s="10"/>
      <c r="AF89" s="10"/>
      <c r="AI89" s="2"/>
      <c r="AV89" s="2"/>
      <c r="AX89" s="2"/>
      <c r="BB89" s="2"/>
    </row>
    <row r="90" spans="2:54" x14ac:dyDescent="0.3">
      <c r="C90" s="51" t="s">
        <v>123</v>
      </c>
      <c r="D90" s="51"/>
      <c r="E90" s="51"/>
      <c r="F90" s="52"/>
      <c r="G90" s="52"/>
      <c r="I90" s="10"/>
      <c r="J90" s="2"/>
      <c r="K90" s="2"/>
      <c r="L90" s="2"/>
      <c r="M90" s="10"/>
      <c r="Z90" s="10"/>
      <c r="AB90" s="10"/>
      <c r="AF90" s="10"/>
      <c r="AI90" s="2"/>
      <c r="AV90" s="2"/>
      <c r="AX90" s="2"/>
      <c r="BB90" s="2"/>
    </row>
    <row r="91" spans="2:54" x14ac:dyDescent="0.3">
      <c r="C91" s="51" t="s">
        <v>124</v>
      </c>
      <c r="D91" s="51"/>
      <c r="E91" s="51"/>
      <c r="F91" s="52"/>
      <c r="G91" s="52"/>
      <c r="I91" s="10"/>
      <c r="J91" s="2"/>
      <c r="K91" s="2"/>
      <c r="L91" s="2"/>
      <c r="M91" s="10"/>
      <c r="Z91" s="10"/>
      <c r="AB91" s="10"/>
      <c r="AF91" s="10"/>
      <c r="AI91" s="2"/>
      <c r="AV91" s="2"/>
      <c r="AX91" s="2"/>
      <c r="BB91" s="2"/>
    </row>
    <row r="92" spans="2:54" s="51" customFormat="1" x14ac:dyDescent="0.3">
      <c r="B92" s="53" t="s">
        <v>125</v>
      </c>
      <c r="C92" s="53" t="s">
        <v>125</v>
      </c>
      <c r="D92" s="53"/>
      <c r="E92" s="54" t="s">
        <v>126</v>
      </c>
      <c r="F92" s="54" t="s">
        <v>127</v>
      </c>
    </row>
    <row r="93" spans="2:54" x14ac:dyDescent="0.3">
      <c r="B93" s="2" t="s">
        <v>128</v>
      </c>
      <c r="C93" s="2" t="s">
        <v>129</v>
      </c>
      <c r="E93" s="2">
        <v>27.3096</v>
      </c>
      <c r="F93" s="2">
        <v>25.8565</v>
      </c>
      <c r="G93" s="2"/>
      <c r="H93" s="2"/>
      <c r="I93" s="2"/>
      <c r="J93" s="2"/>
      <c r="K93" s="2"/>
      <c r="L93" s="2"/>
      <c r="AI93" s="2"/>
      <c r="AV93" s="2"/>
      <c r="AX93" s="2"/>
      <c r="BB93" s="2"/>
    </row>
    <row r="94" spans="2:54" x14ac:dyDescent="0.3">
      <c r="B94" s="2" t="s">
        <v>130</v>
      </c>
      <c r="C94" s="2" t="s">
        <v>131</v>
      </c>
      <c r="E94" s="2">
        <v>16.002700000000001</v>
      </c>
      <c r="F94" s="2">
        <v>15.151199999999999</v>
      </c>
      <c r="G94" s="2"/>
      <c r="H94" s="2"/>
      <c r="I94" s="2"/>
      <c r="J94" s="2"/>
      <c r="K94" s="2"/>
      <c r="L94" s="2"/>
      <c r="AI94" s="2"/>
      <c r="AV94" s="2"/>
      <c r="AX94" s="2"/>
      <c r="BB94" s="2"/>
    </row>
    <row r="95" spans="2:54" x14ac:dyDescent="0.3">
      <c r="B95" s="2" t="s">
        <v>132</v>
      </c>
      <c r="C95" s="2" t="s">
        <v>133</v>
      </c>
      <c r="E95" s="2">
        <v>29.395199999999999</v>
      </c>
      <c r="F95" s="2">
        <v>27.8536</v>
      </c>
      <c r="G95" s="2"/>
      <c r="H95" s="2"/>
      <c r="I95" s="2"/>
      <c r="J95" s="2"/>
      <c r="K95" s="2"/>
      <c r="L95" s="2"/>
      <c r="AI95" s="2"/>
      <c r="AV95" s="2"/>
      <c r="AX95" s="2"/>
      <c r="BB95" s="2"/>
    </row>
    <row r="96" spans="2:54" x14ac:dyDescent="0.3">
      <c r="B96" s="2" t="s">
        <v>134</v>
      </c>
      <c r="C96" s="2" t="s">
        <v>135</v>
      </c>
      <c r="E96" s="2">
        <v>17.6051</v>
      </c>
      <c r="F96" s="2">
        <v>16.681799999999999</v>
      </c>
      <c r="G96" s="2"/>
      <c r="H96" s="2"/>
      <c r="I96" s="2"/>
      <c r="J96" s="2"/>
      <c r="K96" s="2"/>
      <c r="L96" s="2"/>
      <c r="AI96" s="2"/>
      <c r="AV96" s="2"/>
      <c r="AX96" s="2"/>
      <c r="BB96" s="2"/>
    </row>
    <row r="97" spans="1:253" x14ac:dyDescent="0.3">
      <c r="B97" s="2" t="s">
        <v>136</v>
      </c>
      <c r="E97" s="55"/>
      <c r="F97" s="56"/>
      <c r="G97" s="2"/>
      <c r="H97" s="2"/>
      <c r="I97" s="2"/>
      <c r="J97" s="2"/>
      <c r="K97" s="2"/>
      <c r="L97" s="2"/>
      <c r="AI97" s="2"/>
      <c r="AV97" s="2"/>
      <c r="AX97" s="2"/>
      <c r="BB97" s="2"/>
    </row>
    <row r="98" spans="1:253" x14ac:dyDescent="0.3">
      <c r="C98" s="2" t="s">
        <v>137</v>
      </c>
      <c r="F98" s="56"/>
      <c r="G98" s="56"/>
      <c r="H98" s="57"/>
      <c r="I98" s="10"/>
      <c r="J98" s="2"/>
      <c r="K98" s="2"/>
      <c r="L98" s="2"/>
      <c r="N98" s="10"/>
      <c r="AA98" s="10"/>
      <c r="AC98" s="10"/>
      <c r="AG98" s="10"/>
      <c r="AI98" s="2"/>
      <c r="AV98" s="2"/>
      <c r="AX98" s="2"/>
      <c r="BB98" s="2"/>
    </row>
    <row r="99" spans="1:253" x14ac:dyDescent="0.3">
      <c r="C99" s="2" t="s">
        <v>138</v>
      </c>
      <c r="J99" s="10"/>
      <c r="L99" s="2"/>
      <c r="AC99" s="10"/>
      <c r="AI99" s="2"/>
      <c r="AP99" s="10"/>
      <c r="AR99" s="10"/>
      <c r="AX99" s="2"/>
      <c r="BB99" s="2"/>
    </row>
    <row r="100" spans="1:253" x14ac:dyDescent="0.3">
      <c r="C100" s="2" t="s">
        <v>139</v>
      </c>
      <c r="F100" s="56"/>
      <c r="G100" s="52"/>
      <c r="I100" s="10"/>
      <c r="J100" s="2"/>
      <c r="K100" s="2"/>
      <c r="L100" s="2"/>
      <c r="M100" s="10"/>
      <c r="Z100" s="10"/>
      <c r="AB100" s="10"/>
      <c r="AF100" s="10"/>
      <c r="AI100" s="2"/>
      <c r="AV100" s="2"/>
      <c r="AX100" s="2"/>
      <c r="BB100" s="2"/>
    </row>
    <row r="101" spans="1:253" x14ac:dyDescent="0.3">
      <c r="C101" s="58" t="s">
        <v>140</v>
      </c>
      <c r="F101" s="56"/>
      <c r="G101" s="56"/>
      <c r="H101" s="57"/>
      <c r="I101" s="10"/>
      <c r="J101" s="2"/>
      <c r="K101" s="2"/>
      <c r="L101" s="2"/>
      <c r="M101" s="10"/>
      <c r="Z101" s="10"/>
      <c r="AB101" s="10"/>
      <c r="AF101" s="10"/>
      <c r="AI101" s="2"/>
      <c r="AV101" s="2"/>
      <c r="AX101" s="2"/>
      <c r="BB101" s="2"/>
    </row>
    <row r="102" spans="1:253" x14ac:dyDescent="0.3">
      <c r="C102" s="2" t="s">
        <v>141</v>
      </c>
      <c r="F102" s="56"/>
      <c r="G102" s="56"/>
      <c r="H102" s="57"/>
      <c r="I102" s="10"/>
      <c r="J102" s="2"/>
      <c r="K102" s="2"/>
      <c r="L102" s="2"/>
      <c r="M102" s="10"/>
      <c r="Z102" s="10"/>
      <c r="AB102" s="10"/>
      <c r="AF102" s="10"/>
      <c r="AI102" s="2"/>
      <c r="AV102" s="2"/>
      <c r="AX102" s="2"/>
      <c r="BB102" s="2"/>
    </row>
    <row r="103" spans="1:253" x14ac:dyDescent="0.3">
      <c r="C103" s="2" t="s">
        <v>142</v>
      </c>
      <c r="F103" s="56"/>
      <c r="G103" s="52"/>
      <c r="I103" s="10"/>
      <c r="J103" s="2"/>
      <c r="K103" s="2"/>
      <c r="L103" s="2"/>
      <c r="M103" s="10"/>
      <c r="Z103" s="10"/>
      <c r="AB103" s="10"/>
      <c r="AF103" s="10"/>
      <c r="AI103" s="2"/>
      <c r="AV103" s="2"/>
      <c r="AX103" s="2"/>
      <c r="BB103" s="2"/>
    </row>
    <row r="104" spans="1:253" x14ac:dyDescent="0.3">
      <c r="C104" s="2" t="s">
        <v>143</v>
      </c>
      <c r="F104" s="56"/>
      <c r="G104" s="52"/>
      <c r="I104" s="10"/>
      <c r="J104" s="2"/>
      <c r="K104" s="2"/>
      <c r="L104" s="2"/>
      <c r="M104" s="10"/>
      <c r="Z104" s="10"/>
      <c r="AB104" s="10"/>
      <c r="AF104" s="10"/>
      <c r="AI104" s="2"/>
      <c r="AV104" s="2"/>
      <c r="AX104" s="2"/>
      <c r="BB104" s="2"/>
    </row>
    <row r="105" spans="1:253" ht="14.4" x14ac:dyDescent="0.3">
      <c r="A105"/>
      <c r="B105"/>
      <c r="C105" s="2" t="s">
        <v>144</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row>
    <row r="106" spans="1:253" ht="14.4" x14ac:dyDescent="0.3">
      <c r="A106"/>
      <c r="B106"/>
      <c r="C106" s="2" t="s">
        <v>145</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row>
    <row r="107" spans="1:253" ht="14.4" x14ac:dyDescent="0.3">
      <c r="A107"/>
      <c r="B107"/>
      <c r="C107" s="2" t="s">
        <v>146</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row>
    <row r="108" spans="1:253" ht="14.4" x14ac:dyDescent="0.3">
      <c r="A108"/>
      <c r="B108"/>
      <c r="C108" s="2" t="s">
        <v>147</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row>
    <row r="109" spans="1:253" ht="14.4" x14ac:dyDescent="0.3">
      <c r="A109"/>
      <c r="B109"/>
      <c r="C109" s="2" t="s">
        <v>148</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row>
    <row r="110" spans="1:253" ht="14.4" x14ac:dyDescent="0.3">
      <c r="A110"/>
      <c r="B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row>
    <row r="111" spans="1:253" x14ac:dyDescent="0.3">
      <c r="C111" s="2" t="s">
        <v>149</v>
      </c>
      <c r="F111" s="56"/>
      <c r="G111" s="52"/>
      <c r="I111" s="10"/>
      <c r="J111" s="2"/>
      <c r="K111" s="2"/>
      <c r="L111" s="2"/>
      <c r="M111" s="10"/>
      <c r="Z111" s="10"/>
      <c r="AB111" s="10"/>
      <c r="AF111" s="10"/>
      <c r="AI111" s="2"/>
      <c r="AV111" s="2"/>
      <c r="AX111" s="2"/>
      <c r="BB111" s="2"/>
    </row>
    <row r="112" spans="1:253" s="58" customFormat="1" ht="10.5" customHeight="1" x14ac:dyDescent="0.3">
      <c r="A112"/>
      <c r="B112"/>
      <c r="C112" s="2"/>
      <c r="D112" s="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row>
    <row r="113" spans="1:253" ht="45.75" customHeight="1" x14ac:dyDescent="0.3">
      <c r="A113"/>
      <c r="B113"/>
      <c r="C113" s="66" t="s">
        <v>150</v>
      </c>
      <c r="D113" s="66"/>
      <c r="E113" s="66"/>
      <c r="F113" s="66"/>
      <c r="G113" s="66"/>
      <c r="H113" s="66"/>
      <c r="I113" s="66"/>
      <c r="J113" s="66"/>
      <c r="K113" s="66"/>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row>
    <row r="114" spans="1:253" ht="15.6" thickBot="1" x14ac:dyDescent="0.35">
      <c r="A114"/>
      <c r="B114"/>
      <c r="C114" s="59"/>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row>
    <row r="115" spans="1:253" ht="27.6" x14ac:dyDescent="0.3">
      <c r="A115"/>
      <c r="B115"/>
      <c r="C115" s="67" t="s">
        <v>151</v>
      </c>
      <c r="D115" s="67" t="s">
        <v>152</v>
      </c>
      <c r="E115" s="67" t="s">
        <v>153</v>
      </c>
      <c r="F115" s="60" t="s">
        <v>154</v>
      </c>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row>
    <row r="116" spans="1:253" ht="28.2" thickBot="1" x14ac:dyDescent="0.35">
      <c r="A116"/>
      <c r="B116"/>
      <c r="C116" s="68"/>
      <c r="D116" s="68"/>
      <c r="E116" s="68"/>
      <c r="F116" s="61" t="s">
        <v>155</v>
      </c>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row>
    <row r="117" spans="1:253" ht="15" thickBot="1" x14ac:dyDescent="0.35">
      <c r="A117"/>
      <c r="B117"/>
      <c r="C117" s="69">
        <v>1</v>
      </c>
      <c r="D117" s="71" t="s">
        <v>156</v>
      </c>
      <c r="E117" s="62" t="s">
        <v>157</v>
      </c>
      <c r="F117" s="62" t="s">
        <v>158</v>
      </c>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row>
    <row r="118" spans="1:253" ht="15" thickBot="1" x14ac:dyDescent="0.35">
      <c r="A118"/>
      <c r="B118"/>
      <c r="C118" s="70"/>
      <c r="D118" s="72"/>
      <c r="E118" s="62" t="s">
        <v>159</v>
      </c>
      <c r="F118" s="62" t="s">
        <v>160</v>
      </c>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row>
    <row r="119" spans="1:253" ht="15" x14ac:dyDescent="0.3">
      <c r="A119"/>
      <c r="B119"/>
      <c r="C119" s="5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row>
    <row r="120" spans="1:253" ht="14.4" x14ac:dyDescent="0.3">
      <c r="A120"/>
      <c r="B120"/>
      <c r="C120" s="63" t="s">
        <v>161</v>
      </c>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row>
    <row r="121" spans="1:253" x14ac:dyDescent="0.3">
      <c r="J121" s="10"/>
      <c r="L121" s="2"/>
      <c r="AD121" s="10"/>
      <c r="AI121" s="2"/>
      <c r="AQ121" s="10"/>
      <c r="AS121" s="10"/>
      <c r="AV121" s="2"/>
      <c r="AW121" s="10"/>
      <c r="AX121" s="2"/>
      <c r="BB121" s="2"/>
    </row>
    <row r="122" spans="1:253" ht="117" customHeight="1" x14ac:dyDescent="0.3">
      <c r="A122" s="58"/>
      <c r="B122" s="58"/>
      <c r="C122" s="65" t="s">
        <v>162</v>
      </c>
      <c r="D122" s="65"/>
      <c r="E122" s="65"/>
      <c r="F122" s="65"/>
      <c r="G122" s="65"/>
      <c r="H122" s="65"/>
      <c r="I122" s="65"/>
      <c r="J122" s="65"/>
      <c r="K122" s="65"/>
      <c r="L122" s="58"/>
      <c r="M122" s="58"/>
      <c r="N122" s="58"/>
      <c r="O122" s="58"/>
      <c r="P122" s="58"/>
      <c r="Q122" s="58"/>
      <c r="R122" s="58"/>
      <c r="S122" s="58"/>
      <c r="T122" s="58"/>
      <c r="U122" s="58"/>
      <c r="V122" s="58"/>
      <c r="W122" s="58"/>
      <c r="X122" s="58"/>
      <c r="Y122" s="58"/>
      <c r="Z122" s="58"/>
      <c r="AA122" s="64"/>
      <c r="AB122" s="58"/>
      <c r="AC122" s="58"/>
      <c r="AD122" s="58"/>
      <c r="AE122" s="58"/>
      <c r="AF122" s="58"/>
      <c r="AG122" s="58"/>
      <c r="AH122" s="58"/>
      <c r="AI122" s="58"/>
      <c r="AJ122" s="58"/>
      <c r="AK122" s="58"/>
      <c r="AL122" s="58"/>
      <c r="AM122" s="58"/>
      <c r="AN122" s="64"/>
      <c r="AO122" s="58"/>
      <c r="AP122" s="64"/>
      <c r="AQ122" s="58"/>
      <c r="AR122" s="58"/>
      <c r="AS122" s="58"/>
      <c r="AT122" s="64"/>
      <c r="AU122" s="58"/>
      <c r="AV122" s="58"/>
      <c r="AW122" s="58"/>
      <c r="AX122" s="58"/>
      <c r="AY122" s="58"/>
      <c r="AZ122" s="58"/>
      <c r="BA122" s="58"/>
      <c r="BB122" s="58"/>
      <c r="BC122" s="58"/>
      <c r="BD122" s="58"/>
      <c r="BE122" s="58"/>
      <c r="BF122" s="58"/>
      <c r="BG122" s="58"/>
      <c r="BH122" s="58"/>
      <c r="BI122" s="58"/>
      <c r="BJ122" s="58"/>
      <c r="BK122" s="58"/>
      <c r="BL122" s="58"/>
      <c r="BM122" s="58"/>
      <c r="BN122" s="58"/>
      <c r="BO122" s="58"/>
      <c r="BP122" s="58"/>
      <c r="BQ122" s="58"/>
      <c r="BR122" s="58"/>
      <c r="BS122" s="58"/>
      <c r="BT122" s="58"/>
      <c r="BU122" s="58"/>
      <c r="BV122" s="58"/>
      <c r="BW122" s="58"/>
      <c r="BX122" s="58"/>
      <c r="BY122" s="58"/>
      <c r="BZ122" s="58"/>
      <c r="CA122" s="58"/>
      <c r="CB122" s="58"/>
      <c r="CC122" s="58"/>
      <c r="CD122" s="58"/>
      <c r="CE122" s="58"/>
      <c r="CF122" s="58"/>
      <c r="CG122" s="58"/>
      <c r="CH122" s="58"/>
      <c r="CI122" s="58"/>
      <c r="CJ122" s="58"/>
      <c r="CK122" s="58"/>
      <c r="CL122" s="58"/>
      <c r="CM122" s="58"/>
      <c r="CN122" s="58"/>
      <c r="CO122" s="58"/>
      <c r="CP122" s="58"/>
      <c r="CQ122" s="58"/>
      <c r="CR122" s="58"/>
      <c r="CS122" s="58"/>
      <c r="CT122" s="58"/>
      <c r="CU122" s="58"/>
      <c r="CV122" s="58"/>
      <c r="CW122" s="58"/>
      <c r="CX122" s="58"/>
      <c r="CY122" s="58"/>
      <c r="CZ122" s="58"/>
      <c r="DA122" s="58"/>
      <c r="DB122" s="58"/>
      <c r="DC122" s="58"/>
      <c r="DD122" s="58"/>
      <c r="DE122" s="58"/>
      <c r="DF122" s="58"/>
      <c r="DG122" s="58"/>
      <c r="DH122" s="58"/>
      <c r="DI122" s="58"/>
      <c r="DJ122" s="58"/>
      <c r="DK122" s="58"/>
      <c r="DL122" s="58"/>
      <c r="DM122" s="58"/>
      <c r="DN122" s="58"/>
      <c r="DO122" s="58"/>
      <c r="DP122" s="58"/>
      <c r="DQ122" s="58"/>
      <c r="DR122" s="58"/>
      <c r="DS122" s="58"/>
      <c r="DT122" s="58"/>
      <c r="DU122" s="58"/>
      <c r="DV122" s="58"/>
      <c r="DW122" s="58"/>
      <c r="DX122" s="58"/>
      <c r="DY122" s="58"/>
      <c r="DZ122" s="58"/>
      <c r="EA122" s="58"/>
      <c r="EB122" s="58"/>
      <c r="EC122" s="58"/>
      <c r="ED122" s="58"/>
      <c r="EE122" s="58"/>
      <c r="EF122" s="58"/>
      <c r="EG122" s="58"/>
      <c r="EH122" s="58"/>
      <c r="EI122" s="58"/>
      <c r="EJ122" s="58"/>
      <c r="EK122" s="58"/>
      <c r="EL122" s="58"/>
      <c r="EM122" s="58"/>
      <c r="EN122" s="58"/>
      <c r="EO122" s="58"/>
      <c r="EP122" s="58"/>
      <c r="EQ122" s="58"/>
      <c r="ER122" s="58"/>
      <c r="ES122" s="58"/>
      <c r="ET122" s="58"/>
      <c r="EU122" s="58"/>
      <c r="EV122" s="58"/>
      <c r="EW122" s="58"/>
      <c r="EX122" s="58"/>
      <c r="EY122" s="58"/>
      <c r="EZ122" s="58"/>
      <c r="FA122" s="58"/>
      <c r="FB122" s="58"/>
      <c r="FC122" s="58"/>
      <c r="FD122" s="58"/>
      <c r="FE122" s="58"/>
      <c r="FF122" s="58"/>
      <c r="FG122" s="58"/>
      <c r="FH122" s="58"/>
      <c r="FI122" s="58"/>
      <c r="FJ122" s="58"/>
      <c r="FK122" s="58"/>
      <c r="FL122" s="58"/>
      <c r="FM122" s="58"/>
      <c r="FN122" s="58"/>
      <c r="FO122" s="58"/>
      <c r="FP122" s="58"/>
      <c r="FQ122" s="58"/>
      <c r="FR122" s="58"/>
      <c r="FS122" s="58"/>
      <c r="FT122" s="58"/>
      <c r="FU122" s="58"/>
      <c r="FV122" s="58"/>
      <c r="FW122" s="58"/>
      <c r="FX122" s="58"/>
      <c r="FY122" s="58"/>
      <c r="FZ122" s="58"/>
      <c r="GA122" s="58"/>
      <c r="GB122" s="58"/>
      <c r="GC122" s="58"/>
      <c r="GD122" s="58"/>
      <c r="GE122" s="58"/>
      <c r="GF122" s="58"/>
      <c r="GG122" s="58"/>
      <c r="GH122" s="58"/>
      <c r="GI122" s="58"/>
      <c r="GJ122" s="58"/>
      <c r="GK122" s="58"/>
      <c r="GL122" s="58"/>
      <c r="GM122" s="58"/>
      <c r="GN122" s="58"/>
      <c r="GO122" s="58"/>
      <c r="GP122" s="58"/>
      <c r="GQ122" s="58"/>
      <c r="GR122" s="58"/>
      <c r="GS122" s="58"/>
      <c r="GT122" s="58"/>
      <c r="GU122" s="58"/>
      <c r="GV122" s="58"/>
      <c r="GW122" s="58"/>
      <c r="GX122" s="58"/>
      <c r="GY122" s="58"/>
      <c r="GZ122" s="58"/>
      <c r="HA122" s="58"/>
      <c r="HB122" s="58"/>
      <c r="HC122" s="58"/>
      <c r="HD122" s="58"/>
      <c r="HE122" s="58"/>
      <c r="HF122" s="58"/>
      <c r="HG122" s="58"/>
      <c r="HH122" s="58"/>
      <c r="HI122" s="58"/>
      <c r="HJ122" s="58"/>
      <c r="HK122" s="58"/>
      <c r="HL122" s="58"/>
      <c r="HM122" s="58"/>
      <c r="HN122" s="58"/>
      <c r="HO122" s="58"/>
      <c r="HP122" s="58"/>
      <c r="HQ122" s="58"/>
      <c r="HR122" s="58"/>
      <c r="HS122" s="58"/>
      <c r="HT122" s="58"/>
      <c r="HU122" s="58"/>
      <c r="HV122" s="58"/>
      <c r="HW122" s="58"/>
      <c r="HX122" s="58"/>
      <c r="HY122" s="58"/>
      <c r="HZ122" s="58"/>
      <c r="IA122" s="58"/>
      <c r="IB122" s="58"/>
      <c r="IC122" s="58"/>
      <c r="ID122" s="58"/>
      <c r="IE122" s="58"/>
      <c r="IF122" s="58"/>
      <c r="IG122" s="58"/>
      <c r="IH122" s="58"/>
      <c r="II122" s="58"/>
      <c r="IJ122" s="58"/>
      <c r="IK122" s="58"/>
      <c r="IL122" s="58"/>
      <c r="IM122" s="58"/>
      <c r="IN122" s="58"/>
      <c r="IO122" s="58"/>
      <c r="IP122" s="58"/>
      <c r="IQ122" s="58"/>
      <c r="IR122" s="58"/>
      <c r="IS122" s="58"/>
    </row>
    <row r="123" spans="1:253" x14ac:dyDescent="0.3">
      <c r="L123" s="2"/>
      <c r="AG123" s="10"/>
      <c r="AI123" s="2"/>
      <c r="AT123" s="10"/>
      <c r="AX123" s="2"/>
      <c r="AZ123" s="10"/>
      <c r="BB123" s="2"/>
    </row>
  </sheetData>
  <mergeCells count="7">
    <mergeCell ref="C122:K122"/>
    <mergeCell ref="C113:K113"/>
    <mergeCell ref="C115:C116"/>
    <mergeCell ref="D115:D116"/>
    <mergeCell ref="E115:E116"/>
    <mergeCell ref="C117:C118"/>
    <mergeCell ref="D117:D118"/>
  </mergeCells>
  <hyperlinks>
    <hyperlink ref="C122"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673B7A71-65C9-4F49-8085-B828310CA84F}"/>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BS</vt:lpstr>
      <vt:lpstr>XDO_?CLASS_3?17?</vt:lpstr>
      <vt:lpstr>XDO_?FINAL_ISIN?74?</vt:lpstr>
      <vt:lpstr>XDO_?FINAL_ISIN?75?</vt:lpstr>
      <vt:lpstr>XDO_?FINAL_ISIN?76?</vt:lpstr>
      <vt:lpstr>XDO_?FINAL_MV?74?</vt:lpstr>
      <vt:lpstr>XDO_?FINAL_MV?75?</vt:lpstr>
      <vt:lpstr>XDO_?FINAL_MV?76?</vt:lpstr>
      <vt:lpstr>XDO_?FINAL_NAME?74?</vt:lpstr>
      <vt:lpstr>XDO_?FINAL_NAME?75?</vt:lpstr>
      <vt:lpstr>XDO_?FINAL_NAME?76?</vt:lpstr>
      <vt:lpstr>XDO_?FINAL_PER_NET?74?</vt:lpstr>
      <vt:lpstr>XDO_?FINAL_PER_NET?75?</vt:lpstr>
      <vt:lpstr>XDO_?FINAL_PER_NET?76?</vt:lpstr>
      <vt:lpstr>XDO_?FINAL_QUANTITE?74?</vt:lpstr>
      <vt:lpstr>XDO_?FINAL_QUANTITE?75?</vt:lpstr>
      <vt:lpstr>XDO_?FINAL_QUANTITE?76?</vt:lpstr>
      <vt:lpstr>XDO_?NAMCNAME?17?</vt:lpstr>
      <vt:lpstr>XDO_?NOVAL?74?</vt:lpstr>
      <vt:lpstr>XDO_?NOVAL?75?</vt:lpstr>
      <vt:lpstr>XDO_?NOVAL?76?</vt:lpstr>
      <vt:lpstr>XDO_?NPTF?17?</vt:lpstr>
      <vt:lpstr>XDO_?RATING?74?</vt:lpstr>
      <vt:lpstr>XDO_?RATING?75?</vt:lpstr>
      <vt:lpstr>XDO_?RATING?76?</vt:lpstr>
      <vt:lpstr>XDO_?REMARKS?74?</vt:lpstr>
      <vt:lpstr>XDO_?REMARKS?75?</vt:lpstr>
      <vt:lpstr>XDO_?REMARKS?76?</vt:lpstr>
      <vt:lpstr>XDO_?TITL?17?</vt:lpstr>
      <vt:lpstr>XDO_?YTM?74?</vt:lpstr>
      <vt:lpstr>XDO_?YTM?75?</vt:lpstr>
      <vt:lpstr>XDO_?YTM?76?</vt:lpstr>
      <vt:lpstr>XDO_GROUP_?G_2?17?</vt:lpstr>
      <vt:lpstr>XDO_GROUP_?G_3?17?</vt:lpstr>
      <vt:lpstr>XDO_GROUP_?G_4?74?</vt:lpstr>
      <vt:lpstr>XDO_GROUP_?G_4?75?</vt:lpstr>
      <vt:lpstr>XDO_GROUP_?G_4?76?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2022-07-04T12:15:56Z</dcterms:created>
  <dcterms:modified xsi:type="dcterms:W3CDTF">2022-07-08T10:50:02Z</dcterms:modified>
</cp:coreProperties>
</file>