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20" yWindow="-120" windowWidth="20736" windowHeight="11760"/>
  </bookViews>
  <sheets>
    <sheet name="Monthly Portfolio" sheetId="1" r:id="rId1"/>
    <sheet name="Half Yearly Portfolio" sheetId="2" r:id="rId2"/>
  </sheets>
  <externalReferences>
    <externalReference r:id="rId3"/>
  </externalReferences>
  <definedNames>
    <definedName name="XDO_?CLASS_3?15?">'Monthly Portfolio'!$C$8:$C$53</definedName>
    <definedName name="XDO_?FINAL_ISIN?64?">'Monthly Portfolio'!$D$10:$D$53</definedName>
    <definedName name="XDO_?FINAL_ISIN?65?">'Monthly Portfolio'!$D$10:$D$92</definedName>
    <definedName name="XDO_?FINAL_ISIN?66?">'Monthly Portfolio'!$D$10:$D$96</definedName>
    <definedName name="XDO_?FINAL_MV?64?">'Monthly Portfolio'!$G$10:$G$53</definedName>
    <definedName name="XDO_?FINAL_MV?65?">'Monthly Portfolio'!$G$10:$G$92</definedName>
    <definedName name="XDO_?FINAL_MV?66?">'Monthly Portfolio'!$G$10:$G$96</definedName>
    <definedName name="XDO_?FINAL_NAME?64?">'Monthly Portfolio'!$C$10:$C$53</definedName>
    <definedName name="XDO_?FINAL_NAME?65?">'Monthly Portfolio'!$C$10:$C$92</definedName>
    <definedName name="XDO_?FINAL_NAME?66?">'Monthly Portfolio'!$C$10:$C$96</definedName>
    <definedName name="XDO_?FINAL_PER_NET?64?">'Monthly Portfolio'!$H$10:$H$53</definedName>
    <definedName name="XDO_?FINAL_PER_NET?65?">'Monthly Portfolio'!$H$10:$H$92</definedName>
    <definedName name="XDO_?FINAL_PER_NET?66?">'Monthly Portfolio'!$H$10:$H$96</definedName>
    <definedName name="XDO_?FINAL_QUANTITE?64?">'Monthly Portfolio'!$F$10:$F$53</definedName>
    <definedName name="XDO_?FINAL_QUANTITE?65?">'Monthly Portfolio'!$F$10:$F$92</definedName>
    <definedName name="XDO_?FINAL_QUANTITE?66?">'Monthly Portfolio'!$F$10:$F$96</definedName>
    <definedName name="XDO_?NAMC?">[1]MT!#REF!</definedName>
    <definedName name="XDO_?NAMC?1?">[1]LW!#REF!</definedName>
    <definedName name="XDO_?NAMC?10?">[1]AR!#REF!</definedName>
    <definedName name="XDO_?NAMC?11?">[1]SE!#REF!</definedName>
    <definedName name="XDO_?NAMC?12?">[1]FO!#REF!</definedName>
    <definedName name="XDO_?NAMC?13?">[1]IC!#REF!</definedName>
    <definedName name="XDO_?NAMC?14?">[1]AF!#REF!</definedName>
    <definedName name="XDO_?NAMC?15?">'Monthly Portfolio'!#REF!</definedName>
    <definedName name="XDO_?NAMC?16?">[1]MA!#REF!</definedName>
    <definedName name="XDO_?NAMC?17?">[1]GR!#REF!</definedName>
    <definedName name="XDO_?NAMC?18?">[1]GF!#REF!</definedName>
    <definedName name="XDO_?NAMC?19?">[1]LQ!#REF!</definedName>
    <definedName name="XDO_?NAMC?2?">[1]FL!#REF!</definedName>
    <definedName name="XDO_?NAMC?20?">[1]SI!#REF!</definedName>
    <definedName name="XDO_?NAMC?21?">[1]BS!#REF!</definedName>
    <definedName name="XDO_?NAMC?22?">[1]CO!#REF!</definedName>
    <definedName name="XDO_?NAMC?23?">[1]US!#REF!</definedName>
    <definedName name="XDO_?NAMC?24?">[1]DE!#REF!</definedName>
    <definedName name="XDO_?NAMC?25?">[1]ON!#REF!</definedName>
    <definedName name="XDO_?NAMC?26?">[1]BM!#REF!</definedName>
    <definedName name="XDO_?NAMC?27?">[1]ES!#REF!</definedName>
    <definedName name="XDO_?NAMC?28?">[1]LM!#REF!</definedName>
    <definedName name="XDO_?NAMC?29?">[1]BP!#REF!</definedName>
    <definedName name="XDO_?NAMC?3?">[1]CB!#REF!</definedName>
    <definedName name="XDO_?NAMC?30?">[1]BC!#REF!</definedName>
    <definedName name="XDO_?NAMC?4?">[1]NS!#REF!</definedName>
    <definedName name="XDO_?NAMC?5?">[1]N2!#REF!</definedName>
    <definedName name="XDO_?NAMC?6?">[1]MC!#REF!</definedName>
    <definedName name="XDO_?NAMC?7?">[1]LC!#REF!</definedName>
    <definedName name="XDO_?NAMC?8?">[1]TA!#REF!</definedName>
    <definedName name="XDO_?NAMC?9?">[1]CH!#REF!</definedName>
    <definedName name="XDO_?NAMCNAME?15?">'Monthly Portfolio'!$C$2:$C$53</definedName>
    <definedName name="XDO_?NDATE?">[1]MT!#REF!</definedName>
    <definedName name="XDO_?NDATE?1?">[1]LW!#REF!</definedName>
    <definedName name="XDO_?NDATE?10?">[1]AR!#REF!</definedName>
    <definedName name="XDO_?NDATE?11?">[1]SE!#REF!</definedName>
    <definedName name="XDO_?NDATE?12?">[1]FO!#REF!</definedName>
    <definedName name="XDO_?NDATE?13?">[1]IC!#REF!</definedName>
    <definedName name="XDO_?NDATE?14?">[1]AF!#REF!</definedName>
    <definedName name="XDO_?NDATE?15?">'Monthly Portfolio'!#REF!</definedName>
    <definedName name="XDO_?NDATE?16?">[1]MA!#REF!</definedName>
    <definedName name="XDO_?NDATE?17?">[1]GR!#REF!</definedName>
    <definedName name="XDO_?NDATE?18?">[1]GF!#REF!</definedName>
    <definedName name="XDO_?NDATE?19?">[1]LQ!#REF!</definedName>
    <definedName name="XDO_?NDATE?2?">[1]FL!#REF!</definedName>
    <definedName name="XDO_?NDATE?20?">[1]SI!#REF!</definedName>
    <definedName name="XDO_?NDATE?21?">[1]BS!#REF!</definedName>
    <definedName name="XDO_?NDATE?22?">[1]CO!#REF!</definedName>
    <definedName name="XDO_?NDATE?23?">[1]US!#REF!</definedName>
    <definedName name="XDO_?NDATE?24?">[1]DE!#REF!</definedName>
    <definedName name="XDO_?NDATE?25?">[1]ON!#REF!</definedName>
    <definedName name="XDO_?NDATE?26?">[1]BM!#REF!</definedName>
    <definedName name="XDO_?NDATE?27?">[1]ES!#REF!</definedName>
    <definedName name="XDO_?NDATE?28?">[1]LM!#REF!</definedName>
    <definedName name="XDO_?NDATE?29?">[1]BP!#REF!</definedName>
    <definedName name="XDO_?NDATE?3?">[1]CB!#REF!</definedName>
    <definedName name="XDO_?NDATE?30?">[1]BC!#REF!</definedName>
    <definedName name="XDO_?NDATE?4?">[1]NS!#REF!</definedName>
    <definedName name="XDO_?NDATE?5?">[1]N2!#REF!</definedName>
    <definedName name="XDO_?NDATE?6?">[1]MC!#REF!</definedName>
    <definedName name="XDO_?NDATE?7?">[1]LC!#REF!</definedName>
    <definedName name="XDO_?NDATE?8?">[1]TA!#REF!</definedName>
    <definedName name="XDO_?NDATE?9?">[1]CH!#REF!</definedName>
    <definedName name="XDO_?NNPTF?">[1]MT!#REF!</definedName>
    <definedName name="XDO_?NNPTF?1?">[1]LW!#REF!</definedName>
    <definedName name="XDO_?NNPTF?10?">[1]AR!#REF!</definedName>
    <definedName name="XDO_?NNPTF?11?">[1]SE!#REF!</definedName>
    <definedName name="XDO_?NNPTF?12?">[1]FO!#REF!</definedName>
    <definedName name="XDO_?NNPTF?13?">[1]IC!#REF!</definedName>
    <definedName name="XDO_?NNPTF?14?">[1]AF!#REF!</definedName>
    <definedName name="XDO_?NNPTF?15?">'Monthly Portfolio'!#REF!</definedName>
    <definedName name="XDO_?NNPTF?16?">[1]MA!#REF!</definedName>
    <definedName name="XDO_?NNPTF?17?">[1]GR!#REF!</definedName>
    <definedName name="XDO_?NNPTF?18?">[1]GF!#REF!</definedName>
    <definedName name="XDO_?NNPTF?19?">[1]LQ!#REF!</definedName>
    <definedName name="XDO_?NNPTF?2?">[1]FL!#REF!</definedName>
    <definedName name="XDO_?NNPTF?20?">[1]SI!#REF!</definedName>
    <definedName name="XDO_?NNPTF?21?">[1]BS!#REF!</definedName>
    <definedName name="XDO_?NNPTF?22?">[1]CO!#REF!</definedName>
    <definedName name="XDO_?NNPTF?23?">[1]US!#REF!</definedName>
    <definedName name="XDO_?NNPTF?24?">[1]DE!#REF!</definedName>
    <definedName name="XDO_?NNPTF?25?">[1]ON!#REF!</definedName>
    <definedName name="XDO_?NNPTF?26?">[1]BM!#REF!</definedName>
    <definedName name="XDO_?NNPTF?27?">[1]ES!#REF!</definedName>
    <definedName name="XDO_?NNPTF?28?">[1]LM!#REF!</definedName>
    <definedName name="XDO_?NNPTF?29?">[1]BP!#REF!</definedName>
    <definedName name="XDO_?NNPTF?3?">[1]CB!#REF!</definedName>
    <definedName name="XDO_?NNPTF?30?">[1]BC!#REF!</definedName>
    <definedName name="XDO_?NNPTF?4?">[1]NS!#REF!</definedName>
    <definedName name="XDO_?NNPTF?5?">[1]N2!#REF!</definedName>
    <definedName name="XDO_?NNPTF?6?">[1]MC!#REF!</definedName>
    <definedName name="XDO_?NNPTF?7?">[1]LC!#REF!</definedName>
    <definedName name="XDO_?NNPTF?8?">[1]TA!#REF!</definedName>
    <definedName name="XDO_?NNPTF?9?">[1]CH!#REF!</definedName>
    <definedName name="XDO_?NOVAL?64?">'Monthly Portfolio'!$B$10:$B$53</definedName>
    <definedName name="XDO_?NOVAL?65?">'Monthly Portfolio'!$B$10:$B$92</definedName>
    <definedName name="XDO_?NOVAL?66?">'Monthly Portfolio'!$B$10:$B$96</definedName>
    <definedName name="XDO_?NPTF?15?">'Monthly Portfolio'!$D$2:$D$53</definedName>
    <definedName name="XDO_?RATING?64?">'Monthly Portfolio'!$E$10:$E$53</definedName>
    <definedName name="XDO_?RATING?65?">'Monthly Portfolio'!$E$10:$E$92</definedName>
    <definedName name="XDO_?RATING?66?">'Monthly Portfolio'!$E$10:$E$96</definedName>
    <definedName name="XDO_?REMARKS?64?">'Monthly Portfolio'!$K$10:$K$53</definedName>
    <definedName name="XDO_?REMARKS?65?">'Monthly Portfolio'!$K$10:$K$92</definedName>
    <definedName name="XDO_?REMARKS?66?">'Monthly Portfolio'!$K$10:$K$96</definedName>
    <definedName name="XDO_?TITL?15?">'Monthly Portfolio'!$A$8:$A$53</definedName>
    <definedName name="XDO_?YTM?64?">'Monthly Portfolio'!$I$10:$I$53</definedName>
    <definedName name="XDO_?YTM?65?">'Monthly Portfolio'!$I$10:$I$92</definedName>
    <definedName name="XDO_?YTM?66?">'Monthly Portfolio'!$I$10:$I$96</definedName>
    <definedName name="XDO_GROUP_?G_2?15?">'Monthly Portfolio'!$2:$64</definedName>
    <definedName name="XDO_GROUP_?G_3?15?">'Monthly Portfolio'!$8:$63</definedName>
    <definedName name="XDO_GROUP_?G_4?117?">[1]ON!#REF!</definedName>
    <definedName name="XDO_GROUP_?G_4?32?">[1]TA!#REF!</definedName>
    <definedName name="XDO_GROUP_?G_4?64?">'Monthly Portfolio'!$B$10:$IV$53</definedName>
    <definedName name="XDO_GROUP_?G_4?65?">'Monthly Portfolio'!$B$58:$IV$58</definedName>
    <definedName name="XDO_GROUP_?G_4?66?">'Monthly Portfolio'!$B$61:$IV$61</definedName>
    <definedName name="XDO_GROUP_?G_4?76?">[1]GR!#REF!</definedName>
  </definedNames>
  <calcPr calcId="12451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" i="2"/>
  <c r="H99" i="1" l="1"/>
</calcChain>
</file>

<file path=xl/sharedStrings.xml><?xml version="1.0" encoding="utf-8"?>
<sst xmlns="http://schemas.openxmlformats.org/spreadsheetml/2006/main" count="557" uniqueCount="236">
  <si>
    <t>Baroda BNP Paribas Mutual Fund</t>
  </si>
  <si>
    <t>T0ME25</t>
  </si>
  <si>
    <t>SCHEME NAME :</t>
  </si>
  <si>
    <t xml:space="preserve">Baroda BNP Paribas Flexi Cap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</si>
  <si>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</si>
  <si>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</si>
  <si>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</si>
  <si>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</si>
  <si>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</si>
  <si>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</si>
  <si>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</si>
  <si>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</si>
  <si>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</si>
  <si>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</si>
  <si>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</si>
  <si>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</si>
  <si>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</si>
  <si>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</si>
  <si>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</si>
  <si>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</si>
  <si>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</si>
  <si>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</si>
  <si>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</si>
  <si>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</si>
  <si>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100032</t>
  </si>
  <si>
    <t>Tata Consultancy Services Ltd.</t>
  </si>
  <si>
    <t>INE467B01029</t>
  </si>
  <si>
    <t>IT - Software</t>
  </si>
  <si>
    <t>100019</t>
  </si>
  <si>
    <t>ITC Ltd.</t>
  </si>
  <si>
    <t>INE154A01025</t>
  </si>
  <si>
    <t>Diversified FMCG</t>
  </si>
  <si>
    <t>100005</t>
  </si>
  <si>
    <t>Larsen &amp; Toubro Ltd.</t>
  </si>
  <si>
    <t>INE018A01030</t>
  </si>
  <si>
    <t>Construction</t>
  </si>
  <si>
    <t>100012</t>
  </si>
  <si>
    <t>ICICI Bank Ltd.</t>
  </si>
  <si>
    <t>INE090A01021</t>
  </si>
  <si>
    <t>100001</t>
  </si>
  <si>
    <t>Housing Development Finance Corporation Ltd.</t>
  </si>
  <si>
    <t>INE001A01036</t>
  </si>
  <si>
    <t>Finance</t>
  </si>
  <si>
    <t>100115</t>
  </si>
  <si>
    <t>Siemens Ltd.</t>
  </si>
  <si>
    <t>INE003A01024</t>
  </si>
  <si>
    <t>Electrical Equipment</t>
  </si>
  <si>
    <t>100036</t>
  </si>
  <si>
    <t>Mahindra &amp; Mahindra Financial Services Ltd.</t>
  </si>
  <si>
    <t>INE774D01024</t>
  </si>
  <si>
    <t>100126</t>
  </si>
  <si>
    <t>Britannia Industries Ltd.</t>
  </si>
  <si>
    <t>INE216A01030</t>
  </si>
  <si>
    <t>Food Products</t>
  </si>
  <si>
    <t>100013</t>
  </si>
  <si>
    <t>IndusInd Bank Ltd.</t>
  </si>
  <si>
    <t>INE095A01012</t>
  </si>
  <si>
    <t>100843</t>
  </si>
  <si>
    <t>Dalmia Bharat Ltd.</t>
  </si>
  <si>
    <t>INE00R701025</t>
  </si>
  <si>
    <t>Cement &amp; Cement Products</t>
  </si>
  <si>
    <t>100157</t>
  </si>
  <si>
    <t>Godrej Consumer Products Ltd.</t>
  </si>
  <si>
    <t>INE102D01028</t>
  </si>
  <si>
    <t>Personal Products</t>
  </si>
  <si>
    <t>100200</t>
  </si>
  <si>
    <t>Page Industries Ltd.</t>
  </si>
  <si>
    <t>INE761H01022</t>
  </si>
  <si>
    <t>Textiles &amp; Apparels</t>
  </si>
  <si>
    <t>100095</t>
  </si>
  <si>
    <t>Bharti Airtel Ltd.</t>
  </si>
  <si>
    <t>INE397D01024</t>
  </si>
  <si>
    <t>Telecom - Services</t>
  </si>
  <si>
    <t>100268</t>
  </si>
  <si>
    <t>NLC India Ltd.</t>
  </si>
  <si>
    <t>INE589A01014</t>
  </si>
  <si>
    <t>Power</t>
  </si>
  <si>
    <t>100121</t>
  </si>
  <si>
    <t>United Breweries Ltd.</t>
  </si>
  <si>
    <t>INE686F01025</t>
  </si>
  <si>
    <t>Beverages</t>
  </si>
  <si>
    <t>100022</t>
  </si>
  <si>
    <t>The Phoenix Mills Ltd.</t>
  </si>
  <si>
    <t>INE211B01039</t>
  </si>
  <si>
    <t>Realty</t>
  </si>
  <si>
    <t>100003</t>
  </si>
  <si>
    <t>Infosys Ltd.</t>
  </si>
  <si>
    <t>INE009A01021</t>
  </si>
  <si>
    <t>100004</t>
  </si>
  <si>
    <t>Zydus Lifesciences Ltd.</t>
  </si>
  <si>
    <t>INE010B01027</t>
  </si>
  <si>
    <t>Pharmaceuticals &amp; Biotechnology</t>
  </si>
  <si>
    <t>100453</t>
  </si>
  <si>
    <t>RBL Bank Ltd.</t>
  </si>
  <si>
    <t>INE976G01028</t>
  </si>
  <si>
    <t>100014</t>
  </si>
  <si>
    <t>Mahindra &amp; Mahindra Ltd.</t>
  </si>
  <si>
    <t>INE101A01026</t>
  </si>
  <si>
    <t>Automobiles</t>
  </si>
  <si>
    <t>100234</t>
  </si>
  <si>
    <t>Coforge Ltd.</t>
  </si>
  <si>
    <t>INE591G01017</t>
  </si>
  <si>
    <t>100106</t>
  </si>
  <si>
    <t>Maruti Suzuki India Ltd.</t>
  </si>
  <si>
    <t>INE585B01010</t>
  </si>
  <si>
    <t>100181</t>
  </si>
  <si>
    <t>NTPC Ltd.</t>
  </si>
  <si>
    <t>INE733E01010</t>
  </si>
  <si>
    <t>100024</t>
  </si>
  <si>
    <t>Axis Bank Ltd.</t>
  </si>
  <si>
    <t>INE238A01034</t>
  </si>
  <si>
    <t>100163</t>
  </si>
  <si>
    <t>Bosch Ltd.</t>
  </si>
  <si>
    <t>INE323A01026</t>
  </si>
  <si>
    <t>Auto Components</t>
  </si>
  <si>
    <t>100069</t>
  </si>
  <si>
    <t>Mahindra CIE Automotive Ltd.</t>
  </si>
  <si>
    <t>INE536H01010</t>
  </si>
  <si>
    <t>100037</t>
  </si>
  <si>
    <t>HCL Technologies Ltd.</t>
  </si>
  <si>
    <t>INE860A01027</t>
  </si>
  <si>
    <t>100100</t>
  </si>
  <si>
    <t>Hindustan Petroleum Corporation Ltd.</t>
  </si>
  <si>
    <t>INE094A01015</t>
  </si>
  <si>
    <t>100586</t>
  </si>
  <si>
    <t>Ratnamani Metals &amp; Tubes Ltd.</t>
  </si>
  <si>
    <t>INE703B01027</t>
  </si>
  <si>
    <t>Industrial Products</t>
  </si>
  <si>
    <t>100282</t>
  </si>
  <si>
    <t>Blue Star Ltd.</t>
  </si>
  <si>
    <t>INE472A01039</t>
  </si>
  <si>
    <t>Consumer Durables</t>
  </si>
  <si>
    <t>100896</t>
  </si>
  <si>
    <t>Polycab India Ltd.</t>
  </si>
  <si>
    <t>INE455K01017</t>
  </si>
  <si>
    <t>100010</t>
  </si>
  <si>
    <t>State Bank of India</t>
  </si>
  <si>
    <t>INE062A01020</t>
  </si>
  <si>
    <t>100223</t>
  </si>
  <si>
    <t>United Spirits Ltd.</t>
  </si>
  <si>
    <t>INE854D01024</t>
  </si>
  <si>
    <t>100008</t>
  </si>
  <si>
    <t>Sun Pharmaceutical Industries Ltd.</t>
  </si>
  <si>
    <t>INE044A01036</t>
  </si>
  <si>
    <t>100138</t>
  </si>
  <si>
    <t>PVR Ltd.</t>
  </si>
  <si>
    <t>INE191H01014</t>
  </si>
  <si>
    <t>Entertainment</t>
  </si>
  <si>
    <t>100224</t>
  </si>
  <si>
    <t>Mahindra Lifespace Developers Ltd.</t>
  </si>
  <si>
    <t>INE813A01018</t>
  </si>
  <si>
    <t>100026</t>
  </si>
  <si>
    <t>Persistent Systems Ltd.</t>
  </si>
  <si>
    <t>INE262H01013</t>
  </si>
  <si>
    <t>100035</t>
  </si>
  <si>
    <t>NMDC Ltd.</t>
  </si>
  <si>
    <t>INE584A01023</t>
  </si>
  <si>
    <t>Minerals &amp; Mining</t>
  </si>
  <si>
    <t>101284</t>
  </si>
  <si>
    <t>Craftsman Automation Ltd.</t>
  </si>
  <si>
    <t>INE00LO01017</t>
  </si>
  <si>
    <t>100081</t>
  </si>
  <si>
    <t>Titan Company Ltd.</t>
  </si>
  <si>
    <t>INE280A01028</t>
  </si>
  <si>
    <t>101063</t>
  </si>
  <si>
    <t>Hitachi Energy India Ltd.</t>
  </si>
  <si>
    <t>INE07Y701011</t>
  </si>
  <si>
    <t>300005</t>
  </si>
  <si>
    <t>INE001A13049</t>
  </si>
  <si>
    <t>W**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</si>
  <si>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</si>
  <si>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</si>
  <si>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</si>
  <si>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</si>
  <si>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</si>
  <si>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</si>
  <si>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</si>
  <si>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</si>
  <si>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</si>
  <si>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</si>
  <si>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</si>
  <si>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</si>
  <si>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</si>
  <si>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</si>
  <si>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</si>
  <si>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</si>
  <si>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</si>
  <si>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</si>
  <si>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</si>
  <si>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</si>
  <si>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</si>
  <si>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304230100</t>
  </si>
  <si>
    <t>TREPS 03-Apr-2023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</si>
  <si>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</si>
  <si>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</si>
  <si>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</si>
  <si>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</si>
  <si>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forTrading; D**-&gt; This includes notional value of derivatives exposure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</si>
  <si>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</si>
  <si>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</si>
  <si>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</si>
  <si>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</si>
  <si>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</si>
  <si>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2023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</si>
  <si>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</si>
  <si>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</si>
  <si>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</si>
  <si>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February 28, 2023</t>
  </si>
  <si>
    <t>As on March 31, 2023</t>
  </si>
  <si>
    <t>Regular Plan - IDCW Option</t>
  </si>
  <si>
    <t>Regular Plan - Growth Option</t>
  </si>
  <si>
    <t>Direct Plan - IDCW Option</t>
  </si>
  <si>
    <t>Direct Plan - Growth Option</t>
  </si>
  <si>
    <t>(8) No Dividend declared during the Month ended March 31, 2023</t>
  </si>
  <si>
    <t>(9) There were no investments made in derivative instruments and no such derivative instrument was squared off/ expired /exercised during the Month ended March 31, 2023. Further there are no investments in derivative instruments as on March 31, 2023.</t>
  </si>
  <si>
    <t>(10) Total Market value of investments in Foreign Securities/American Depositary Receipts/Global Depositary Receipts as at  March 31, 2023 is Rs. Nil.</t>
  </si>
  <si>
    <t>(11)  During the period, the portfolio turnover ratio is  0.07 times.</t>
  </si>
  <si>
    <t>(12)  Details of repo transaction in corporate debt securities for the Month ended March 31, 2023 is Nil.</t>
  </si>
  <si>
    <t>(13)  Investments in debt instruments having structured obligations or credit enhancement features as at March 31, 2023 is Rs. Nil.</t>
  </si>
  <si>
    <t>(14) Investment in Partly paid Debentures during the Month ended  March 31, 2023 and as on  March 31, 2023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</si>
  <si>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</si>
  <si>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</si>
  <si>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</si>
  <si>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</si>
  <si>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</si>
  <si>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March 31, 2023 : Rs. Nil</t>
  </si>
  <si>
    <t>BARODA BNP PARIBAS FLEXI CAP FUND
(An Open ended dynamic equity scheme investing across large cap, mid cap, small cap companies)</t>
  </si>
  <si>
    <t>HALF YEARLY PORTFOLIO STATEMENT AS ON MARCH 31, 2023
(Pursuant to the provisions of Regulation 59A of the Securities and Exchange Board of India (Mutual Funds) Regulations, 1996)</t>
  </si>
  <si>
    <t>As on September 30, 2022</t>
  </si>
  <si>
    <t>(8) No Dividend declared during the Half Year ended March 31, 2023</t>
  </si>
  <si>
    <t>(9) There were no investments made in derivative instruments and no such derivative instrument was squared off/ expired /exercised during the Half Year ended March 31, 2023. Further there are no investments in derivative instruments as on March 31, 2023.</t>
  </si>
  <si>
    <t>(11)  During the period, the portfolio turnover ratio is  0.45 times.</t>
  </si>
  <si>
    <t>(12)  Details of repo transaction in corporate debt securities for the Half Year ended March 31, 2023 is Nil.</t>
  </si>
  <si>
    <t>(14) Investment in Partly paid Debentures during the Half Year ended  March 31, 2023 and as on  March 31, 2023 is Rs. Nil.</t>
  </si>
  <si>
    <t>during the Half Year there were no cases of deviation from valuation agency price</t>
  </si>
  <si>
    <t>(16) Transactions in Credit Default Swaps during Half year ended  March 31, 2023 : Rs. Nil</t>
  </si>
</sst>
</file>

<file path=xl/styles.xml><?xml version="1.0" encoding="utf-8"?>
<styleSheet xmlns="http://schemas.openxmlformats.org/spreadsheetml/2006/main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16"/>
      <color theme="1"/>
      <name val="Franklin Gothic Book"/>
      <family val="2"/>
    </font>
    <font>
      <b/>
      <sz val="16"/>
      <name val="Franklin Gothic Book"/>
      <family val="2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65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3" fillId="0" borderId="0" xfId="0" applyFont="1" applyAlignment="1">
      <alignment horizontal="left"/>
    </xf>
    <xf numFmtId="0" fontId="11" fillId="3" borderId="0" xfId="0" applyFont="1" applyFill="1"/>
    <xf numFmtId="4" fontId="11" fillId="3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/>
    <xf numFmtId="168" fontId="3" fillId="0" borderId="0" xfId="1" applyNumberFormat="1" applyFont="1"/>
    <xf numFmtId="0" fontId="12" fillId="0" borderId="0" xfId="0" applyFont="1" applyAlignment="1">
      <alignment vertical="top"/>
    </xf>
    <xf numFmtId="0" fontId="0" fillId="0" borderId="0" xfId="0" applyAlignment="1">
      <alignment vertical="top"/>
    </xf>
    <xf numFmtId="0" fontId="13" fillId="4" borderId="19" xfId="0" applyFont="1" applyFill="1" applyBorder="1" applyAlignment="1">
      <alignment horizontal="center" wrapText="1"/>
    </xf>
    <xf numFmtId="0" fontId="13" fillId="4" borderId="20" xfId="0" applyFont="1" applyFill="1" applyBorder="1" applyAlignment="1">
      <alignment horizontal="center" wrapText="1"/>
    </xf>
    <xf numFmtId="0" fontId="13" fillId="4" borderId="21" xfId="0" applyFont="1" applyFill="1" applyBorder="1" applyAlignment="1">
      <alignment horizontal="center" wrapText="1"/>
    </xf>
    <xf numFmtId="0" fontId="13" fillId="4" borderId="22" xfId="0" applyFont="1" applyFill="1" applyBorder="1" applyAlignment="1">
      <alignment horizontal="center" wrapText="1"/>
    </xf>
    <xf numFmtId="0" fontId="13" fillId="4" borderId="23" xfId="0" applyFont="1" applyFill="1" applyBorder="1" applyAlignment="1">
      <alignment horizontal="center" wrapText="1"/>
    </xf>
    <xf numFmtId="0" fontId="13" fillId="4" borderId="24" xfId="0" applyFont="1" applyFill="1" applyBorder="1" applyAlignment="1">
      <alignment horizontal="center" wrapText="1"/>
    </xf>
    <xf numFmtId="0" fontId="14" fillId="5" borderId="25" xfId="0" applyFont="1" applyFill="1" applyBorder="1" applyAlignment="1">
      <alignment horizontal="center" wrapText="1"/>
    </xf>
    <xf numFmtId="0" fontId="14" fillId="5" borderId="26" xfId="0" applyFont="1" applyFill="1" applyBorder="1" applyAlignment="1">
      <alignment horizontal="center" wrapText="1"/>
    </xf>
    <xf numFmtId="0" fontId="14" fillId="5" borderId="27" xfId="0" applyFont="1" applyFill="1" applyBorder="1" applyAlignment="1">
      <alignment horizontal="center" wrapText="1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5</xdr:col>
      <xdr:colOff>703241</xdr:colOff>
      <xdr:row>149</xdr:row>
      <xdr:rowOff>78232</xdr:rowOff>
    </xdr:to>
    <xdr:pic>
      <xdr:nvPicPr>
        <xdr:cNvPr id="2" name="Picture 1" descr="Flexi Cap Fun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333" y="22711833"/>
          <a:ext cx="7455408" cy="299923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134</xdr:row>
      <xdr:rowOff>0</xdr:rowOff>
    </xdr:from>
    <xdr:to>
      <xdr:col>5</xdr:col>
      <xdr:colOff>703241</xdr:colOff>
      <xdr:row>151</xdr:row>
      <xdr:rowOff>78232</xdr:rowOff>
    </xdr:to>
    <xdr:pic>
      <xdr:nvPicPr>
        <xdr:cNvPr id="2" name="Picture 1" descr="Flexi Cap Fund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5260" y="23439120"/>
          <a:ext cx="7652681" cy="3072892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BBNPMF_Monthly%20portfolio%2031-03-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NS"/>
      <sheetName val="N2"/>
      <sheetName val="MC"/>
      <sheetName val="LC"/>
      <sheetName val="TA"/>
      <sheetName val="CH"/>
      <sheetName val="AR"/>
      <sheetName val="SE"/>
      <sheetName val="FO"/>
      <sheetName val="IC"/>
      <sheetName val="AF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34"/>
  <sheetViews>
    <sheetView showGridLines="0" tabSelected="1" zoomScale="90" zoomScaleNormal="90" workbookViewId="0">
      <pane ySplit="6" topLeftCell="A7" activePane="bottomLeft" state="frozen"/>
      <selection activeCell="I2" sqref="I2"/>
      <selection pane="bottomLeft" activeCell="A7" sqref="A7"/>
    </sheetView>
  </sheetViews>
  <sheetFormatPr defaultColWidth="13.88671875" defaultRowHeight="13.8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8.600000000000001">
      <c r="C2" s="6" t="s">
        <v>0</v>
      </c>
      <c r="D2" s="1" t="s">
        <v>1</v>
      </c>
      <c r="I2" s="9"/>
    </row>
    <row r="3" spans="1:54" ht="16.2">
      <c r="C3" s="11" t="s">
        <v>2</v>
      </c>
      <c r="D3" s="12" t="s">
        <v>3</v>
      </c>
    </row>
    <row r="4" spans="1:54" ht="15">
      <c r="C4" s="11" t="s">
        <v>4</v>
      </c>
      <c r="D4" s="13">
        <v>45016</v>
      </c>
    </row>
    <row r="5" spans="1:54" ht="14.4" thickBot="1">
      <c r="C5" s="11"/>
    </row>
    <row r="6" spans="1:54" ht="27.6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4">
      <c r="C7" s="21"/>
      <c r="D7" s="22"/>
      <c r="E7" s="23"/>
      <c r="F7" s="24"/>
      <c r="G7" s="25"/>
      <c r="H7" s="25"/>
      <c r="I7" s="26"/>
      <c r="J7" s="26"/>
      <c r="K7" s="27"/>
    </row>
    <row r="8" spans="1:54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4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4">
      <c r="B10" s="1" t="s">
        <v>16</v>
      </c>
      <c r="C10" s="21" t="s">
        <v>17</v>
      </c>
      <c r="D10" s="31" t="s">
        <v>18</v>
      </c>
      <c r="E10" s="32" t="s">
        <v>19</v>
      </c>
      <c r="F10" s="33">
        <v>700000</v>
      </c>
      <c r="G10" s="34">
        <v>11266.85</v>
      </c>
      <c r="H10" s="34">
        <v>8.59</v>
      </c>
      <c r="I10" s="35"/>
      <c r="J10" s="35"/>
      <c r="K10" s="36"/>
    </row>
    <row r="11" spans="1:54">
      <c r="B11" s="1" t="s">
        <v>20</v>
      </c>
      <c r="C11" s="21" t="s">
        <v>21</v>
      </c>
      <c r="D11" s="31" t="s">
        <v>22</v>
      </c>
      <c r="E11" s="32" t="s">
        <v>23</v>
      </c>
      <c r="F11" s="33">
        <v>400000</v>
      </c>
      <c r="G11" s="34">
        <v>9324.2000000000007</v>
      </c>
      <c r="H11" s="34">
        <v>7.11</v>
      </c>
      <c r="I11" s="35"/>
      <c r="J11" s="35"/>
      <c r="K11" s="36"/>
    </row>
    <row r="12" spans="1:54">
      <c r="B12" s="1" t="s">
        <v>24</v>
      </c>
      <c r="C12" s="21" t="s">
        <v>25</v>
      </c>
      <c r="D12" s="31" t="s">
        <v>26</v>
      </c>
      <c r="E12" s="32" t="s">
        <v>27</v>
      </c>
      <c r="F12" s="33">
        <v>190000</v>
      </c>
      <c r="G12" s="34">
        <v>6091.21</v>
      </c>
      <c r="H12" s="34">
        <v>4.6399999999999997</v>
      </c>
      <c r="I12" s="35"/>
      <c r="J12" s="35"/>
      <c r="K12" s="36"/>
    </row>
    <row r="13" spans="1:54">
      <c r="B13" s="1" t="s">
        <v>28</v>
      </c>
      <c r="C13" s="21" t="s">
        <v>29</v>
      </c>
      <c r="D13" s="31" t="s">
        <v>30</v>
      </c>
      <c r="E13" s="32" t="s">
        <v>31</v>
      </c>
      <c r="F13" s="33">
        <v>1300000</v>
      </c>
      <c r="G13" s="34">
        <v>4985.5</v>
      </c>
      <c r="H13" s="34">
        <v>3.8</v>
      </c>
      <c r="I13" s="35"/>
      <c r="J13" s="35"/>
      <c r="K13" s="36"/>
    </row>
    <row r="14" spans="1:54">
      <c r="B14" s="1" t="s">
        <v>32</v>
      </c>
      <c r="C14" s="21" t="s">
        <v>33</v>
      </c>
      <c r="D14" s="31" t="s">
        <v>34</v>
      </c>
      <c r="E14" s="32" t="s">
        <v>35</v>
      </c>
      <c r="F14" s="33">
        <v>200000</v>
      </c>
      <c r="G14" s="34">
        <v>4328.3999999999996</v>
      </c>
      <c r="H14" s="34">
        <v>3.3</v>
      </c>
      <c r="I14" s="35"/>
      <c r="J14" s="35"/>
      <c r="K14" s="36"/>
    </row>
    <row r="15" spans="1:54">
      <c r="B15" s="1" t="s">
        <v>36</v>
      </c>
      <c r="C15" s="21" t="s">
        <v>37</v>
      </c>
      <c r="D15" s="31" t="s">
        <v>38</v>
      </c>
      <c r="E15" s="32" t="s">
        <v>19</v>
      </c>
      <c r="F15" s="33">
        <v>450000</v>
      </c>
      <c r="G15" s="34">
        <v>3947.63</v>
      </c>
      <c r="H15" s="34">
        <v>3.01</v>
      </c>
      <c r="I15" s="35"/>
      <c r="J15" s="35"/>
      <c r="K15" s="36"/>
    </row>
    <row r="16" spans="1:54">
      <c r="B16" s="1" t="s">
        <v>39</v>
      </c>
      <c r="C16" s="21" t="s">
        <v>40</v>
      </c>
      <c r="D16" s="31" t="s">
        <v>41</v>
      </c>
      <c r="E16" s="32" t="s">
        <v>42</v>
      </c>
      <c r="F16" s="33">
        <v>150000</v>
      </c>
      <c r="G16" s="34">
        <v>3938.25</v>
      </c>
      <c r="H16" s="34">
        <v>3</v>
      </c>
      <c r="I16" s="35"/>
      <c r="J16" s="35"/>
      <c r="K16" s="36"/>
    </row>
    <row r="17" spans="2:11">
      <c r="B17" s="1" t="s">
        <v>43</v>
      </c>
      <c r="C17" s="21" t="s">
        <v>44</v>
      </c>
      <c r="D17" s="31" t="s">
        <v>45</v>
      </c>
      <c r="E17" s="32" t="s">
        <v>46</v>
      </c>
      <c r="F17" s="33">
        <v>110000</v>
      </c>
      <c r="G17" s="34">
        <v>3659.87</v>
      </c>
      <c r="H17" s="34">
        <v>2.79</v>
      </c>
      <c r="I17" s="35"/>
      <c r="J17" s="35"/>
      <c r="K17" s="36"/>
    </row>
    <row r="18" spans="2:11">
      <c r="B18" s="1" t="s">
        <v>47</v>
      </c>
      <c r="C18" s="21" t="s">
        <v>48</v>
      </c>
      <c r="D18" s="31" t="s">
        <v>49</v>
      </c>
      <c r="E18" s="32" t="s">
        <v>42</v>
      </c>
      <c r="F18" s="33">
        <v>1525000</v>
      </c>
      <c r="G18" s="34">
        <v>3532.66</v>
      </c>
      <c r="H18" s="34">
        <v>2.69</v>
      </c>
      <c r="I18" s="35"/>
      <c r="J18" s="35"/>
      <c r="K18" s="36"/>
    </row>
    <row r="19" spans="2:11">
      <c r="B19" s="1" t="s">
        <v>50</v>
      </c>
      <c r="C19" s="21" t="s">
        <v>51</v>
      </c>
      <c r="D19" s="31" t="s">
        <v>52</v>
      </c>
      <c r="E19" s="32" t="s">
        <v>53</v>
      </c>
      <c r="F19" s="33">
        <v>75000</v>
      </c>
      <c r="G19" s="34">
        <v>3241.61</v>
      </c>
      <c r="H19" s="34">
        <v>2.4700000000000002</v>
      </c>
      <c r="I19" s="35"/>
      <c r="J19" s="35"/>
      <c r="K19" s="36"/>
    </row>
    <row r="20" spans="2:11">
      <c r="B20" s="1" t="s">
        <v>54</v>
      </c>
      <c r="C20" s="21" t="s">
        <v>55</v>
      </c>
      <c r="D20" s="31" t="s">
        <v>56</v>
      </c>
      <c r="E20" s="32" t="s">
        <v>19</v>
      </c>
      <c r="F20" s="33">
        <v>300000</v>
      </c>
      <c r="G20" s="34">
        <v>3203.85</v>
      </c>
      <c r="H20" s="34">
        <v>2.44</v>
      </c>
      <c r="I20" s="35"/>
      <c r="J20" s="35"/>
      <c r="K20" s="36"/>
    </row>
    <row r="21" spans="2:11">
      <c r="B21" s="1" t="s">
        <v>57</v>
      </c>
      <c r="C21" s="21" t="s">
        <v>58</v>
      </c>
      <c r="D21" s="31" t="s">
        <v>59</v>
      </c>
      <c r="E21" s="32" t="s">
        <v>60</v>
      </c>
      <c r="F21" s="33">
        <v>160000</v>
      </c>
      <c r="G21" s="34">
        <v>3149.2</v>
      </c>
      <c r="H21" s="34">
        <v>2.4</v>
      </c>
      <c r="I21" s="35"/>
      <c r="J21" s="35"/>
      <c r="K21" s="36"/>
    </row>
    <row r="22" spans="2:11">
      <c r="B22" s="1" t="s">
        <v>61</v>
      </c>
      <c r="C22" s="21" t="s">
        <v>62</v>
      </c>
      <c r="D22" s="31" t="s">
        <v>63</v>
      </c>
      <c r="E22" s="32" t="s">
        <v>64</v>
      </c>
      <c r="F22" s="33">
        <v>325000</v>
      </c>
      <c r="G22" s="34">
        <v>3146.49</v>
      </c>
      <c r="H22" s="34">
        <v>2.4</v>
      </c>
      <c r="I22" s="35"/>
      <c r="J22" s="35"/>
      <c r="K22" s="36"/>
    </row>
    <row r="23" spans="2:11">
      <c r="B23" s="1" t="s">
        <v>65</v>
      </c>
      <c r="C23" s="21" t="s">
        <v>66</v>
      </c>
      <c r="D23" s="31" t="s">
        <v>67</v>
      </c>
      <c r="E23" s="32" t="s">
        <v>68</v>
      </c>
      <c r="F23" s="33">
        <v>8100</v>
      </c>
      <c r="G23" s="34">
        <v>3070.17</v>
      </c>
      <c r="H23" s="34">
        <v>2.34</v>
      </c>
      <c r="I23" s="35"/>
      <c r="J23" s="35"/>
      <c r="K23" s="36"/>
    </row>
    <row r="24" spans="2:11">
      <c r="B24" s="1" t="s">
        <v>69</v>
      </c>
      <c r="C24" s="21" t="s">
        <v>70</v>
      </c>
      <c r="D24" s="31" t="s">
        <v>71</v>
      </c>
      <c r="E24" s="32" t="s">
        <v>72</v>
      </c>
      <c r="F24" s="33">
        <v>400000</v>
      </c>
      <c r="G24" s="34">
        <v>2996</v>
      </c>
      <c r="H24" s="34">
        <v>2.2799999999999998</v>
      </c>
      <c r="I24" s="35"/>
      <c r="J24" s="35"/>
      <c r="K24" s="36"/>
    </row>
    <row r="25" spans="2:11">
      <c r="B25" s="1" t="s">
        <v>73</v>
      </c>
      <c r="C25" s="21" t="s">
        <v>74</v>
      </c>
      <c r="D25" s="31" t="s">
        <v>75</v>
      </c>
      <c r="E25" s="32" t="s">
        <v>76</v>
      </c>
      <c r="F25" s="33">
        <v>3735646</v>
      </c>
      <c r="G25" s="34">
        <v>2882.05</v>
      </c>
      <c r="H25" s="34">
        <v>2.2000000000000002</v>
      </c>
      <c r="I25" s="35"/>
      <c r="J25" s="35"/>
      <c r="K25" s="36"/>
    </row>
    <row r="26" spans="2:11">
      <c r="B26" s="1" t="s">
        <v>77</v>
      </c>
      <c r="C26" s="21" t="s">
        <v>78</v>
      </c>
      <c r="D26" s="31" t="s">
        <v>79</v>
      </c>
      <c r="E26" s="32" t="s">
        <v>80</v>
      </c>
      <c r="F26" s="33">
        <v>200000</v>
      </c>
      <c r="G26" s="34">
        <v>2848.9</v>
      </c>
      <c r="H26" s="34">
        <v>2.17</v>
      </c>
      <c r="I26" s="35"/>
      <c r="J26" s="35"/>
      <c r="K26" s="36"/>
    </row>
    <row r="27" spans="2:11">
      <c r="B27" s="1" t="s">
        <v>81</v>
      </c>
      <c r="C27" s="21" t="s">
        <v>82</v>
      </c>
      <c r="D27" s="31" t="s">
        <v>83</v>
      </c>
      <c r="E27" s="32" t="s">
        <v>84</v>
      </c>
      <c r="F27" s="33">
        <v>204000</v>
      </c>
      <c r="G27" s="34">
        <v>2653.94</v>
      </c>
      <c r="H27" s="34">
        <v>2.02</v>
      </c>
      <c r="I27" s="35"/>
      <c r="J27" s="35"/>
      <c r="K27" s="36"/>
    </row>
    <row r="28" spans="2:11">
      <c r="B28" s="1" t="s">
        <v>85</v>
      </c>
      <c r="C28" s="21" t="s">
        <v>86</v>
      </c>
      <c r="D28" s="31" t="s">
        <v>87</v>
      </c>
      <c r="E28" s="32" t="s">
        <v>27</v>
      </c>
      <c r="F28" s="33">
        <v>175000</v>
      </c>
      <c r="G28" s="34">
        <v>2498.91</v>
      </c>
      <c r="H28" s="34">
        <v>1.9</v>
      </c>
      <c r="I28" s="35"/>
      <c r="J28" s="35"/>
      <c r="K28" s="36"/>
    </row>
    <row r="29" spans="2:11">
      <c r="B29" s="1" t="s">
        <v>88</v>
      </c>
      <c r="C29" s="21" t="s">
        <v>89</v>
      </c>
      <c r="D29" s="31" t="s">
        <v>90</v>
      </c>
      <c r="E29" s="32" t="s">
        <v>91</v>
      </c>
      <c r="F29" s="33">
        <v>500000</v>
      </c>
      <c r="G29" s="34">
        <v>2457.75</v>
      </c>
      <c r="H29" s="34">
        <v>1.87</v>
      </c>
      <c r="I29" s="35"/>
      <c r="J29" s="35"/>
      <c r="K29" s="36"/>
    </row>
    <row r="30" spans="2:11">
      <c r="B30" s="1" t="s">
        <v>92</v>
      </c>
      <c r="C30" s="21" t="s">
        <v>93</v>
      </c>
      <c r="D30" s="31" t="s">
        <v>94</v>
      </c>
      <c r="E30" s="32" t="s">
        <v>19</v>
      </c>
      <c r="F30" s="33">
        <v>1700000</v>
      </c>
      <c r="G30" s="34">
        <v>2398.6999999999998</v>
      </c>
      <c r="H30" s="34">
        <v>1.83</v>
      </c>
      <c r="I30" s="35"/>
      <c r="J30" s="35"/>
      <c r="K30" s="36"/>
    </row>
    <row r="31" spans="2:11">
      <c r="B31" s="1" t="s">
        <v>95</v>
      </c>
      <c r="C31" s="21" t="s">
        <v>96</v>
      </c>
      <c r="D31" s="31" t="s">
        <v>97</v>
      </c>
      <c r="E31" s="32" t="s">
        <v>98</v>
      </c>
      <c r="F31" s="33">
        <v>200000</v>
      </c>
      <c r="G31" s="34">
        <v>2317.4</v>
      </c>
      <c r="H31" s="34">
        <v>1.77</v>
      </c>
      <c r="I31" s="35"/>
      <c r="J31" s="35"/>
      <c r="K31" s="36"/>
    </row>
    <row r="32" spans="2:11">
      <c r="B32" s="1" t="s">
        <v>99</v>
      </c>
      <c r="C32" s="21" t="s">
        <v>100</v>
      </c>
      <c r="D32" s="31" t="s">
        <v>101</v>
      </c>
      <c r="E32" s="32" t="s">
        <v>27</v>
      </c>
      <c r="F32" s="33">
        <v>60000</v>
      </c>
      <c r="G32" s="34">
        <v>2288.46</v>
      </c>
      <c r="H32" s="34">
        <v>1.74</v>
      </c>
      <c r="I32" s="35"/>
      <c r="J32" s="35"/>
      <c r="K32" s="36"/>
    </row>
    <row r="33" spans="2:11">
      <c r="B33" s="1" t="s">
        <v>102</v>
      </c>
      <c r="C33" s="21" t="s">
        <v>103</v>
      </c>
      <c r="D33" s="31" t="s">
        <v>104</v>
      </c>
      <c r="E33" s="32" t="s">
        <v>98</v>
      </c>
      <c r="F33" s="33">
        <v>27500</v>
      </c>
      <c r="G33" s="34">
        <v>2280.34</v>
      </c>
      <c r="H33" s="34">
        <v>1.74</v>
      </c>
      <c r="I33" s="35"/>
      <c r="J33" s="35"/>
      <c r="K33" s="36"/>
    </row>
    <row r="34" spans="2:11">
      <c r="B34" s="1" t="s">
        <v>105</v>
      </c>
      <c r="C34" s="21" t="s">
        <v>106</v>
      </c>
      <c r="D34" s="31" t="s">
        <v>107</v>
      </c>
      <c r="E34" s="32" t="s">
        <v>76</v>
      </c>
      <c r="F34" s="33">
        <v>1300000</v>
      </c>
      <c r="G34" s="34">
        <v>2276.3000000000002</v>
      </c>
      <c r="H34" s="34">
        <v>1.73</v>
      </c>
      <c r="I34" s="35"/>
      <c r="J34" s="35"/>
      <c r="K34" s="36"/>
    </row>
    <row r="35" spans="2:11">
      <c r="B35" s="1" t="s">
        <v>108</v>
      </c>
      <c r="C35" s="21" t="s">
        <v>109</v>
      </c>
      <c r="D35" s="31" t="s">
        <v>110</v>
      </c>
      <c r="E35" s="32" t="s">
        <v>19</v>
      </c>
      <c r="F35" s="33">
        <v>250000</v>
      </c>
      <c r="G35" s="34">
        <v>2146.25</v>
      </c>
      <c r="H35" s="34">
        <v>1.64</v>
      </c>
      <c r="I35" s="35"/>
      <c r="J35" s="35"/>
      <c r="K35" s="36"/>
    </row>
    <row r="36" spans="2:11">
      <c r="B36" s="1" t="s">
        <v>111</v>
      </c>
      <c r="C36" s="21" t="s">
        <v>112</v>
      </c>
      <c r="D36" s="31" t="s">
        <v>113</v>
      </c>
      <c r="E36" s="32" t="s">
        <v>114</v>
      </c>
      <c r="F36" s="33">
        <v>11000</v>
      </c>
      <c r="G36" s="34">
        <v>2130.69</v>
      </c>
      <c r="H36" s="34">
        <v>1.62</v>
      </c>
      <c r="I36" s="35"/>
      <c r="J36" s="35"/>
      <c r="K36" s="36"/>
    </row>
    <row r="37" spans="2:11">
      <c r="B37" s="1" t="s">
        <v>115</v>
      </c>
      <c r="C37" s="21" t="s">
        <v>116</v>
      </c>
      <c r="D37" s="31" t="s">
        <v>117</v>
      </c>
      <c r="E37" s="32" t="s">
        <v>114</v>
      </c>
      <c r="F37" s="33">
        <v>546219</v>
      </c>
      <c r="G37" s="34">
        <v>1916.14</v>
      </c>
      <c r="H37" s="34">
        <v>1.46</v>
      </c>
      <c r="I37" s="35"/>
      <c r="J37" s="35"/>
      <c r="K37" s="36"/>
    </row>
    <row r="38" spans="2:11">
      <c r="B38" s="1" t="s">
        <v>118</v>
      </c>
      <c r="C38" s="21" t="s">
        <v>119</v>
      </c>
      <c r="D38" s="31" t="s">
        <v>120</v>
      </c>
      <c r="E38" s="32" t="s">
        <v>27</v>
      </c>
      <c r="F38" s="33">
        <v>175000</v>
      </c>
      <c r="G38" s="34">
        <v>1899.19</v>
      </c>
      <c r="H38" s="34">
        <v>1.45</v>
      </c>
      <c r="I38" s="35"/>
      <c r="J38" s="35"/>
      <c r="K38" s="36"/>
    </row>
    <row r="39" spans="2:11">
      <c r="B39" s="1" t="s">
        <v>121</v>
      </c>
      <c r="C39" s="21" t="s">
        <v>122</v>
      </c>
      <c r="D39" s="31" t="s">
        <v>123</v>
      </c>
      <c r="E39" s="32" t="s">
        <v>23</v>
      </c>
      <c r="F39" s="33">
        <v>800000</v>
      </c>
      <c r="G39" s="34">
        <v>1894.4</v>
      </c>
      <c r="H39" s="34">
        <v>1.44</v>
      </c>
      <c r="I39" s="35"/>
      <c r="J39" s="35"/>
      <c r="K39" s="36"/>
    </row>
    <row r="40" spans="2:11">
      <c r="B40" s="1" t="s">
        <v>124</v>
      </c>
      <c r="C40" s="21" t="s">
        <v>125</v>
      </c>
      <c r="D40" s="31" t="s">
        <v>126</v>
      </c>
      <c r="E40" s="32" t="s">
        <v>127</v>
      </c>
      <c r="F40" s="33">
        <v>95000</v>
      </c>
      <c r="G40" s="34">
        <v>1882.76</v>
      </c>
      <c r="H40" s="34">
        <v>1.43</v>
      </c>
      <c r="I40" s="35"/>
      <c r="J40" s="35"/>
      <c r="K40" s="36"/>
    </row>
    <row r="41" spans="2:11">
      <c r="B41" s="1" t="s">
        <v>128</v>
      </c>
      <c r="C41" s="21" t="s">
        <v>129</v>
      </c>
      <c r="D41" s="31" t="s">
        <v>130</v>
      </c>
      <c r="E41" s="32" t="s">
        <v>131</v>
      </c>
      <c r="F41" s="33">
        <v>130000</v>
      </c>
      <c r="G41" s="34">
        <v>1792.9</v>
      </c>
      <c r="H41" s="34">
        <v>1.37</v>
      </c>
      <c r="I41" s="35"/>
      <c r="J41" s="35"/>
      <c r="K41" s="36"/>
    </row>
    <row r="42" spans="2:11">
      <c r="B42" s="1" t="s">
        <v>132</v>
      </c>
      <c r="C42" s="21" t="s">
        <v>133</v>
      </c>
      <c r="D42" s="31" t="s">
        <v>134</v>
      </c>
      <c r="E42" s="32" t="s">
        <v>127</v>
      </c>
      <c r="F42" s="33">
        <v>60000</v>
      </c>
      <c r="G42" s="34">
        <v>1728.03</v>
      </c>
      <c r="H42" s="34">
        <v>1.32</v>
      </c>
      <c r="I42" s="35"/>
      <c r="J42" s="35"/>
      <c r="K42" s="36"/>
    </row>
    <row r="43" spans="2:11">
      <c r="B43" s="1" t="s">
        <v>135</v>
      </c>
      <c r="C43" s="21" t="s">
        <v>136</v>
      </c>
      <c r="D43" s="31" t="s">
        <v>137</v>
      </c>
      <c r="E43" s="32" t="s">
        <v>19</v>
      </c>
      <c r="F43" s="33">
        <v>300000</v>
      </c>
      <c r="G43" s="34">
        <v>1571.25</v>
      </c>
      <c r="H43" s="34">
        <v>1.2</v>
      </c>
      <c r="I43" s="35"/>
      <c r="J43" s="35"/>
      <c r="K43" s="36"/>
    </row>
    <row r="44" spans="2:11">
      <c r="B44" s="1" t="s">
        <v>138</v>
      </c>
      <c r="C44" s="21" t="s">
        <v>139</v>
      </c>
      <c r="D44" s="31" t="s">
        <v>140</v>
      </c>
      <c r="E44" s="32" t="s">
        <v>80</v>
      </c>
      <c r="F44" s="33">
        <v>200000</v>
      </c>
      <c r="G44" s="34">
        <v>1512.6</v>
      </c>
      <c r="H44" s="34">
        <v>1.1499999999999999</v>
      </c>
      <c r="I44" s="35"/>
      <c r="J44" s="35"/>
      <c r="K44" s="36"/>
    </row>
    <row r="45" spans="2:11">
      <c r="B45" s="1" t="s">
        <v>141</v>
      </c>
      <c r="C45" s="21" t="s">
        <v>142</v>
      </c>
      <c r="D45" s="31" t="s">
        <v>143</v>
      </c>
      <c r="E45" s="32" t="s">
        <v>91</v>
      </c>
      <c r="F45" s="33">
        <v>150000</v>
      </c>
      <c r="G45" s="34">
        <v>1474.65</v>
      </c>
      <c r="H45" s="34">
        <v>1.1200000000000001</v>
      </c>
      <c r="I45" s="35"/>
      <c r="J45" s="35"/>
      <c r="K45" s="36"/>
    </row>
    <row r="46" spans="2:11">
      <c r="B46" s="1" t="s">
        <v>144</v>
      </c>
      <c r="C46" s="21" t="s">
        <v>145</v>
      </c>
      <c r="D46" s="31" t="s">
        <v>146</v>
      </c>
      <c r="E46" s="32" t="s">
        <v>147</v>
      </c>
      <c r="F46" s="33">
        <v>95208</v>
      </c>
      <c r="G46" s="34">
        <v>1460.49</v>
      </c>
      <c r="H46" s="34">
        <v>1.1100000000000001</v>
      </c>
      <c r="I46" s="35"/>
      <c r="J46" s="35"/>
      <c r="K46" s="36"/>
    </row>
    <row r="47" spans="2:11">
      <c r="B47" s="1" t="s">
        <v>148</v>
      </c>
      <c r="C47" s="21" t="s">
        <v>149</v>
      </c>
      <c r="D47" s="31" t="s">
        <v>150</v>
      </c>
      <c r="E47" s="32" t="s">
        <v>84</v>
      </c>
      <c r="F47" s="33">
        <v>400000</v>
      </c>
      <c r="G47" s="34">
        <v>1408.4</v>
      </c>
      <c r="H47" s="34">
        <v>1.07</v>
      </c>
      <c r="I47" s="35"/>
      <c r="J47" s="35"/>
      <c r="K47" s="36"/>
    </row>
    <row r="48" spans="2:11">
      <c r="B48" s="1" t="s">
        <v>151</v>
      </c>
      <c r="C48" s="21" t="s">
        <v>152</v>
      </c>
      <c r="D48" s="31" t="s">
        <v>153</v>
      </c>
      <c r="E48" s="32" t="s">
        <v>27</v>
      </c>
      <c r="F48" s="33">
        <v>30000</v>
      </c>
      <c r="G48" s="34">
        <v>1382.85</v>
      </c>
      <c r="H48" s="34">
        <v>1.05</v>
      </c>
      <c r="I48" s="35"/>
      <c r="J48" s="35"/>
      <c r="K48" s="36"/>
    </row>
    <row r="49" spans="2:11">
      <c r="B49" s="1" t="s">
        <v>154</v>
      </c>
      <c r="C49" s="21" t="s">
        <v>155</v>
      </c>
      <c r="D49" s="31" t="s">
        <v>156</v>
      </c>
      <c r="E49" s="32" t="s">
        <v>157</v>
      </c>
      <c r="F49" s="33">
        <v>1200000</v>
      </c>
      <c r="G49" s="34">
        <v>1338.6</v>
      </c>
      <c r="H49" s="34">
        <v>1.02</v>
      </c>
      <c r="I49" s="35"/>
      <c r="J49" s="35"/>
      <c r="K49" s="36"/>
    </row>
    <row r="50" spans="2:11">
      <c r="B50" s="1" t="s">
        <v>158</v>
      </c>
      <c r="C50" s="21" t="s">
        <v>159</v>
      </c>
      <c r="D50" s="31" t="s">
        <v>160</v>
      </c>
      <c r="E50" s="32" t="s">
        <v>114</v>
      </c>
      <c r="F50" s="33">
        <v>40000</v>
      </c>
      <c r="G50" s="34">
        <v>1302.1199999999999</v>
      </c>
      <c r="H50" s="34">
        <v>0.99</v>
      </c>
      <c r="I50" s="35"/>
      <c r="J50" s="35"/>
      <c r="K50" s="36"/>
    </row>
    <row r="51" spans="2:11">
      <c r="B51" s="1" t="s">
        <v>161</v>
      </c>
      <c r="C51" s="21" t="s">
        <v>162</v>
      </c>
      <c r="D51" s="31" t="s">
        <v>163</v>
      </c>
      <c r="E51" s="32" t="s">
        <v>131</v>
      </c>
      <c r="F51" s="33">
        <v>50000</v>
      </c>
      <c r="G51" s="34">
        <v>1257.45</v>
      </c>
      <c r="H51" s="34">
        <v>0.96</v>
      </c>
      <c r="I51" s="35"/>
      <c r="J51" s="35"/>
      <c r="K51" s="36"/>
    </row>
    <row r="52" spans="2:11">
      <c r="B52" s="1" t="s">
        <v>164</v>
      </c>
      <c r="C52" s="21" t="s">
        <v>165</v>
      </c>
      <c r="D52" s="31" t="s">
        <v>166</v>
      </c>
      <c r="E52" s="32" t="s">
        <v>46</v>
      </c>
      <c r="F52" s="33">
        <v>35187</v>
      </c>
      <c r="G52" s="34">
        <v>1176.44</v>
      </c>
      <c r="H52" s="34">
        <v>0.9</v>
      </c>
      <c r="I52" s="35"/>
      <c r="J52" s="35"/>
      <c r="K52" s="36"/>
    </row>
    <row r="53" spans="2:11">
      <c r="B53" s="1" t="s">
        <v>167</v>
      </c>
      <c r="C53" s="21" t="s">
        <v>40</v>
      </c>
      <c r="D53" s="31" t="s">
        <v>168</v>
      </c>
      <c r="E53" s="32" t="s">
        <v>42</v>
      </c>
      <c r="F53" s="33">
        <v>73800</v>
      </c>
      <c r="G53" s="34">
        <v>396.49</v>
      </c>
      <c r="H53" s="34">
        <v>0.3</v>
      </c>
      <c r="I53" s="35"/>
      <c r="J53" s="35"/>
      <c r="K53" s="36" t="s">
        <v>169</v>
      </c>
    </row>
    <row r="54" spans="2:11">
      <c r="C54" s="30" t="s">
        <v>170</v>
      </c>
      <c r="D54" s="31"/>
      <c r="E54" s="32"/>
      <c r="F54" s="33"/>
      <c r="G54" s="38">
        <v>124456.34</v>
      </c>
      <c r="H54" s="38">
        <v>94.83</v>
      </c>
      <c r="I54" s="35"/>
      <c r="J54" s="35"/>
      <c r="K54" s="36"/>
    </row>
    <row r="55" spans="2:11">
      <c r="C55" s="21"/>
      <c r="D55" s="31"/>
      <c r="E55" s="32"/>
      <c r="F55" s="33"/>
      <c r="G55" s="34"/>
      <c r="H55" s="34"/>
      <c r="I55" s="35"/>
      <c r="J55" s="35"/>
      <c r="K55" s="36"/>
    </row>
    <row r="56" spans="2:11">
      <c r="C56" s="30" t="s">
        <v>171</v>
      </c>
      <c r="D56" s="31"/>
      <c r="E56" s="32"/>
      <c r="F56" s="33"/>
      <c r="G56" s="34" t="s">
        <v>172</v>
      </c>
      <c r="H56" s="34" t="s">
        <v>172</v>
      </c>
      <c r="I56" s="35"/>
      <c r="J56" s="35"/>
      <c r="K56" s="36"/>
    </row>
    <row r="57" spans="2:11">
      <c r="C57" s="21"/>
      <c r="D57" s="31"/>
      <c r="E57" s="32"/>
      <c r="F57" s="33"/>
      <c r="G57" s="34"/>
      <c r="H57" s="34"/>
      <c r="I57" s="35"/>
      <c r="J57" s="35"/>
      <c r="K57" s="36"/>
    </row>
    <row r="58" spans="2:11">
      <c r="C58" s="30" t="s">
        <v>173</v>
      </c>
      <c r="D58" s="31"/>
      <c r="E58" s="32"/>
      <c r="F58" s="33"/>
      <c r="G58" s="34" t="s">
        <v>172</v>
      </c>
      <c r="H58" s="34" t="s">
        <v>172</v>
      </c>
      <c r="I58" s="35"/>
      <c r="J58" s="35"/>
      <c r="K58" s="36"/>
    </row>
    <row r="59" spans="2:11">
      <c r="C59" s="21"/>
      <c r="D59" s="31"/>
      <c r="E59" s="32"/>
      <c r="F59" s="33"/>
      <c r="G59" s="34"/>
      <c r="H59" s="34"/>
      <c r="I59" s="35"/>
      <c r="J59" s="35"/>
      <c r="K59" s="36"/>
    </row>
    <row r="60" spans="2:11">
      <c r="C60" s="30" t="s">
        <v>174</v>
      </c>
      <c r="D60" s="31"/>
      <c r="E60" s="32"/>
      <c r="F60" s="33"/>
      <c r="G60" s="34"/>
      <c r="H60" s="34"/>
      <c r="I60" s="35"/>
      <c r="J60" s="35"/>
      <c r="K60" s="36"/>
    </row>
    <row r="61" spans="2:11">
      <c r="C61" s="21"/>
      <c r="D61" s="31"/>
      <c r="E61" s="32"/>
      <c r="F61" s="33"/>
      <c r="G61" s="34"/>
      <c r="H61" s="34"/>
      <c r="I61" s="35"/>
      <c r="J61" s="35"/>
      <c r="K61" s="36"/>
    </row>
    <row r="62" spans="2:11">
      <c r="C62" s="30" t="s">
        <v>175</v>
      </c>
      <c r="D62" s="31"/>
      <c r="E62" s="32"/>
      <c r="F62" s="33"/>
      <c r="G62" s="34" t="s">
        <v>172</v>
      </c>
      <c r="H62" s="34" t="s">
        <v>172</v>
      </c>
      <c r="I62" s="35"/>
      <c r="J62" s="35"/>
      <c r="K62" s="36"/>
    </row>
    <row r="63" spans="2:11">
      <c r="C63" s="21"/>
      <c r="D63" s="31"/>
      <c r="E63" s="32"/>
      <c r="F63" s="33"/>
      <c r="G63" s="34"/>
      <c r="H63" s="34"/>
      <c r="I63" s="35"/>
      <c r="J63" s="35"/>
      <c r="K63" s="36"/>
    </row>
    <row r="64" spans="2:11">
      <c r="C64" s="30" t="s">
        <v>176</v>
      </c>
      <c r="D64" s="31"/>
      <c r="E64" s="32"/>
      <c r="F64" s="33"/>
      <c r="G64" s="34" t="s">
        <v>172</v>
      </c>
      <c r="H64" s="34" t="s">
        <v>172</v>
      </c>
      <c r="I64" s="35"/>
      <c r="J64" s="35"/>
      <c r="K64" s="36"/>
    </row>
    <row r="65" spans="3:11">
      <c r="C65" s="21"/>
      <c r="D65" s="31"/>
      <c r="E65" s="32"/>
      <c r="F65" s="33"/>
      <c r="G65" s="34"/>
      <c r="H65" s="34"/>
      <c r="I65" s="35"/>
      <c r="J65" s="35"/>
      <c r="K65" s="36"/>
    </row>
    <row r="66" spans="3:11">
      <c r="C66" s="30" t="s">
        <v>177</v>
      </c>
      <c r="D66" s="31"/>
      <c r="E66" s="32"/>
      <c r="F66" s="33"/>
      <c r="G66" s="34" t="s">
        <v>172</v>
      </c>
      <c r="H66" s="34" t="s">
        <v>172</v>
      </c>
      <c r="I66" s="35"/>
      <c r="J66" s="35"/>
      <c r="K66" s="36"/>
    </row>
    <row r="67" spans="3:11">
      <c r="C67" s="21"/>
      <c r="D67" s="31"/>
      <c r="E67" s="32"/>
      <c r="F67" s="33"/>
      <c r="G67" s="34"/>
      <c r="H67" s="34"/>
      <c r="I67" s="35"/>
      <c r="J67" s="35"/>
      <c r="K67" s="36"/>
    </row>
    <row r="68" spans="3:11">
      <c r="C68" s="30" t="s">
        <v>178</v>
      </c>
      <c r="D68" s="31"/>
      <c r="E68" s="32"/>
      <c r="F68" s="33"/>
      <c r="G68" s="34" t="s">
        <v>172</v>
      </c>
      <c r="H68" s="34" t="s">
        <v>172</v>
      </c>
      <c r="I68" s="35"/>
      <c r="J68" s="35"/>
      <c r="K68" s="36"/>
    </row>
    <row r="69" spans="3:11">
      <c r="C69" s="21"/>
      <c r="D69" s="31"/>
      <c r="E69" s="32"/>
      <c r="F69" s="33"/>
      <c r="G69" s="34"/>
      <c r="H69" s="34"/>
      <c r="I69" s="35"/>
      <c r="J69" s="35"/>
      <c r="K69" s="36"/>
    </row>
    <row r="70" spans="3:11">
      <c r="C70" s="30" t="s">
        <v>179</v>
      </c>
      <c r="D70" s="31"/>
      <c r="E70" s="32"/>
      <c r="F70" s="33"/>
      <c r="G70" s="34" t="s">
        <v>172</v>
      </c>
      <c r="H70" s="34" t="s">
        <v>172</v>
      </c>
      <c r="I70" s="35"/>
      <c r="J70" s="35"/>
      <c r="K70" s="36"/>
    </row>
    <row r="71" spans="3:11">
      <c r="C71" s="21"/>
      <c r="D71" s="31"/>
      <c r="E71" s="32"/>
      <c r="F71" s="33"/>
      <c r="G71" s="34"/>
      <c r="H71" s="34"/>
      <c r="I71" s="35"/>
      <c r="J71" s="35"/>
      <c r="K71" s="36"/>
    </row>
    <row r="72" spans="3:11">
      <c r="C72" s="30" t="s">
        <v>180</v>
      </c>
      <c r="D72" s="31"/>
      <c r="E72" s="32"/>
      <c r="F72" s="33"/>
      <c r="G72" s="34"/>
      <c r="H72" s="34"/>
      <c r="I72" s="35"/>
      <c r="J72" s="35"/>
      <c r="K72" s="36"/>
    </row>
    <row r="73" spans="3:11">
      <c r="C73" s="21"/>
      <c r="D73" s="31"/>
      <c r="E73" s="32"/>
      <c r="F73" s="33"/>
      <c r="G73" s="34"/>
      <c r="H73" s="34"/>
      <c r="I73" s="35"/>
      <c r="J73" s="35"/>
      <c r="K73" s="36"/>
    </row>
    <row r="74" spans="3:11">
      <c r="C74" s="30" t="s">
        <v>181</v>
      </c>
      <c r="D74" s="31"/>
      <c r="E74" s="32"/>
      <c r="F74" s="33"/>
      <c r="G74" s="34" t="s">
        <v>172</v>
      </c>
      <c r="H74" s="34" t="s">
        <v>172</v>
      </c>
      <c r="I74" s="35"/>
      <c r="J74" s="35"/>
      <c r="K74" s="36"/>
    </row>
    <row r="75" spans="3:11">
      <c r="C75" s="21"/>
      <c r="D75" s="31"/>
      <c r="E75" s="32"/>
      <c r="F75" s="33"/>
      <c r="G75" s="34"/>
      <c r="H75" s="34"/>
      <c r="I75" s="35"/>
      <c r="J75" s="35"/>
      <c r="K75" s="36"/>
    </row>
    <row r="76" spans="3:11">
      <c r="C76" s="30" t="s">
        <v>182</v>
      </c>
      <c r="D76" s="31"/>
      <c r="E76" s="32"/>
      <c r="F76" s="33"/>
      <c r="G76" s="34" t="s">
        <v>172</v>
      </c>
      <c r="H76" s="34" t="s">
        <v>172</v>
      </c>
      <c r="I76" s="35"/>
      <c r="J76" s="35"/>
      <c r="K76" s="36"/>
    </row>
    <row r="77" spans="3:11">
      <c r="C77" s="21"/>
      <c r="D77" s="31"/>
      <c r="E77" s="32"/>
      <c r="F77" s="33"/>
      <c r="G77" s="34"/>
      <c r="H77" s="34"/>
      <c r="I77" s="35"/>
      <c r="J77" s="35"/>
      <c r="K77" s="36"/>
    </row>
    <row r="78" spans="3:11">
      <c r="C78" s="30" t="s">
        <v>183</v>
      </c>
      <c r="D78" s="31"/>
      <c r="E78" s="32"/>
      <c r="F78" s="33"/>
      <c r="G78" s="34" t="s">
        <v>172</v>
      </c>
      <c r="H78" s="34" t="s">
        <v>172</v>
      </c>
      <c r="I78" s="35"/>
      <c r="J78" s="35"/>
      <c r="K78" s="36"/>
    </row>
    <row r="79" spans="3:11">
      <c r="C79" s="21"/>
      <c r="D79" s="31"/>
      <c r="E79" s="32"/>
      <c r="F79" s="33"/>
      <c r="G79" s="34"/>
      <c r="H79" s="34"/>
      <c r="I79" s="35"/>
      <c r="J79" s="35"/>
      <c r="K79" s="36"/>
    </row>
    <row r="80" spans="3:11">
      <c r="C80" s="30" t="s">
        <v>184</v>
      </c>
      <c r="D80" s="31"/>
      <c r="E80" s="32"/>
      <c r="F80" s="33"/>
      <c r="G80" s="34" t="s">
        <v>172</v>
      </c>
      <c r="H80" s="34" t="s">
        <v>172</v>
      </c>
      <c r="I80" s="35"/>
      <c r="J80" s="35"/>
      <c r="K80" s="36"/>
    </row>
    <row r="81" spans="1:11">
      <c r="C81" s="21"/>
      <c r="D81" s="31"/>
      <c r="E81" s="32"/>
      <c r="F81" s="33"/>
      <c r="G81" s="34"/>
      <c r="H81" s="34"/>
      <c r="I81" s="35"/>
      <c r="J81" s="35"/>
      <c r="K81" s="36"/>
    </row>
    <row r="82" spans="1:11">
      <c r="A82" s="28"/>
      <c r="B82" s="29"/>
      <c r="C82" s="30" t="s">
        <v>185</v>
      </c>
      <c r="D82" s="31"/>
      <c r="E82" s="32"/>
      <c r="F82" s="33"/>
      <c r="G82" s="34"/>
      <c r="H82" s="34"/>
      <c r="I82" s="35"/>
      <c r="J82" s="35"/>
      <c r="K82" s="36"/>
    </row>
    <row r="83" spans="1:11">
      <c r="A83" s="29"/>
      <c r="B83" s="29"/>
      <c r="C83" s="30" t="s">
        <v>186</v>
      </c>
      <c r="D83" s="31"/>
      <c r="E83" s="32"/>
      <c r="F83" s="33"/>
      <c r="G83" s="34" t="s">
        <v>172</v>
      </c>
      <c r="H83" s="34" t="s">
        <v>172</v>
      </c>
      <c r="I83" s="35"/>
      <c r="J83" s="35"/>
      <c r="K83" s="36"/>
    </row>
    <row r="84" spans="1:11">
      <c r="A84" s="29"/>
      <c r="B84" s="29"/>
      <c r="C84" s="30"/>
      <c r="D84" s="31"/>
      <c r="E84" s="32"/>
      <c r="F84" s="33"/>
      <c r="G84" s="34"/>
      <c r="H84" s="34"/>
      <c r="I84" s="35"/>
      <c r="J84" s="35"/>
      <c r="K84" s="36"/>
    </row>
    <row r="85" spans="1:11">
      <c r="A85" s="29"/>
      <c r="B85" s="29"/>
      <c r="C85" s="30" t="s">
        <v>187</v>
      </c>
      <c r="D85" s="31"/>
      <c r="E85" s="32"/>
      <c r="F85" s="33"/>
      <c r="G85" s="34" t="s">
        <v>172</v>
      </c>
      <c r="H85" s="34" t="s">
        <v>172</v>
      </c>
      <c r="I85" s="35"/>
      <c r="J85" s="35"/>
      <c r="K85" s="36"/>
    </row>
    <row r="86" spans="1:11">
      <c r="A86" s="29"/>
      <c r="B86" s="29"/>
      <c r="C86" s="30"/>
      <c r="D86" s="31"/>
      <c r="E86" s="32"/>
      <c r="F86" s="33"/>
      <c r="G86" s="34"/>
      <c r="H86" s="34"/>
      <c r="I86" s="35"/>
      <c r="J86" s="35"/>
      <c r="K86" s="36"/>
    </row>
    <row r="87" spans="1:11">
      <c r="A87" s="29"/>
      <c r="B87" s="29"/>
      <c r="C87" s="30" t="s">
        <v>188</v>
      </c>
      <c r="D87" s="31"/>
      <c r="E87" s="32"/>
      <c r="F87" s="33"/>
      <c r="G87" s="34" t="s">
        <v>172</v>
      </c>
      <c r="H87" s="34" t="s">
        <v>172</v>
      </c>
      <c r="I87" s="35"/>
      <c r="J87" s="35"/>
      <c r="K87" s="36"/>
    </row>
    <row r="88" spans="1:11">
      <c r="A88" s="29"/>
      <c r="B88" s="29"/>
      <c r="C88" s="30"/>
      <c r="D88" s="31"/>
      <c r="E88" s="32"/>
      <c r="F88" s="33"/>
      <c r="G88" s="34"/>
      <c r="H88" s="34"/>
      <c r="I88" s="35"/>
      <c r="J88" s="35"/>
      <c r="K88" s="36"/>
    </row>
    <row r="89" spans="1:11">
      <c r="A89" s="29"/>
      <c r="B89" s="29"/>
      <c r="C89" s="30" t="s">
        <v>189</v>
      </c>
      <c r="D89" s="31"/>
      <c r="E89" s="32"/>
      <c r="F89" s="33"/>
      <c r="G89" s="34" t="s">
        <v>172</v>
      </c>
      <c r="H89" s="34" t="s">
        <v>172</v>
      </c>
      <c r="I89" s="35"/>
      <c r="J89" s="35"/>
      <c r="K89" s="36"/>
    </row>
    <row r="90" spans="1:11">
      <c r="A90" s="29"/>
      <c r="B90" s="29"/>
      <c r="C90" s="30"/>
      <c r="D90" s="31"/>
      <c r="E90" s="32"/>
      <c r="F90" s="33"/>
      <c r="G90" s="34"/>
      <c r="H90" s="34"/>
      <c r="I90" s="35"/>
      <c r="J90" s="35"/>
      <c r="K90" s="36"/>
    </row>
    <row r="91" spans="1:11">
      <c r="C91" s="37" t="s">
        <v>190</v>
      </c>
      <c r="D91" s="31"/>
      <c r="E91" s="32"/>
      <c r="F91" s="33"/>
      <c r="G91" s="34"/>
      <c r="H91" s="34"/>
      <c r="I91" s="35"/>
      <c r="J91" s="35"/>
      <c r="K91" s="36"/>
    </row>
    <row r="92" spans="1:11">
      <c r="B92" s="1" t="s">
        <v>191</v>
      </c>
      <c r="C92" s="21" t="s">
        <v>192</v>
      </c>
      <c r="D92" s="31"/>
      <c r="E92" s="32"/>
      <c r="F92" s="33"/>
      <c r="G92" s="34">
        <v>6565.45</v>
      </c>
      <c r="H92" s="34">
        <v>5</v>
      </c>
      <c r="I92" s="35">
        <v>7.14</v>
      </c>
      <c r="J92" s="35"/>
      <c r="K92" s="36"/>
    </row>
    <row r="93" spans="1:11">
      <c r="C93" s="30" t="s">
        <v>170</v>
      </c>
      <c r="D93" s="31"/>
      <c r="E93" s="32"/>
      <c r="F93" s="33"/>
      <c r="G93" s="38">
        <v>6565.45</v>
      </c>
      <c r="H93" s="38">
        <v>5</v>
      </c>
      <c r="I93" s="35"/>
      <c r="J93" s="35"/>
      <c r="K93" s="36"/>
    </row>
    <row r="94" spans="1:11">
      <c r="C94" s="21"/>
      <c r="D94" s="31"/>
      <c r="E94" s="32"/>
      <c r="F94" s="33"/>
      <c r="G94" s="34"/>
      <c r="H94" s="34"/>
      <c r="I94" s="35"/>
      <c r="J94" s="35"/>
      <c r="K94" s="36"/>
    </row>
    <row r="95" spans="1:11">
      <c r="A95" s="28"/>
      <c r="B95" s="29"/>
      <c r="C95" s="30" t="s">
        <v>193</v>
      </c>
      <c r="D95" s="31"/>
      <c r="E95" s="32"/>
      <c r="F95" s="33"/>
      <c r="G95" s="34"/>
      <c r="H95" s="34"/>
      <c r="I95" s="35"/>
      <c r="J95" s="35"/>
      <c r="K95" s="36"/>
    </row>
    <row r="96" spans="1:11">
      <c r="B96" s="1"/>
      <c r="C96" s="21" t="s">
        <v>194</v>
      </c>
      <c r="D96" s="31"/>
      <c r="E96" s="32"/>
      <c r="F96" s="33"/>
      <c r="G96" s="34">
        <v>181.07</v>
      </c>
      <c r="H96" s="34">
        <v>0.17</v>
      </c>
      <c r="I96" s="35"/>
      <c r="J96" s="35"/>
      <c r="K96" s="36"/>
    </row>
    <row r="97" spans="3:54">
      <c r="C97" s="30" t="s">
        <v>170</v>
      </c>
      <c r="D97" s="31"/>
      <c r="E97" s="32"/>
      <c r="F97" s="33"/>
      <c r="G97" s="38">
        <v>181.07</v>
      </c>
      <c r="H97" s="38">
        <v>0.17</v>
      </c>
      <c r="I97" s="35"/>
      <c r="J97" s="35"/>
      <c r="K97" s="36"/>
    </row>
    <row r="98" spans="3:54">
      <c r="C98" s="21"/>
      <c r="D98" s="31"/>
      <c r="E98" s="32"/>
      <c r="F98" s="33"/>
      <c r="G98" s="34"/>
      <c r="H98" s="34"/>
      <c r="I98" s="35"/>
      <c r="J98" s="35"/>
      <c r="K98" s="36"/>
    </row>
    <row r="99" spans="3:54" ht="14.4" thickBot="1">
      <c r="C99" s="39" t="s">
        <v>195</v>
      </c>
      <c r="D99" s="40"/>
      <c r="E99" s="41"/>
      <c r="F99" s="42"/>
      <c r="G99" s="43">
        <v>131202.85999999999</v>
      </c>
      <c r="H99" s="43">
        <f>SUMIFS(H:H,C:C,"Total")</f>
        <v>100</v>
      </c>
      <c r="I99" s="44"/>
      <c r="J99" s="44"/>
      <c r="K99" s="45"/>
    </row>
    <row r="102" spans="3:54">
      <c r="C102" s="11" t="s">
        <v>196</v>
      </c>
    </row>
    <row r="103" spans="3:54">
      <c r="C103" s="2" t="s">
        <v>197</v>
      </c>
    </row>
    <row r="104" spans="3:54">
      <c r="C104" s="46" t="s">
        <v>198</v>
      </c>
    </row>
    <row r="105" spans="3:54">
      <c r="C105" s="2" t="s">
        <v>199</v>
      </c>
    </row>
    <row r="106" spans="3:54">
      <c r="C106" s="2" t="s">
        <v>200</v>
      </c>
    </row>
    <row r="107" spans="3:54">
      <c r="C107" s="2" t="s">
        <v>201</v>
      </c>
      <c r="D107" s="47"/>
      <c r="E107" s="47"/>
      <c r="F107" s="47"/>
      <c r="G107" s="48"/>
      <c r="H107" s="48"/>
    </row>
    <row r="108" spans="3:54">
      <c r="C108" s="2" t="s">
        <v>202</v>
      </c>
    </row>
    <row r="109" spans="3:54">
      <c r="C109" s="2" t="s">
        <v>203</v>
      </c>
    </row>
    <row r="110" spans="3:54">
      <c r="C110" s="2" t="s">
        <v>204</v>
      </c>
    </row>
    <row r="111" spans="3:54">
      <c r="C111" s="2" t="s">
        <v>205</v>
      </c>
    </row>
    <row r="112" spans="3:54" s="11" customFormat="1">
      <c r="C112" s="11" t="s">
        <v>206</v>
      </c>
      <c r="E112" s="11" t="s">
        <v>207</v>
      </c>
      <c r="F112" s="49" t="s">
        <v>208</v>
      </c>
      <c r="G112" s="50"/>
      <c r="H112" s="50"/>
      <c r="I112" s="50"/>
      <c r="J112" s="50"/>
      <c r="K112" s="51"/>
      <c r="L112" s="51"/>
      <c r="AI112" s="51"/>
      <c r="AV112" s="51"/>
      <c r="AX112" s="51"/>
      <c r="BB112" s="51"/>
    </row>
    <row r="113" spans="3:6">
      <c r="C113" s="2" t="s">
        <v>209</v>
      </c>
      <c r="E113" s="52">
        <v>9.7636000000000003</v>
      </c>
      <c r="F113" s="53">
        <v>9.6638000000000002</v>
      </c>
    </row>
    <row r="114" spans="3:6">
      <c r="C114" s="2" t="s">
        <v>210</v>
      </c>
      <c r="E114" s="52">
        <v>9.7636000000000003</v>
      </c>
      <c r="F114" s="53">
        <v>9.6638000000000002</v>
      </c>
    </row>
    <row r="115" spans="3:6">
      <c r="C115" s="2" t="s">
        <v>211</v>
      </c>
      <c r="E115" s="52">
        <v>9.8595000000000006</v>
      </c>
      <c r="F115" s="53">
        <v>9.7734000000000005</v>
      </c>
    </row>
    <row r="116" spans="3:6">
      <c r="C116" s="2" t="s">
        <v>212</v>
      </c>
      <c r="E116" s="52">
        <v>9.8595000000000006</v>
      </c>
      <c r="F116" s="53">
        <v>9.7734000000000005</v>
      </c>
    </row>
    <row r="118" spans="3:6">
      <c r="C118" s="2" t="s">
        <v>213</v>
      </c>
    </row>
    <row r="120" spans="3:6">
      <c r="C120" s="2" t="s">
        <v>214</v>
      </c>
    </row>
    <row r="121" spans="3:6">
      <c r="C121" s="2" t="s">
        <v>215</v>
      </c>
    </row>
    <row r="122" spans="3:6">
      <c r="C122" s="2" t="s">
        <v>216</v>
      </c>
    </row>
    <row r="123" spans="3:6">
      <c r="C123" s="2" t="s">
        <v>217</v>
      </c>
    </row>
    <row r="124" spans="3:6">
      <c r="C124" s="2" t="s">
        <v>218</v>
      </c>
    </row>
    <row r="125" spans="3:6">
      <c r="C125" s="2" t="s">
        <v>219</v>
      </c>
    </row>
    <row r="126" spans="3:6">
      <c r="C126" s="2" t="s">
        <v>220</v>
      </c>
    </row>
    <row r="127" spans="3:6">
      <c r="C127" s="2" t="s">
        <v>221</v>
      </c>
    </row>
    <row r="128" spans="3:6">
      <c r="C128" s="2" t="s">
        <v>222</v>
      </c>
    </row>
    <row r="129" spans="3:11">
      <c r="C129" s="2" t="s">
        <v>223</v>
      </c>
    </row>
    <row r="130" spans="3:11">
      <c r="C130" s="2" t="s">
        <v>224</v>
      </c>
    </row>
    <row r="131" spans="3:11">
      <c r="C131" s="2" t="s">
        <v>225</v>
      </c>
    </row>
    <row r="132" spans="3:11" ht="14.4">
      <c r="C132" s="54"/>
      <c r="D132" s="54"/>
      <c r="E132" s="55"/>
      <c r="F132" s="55"/>
      <c r="G132" s="55"/>
      <c r="H132" s="55"/>
      <c r="I132" s="55"/>
      <c r="J132" s="55"/>
      <c r="K132" s="55"/>
    </row>
    <row r="133" spans="3:11" ht="14.4">
      <c r="C133" s="55"/>
      <c r="D133" s="55"/>
      <c r="E133" s="55"/>
      <c r="F133" s="55"/>
      <c r="G133" s="55"/>
      <c r="H133" s="55"/>
      <c r="I133" s="55"/>
      <c r="J133" s="55"/>
      <c r="K133" s="55"/>
    </row>
    <row r="134" spans="3:11" ht="14.4">
      <c r="C134" s="55"/>
      <c r="D134" s="55"/>
      <c r="E134" s="55"/>
      <c r="F134" s="55"/>
      <c r="G134" s="55"/>
      <c r="H134" s="55"/>
      <c r="I134" s="55"/>
      <c r="J134" s="55"/>
      <c r="K134" s="55"/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BC136"/>
  <sheetViews>
    <sheetView topLeftCell="A133" workbookViewId="0">
      <selection activeCell="A134" sqref="A134:XFD152"/>
    </sheetView>
  </sheetViews>
  <sheetFormatPr defaultColWidth="13.88671875" defaultRowHeight="13.8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3.66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3.6640625" style="2" customWidth="1"/>
    <col min="262" max="267" width="19.5546875" style="2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3.6640625" style="2" customWidth="1"/>
    <col min="518" max="523" width="19.5546875" style="2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3.6640625" style="2" customWidth="1"/>
    <col min="774" max="779" width="19.5546875" style="2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3.6640625" style="2" customWidth="1"/>
    <col min="1030" max="1035" width="19.5546875" style="2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3.6640625" style="2" customWidth="1"/>
    <col min="1286" max="1291" width="19.5546875" style="2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3.6640625" style="2" customWidth="1"/>
    <col min="1542" max="1547" width="19.5546875" style="2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3.6640625" style="2" customWidth="1"/>
    <col min="1798" max="1803" width="19.5546875" style="2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3.6640625" style="2" customWidth="1"/>
    <col min="2054" max="2059" width="19.5546875" style="2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3.6640625" style="2" customWidth="1"/>
    <col min="2310" max="2315" width="19.5546875" style="2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3.6640625" style="2" customWidth="1"/>
    <col min="2566" max="2571" width="19.5546875" style="2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3.6640625" style="2" customWidth="1"/>
    <col min="2822" max="2827" width="19.5546875" style="2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3.6640625" style="2" customWidth="1"/>
    <col min="3078" max="3083" width="19.5546875" style="2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3.6640625" style="2" customWidth="1"/>
    <col min="3334" max="3339" width="19.5546875" style="2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3.6640625" style="2" customWidth="1"/>
    <col min="3590" max="3595" width="19.5546875" style="2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3.6640625" style="2" customWidth="1"/>
    <col min="3846" max="3851" width="19.5546875" style="2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3.6640625" style="2" customWidth="1"/>
    <col min="4102" max="4107" width="19.5546875" style="2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3.6640625" style="2" customWidth="1"/>
    <col min="4358" max="4363" width="19.5546875" style="2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3.6640625" style="2" customWidth="1"/>
    <col min="4614" max="4619" width="19.5546875" style="2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3.6640625" style="2" customWidth="1"/>
    <col min="4870" max="4875" width="19.5546875" style="2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3.6640625" style="2" customWidth="1"/>
    <col min="5126" max="5131" width="19.5546875" style="2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3.6640625" style="2" customWidth="1"/>
    <col min="5382" max="5387" width="19.5546875" style="2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3.6640625" style="2" customWidth="1"/>
    <col min="5638" max="5643" width="19.5546875" style="2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3.6640625" style="2" customWidth="1"/>
    <col min="5894" max="5899" width="19.5546875" style="2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3.6640625" style="2" customWidth="1"/>
    <col min="6150" max="6155" width="19.5546875" style="2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3.6640625" style="2" customWidth="1"/>
    <col min="6406" max="6411" width="19.5546875" style="2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3.6640625" style="2" customWidth="1"/>
    <col min="6662" max="6667" width="19.5546875" style="2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3.6640625" style="2" customWidth="1"/>
    <col min="6918" max="6923" width="19.5546875" style="2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3.6640625" style="2" customWidth="1"/>
    <col min="7174" max="7179" width="19.5546875" style="2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3.6640625" style="2" customWidth="1"/>
    <col min="7430" max="7435" width="19.5546875" style="2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3.6640625" style="2" customWidth="1"/>
    <col min="7686" max="7691" width="19.5546875" style="2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3.6640625" style="2" customWidth="1"/>
    <col min="7942" max="7947" width="19.5546875" style="2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3.6640625" style="2" customWidth="1"/>
    <col min="8198" max="8203" width="19.5546875" style="2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3.6640625" style="2" customWidth="1"/>
    <col min="8454" max="8459" width="19.5546875" style="2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3.6640625" style="2" customWidth="1"/>
    <col min="8710" max="8715" width="19.5546875" style="2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3.6640625" style="2" customWidth="1"/>
    <col min="8966" max="8971" width="19.5546875" style="2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3.6640625" style="2" customWidth="1"/>
    <col min="9222" max="9227" width="19.5546875" style="2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3.6640625" style="2" customWidth="1"/>
    <col min="9478" max="9483" width="19.5546875" style="2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3.6640625" style="2" customWidth="1"/>
    <col min="9734" max="9739" width="19.5546875" style="2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3.6640625" style="2" customWidth="1"/>
    <col min="9990" max="9995" width="19.5546875" style="2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3.6640625" style="2" customWidth="1"/>
    <col min="10246" max="10251" width="19.5546875" style="2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3.6640625" style="2" customWidth="1"/>
    <col min="10502" max="10507" width="19.5546875" style="2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3.6640625" style="2" customWidth="1"/>
    <col min="10758" max="10763" width="19.5546875" style="2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3.6640625" style="2" customWidth="1"/>
    <col min="11014" max="11019" width="19.5546875" style="2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3.6640625" style="2" customWidth="1"/>
    <col min="11270" max="11275" width="19.5546875" style="2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3.6640625" style="2" customWidth="1"/>
    <col min="11526" max="11531" width="19.5546875" style="2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3.6640625" style="2" customWidth="1"/>
    <col min="11782" max="11787" width="19.5546875" style="2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3.6640625" style="2" customWidth="1"/>
    <col min="12038" max="12043" width="19.5546875" style="2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3.6640625" style="2" customWidth="1"/>
    <col min="12294" max="12299" width="19.5546875" style="2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3.6640625" style="2" customWidth="1"/>
    <col min="12550" max="12555" width="19.5546875" style="2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3.6640625" style="2" customWidth="1"/>
    <col min="12806" max="12811" width="19.5546875" style="2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3.6640625" style="2" customWidth="1"/>
    <col min="13062" max="13067" width="19.5546875" style="2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3.6640625" style="2" customWidth="1"/>
    <col min="13318" max="13323" width="19.5546875" style="2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3.6640625" style="2" customWidth="1"/>
    <col min="13574" max="13579" width="19.5546875" style="2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3.6640625" style="2" customWidth="1"/>
    <col min="13830" max="13835" width="19.5546875" style="2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3.6640625" style="2" customWidth="1"/>
    <col min="14086" max="14091" width="19.5546875" style="2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3.6640625" style="2" customWidth="1"/>
    <col min="14342" max="14347" width="19.5546875" style="2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3.6640625" style="2" customWidth="1"/>
    <col min="14598" max="14603" width="19.5546875" style="2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3.6640625" style="2" customWidth="1"/>
    <col min="14854" max="14859" width="19.5546875" style="2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3.6640625" style="2" customWidth="1"/>
    <col min="15110" max="15115" width="19.5546875" style="2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3.6640625" style="2" customWidth="1"/>
    <col min="15366" max="15371" width="19.5546875" style="2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3.6640625" style="2" customWidth="1"/>
    <col min="15622" max="15627" width="19.5546875" style="2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3.6640625" style="2" customWidth="1"/>
    <col min="15878" max="15883" width="19.5546875" style="2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3.6640625" style="2" customWidth="1"/>
    <col min="16134" max="16139" width="19.5546875" style="2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14.4" thickBot="1">
      <c r="A1" s="1"/>
      <c r="C1" s="1"/>
      <c r="D1" s="1"/>
      <c r="E1" s="1"/>
      <c r="F1" s="3"/>
      <c r="G1" s="4"/>
      <c r="H1" s="4"/>
      <c r="I1" s="4"/>
      <c r="J1" s="4"/>
      <c r="K1" s="5"/>
      <c r="L1" s="5"/>
      <c r="AI1" s="5"/>
      <c r="AV1" s="5"/>
      <c r="AX1" s="5"/>
      <c r="BB1" s="5"/>
    </row>
    <row r="2" spans="1:54" ht="14.4">
      <c r="C2" s="56" t="s">
        <v>226</v>
      </c>
      <c r="D2" s="57"/>
      <c r="E2" s="57"/>
      <c r="F2" s="57"/>
      <c r="G2" s="57"/>
      <c r="H2" s="57"/>
      <c r="I2" s="57"/>
      <c r="J2" s="57"/>
      <c r="K2" s="58"/>
      <c r="M2" s="9"/>
    </row>
    <row r="3" spans="1:54" ht="14.4" thickBot="1">
      <c r="C3" s="59"/>
      <c r="D3" s="60"/>
      <c r="E3" s="60"/>
      <c r="F3" s="60"/>
      <c r="G3" s="60"/>
      <c r="H3" s="60"/>
      <c r="I3" s="60"/>
      <c r="J3" s="60"/>
      <c r="K3" s="61"/>
    </row>
    <row r="4" spans="1:54" ht="14.4" thickBot="1">
      <c r="A4" s="1"/>
      <c r="C4" s="1"/>
      <c r="D4" s="1"/>
      <c r="E4" s="1"/>
      <c r="F4" s="3"/>
      <c r="G4" s="4"/>
      <c r="H4" s="4"/>
      <c r="I4" s="4"/>
      <c r="J4" s="4"/>
      <c r="K4" s="5"/>
      <c r="L4" s="2"/>
      <c r="AH4" s="5"/>
      <c r="AI4" s="2"/>
      <c r="AU4" s="5"/>
      <c r="AV4" s="2"/>
      <c r="AW4" s="5"/>
      <c r="AX4" s="2"/>
      <c r="BA4" s="5"/>
      <c r="BB4" s="2"/>
    </row>
    <row r="5" spans="1:54" ht="22.2" thickBot="1">
      <c r="C5" s="62" t="s">
        <v>227</v>
      </c>
      <c r="D5" s="63"/>
      <c r="E5" s="63"/>
      <c r="F5" s="63"/>
      <c r="G5" s="63"/>
      <c r="H5" s="63"/>
      <c r="I5" s="63"/>
      <c r="J5" s="63"/>
      <c r="K5" s="64"/>
      <c r="L5" s="2"/>
      <c r="AH5" s="10"/>
      <c r="AI5" s="2"/>
      <c r="AU5" s="10"/>
      <c r="AV5" s="2"/>
      <c r="AW5" s="10"/>
      <c r="AX5" s="2"/>
      <c r="BA5" s="10"/>
      <c r="BB5" s="2"/>
    </row>
    <row r="6" spans="1:54" ht="14.4" thickBot="1">
      <c r="C6" s="11"/>
    </row>
    <row r="7" spans="1:54" ht="27.6">
      <c r="C7" s="14" t="s">
        <v>5</v>
      </c>
      <c r="D7" s="15" t="s">
        <v>6</v>
      </c>
      <c r="E7" s="16" t="s">
        <v>7</v>
      </c>
      <c r="F7" s="17" t="s">
        <v>8</v>
      </c>
      <c r="G7" s="18" t="s">
        <v>9</v>
      </c>
      <c r="H7" s="18" t="s">
        <v>10</v>
      </c>
      <c r="I7" s="19" t="s">
        <v>11</v>
      </c>
      <c r="J7" s="19" t="s">
        <v>12</v>
      </c>
      <c r="K7" s="20" t="s">
        <v>13</v>
      </c>
    </row>
    <row r="8" spans="1:54">
      <c r="C8" s="21"/>
      <c r="D8" s="22"/>
      <c r="E8" s="23"/>
      <c r="F8" s="24"/>
      <c r="G8" s="25"/>
      <c r="H8" s="25"/>
      <c r="I8" s="26"/>
      <c r="J8" s="26"/>
      <c r="K8" s="27"/>
    </row>
    <row r="9" spans="1:54">
      <c r="A9" s="28"/>
      <c r="B9" s="29"/>
      <c r="C9" s="30" t="s">
        <v>14</v>
      </c>
      <c r="D9" s="31"/>
      <c r="E9" s="32"/>
      <c r="F9" s="33"/>
      <c r="G9" s="34"/>
      <c r="H9" s="34"/>
      <c r="I9" s="35"/>
      <c r="J9" s="35"/>
      <c r="K9" s="36"/>
    </row>
    <row r="10" spans="1:54">
      <c r="C10" s="37" t="s">
        <v>15</v>
      </c>
      <c r="D10" s="31"/>
      <c r="E10" s="32"/>
      <c r="F10" s="33"/>
      <c r="G10" s="34"/>
      <c r="H10" s="34"/>
      <c r="I10" s="35"/>
      <c r="J10" s="35"/>
      <c r="K10" s="36"/>
    </row>
    <row r="11" spans="1:54">
      <c r="B11" s="1" t="s">
        <v>16</v>
      </c>
      <c r="C11" s="21" t="s">
        <v>17</v>
      </c>
      <c r="D11" s="31" t="s">
        <v>18</v>
      </c>
      <c r="E11" s="32" t="s">
        <v>19</v>
      </c>
      <c r="F11" s="33">
        <v>700000</v>
      </c>
      <c r="G11" s="34">
        <v>11266.85</v>
      </c>
      <c r="H11" s="34">
        <v>8.59</v>
      </c>
      <c r="I11" s="35"/>
      <c r="J11" s="35"/>
      <c r="K11" s="36"/>
    </row>
    <row r="12" spans="1:54">
      <c r="B12" s="1" t="s">
        <v>20</v>
      </c>
      <c r="C12" s="21" t="s">
        <v>21</v>
      </c>
      <c r="D12" s="31" t="s">
        <v>22</v>
      </c>
      <c r="E12" s="32" t="s">
        <v>23</v>
      </c>
      <c r="F12" s="33">
        <v>400000</v>
      </c>
      <c r="G12" s="34">
        <v>9324.2000000000007</v>
      </c>
      <c r="H12" s="34">
        <v>7.11</v>
      </c>
      <c r="I12" s="35"/>
      <c r="J12" s="35"/>
      <c r="K12" s="36"/>
    </row>
    <row r="13" spans="1:54">
      <c r="B13" s="1" t="s">
        <v>24</v>
      </c>
      <c r="C13" s="21" t="s">
        <v>25</v>
      </c>
      <c r="D13" s="31" t="s">
        <v>26</v>
      </c>
      <c r="E13" s="32" t="s">
        <v>27</v>
      </c>
      <c r="F13" s="33">
        <v>190000</v>
      </c>
      <c r="G13" s="34">
        <v>6091.21</v>
      </c>
      <c r="H13" s="34">
        <v>4.6399999999999997</v>
      </c>
      <c r="I13" s="35"/>
      <c r="J13" s="35"/>
      <c r="K13" s="36"/>
    </row>
    <row r="14" spans="1:54">
      <c r="B14" s="1" t="s">
        <v>28</v>
      </c>
      <c r="C14" s="21" t="s">
        <v>29</v>
      </c>
      <c r="D14" s="31" t="s">
        <v>30</v>
      </c>
      <c r="E14" s="32" t="s">
        <v>31</v>
      </c>
      <c r="F14" s="33">
        <v>1300000</v>
      </c>
      <c r="G14" s="34">
        <v>4985.5</v>
      </c>
      <c r="H14" s="34">
        <v>3.8</v>
      </c>
      <c r="I14" s="35"/>
      <c r="J14" s="35"/>
      <c r="K14" s="36"/>
    </row>
    <row r="15" spans="1:54">
      <c r="B15" s="1" t="s">
        <v>32</v>
      </c>
      <c r="C15" s="21" t="s">
        <v>33</v>
      </c>
      <c r="D15" s="31" t="s">
        <v>34</v>
      </c>
      <c r="E15" s="32" t="s">
        <v>35</v>
      </c>
      <c r="F15" s="33">
        <v>200000</v>
      </c>
      <c r="G15" s="34">
        <v>4328.3999999999996</v>
      </c>
      <c r="H15" s="34">
        <v>3.3</v>
      </c>
      <c r="I15" s="35"/>
      <c r="J15" s="35"/>
      <c r="K15" s="36"/>
    </row>
    <row r="16" spans="1:54">
      <c r="B16" s="1" t="s">
        <v>36</v>
      </c>
      <c r="C16" s="21" t="s">
        <v>37</v>
      </c>
      <c r="D16" s="31" t="s">
        <v>38</v>
      </c>
      <c r="E16" s="32" t="s">
        <v>19</v>
      </c>
      <c r="F16" s="33">
        <v>450000</v>
      </c>
      <c r="G16" s="34">
        <v>3947.63</v>
      </c>
      <c r="H16" s="34">
        <v>3.01</v>
      </c>
      <c r="I16" s="35"/>
      <c r="J16" s="35"/>
      <c r="K16" s="36"/>
    </row>
    <row r="17" spans="2:11">
      <c r="B17" s="1" t="s">
        <v>39</v>
      </c>
      <c r="C17" s="21" t="s">
        <v>40</v>
      </c>
      <c r="D17" s="31" t="s">
        <v>41</v>
      </c>
      <c r="E17" s="32" t="s">
        <v>42</v>
      </c>
      <c r="F17" s="33">
        <v>150000</v>
      </c>
      <c r="G17" s="34">
        <v>3938.25</v>
      </c>
      <c r="H17" s="34">
        <v>3</v>
      </c>
      <c r="I17" s="35"/>
      <c r="J17" s="35"/>
      <c r="K17" s="36"/>
    </row>
    <row r="18" spans="2:11">
      <c r="B18" s="1" t="s">
        <v>43</v>
      </c>
      <c r="C18" s="21" t="s">
        <v>44</v>
      </c>
      <c r="D18" s="31" t="s">
        <v>45</v>
      </c>
      <c r="E18" s="32" t="s">
        <v>46</v>
      </c>
      <c r="F18" s="33">
        <v>110000</v>
      </c>
      <c r="G18" s="34">
        <v>3659.87</v>
      </c>
      <c r="H18" s="34">
        <v>2.79</v>
      </c>
      <c r="I18" s="35"/>
      <c r="J18" s="35"/>
      <c r="K18" s="36"/>
    </row>
    <row r="19" spans="2:11">
      <c r="B19" s="1" t="s">
        <v>47</v>
      </c>
      <c r="C19" s="21" t="s">
        <v>48</v>
      </c>
      <c r="D19" s="31" t="s">
        <v>49</v>
      </c>
      <c r="E19" s="32" t="s">
        <v>42</v>
      </c>
      <c r="F19" s="33">
        <v>1525000</v>
      </c>
      <c r="G19" s="34">
        <v>3532.66</v>
      </c>
      <c r="H19" s="34">
        <v>2.69</v>
      </c>
      <c r="I19" s="35"/>
      <c r="J19" s="35"/>
      <c r="K19" s="36"/>
    </row>
    <row r="20" spans="2:11">
      <c r="B20" s="1" t="s">
        <v>50</v>
      </c>
      <c r="C20" s="21" t="s">
        <v>51</v>
      </c>
      <c r="D20" s="31" t="s">
        <v>52</v>
      </c>
      <c r="E20" s="32" t="s">
        <v>53</v>
      </c>
      <c r="F20" s="33">
        <v>75000</v>
      </c>
      <c r="G20" s="34">
        <v>3241.61</v>
      </c>
      <c r="H20" s="34">
        <v>2.4700000000000002</v>
      </c>
      <c r="I20" s="35"/>
      <c r="J20" s="35"/>
      <c r="K20" s="36"/>
    </row>
    <row r="21" spans="2:11">
      <c r="B21" s="1" t="s">
        <v>54</v>
      </c>
      <c r="C21" s="21" t="s">
        <v>55</v>
      </c>
      <c r="D21" s="31" t="s">
        <v>56</v>
      </c>
      <c r="E21" s="32" t="s">
        <v>19</v>
      </c>
      <c r="F21" s="33">
        <v>300000</v>
      </c>
      <c r="G21" s="34">
        <v>3203.85</v>
      </c>
      <c r="H21" s="34">
        <v>2.44</v>
      </c>
      <c r="I21" s="35"/>
      <c r="J21" s="35"/>
      <c r="K21" s="36"/>
    </row>
    <row r="22" spans="2:11">
      <c r="B22" s="1" t="s">
        <v>57</v>
      </c>
      <c r="C22" s="21" t="s">
        <v>58</v>
      </c>
      <c r="D22" s="31" t="s">
        <v>59</v>
      </c>
      <c r="E22" s="32" t="s">
        <v>60</v>
      </c>
      <c r="F22" s="33">
        <v>160000</v>
      </c>
      <c r="G22" s="34">
        <v>3149.2</v>
      </c>
      <c r="H22" s="34">
        <v>2.4</v>
      </c>
      <c r="I22" s="35"/>
      <c r="J22" s="35"/>
      <c r="K22" s="36"/>
    </row>
    <row r="23" spans="2:11">
      <c r="B23" s="1" t="s">
        <v>61</v>
      </c>
      <c r="C23" s="21" t="s">
        <v>62</v>
      </c>
      <c r="D23" s="31" t="s">
        <v>63</v>
      </c>
      <c r="E23" s="32" t="s">
        <v>64</v>
      </c>
      <c r="F23" s="33">
        <v>325000</v>
      </c>
      <c r="G23" s="34">
        <v>3146.49</v>
      </c>
      <c r="H23" s="34">
        <v>2.4</v>
      </c>
      <c r="I23" s="35"/>
      <c r="J23" s="35"/>
      <c r="K23" s="36"/>
    </row>
    <row r="24" spans="2:11">
      <c r="B24" s="1" t="s">
        <v>65</v>
      </c>
      <c r="C24" s="21" t="s">
        <v>66</v>
      </c>
      <c r="D24" s="31" t="s">
        <v>67</v>
      </c>
      <c r="E24" s="32" t="s">
        <v>68</v>
      </c>
      <c r="F24" s="33">
        <v>8100</v>
      </c>
      <c r="G24" s="34">
        <v>3070.17</v>
      </c>
      <c r="H24" s="34">
        <v>2.34</v>
      </c>
      <c r="I24" s="35"/>
      <c r="J24" s="35"/>
      <c r="K24" s="36"/>
    </row>
    <row r="25" spans="2:11">
      <c r="B25" s="1" t="s">
        <v>69</v>
      </c>
      <c r="C25" s="21" t="s">
        <v>70</v>
      </c>
      <c r="D25" s="31" t="s">
        <v>71</v>
      </c>
      <c r="E25" s="32" t="s">
        <v>72</v>
      </c>
      <c r="F25" s="33">
        <v>400000</v>
      </c>
      <c r="G25" s="34">
        <v>2996</v>
      </c>
      <c r="H25" s="34">
        <v>2.2799999999999998</v>
      </c>
      <c r="I25" s="35"/>
      <c r="J25" s="35"/>
      <c r="K25" s="36"/>
    </row>
    <row r="26" spans="2:11">
      <c r="B26" s="1" t="s">
        <v>73</v>
      </c>
      <c r="C26" s="21" t="s">
        <v>74</v>
      </c>
      <c r="D26" s="31" t="s">
        <v>75</v>
      </c>
      <c r="E26" s="32" t="s">
        <v>76</v>
      </c>
      <c r="F26" s="33">
        <v>3735646</v>
      </c>
      <c r="G26" s="34">
        <v>2882.05</v>
      </c>
      <c r="H26" s="34">
        <v>2.2000000000000002</v>
      </c>
      <c r="I26" s="35"/>
      <c r="J26" s="35"/>
      <c r="K26" s="36"/>
    </row>
    <row r="27" spans="2:11">
      <c r="B27" s="1" t="s">
        <v>77</v>
      </c>
      <c r="C27" s="21" t="s">
        <v>78</v>
      </c>
      <c r="D27" s="31" t="s">
        <v>79</v>
      </c>
      <c r="E27" s="32" t="s">
        <v>80</v>
      </c>
      <c r="F27" s="33">
        <v>200000</v>
      </c>
      <c r="G27" s="34">
        <v>2848.9</v>
      </c>
      <c r="H27" s="34">
        <v>2.17</v>
      </c>
      <c r="I27" s="35"/>
      <c r="J27" s="35"/>
      <c r="K27" s="36"/>
    </row>
    <row r="28" spans="2:11">
      <c r="B28" s="1" t="s">
        <v>81</v>
      </c>
      <c r="C28" s="21" t="s">
        <v>82</v>
      </c>
      <c r="D28" s="31" t="s">
        <v>83</v>
      </c>
      <c r="E28" s="32" t="s">
        <v>84</v>
      </c>
      <c r="F28" s="33">
        <v>204000</v>
      </c>
      <c r="G28" s="34">
        <v>2653.94</v>
      </c>
      <c r="H28" s="34">
        <v>2.02</v>
      </c>
      <c r="I28" s="35"/>
      <c r="J28" s="35"/>
      <c r="K28" s="36"/>
    </row>
    <row r="29" spans="2:11">
      <c r="B29" s="1" t="s">
        <v>85</v>
      </c>
      <c r="C29" s="21" t="s">
        <v>86</v>
      </c>
      <c r="D29" s="31" t="s">
        <v>87</v>
      </c>
      <c r="E29" s="32" t="s">
        <v>27</v>
      </c>
      <c r="F29" s="33">
        <v>175000</v>
      </c>
      <c r="G29" s="34">
        <v>2498.91</v>
      </c>
      <c r="H29" s="34">
        <v>1.9</v>
      </c>
      <c r="I29" s="35"/>
      <c r="J29" s="35"/>
      <c r="K29" s="36"/>
    </row>
    <row r="30" spans="2:11">
      <c r="B30" s="1" t="s">
        <v>88</v>
      </c>
      <c r="C30" s="21" t="s">
        <v>89</v>
      </c>
      <c r="D30" s="31" t="s">
        <v>90</v>
      </c>
      <c r="E30" s="32" t="s">
        <v>91</v>
      </c>
      <c r="F30" s="33">
        <v>500000</v>
      </c>
      <c r="G30" s="34">
        <v>2457.75</v>
      </c>
      <c r="H30" s="34">
        <v>1.87</v>
      </c>
      <c r="I30" s="35"/>
      <c r="J30" s="35"/>
      <c r="K30" s="36"/>
    </row>
    <row r="31" spans="2:11">
      <c r="B31" s="1" t="s">
        <v>92</v>
      </c>
      <c r="C31" s="21" t="s">
        <v>93</v>
      </c>
      <c r="D31" s="31" t="s">
        <v>94</v>
      </c>
      <c r="E31" s="32" t="s">
        <v>19</v>
      </c>
      <c r="F31" s="33">
        <v>1700000</v>
      </c>
      <c r="G31" s="34">
        <v>2398.6999999999998</v>
      </c>
      <c r="H31" s="34">
        <v>1.83</v>
      </c>
      <c r="I31" s="35"/>
      <c r="J31" s="35"/>
      <c r="K31" s="36"/>
    </row>
    <row r="32" spans="2:11">
      <c r="B32" s="1" t="s">
        <v>95</v>
      </c>
      <c r="C32" s="21" t="s">
        <v>96</v>
      </c>
      <c r="D32" s="31" t="s">
        <v>97</v>
      </c>
      <c r="E32" s="32" t="s">
        <v>98</v>
      </c>
      <c r="F32" s="33">
        <v>200000</v>
      </c>
      <c r="G32" s="34">
        <v>2317.4</v>
      </c>
      <c r="H32" s="34">
        <v>1.77</v>
      </c>
      <c r="I32" s="35"/>
      <c r="J32" s="35"/>
      <c r="K32" s="36"/>
    </row>
    <row r="33" spans="2:11">
      <c r="B33" s="1" t="s">
        <v>99</v>
      </c>
      <c r="C33" s="21" t="s">
        <v>100</v>
      </c>
      <c r="D33" s="31" t="s">
        <v>101</v>
      </c>
      <c r="E33" s="32" t="s">
        <v>27</v>
      </c>
      <c r="F33" s="33">
        <v>60000</v>
      </c>
      <c r="G33" s="34">
        <v>2288.46</v>
      </c>
      <c r="H33" s="34">
        <v>1.74</v>
      </c>
      <c r="I33" s="35"/>
      <c r="J33" s="35"/>
      <c r="K33" s="36"/>
    </row>
    <row r="34" spans="2:11">
      <c r="B34" s="1" t="s">
        <v>102</v>
      </c>
      <c r="C34" s="21" t="s">
        <v>103</v>
      </c>
      <c r="D34" s="31" t="s">
        <v>104</v>
      </c>
      <c r="E34" s="32" t="s">
        <v>98</v>
      </c>
      <c r="F34" s="33">
        <v>27500</v>
      </c>
      <c r="G34" s="34">
        <v>2280.34</v>
      </c>
      <c r="H34" s="34">
        <v>1.74</v>
      </c>
      <c r="I34" s="35"/>
      <c r="J34" s="35"/>
      <c r="K34" s="36"/>
    </row>
    <row r="35" spans="2:11">
      <c r="B35" s="1" t="s">
        <v>105</v>
      </c>
      <c r="C35" s="21" t="s">
        <v>106</v>
      </c>
      <c r="D35" s="31" t="s">
        <v>107</v>
      </c>
      <c r="E35" s="32" t="s">
        <v>76</v>
      </c>
      <c r="F35" s="33">
        <v>1300000</v>
      </c>
      <c r="G35" s="34">
        <v>2276.3000000000002</v>
      </c>
      <c r="H35" s="34">
        <v>1.73</v>
      </c>
      <c r="I35" s="35"/>
      <c r="J35" s="35"/>
      <c r="K35" s="36"/>
    </row>
    <row r="36" spans="2:11">
      <c r="B36" s="1" t="s">
        <v>108</v>
      </c>
      <c r="C36" s="21" t="s">
        <v>109</v>
      </c>
      <c r="D36" s="31" t="s">
        <v>110</v>
      </c>
      <c r="E36" s="32" t="s">
        <v>19</v>
      </c>
      <c r="F36" s="33">
        <v>250000</v>
      </c>
      <c r="G36" s="34">
        <v>2146.25</v>
      </c>
      <c r="H36" s="34">
        <v>1.64</v>
      </c>
      <c r="I36" s="35"/>
      <c r="J36" s="35"/>
      <c r="K36" s="36"/>
    </row>
    <row r="37" spans="2:11">
      <c r="B37" s="1" t="s">
        <v>111</v>
      </c>
      <c r="C37" s="21" t="s">
        <v>112</v>
      </c>
      <c r="D37" s="31" t="s">
        <v>113</v>
      </c>
      <c r="E37" s="32" t="s">
        <v>114</v>
      </c>
      <c r="F37" s="33">
        <v>11000</v>
      </c>
      <c r="G37" s="34">
        <v>2130.69</v>
      </c>
      <c r="H37" s="34">
        <v>1.62</v>
      </c>
      <c r="I37" s="35"/>
      <c r="J37" s="35"/>
      <c r="K37" s="36"/>
    </row>
    <row r="38" spans="2:11">
      <c r="B38" s="1" t="s">
        <v>115</v>
      </c>
      <c r="C38" s="21" t="s">
        <v>116</v>
      </c>
      <c r="D38" s="31" t="s">
        <v>117</v>
      </c>
      <c r="E38" s="32" t="s">
        <v>114</v>
      </c>
      <c r="F38" s="33">
        <v>546219</v>
      </c>
      <c r="G38" s="34">
        <v>1916.14</v>
      </c>
      <c r="H38" s="34">
        <v>1.46</v>
      </c>
      <c r="I38" s="35"/>
      <c r="J38" s="35"/>
      <c r="K38" s="36"/>
    </row>
    <row r="39" spans="2:11">
      <c r="B39" s="1" t="s">
        <v>118</v>
      </c>
      <c r="C39" s="21" t="s">
        <v>119</v>
      </c>
      <c r="D39" s="31" t="s">
        <v>120</v>
      </c>
      <c r="E39" s="32" t="s">
        <v>27</v>
      </c>
      <c r="F39" s="33">
        <v>175000</v>
      </c>
      <c r="G39" s="34">
        <v>1899.19</v>
      </c>
      <c r="H39" s="34">
        <v>1.45</v>
      </c>
      <c r="I39" s="35"/>
      <c r="J39" s="35"/>
      <c r="K39" s="36"/>
    </row>
    <row r="40" spans="2:11">
      <c r="B40" s="1" t="s">
        <v>121</v>
      </c>
      <c r="C40" s="21" t="s">
        <v>122</v>
      </c>
      <c r="D40" s="31" t="s">
        <v>123</v>
      </c>
      <c r="E40" s="32" t="s">
        <v>23</v>
      </c>
      <c r="F40" s="33">
        <v>800000</v>
      </c>
      <c r="G40" s="34">
        <v>1894.4</v>
      </c>
      <c r="H40" s="34">
        <v>1.44</v>
      </c>
      <c r="I40" s="35"/>
      <c r="J40" s="35"/>
      <c r="K40" s="36"/>
    </row>
    <row r="41" spans="2:11">
      <c r="B41" s="1" t="s">
        <v>124</v>
      </c>
      <c r="C41" s="21" t="s">
        <v>125</v>
      </c>
      <c r="D41" s="31" t="s">
        <v>126</v>
      </c>
      <c r="E41" s="32" t="s">
        <v>127</v>
      </c>
      <c r="F41" s="33">
        <v>95000</v>
      </c>
      <c r="G41" s="34">
        <v>1882.76</v>
      </c>
      <c r="H41" s="34">
        <v>1.43</v>
      </c>
      <c r="I41" s="35"/>
      <c r="J41" s="35"/>
      <c r="K41" s="36"/>
    </row>
    <row r="42" spans="2:11">
      <c r="B42" s="1" t="s">
        <v>128</v>
      </c>
      <c r="C42" s="21" t="s">
        <v>129</v>
      </c>
      <c r="D42" s="31" t="s">
        <v>130</v>
      </c>
      <c r="E42" s="32" t="s">
        <v>131</v>
      </c>
      <c r="F42" s="33">
        <v>130000</v>
      </c>
      <c r="G42" s="34">
        <v>1792.9</v>
      </c>
      <c r="H42" s="34">
        <v>1.37</v>
      </c>
      <c r="I42" s="35"/>
      <c r="J42" s="35"/>
      <c r="K42" s="36"/>
    </row>
    <row r="43" spans="2:11">
      <c r="B43" s="1" t="s">
        <v>132</v>
      </c>
      <c r="C43" s="21" t="s">
        <v>133</v>
      </c>
      <c r="D43" s="31" t="s">
        <v>134</v>
      </c>
      <c r="E43" s="32" t="s">
        <v>127</v>
      </c>
      <c r="F43" s="33">
        <v>60000</v>
      </c>
      <c r="G43" s="34">
        <v>1728.03</v>
      </c>
      <c r="H43" s="34">
        <v>1.32</v>
      </c>
      <c r="I43" s="35"/>
      <c r="J43" s="35"/>
      <c r="K43" s="36"/>
    </row>
    <row r="44" spans="2:11">
      <c r="B44" s="1" t="s">
        <v>135</v>
      </c>
      <c r="C44" s="21" t="s">
        <v>136</v>
      </c>
      <c r="D44" s="31" t="s">
        <v>137</v>
      </c>
      <c r="E44" s="32" t="s">
        <v>19</v>
      </c>
      <c r="F44" s="33">
        <v>300000</v>
      </c>
      <c r="G44" s="34">
        <v>1571.25</v>
      </c>
      <c r="H44" s="34">
        <v>1.2</v>
      </c>
      <c r="I44" s="35"/>
      <c r="J44" s="35"/>
      <c r="K44" s="36"/>
    </row>
    <row r="45" spans="2:11">
      <c r="B45" s="1" t="s">
        <v>138</v>
      </c>
      <c r="C45" s="21" t="s">
        <v>139</v>
      </c>
      <c r="D45" s="31" t="s">
        <v>140</v>
      </c>
      <c r="E45" s="32" t="s">
        <v>80</v>
      </c>
      <c r="F45" s="33">
        <v>200000</v>
      </c>
      <c r="G45" s="34">
        <v>1512.6</v>
      </c>
      <c r="H45" s="34">
        <v>1.1499999999999999</v>
      </c>
      <c r="I45" s="35"/>
      <c r="J45" s="35"/>
      <c r="K45" s="36"/>
    </row>
    <row r="46" spans="2:11">
      <c r="B46" s="1" t="s">
        <v>141</v>
      </c>
      <c r="C46" s="21" t="s">
        <v>142</v>
      </c>
      <c r="D46" s="31" t="s">
        <v>143</v>
      </c>
      <c r="E46" s="32" t="s">
        <v>91</v>
      </c>
      <c r="F46" s="33">
        <v>150000</v>
      </c>
      <c r="G46" s="34">
        <v>1474.65</v>
      </c>
      <c r="H46" s="34">
        <v>1.1200000000000001</v>
      </c>
      <c r="I46" s="35"/>
      <c r="J46" s="35"/>
      <c r="K46" s="36"/>
    </row>
    <row r="47" spans="2:11">
      <c r="B47" s="1" t="s">
        <v>144</v>
      </c>
      <c r="C47" s="21" t="s">
        <v>145</v>
      </c>
      <c r="D47" s="31" t="s">
        <v>146</v>
      </c>
      <c r="E47" s="32" t="s">
        <v>147</v>
      </c>
      <c r="F47" s="33">
        <v>95208</v>
      </c>
      <c r="G47" s="34">
        <v>1460.49</v>
      </c>
      <c r="H47" s="34">
        <v>1.1100000000000001</v>
      </c>
      <c r="I47" s="35"/>
      <c r="J47" s="35"/>
      <c r="K47" s="36"/>
    </row>
    <row r="48" spans="2:11">
      <c r="B48" s="1" t="s">
        <v>148</v>
      </c>
      <c r="C48" s="21" t="s">
        <v>149</v>
      </c>
      <c r="D48" s="31" t="s">
        <v>150</v>
      </c>
      <c r="E48" s="32" t="s">
        <v>84</v>
      </c>
      <c r="F48" s="33">
        <v>400000</v>
      </c>
      <c r="G48" s="34">
        <v>1408.4</v>
      </c>
      <c r="H48" s="34">
        <v>1.07</v>
      </c>
      <c r="I48" s="35"/>
      <c r="J48" s="35"/>
      <c r="K48" s="36"/>
    </row>
    <row r="49" spans="2:11">
      <c r="B49" s="1" t="s">
        <v>151</v>
      </c>
      <c r="C49" s="21" t="s">
        <v>152</v>
      </c>
      <c r="D49" s="31" t="s">
        <v>153</v>
      </c>
      <c r="E49" s="32" t="s">
        <v>27</v>
      </c>
      <c r="F49" s="33">
        <v>30000</v>
      </c>
      <c r="G49" s="34">
        <v>1382.85</v>
      </c>
      <c r="H49" s="34">
        <v>1.05</v>
      </c>
      <c r="I49" s="35"/>
      <c r="J49" s="35"/>
      <c r="K49" s="36"/>
    </row>
    <row r="50" spans="2:11">
      <c r="B50" s="1" t="s">
        <v>154</v>
      </c>
      <c r="C50" s="21" t="s">
        <v>155</v>
      </c>
      <c r="D50" s="31" t="s">
        <v>156</v>
      </c>
      <c r="E50" s="32" t="s">
        <v>157</v>
      </c>
      <c r="F50" s="33">
        <v>1200000</v>
      </c>
      <c r="G50" s="34">
        <v>1338.6</v>
      </c>
      <c r="H50" s="34">
        <v>1.02</v>
      </c>
      <c r="I50" s="35"/>
      <c r="J50" s="35"/>
      <c r="K50" s="36"/>
    </row>
    <row r="51" spans="2:11">
      <c r="B51" s="1" t="s">
        <v>158</v>
      </c>
      <c r="C51" s="21" t="s">
        <v>159</v>
      </c>
      <c r="D51" s="31" t="s">
        <v>160</v>
      </c>
      <c r="E51" s="32" t="s">
        <v>114</v>
      </c>
      <c r="F51" s="33">
        <v>40000</v>
      </c>
      <c r="G51" s="34">
        <v>1302.1199999999999</v>
      </c>
      <c r="H51" s="34">
        <v>0.99</v>
      </c>
      <c r="I51" s="35"/>
      <c r="J51" s="35"/>
      <c r="K51" s="36"/>
    </row>
    <row r="52" spans="2:11">
      <c r="B52" s="1" t="s">
        <v>161</v>
      </c>
      <c r="C52" s="21" t="s">
        <v>162</v>
      </c>
      <c r="D52" s="31" t="s">
        <v>163</v>
      </c>
      <c r="E52" s="32" t="s">
        <v>131</v>
      </c>
      <c r="F52" s="33">
        <v>50000</v>
      </c>
      <c r="G52" s="34">
        <v>1257.45</v>
      </c>
      <c r="H52" s="34">
        <v>0.96</v>
      </c>
      <c r="I52" s="35"/>
      <c r="J52" s="35"/>
      <c r="K52" s="36"/>
    </row>
    <row r="53" spans="2:11">
      <c r="B53" s="1" t="s">
        <v>164</v>
      </c>
      <c r="C53" s="21" t="s">
        <v>165</v>
      </c>
      <c r="D53" s="31" t="s">
        <v>166</v>
      </c>
      <c r="E53" s="32" t="s">
        <v>46</v>
      </c>
      <c r="F53" s="33">
        <v>35187</v>
      </c>
      <c r="G53" s="34">
        <v>1176.44</v>
      </c>
      <c r="H53" s="34">
        <v>0.9</v>
      </c>
      <c r="I53" s="35"/>
      <c r="J53" s="35"/>
      <c r="K53" s="36"/>
    </row>
    <row r="54" spans="2:11">
      <c r="B54" s="1" t="s">
        <v>167</v>
      </c>
      <c r="C54" s="21" t="s">
        <v>40</v>
      </c>
      <c r="D54" s="31" t="s">
        <v>168</v>
      </c>
      <c r="E54" s="32" t="s">
        <v>42</v>
      </c>
      <c r="F54" s="33">
        <v>73800</v>
      </c>
      <c r="G54" s="34">
        <v>396.49</v>
      </c>
      <c r="H54" s="34">
        <v>0.3</v>
      </c>
      <c r="I54" s="35"/>
      <c r="J54" s="35"/>
      <c r="K54" s="36" t="s">
        <v>169</v>
      </c>
    </row>
    <row r="55" spans="2:11">
      <c r="C55" s="30" t="s">
        <v>170</v>
      </c>
      <c r="D55" s="31"/>
      <c r="E55" s="32"/>
      <c r="F55" s="33"/>
      <c r="G55" s="38">
        <v>124456.34</v>
      </c>
      <c r="H55" s="38">
        <v>94.83</v>
      </c>
      <c r="I55" s="35"/>
      <c r="J55" s="35"/>
      <c r="K55" s="36"/>
    </row>
    <row r="56" spans="2:11">
      <c r="C56" s="21"/>
      <c r="D56" s="31"/>
      <c r="E56" s="32"/>
      <c r="F56" s="33"/>
      <c r="G56" s="34"/>
      <c r="H56" s="34"/>
      <c r="I56" s="35"/>
      <c r="J56" s="35"/>
      <c r="K56" s="36"/>
    </row>
    <row r="57" spans="2:11">
      <c r="C57" s="30" t="s">
        <v>171</v>
      </c>
      <c r="D57" s="31"/>
      <c r="E57" s="32"/>
      <c r="F57" s="33"/>
      <c r="G57" s="34" t="s">
        <v>172</v>
      </c>
      <c r="H57" s="34" t="s">
        <v>172</v>
      </c>
      <c r="I57" s="35"/>
      <c r="J57" s="35"/>
      <c r="K57" s="36"/>
    </row>
    <row r="58" spans="2:11">
      <c r="C58" s="21"/>
      <c r="D58" s="31"/>
      <c r="E58" s="32"/>
      <c r="F58" s="33"/>
      <c r="G58" s="34"/>
      <c r="H58" s="34"/>
      <c r="I58" s="35"/>
      <c r="J58" s="35"/>
      <c r="K58" s="36"/>
    </row>
    <row r="59" spans="2:11">
      <c r="C59" s="30" t="s">
        <v>173</v>
      </c>
      <c r="D59" s="31"/>
      <c r="E59" s="32"/>
      <c r="F59" s="33"/>
      <c r="G59" s="34" t="s">
        <v>172</v>
      </c>
      <c r="H59" s="34" t="s">
        <v>172</v>
      </c>
      <c r="I59" s="35"/>
      <c r="J59" s="35"/>
      <c r="K59" s="36"/>
    </row>
    <row r="60" spans="2:11">
      <c r="C60" s="21"/>
      <c r="D60" s="31"/>
      <c r="E60" s="32"/>
      <c r="F60" s="33"/>
      <c r="G60" s="34"/>
      <c r="H60" s="34"/>
      <c r="I60" s="35"/>
      <c r="J60" s="35"/>
      <c r="K60" s="36"/>
    </row>
    <row r="61" spans="2:11">
      <c r="C61" s="30" t="s">
        <v>174</v>
      </c>
      <c r="D61" s="31"/>
      <c r="E61" s="32"/>
      <c r="F61" s="33"/>
      <c r="G61" s="34"/>
      <c r="H61" s="34"/>
      <c r="I61" s="35"/>
      <c r="J61" s="35"/>
      <c r="K61" s="36"/>
    </row>
    <row r="62" spans="2:11">
      <c r="C62" s="21"/>
      <c r="D62" s="31"/>
      <c r="E62" s="32"/>
      <c r="F62" s="33"/>
      <c r="G62" s="34"/>
      <c r="H62" s="34"/>
      <c r="I62" s="35"/>
      <c r="J62" s="35"/>
      <c r="K62" s="36"/>
    </row>
    <row r="63" spans="2:11">
      <c r="C63" s="30" t="s">
        <v>175</v>
      </c>
      <c r="D63" s="31"/>
      <c r="E63" s="32"/>
      <c r="F63" s="33"/>
      <c r="G63" s="34" t="s">
        <v>172</v>
      </c>
      <c r="H63" s="34" t="s">
        <v>172</v>
      </c>
      <c r="I63" s="35"/>
      <c r="J63" s="35"/>
      <c r="K63" s="36"/>
    </row>
    <row r="64" spans="2:11">
      <c r="C64" s="21"/>
      <c r="D64" s="31"/>
      <c r="E64" s="32"/>
      <c r="F64" s="33"/>
      <c r="G64" s="34"/>
      <c r="H64" s="34"/>
      <c r="I64" s="35"/>
      <c r="J64" s="35"/>
      <c r="K64" s="36"/>
    </row>
    <row r="65" spans="3:11">
      <c r="C65" s="30" t="s">
        <v>176</v>
      </c>
      <c r="D65" s="31"/>
      <c r="E65" s="32"/>
      <c r="F65" s="33"/>
      <c r="G65" s="34" t="s">
        <v>172</v>
      </c>
      <c r="H65" s="34" t="s">
        <v>172</v>
      </c>
      <c r="I65" s="35"/>
      <c r="J65" s="35"/>
      <c r="K65" s="36"/>
    </row>
    <row r="66" spans="3:11">
      <c r="C66" s="21"/>
      <c r="D66" s="31"/>
      <c r="E66" s="32"/>
      <c r="F66" s="33"/>
      <c r="G66" s="34"/>
      <c r="H66" s="34"/>
      <c r="I66" s="35"/>
      <c r="J66" s="35"/>
      <c r="K66" s="36"/>
    </row>
    <row r="67" spans="3:11">
      <c r="C67" s="30" t="s">
        <v>177</v>
      </c>
      <c r="D67" s="31"/>
      <c r="E67" s="32"/>
      <c r="F67" s="33"/>
      <c r="G67" s="34" t="s">
        <v>172</v>
      </c>
      <c r="H67" s="34" t="s">
        <v>172</v>
      </c>
      <c r="I67" s="35"/>
      <c r="J67" s="35"/>
      <c r="K67" s="36"/>
    </row>
    <row r="68" spans="3:11">
      <c r="C68" s="21"/>
      <c r="D68" s="31"/>
      <c r="E68" s="32"/>
      <c r="F68" s="33"/>
      <c r="G68" s="34"/>
      <c r="H68" s="34"/>
      <c r="I68" s="35"/>
      <c r="J68" s="35"/>
      <c r="K68" s="36"/>
    </row>
    <row r="69" spans="3:11">
      <c r="C69" s="30" t="s">
        <v>178</v>
      </c>
      <c r="D69" s="31"/>
      <c r="E69" s="32"/>
      <c r="F69" s="33"/>
      <c r="G69" s="34" t="s">
        <v>172</v>
      </c>
      <c r="H69" s="34" t="s">
        <v>172</v>
      </c>
      <c r="I69" s="35"/>
      <c r="J69" s="35"/>
      <c r="K69" s="36"/>
    </row>
    <row r="70" spans="3:11">
      <c r="C70" s="21"/>
      <c r="D70" s="31"/>
      <c r="E70" s="32"/>
      <c r="F70" s="33"/>
      <c r="G70" s="34"/>
      <c r="H70" s="34"/>
      <c r="I70" s="35"/>
      <c r="J70" s="35"/>
      <c r="K70" s="36"/>
    </row>
    <row r="71" spans="3:11">
      <c r="C71" s="30" t="s">
        <v>179</v>
      </c>
      <c r="D71" s="31"/>
      <c r="E71" s="32"/>
      <c r="F71" s="33"/>
      <c r="G71" s="34" t="s">
        <v>172</v>
      </c>
      <c r="H71" s="34" t="s">
        <v>172</v>
      </c>
      <c r="I71" s="35"/>
      <c r="J71" s="35"/>
      <c r="K71" s="36"/>
    </row>
    <row r="72" spans="3:11">
      <c r="C72" s="21"/>
      <c r="D72" s="31"/>
      <c r="E72" s="32"/>
      <c r="F72" s="33"/>
      <c r="G72" s="34"/>
      <c r="H72" s="34"/>
      <c r="I72" s="35"/>
      <c r="J72" s="35"/>
      <c r="K72" s="36"/>
    </row>
    <row r="73" spans="3:11">
      <c r="C73" s="30" t="s">
        <v>180</v>
      </c>
      <c r="D73" s="31"/>
      <c r="E73" s="32"/>
      <c r="F73" s="33"/>
      <c r="G73" s="34"/>
      <c r="H73" s="34"/>
      <c r="I73" s="35"/>
      <c r="J73" s="35"/>
      <c r="K73" s="36"/>
    </row>
    <row r="74" spans="3:11">
      <c r="C74" s="21"/>
      <c r="D74" s="31"/>
      <c r="E74" s="32"/>
      <c r="F74" s="33"/>
      <c r="G74" s="34"/>
      <c r="H74" s="34"/>
      <c r="I74" s="35"/>
      <c r="J74" s="35"/>
      <c r="K74" s="36"/>
    </row>
    <row r="75" spans="3:11">
      <c r="C75" s="30" t="s">
        <v>181</v>
      </c>
      <c r="D75" s="31"/>
      <c r="E75" s="32"/>
      <c r="F75" s="33"/>
      <c r="G75" s="34" t="s">
        <v>172</v>
      </c>
      <c r="H75" s="34" t="s">
        <v>172</v>
      </c>
      <c r="I75" s="35"/>
      <c r="J75" s="35"/>
      <c r="K75" s="36"/>
    </row>
    <row r="76" spans="3:11">
      <c r="C76" s="21"/>
      <c r="D76" s="31"/>
      <c r="E76" s="32"/>
      <c r="F76" s="33"/>
      <c r="G76" s="34"/>
      <c r="H76" s="34"/>
      <c r="I76" s="35"/>
      <c r="J76" s="35"/>
      <c r="K76" s="36"/>
    </row>
    <row r="77" spans="3:11">
      <c r="C77" s="30" t="s">
        <v>182</v>
      </c>
      <c r="D77" s="31"/>
      <c r="E77" s="32"/>
      <c r="F77" s="33"/>
      <c r="G77" s="34" t="s">
        <v>172</v>
      </c>
      <c r="H77" s="34" t="s">
        <v>172</v>
      </c>
      <c r="I77" s="35"/>
      <c r="J77" s="35"/>
      <c r="K77" s="36"/>
    </row>
    <row r="78" spans="3:11">
      <c r="C78" s="21"/>
      <c r="D78" s="31"/>
      <c r="E78" s="32"/>
      <c r="F78" s="33"/>
      <c r="G78" s="34"/>
      <c r="H78" s="34"/>
      <c r="I78" s="35"/>
      <c r="J78" s="35"/>
      <c r="K78" s="36"/>
    </row>
    <row r="79" spans="3:11">
      <c r="C79" s="30" t="s">
        <v>183</v>
      </c>
      <c r="D79" s="31"/>
      <c r="E79" s="32"/>
      <c r="F79" s="33"/>
      <c r="G79" s="34" t="s">
        <v>172</v>
      </c>
      <c r="H79" s="34" t="s">
        <v>172</v>
      </c>
      <c r="I79" s="35"/>
      <c r="J79" s="35"/>
      <c r="K79" s="36"/>
    </row>
    <row r="80" spans="3:11">
      <c r="C80" s="21"/>
      <c r="D80" s="31"/>
      <c r="E80" s="32"/>
      <c r="F80" s="33"/>
      <c r="G80" s="34"/>
      <c r="H80" s="34"/>
      <c r="I80" s="35"/>
      <c r="J80" s="35"/>
      <c r="K80" s="36"/>
    </row>
    <row r="81" spans="1:11">
      <c r="C81" s="30" t="s">
        <v>184</v>
      </c>
      <c r="D81" s="31"/>
      <c r="E81" s="32"/>
      <c r="F81" s="33"/>
      <c r="G81" s="34" t="s">
        <v>172</v>
      </c>
      <c r="H81" s="34" t="s">
        <v>172</v>
      </c>
      <c r="I81" s="35"/>
      <c r="J81" s="35"/>
      <c r="K81" s="36"/>
    </row>
    <row r="82" spans="1:11">
      <c r="C82" s="21"/>
      <c r="D82" s="31"/>
      <c r="E82" s="32"/>
      <c r="F82" s="33"/>
      <c r="G82" s="34"/>
      <c r="H82" s="34"/>
      <c r="I82" s="35"/>
      <c r="J82" s="35"/>
      <c r="K82" s="36"/>
    </row>
    <row r="83" spans="1:11">
      <c r="A83" s="28"/>
      <c r="B83" s="29"/>
      <c r="C83" s="30" t="s">
        <v>185</v>
      </c>
      <c r="D83" s="31"/>
      <c r="E83" s="32"/>
      <c r="F83" s="33"/>
      <c r="G83" s="34"/>
      <c r="H83" s="34"/>
      <c r="I83" s="35"/>
      <c r="J83" s="35"/>
      <c r="K83" s="36"/>
    </row>
    <row r="84" spans="1:11">
      <c r="A84" s="29"/>
      <c r="B84" s="29"/>
      <c r="C84" s="30" t="s">
        <v>186</v>
      </c>
      <c r="D84" s="31"/>
      <c r="E84" s="32"/>
      <c r="F84" s="33"/>
      <c r="G84" s="34" t="s">
        <v>172</v>
      </c>
      <c r="H84" s="34" t="s">
        <v>172</v>
      </c>
      <c r="I84" s="35"/>
      <c r="J84" s="35"/>
      <c r="K84" s="36"/>
    </row>
    <row r="85" spans="1:11">
      <c r="A85" s="29"/>
      <c r="B85" s="29"/>
      <c r="C85" s="30"/>
      <c r="D85" s="31"/>
      <c r="E85" s="32"/>
      <c r="F85" s="33"/>
      <c r="G85" s="34"/>
      <c r="H85" s="34"/>
      <c r="I85" s="35"/>
      <c r="J85" s="35"/>
      <c r="K85" s="36"/>
    </row>
    <row r="86" spans="1:11">
      <c r="A86" s="29"/>
      <c r="B86" s="29"/>
      <c r="C86" s="30" t="s">
        <v>187</v>
      </c>
      <c r="D86" s="31"/>
      <c r="E86" s="32"/>
      <c r="F86" s="33"/>
      <c r="G86" s="34" t="s">
        <v>172</v>
      </c>
      <c r="H86" s="34" t="s">
        <v>172</v>
      </c>
      <c r="I86" s="35"/>
      <c r="J86" s="35"/>
      <c r="K86" s="36"/>
    </row>
    <row r="87" spans="1:11">
      <c r="A87" s="29"/>
      <c r="B87" s="29"/>
      <c r="C87" s="30"/>
      <c r="D87" s="31"/>
      <c r="E87" s="32"/>
      <c r="F87" s="33"/>
      <c r="G87" s="34"/>
      <c r="H87" s="34"/>
      <c r="I87" s="35"/>
      <c r="J87" s="35"/>
      <c r="K87" s="36"/>
    </row>
    <row r="88" spans="1:11">
      <c r="A88" s="29"/>
      <c r="B88" s="29"/>
      <c r="C88" s="30" t="s">
        <v>188</v>
      </c>
      <c r="D88" s="31"/>
      <c r="E88" s="32"/>
      <c r="F88" s="33"/>
      <c r="G88" s="34" t="s">
        <v>172</v>
      </c>
      <c r="H88" s="34" t="s">
        <v>172</v>
      </c>
      <c r="I88" s="35"/>
      <c r="J88" s="35"/>
      <c r="K88" s="36"/>
    </row>
    <row r="89" spans="1:11">
      <c r="A89" s="29"/>
      <c r="B89" s="29"/>
      <c r="C89" s="30"/>
      <c r="D89" s="31"/>
      <c r="E89" s="32"/>
      <c r="F89" s="33"/>
      <c r="G89" s="34"/>
      <c r="H89" s="34"/>
      <c r="I89" s="35"/>
      <c r="J89" s="35"/>
      <c r="K89" s="36"/>
    </row>
    <row r="90" spans="1:11">
      <c r="A90" s="29"/>
      <c r="B90" s="29"/>
      <c r="C90" s="30" t="s">
        <v>189</v>
      </c>
      <c r="D90" s="31"/>
      <c r="E90" s="32"/>
      <c r="F90" s="33"/>
      <c r="G90" s="34" t="s">
        <v>172</v>
      </c>
      <c r="H90" s="34" t="s">
        <v>172</v>
      </c>
      <c r="I90" s="35"/>
      <c r="J90" s="35"/>
      <c r="K90" s="36"/>
    </row>
    <row r="91" spans="1:11">
      <c r="A91" s="29"/>
      <c r="B91" s="29"/>
      <c r="C91" s="30"/>
      <c r="D91" s="31"/>
      <c r="E91" s="32"/>
      <c r="F91" s="33"/>
      <c r="G91" s="34"/>
      <c r="H91" s="34"/>
      <c r="I91" s="35"/>
      <c r="J91" s="35"/>
      <c r="K91" s="36"/>
    </row>
    <row r="92" spans="1:11">
      <c r="C92" s="37" t="s">
        <v>190</v>
      </c>
      <c r="D92" s="31"/>
      <c r="E92" s="32"/>
      <c r="F92" s="33"/>
      <c r="G92" s="34"/>
      <c r="H92" s="34"/>
      <c r="I92" s="35"/>
      <c r="J92" s="35"/>
      <c r="K92" s="36"/>
    </row>
    <row r="93" spans="1:11">
      <c r="B93" s="1" t="s">
        <v>191</v>
      </c>
      <c r="C93" s="21" t="s">
        <v>192</v>
      </c>
      <c r="D93" s="31"/>
      <c r="E93" s="32"/>
      <c r="F93" s="33"/>
      <c r="G93" s="34">
        <v>6565.45</v>
      </c>
      <c r="H93" s="34">
        <v>5</v>
      </c>
      <c r="I93" s="35">
        <v>7.14</v>
      </c>
      <c r="J93" s="35"/>
      <c r="K93" s="36"/>
    </row>
    <row r="94" spans="1:11">
      <c r="C94" s="30" t="s">
        <v>170</v>
      </c>
      <c r="D94" s="31"/>
      <c r="E94" s="32"/>
      <c r="F94" s="33"/>
      <c r="G94" s="38">
        <v>6565.45</v>
      </c>
      <c r="H94" s="38">
        <v>5</v>
      </c>
      <c r="I94" s="35"/>
      <c r="J94" s="35"/>
      <c r="K94" s="36"/>
    </row>
    <row r="95" spans="1:11">
      <c r="C95" s="21"/>
      <c r="D95" s="31"/>
      <c r="E95" s="32"/>
      <c r="F95" s="33"/>
      <c r="G95" s="34"/>
      <c r="H95" s="34"/>
      <c r="I95" s="35"/>
      <c r="J95" s="35"/>
      <c r="K95" s="36"/>
    </row>
    <row r="96" spans="1:11">
      <c r="A96" s="28"/>
      <c r="B96" s="29"/>
      <c r="C96" s="30" t="s">
        <v>193</v>
      </c>
      <c r="D96" s="31"/>
      <c r="E96" s="32"/>
      <c r="F96" s="33"/>
      <c r="G96" s="34"/>
      <c r="H96" s="34"/>
      <c r="I96" s="35"/>
      <c r="J96" s="35"/>
      <c r="K96" s="36"/>
    </row>
    <row r="97" spans="2:11">
      <c r="B97" s="1"/>
      <c r="C97" s="21" t="s">
        <v>194</v>
      </c>
      <c r="D97" s="31"/>
      <c r="E97" s="32"/>
      <c r="F97" s="33"/>
      <c r="G97" s="34">
        <v>181.07</v>
      </c>
      <c r="H97" s="34">
        <v>0.17</v>
      </c>
      <c r="I97" s="35"/>
      <c r="J97" s="35"/>
      <c r="K97" s="36"/>
    </row>
    <row r="98" spans="2:11">
      <c r="C98" s="30" t="s">
        <v>170</v>
      </c>
      <c r="D98" s="31"/>
      <c r="E98" s="32"/>
      <c r="F98" s="33"/>
      <c r="G98" s="38">
        <v>181.07</v>
      </c>
      <c r="H98" s="38">
        <v>0.17</v>
      </c>
      <c r="I98" s="35"/>
      <c r="J98" s="35"/>
      <c r="K98" s="36"/>
    </row>
    <row r="99" spans="2:11">
      <c r="C99" s="21"/>
      <c r="D99" s="31"/>
      <c r="E99" s="32"/>
      <c r="F99" s="33"/>
      <c r="G99" s="34"/>
      <c r="H99" s="34"/>
      <c r="I99" s="35"/>
      <c r="J99" s="35"/>
      <c r="K99" s="36"/>
    </row>
    <row r="100" spans="2:11" ht="14.4" thickBot="1">
      <c r="C100" s="39" t="s">
        <v>195</v>
      </c>
      <c r="D100" s="40"/>
      <c r="E100" s="41"/>
      <c r="F100" s="42"/>
      <c r="G100" s="43">
        <v>131202.85999999999</v>
      </c>
      <c r="H100" s="43">
        <f>SUMIFS(H:H,C:C,"Total")</f>
        <v>100</v>
      </c>
      <c r="I100" s="44"/>
      <c r="J100" s="44"/>
      <c r="K100" s="45"/>
    </row>
    <row r="103" spans="2:11">
      <c r="C103" s="11" t="s">
        <v>196</v>
      </c>
    </row>
    <row r="104" spans="2:11">
      <c r="C104" s="2" t="s">
        <v>197</v>
      </c>
    </row>
    <row r="105" spans="2:11">
      <c r="C105" s="46" t="s">
        <v>198</v>
      </c>
    </row>
    <row r="106" spans="2:11">
      <c r="C106" s="2" t="s">
        <v>199</v>
      </c>
    </row>
    <row r="107" spans="2:11">
      <c r="C107" s="2" t="s">
        <v>200</v>
      </c>
    </row>
    <row r="108" spans="2:11">
      <c r="C108" s="2" t="s">
        <v>201</v>
      </c>
      <c r="D108" s="47"/>
      <c r="E108" s="47"/>
      <c r="F108" s="47"/>
      <c r="G108" s="48"/>
      <c r="H108" s="48"/>
    </row>
    <row r="109" spans="2:11">
      <c r="C109" s="2" t="s">
        <v>202</v>
      </c>
    </row>
    <row r="110" spans="2:11">
      <c r="C110" s="2" t="s">
        <v>203</v>
      </c>
    </row>
    <row r="111" spans="2:11">
      <c r="C111" s="2" t="s">
        <v>204</v>
      </c>
    </row>
    <row r="112" spans="2:11">
      <c r="C112" s="2" t="s">
        <v>205</v>
      </c>
    </row>
    <row r="113" spans="3:55" s="11" customFormat="1">
      <c r="C113" s="11" t="s">
        <v>206</v>
      </c>
      <c r="E113" s="11" t="s">
        <v>228</v>
      </c>
      <c r="F113" s="49" t="s">
        <v>208</v>
      </c>
      <c r="G113" s="50"/>
      <c r="H113" s="50"/>
      <c r="I113" s="50"/>
      <c r="J113" s="50"/>
      <c r="K113" s="51"/>
      <c r="L113" s="51"/>
      <c r="M113" s="51"/>
      <c r="AJ113" s="51"/>
      <c r="AW113" s="51"/>
      <c r="AY113" s="51"/>
      <c r="BC113" s="51"/>
    </row>
    <row r="114" spans="3:55">
      <c r="C114" s="2" t="s">
        <v>209</v>
      </c>
      <c r="E114" s="52">
        <v>9.7157</v>
      </c>
      <c r="F114" s="53">
        <v>9.6638000000000002</v>
      </c>
      <c r="M114" s="10"/>
      <c r="AI114" s="2"/>
      <c r="AJ114" s="10"/>
      <c r="AV114" s="2"/>
      <c r="AW114" s="10"/>
      <c r="AX114" s="2"/>
      <c r="AY114" s="10"/>
      <c r="BB114" s="2"/>
      <c r="BC114" s="10"/>
    </row>
    <row r="115" spans="3:55">
      <c r="C115" s="2" t="s">
        <v>210</v>
      </c>
      <c r="E115" s="52">
        <v>9.7157</v>
      </c>
      <c r="F115" s="53">
        <v>9.6638000000000002</v>
      </c>
      <c r="M115" s="10"/>
      <c r="AI115" s="2"/>
      <c r="AJ115" s="10"/>
      <c r="AV115" s="2"/>
      <c r="AW115" s="10"/>
      <c r="AX115" s="2"/>
      <c r="AY115" s="10"/>
      <c r="BB115" s="2"/>
      <c r="BC115" s="10"/>
    </row>
    <row r="116" spans="3:55">
      <c r="C116" s="2" t="s">
        <v>211</v>
      </c>
      <c r="E116" s="52">
        <v>9.7384000000000004</v>
      </c>
      <c r="F116" s="53">
        <v>9.7734000000000005</v>
      </c>
      <c r="M116" s="10"/>
      <c r="AI116" s="2"/>
      <c r="AJ116" s="10"/>
      <c r="AV116" s="2"/>
      <c r="AW116" s="10"/>
      <c r="AX116" s="2"/>
      <c r="AY116" s="10"/>
      <c r="BB116" s="2"/>
      <c r="BC116" s="10"/>
    </row>
    <row r="117" spans="3:55">
      <c r="C117" s="2" t="s">
        <v>212</v>
      </c>
      <c r="E117" s="52">
        <v>9.7384000000000004</v>
      </c>
      <c r="F117" s="53">
        <v>9.7734000000000005</v>
      </c>
      <c r="M117" s="10"/>
      <c r="AI117" s="2"/>
      <c r="AJ117" s="10"/>
      <c r="AV117" s="2"/>
      <c r="AW117" s="10"/>
      <c r="AX117" s="2"/>
      <c r="AY117" s="10"/>
      <c r="BB117" s="2"/>
      <c r="BC117" s="10"/>
    </row>
    <row r="118" spans="3:55">
      <c r="M118" s="10"/>
      <c r="AI118" s="2"/>
      <c r="AJ118" s="10"/>
      <c r="AV118" s="2"/>
      <c r="AW118" s="10"/>
      <c r="AX118" s="2"/>
      <c r="AY118" s="10"/>
      <c r="BB118" s="2"/>
      <c r="BC118" s="10"/>
    </row>
    <row r="119" spans="3:55">
      <c r="C119" s="2" t="s">
        <v>229</v>
      </c>
      <c r="M119" s="10"/>
      <c r="AI119" s="2"/>
      <c r="AJ119" s="10"/>
      <c r="AV119" s="2"/>
      <c r="AW119" s="10"/>
      <c r="AX119" s="2"/>
      <c r="AY119" s="10"/>
      <c r="BB119" s="2"/>
      <c r="BC119" s="10"/>
    </row>
    <row r="121" spans="3:55">
      <c r="C121" s="2" t="s">
        <v>230</v>
      </c>
    </row>
    <row r="122" spans="3:55">
      <c r="C122" s="2" t="s">
        <v>215</v>
      </c>
    </row>
    <row r="123" spans="3:55">
      <c r="C123" s="2" t="s">
        <v>231</v>
      </c>
    </row>
    <row r="124" spans="3:55">
      <c r="C124" s="2" t="s">
        <v>232</v>
      </c>
    </row>
    <row r="125" spans="3:55">
      <c r="C125" s="2" t="s">
        <v>218</v>
      </c>
    </row>
    <row r="126" spans="3:55">
      <c r="C126" s="2" t="s">
        <v>233</v>
      </c>
    </row>
    <row r="127" spans="3:55">
      <c r="C127" s="2" t="s">
        <v>220</v>
      </c>
    </row>
    <row r="128" spans="3:55">
      <c r="C128" s="2" t="s">
        <v>221</v>
      </c>
    </row>
    <row r="129" spans="3:11">
      <c r="C129" s="2" t="s">
        <v>234</v>
      </c>
    </row>
    <row r="130" spans="3:11">
      <c r="C130" s="2" t="s">
        <v>223</v>
      </c>
    </row>
    <row r="131" spans="3:11">
      <c r="C131" s="2" t="s">
        <v>224</v>
      </c>
    </row>
    <row r="132" spans="3:11">
      <c r="C132" s="2" t="s">
        <v>235</v>
      </c>
    </row>
    <row r="133" spans="3:11" ht="14.4">
      <c r="C133" s="54"/>
      <c r="D133" s="54"/>
      <c r="E133" s="55"/>
      <c r="F133" s="55"/>
      <c r="G133" s="55"/>
      <c r="H133" s="55"/>
      <c r="I133" s="55"/>
      <c r="J133" s="55"/>
      <c r="K133" s="55"/>
    </row>
    <row r="134" spans="3:11" ht="14.4">
      <c r="C134" s="54"/>
      <c r="D134" s="54"/>
      <c r="E134" s="55"/>
      <c r="F134" s="55"/>
      <c r="G134" s="55"/>
      <c r="H134" s="55"/>
      <c r="I134" s="55"/>
      <c r="J134" s="55"/>
      <c r="K134" s="55"/>
    </row>
    <row r="135" spans="3:11" ht="14.4">
      <c r="C135" s="55"/>
      <c r="D135" s="55"/>
      <c r="E135" s="55"/>
      <c r="F135" s="55"/>
      <c r="G135" s="55"/>
      <c r="H135" s="55"/>
      <c r="I135" s="55"/>
      <c r="J135" s="55"/>
      <c r="K135" s="55"/>
    </row>
    <row r="136" spans="3:11" ht="14.4">
      <c r="C136" s="55"/>
      <c r="D136" s="55"/>
      <c r="E136" s="55"/>
      <c r="F136" s="55"/>
      <c r="G136" s="55"/>
      <c r="H136" s="55"/>
      <c r="I136" s="55"/>
      <c r="J136" s="55"/>
      <c r="K136" s="55"/>
    </row>
  </sheetData>
  <mergeCells count="2">
    <mergeCell ref="C2:K3"/>
    <mergeCell ref="C5:K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Monthly Portfolio</vt:lpstr>
      <vt:lpstr>Half Yearly Portfolio</vt:lpstr>
      <vt:lpstr>XDO_?CLASS_3?15?</vt:lpstr>
      <vt:lpstr>XDO_?FINAL_ISIN?64?</vt:lpstr>
      <vt:lpstr>XDO_?FINAL_ISIN?65?</vt:lpstr>
      <vt:lpstr>XDO_?FINAL_ISIN?66?</vt:lpstr>
      <vt:lpstr>XDO_?FINAL_MV?64?</vt:lpstr>
      <vt:lpstr>XDO_?FINAL_MV?65?</vt:lpstr>
      <vt:lpstr>XDO_?FINAL_MV?66?</vt:lpstr>
      <vt:lpstr>XDO_?FINAL_NAME?64?</vt:lpstr>
      <vt:lpstr>XDO_?FINAL_NAME?65?</vt:lpstr>
      <vt:lpstr>XDO_?FINAL_NAME?66?</vt:lpstr>
      <vt:lpstr>XDO_?FINAL_PER_NET?64?</vt:lpstr>
      <vt:lpstr>XDO_?FINAL_PER_NET?65?</vt:lpstr>
      <vt:lpstr>XDO_?FINAL_PER_NET?66?</vt:lpstr>
      <vt:lpstr>XDO_?FINAL_QUANTITE?64?</vt:lpstr>
      <vt:lpstr>XDO_?FINAL_QUANTITE?65?</vt:lpstr>
      <vt:lpstr>XDO_?FINAL_QUANTITE?66?</vt:lpstr>
      <vt:lpstr>XDO_?NAMCNAME?15?</vt:lpstr>
      <vt:lpstr>XDO_?NOVAL?64?</vt:lpstr>
      <vt:lpstr>XDO_?NOVAL?65?</vt:lpstr>
      <vt:lpstr>XDO_?NOVAL?66?</vt:lpstr>
      <vt:lpstr>XDO_?NPTF?15?</vt:lpstr>
      <vt:lpstr>XDO_?RATING?64?</vt:lpstr>
      <vt:lpstr>XDO_?RATING?65?</vt:lpstr>
      <vt:lpstr>XDO_?RATING?66?</vt:lpstr>
      <vt:lpstr>XDO_?REMARKS?64?</vt:lpstr>
      <vt:lpstr>XDO_?REMARKS?65?</vt:lpstr>
      <vt:lpstr>XDO_?REMARKS?66?</vt:lpstr>
      <vt:lpstr>XDO_?TITL?15?</vt:lpstr>
      <vt:lpstr>XDO_?YTM?64?</vt:lpstr>
      <vt:lpstr>XDO_?YTM?65?</vt:lpstr>
      <vt:lpstr>XDO_?YTM?66?</vt:lpstr>
      <vt:lpstr>XDO_GROUP_?G_2?15?</vt:lpstr>
      <vt:lpstr>XDO_GROUP_?G_3?15?</vt:lpstr>
      <vt:lpstr>XDO_GROUP_?G_4?64?</vt:lpstr>
      <vt:lpstr>XDO_GROUP_?G_4?65?</vt:lpstr>
      <vt:lpstr>XDO_GROUP_?G_4?66?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admin</cp:lastModifiedBy>
  <dcterms:created xsi:type="dcterms:W3CDTF">2023-04-05T12:36:18Z</dcterms:created>
  <dcterms:modified xsi:type="dcterms:W3CDTF">2023-04-08T11:54:44Z</dcterms:modified>
</cp:coreProperties>
</file>