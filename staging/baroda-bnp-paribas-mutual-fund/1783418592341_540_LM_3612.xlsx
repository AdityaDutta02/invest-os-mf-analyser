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July-2023\BOBBNPMF_Monthly portfolio_Split_31.07.2023\"/>
    </mc:Choice>
  </mc:AlternateContent>
  <bookViews>
    <workbookView xWindow="0" yWindow="0" windowWidth="23040" windowHeight="9072"/>
  </bookViews>
  <sheets>
    <sheet name="LM" sheetId="1" r:id="rId1"/>
  </sheets>
  <externalReferences>
    <externalReference r:id="rId2"/>
  </externalReferences>
  <definedNames>
    <definedName name="XDO_?CLASS_3?30?">LM!$C$8:$C$53</definedName>
    <definedName name="XDO_?FINAL_ISIN?147?">LM!$D$10:$D$53</definedName>
    <definedName name="XDO_?FINAL_ISIN?148?">LM!$D$10:$D$92</definedName>
    <definedName name="XDO_?FINAL_ISIN?149?">LM!$D$10:$D$96</definedName>
    <definedName name="XDO_?FINAL_MV?147?">LM!$G$10:$G$53</definedName>
    <definedName name="XDO_?FINAL_MV?148?">LM!$G$10:$G$92</definedName>
    <definedName name="XDO_?FINAL_MV?149?">LM!$G$10:$G$96</definedName>
    <definedName name="XDO_?FINAL_NAME?147?">LM!$C$10:$C$53</definedName>
    <definedName name="XDO_?FINAL_NAME?148?">LM!$C$10:$C$92</definedName>
    <definedName name="XDO_?FINAL_NAME?149?">LM!$C$10:$C$96</definedName>
    <definedName name="XDO_?FINAL_PER_NET?147?">LM!$H$10:$H$53</definedName>
    <definedName name="XDO_?FINAL_PER_NET?148?">LM!$H$10:$H$92</definedName>
    <definedName name="XDO_?FINAL_PER_NET?149?">LM!$H$10:$H$96</definedName>
    <definedName name="XDO_?FINAL_QUANTITE?147?">LM!$F$10:$F$53</definedName>
    <definedName name="XDO_?FINAL_QUANTITE?148?">LM!$F$10:$F$92</definedName>
    <definedName name="XDO_?FINAL_QUANTITE?149?">LM!$F$10:$F$96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30?">LM!$C$2:$C$53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47?">LM!$B$10:$B$53</definedName>
    <definedName name="XDO_?NOVAL?148?">LM!$B$10:$B$92</definedName>
    <definedName name="XDO_?NOVAL?149?">LM!$B$10:$B$96</definedName>
    <definedName name="XDO_?NPTF?30?">LM!$D$2:$D$53</definedName>
    <definedName name="XDO_?RATING?147?">LM!$E$10:$E$53</definedName>
    <definedName name="XDO_?RATING?148?">LM!$E$10:$E$92</definedName>
    <definedName name="XDO_?RATING?149?">LM!$E$10:$E$96</definedName>
    <definedName name="XDO_?REMARKS?147?">LM!$K$10:$K$53</definedName>
    <definedName name="XDO_?REMARKS?148?">LM!$K$10:$K$92</definedName>
    <definedName name="XDO_?REMARKS?149?">LM!$K$10:$K$96</definedName>
    <definedName name="XDO_?TITL?30?">LM!$A$8:$A$53</definedName>
    <definedName name="XDO_?YTM?147?">LM!$I$10:$I$53</definedName>
    <definedName name="XDO_?YTM?148?">LM!$I$10:$I$92</definedName>
    <definedName name="XDO_?YTM?149?">LM!$I$10:$I$96</definedName>
    <definedName name="XDO_GROUP_?G_2?30?">LM!$2:$64</definedName>
    <definedName name="XDO_GROUP_?G_3?30?">LM!$8:$63</definedName>
    <definedName name="XDO_GROUP_?G_4?147?">LM!$B$10:$IV$53</definedName>
    <definedName name="XDO_GROUP_?G_4?148?">LM!$B$58:$IV$58</definedName>
    <definedName name="XDO_GROUP_?G_4?149?">LM!$B$61:$IV$61</definedName>
    <definedName name="XDO_GROUP_?G_4?41?">[1]TA!#REF!</definedName>
    <definedName name="XDO_GROUP_?G_4?91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9" i="1" l="1"/>
</calcChain>
</file>

<file path=xl/sharedStrings.xml><?xml version="1.0" encoding="utf-8"?>
<sst xmlns="http://schemas.openxmlformats.org/spreadsheetml/2006/main" count="280" uniqueCount="227">
  <si>
    <t>Baroda BNP Paribas Mutual Fund</t>
  </si>
  <si>
    <t>YR54</t>
  </si>
  <si>
    <t>SCHEME NAME :</t>
  </si>
  <si>
    <t xml:space="preserve">Baroda BNP Paribas Large &amp; Mid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</si>
  <si>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</si>
  <si>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</si>
  <si>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</si>
  <si>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</si>
  <si>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</si>
  <si>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</si>
  <si>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</si>
  <si>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</si>
  <si>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</si>
  <si>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</si>
  <si>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</si>
  <si>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</si>
  <si>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</si>
  <si>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</si>
  <si>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</si>
  <si>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</si>
  <si>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100286</t>
  </si>
  <si>
    <t>NHPC Ltd.</t>
  </si>
  <si>
    <t>INE848E01016</t>
  </si>
  <si>
    <t>Power</t>
  </si>
  <si>
    <t>100019</t>
  </si>
  <si>
    <t>ITC Ltd.</t>
  </si>
  <si>
    <t>INE154A01025</t>
  </si>
  <si>
    <t>Diversified FMCG</t>
  </si>
  <si>
    <t>100005</t>
  </si>
  <si>
    <t>Larsen &amp; Toubro Ltd.</t>
  </si>
  <si>
    <t>INE018A01030</t>
  </si>
  <si>
    <t>Construction</t>
  </si>
  <si>
    <t>100843</t>
  </si>
  <si>
    <t>Dalmia Bharat Ltd.</t>
  </si>
  <si>
    <t>INE00R701025</t>
  </si>
  <si>
    <t>Cement &amp; Cement Products</t>
  </si>
  <si>
    <t>100036</t>
  </si>
  <si>
    <t>Mahindra &amp; Mahindra Financial Services Ltd.</t>
  </si>
  <si>
    <t>INE774D01024</t>
  </si>
  <si>
    <t>Finance</t>
  </si>
  <si>
    <t>100012</t>
  </si>
  <si>
    <t>ICICI Bank Ltd.</t>
  </si>
  <si>
    <t>INE090A01021</t>
  </si>
  <si>
    <t>101390</t>
  </si>
  <si>
    <t>PB Fintech Ltd.</t>
  </si>
  <si>
    <t>INE417T01026</t>
  </si>
  <si>
    <t>Financial Technology (Fintech)</t>
  </si>
  <si>
    <t>100242</t>
  </si>
  <si>
    <t>Schaeffler India Ltd.</t>
  </si>
  <si>
    <t>INE513A01022</t>
  </si>
  <si>
    <t>Auto Components</t>
  </si>
  <si>
    <t>100056</t>
  </si>
  <si>
    <t>Supreme Industries Ltd.</t>
  </si>
  <si>
    <t>INE195A01028</t>
  </si>
  <si>
    <t>Industrial Products</t>
  </si>
  <si>
    <t>100004</t>
  </si>
  <si>
    <t>Zydus Lifesciences Ltd.</t>
  </si>
  <si>
    <t>INE010B01027</t>
  </si>
  <si>
    <t>Pharmaceuticals &amp; Biotechnology</t>
  </si>
  <si>
    <t>100222</t>
  </si>
  <si>
    <t>The Indian Hotels Company Ltd.</t>
  </si>
  <si>
    <t>INE053A01029</t>
  </si>
  <si>
    <t>Leisure Services</t>
  </si>
  <si>
    <t>100164</t>
  </si>
  <si>
    <t>Petronet LNG Ltd.</t>
  </si>
  <si>
    <t>INE347G01014</t>
  </si>
  <si>
    <t>Gas</t>
  </si>
  <si>
    <t>100161</t>
  </si>
  <si>
    <t>Cummins India Ltd.</t>
  </si>
  <si>
    <t>INE298A01020</t>
  </si>
  <si>
    <t>100013</t>
  </si>
  <si>
    <t>IndusInd Bank Ltd.</t>
  </si>
  <si>
    <t>INE095A01012</t>
  </si>
  <si>
    <t>100002</t>
  </si>
  <si>
    <t>Reliance Industries Ltd.</t>
  </si>
  <si>
    <t>INE002A01018</t>
  </si>
  <si>
    <t>Petroleum Products</t>
  </si>
  <si>
    <t>100024</t>
  </si>
  <si>
    <t>Axis Bank Ltd.</t>
  </si>
  <si>
    <t>INE238A01034</t>
  </si>
  <si>
    <t>100234</t>
  </si>
  <si>
    <t>Coforge Ltd.</t>
  </si>
  <si>
    <t>INE591G01017</t>
  </si>
  <si>
    <t>IT - Software</t>
  </si>
  <si>
    <t>100022</t>
  </si>
  <si>
    <t>The Phoenix Mills Ltd.</t>
  </si>
  <si>
    <t>INE211B01039</t>
  </si>
  <si>
    <t>Realty</t>
  </si>
  <si>
    <t>101674</t>
  </si>
  <si>
    <t>Bharat Dynamics Ltd.</t>
  </si>
  <si>
    <t>INE171Z01018</t>
  </si>
  <si>
    <t>Aerospace &amp; Defense</t>
  </si>
  <si>
    <t>100069</t>
  </si>
  <si>
    <t>CIE Automotive India Ltd.</t>
  </si>
  <si>
    <t>INE536H01010</t>
  </si>
  <si>
    <t>100055</t>
  </si>
  <si>
    <t>The Federal Bank Ltd.</t>
  </si>
  <si>
    <t>INE171A01029</t>
  </si>
  <si>
    <t>100032</t>
  </si>
  <si>
    <t>Tata Consultancy Services Ltd.</t>
  </si>
  <si>
    <t>INE467B01029</t>
  </si>
  <si>
    <t>100816</t>
  </si>
  <si>
    <t>APL Apollo Tubes Ltd.</t>
  </si>
  <si>
    <t>INE702C01027</t>
  </si>
  <si>
    <t>100115</t>
  </si>
  <si>
    <t>Siemens Ltd.</t>
  </si>
  <si>
    <t>INE003A01024</t>
  </si>
  <si>
    <t>Electrical Equipment</t>
  </si>
  <si>
    <t>100477</t>
  </si>
  <si>
    <t>PNB Housing Finance Ltd.</t>
  </si>
  <si>
    <t>INE572E01012</t>
  </si>
  <si>
    <t>100014</t>
  </si>
  <si>
    <t>Mahindra &amp; Mahindra Ltd.</t>
  </si>
  <si>
    <t>INE101A01026</t>
  </si>
  <si>
    <t>Automobiles</t>
  </si>
  <si>
    <t>100268</t>
  </si>
  <si>
    <t>NLC India Ltd.</t>
  </si>
  <si>
    <t>INE589A01014</t>
  </si>
  <si>
    <t>100386</t>
  </si>
  <si>
    <t>Carborundum Universal Ltd.</t>
  </si>
  <si>
    <t>INE120A01034</t>
  </si>
  <si>
    <t>100084</t>
  </si>
  <si>
    <t>ABB India Ltd.</t>
  </si>
  <si>
    <t>INE117A01022</t>
  </si>
  <si>
    <t>100081</t>
  </si>
  <si>
    <t>Titan Company Ltd.</t>
  </si>
  <si>
    <t>INE280A01028</t>
  </si>
  <si>
    <t>Consumer Durables</t>
  </si>
  <si>
    <t>101080</t>
  </si>
  <si>
    <t>JB Chemicals &amp; Pharmaceuticals Ltd.</t>
  </si>
  <si>
    <t>INE572A01028</t>
  </si>
  <si>
    <t>100003</t>
  </si>
  <si>
    <t>Infosys Ltd.</t>
  </si>
  <si>
    <t>INE009A01021</t>
  </si>
  <si>
    <t>100285</t>
  </si>
  <si>
    <t>Alkem Laboratories Ltd.</t>
  </si>
  <si>
    <t>INE540L01014</t>
  </si>
  <si>
    <t>100235</t>
  </si>
  <si>
    <t>CRISIL Ltd.</t>
  </si>
  <si>
    <t>INE007A01025</t>
  </si>
  <si>
    <t>100942</t>
  </si>
  <si>
    <t>Brigade Enterprises Ltd.</t>
  </si>
  <si>
    <t>INE791I01019</t>
  </si>
  <si>
    <t>100095</t>
  </si>
  <si>
    <t>Bharti Airtel Ltd.</t>
  </si>
  <si>
    <t>INE397D01024</t>
  </si>
  <si>
    <t>Telecom - Services</t>
  </si>
  <si>
    <t>100306</t>
  </si>
  <si>
    <t>Abbott India Ltd.</t>
  </si>
  <si>
    <t>INE358A01014</t>
  </si>
  <si>
    <t>100106</t>
  </si>
  <si>
    <t>Maruti Suzuki India Ltd.</t>
  </si>
  <si>
    <t>INE585B01010</t>
  </si>
  <si>
    <t>100219</t>
  </si>
  <si>
    <t>Indraprastha Gas Ltd.</t>
  </si>
  <si>
    <t>INE203G01027</t>
  </si>
  <si>
    <t>100505</t>
  </si>
  <si>
    <t>ICICI Prudential Life Insurance Company Ltd.</t>
  </si>
  <si>
    <t>INE726G01019</t>
  </si>
  <si>
    <t>Insurance</t>
  </si>
  <si>
    <t>100660</t>
  </si>
  <si>
    <t>Hatsun Agro Product Ltd.</t>
  </si>
  <si>
    <t>INE473B01035</t>
  </si>
  <si>
    <t>Food Products</t>
  </si>
  <si>
    <t>101889</t>
  </si>
  <si>
    <t>Jio Financial Services Ltd.</t>
  </si>
  <si>
    <t>INE758E01017</t>
  </si>
  <si>
    <t>A**</t>
  </si>
  <si>
    <t>100147</t>
  </si>
  <si>
    <t>Tech Mahindra Ltd.</t>
  </si>
  <si>
    <t>INE669C01036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</si>
  <si>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</si>
  <si>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</si>
  <si>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</si>
  <si>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</si>
  <si>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</si>
  <si>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</si>
  <si>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</si>
  <si>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</si>
  <si>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</si>
  <si>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</si>
  <si>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</si>
  <si>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</si>
  <si>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</si>
  <si>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</si>
  <si>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</si>
  <si>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</si>
  <si>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</si>
  <si>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</si>
  <si>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</si>
  <si>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</si>
  <si>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</si>
  <si>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108230100</t>
  </si>
  <si>
    <t>TREPS 01-Aug-2023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</si>
  <si>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</si>
  <si>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</si>
  <si>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</si>
  <si>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</si>
  <si>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</si>
  <si>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</si>
  <si>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</si>
  <si>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</si>
  <si>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</si>
  <si>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</si>
  <si>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July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</si>
  <si>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</si>
  <si>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</si>
  <si>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</si>
  <si>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June 30, 2023</t>
  </si>
  <si>
    <t>As on July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</si>
  <si>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</si>
  <si>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</si>
  <si>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</si>
  <si>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</si>
  <si>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July 31, 2023</t>
  </si>
  <si>
    <t>(9) There were no investments made in derivative instruments and no such derivative instrument was squared off/ expired /exercised during the Month ended July 31, 2023. Further there are no investments in derivative instruments as on July 31, 2023.</t>
  </si>
  <si>
    <t>(10) Total Market value of investments in Foreign Securities/American Depositary Receipts/Global Depositary Receipts as at  July 31, 2023 is Rs. Nil.</t>
  </si>
  <si>
    <t>(11)  During the period, the portfolio turnover ratio is  0.06 times.</t>
  </si>
  <si>
    <t>(12)  Details of repo transaction in corporate debt securities for the Month ended July 31, 2023 is Nil.</t>
  </si>
  <si>
    <t>(13)  Investments in debt instruments having structured obligations or credit enhancement features as at July 31, 2023 is Rs. Nil.</t>
  </si>
  <si>
    <t>(14) Investment in Partly paid Debentures during the Month ended  July 31, 2023 and as on  July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</si>
  <si>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</si>
  <si>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</si>
  <si>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</si>
  <si>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</si>
  <si>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</si>
  <si>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July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</si>
</sst>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5</xdr:col>
      <xdr:colOff>502920</xdr:colOff>
      <xdr:row>147</xdr:row>
      <xdr:rowOff>129540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22722840"/>
          <a:ext cx="7452360" cy="2773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ly%202023\Month%20end%2031%20July%202023\Split%20Portfolio\BOBBNPMF_Monthly%20portfolio%2031-07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32"/>
  <sheetViews>
    <sheetView showGridLines="0" tabSelected="1" zoomScale="90" zoomScaleNormal="90" workbookViewId="0">
      <pane ySplit="6" topLeftCell="A127" activePane="bottomLeft" state="frozen"/>
      <selection activeCell="I2" sqref="I2"/>
      <selection pane="bottomLeft" activeCell="H136" sqref="H136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45138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340000</v>
      </c>
      <c r="G10" s="34">
        <v>5614.08</v>
      </c>
      <c r="H10" s="34">
        <v>6.95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7400000</v>
      </c>
      <c r="G11" s="34">
        <v>3811</v>
      </c>
      <c r="H11" s="34">
        <v>4.72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700000</v>
      </c>
      <c r="G12" s="34">
        <v>3259.9</v>
      </c>
      <c r="H12" s="34">
        <v>4.03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95000</v>
      </c>
      <c r="G13" s="34">
        <v>2547.2800000000002</v>
      </c>
      <c r="H13" s="34">
        <v>3.15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35</v>
      </c>
      <c r="F14" s="33">
        <v>130000</v>
      </c>
      <c r="G14" s="34">
        <v>2539.94</v>
      </c>
      <c r="H14" s="34">
        <v>3.14</v>
      </c>
      <c r="I14" s="35"/>
      <c r="J14" s="35"/>
      <c r="K14" s="36"/>
    </row>
    <row r="15" spans="1:55" x14ac:dyDescent="0.3">
      <c r="B15" s="1" t="s">
        <v>36</v>
      </c>
      <c r="C15" s="21" t="s">
        <v>37</v>
      </c>
      <c r="D15" s="31" t="s">
        <v>38</v>
      </c>
      <c r="E15" s="32" t="s">
        <v>39</v>
      </c>
      <c r="F15" s="33">
        <v>800000</v>
      </c>
      <c r="G15" s="34">
        <v>2379.6</v>
      </c>
      <c r="H15" s="34">
        <v>2.95</v>
      </c>
      <c r="I15" s="35"/>
      <c r="J15" s="35"/>
      <c r="K15" s="36"/>
    </row>
    <row r="16" spans="1:55" x14ac:dyDescent="0.3">
      <c r="B16" s="1" t="s">
        <v>40</v>
      </c>
      <c r="C16" s="21" t="s">
        <v>41</v>
      </c>
      <c r="D16" s="31" t="s">
        <v>42</v>
      </c>
      <c r="E16" s="32" t="s">
        <v>19</v>
      </c>
      <c r="F16" s="33">
        <v>235000</v>
      </c>
      <c r="G16" s="34">
        <v>2346.0100000000002</v>
      </c>
      <c r="H16" s="34">
        <v>2.9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46</v>
      </c>
      <c r="F17" s="33">
        <v>300000</v>
      </c>
      <c r="G17" s="34">
        <v>2194.65</v>
      </c>
      <c r="H17" s="34">
        <v>2.72</v>
      </c>
      <c r="I17" s="35"/>
      <c r="J17" s="35"/>
      <c r="K17" s="36"/>
    </row>
    <row r="18" spans="2:11" x14ac:dyDescent="0.3">
      <c r="B18" s="1" t="s">
        <v>47</v>
      </c>
      <c r="C18" s="21" t="s">
        <v>48</v>
      </c>
      <c r="D18" s="31" t="s">
        <v>49</v>
      </c>
      <c r="E18" s="32" t="s">
        <v>50</v>
      </c>
      <c r="F18" s="33">
        <v>70000</v>
      </c>
      <c r="G18" s="34">
        <v>2184.56</v>
      </c>
      <c r="H18" s="34">
        <v>2.7</v>
      </c>
      <c r="I18" s="35"/>
      <c r="J18" s="35"/>
      <c r="K18" s="36"/>
    </row>
    <row r="19" spans="2:11" x14ac:dyDescent="0.3">
      <c r="B19" s="1" t="s">
        <v>51</v>
      </c>
      <c r="C19" s="21" t="s">
        <v>52</v>
      </c>
      <c r="D19" s="31" t="s">
        <v>53</v>
      </c>
      <c r="E19" s="32" t="s">
        <v>54</v>
      </c>
      <c r="F19" s="33">
        <v>60000</v>
      </c>
      <c r="G19" s="34">
        <v>2130</v>
      </c>
      <c r="H19" s="34">
        <v>2.64</v>
      </c>
      <c r="I19" s="35"/>
      <c r="J19" s="35"/>
      <c r="K19" s="36"/>
    </row>
    <row r="20" spans="2:11" x14ac:dyDescent="0.3">
      <c r="B20" s="1" t="s">
        <v>55</v>
      </c>
      <c r="C20" s="21" t="s">
        <v>56</v>
      </c>
      <c r="D20" s="31" t="s">
        <v>57</v>
      </c>
      <c r="E20" s="32" t="s">
        <v>58</v>
      </c>
      <c r="F20" s="33">
        <v>325000</v>
      </c>
      <c r="G20" s="34">
        <v>2054.81</v>
      </c>
      <c r="H20" s="34">
        <v>2.54</v>
      </c>
      <c r="I20" s="35"/>
      <c r="J20" s="35"/>
      <c r="K20" s="36"/>
    </row>
    <row r="21" spans="2:11" x14ac:dyDescent="0.3">
      <c r="B21" s="1" t="s">
        <v>59</v>
      </c>
      <c r="C21" s="21" t="s">
        <v>60</v>
      </c>
      <c r="D21" s="31" t="s">
        <v>61</v>
      </c>
      <c r="E21" s="32" t="s">
        <v>62</v>
      </c>
      <c r="F21" s="33">
        <v>500000</v>
      </c>
      <c r="G21" s="34">
        <v>1975.5</v>
      </c>
      <c r="H21" s="34">
        <v>2.4500000000000002</v>
      </c>
      <c r="I21" s="35"/>
      <c r="J21" s="35"/>
      <c r="K21" s="36"/>
    </row>
    <row r="22" spans="2:11" x14ac:dyDescent="0.3">
      <c r="B22" s="1" t="s">
        <v>63</v>
      </c>
      <c r="C22" s="21" t="s">
        <v>64</v>
      </c>
      <c r="D22" s="31" t="s">
        <v>65</v>
      </c>
      <c r="E22" s="32" t="s">
        <v>66</v>
      </c>
      <c r="F22" s="33">
        <v>843780</v>
      </c>
      <c r="G22" s="34">
        <v>1970.65</v>
      </c>
      <c r="H22" s="34">
        <v>2.44</v>
      </c>
      <c r="I22" s="35"/>
      <c r="J22" s="35"/>
      <c r="K22" s="36"/>
    </row>
    <row r="23" spans="2:11" x14ac:dyDescent="0.3">
      <c r="B23" s="1" t="s">
        <v>67</v>
      </c>
      <c r="C23" s="21" t="s">
        <v>68</v>
      </c>
      <c r="D23" s="31" t="s">
        <v>69</v>
      </c>
      <c r="E23" s="32" t="s">
        <v>54</v>
      </c>
      <c r="F23" s="33">
        <v>100000</v>
      </c>
      <c r="G23" s="34">
        <v>1968.15</v>
      </c>
      <c r="H23" s="34">
        <v>2.44</v>
      </c>
      <c r="I23" s="35"/>
      <c r="J23" s="35"/>
      <c r="K23" s="36"/>
    </row>
    <row r="24" spans="2:11" x14ac:dyDescent="0.3">
      <c r="B24" s="1" t="s">
        <v>70</v>
      </c>
      <c r="C24" s="21" t="s">
        <v>71</v>
      </c>
      <c r="D24" s="31" t="s">
        <v>72</v>
      </c>
      <c r="E24" s="32" t="s">
        <v>19</v>
      </c>
      <c r="F24" s="33">
        <v>135000</v>
      </c>
      <c r="G24" s="34">
        <v>1913.96</v>
      </c>
      <c r="H24" s="34">
        <v>2.37</v>
      </c>
      <c r="I24" s="35"/>
      <c r="J24" s="35"/>
      <c r="K24" s="36"/>
    </row>
    <row r="25" spans="2:11" x14ac:dyDescent="0.3">
      <c r="B25" s="1" t="s">
        <v>73</v>
      </c>
      <c r="C25" s="21" t="s">
        <v>74</v>
      </c>
      <c r="D25" s="31" t="s">
        <v>75</v>
      </c>
      <c r="E25" s="32" t="s">
        <v>76</v>
      </c>
      <c r="F25" s="33">
        <v>75000</v>
      </c>
      <c r="G25" s="34">
        <v>1911.94</v>
      </c>
      <c r="H25" s="34">
        <v>2.37</v>
      </c>
      <c r="I25" s="35"/>
      <c r="J25" s="35"/>
      <c r="K25" s="36"/>
    </row>
    <row r="26" spans="2:11" x14ac:dyDescent="0.3">
      <c r="B26" s="1" t="s">
        <v>77</v>
      </c>
      <c r="C26" s="21" t="s">
        <v>78</v>
      </c>
      <c r="D26" s="31" t="s">
        <v>79</v>
      </c>
      <c r="E26" s="32" t="s">
        <v>19</v>
      </c>
      <c r="F26" s="33">
        <v>200000</v>
      </c>
      <c r="G26" s="34">
        <v>1907.8</v>
      </c>
      <c r="H26" s="34">
        <v>2.36</v>
      </c>
      <c r="I26" s="35"/>
      <c r="J26" s="35"/>
      <c r="K26" s="36"/>
    </row>
    <row r="27" spans="2:11" x14ac:dyDescent="0.3">
      <c r="B27" s="1" t="s">
        <v>80</v>
      </c>
      <c r="C27" s="21" t="s">
        <v>81</v>
      </c>
      <c r="D27" s="31" t="s">
        <v>82</v>
      </c>
      <c r="E27" s="32" t="s">
        <v>83</v>
      </c>
      <c r="F27" s="33">
        <v>40000</v>
      </c>
      <c r="G27" s="34">
        <v>1881.48</v>
      </c>
      <c r="H27" s="34">
        <v>2.33</v>
      </c>
      <c r="I27" s="35"/>
      <c r="J27" s="35"/>
      <c r="K27" s="36"/>
    </row>
    <row r="28" spans="2:11" x14ac:dyDescent="0.3">
      <c r="B28" s="1" t="s">
        <v>84</v>
      </c>
      <c r="C28" s="21" t="s">
        <v>85</v>
      </c>
      <c r="D28" s="31" t="s">
        <v>86</v>
      </c>
      <c r="E28" s="32" t="s">
        <v>87</v>
      </c>
      <c r="F28" s="33">
        <v>108400</v>
      </c>
      <c r="G28" s="34">
        <v>1876.13</v>
      </c>
      <c r="H28" s="34">
        <v>2.3199999999999998</v>
      </c>
      <c r="I28" s="35"/>
      <c r="J28" s="35"/>
      <c r="K28" s="36"/>
    </row>
    <row r="29" spans="2:11" x14ac:dyDescent="0.3">
      <c r="B29" s="1" t="s">
        <v>88</v>
      </c>
      <c r="C29" s="21" t="s">
        <v>89</v>
      </c>
      <c r="D29" s="31" t="s">
        <v>90</v>
      </c>
      <c r="E29" s="32" t="s">
        <v>91</v>
      </c>
      <c r="F29" s="33">
        <v>150000</v>
      </c>
      <c r="G29" s="34">
        <v>1841.33</v>
      </c>
      <c r="H29" s="34">
        <v>2.2799999999999998</v>
      </c>
      <c r="I29" s="35"/>
      <c r="J29" s="35"/>
      <c r="K29" s="36"/>
    </row>
    <row r="30" spans="2:11" x14ac:dyDescent="0.3">
      <c r="B30" s="1" t="s">
        <v>92</v>
      </c>
      <c r="C30" s="21" t="s">
        <v>93</v>
      </c>
      <c r="D30" s="31" t="s">
        <v>94</v>
      </c>
      <c r="E30" s="32" t="s">
        <v>50</v>
      </c>
      <c r="F30" s="33">
        <v>352000</v>
      </c>
      <c r="G30" s="34">
        <v>1794.67</v>
      </c>
      <c r="H30" s="34">
        <v>2.2200000000000002</v>
      </c>
      <c r="I30" s="35"/>
      <c r="J30" s="35"/>
      <c r="K30" s="36"/>
    </row>
    <row r="31" spans="2:11" x14ac:dyDescent="0.3">
      <c r="B31" s="1" t="s">
        <v>95</v>
      </c>
      <c r="C31" s="21" t="s">
        <v>96</v>
      </c>
      <c r="D31" s="31" t="s">
        <v>97</v>
      </c>
      <c r="E31" s="32" t="s">
        <v>19</v>
      </c>
      <c r="F31" s="33">
        <v>1300000</v>
      </c>
      <c r="G31" s="34">
        <v>1763.45</v>
      </c>
      <c r="H31" s="34">
        <v>2.1800000000000002</v>
      </c>
      <c r="I31" s="35"/>
      <c r="J31" s="35"/>
      <c r="K31" s="36"/>
    </row>
    <row r="32" spans="2:11" x14ac:dyDescent="0.3">
      <c r="B32" s="1" t="s">
        <v>98</v>
      </c>
      <c r="C32" s="21" t="s">
        <v>99</v>
      </c>
      <c r="D32" s="31" t="s">
        <v>100</v>
      </c>
      <c r="E32" s="32" t="s">
        <v>83</v>
      </c>
      <c r="F32" s="33">
        <v>50000</v>
      </c>
      <c r="G32" s="34">
        <v>1710.73</v>
      </c>
      <c r="H32" s="34">
        <v>2.12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54</v>
      </c>
      <c r="F33" s="33">
        <v>100000</v>
      </c>
      <c r="G33" s="34">
        <v>1593.95</v>
      </c>
      <c r="H33" s="34">
        <v>1.97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40000</v>
      </c>
      <c r="G34" s="34">
        <v>1593.2</v>
      </c>
      <c r="H34" s="34">
        <v>1.97</v>
      </c>
      <c r="I34" s="35"/>
      <c r="J34" s="35"/>
      <c r="K34" s="36"/>
    </row>
    <row r="35" spans="2:11" x14ac:dyDescent="0.3">
      <c r="B35" s="1" t="s">
        <v>108</v>
      </c>
      <c r="C35" s="21" t="s">
        <v>109</v>
      </c>
      <c r="D35" s="31" t="s">
        <v>110</v>
      </c>
      <c r="E35" s="32" t="s">
        <v>39</v>
      </c>
      <c r="F35" s="33">
        <v>233900</v>
      </c>
      <c r="G35" s="34">
        <v>1484.8</v>
      </c>
      <c r="H35" s="34">
        <v>1.84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114</v>
      </c>
      <c r="F36" s="33">
        <v>100000</v>
      </c>
      <c r="G36" s="34">
        <v>1475.2</v>
      </c>
      <c r="H36" s="34">
        <v>1.83</v>
      </c>
      <c r="I36" s="35"/>
      <c r="J36" s="35"/>
      <c r="K36" s="36"/>
    </row>
    <row r="37" spans="2:11" x14ac:dyDescent="0.3">
      <c r="B37" s="1" t="s">
        <v>115</v>
      </c>
      <c r="C37" s="21" t="s">
        <v>116</v>
      </c>
      <c r="D37" s="31" t="s">
        <v>117</v>
      </c>
      <c r="E37" s="32" t="s">
        <v>23</v>
      </c>
      <c r="F37" s="33">
        <v>1200000</v>
      </c>
      <c r="G37" s="34">
        <v>1402.8</v>
      </c>
      <c r="H37" s="34">
        <v>1.74</v>
      </c>
      <c r="I37" s="35"/>
      <c r="J37" s="35"/>
      <c r="K37" s="36"/>
    </row>
    <row r="38" spans="2:11" x14ac:dyDescent="0.3">
      <c r="B38" s="1" t="s">
        <v>118</v>
      </c>
      <c r="C38" s="21" t="s">
        <v>119</v>
      </c>
      <c r="D38" s="31" t="s">
        <v>120</v>
      </c>
      <c r="E38" s="32" t="s">
        <v>54</v>
      </c>
      <c r="F38" s="33">
        <v>115000</v>
      </c>
      <c r="G38" s="34">
        <v>1392.42</v>
      </c>
      <c r="H38" s="34">
        <v>1.72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107</v>
      </c>
      <c r="F39" s="33">
        <v>30000</v>
      </c>
      <c r="G39" s="34">
        <v>1365.84</v>
      </c>
      <c r="H39" s="34">
        <v>1.69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127</v>
      </c>
      <c r="F40" s="33">
        <v>45000</v>
      </c>
      <c r="G40" s="34">
        <v>1351.82</v>
      </c>
      <c r="H40" s="34">
        <v>1.67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58</v>
      </c>
      <c r="F41" s="33">
        <v>50000</v>
      </c>
      <c r="G41" s="34">
        <v>1250.55</v>
      </c>
      <c r="H41" s="34">
        <v>1.55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83</v>
      </c>
      <c r="F42" s="33">
        <v>90000</v>
      </c>
      <c r="G42" s="34">
        <v>1220.1300000000001</v>
      </c>
      <c r="H42" s="34">
        <v>1.51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58</v>
      </c>
      <c r="F43" s="33">
        <v>30000</v>
      </c>
      <c r="G43" s="34">
        <v>1193.6300000000001</v>
      </c>
      <c r="H43" s="34">
        <v>1.48</v>
      </c>
      <c r="I43" s="35"/>
      <c r="J43" s="35"/>
      <c r="K43" s="36"/>
    </row>
    <row r="44" spans="2:11" x14ac:dyDescent="0.3">
      <c r="B44" s="1" t="s">
        <v>137</v>
      </c>
      <c r="C44" s="21" t="s">
        <v>138</v>
      </c>
      <c r="D44" s="31" t="s">
        <v>139</v>
      </c>
      <c r="E44" s="32" t="s">
        <v>39</v>
      </c>
      <c r="F44" s="33">
        <v>30000</v>
      </c>
      <c r="G44" s="34">
        <v>1174.6500000000001</v>
      </c>
      <c r="H44" s="34">
        <v>1.45</v>
      </c>
      <c r="I44" s="35"/>
      <c r="J44" s="35"/>
      <c r="K44" s="36"/>
    </row>
    <row r="45" spans="2:11" x14ac:dyDescent="0.3">
      <c r="B45" s="1" t="s">
        <v>140</v>
      </c>
      <c r="C45" s="21" t="s">
        <v>141</v>
      </c>
      <c r="D45" s="31" t="s">
        <v>142</v>
      </c>
      <c r="E45" s="32" t="s">
        <v>87</v>
      </c>
      <c r="F45" s="33">
        <v>197469</v>
      </c>
      <c r="G45" s="34">
        <v>1168.42</v>
      </c>
      <c r="H45" s="34">
        <v>1.45</v>
      </c>
      <c r="I45" s="35"/>
      <c r="J45" s="35"/>
      <c r="K45" s="36"/>
    </row>
    <row r="46" spans="2:11" x14ac:dyDescent="0.3">
      <c r="B46" s="1" t="s">
        <v>143</v>
      </c>
      <c r="C46" s="21" t="s">
        <v>144</v>
      </c>
      <c r="D46" s="31" t="s">
        <v>145</v>
      </c>
      <c r="E46" s="32" t="s">
        <v>146</v>
      </c>
      <c r="F46" s="33">
        <v>125000</v>
      </c>
      <c r="G46" s="34">
        <v>1112.3800000000001</v>
      </c>
      <c r="H46" s="34">
        <v>1.38</v>
      </c>
      <c r="I46" s="35"/>
      <c r="J46" s="35"/>
      <c r="K46" s="36"/>
    </row>
    <row r="47" spans="2:11" x14ac:dyDescent="0.3">
      <c r="B47" s="1" t="s">
        <v>147</v>
      </c>
      <c r="C47" s="21" t="s">
        <v>148</v>
      </c>
      <c r="D47" s="31" t="s">
        <v>149</v>
      </c>
      <c r="E47" s="32" t="s">
        <v>58</v>
      </c>
      <c r="F47" s="33">
        <v>4308</v>
      </c>
      <c r="G47" s="34">
        <v>1036.8800000000001</v>
      </c>
      <c r="H47" s="34">
        <v>1.28</v>
      </c>
      <c r="I47" s="35"/>
      <c r="J47" s="35"/>
      <c r="K47" s="36"/>
    </row>
    <row r="48" spans="2:11" x14ac:dyDescent="0.3">
      <c r="B48" s="1" t="s">
        <v>150</v>
      </c>
      <c r="C48" s="21" t="s">
        <v>151</v>
      </c>
      <c r="D48" s="31" t="s">
        <v>152</v>
      </c>
      <c r="E48" s="32" t="s">
        <v>114</v>
      </c>
      <c r="F48" s="33">
        <v>10000</v>
      </c>
      <c r="G48" s="34">
        <v>982.08</v>
      </c>
      <c r="H48" s="34">
        <v>1.22</v>
      </c>
      <c r="I48" s="35"/>
      <c r="J48" s="35"/>
      <c r="K48" s="36"/>
    </row>
    <row r="49" spans="2:11" x14ac:dyDescent="0.3">
      <c r="B49" s="1" t="s">
        <v>153</v>
      </c>
      <c r="C49" s="21" t="s">
        <v>154</v>
      </c>
      <c r="D49" s="31" t="s">
        <v>155</v>
      </c>
      <c r="E49" s="32" t="s">
        <v>66</v>
      </c>
      <c r="F49" s="33">
        <v>200000</v>
      </c>
      <c r="G49" s="34">
        <v>926.2</v>
      </c>
      <c r="H49" s="34">
        <v>1.1499999999999999</v>
      </c>
      <c r="I49" s="35"/>
      <c r="J49" s="35"/>
      <c r="K49" s="36"/>
    </row>
    <row r="50" spans="2:11" x14ac:dyDescent="0.3">
      <c r="B50" s="1" t="s">
        <v>156</v>
      </c>
      <c r="C50" s="21" t="s">
        <v>157</v>
      </c>
      <c r="D50" s="31" t="s">
        <v>158</v>
      </c>
      <c r="E50" s="32" t="s">
        <v>159</v>
      </c>
      <c r="F50" s="33">
        <v>150000</v>
      </c>
      <c r="G50" s="34">
        <v>869.25</v>
      </c>
      <c r="H50" s="34">
        <v>1.08</v>
      </c>
      <c r="I50" s="35"/>
      <c r="J50" s="35"/>
      <c r="K50" s="36"/>
    </row>
    <row r="51" spans="2:11" x14ac:dyDescent="0.3">
      <c r="B51" s="1" t="s">
        <v>160</v>
      </c>
      <c r="C51" s="21" t="s">
        <v>161</v>
      </c>
      <c r="D51" s="31" t="s">
        <v>162</v>
      </c>
      <c r="E51" s="32" t="s">
        <v>163</v>
      </c>
      <c r="F51" s="33">
        <v>27642</v>
      </c>
      <c r="G51" s="34">
        <v>286.14</v>
      </c>
      <c r="H51" s="34">
        <v>0.35</v>
      </c>
      <c r="I51" s="35"/>
      <c r="J51" s="35"/>
      <c r="K51" s="36"/>
    </row>
    <row r="52" spans="2:11" x14ac:dyDescent="0.3">
      <c r="B52" s="1" t="s">
        <v>164</v>
      </c>
      <c r="C52" s="21" t="s">
        <v>165</v>
      </c>
      <c r="D52" s="31" t="s">
        <v>166</v>
      </c>
      <c r="E52" s="32" t="s">
        <v>39</v>
      </c>
      <c r="F52" s="33">
        <v>100000</v>
      </c>
      <c r="G52" s="34">
        <v>261.85000000000002</v>
      </c>
      <c r="H52" s="34">
        <v>0.32</v>
      </c>
      <c r="I52" s="35"/>
      <c r="J52" s="35"/>
      <c r="K52" s="36" t="s">
        <v>167</v>
      </c>
    </row>
    <row r="53" spans="2:11" x14ac:dyDescent="0.3">
      <c r="B53" s="1" t="s">
        <v>168</v>
      </c>
      <c r="C53" s="21" t="s">
        <v>169</v>
      </c>
      <c r="D53" s="31" t="s">
        <v>170</v>
      </c>
      <c r="E53" s="32" t="s">
        <v>83</v>
      </c>
      <c r="F53" s="33">
        <v>15000</v>
      </c>
      <c r="G53" s="34">
        <v>167.33</v>
      </c>
      <c r="H53" s="34">
        <v>0.21</v>
      </c>
      <c r="I53" s="35"/>
      <c r="J53" s="35"/>
      <c r="K53" s="36"/>
    </row>
    <row r="54" spans="2:11" x14ac:dyDescent="0.3">
      <c r="C54" s="30" t="s">
        <v>171</v>
      </c>
      <c r="D54" s="31"/>
      <c r="E54" s="32"/>
      <c r="F54" s="33"/>
      <c r="G54" s="38">
        <v>76887.14</v>
      </c>
      <c r="H54" s="38">
        <v>95.18</v>
      </c>
      <c r="I54" s="35"/>
      <c r="J54" s="35"/>
      <c r="K54" s="36"/>
    </row>
    <row r="55" spans="2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2:11" x14ac:dyDescent="0.3">
      <c r="C56" s="30" t="s">
        <v>172</v>
      </c>
      <c r="D56" s="31"/>
      <c r="E56" s="32"/>
      <c r="F56" s="33"/>
      <c r="G56" s="34" t="s">
        <v>173</v>
      </c>
      <c r="H56" s="34" t="s">
        <v>173</v>
      </c>
      <c r="I56" s="35"/>
      <c r="J56" s="35"/>
      <c r="K56" s="36"/>
    </row>
    <row r="57" spans="2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2:11" x14ac:dyDescent="0.3">
      <c r="C58" s="30" t="s">
        <v>174</v>
      </c>
      <c r="D58" s="31"/>
      <c r="E58" s="32"/>
      <c r="F58" s="33"/>
      <c r="G58" s="34" t="s">
        <v>173</v>
      </c>
      <c r="H58" s="34" t="s">
        <v>173</v>
      </c>
      <c r="I58" s="35"/>
      <c r="J58" s="35"/>
      <c r="K58" s="36"/>
    </row>
    <row r="59" spans="2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0" t="s">
        <v>175</v>
      </c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0" t="s">
        <v>176</v>
      </c>
      <c r="D62" s="31"/>
      <c r="E62" s="32"/>
      <c r="F62" s="33"/>
      <c r="G62" s="34" t="s">
        <v>173</v>
      </c>
      <c r="H62" s="34" t="s">
        <v>173</v>
      </c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0" t="s">
        <v>177</v>
      </c>
      <c r="D64" s="31"/>
      <c r="E64" s="32"/>
      <c r="F64" s="33"/>
      <c r="G64" s="34" t="s">
        <v>173</v>
      </c>
      <c r="H64" s="34" t="s">
        <v>173</v>
      </c>
      <c r="I64" s="35"/>
      <c r="J64" s="35"/>
      <c r="K64" s="36"/>
    </row>
    <row r="65" spans="3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3:11" x14ac:dyDescent="0.3">
      <c r="C66" s="30" t="s">
        <v>178</v>
      </c>
      <c r="D66" s="31"/>
      <c r="E66" s="32"/>
      <c r="F66" s="33"/>
      <c r="G66" s="34" t="s">
        <v>173</v>
      </c>
      <c r="H66" s="34" t="s">
        <v>173</v>
      </c>
      <c r="I66" s="35"/>
      <c r="J66" s="35"/>
      <c r="K66" s="36"/>
    </row>
    <row r="67" spans="3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3:11" x14ac:dyDescent="0.3">
      <c r="C68" s="30" t="s">
        <v>179</v>
      </c>
      <c r="D68" s="31"/>
      <c r="E68" s="32"/>
      <c r="F68" s="33"/>
      <c r="G68" s="34" t="s">
        <v>173</v>
      </c>
      <c r="H68" s="34" t="s">
        <v>173</v>
      </c>
      <c r="I68" s="35"/>
      <c r="J68" s="35"/>
      <c r="K68" s="36"/>
    </row>
    <row r="69" spans="3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3:11" x14ac:dyDescent="0.3">
      <c r="C70" s="30" t="s">
        <v>180</v>
      </c>
      <c r="D70" s="31"/>
      <c r="E70" s="32"/>
      <c r="F70" s="33"/>
      <c r="G70" s="34" t="s">
        <v>173</v>
      </c>
      <c r="H70" s="34" t="s">
        <v>173</v>
      </c>
      <c r="I70" s="35"/>
      <c r="J70" s="35"/>
      <c r="K70" s="36"/>
    </row>
    <row r="71" spans="3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3:11" x14ac:dyDescent="0.3">
      <c r="C72" s="30" t="s">
        <v>181</v>
      </c>
      <c r="D72" s="31"/>
      <c r="E72" s="32"/>
      <c r="F72" s="33"/>
      <c r="G72" s="34"/>
      <c r="H72" s="34"/>
      <c r="I72" s="35"/>
      <c r="J72" s="35"/>
      <c r="K72" s="36"/>
    </row>
    <row r="73" spans="3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3:11" x14ac:dyDescent="0.3">
      <c r="C74" s="30" t="s">
        <v>182</v>
      </c>
      <c r="D74" s="31"/>
      <c r="E74" s="32"/>
      <c r="F74" s="33"/>
      <c r="G74" s="34" t="s">
        <v>173</v>
      </c>
      <c r="H74" s="34" t="s">
        <v>173</v>
      </c>
      <c r="I74" s="35"/>
      <c r="J74" s="35"/>
      <c r="K74" s="36"/>
    </row>
    <row r="75" spans="3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3:11" x14ac:dyDescent="0.3">
      <c r="C76" s="30" t="s">
        <v>183</v>
      </c>
      <c r="D76" s="31"/>
      <c r="E76" s="32"/>
      <c r="F76" s="33"/>
      <c r="G76" s="34" t="s">
        <v>173</v>
      </c>
      <c r="H76" s="34" t="s">
        <v>173</v>
      </c>
      <c r="I76" s="35"/>
      <c r="J76" s="35"/>
      <c r="K76" s="36"/>
    </row>
    <row r="77" spans="3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3:11" x14ac:dyDescent="0.3">
      <c r="C78" s="30" t="s">
        <v>184</v>
      </c>
      <c r="D78" s="31"/>
      <c r="E78" s="32"/>
      <c r="F78" s="33"/>
      <c r="G78" s="34" t="s">
        <v>173</v>
      </c>
      <c r="H78" s="34" t="s">
        <v>173</v>
      </c>
      <c r="I78" s="35"/>
      <c r="J78" s="35"/>
      <c r="K78" s="36"/>
    </row>
    <row r="79" spans="3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3:11" x14ac:dyDescent="0.3">
      <c r="C80" s="30" t="s">
        <v>185</v>
      </c>
      <c r="D80" s="31"/>
      <c r="E80" s="32"/>
      <c r="F80" s="33"/>
      <c r="G80" s="34" t="s">
        <v>173</v>
      </c>
      <c r="H80" s="34" t="s">
        <v>173</v>
      </c>
      <c r="I80" s="35"/>
      <c r="J80" s="35"/>
      <c r="K80" s="36"/>
    </row>
    <row r="81" spans="1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A82" s="28"/>
      <c r="B82" s="29"/>
      <c r="C82" s="30" t="s">
        <v>186</v>
      </c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A83" s="29"/>
      <c r="B83" s="29"/>
      <c r="C83" s="30" t="s">
        <v>187</v>
      </c>
      <c r="D83" s="31"/>
      <c r="E83" s="32"/>
      <c r="F83" s="33"/>
      <c r="G83" s="34" t="s">
        <v>173</v>
      </c>
      <c r="H83" s="34" t="s">
        <v>173</v>
      </c>
      <c r="I83" s="35"/>
      <c r="J83" s="35"/>
      <c r="K83" s="36"/>
    </row>
    <row r="84" spans="1:11" x14ac:dyDescent="0.3">
      <c r="A84" s="29"/>
      <c r="B84" s="29"/>
      <c r="C84" s="30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A85" s="29"/>
      <c r="B85" s="29"/>
      <c r="C85" s="30" t="s">
        <v>188</v>
      </c>
      <c r="D85" s="31"/>
      <c r="E85" s="32"/>
      <c r="F85" s="33"/>
      <c r="G85" s="34" t="s">
        <v>173</v>
      </c>
      <c r="H85" s="34" t="s">
        <v>173</v>
      </c>
      <c r="I85" s="35"/>
      <c r="J85" s="35"/>
      <c r="K85" s="36"/>
    </row>
    <row r="86" spans="1:11" x14ac:dyDescent="0.3">
      <c r="A86" s="29"/>
      <c r="B86" s="29"/>
      <c r="C86" s="30"/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A87" s="29"/>
      <c r="B87" s="29"/>
      <c r="C87" s="30" t="s">
        <v>189</v>
      </c>
      <c r="D87" s="31"/>
      <c r="E87" s="32"/>
      <c r="F87" s="33"/>
      <c r="G87" s="34" t="s">
        <v>173</v>
      </c>
      <c r="H87" s="34" t="s">
        <v>173</v>
      </c>
      <c r="I87" s="35"/>
      <c r="J87" s="35"/>
      <c r="K87" s="36"/>
    </row>
    <row r="88" spans="1:11" x14ac:dyDescent="0.3">
      <c r="A88" s="29"/>
      <c r="B88" s="29"/>
      <c r="C88" s="30"/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A89" s="29"/>
      <c r="B89" s="29"/>
      <c r="C89" s="30" t="s">
        <v>190</v>
      </c>
      <c r="D89" s="31"/>
      <c r="E89" s="32"/>
      <c r="F89" s="33"/>
      <c r="G89" s="34" t="s">
        <v>173</v>
      </c>
      <c r="H89" s="34" t="s">
        <v>173</v>
      </c>
      <c r="I89" s="35"/>
      <c r="J89" s="35"/>
      <c r="K89" s="36"/>
    </row>
    <row r="90" spans="1:11" x14ac:dyDescent="0.3">
      <c r="A90" s="29"/>
      <c r="B90" s="29"/>
      <c r="C90" s="30"/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C91" s="37" t="s">
        <v>191</v>
      </c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B92" s="1" t="s">
        <v>192</v>
      </c>
      <c r="C92" s="21" t="s">
        <v>193</v>
      </c>
      <c r="D92" s="31"/>
      <c r="E92" s="32"/>
      <c r="F92" s="33"/>
      <c r="G92" s="34">
        <v>3771.11</v>
      </c>
      <c r="H92" s="34">
        <v>4.67</v>
      </c>
      <c r="I92" s="35">
        <v>6.37</v>
      </c>
      <c r="J92" s="35"/>
      <c r="K92" s="36"/>
    </row>
    <row r="93" spans="1:11" x14ac:dyDescent="0.3">
      <c r="C93" s="30" t="s">
        <v>171</v>
      </c>
      <c r="D93" s="31"/>
      <c r="E93" s="32"/>
      <c r="F93" s="33"/>
      <c r="G93" s="38">
        <v>3771.11</v>
      </c>
      <c r="H93" s="38">
        <v>4.67</v>
      </c>
      <c r="I93" s="35"/>
      <c r="J93" s="35"/>
      <c r="K93" s="36"/>
    </row>
    <row r="94" spans="1:11" x14ac:dyDescent="0.3">
      <c r="C94" s="21"/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A95" s="28"/>
      <c r="B95" s="29"/>
      <c r="C95" s="30" t="s">
        <v>194</v>
      </c>
      <c r="D95" s="31"/>
      <c r="E95" s="32"/>
      <c r="F95" s="33"/>
      <c r="G95" s="34"/>
      <c r="H95" s="34"/>
      <c r="I95" s="35"/>
      <c r="J95" s="35"/>
      <c r="K95" s="36"/>
    </row>
    <row r="96" spans="1:11" x14ac:dyDescent="0.3">
      <c r="B96" s="1"/>
      <c r="C96" s="21" t="s">
        <v>195</v>
      </c>
      <c r="D96" s="31"/>
      <c r="E96" s="32"/>
      <c r="F96" s="33"/>
      <c r="G96" s="34">
        <v>134.56</v>
      </c>
      <c r="H96" s="34">
        <v>0.15000000000000002</v>
      </c>
      <c r="I96" s="35"/>
      <c r="J96" s="35"/>
      <c r="K96" s="36"/>
    </row>
    <row r="97" spans="3:55" x14ac:dyDescent="0.3">
      <c r="C97" s="30" t="s">
        <v>171</v>
      </c>
      <c r="D97" s="31"/>
      <c r="E97" s="32"/>
      <c r="F97" s="33"/>
      <c r="G97" s="38">
        <v>134.56</v>
      </c>
      <c r="H97" s="38">
        <v>0.15000000000000002</v>
      </c>
      <c r="I97" s="35"/>
      <c r="J97" s="35"/>
      <c r="K97" s="36"/>
    </row>
    <row r="98" spans="3:55" x14ac:dyDescent="0.3">
      <c r="C98" s="21"/>
      <c r="D98" s="31"/>
      <c r="E98" s="32"/>
      <c r="F98" s="33"/>
      <c r="G98" s="34"/>
      <c r="H98" s="34"/>
      <c r="I98" s="35"/>
      <c r="J98" s="35"/>
      <c r="K98" s="36"/>
    </row>
    <row r="99" spans="3:55" ht="14.4" thickBot="1" x14ac:dyDescent="0.35">
      <c r="C99" s="39" t="s">
        <v>196</v>
      </c>
      <c r="D99" s="40"/>
      <c r="E99" s="41"/>
      <c r="F99" s="42"/>
      <c r="G99" s="43">
        <v>80792.81</v>
      </c>
      <c r="H99" s="43">
        <f>SUMIFS(H:H,C:C,"Total")</f>
        <v>100.00000000000001</v>
      </c>
      <c r="I99" s="44"/>
      <c r="J99" s="44"/>
      <c r="K99" s="45"/>
    </row>
    <row r="102" spans="3:55" x14ac:dyDescent="0.3">
      <c r="C102" s="11" t="s">
        <v>197</v>
      </c>
    </row>
    <row r="103" spans="3:55" x14ac:dyDescent="0.3">
      <c r="C103" s="2" t="s">
        <v>198</v>
      </c>
    </row>
    <row r="104" spans="3:55" x14ac:dyDescent="0.3">
      <c r="C104" s="46" t="s">
        <v>199</v>
      </c>
    </row>
    <row r="105" spans="3:55" x14ac:dyDescent="0.3">
      <c r="C105" s="2" t="s">
        <v>200</v>
      </c>
    </row>
    <row r="106" spans="3:55" x14ac:dyDescent="0.3">
      <c r="C106" s="2" t="s">
        <v>201</v>
      </c>
    </row>
    <row r="107" spans="3:55" x14ac:dyDescent="0.3">
      <c r="C107" s="2" t="s">
        <v>202</v>
      </c>
      <c r="D107" s="47"/>
      <c r="E107" s="47"/>
      <c r="F107" s="47"/>
      <c r="G107" s="48"/>
      <c r="H107" s="48"/>
    </row>
    <row r="108" spans="3:55" x14ac:dyDescent="0.3">
      <c r="C108" s="2" t="s">
        <v>203</v>
      </c>
    </row>
    <row r="109" spans="3:55" x14ac:dyDescent="0.3">
      <c r="C109" s="2" t="s">
        <v>204</v>
      </c>
    </row>
    <row r="110" spans="3:55" x14ac:dyDescent="0.3">
      <c r="C110" s="2" t="s">
        <v>205</v>
      </c>
    </row>
    <row r="111" spans="3:55" x14ac:dyDescent="0.3">
      <c r="C111" s="2" t="s">
        <v>206</v>
      </c>
    </row>
    <row r="112" spans="3:55" s="11" customFormat="1" x14ac:dyDescent="0.3">
      <c r="C112" s="11" t="s">
        <v>207</v>
      </c>
      <c r="E112" s="11" t="s">
        <v>208</v>
      </c>
      <c r="F112" s="49" t="s">
        <v>209</v>
      </c>
      <c r="G112" s="50"/>
      <c r="H112" s="50"/>
      <c r="I112" s="50"/>
      <c r="J112" s="50"/>
      <c r="K112" s="51"/>
      <c r="L112" s="51"/>
      <c r="M112" s="51"/>
      <c r="AJ112" s="51"/>
      <c r="AW112" s="51"/>
      <c r="AY112" s="51"/>
      <c r="BC112" s="51"/>
    </row>
    <row r="113" spans="3:6" x14ac:dyDescent="0.3">
      <c r="C113" s="2" t="s">
        <v>210</v>
      </c>
      <c r="E113" s="52">
        <v>15.7281</v>
      </c>
      <c r="F113" s="53">
        <v>16.198899999999998</v>
      </c>
    </row>
    <row r="114" spans="3:6" x14ac:dyDescent="0.3">
      <c r="C114" s="2" t="s">
        <v>211</v>
      </c>
      <c r="E114" s="52">
        <v>18.189800000000002</v>
      </c>
      <c r="F114" s="53">
        <v>18.734300000000001</v>
      </c>
    </row>
    <row r="115" spans="3:6" x14ac:dyDescent="0.3">
      <c r="C115" s="2" t="s">
        <v>212</v>
      </c>
      <c r="E115" s="52">
        <v>17.507100000000001</v>
      </c>
      <c r="F115" s="53">
        <v>18.050899999999999</v>
      </c>
    </row>
    <row r="116" spans="3:6" x14ac:dyDescent="0.3">
      <c r="C116" s="2" t="s">
        <v>213</v>
      </c>
      <c r="E116" s="52">
        <v>19.037099999999999</v>
      </c>
      <c r="F116" s="53">
        <v>19.628399999999999</v>
      </c>
    </row>
    <row r="118" spans="3:6" x14ac:dyDescent="0.3">
      <c r="C118" s="2" t="s">
        <v>214</v>
      </c>
    </row>
    <row r="120" spans="3:6" x14ac:dyDescent="0.3">
      <c r="C120" s="2" t="s">
        <v>215</v>
      </c>
    </row>
    <row r="121" spans="3:6" x14ac:dyDescent="0.3">
      <c r="C121" s="2" t="s">
        <v>216</v>
      </c>
    </row>
    <row r="122" spans="3:6" x14ac:dyDescent="0.3">
      <c r="C122" s="2" t="s">
        <v>217</v>
      </c>
    </row>
    <row r="123" spans="3:6" x14ac:dyDescent="0.3">
      <c r="C123" s="2" t="s">
        <v>218</v>
      </c>
    </row>
    <row r="124" spans="3:6" x14ac:dyDescent="0.3">
      <c r="C124" s="2" t="s">
        <v>219</v>
      </c>
    </row>
    <row r="125" spans="3:6" x14ac:dyDescent="0.3">
      <c r="C125" s="2" t="s">
        <v>220</v>
      </c>
    </row>
    <row r="126" spans="3:6" x14ac:dyDescent="0.3">
      <c r="C126" s="2" t="s">
        <v>221</v>
      </c>
    </row>
    <row r="127" spans="3:6" x14ac:dyDescent="0.3">
      <c r="C127" s="2" t="s">
        <v>222</v>
      </c>
    </row>
    <row r="128" spans="3:6" x14ac:dyDescent="0.3">
      <c r="C128" s="2" t="s">
        <v>223</v>
      </c>
    </row>
    <row r="129" spans="3:11" x14ac:dyDescent="0.3">
      <c r="C129" s="2" t="s">
        <v>224</v>
      </c>
    </row>
    <row r="130" spans="3:11" x14ac:dyDescent="0.3">
      <c r="C130" s="2" t="s">
        <v>225</v>
      </c>
    </row>
    <row r="131" spans="3:11" x14ac:dyDescent="0.3">
      <c r="C131" s="2" t="s">
        <v>226</v>
      </c>
    </row>
    <row r="132" spans="3:11" ht="14.4" x14ac:dyDescent="0.3">
      <c r="C132" s="54"/>
      <c r="D132" s="54"/>
      <c r="E132" s="55"/>
      <c r="F132" s="55"/>
      <c r="G132" s="55"/>
      <c r="H132" s="55"/>
      <c r="I132" s="55"/>
      <c r="J132" s="55"/>
      <c r="K132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LM</vt:lpstr>
      <vt:lpstr>XDO_?CLASS_3?30?</vt:lpstr>
      <vt:lpstr>XDO_?FINAL_ISIN?147?</vt:lpstr>
      <vt:lpstr>XDO_?FINAL_ISIN?148?</vt:lpstr>
      <vt:lpstr>XDO_?FINAL_ISIN?149?</vt:lpstr>
      <vt:lpstr>XDO_?FINAL_MV?147?</vt:lpstr>
      <vt:lpstr>XDO_?FINAL_MV?148?</vt:lpstr>
      <vt:lpstr>XDO_?FINAL_MV?149?</vt:lpstr>
      <vt:lpstr>XDO_?FINAL_NAME?147?</vt:lpstr>
      <vt:lpstr>XDO_?FINAL_NAME?148?</vt:lpstr>
      <vt:lpstr>XDO_?FINAL_NAME?149?</vt:lpstr>
      <vt:lpstr>XDO_?FINAL_PER_NET?147?</vt:lpstr>
      <vt:lpstr>XDO_?FINAL_PER_NET?148?</vt:lpstr>
      <vt:lpstr>XDO_?FINAL_PER_NET?149?</vt:lpstr>
      <vt:lpstr>XDO_?FINAL_QUANTITE?147?</vt:lpstr>
      <vt:lpstr>XDO_?FINAL_QUANTITE?148?</vt:lpstr>
      <vt:lpstr>XDO_?FINAL_QUANTITE?149?</vt:lpstr>
      <vt:lpstr>XDO_?NAMCNAME?30?</vt:lpstr>
      <vt:lpstr>XDO_?NOVAL?147?</vt:lpstr>
      <vt:lpstr>XDO_?NOVAL?148?</vt:lpstr>
      <vt:lpstr>XDO_?NOVAL?149?</vt:lpstr>
      <vt:lpstr>XDO_?NPTF?30?</vt:lpstr>
      <vt:lpstr>XDO_?RATING?147?</vt:lpstr>
      <vt:lpstr>XDO_?RATING?148?</vt:lpstr>
      <vt:lpstr>XDO_?RATING?149?</vt:lpstr>
      <vt:lpstr>XDO_?REMARKS?147?</vt:lpstr>
      <vt:lpstr>XDO_?REMARKS?148?</vt:lpstr>
      <vt:lpstr>XDO_?REMARKS?149?</vt:lpstr>
      <vt:lpstr>XDO_?TITL?30?</vt:lpstr>
      <vt:lpstr>XDO_?YTM?147?</vt:lpstr>
      <vt:lpstr>XDO_?YTM?148?</vt:lpstr>
      <vt:lpstr>XDO_?YTM?149?</vt:lpstr>
      <vt:lpstr>XDO_GROUP_?G_2?30?</vt:lpstr>
      <vt:lpstr>XDO_GROUP_?G_3?30?</vt:lpstr>
      <vt:lpstr>XDO_GROUP_?G_4?147?</vt:lpstr>
      <vt:lpstr>XDO_GROUP_?G_4?148?</vt:lpstr>
      <vt:lpstr>XDO_GROUP_?G_4?149?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2023-08-07T09:10:45Z</dcterms:created>
  <dcterms:modified xsi:type="dcterms:W3CDTF">2023-08-07T11:00:04Z</dcterms:modified>
</cp:coreProperties>
</file>