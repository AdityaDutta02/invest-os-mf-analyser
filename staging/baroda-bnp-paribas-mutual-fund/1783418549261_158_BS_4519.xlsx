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89062C7A-7DEA-4459-A397-12B273E2B3CA}" xr6:coauthVersionLast="47" xr6:coauthVersionMax="47" xr10:uidLastSave="{00000000-0000-0000-0000-000000000000}"/>
  <bookViews>
    <workbookView xWindow="-108" yWindow="-108" windowWidth="23256" windowHeight="12456" xr2:uid="{9A5B26E2-1024-430B-9995-A254BC82E431}"/>
  </bookViews>
  <sheets>
    <sheet name="BS" sheetId="1" r:id="rId1"/>
  </sheets>
  <externalReferences>
    <externalReference r:id="rId2"/>
  </externalReferences>
  <definedNames>
    <definedName name="XDO_?CLASS_3?24?">BS!$C$8:$C$35</definedName>
    <definedName name="XDO_?FINAL_ISIN?130?">BS!$D$10:$D$35</definedName>
    <definedName name="XDO_?FINAL_ISIN?131?">BS!$D$10:$D$64</definedName>
    <definedName name="XDO_?FINAL_ISIN?132?">BS!$D$10:$D$79</definedName>
    <definedName name="XDO_?FINAL_ISIN?133?">BS!$D$10:$D$83</definedName>
    <definedName name="XDO_?FINAL_MV?130?">BS!$G$10:$G$35</definedName>
    <definedName name="XDO_?FINAL_MV?131?">BS!$G$10:$G$64</definedName>
    <definedName name="XDO_?FINAL_MV?132?">BS!$G$10:$G$79</definedName>
    <definedName name="XDO_?FINAL_MV?133?">BS!$G$10:$G$83</definedName>
    <definedName name="XDO_?FINAL_NAME?130?">BS!$C$10:$C$35</definedName>
    <definedName name="XDO_?FINAL_NAME?131?">BS!$C$10:$C$64</definedName>
    <definedName name="XDO_?FINAL_NAME?132?">BS!$C$10:$C$79</definedName>
    <definedName name="XDO_?FINAL_NAME?133?">BS!$C$10:$C$83</definedName>
    <definedName name="XDO_?FINAL_PER_NET?130?">BS!$H$10:$H$35</definedName>
    <definedName name="XDO_?FINAL_PER_NET?131?">BS!$H$10:$H$64</definedName>
    <definedName name="XDO_?FINAL_PER_NET?132?">BS!$H$10:$H$79</definedName>
    <definedName name="XDO_?FINAL_PER_NET?133?">BS!$H$10:$H$83</definedName>
    <definedName name="XDO_?FINAL_QUANTITE?130?">BS!$F$10:$F$35</definedName>
    <definedName name="XDO_?FINAL_QUANTITE?131?">BS!$F$10:$F$64</definedName>
    <definedName name="XDO_?FINAL_QUANTITE?132?">BS!$F$10:$F$79</definedName>
    <definedName name="XDO_?FINAL_QUANTITE?133?">BS!$F$10:$F$83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4?">BS!$C$2:$C$35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30?">BS!$B$10:$B$35</definedName>
    <definedName name="XDO_?NOVAL?131?">BS!$B$10:$B$64</definedName>
    <definedName name="XDO_?NOVAL?132?">BS!$B$10:$B$79</definedName>
    <definedName name="XDO_?NOVAL?133?">BS!$B$10:$B$83</definedName>
    <definedName name="XDO_?NPTF?24?">BS!$D$2:$D$35</definedName>
    <definedName name="XDO_?RATING?130?">BS!$E$10:$E$35</definedName>
    <definedName name="XDO_?RATING?131?">BS!$E$10:$E$64</definedName>
    <definedName name="XDO_?RATING?132?">BS!$E$10:$E$79</definedName>
    <definedName name="XDO_?RATING?133?">BS!$E$10:$E$83</definedName>
    <definedName name="XDO_?REMARKS?130?">BS!$K$10:$K$35</definedName>
    <definedName name="XDO_?REMARKS?131?">BS!$K$10:$K$64</definedName>
    <definedName name="XDO_?REMARKS?132?">BS!$K$10:$K$79</definedName>
    <definedName name="XDO_?REMARKS?133?">BS!$K$10:$K$83</definedName>
    <definedName name="XDO_?TITL?24?">BS!$A$8:$A$35</definedName>
    <definedName name="XDO_?YTM?130?">BS!$I$10:$I$35</definedName>
    <definedName name="XDO_?YTM?131?">BS!$I$10:$I$64</definedName>
    <definedName name="XDO_?YTM?132?">BS!$I$10:$I$79</definedName>
    <definedName name="XDO_?YTM?133?">BS!$I$10:$I$83</definedName>
    <definedName name="XDO_GROUP_?G_2?24?">BS!$2:$53</definedName>
    <definedName name="XDO_GROUP_?G_3?24?">BS!$8:$52</definedName>
    <definedName name="XDO_GROUP_?G_4?130?">BS!$B$10:$IV$35</definedName>
    <definedName name="XDO_GROUP_?G_4?131?">BS!$B$40:$IV$40</definedName>
    <definedName name="XDO_GROUP_?G_4?132?">BS!$B$45:$IV$45</definedName>
    <definedName name="XDO_GROUP_?G_4?133?">BS!$B$50:$IV$50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6" i="1" l="1"/>
</calcChain>
</file>

<file path=xl/sharedStrings.xml><?xml version="1.0" encoding="utf-8"?>
<sst xmlns="http://schemas.openxmlformats.org/spreadsheetml/2006/main" count="248" uniqueCount="185">
  <si>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</si>
  <si>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</si>
  <si>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</si>
  <si>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</si>
  <si>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</si>
  <si>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</si>
  <si>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</si>
  <si>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</si>
  <si>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</si>
  <si>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</si>
  <si>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</si>
  <si>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</si>
  <si>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</si>
  <si>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</si>
  <si>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</si>
  <si>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</si>
  <si>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</si>
  <si>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</si>
  <si>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</si>
  <si>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</si>
  <si>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</si>
  <si>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</si>
  <si>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</si>
  <si>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</si>
  <si>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</si>
  <si>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</si>
  <si>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100125</t>
  </si>
  <si>
    <t>Bajaj Finance Ltd.</t>
  </si>
  <si>
    <t>INE296A01024</t>
  </si>
  <si>
    <t>Finance</t>
  </si>
  <si>
    <t>100010</t>
  </si>
  <si>
    <t>State Bank of India</t>
  </si>
  <si>
    <t>INE062A01020</t>
  </si>
  <si>
    <t>100013</t>
  </si>
  <si>
    <t>IndusInd Bank Ltd.</t>
  </si>
  <si>
    <t>INE095A01012</t>
  </si>
  <si>
    <t>100104</t>
  </si>
  <si>
    <t>Kotak Mahindra Bank Ltd.</t>
  </si>
  <si>
    <t>INE237A01028</t>
  </si>
  <si>
    <t>100575</t>
  </si>
  <si>
    <t>BSE Ltd.</t>
  </si>
  <si>
    <t>INE118H01025</t>
  </si>
  <si>
    <t>Capital Markets</t>
  </si>
  <si>
    <t>100107</t>
  </si>
  <si>
    <t>Max Financial Services Ltd.</t>
  </si>
  <si>
    <t>INE180A01020</t>
  </si>
  <si>
    <t>Insurance</t>
  </si>
  <si>
    <t>100399</t>
  </si>
  <si>
    <t>Cholamandalam Investment &amp; Finance Co. Ltd.</t>
  </si>
  <si>
    <t>INE121A01024</t>
  </si>
  <si>
    <t>100194</t>
  </si>
  <si>
    <t>Power Finance Corporation Ltd.</t>
  </si>
  <si>
    <t>INE134E01011</t>
  </si>
  <si>
    <t>100240</t>
  </si>
  <si>
    <t>Can Fin Homes Ltd.</t>
  </si>
  <si>
    <t>INE477A01020</t>
  </si>
  <si>
    <t>101783</t>
  </si>
  <si>
    <t>Five Star Business Finance Ltd.</t>
  </si>
  <si>
    <t>INE128S01021</t>
  </si>
  <si>
    <t>100254</t>
  </si>
  <si>
    <t>Karur Vysya Bank Ltd.</t>
  </si>
  <si>
    <t>INE036D01028</t>
  </si>
  <si>
    <t>101469</t>
  </si>
  <si>
    <t>Equitas Small Finance Bank Ltd.</t>
  </si>
  <si>
    <t>INE063P01018</t>
  </si>
  <si>
    <t>100055</t>
  </si>
  <si>
    <t>The Federal Bank Ltd.</t>
  </si>
  <si>
    <t>INE171A01029</t>
  </si>
  <si>
    <t>100706</t>
  </si>
  <si>
    <t>HDFC Life Insurance Company Ltd.</t>
  </si>
  <si>
    <t>INE795G01014</t>
  </si>
  <si>
    <t>100112</t>
  </si>
  <si>
    <t>Punjab National Bank</t>
  </si>
  <si>
    <t>INE160A01022</t>
  </si>
  <si>
    <t>101390</t>
  </si>
  <si>
    <t>PB Fintech Ltd.</t>
  </si>
  <si>
    <t>INE417T01026</t>
  </si>
  <si>
    <t>Financial Technology (Fintech)</t>
  </si>
  <si>
    <t>100036</t>
  </si>
  <si>
    <t>Mahindra &amp; Mahindra Financial Services Ltd.</t>
  </si>
  <si>
    <t>INE774D01024</t>
  </si>
  <si>
    <t>100477</t>
  </si>
  <si>
    <t>PNB Housing Finance Ltd.</t>
  </si>
  <si>
    <t>INE572E01012</t>
  </si>
  <si>
    <t>101210</t>
  </si>
  <si>
    <t>Credit Access Grameen Ltd.</t>
  </si>
  <si>
    <t>INE741K01010</t>
  </si>
  <si>
    <t>100228</t>
  </si>
  <si>
    <t>The Jammu &amp; Kashmir Bank Ltd.</t>
  </si>
  <si>
    <t>INE168A01041</t>
  </si>
  <si>
    <t>101632</t>
  </si>
  <si>
    <t>Angel One Ltd.</t>
  </si>
  <si>
    <t>INE732I01013</t>
  </si>
  <si>
    <t>101889</t>
  </si>
  <si>
    <t>Jio Financial Services Ltd.</t>
  </si>
  <si>
    <t>INE758E01017</t>
  </si>
  <si>
    <t>100046</t>
  </si>
  <si>
    <t>Manappuram Finance Ltd.</t>
  </si>
  <si>
    <t>INE522D01027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</si>
  <si>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</si>
  <si>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</si>
  <si>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</si>
  <si>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</si>
  <si>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</si>
  <si>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</si>
  <si>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</si>
  <si>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</si>
  <si>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</si>
  <si>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</si>
  <si>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</si>
  <si>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</si>
  <si>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</si>
  <si>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</si>
  <si>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</si>
  <si>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</si>
  <si>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</si>
  <si>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</si>
  <si>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</si>
  <si>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</si>
  <si>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</si>
  <si>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</si>
  <si>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</si>
  <si>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</si>
  <si>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</si>
  <si>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</si>
  <si>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</si>
  <si>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</si>
  <si>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</si>
  <si>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</si>
  <si>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</si>
  <si>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</si>
  <si>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</si>
  <si>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</si>
  <si>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</si>
  <si>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</si>
  <si>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</si>
  <si>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</si>
  <si>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</si>
  <si>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</si>
  <si>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</si>
  <si>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</si>
  <si>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October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</si>
  <si>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</si>
  <si>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</si>
  <si>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:Nil</t>
  </si>
  <si>
    <t>Gross Notional Value of contracts where futures were sold: Nil</t>
  </si>
  <si>
    <t>Net Profit/Loss on all contracts combined : Nil</t>
  </si>
  <si>
    <t>Other than Hedging Positions through futures as on October 31, 2023: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</si>
  <si>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</si>
  <si>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</si>
  <si>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sold : 6</t>
  </si>
  <si>
    <t>Gross Notional Value of contracts where futures were bought : Nil</t>
  </si>
  <si>
    <t>Gross Notional Value of contracts where futures were sold: 93.62 lacs</t>
  </si>
  <si>
    <t>Net Profit/Loss on all contracts combined : 1.45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</si>
  <si>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</si>
  <si>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</si>
  <si>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</si>
  <si>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</si>
  <si>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</si>
  <si>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</si>
  <si>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</si>
  <si>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</si>
  <si>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</si>
  <si>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</si>
  <si>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</si>
  <si>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</si>
  <si>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</si>
  <si>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</si>
  <si>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</si>
  <si>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</si>
  <si>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</si>
  <si>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</si>
  <si>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</si>
  <si>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There were no investments in derivative instruments as on October,31 2023.</t>
  </si>
  <si>
    <t>(10) Total Market value of investments in Foreign Securities/American Depositary Receipts/Global Depositary Receipts as at  October 31, 2023 is Rs. Nil.</t>
  </si>
  <si>
    <t>(11)  During the period, the portfolio turnover ratio is  0.06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</si>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</sst>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1" fillId="3" borderId="0" xfId="0" applyFont="1" applyFill="1"/>
    <xf numFmtId="0" fontId="12" fillId="4" borderId="0" xfId="0" applyFont="1" applyFill="1"/>
    <xf numFmtId="4" fontId="12" fillId="4" borderId="0" xfId="0" applyNumberFormat="1" applyFont="1" applyFill="1"/>
    <xf numFmtId="0" fontId="13" fillId="4" borderId="0" xfId="0" applyFont="1" applyFill="1"/>
    <xf numFmtId="0" fontId="11" fillId="3" borderId="19" xfId="0" applyFont="1" applyFill="1" applyBorder="1"/>
    <xf numFmtId="0" fontId="11" fillId="3" borderId="13" xfId="0" applyFont="1" applyFill="1" applyBorder="1"/>
    <xf numFmtId="0" fontId="11" fillId="0" borderId="19" xfId="0" applyFont="1" applyBorder="1" applyAlignment="1">
      <alignment horizontal="right"/>
    </xf>
    <xf numFmtId="0" fontId="11" fillId="3" borderId="19" xfId="0" applyFont="1" applyFill="1" applyBorder="1" applyAlignment="1">
      <alignment horizontal="right"/>
    </xf>
    <xf numFmtId="0" fontId="11" fillId="3" borderId="0" xfId="0" applyFont="1" applyFill="1" applyAlignment="1">
      <alignment horizontal="center"/>
    </xf>
    <xf numFmtId="0" fontId="14" fillId="3" borderId="0" xfId="0" applyFont="1" applyFill="1"/>
    <xf numFmtId="164" fontId="11" fillId="3" borderId="0" xfId="1" applyFont="1" applyFill="1" applyBorder="1" applyAlignment="1">
      <alignment horizontal="center"/>
    </xf>
    <xf numFmtId="164" fontId="11" fillId="3" borderId="0" xfId="1" applyFont="1" applyFill="1" applyAlignment="1">
      <alignment horizontal="center"/>
    </xf>
    <xf numFmtId="0" fontId="14" fillId="0" borderId="0" xfId="0" applyFont="1"/>
    <xf numFmtId="164" fontId="11" fillId="3" borderId="0" xfId="0" applyNumberFormat="1" applyFont="1" applyFill="1" applyAlignment="1">
      <alignment horizontal="center"/>
    </xf>
    <xf numFmtId="164" fontId="12" fillId="4" borderId="0" xfId="1" applyFont="1" applyFill="1"/>
    <xf numFmtId="0" fontId="15" fillId="3" borderId="0" xfId="0" applyFont="1" applyFill="1"/>
    <xf numFmtId="4" fontId="11" fillId="3" borderId="0" xfId="0" applyNumberFormat="1" applyFont="1" applyFill="1"/>
    <xf numFmtId="0" fontId="11" fillId="0" borderId="13" xfId="0" applyFont="1" applyBorder="1"/>
    <xf numFmtId="0" fontId="11" fillId="0" borderId="13" xfId="0" applyFont="1" applyBorder="1" applyAlignment="1">
      <alignment horizontal="right"/>
    </xf>
    <xf numFmtId="0" fontId="11" fillId="3" borderId="13" xfId="0" applyFont="1" applyFill="1" applyBorder="1" applyAlignment="1">
      <alignment horizontal="right"/>
    </xf>
    <xf numFmtId="164" fontId="14" fillId="3" borderId="0" xfId="1" applyFont="1" applyFill="1" applyBorder="1" applyAlignment="1"/>
    <xf numFmtId="164" fontId="14" fillId="3" borderId="0" xfId="1" applyFont="1" applyFill="1" applyBorder="1"/>
    <xf numFmtId="164" fontId="12" fillId="4" borderId="0" xfId="0" applyNumberFormat="1" applyFont="1" applyFill="1"/>
    <xf numFmtId="0" fontId="11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4ADF13DB-14AF-4420-AE37-6942331F4303}"/>
    <cellStyle name="Hyperlink" xfId="2" builtinId="8"/>
    <cellStyle name="Normal" xfId="0" builtinId="0"/>
    <cellStyle name="Normal 2" xfId="4" xr:uid="{A67BFEC7-6999-449D-BD6D-3716C4BF265B}"/>
    <cellStyle name="Style 1" xfId="3" xr:uid="{FFEAB171-E496-4C83-948A-B1B8796561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5</xdr:col>
      <xdr:colOff>504275</xdr:colOff>
      <xdr:row>166</xdr:row>
      <xdr:rowOff>83650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FE76A-33E1-49AB-980B-EBEDFCC0C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6769060"/>
          <a:ext cx="7453715" cy="27277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6569-312A-4586-9516-DE9391CBE985}">
  <sheetPr codeName="Sheet124"/>
  <dimension ref="A1:BC153"/>
  <sheetViews>
    <sheetView showGridLines="0" tabSelected="1" zoomScale="90" zoomScaleNormal="90" workbookViewId="0">
      <pane ySplit="6" topLeftCell="A141" activePane="bottomLeft" state="frozen"/>
      <selection activeCell="I2" sqref="I2"/>
      <selection pane="bottomLeft" activeCell="A152" sqref="A152:XFD16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140348</v>
      </c>
      <c r="G10" s="34">
        <v>2072.2399999999998</v>
      </c>
      <c r="H10" s="34">
        <v>22.55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170000</v>
      </c>
      <c r="G11" s="34">
        <v>1556.1</v>
      </c>
      <c r="H11" s="34">
        <v>16.93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19</v>
      </c>
      <c r="F12" s="33">
        <v>70000</v>
      </c>
      <c r="G12" s="34">
        <v>687.3</v>
      </c>
      <c r="H12" s="34">
        <v>7.48</v>
      </c>
      <c r="I12" s="35"/>
      <c r="J12" s="35"/>
      <c r="K12" s="36"/>
    </row>
    <row r="13" spans="1:55" x14ac:dyDescent="0.3">
      <c r="B13" s="1" t="s">
        <v>26</v>
      </c>
      <c r="C13" s="21" t="s">
        <v>27</v>
      </c>
      <c r="D13" s="31" t="s">
        <v>28</v>
      </c>
      <c r="E13" s="32" t="s">
        <v>29</v>
      </c>
      <c r="F13" s="33">
        <v>9100</v>
      </c>
      <c r="G13" s="34">
        <v>681.83</v>
      </c>
      <c r="H13" s="34">
        <v>7.42</v>
      </c>
      <c r="I13" s="35"/>
      <c r="J13" s="35"/>
      <c r="K13" s="36"/>
    </row>
    <row r="14" spans="1:55" x14ac:dyDescent="0.3">
      <c r="B14" s="1" t="s">
        <v>30</v>
      </c>
      <c r="C14" s="21" t="s">
        <v>31</v>
      </c>
      <c r="D14" s="31" t="s">
        <v>32</v>
      </c>
      <c r="E14" s="32" t="s">
        <v>19</v>
      </c>
      <c r="F14" s="33">
        <v>96000</v>
      </c>
      <c r="G14" s="34">
        <v>542.92999999999995</v>
      </c>
      <c r="H14" s="34">
        <v>5.91</v>
      </c>
      <c r="I14" s="35"/>
      <c r="J14" s="35"/>
      <c r="K14" s="36"/>
    </row>
    <row r="15" spans="1:55" x14ac:dyDescent="0.3">
      <c r="B15" s="1" t="s">
        <v>33</v>
      </c>
      <c r="C15" s="21" t="s">
        <v>34</v>
      </c>
      <c r="D15" s="31" t="s">
        <v>35</v>
      </c>
      <c r="E15" s="32" t="s">
        <v>19</v>
      </c>
      <c r="F15" s="33">
        <v>22500</v>
      </c>
      <c r="G15" s="34">
        <v>324.29000000000002</v>
      </c>
      <c r="H15" s="34">
        <v>3.53</v>
      </c>
      <c r="I15" s="35"/>
      <c r="J15" s="35"/>
      <c r="K15" s="36"/>
    </row>
    <row r="16" spans="1:55" x14ac:dyDescent="0.3">
      <c r="B16" s="1" t="s">
        <v>36</v>
      </c>
      <c r="C16" s="21" t="s">
        <v>37</v>
      </c>
      <c r="D16" s="31" t="s">
        <v>38</v>
      </c>
      <c r="E16" s="32" t="s">
        <v>19</v>
      </c>
      <c r="F16" s="33">
        <v>15900</v>
      </c>
      <c r="G16" s="34">
        <v>276.56</v>
      </c>
      <c r="H16" s="34">
        <v>3.01</v>
      </c>
      <c r="I16" s="35"/>
      <c r="J16" s="35"/>
      <c r="K16" s="36"/>
    </row>
    <row r="17" spans="2:11" x14ac:dyDescent="0.3">
      <c r="B17" s="1" t="s">
        <v>39</v>
      </c>
      <c r="C17" s="21" t="s">
        <v>40</v>
      </c>
      <c r="D17" s="31" t="s">
        <v>41</v>
      </c>
      <c r="E17" s="32" t="s">
        <v>42</v>
      </c>
      <c r="F17" s="33">
        <v>11000</v>
      </c>
      <c r="G17" s="34">
        <v>204.93</v>
      </c>
      <c r="H17" s="34">
        <v>2.23</v>
      </c>
      <c r="I17" s="35"/>
      <c r="J17" s="35"/>
      <c r="K17" s="36"/>
    </row>
    <row r="18" spans="2:11" x14ac:dyDescent="0.3">
      <c r="B18" s="1" t="s">
        <v>43</v>
      </c>
      <c r="C18" s="21" t="s">
        <v>44</v>
      </c>
      <c r="D18" s="31" t="s">
        <v>45</v>
      </c>
      <c r="E18" s="32" t="s">
        <v>46</v>
      </c>
      <c r="F18" s="33">
        <v>21000</v>
      </c>
      <c r="G18" s="34">
        <v>191.96</v>
      </c>
      <c r="H18" s="34">
        <v>2.09</v>
      </c>
      <c r="I18" s="35"/>
      <c r="J18" s="35"/>
      <c r="K18" s="36"/>
    </row>
    <row r="19" spans="2:11" x14ac:dyDescent="0.3">
      <c r="B19" s="1" t="s">
        <v>47</v>
      </c>
      <c r="C19" s="21" t="s">
        <v>48</v>
      </c>
      <c r="D19" s="31" t="s">
        <v>49</v>
      </c>
      <c r="E19" s="32" t="s">
        <v>29</v>
      </c>
      <c r="F19" s="33">
        <v>15000</v>
      </c>
      <c r="G19" s="34">
        <v>170.6</v>
      </c>
      <c r="H19" s="34">
        <v>1.86</v>
      </c>
      <c r="I19" s="35"/>
      <c r="J19" s="35"/>
      <c r="K19" s="36"/>
    </row>
    <row r="20" spans="2:11" x14ac:dyDescent="0.3">
      <c r="B20" s="1" t="s">
        <v>50</v>
      </c>
      <c r="C20" s="21" t="s">
        <v>51</v>
      </c>
      <c r="D20" s="31" t="s">
        <v>52</v>
      </c>
      <c r="E20" s="32" t="s">
        <v>29</v>
      </c>
      <c r="F20" s="33">
        <v>62500</v>
      </c>
      <c r="G20" s="34">
        <v>154.13</v>
      </c>
      <c r="H20" s="34">
        <v>1.68</v>
      </c>
      <c r="I20" s="35"/>
      <c r="J20" s="35"/>
      <c r="K20" s="36"/>
    </row>
    <row r="21" spans="2:11" x14ac:dyDescent="0.3">
      <c r="B21" s="1" t="s">
        <v>53</v>
      </c>
      <c r="C21" s="21" t="s">
        <v>54</v>
      </c>
      <c r="D21" s="31" t="s">
        <v>55</v>
      </c>
      <c r="E21" s="32" t="s">
        <v>29</v>
      </c>
      <c r="F21" s="33">
        <v>20000</v>
      </c>
      <c r="G21" s="34">
        <v>152.69</v>
      </c>
      <c r="H21" s="34">
        <v>1.66</v>
      </c>
      <c r="I21" s="35"/>
      <c r="J21" s="35"/>
      <c r="K21" s="36"/>
    </row>
    <row r="22" spans="2:11" x14ac:dyDescent="0.3">
      <c r="B22" s="1" t="s">
        <v>56</v>
      </c>
      <c r="C22" s="21" t="s">
        <v>57</v>
      </c>
      <c r="D22" s="31" t="s">
        <v>58</v>
      </c>
      <c r="E22" s="32" t="s">
        <v>29</v>
      </c>
      <c r="F22" s="33">
        <v>20580</v>
      </c>
      <c r="G22" s="34">
        <v>152.07</v>
      </c>
      <c r="H22" s="34">
        <v>1.65</v>
      </c>
      <c r="I22" s="35"/>
      <c r="J22" s="35"/>
      <c r="K22" s="36"/>
    </row>
    <row r="23" spans="2:11" x14ac:dyDescent="0.3">
      <c r="B23" s="1" t="s">
        <v>59</v>
      </c>
      <c r="C23" s="21" t="s">
        <v>60</v>
      </c>
      <c r="D23" s="31" t="s">
        <v>61</v>
      </c>
      <c r="E23" s="32" t="s">
        <v>19</v>
      </c>
      <c r="F23" s="33">
        <v>105000</v>
      </c>
      <c r="G23" s="34">
        <v>150.26</v>
      </c>
      <c r="H23" s="34">
        <v>1.64</v>
      </c>
      <c r="I23" s="35"/>
      <c r="J23" s="35"/>
      <c r="K23" s="36"/>
    </row>
    <row r="24" spans="2:11" x14ac:dyDescent="0.3">
      <c r="B24" s="1" t="s">
        <v>62</v>
      </c>
      <c r="C24" s="21" t="s">
        <v>63</v>
      </c>
      <c r="D24" s="31" t="s">
        <v>64</v>
      </c>
      <c r="E24" s="32" t="s">
        <v>19</v>
      </c>
      <c r="F24" s="33">
        <v>160000</v>
      </c>
      <c r="G24" s="34">
        <v>148.4</v>
      </c>
      <c r="H24" s="34">
        <v>1.62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19</v>
      </c>
      <c r="F25" s="33">
        <v>100000</v>
      </c>
      <c r="G25" s="34">
        <v>140.65</v>
      </c>
      <c r="H25" s="34">
        <v>1.53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46</v>
      </c>
      <c r="F26" s="33">
        <v>22500</v>
      </c>
      <c r="G26" s="34">
        <v>139.13</v>
      </c>
      <c r="H26" s="34">
        <v>1.51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19</v>
      </c>
      <c r="F27" s="33">
        <v>190000</v>
      </c>
      <c r="G27" s="34">
        <v>138.69999999999999</v>
      </c>
      <c r="H27" s="34">
        <v>1.51</v>
      </c>
      <c r="I27" s="35"/>
      <c r="J27" s="35"/>
      <c r="K27" s="36"/>
    </row>
    <row r="28" spans="2:11" x14ac:dyDescent="0.3">
      <c r="B28" s="1" t="s">
        <v>74</v>
      </c>
      <c r="C28" s="21" t="s">
        <v>75</v>
      </c>
      <c r="D28" s="31" t="s">
        <v>76</v>
      </c>
      <c r="E28" s="32" t="s">
        <v>77</v>
      </c>
      <c r="F28" s="33">
        <v>17500</v>
      </c>
      <c r="G28" s="34">
        <v>122.62</v>
      </c>
      <c r="H28" s="34">
        <v>1.33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29</v>
      </c>
      <c r="F29" s="33">
        <v>47500</v>
      </c>
      <c r="G29" s="34">
        <v>116.54</v>
      </c>
      <c r="H29" s="34">
        <v>1.27</v>
      </c>
      <c r="I29" s="35"/>
      <c r="J29" s="35"/>
      <c r="K29" s="36"/>
    </row>
    <row r="30" spans="2:11" x14ac:dyDescent="0.3">
      <c r="B30" s="1" t="s">
        <v>81</v>
      </c>
      <c r="C30" s="21" t="s">
        <v>82</v>
      </c>
      <c r="D30" s="31" t="s">
        <v>83</v>
      </c>
      <c r="E30" s="32" t="s">
        <v>29</v>
      </c>
      <c r="F30" s="33">
        <v>15550</v>
      </c>
      <c r="G30" s="34">
        <v>114.51</v>
      </c>
      <c r="H30" s="34">
        <v>1.25</v>
      </c>
      <c r="I30" s="35"/>
      <c r="J30" s="35"/>
      <c r="K30" s="36"/>
    </row>
    <row r="31" spans="2:11" x14ac:dyDescent="0.3">
      <c r="B31" s="1" t="s">
        <v>84</v>
      </c>
      <c r="C31" s="21" t="s">
        <v>85</v>
      </c>
      <c r="D31" s="31" t="s">
        <v>86</v>
      </c>
      <c r="E31" s="32" t="s">
        <v>29</v>
      </c>
      <c r="F31" s="33">
        <v>7000</v>
      </c>
      <c r="G31" s="34">
        <v>111.8</v>
      </c>
      <c r="H31" s="34">
        <v>1.22</v>
      </c>
      <c r="I31" s="35"/>
      <c r="J31" s="35"/>
      <c r="K31" s="36"/>
    </row>
    <row r="32" spans="2:11" x14ac:dyDescent="0.3">
      <c r="B32" s="1" t="s">
        <v>87</v>
      </c>
      <c r="C32" s="21" t="s">
        <v>88</v>
      </c>
      <c r="D32" s="31" t="s">
        <v>89</v>
      </c>
      <c r="E32" s="32" t="s">
        <v>19</v>
      </c>
      <c r="F32" s="33">
        <v>100000</v>
      </c>
      <c r="G32" s="34">
        <v>106.6</v>
      </c>
      <c r="H32" s="34">
        <v>1.1599999999999999</v>
      </c>
      <c r="I32" s="35"/>
      <c r="J32" s="35"/>
      <c r="K32" s="36"/>
    </row>
    <row r="33" spans="2:11" x14ac:dyDescent="0.3">
      <c r="B33" s="1" t="s">
        <v>90</v>
      </c>
      <c r="C33" s="21" t="s">
        <v>91</v>
      </c>
      <c r="D33" s="31" t="s">
        <v>92</v>
      </c>
      <c r="E33" s="32" t="s">
        <v>42</v>
      </c>
      <c r="F33" s="33">
        <v>3500</v>
      </c>
      <c r="G33" s="34">
        <v>90.37</v>
      </c>
      <c r="H33" s="34">
        <v>0.98</v>
      </c>
      <c r="I33" s="35"/>
      <c r="J33" s="35"/>
      <c r="K33" s="36"/>
    </row>
    <row r="34" spans="2:11" x14ac:dyDescent="0.3">
      <c r="B34" s="1" t="s">
        <v>93</v>
      </c>
      <c r="C34" s="21" t="s">
        <v>94</v>
      </c>
      <c r="D34" s="31" t="s">
        <v>95</v>
      </c>
      <c r="E34" s="32" t="s">
        <v>29</v>
      </c>
      <c r="F34" s="33">
        <v>40000</v>
      </c>
      <c r="G34" s="34">
        <v>87.6</v>
      </c>
      <c r="H34" s="34">
        <v>0.95</v>
      </c>
      <c r="I34" s="35"/>
      <c r="J34" s="35"/>
      <c r="K34" s="36"/>
    </row>
    <row r="35" spans="2:11" x14ac:dyDescent="0.3">
      <c r="B35" s="1" t="s">
        <v>96</v>
      </c>
      <c r="C35" s="21" t="s">
        <v>97</v>
      </c>
      <c r="D35" s="31" t="s">
        <v>98</v>
      </c>
      <c r="E35" s="32" t="s">
        <v>29</v>
      </c>
      <c r="F35" s="33">
        <v>60000</v>
      </c>
      <c r="G35" s="34">
        <v>82.47</v>
      </c>
      <c r="H35" s="34">
        <v>0.9</v>
      </c>
      <c r="I35" s="35"/>
      <c r="J35" s="35"/>
      <c r="K35" s="36"/>
    </row>
    <row r="36" spans="2:11" x14ac:dyDescent="0.3">
      <c r="C36" s="30" t="s">
        <v>99</v>
      </c>
      <c r="D36" s="31"/>
      <c r="E36" s="32"/>
      <c r="F36" s="33"/>
      <c r="G36" s="38">
        <v>8717.2800000000007</v>
      </c>
      <c r="H36" s="38">
        <v>94.87</v>
      </c>
      <c r="I36" s="35"/>
      <c r="J36" s="35"/>
      <c r="K36" s="36"/>
    </row>
    <row r="37" spans="2:11" x14ac:dyDescent="0.3">
      <c r="C37" s="21"/>
      <c r="D37" s="31"/>
      <c r="E37" s="32"/>
      <c r="F37" s="33"/>
      <c r="G37" s="34"/>
      <c r="H37" s="34"/>
      <c r="I37" s="35"/>
      <c r="J37" s="35"/>
      <c r="K37" s="36"/>
    </row>
    <row r="38" spans="2:11" x14ac:dyDescent="0.3">
      <c r="C38" s="30" t="s">
        <v>100</v>
      </c>
      <c r="D38" s="31"/>
      <c r="E38" s="32"/>
      <c r="F38" s="33"/>
      <c r="G38" s="34" t="s">
        <v>101</v>
      </c>
      <c r="H38" s="34" t="s">
        <v>101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102</v>
      </c>
      <c r="D40" s="31"/>
      <c r="E40" s="32"/>
      <c r="F40" s="33"/>
      <c r="G40" s="34" t="s">
        <v>101</v>
      </c>
      <c r="H40" s="34" t="s">
        <v>101</v>
      </c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7" t="s">
        <v>103</v>
      </c>
      <c r="D42" s="31"/>
      <c r="E42" s="32"/>
      <c r="F42" s="33"/>
      <c r="G42" s="34" t="s">
        <v>101</v>
      </c>
      <c r="H42" s="34" t="s">
        <v>101</v>
      </c>
      <c r="I42" s="35"/>
      <c r="J42" s="35"/>
      <c r="K42" s="36"/>
    </row>
    <row r="43" spans="2:11" x14ac:dyDescent="0.3">
      <c r="C43" s="37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0" t="s">
        <v>104</v>
      </c>
      <c r="D44" s="31"/>
      <c r="E44" s="32"/>
      <c r="F44" s="33"/>
      <c r="G44" s="34" t="s">
        <v>101</v>
      </c>
      <c r="H44" s="34" t="s">
        <v>101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0" t="s">
        <v>105</v>
      </c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106</v>
      </c>
      <c r="D48" s="31"/>
      <c r="E48" s="32"/>
      <c r="F48" s="33"/>
      <c r="G48" s="34" t="s">
        <v>101</v>
      </c>
      <c r="H48" s="34" t="s">
        <v>101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107</v>
      </c>
      <c r="D50" s="31"/>
      <c r="E50" s="32"/>
      <c r="F50" s="33"/>
      <c r="G50" s="34" t="s">
        <v>101</v>
      </c>
      <c r="H50" s="34" t="s">
        <v>101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108</v>
      </c>
      <c r="D52" s="31"/>
      <c r="E52" s="32"/>
      <c r="F52" s="33"/>
      <c r="G52" s="34" t="s">
        <v>101</v>
      </c>
      <c r="H52" s="34" t="s">
        <v>101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109</v>
      </c>
      <c r="D54" s="31"/>
      <c r="E54" s="32"/>
      <c r="F54" s="33"/>
      <c r="G54" s="34" t="s">
        <v>101</v>
      </c>
      <c r="H54" s="34" t="s">
        <v>101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110</v>
      </c>
      <c r="D56" s="31"/>
      <c r="E56" s="32"/>
      <c r="F56" s="33"/>
      <c r="G56" s="34" t="s">
        <v>101</v>
      </c>
      <c r="H56" s="34" t="s">
        <v>101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8"/>
      <c r="B58" s="29"/>
      <c r="C58" s="30" t="s">
        <v>111</v>
      </c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A59" s="29"/>
      <c r="B59" s="29"/>
      <c r="C59" s="30" t="s">
        <v>112</v>
      </c>
      <c r="D59" s="31"/>
      <c r="E59" s="32"/>
      <c r="F59" s="33"/>
      <c r="G59" s="34" t="s">
        <v>101</v>
      </c>
      <c r="H59" s="34" t="s">
        <v>101</v>
      </c>
      <c r="I59" s="35"/>
      <c r="J59" s="35"/>
      <c r="K59" s="36"/>
    </row>
    <row r="60" spans="1:11" x14ac:dyDescent="0.3">
      <c r="A60" s="29"/>
      <c r="B60" s="29"/>
      <c r="C60" s="30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A61" s="29"/>
      <c r="B61" s="29"/>
      <c r="C61" s="30" t="s">
        <v>113</v>
      </c>
      <c r="D61" s="31"/>
      <c r="E61" s="32"/>
      <c r="F61" s="33"/>
      <c r="G61" s="34" t="s">
        <v>101</v>
      </c>
      <c r="H61" s="34" t="s">
        <v>101</v>
      </c>
      <c r="I61" s="35"/>
      <c r="J61" s="35"/>
      <c r="K61" s="36"/>
    </row>
    <row r="62" spans="1:11" x14ac:dyDescent="0.3">
      <c r="A62" s="29"/>
      <c r="B62" s="29"/>
      <c r="C62" s="30"/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C63" s="37" t="s">
        <v>114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B64" s="1" t="s">
        <v>115</v>
      </c>
      <c r="C64" s="21" t="s">
        <v>116</v>
      </c>
      <c r="D64" s="31" t="s">
        <v>117</v>
      </c>
      <c r="E64" s="32" t="s">
        <v>118</v>
      </c>
      <c r="F64" s="33">
        <v>50000</v>
      </c>
      <c r="G64" s="34">
        <v>49.07</v>
      </c>
      <c r="H64" s="34">
        <v>0.53</v>
      </c>
      <c r="I64" s="35">
        <v>7.0002000000000004</v>
      </c>
      <c r="J64" s="35"/>
      <c r="K64" s="36"/>
    </row>
    <row r="65" spans="1:11" x14ac:dyDescent="0.3">
      <c r="C65" s="30" t="s">
        <v>99</v>
      </c>
      <c r="D65" s="31"/>
      <c r="E65" s="32"/>
      <c r="F65" s="33"/>
      <c r="G65" s="38">
        <v>49.07</v>
      </c>
      <c r="H65" s="38">
        <v>0.53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119</v>
      </c>
      <c r="D67" s="31"/>
      <c r="E67" s="32"/>
      <c r="F67" s="33"/>
      <c r="G67" s="34" t="s">
        <v>101</v>
      </c>
      <c r="H67" s="34" t="s">
        <v>101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120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121</v>
      </c>
      <c r="D70" s="31"/>
      <c r="E70" s="32"/>
      <c r="F70" s="33"/>
      <c r="G70" s="34" t="s">
        <v>101</v>
      </c>
      <c r="H70" s="34" t="s">
        <v>101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122</v>
      </c>
      <c r="D72" s="31"/>
      <c r="E72" s="32"/>
      <c r="F72" s="33"/>
      <c r="G72" s="34" t="s">
        <v>101</v>
      </c>
      <c r="H72" s="34" t="s">
        <v>101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123</v>
      </c>
      <c r="D74" s="31"/>
      <c r="E74" s="32"/>
      <c r="F74" s="33"/>
      <c r="G74" s="34" t="s">
        <v>101</v>
      </c>
      <c r="H74" s="34" t="s">
        <v>101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124</v>
      </c>
      <c r="D76" s="31"/>
      <c r="E76" s="32"/>
      <c r="F76" s="33"/>
      <c r="G76" s="34" t="s">
        <v>101</v>
      </c>
      <c r="H76" s="34" t="s">
        <v>101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7" t="s">
        <v>125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B79" s="1" t="s">
        <v>126</v>
      </c>
      <c r="C79" s="21" t="s">
        <v>127</v>
      </c>
      <c r="D79" s="31"/>
      <c r="E79" s="32"/>
      <c r="F79" s="33"/>
      <c r="G79" s="34">
        <v>614.17999999999995</v>
      </c>
      <c r="H79" s="34">
        <v>6.68</v>
      </c>
      <c r="I79" s="35">
        <v>6.76</v>
      </c>
      <c r="J79" s="35"/>
      <c r="K79" s="36"/>
    </row>
    <row r="80" spans="1:11" x14ac:dyDescent="0.3">
      <c r="C80" s="30" t="s">
        <v>99</v>
      </c>
      <c r="D80" s="31"/>
      <c r="E80" s="32"/>
      <c r="F80" s="33"/>
      <c r="G80" s="38">
        <v>614.17999999999995</v>
      </c>
      <c r="H80" s="38">
        <v>6.68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8"/>
      <c r="B82" s="29"/>
      <c r="C82" s="30" t="s">
        <v>128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/>
      <c r="C83" s="21" t="s">
        <v>129</v>
      </c>
      <c r="D83" s="31"/>
      <c r="E83" s="32"/>
      <c r="F83" s="33"/>
      <c r="G83" s="34">
        <v>-191.88</v>
      </c>
      <c r="H83" s="34">
        <v>-2.08</v>
      </c>
      <c r="I83" s="35"/>
      <c r="J83" s="35"/>
      <c r="K83" s="36"/>
    </row>
    <row r="84" spans="1:11" x14ac:dyDescent="0.3">
      <c r="C84" s="30" t="s">
        <v>99</v>
      </c>
      <c r="D84" s="31"/>
      <c r="E84" s="32"/>
      <c r="F84" s="33"/>
      <c r="G84" s="38">
        <v>-191.88</v>
      </c>
      <c r="H84" s="38">
        <v>-2.08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ht="14.4" thickBot="1" x14ac:dyDescent="0.35">
      <c r="C86" s="39" t="s">
        <v>130</v>
      </c>
      <c r="D86" s="40"/>
      <c r="E86" s="41"/>
      <c r="F86" s="42"/>
      <c r="G86" s="43">
        <v>9188.65</v>
      </c>
      <c r="H86" s="43">
        <f>SUMIFS(H:H,C:C,"Total")</f>
        <v>100.00000000000001</v>
      </c>
      <c r="I86" s="44"/>
      <c r="J86" s="44"/>
      <c r="K86" s="45"/>
    </row>
    <row r="89" spans="1:11" x14ac:dyDescent="0.3">
      <c r="C89" s="46" t="s">
        <v>131</v>
      </c>
      <c r="D89" s="47"/>
      <c r="E89" s="47"/>
      <c r="F89" s="47"/>
      <c r="G89" s="48"/>
      <c r="H89" s="48"/>
    </row>
    <row r="90" spans="1:11" x14ac:dyDescent="0.3">
      <c r="C90" s="49" t="s">
        <v>132</v>
      </c>
      <c r="D90" s="47"/>
      <c r="E90" s="47"/>
      <c r="F90" s="47"/>
      <c r="G90" s="48"/>
      <c r="H90" s="48"/>
    </row>
    <row r="91" spans="1:11" x14ac:dyDescent="0.3">
      <c r="C91" s="50" t="s">
        <v>133</v>
      </c>
      <c r="D91" s="51" t="s">
        <v>134</v>
      </c>
      <c r="E91" s="52" t="s">
        <v>135</v>
      </c>
      <c r="F91" s="53" t="s">
        <v>136</v>
      </c>
      <c r="G91" s="53" t="s">
        <v>137</v>
      </c>
      <c r="H91" s="53" t="s">
        <v>138</v>
      </c>
    </row>
    <row r="92" spans="1:11" x14ac:dyDescent="0.3">
      <c r="C92" s="80" t="s">
        <v>139</v>
      </c>
      <c r="D92" s="81"/>
      <c r="E92" s="81"/>
      <c r="F92" s="81"/>
      <c r="G92" s="81"/>
      <c r="H92" s="82"/>
    </row>
    <row r="93" spans="1:11" x14ac:dyDescent="0.3">
      <c r="C93" s="54"/>
      <c r="D93" s="54"/>
      <c r="E93" s="54"/>
      <c r="F93" s="54"/>
      <c r="G93" s="54"/>
      <c r="H93" s="54"/>
    </row>
    <row r="94" spans="1:11" x14ac:dyDescent="0.3">
      <c r="C94" s="47" t="s">
        <v>140</v>
      </c>
      <c r="D94" s="54"/>
      <c r="E94" s="54"/>
      <c r="F94" s="54"/>
      <c r="G94" s="54"/>
      <c r="H94" s="54"/>
    </row>
    <row r="95" spans="1:11" x14ac:dyDescent="0.3">
      <c r="C95" s="54"/>
      <c r="D95" s="54"/>
      <c r="E95" s="54"/>
      <c r="F95" s="54"/>
      <c r="G95" s="54"/>
      <c r="H95" s="54"/>
    </row>
    <row r="96" spans="1:11" x14ac:dyDescent="0.3">
      <c r="C96" s="46" t="s">
        <v>141</v>
      </c>
      <c r="D96" s="54"/>
      <c r="E96" s="54"/>
      <c r="F96" s="54"/>
      <c r="G96" s="54"/>
      <c r="H96" s="54"/>
    </row>
    <row r="97" spans="3:8" x14ac:dyDescent="0.3">
      <c r="C97" s="55" t="s">
        <v>142</v>
      </c>
      <c r="D97" s="54"/>
      <c r="E97" s="54"/>
      <c r="F97" s="54"/>
      <c r="G97" s="54"/>
      <c r="H97" s="54"/>
    </row>
    <row r="98" spans="3:8" x14ac:dyDescent="0.3">
      <c r="C98" s="55" t="s">
        <v>143</v>
      </c>
      <c r="D98" s="54"/>
      <c r="E98" s="54"/>
      <c r="F98" s="54"/>
      <c r="G98" s="54"/>
      <c r="H98" s="54"/>
    </row>
    <row r="99" spans="3:8" x14ac:dyDescent="0.3">
      <c r="C99" s="55" t="s">
        <v>144</v>
      </c>
      <c r="D99" s="56"/>
      <c r="E99" s="54"/>
      <c r="F99" s="54"/>
      <c r="G99" s="54"/>
      <c r="H99" s="54"/>
    </row>
    <row r="100" spans="3:8" x14ac:dyDescent="0.3">
      <c r="C100" s="55" t="s">
        <v>145</v>
      </c>
      <c r="D100" s="56"/>
      <c r="E100" s="57"/>
      <c r="F100" s="54"/>
      <c r="G100" s="54"/>
      <c r="H100" s="54"/>
    </row>
    <row r="101" spans="3:8" x14ac:dyDescent="0.3">
      <c r="C101" s="58" t="s">
        <v>146</v>
      </c>
      <c r="D101" s="56"/>
      <c r="E101" s="59"/>
      <c r="F101" s="59"/>
      <c r="G101" s="54"/>
      <c r="H101" s="59"/>
    </row>
    <row r="102" spans="3:8" x14ac:dyDescent="0.3">
      <c r="C102" s="54"/>
      <c r="D102" s="54"/>
      <c r="E102" s="54"/>
      <c r="F102" s="54"/>
      <c r="G102" s="54"/>
      <c r="H102" s="54"/>
    </row>
    <row r="103" spans="3:8" x14ac:dyDescent="0.3">
      <c r="C103" s="49"/>
      <c r="D103" s="47"/>
      <c r="E103" s="47"/>
      <c r="F103" s="60"/>
      <c r="G103" s="48"/>
      <c r="H103" s="48"/>
    </row>
    <row r="104" spans="3:8" ht="15" x14ac:dyDescent="0.35">
      <c r="C104" s="46" t="s">
        <v>147</v>
      </c>
      <c r="D104" s="55"/>
      <c r="E104" s="61"/>
      <c r="F104" s="55"/>
      <c r="G104" s="55"/>
      <c r="H104" s="62"/>
    </row>
    <row r="105" spans="3:8" x14ac:dyDescent="0.3">
      <c r="C105" s="51" t="s">
        <v>133</v>
      </c>
      <c r="D105" s="63" t="s">
        <v>134</v>
      </c>
      <c r="E105" s="64" t="s">
        <v>135</v>
      </c>
      <c r="F105" s="65" t="s">
        <v>136</v>
      </c>
      <c r="G105" s="65" t="s">
        <v>137</v>
      </c>
      <c r="H105" s="65" t="s">
        <v>138</v>
      </c>
    </row>
    <row r="106" spans="3:8" x14ac:dyDescent="0.3">
      <c r="C106" s="80" t="s">
        <v>139</v>
      </c>
      <c r="D106" s="81"/>
      <c r="E106" s="81"/>
      <c r="F106" s="81"/>
      <c r="G106" s="81"/>
      <c r="H106" s="82"/>
    </row>
    <row r="107" spans="3:8" x14ac:dyDescent="0.3">
      <c r="C107" s="55"/>
      <c r="D107" s="55"/>
      <c r="E107" s="55"/>
      <c r="F107" s="66"/>
      <c r="G107" s="67"/>
      <c r="H107" s="67"/>
    </row>
    <row r="108" spans="3:8" x14ac:dyDescent="0.3">
      <c r="C108" s="55" t="s">
        <v>148</v>
      </c>
      <c r="D108" s="54"/>
      <c r="E108" s="54"/>
      <c r="F108" s="54"/>
      <c r="G108" s="54"/>
      <c r="H108" s="54"/>
    </row>
    <row r="109" spans="3:8" x14ac:dyDescent="0.3">
      <c r="C109" s="54"/>
      <c r="D109" s="54"/>
      <c r="E109" s="54"/>
      <c r="F109" s="54"/>
      <c r="G109" s="54"/>
      <c r="H109" s="54"/>
    </row>
    <row r="110" spans="3:8" x14ac:dyDescent="0.3">
      <c r="C110" s="46" t="s">
        <v>149</v>
      </c>
      <c r="D110" s="54"/>
      <c r="E110" s="54"/>
      <c r="F110" s="54"/>
      <c r="G110" s="54"/>
      <c r="H110" s="54"/>
    </row>
    <row r="111" spans="3:8" x14ac:dyDescent="0.3">
      <c r="C111" s="55" t="s">
        <v>142</v>
      </c>
      <c r="D111" s="54"/>
      <c r="E111" s="54"/>
      <c r="F111" s="54"/>
      <c r="G111" s="54"/>
      <c r="H111" s="54"/>
    </row>
    <row r="112" spans="3:8" x14ac:dyDescent="0.3">
      <c r="C112" s="55" t="s">
        <v>150</v>
      </c>
      <c r="D112" s="54"/>
      <c r="E112" s="54"/>
      <c r="F112" s="54"/>
      <c r="G112" s="54"/>
      <c r="H112" s="54"/>
    </row>
    <row r="113" spans="3:8" x14ac:dyDescent="0.3">
      <c r="C113" s="55" t="s">
        <v>151</v>
      </c>
      <c r="D113" s="57"/>
      <c r="E113" s="54"/>
      <c r="F113" s="54"/>
      <c r="G113" s="54"/>
      <c r="H113" s="54"/>
    </row>
    <row r="114" spans="3:8" x14ac:dyDescent="0.3">
      <c r="C114" s="55" t="s">
        <v>152</v>
      </c>
      <c r="D114" s="57"/>
      <c r="E114" s="54"/>
      <c r="F114" s="54"/>
      <c r="G114" s="54"/>
      <c r="H114" s="54"/>
    </row>
    <row r="115" spans="3:8" x14ac:dyDescent="0.3">
      <c r="C115" s="58" t="s">
        <v>153</v>
      </c>
      <c r="D115" s="57"/>
      <c r="E115" s="59"/>
      <c r="F115" s="59"/>
      <c r="G115" s="54"/>
      <c r="H115" s="54"/>
    </row>
    <row r="116" spans="3:8" x14ac:dyDescent="0.3">
      <c r="C116" s="54"/>
      <c r="D116" s="54"/>
      <c r="E116" s="54"/>
      <c r="F116" s="54"/>
      <c r="G116" s="54"/>
      <c r="H116" s="54"/>
    </row>
    <row r="117" spans="3:8" x14ac:dyDescent="0.3">
      <c r="C117" s="47"/>
      <c r="D117" s="47"/>
      <c r="E117" s="68"/>
      <c r="F117" s="47"/>
      <c r="G117" s="48"/>
      <c r="H117" s="48"/>
    </row>
    <row r="118" spans="3:8" x14ac:dyDescent="0.3">
      <c r="C118" s="69" t="s">
        <v>154</v>
      </c>
      <c r="D118" s="68"/>
      <c r="E118" s="68"/>
      <c r="F118" s="47"/>
      <c r="G118" s="48"/>
      <c r="H118" s="48"/>
    </row>
    <row r="121" spans="3:8" x14ac:dyDescent="0.3">
      <c r="C121" s="11" t="s">
        <v>155</v>
      </c>
    </row>
    <row r="122" spans="3:8" x14ac:dyDescent="0.3">
      <c r="C122" s="2" t="s">
        <v>156</v>
      </c>
    </row>
    <row r="123" spans="3:8" x14ac:dyDescent="0.3">
      <c r="C123" s="70" t="s">
        <v>157</v>
      </c>
    </row>
    <row r="124" spans="3:8" x14ac:dyDescent="0.3">
      <c r="C124" s="2" t="s">
        <v>158</v>
      </c>
    </row>
    <row r="125" spans="3:8" x14ac:dyDescent="0.3">
      <c r="C125" s="2" t="s">
        <v>159</v>
      </c>
    </row>
    <row r="126" spans="3:8" x14ac:dyDescent="0.3">
      <c r="C126" s="2" t="s">
        <v>160</v>
      </c>
      <c r="D126" s="71"/>
      <c r="E126" s="71"/>
      <c r="F126" s="71"/>
      <c r="G126" s="72"/>
      <c r="H126" s="72"/>
    </row>
    <row r="127" spans="3:8" x14ac:dyDescent="0.3">
      <c r="C127" s="2" t="s">
        <v>161</v>
      </c>
    </row>
    <row r="128" spans="3:8" x14ac:dyDescent="0.3">
      <c r="C128" s="2" t="s">
        <v>162</v>
      </c>
    </row>
    <row r="129" spans="3:55" x14ac:dyDescent="0.3">
      <c r="C129" s="2" t="s">
        <v>163</v>
      </c>
    </row>
    <row r="130" spans="3:55" x14ac:dyDescent="0.3">
      <c r="C130" s="2" t="s">
        <v>164</v>
      </c>
    </row>
    <row r="131" spans="3:55" s="11" customFormat="1" x14ac:dyDescent="0.3">
      <c r="C131" s="11" t="s">
        <v>165</v>
      </c>
      <c r="E131" s="11" t="s">
        <v>166</v>
      </c>
      <c r="F131" s="73" t="s">
        <v>167</v>
      </c>
      <c r="G131" s="74"/>
      <c r="H131" s="74"/>
      <c r="I131" s="74"/>
      <c r="J131" s="74"/>
      <c r="K131" s="75"/>
      <c r="L131" s="75"/>
      <c r="M131" s="75"/>
      <c r="AJ131" s="75"/>
      <c r="AW131" s="75"/>
      <c r="AY131" s="75"/>
      <c r="BC131" s="75"/>
    </row>
    <row r="132" spans="3:55" x14ac:dyDescent="0.3">
      <c r="C132" s="2" t="s">
        <v>168</v>
      </c>
      <c r="E132" s="76">
        <v>18.381</v>
      </c>
      <c r="F132" s="77">
        <v>17.975100000000001</v>
      </c>
    </row>
    <row r="133" spans="3:55" x14ac:dyDescent="0.3">
      <c r="C133" s="2" t="s">
        <v>169</v>
      </c>
      <c r="E133" s="76">
        <v>34.0871</v>
      </c>
      <c r="F133" s="77">
        <v>33.334400000000002</v>
      </c>
    </row>
    <row r="134" spans="3:55" x14ac:dyDescent="0.3">
      <c r="C134" s="2" t="s">
        <v>170</v>
      </c>
      <c r="E134" s="76">
        <v>20.5016</v>
      </c>
      <c r="F134" s="77">
        <v>20.069900000000001</v>
      </c>
    </row>
    <row r="135" spans="3:55" x14ac:dyDescent="0.3">
      <c r="C135" s="2" t="s">
        <v>171</v>
      </c>
      <c r="E135" s="76">
        <v>37.212400000000002</v>
      </c>
      <c r="F135" s="77">
        <v>36.428899999999999</v>
      </c>
    </row>
    <row r="137" spans="3:55" x14ac:dyDescent="0.3">
      <c r="C137" s="2" t="s">
        <v>172</v>
      </c>
    </row>
    <row r="139" spans="3:55" x14ac:dyDescent="0.3">
      <c r="C139" s="2" t="s">
        <v>173</v>
      </c>
    </row>
    <row r="140" spans="3:55" x14ac:dyDescent="0.3">
      <c r="C140" s="2" t="s">
        <v>174</v>
      </c>
    </row>
    <row r="141" spans="3:55" x14ac:dyDescent="0.3">
      <c r="C141" s="2" t="s">
        <v>175</v>
      </c>
    </row>
    <row r="142" spans="3:55" x14ac:dyDescent="0.3">
      <c r="C142" s="2" t="s">
        <v>176</v>
      </c>
    </row>
    <row r="143" spans="3:55" x14ac:dyDescent="0.3">
      <c r="C143" s="2" t="s">
        <v>177</v>
      </c>
    </row>
    <row r="144" spans="3:55" x14ac:dyDescent="0.3">
      <c r="C144" s="2" t="s">
        <v>178</v>
      </c>
    </row>
    <row r="145" spans="3:11" x14ac:dyDescent="0.3">
      <c r="C145" s="2" t="s">
        <v>179</v>
      </c>
    </row>
    <row r="146" spans="3:11" x14ac:dyDescent="0.3">
      <c r="C146" s="2" t="s">
        <v>180</v>
      </c>
    </row>
    <row r="147" spans="3:11" x14ac:dyDescent="0.3">
      <c r="C147" s="2" t="s">
        <v>181</v>
      </c>
    </row>
    <row r="148" spans="3:11" x14ac:dyDescent="0.3">
      <c r="C148" s="2" t="s">
        <v>182</v>
      </c>
    </row>
    <row r="149" spans="3:11" x14ac:dyDescent="0.3">
      <c r="C149" s="2" t="s">
        <v>183</v>
      </c>
    </row>
    <row r="150" spans="3:11" x14ac:dyDescent="0.3">
      <c r="C150" s="2" t="s">
        <v>184</v>
      </c>
    </row>
    <row r="151" spans="3:11" ht="14.4" x14ac:dyDescent="0.3">
      <c r="C151" s="78"/>
      <c r="D151" s="78"/>
      <c r="E151" s="79"/>
      <c r="F151" s="79"/>
      <c r="G151" s="79"/>
      <c r="H151" s="79"/>
      <c r="I151" s="79"/>
      <c r="J151" s="79"/>
      <c r="K151" s="79"/>
    </row>
    <row r="152" spans="3:11" ht="14.4" x14ac:dyDescent="0.3">
      <c r="C152" s="79"/>
      <c r="D152" s="79"/>
      <c r="E152" s="79"/>
      <c r="F152" s="79"/>
      <c r="G152" s="79"/>
      <c r="H152" s="79"/>
      <c r="I152" s="79"/>
      <c r="J152" s="79"/>
      <c r="K152" s="79"/>
    </row>
    <row r="153" spans="3:11" ht="14.4" x14ac:dyDescent="0.3">
      <c r="C153" s="79"/>
      <c r="D153" s="79"/>
      <c r="E153" s="79"/>
      <c r="F153" s="79"/>
      <c r="G153" s="79"/>
      <c r="H153" s="79"/>
      <c r="I153" s="79"/>
      <c r="J153" s="79"/>
      <c r="K153" s="79"/>
    </row>
  </sheetData>
  <mergeCells count="2">
    <mergeCell ref="C92:H92"/>
    <mergeCell ref="C106:H10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BS</vt:lpstr>
      <vt:lpstr>XDO_?CLASS_3?24?</vt:lpstr>
      <vt:lpstr>XDO_?FINAL_ISIN?130?</vt:lpstr>
      <vt:lpstr>XDO_?FINAL_ISIN?131?</vt:lpstr>
      <vt:lpstr>XDO_?FINAL_ISIN?132?</vt:lpstr>
      <vt:lpstr>XDO_?FINAL_ISIN?133?</vt:lpstr>
      <vt:lpstr>XDO_?FINAL_MV?130?</vt:lpstr>
      <vt:lpstr>XDO_?FINAL_MV?131?</vt:lpstr>
      <vt:lpstr>XDO_?FINAL_MV?132?</vt:lpstr>
      <vt:lpstr>XDO_?FINAL_MV?133?</vt:lpstr>
      <vt:lpstr>XDO_?FINAL_NAME?130?</vt:lpstr>
      <vt:lpstr>XDO_?FINAL_NAME?131?</vt:lpstr>
      <vt:lpstr>XDO_?FINAL_NAME?132?</vt:lpstr>
      <vt:lpstr>XDO_?FINAL_NAME?133?</vt:lpstr>
      <vt:lpstr>XDO_?FINAL_PER_NET?130?</vt:lpstr>
      <vt:lpstr>XDO_?FINAL_PER_NET?131?</vt:lpstr>
      <vt:lpstr>XDO_?FINAL_PER_NET?132?</vt:lpstr>
      <vt:lpstr>XDO_?FINAL_PER_NET?133?</vt:lpstr>
      <vt:lpstr>XDO_?FINAL_QUANTITE?130?</vt:lpstr>
      <vt:lpstr>XDO_?FINAL_QUANTITE?131?</vt:lpstr>
      <vt:lpstr>XDO_?FINAL_QUANTITE?132?</vt:lpstr>
      <vt:lpstr>XDO_?FINAL_QUANTITE?133?</vt:lpstr>
      <vt:lpstr>XDO_?NAMCNAME?24?</vt:lpstr>
      <vt:lpstr>XDO_?NOVAL?130?</vt:lpstr>
      <vt:lpstr>XDO_?NOVAL?131?</vt:lpstr>
      <vt:lpstr>XDO_?NOVAL?132?</vt:lpstr>
      <vt:lpstr>XDO_?NOVAL?133?</vt:lpstr>
      <vt:lpstr>XDO_?NPTF?24?</vt:lpstr>
      <vt:lpstr>XDO_?RATING?130?</vt:lpstr>
      <vt:lpstr>XDO_?RATING?131?</vt:lpstr>
      <vt:lpstr>XDO_?RATING?132?</vt:lpstr>
      <vt:lpstr>XDO_?RATING?133?</vt:lpstr>
      <vt:lpstr>XDO_?REMARKS?130?</vt:lpstr>
      <vt:lpstr>XDO_?REMARKS?131?</vt:lpstr>
      <vt:lpstr>XDO_?REMARKS?132?</vt:lpstr>
      <vt:lpstr>XDO_?REMARKS?133?</vt:lpstr>
      <vt:lpstr>XDO_?TITL?24?</vt:lpstr>
      <vt:lpstr>XDO_?YTM?130?</vt:lpstr>
      <vt:lpstr>XDO_?YTM?131?</vt:lpstr>
      <vt:lpstr>XDO_?YTM?132?</vt:lpstr>
      <vt:lpstr>XDO_?YTM?133?</vt:lpstr>
      <vt:lpstr>XDO_GROUP_?G_2?24?</vt:lpstr>
      <vt:lpstr>XDO_GROUP_?G_3?24?</vt:lpstr>
      <vt:lpstr>XDO_GROUP_?G_4?130?</vt:lpstr>
      <vt:lpstr>XDO_GROUP_?G_4?131?</vt:lpstr>
      <vt:lpstr>XDO_GROUP_?G_4?132?</vt:lpstr>
      <vt:lpstr>XDO_GROUP_?G_4?133?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2023-11-08T10:27:21Z</dcterms:created>
  <dcterms:modified xsi:type="dcterms:W3CDTF">2023-11-09T07:57:21Z</dcterms:modified>
</cp:coreProperties>
</file>