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BS" sheetId="1" r:id="rId1"/>
  </sheets>
  <externalReferences>
    <externalReference r:id="rId2"/>
  </externalReferences>
  <definedNames>
    <definedName name="XDO_?CLASS_3?23?">BS!$C$8:$C$36</definedName>
    <definedName name="XDO_?FINAL_ISIN?107?">BS!$D$10:$D$36</definedName>
    <definedName name="XDO_?FINAL_ISIN?108?">BS!$D$10:$D$61</definedName>
    <definedName name="XDO_?FINAL_ISIN?109?">BS!$D$10:$D$76</definedName>
    <definedName name="XDO_?FINAL_ISIN?110?">BS!$D$10:$D$80</definedName>
    <definedName name="XDO_?FINAL_MV?107?">BS!$G$10:$G$36</definedName>
    <definedName name="XDO_?FINAL_MV?108?">BS!$G$10:$G$61</definedName>
    <definedName name="XDO_?FINAL_MV?109?">BS!$G$10:$G$76</definedName>
    <definedName name="XDO_?FINAL_MV?110?">BS!$G$10:$G$80</definedName>
    <definedName name="XDO_?FINAL_NAME?107?">BS!$C$10:$C$36</definedName>
    <definedName name="XDO_?FINAL_NAME?108?">BS!$C$10:$C$61</definedName>
    <definedName name="XDO_?FINAL_NAME?109?">BS!$C$10:$C$76</definedName>
    <definedName name="XDO_?FINAL_NAME?110?">BS!$C$10:$C$80</definedName>
    <definedName name="XDO_?FINAL_PER_NET?107?">BS!$H$10:$H$36</definedName>
    <definedName name="XDO_?FINAL_PER_NET?108?">BS!$H$10:$H$61</definedName>
    <definedName name="XDO_?FINAL_PER_NET?109?">BS!$H$10:$H$76</definedName>
    <definedName name="XDO_?FINAL_PER_NET?110?">BS!$H$10:$H$80</definedName>
    <definedName name="XDO_?FINAL_QUANTITE?107?">BS!$F$10:$F$36</definedName>
    <definedName name="XDO_?FINAL_QUANTITE?108?">BS!$F$10:$F$61</definedName>
    <definedName name="XDO_?FINAL_QUANTITE?109?">BS!$F$10:$F$76</definedName>
    <definedName name="XDO_?FINAL_QUANTITE?110?">BS!$F$10:$F$80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3?">BS!$C$2:$C$36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7?">BS!$B$10:$B$36</definedName>
    <definedName name="XDO_?NOVAL?108?">BS!$B$10:$B$61</definedName>
    <definedName name="XDO_?NOVAL?109?">BS!$B$10:$B$76</definedName>
    <definedName name="XDO_?NOVAL?110?">BS!$B$10:$B$80</definedName>
    <definedName name="XDO_?NPTF?23?">BS!$D$2:$D$36</definedName>
    <definedName name="XDO_?RATING?107?">BS!$E$10:$E$36</definedName>
    <definedName name="XDO_?RATING?108?">BS!$E$10:$E$61</definedName>
    <definedName name="XDO_?RATING?109?">BS!$E$10:$E$76</definedName>
    <definedName name="XDO_?RATING?110?">BS!$E$10:$E$80</definedName>
    <definedName name="XDO_?REMARKS?107?">BS!$K$10:$K$36</definedName>
    <definedName name="XDO_?REMARKS?108?">BS!$K$10:$K$61</definedName>
    <definedName name="XDO_?REMARKS?109?">BS!$K$10:$K$76</definedName>
    <definedName name="XDO_?REMARKS?110?">BS!$K$10:$K$80</definedName>
    <definedName name="XDO_?TITL?23?">BS!$A$8:$A$36</definedName>
    <definedName name="XDO_?YTM?107?">BS!$I$10:$I$36</definedName>
    <definedName name="XDO_?YTM?108?">BS!$I$10:$I$61</definedName>
    <definedName name="XDO_?YTM?109?">BS!$I$10:$I$76</definedName>
    <definedName name="XDO_?YTM?110?">BS!$I$10:$I$80</definedName>
    <definedName name="XDO_GROUP_?G_2?23?">BS!$2:$52</definedName>
    <definedName name="XDO_GROUP_?G_3?23?">BS!$8:$51</definedName>
    <definedName name="XDO_GROUP_?G_4?107?">BS!$B$10:$IV$36</definedName>
    <definedName name="XDO_GROUP_?G_4?108?">BS!$B$41:$IV$41</definedName>
    <definedName name="XDO_GROUP_?G_4?109?">BS!$B$44:$IV$44</definedName>
    <definedName name="XDO_GROUP_?G_4?110?">BS!$B$49:$IV$49</definedName>
    <definedName name="XDO_GROUP_?G_4?41?">[1]TA!#REF!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</calcChain>
</file>

<file path=xl/sharedStrings.xml><?xml version="1.0" encoding="utf-8"?>
<sst xmlns="http://schemas.openxmlformats.org/spreadsheetml/2006/main" count="215" uniqueCount="161">
  <si>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</si>
  <si>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</si>
  <si>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</si>
  <si>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</si>
  <si>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</si>
  <si>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</si>
  <si>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</si>
  <si>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</si>
  <si>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</si>
  <si>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</si>
  <si>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</si>
  <si>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</si>
  <si>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</si>
  <si>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</si>
  <si>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</si>
  <si>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</si>
  <si>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</si>
  <si>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</si>
  <si>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</si>
  <si>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</si>
  <si>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</si>
  <si>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</si>
  <si>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</si>
  <si>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</si>
  <si>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</si>
  <si>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</si>
  <si>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</si>
  <si>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</si>
  <si>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</si>
  <si>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</si>
  <si>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</si>
  <si>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</si>
  <si>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100125</t>
  </si>
  <si>
    <t>Bajaj Finance Ltd.</t>
  </si>
  <si>
    <t>INE296A01024</t>
  </si>
  <si>
    <t>Finance</t>
  </si>
  <si>
    <t>100013</t>
  </si>
  <si>
    <t>IndusInd Bank Ltd.</t>
  </si>
  <si>
    <t>INE095A01012</t>
  </si>
  <si>
    <t>100380</t>
  </si>
  <si>
    <t>Bajaj Finserv Ltd.</t>
  </si>
  <si>
    <t>INE918I01026</t>
  </si>
  <si>
    <t>100399</t>
  </si>
  <si>
    <t>Cholamandalam Investment &amp; Finance Co. Ltd.</t>
  </si>
  <si>
    <t>INE121A01024</t>
  </si>
  <si>
    <t>100254</t>
  </si>
  <si>
    <t>Karur Vysya Bank Ltd.</t>
  </si>
  <si>
    <t>INE036D01028</t>
  </si>
  <si>
    <t>100033</t>
  </si>
  <si>
    <t>Indian Bank</t>
  </si>
  <si>
    <t>INE562A01011</t>
  </si>
  <si>
    <t>100055</t>
  </si>
  <si>
    <t>The Federal Bank Ltd.</t>
  </si>
  <si>
    <t>INE171A01029</t>
  </si>
  <si>
    <t>100116</t>
  </si>
  <si>
    <t>Sundaram Finance Ltd.</t>
  </si>
  <si>
    <t>INE660A01013</t>
  </si>
  <si>
    <t>100682</t>
  </si>
  <si>
    <t>ICICI Lombard General Insurance Company Ltd.</t>
  </si>
  <si>
    <t>INE765G01017</t>
  </si>
  <si>
    <t>Insurance</t>
  </si>
  <si>
    <t>100194</t>
  </si>
  <si>
    <t>Power Finance Corporation Ltd.</t>
  </si>
  <si>
    <t>INE134E01011</t>
  </si>
  <si>
    <t>100231</t>
  </si>
  <si>
    <t>Muthoot Finance Ltd.</t>
  </si>
  <si>
    <t>INE414G01012</t>
  </si>
  <si>
    <t>101783</t>
  </si>
  <si>
    <t>Five Star Business Finance Ltd.</t>
  </si>
  <si>
    <t>INE128S01021</t>
  </si>
  <si>
    <t>101469</t>
  </si>
  <si>
    <t>Equitas Small Finance Bank Ltd.</t>
  </si>
  <si>
    <t>INE063P01018</t>
  </si>
  <si>
    <t>101390</t>
  </si>
  <si>
    <t>PB Fintech Ltd.</t>
  </si>
  <si>
    <t>INE417T01026</t>
  </si>
  <si>
    <t>Financial Technology (Fintech)</t>
  </si>
  <si>
    <t>101210</t>
  </si>
  <si>
    <t>Credit Access Grameen Ltd.</t>
  </si>
  <si>
    <t>INE741K01010</t>
  </si>
  <si>
    <t>100477</t>
  </si>
  <si>
    <t>PNB Housing Finance Ltd.</t>
  </si>
  <si>
    <t>INE572E01012</t>
  </si>
  <si>
    <t>100505</t>
  </si>
  <si>
    <t>ICICI Prudential Life Insurance Company Ltd.</t>
  </si>
  <si>
    <t>INE726G01019</t>
  </si>
  <si>
    <t>100706</t>
  </si>
  <si>
    <t>HDFC Life Insurance Company Ltd.</t>
  </si>
  <si>
    <t>INE795G01014</t>
  </si>
  <si>
    <t>100109</t>
  </si>
  <si>
    <t>Piramal Enterprises Ltd.</t>
  </si>
  <si>
    <t>INE140A01024</t>
  </si>
  <si>
    <t>100114</t>
  </si>
  <si>
    <t>Shriram Finance Ltd.</t>
  </si>
  <si>
    <t>INE721A01013</t>
  </si>
  <si>
    <t>100684</t>
  </si>
  <si>
    <t>SBI Life Insurance Co. Ltd.</t>
  </si>
  <si>
    <t>INE123W01016</t>
  </si>
  <si>
    <t>300005</t>
  </si>
  <si>
    <t>INE040A13013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</si>
  <si>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</si>
  <si>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</si>
  <si>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</si>
  <si>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</si>
  <si>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</si>
  <si>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</si>
  <si>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</si>
  <si>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</si>
  <si>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</si>
  <si>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</si>
  <si>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</si>
  <si>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</si>
  <si>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</si>
  <si>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</si>
  <si>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</si>
  <si>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1800976</t>
  </si>
  <si>
    <t>182 DAY T-BILL 31-Aug-2023</t>
  </si>
  <si>
    <t>IN002022Y492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</si>
  <si>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</si>
  <si>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</si>
  <si>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</si>
  <si>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</si>
  <si>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</si>
  <si>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</si>
  <si>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</si>
  <si>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</si>
  <si>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</si>
  <si>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</si>
  <si>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</si>
  <si>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</si>
  <si>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</si>
  <si>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</si>
  <si>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</si>
  <si>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</si>
  <si>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</si>
  <si>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</si>
  <si>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</si>
  <si>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</si>
  <si>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</si>
  <si>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</si>
  <si>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</si>
  <si>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</si>
  <si>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</si>
  <si>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</si>
  <si>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</si>
  <si>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</si>
  <si>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</si>
  <si>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</si>
  <si>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</si>
  <si>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made in derivative instruments and no such derivative instrument was squared off/ expired /exercised during the Month ended July 31, 2023. Further there are no investments in derivative instruments as on July 31, 2023.</t>
  </si>
  <si>
    <t>(10) Total Market value of investments in Foreign Securities/American Depositary Receipts/Global Depositary Receipts as at  July 31, 2023 is Rs. Nil.</t>
  </si>
  <si>
    <t>(11)  During the period, the portfolio turnover ratio is  0.08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</si>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</sst>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5</xdr:col>
      <xdr:colOff>502920</xdr:colOff>
      <xdr:row>131</xdr:row>
      <xdr:rowOff>83820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6228040"/>
          <a:ext cx="7452360" cy="2727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6"/>
  <sheetViews>
    <sheetView showGridLines="0" tabSelected="1" zoomScale="90" zoomScaleNormal="90" workbookViewId="0">
      <pane ySplit="6" topLeftCell="A110" activePane="bottomLeft" state="frozen"/>
      <selection activeCell="I2" sqref="I2"/>
      <selection pane="bottomLeft" activeCell="H124" sqref="H12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115720</v>
      </c>
      <c r="G10" s="34">
        <v>1910.77</v>
      </c>
      <c r="H10" s="34">
        <v>21.13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170000</v>
      </c>
      <c r="G11" s="34">
        <v>1697.11</v>
      </c>
      <c r="H11" s="34">
        <v>18.77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105500</v>
      </c>
      <c r="G12" s="34">
        <v>654.30999999999995</v>
      </c>
      <c r="H12" s="34">
        <v>7.24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19</v>
      </c>
      <c r="F13" s="33">
        <v>60000</v>
      </c>
      <c r="G13" s="34">
        <v>572.34</v>
      </c>
      <c r="H13" s="34">
        <v>6.33</v>
      </c>
      <c r="I13" s="35"/>
      <c r="J13" s="35"/>
      <c r="K13" s="36"/>
    </row>
    <row r="14" spans="1:55" x14ac:dyDescent="0.3">
      <c r="B14" s="1" t="s">
        <v>29</v>
      </c>
      <c r="C14" s="21" t="s">
        <v>30</v>
      </c>
      <c r="D14" s="31" t="s">
        <v>31</v>
      </c>
      <c r="E14" s="32" t="s">
        <v>19</v>
      </c>
      <c r="F14" s="33">
        <v>28900</v>
      </c>
      <c r="G14" s="34">
        <v>536.54</v>
      </c>
      <c r="H14" s="34">
        <v>5.93</v>
      </c>
      <c r="I14" s="35"/>
      <c r="J14" s="35"/>
      <c r="K14" s="36"/>
    </row>
    <row r="15" spans="1:55" x14ac:dyDescent="0.3">
      <c r="B15" s="1" t="s">
        <v>32</v>
      </c>
      <c r="C15" s="21" t="s">
        <v>33</v>
      </c>
      <c r="D15" s="31" t="s">
        <v>34</v>
      </c>
      <c r="E15" s="32" t="s">
        <v>35</v>
      </c>
      <c r="F15" s="33">
        <v>4400</v>
      </c>
      <c r="G15" s="34">
        <v>321.20999999999998</v>
      </c>
      <c r="H15" s="34">
        <v>3.55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22500</v>
      </c>
      <c r="G16" s="34">
        <v>318.99</v>
      </c>
      <c r="H16" s="34">
        <v>3.53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35</v>
      </c>
      <c r="F17" s="33">
        <v>12500</v>
      </c>
      <c r="G17" s="34">
        <v>199.79</v>
      </c>
      <c r="H17" s="34">
        <v>2.21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35</v>
      </c>
      <c r="F18" s="33">
        <v>15000</v>
      </c>
      <c r="G18" s="34">
        <v>169.82</v>
      </c>
      <c r="H18" s="34">
        <v>1.88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19</v>
      </c>
      <c r="F19" s="33">
        <v>130000</v>
      </c>
      <c r="G19" s="34">
        <v>161.13999999999999</v>
      </c>
      <c r="H19" s="34">
        <v>1.78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19</v>
      </c>
      <c r="F20" s="33">
        <v>40000</v>
      </c>
      <c r="G20" s="34">
        <v>138.76</v>
      </c>
      <c r="H20" s="34">
        <v>1.53</v>
      </c>
      <c r="I20" s="35"/>
      <c r="J20" s="35"/>
      <c r="K20" s="36"/>
    </row>
    <row r="21" spans="2:11" x14ac:dyDescent="0.3">
      <c r="B21" s="1" t="s">
        <v>51</v>
      </c>
      <c r="C21" s="21" t="s">
        <v>52</v>
      </c>
      <c r="D21" s="31" t="s">
        <v>53</v>
      </c>
      <c r="E21" s="32" t="s">
        <v>19</v>
      </c>
      <c r="F21" s="33">
        <v>100000</v>
      </c>
      <c r="G21" s="34">
        <v>135.65</v>
      </c>
      <c r="H21" s="34">
        <v>1.5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35</v>
      </c>
      <c r="F22" s="33">
        <v>5000</v>
      </c>
      <c r="G22" s="34">
        <v>132.38999999999999</v>
      </c>
      <c r="H22" s="34">
        <v>1.46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9500</v>
      </c>
      <c r="G23" s="34">
        <v>131.62</v>
      </c>
      <c r="H23" s="34">
        <v>1.46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35</v>
      </c>
      <c r="F24" s="33">
        <v>50000</v>
      </c>
      <c r="G24" s="34">
        <v>130.69999999999999</v>
      </c>
      <c r="H24" s="34">
        <v>1.45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35</v>
      </c>
      <c r="F25" s="33">
        <v>9500</v>
      </c>
      <c r="G25" s="34">
        <v>128.29</v>
      </c>
      <c r="H25" s="34">
        <v>1.42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35</v>
      </c>
      <c r="F26" s="33">
        <v>17080</v>
      </c>
      <c r="G26" s="34">
        <v>125.12</v>
      </c>
      <c r="H26" s="34">
        <v>1.38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19</v>
      </c>
      <c r="F27" s="33">
        <v>125000</v>
      </c>
      <c r="G27" s="34">
        <v>118.44</v>
      </c>
      <c r="H27" s="34">
        <v>1.31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76</v>
      </c>
      <c r="F28" s="33">
        <v>15000</v>
      </c>
      <c r="G28" s="34">
        <v>109.73</v>
      </c>
      <c r="H28" s="34">
        <v>1.21</v>
      </c>
      <c r="I28" s="35"/>
      <c r="J28" s="35"/>
      <c r="K28" s="36"/>
    </row>
    <row r="29" spans="2:11" x14ac:dyDescent="0.3">
      <c r="B29" s="1" t="s">
        <v>77</v>
      </c>
      <c r="C29" s="21" t="s">
        <v>78</v>
      </c>
      <c r="D29" s="31" t="s">
        <v>79</v>
      </c>
      <c r="E29" s="32" t="s">
        <v>35</v>
      </c>
      <c r="F29" s="33">
        <v>7000</v>
      </c>
      <c r="G29" s="34">
        <v>101.94</v>
      </c>
      <c r="H29" s="34">
        <v>1.1299999999999999</v>
      </c>
      <c r="I29" s="35"/>
      <c r="J29" s="35"/>
      <c r="K29" s="36"/>
    </row>
    <row r="30" spans="2:11" x14ac:dyDescent="0.3">
      <c r="B30" s="1" t="s">
        <v>80</v>
      </c>
      <c r="C30" s="21" t="s">
        <v>81</v>
      </c>
      <c r="D30" s="31" t="s">
        <v>82</v>
      </c>
      <c r="E30" s="32" t="s">
        <v>35</v>
      </c>
      <c r="F30" s="33">
        <v>15550</v>
      </c>
      <c r="G30" s="34">
        <v>98.71</v>
      </c>
      <c r="H30" s="34">
        <v>1.0900000000000001</v>
      </c>
      <c r="I30" s="35"/>
      <c r="J30" s="35"/>
      <c r="K30" s="36"/>
    </row>
    <row r="31" spans="2:11" x14ac:dyDescent="0.3">
      <c r="B31" s="1" t="s">
        <v>83</v>
      </c>
      <c r="C31" s="21" t="s">
        <v>84</v>
      </c>
      <c r="D31" s="31" t="s">
        <v>85</v>
      </c>
      <c r="E31" s="32" t="s">
        <v>60</v>
      </c>
      <c r="F31" s="33">
        <v>17000</v>
      </c>
      <c r="G31" s="34">
        <v>98.52</v>
      </c>
      <c r="H31" s="34">
        <v>1.0900000000000001</v>
      </c>
      <c r="I31" s="35"/>
      <c r="J31" s="35"/>
      <c r="K31" s="36"/>
    </row>
    <row r="32" spans="2:11" x14ac:dyDescent="0.3">
      <c r="B32" s="1" t="s">
        <v>86</v>
      </c>
      <c r="C32" s="21" t="s">
        <v>87</v>
      </c>
      <c r="D32" s="31" t="s">
        <v>88</v>
      </c>
      <c r="E32" s="32" t="s">
        <v>60</v>
      </c>
      <c r="F32" s="33">
        <v>15000</v>
      </c>
      <c r="G32" s="34">
        <v>97.03</v>
      </c>
      <c r="H32" s="34">
        <v>1.07</v>
      </c>
      <c r="I32" s="35"/>
      <c r="J32" s="35"/>
      <c r="K32" s="36"/>
    </row>
    <row r="33" spans="2:11" x14ac:dyDescent="0.3">
      <c r="B33" s="1" t="s">
        <v>89</v>
      </c>
      <c r="C33" s="21" t="s">
        <v>90</v>
      </c>
      <c r="D33" s="31" t="s">
        <v>91</v>
      </c>
      <c r="E33" s="32" t="s">
        <v>35</v>
      </c>
      <c r="F33" s="33">
        <v>9500</v>
      </c>
      <c r="G33" s="34">
        <v>96.12</v>
      </c>
      <c r="H33" s="34">
        <v>1.06</v>
      </c>
      <c r="I33" s="35"/>
      <c r="J33" s="35"/>
      <c r="K33" s="36"/>
    </row>
    <row r="34" spans="2:11" x14ac:dyDescent="0.3">
      <c r="B34" s="1" t="s">
        <v>92</v>
      </c>
      <c r="C34" s="21" t="s">
        <v>93</v>
      </c>
      <c r="D34" s="31" t="s">
        <v>94</v>
      </c>
      <c r="E34" s="32" t="s">
        <v>35</v>
      </c>
      <c r="F34" s="33">
        <v>5000</v>
      </c>
      <c r="G34" s="34">
        <v>94.66</v>
      </c>
      <c r="H34" s="34">
        <v>1.05</v>
      </c>
      <c r="I34" s="35"/>
      <c r="J34" s="35"/>
      <c r="K34" s="36"/>
    </row>
    <row r="35" spans="2:11" x14ac:dyDescent="0.3">
      <c r="B35" s="1" t="s">
        <v>95</v>
      </c>
      <c r="C35" s="21" t="s">
        <v>96</v>
      </c>
      <c r="D35" s="31" t="s">
        <v>97</v>
      </c>
      <c r="E35" s="32" t="s">
        <v>60</v>
      </c>
      <c r="F35" s="33">
        <v>7000</v>
      </c>
      <c r="G35" s="34">
        <v>89.75</v>
      </c>
      <c r="H35" s="34">
        <v>0.99</v>
      </c>
      <c r="I35" s="35"/>
      <c r="J35" s="35"/>
      <c r="K35" s="36"/>
    </row>
    <row r="36" spans="2:11" x14ac:dyDescent="0.3">
      <c r="B36" s="1" t="s">
        <v>98</v>
      </c>
      <c r="C36" s="21" t="s">
        <v>17</v>
      </c>
      <c r="D36" s="31" t="s">
        <v>99</v>
      </c>
      <c r="E36" s="32" t="s">
        <v>19</v>
      </c>
      <c r="F36" s="33">
        <v>9600</v>
      </c>
      <c r="G36" s="34">
        <v>56.75</v>
      </c>
      <c r="H36" s="34">
        <v>0.63</v>
      </c>
      <c r="I36" s="35"/>
      <c r="J36" s="35"/>
      <c r="K36" s="36" t="s">
        <v>100</v>
      </c>
    </row>
    <row r="37" spans="2:11" x14ac:dyDescent="0.3">
      <c r="C37" s="30" t="s">
        <v>101</v>
      </c>
      <c r="D37" s="31"/>
      <c r="E37" s="32"/>
      <c r="F37" s="33"/>
      <c r="G37" s="38">
        <v>8426.2000000000007</v>
      </c>
      <c r="H37" s="38">
        <v>93.18</v>
      </c>
      <c r="I37" s="35"/>
      <c r="J37" s="35"/>
      <c r="K37" s="36"/>
    </row>
    <row r="38" spans="2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2:11" x14ac:dyDescent="0.3">
      <c r="C39" s="30" t="s">
        <v>102</v>
      </c>
      <c r="D39" s="31"/>
      <c r="E39" s="32"/>
      <c r="F39" s="33"/>
      <c r="G39" s="34" t="s">
        <v>103</v>
      </c>
      <c r="H39" s="34" t="s">
        <v>103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104</v>
      </c>
      <c r="D41" s="31"/>
      <c r="E41" s="32"/>
      <c r="F41" s="33"/>
      <c r="G41" s="34" t="s">
        <v>103</v>
      </c>
      <c r="H41" s="34" t="s">
        <v>103</v>
      </c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105</v>
      </c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106</v>
      </c>
      <c r="D45" s="31"/>
      <c r="E45" s="32"/>
      <c r="F45" s="33"/>
      <c r="G45" s="34" t="s">
        <v>103</v>
      </c>
      <c r="H45" s="34" t="s">
        <v>103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107</v>
      </c>
      <c r="D47" s="31"/>
      <c r="E47" s="32"/>
      <c r="F47" s="33"/>
      <c r="G47" s="34" t="s">
        <v>103</v>
      </c>
      <c r="H47" s="34" t="s">
        <v>103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108</v>
      </c>
      <c r="D49" s="31"/>
      <c r="E49" s="32"/>
      <c r="F49" s="33"/>
      <c r="G49" s="34" t="s">
        <v>103</v>
      </c>
      <c r="H49" s="34" t="s">
        <v>103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109</v>
      </c>
      <c r="D51" s="31"/>
      <c r="E51" s="32"/>
      <c r="F51" s="33"/>
      <c r="G51" s="34" t="s">
        <v>103</v>
      </c>
      <c r="H51" s="34" t="s">
        <v>103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110</v>
      </c>
      <c r="D53" s="31"/>
      <c r="E53" s="32"/>
      <c r="F53" s="33"/>
      <c r="G53" s="34" t="s">
        <v>103</v>
      </c>
      <c r="H53" s="34" t="s">
        <v>103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A55" s="28"/>
      <c r="B55" s="29"/>
      <c r="C55" s="30" t="s">
        <v>111</v>
      </c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A56" s="29"/>
      <c r="B56" s="29"/>
      <c r="C56" s="30" t="s">
        <v>112</v>
      </c>
      <c r="D56" s="31"/>
      <c r="E56" s="32"/>
      <c r="F56" s="33"/>
      <c r="G56" s="34" t="s">
        <v>103</v>
      </c>
      <c r="H56" s="34" t="s">
        <v>103</v>
      </c>
      <c r="I56" s="35"/>
      <c r="J56" s="35"/>
      <c r="K56" s="36"/>
    </row>
    <row r="57" spans="1:11" x14ac:dyDescent="0.3">
      <c r="A57" s="29"/>
      <c r="B57" s="29"/>
      <c r="C57" s="30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9"/>
      <c r="B58" s="29"/>
      <c r="C58" s="30" t="s">
        <v>113</v>
      </c>
      <c r="D58" s="31"/>
      <c r="E58" s="32"/>
      <c r="F58" s="33"/>
      <c r="G58" s="34" t="s">
        <v>103</v>
      </c>
      <c r="H58" s="34" t="s">
        <v>103</v>
      </c>
      <c r="I58" s="35"/>
      <c r="J58" s="35"/>
      <c r="K58" s="36"/>
    </row>
    <row r="59" spans="1:11" x14ac:dyDescent="0.3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7" t="s">
        <v>114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B61" s="1" t="s">
        <v>115</v>
      </c>
      <c r="C61" s="21" t="s">
        <v>116</v>
      </c>
      <c r="D61" s="31" t="s">
        <v>117</v>
      </c>
      <c r="E61" s="32" t="s">
        <v>118</v>
      </c>
      <c r="F61" s="33">
        <v>50000</v>
      </c>
      <c r="G61" s="34">
        <v>49.73</v>
      </c>
      <c r="H61" s="34">
        <v>0.55000000000000004</v>
      </c>
      <c r="I61" s="35">
        <v>6.6204000000000001</v>
      </c>
      <c r="J61" s="35"/>
      <c r="K61" s="36"/>
    </row>
    <row r="62" spans="1:11" x14ac:dyDescent="0.3">
      <c r="C62" s="30" t="s">
        <v>101</v>
      </c>
      <c r="D62" s="31"/>
      <c r="E62" s="32"/>
      <c r="F62" s="33"/>
      <c r="G62" s="38">
        <v>49.73</v>
      </c>
      <c r="H62" s="38">
        <v>0.55000000000000004</v>
      </c>
      <c r="I62" s="35"/>
      <c r="J62" s="35"/>
      <c r="K62" s="36"/>
    </row>
    <row r="63" spans="1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C64" s="30" t="s">
        <v>119</v>
      </c>
      <c r="D64" s="31"/>
      <c r="E64" s="32"/>
      <c r="F64" s="33"/>
      <c r="G64" s="34" t="s">
        <v>103</v>
      </c>
      <c r="H64" s="34" t="s">
        <v>103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120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121</v>
      </c>
      <c r="D67" s="31"/>
      <c r="E67" s="32"/>
      <c r="F67" s="33"/>
      <c r="G67" s="34" t="s">
        <v>103</v>
      </c>
      <c r="H67" s="34" t="s">
        <v>103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122</v>
      </c>
      <c r="D69" s="31"/>
      <c r="E69" s="32"/>
      <c r="F69" s="33"/>
      <c r="G69" s="34" t="s">
        <v>103</v>
      </c>
      <c r="H69" s="34" t="s">
        <v>103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123</v>
      </c>
      <c r="D71" s="31"/>
      <c r="E71" s="32"/>
      <c r="F71" s="33"/>
      <c r="G71" s="34" t="s">
        <v>103</v>
      </c>
      <c r="H71" s="34" t="s">
        <v>103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124</v>
      </c>
      <c r="D73" s="31"/>
      <c r="E73" s="32"/>
      <c r="F73" s="33"/>
      <c r="G73" s="34" t="s">
        <v>103</v>
      </c>
      <c r="H73" s="34" t="s">
        <v>103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7" t="s">
        <v>125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126</v>
      </c>
      <c r="C76" s="21" t="s">
        <v>127</v>
      </c>
      <c r="D76" s="31"/>
      <c r="E76" s="32"/>
      <c r="F76" s="33"/>
      <c r="G76" s="34">
        <v>444.49</v>
      </c>
      <c r="H76" s="34">
        <v>4.92</v>
      </c>
      <c r="I76" s="35">
        <v>6.37</v>
      </c>
      <c r="J76" s="35"/>
      <c r="K76" s="36"/>
    </row>
    <row r="77" spans="1:11" x14ac:dyDescent="0.3">
      <c r="C77" s="30" t="s">
        <v>101</v>
      </c>
      <c r="D77" s="31"/>
      <c r="E77" s="32"/>
      <c r="F77" s="33"/>
      <c r="G77" s="38">
        <v>444.49</v>
      </c>
      <c r="H77" s="38">
        <v>4.92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128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/>
      <c r="C80" s="21" t="s">
        <v>129</v>
      </c>
      <c r="D80" s="31"/>
      <c r="E80" s="32"/>
      <c r="F80" s="33"/>
      <c r="G80" s="34">
        <v>123.06</v>
      </c>
      <c r="H80" s="34">
        <v>1.35</v>
      </c>
      <c r="I80" s="35"/>
      <c r="J80" s="35"/>
      <c r="K80" s="36"/>
    </row>
    <row r="81" spans="3:55" x14ac:dyDescent="0.3">
      <c r="C81" s="30" t="s">
        <v>101</v>
      </c>
      <c r="D81" s="31"/>
      <c r="E81" s="32"/>
      <c r="F81" s="33"/>
      <c r="G81" s="38">
        <v>123.06</v>
      </c>
      <c r="H81" s="38">
        <v>1.35</v>
      </c>
      <c r="I81" s="35"/>
      <c r="J81" s="35"/>
      <c r="K81" s="36"/>
    </row>
    <row r="82" spans="3:55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55" ht="14.4" thickBot="1" x14ac:dyDescent="0.35">
      <c r="C83" s="39" t="s">
        <v>130</v>
      </c>
      <c r="D83" s="40"/>
      <c r="E83" s="41"/>
      <c r="F83" s="42"/>
      <c r="G83" s="43">
        <v>9043.48</v>
      </c>
      <c r="H83" s="43">
        <f>SUMIFS(H:H,C:C,"Total")</f>
        <v>100</v>
      </c>
      <c r="I83" s="44"/>
      <c r="J83" s="44"/>
      <c r="K83" s="45"/>
    </row>
    <row r="86" spans="3:55" x14ac:dyDescent="0.3">
      <c r="C86" s="11" t="s">
        <v>131</v>
      </c>
    </row>
    <row r="87" spans="3:55" x14ac:dyDescent="0.3">
      <c r="C87" s="2" t="s">
        <v>132</v>
      </c>
    </row>
    <row r="88" spans="3:55" x14ac:dyDescent="0.3">
      <c r="C88" s="46" t="s">
        <v>133</v>
      </c>
    </row>
    <row r="89" spans="3:55" x14ac:dyDescent="0.3">
      <c r="C89" s="2" t="s">
        <v>134</v>
      </c>
    </row>
    <row r="90" spans="3:55" x14ac:dyDescent="0.3">
      <c r="C90" s="2" t="s">
        <v>135</v>
      </c>
    </row>
    <row r="91" spans="3:55" x14ac:dyDescent="0.3">
      <c r="C91" s="2" t="s">
        <v>136</v>
      </c>
      <c r="D91" s="47"/>
      <c r="E91" s="47"/>
      <c r="F91" s="47"/>
      <c r="G91" s="48"/>
      <c r="H91" s="48"/>
    </row>
    <row r="92" spans="3:55" x14ac:dyDescent="0.3">
      <c r="C92" s="2" t="s">
        <v>137</v>
      </c>
    </row>
    <row r="93" spans="3:55" x14ac:dyDescent="0.3">
      <c r="C93" s="2" t="s">
        <v>138</v>
      </c>
    </row>
    <row r="94" spans="3:55" x14ac:dyDescent="0.3">
      <c r="C94" s="2" t="s">
        <v>139</v>
      </c>
    </row>
    <row r="95" spans="3:55" x14ac:dyDescent="0.3">
      <c r="C95" s="2" t="s">
        <v>140</v>
      </c>
    </row>
    <row r="96" spans="3:55" s="11" customFormat="1" x14ac:dyDescent="0.3">
      <c r="C96" s="11" t="s">
        <v>141</v>
      </c>
      <c r="E96" s="11" t="s">
        <v>142</v>
      </c>
      <c r="F96" s="49" t="s">
        <v>143</v>
      </c>
      <c r="G96" s="50"/>
      <c r="H96" s="50"/>
      <c r="I96" s="50"/>
      <c r="J96" s="50"/>
      <c r="K96" s="51"/>
      <c r="L96" s="51"/>
      <c r="M96" s="51"/>
      <c r="AJ96" s="51"/>
      <c r="AW96" s="51"/>
      <c r="AY96" s="51"/>
      <c r="BC96" s="51"/>
    </row>
    <row r="97" spans="3:6" x14ac:dyDescent="0.3">
      <c r="C97" s="2" t="s">
        <v>144</v>
      </c>
      <c r="E97" s="52">
        <v>18.023900000000001</v>
      </c>
      <c r="F97" s="53">
        <v>18.514399999999998</v>
      </c>
    </row>
    <row r="98" spans="3:6" x14ac:dyDescent="0.3">
      <c r="C98" s="2" t="s">
        <v>145</v>
      </c>
      <c r="E98" s="52">
        <v>33.424799999999998</v>
      </c>
      <c r="F98" s="53">
        <v>34.334400000000002</v>
      </c>
    </row>
    <row r="99" spans="3:6" x14ac:dyDescent="0.3">
      <c r="C99" s="2" t="s">
        <v>146</v>
      </c>
      <c r="E99" s="52">
        <v>20.029299999999999</v>
      </c>
      <c r="F99" s="53">
        <v>20.592500000000001</v>
      </c>
    </row>
    <row r="100" spans="3:6" x14ac:dyDescent="0.3">
      <c r="C100" s="2" t="s">
        <v>147</v>
      </c>
      <c r="E100" s="52">
        <v>36.355200000000004</v>
      </c>
      <c r="F100" s="53">
        <v>37.377400000000002</v>
      </c>
    </row>
    <row r="102" spans="3:6" x14ac:dyDescent="0.3">
      <c r="C102" s="2" t="s">
        <v>148</v>
      </c>
    </row>
    <row r="104" spans="3:6" x14ac:dyDescent="0.3">
      <c r="C104" s="2" t="s">
        <v>149</v>
      </c>
    </row>
    <row r="105" spans="3:6" x14ac:dyDescent="0.3">
      <c r="C105" s="2" t="s">
        <v>150</v>
      </c>
    </row>
    <row r="106" spans="3:6" x14ac:dyDescent="0.3">
      <c r="C106" s="2" t="s">
        <v>151</v>
      </c>
    </row>
    <row r="107" spans="3:6" x14ac:dyDescent="0.3">
      <c r="C107" s="2" t="s">
        <v>152</v>
      </c>
    </row>
    <row r="108" spans="3:6" x14ac:dyDescent="0.3">
      <c r="C108" s="2" t="s">
        <v>153</v>
      </c>
    </row>
    <row r="109" spans="3:6" x14ac:dyDescent="0.3">
      <c r="C109" s="2" t="s">
        <v>154</v>
      </c>
    </row>
    <row r="110" spans="3:6" x14ac:dyDescent="0.3">
      <c r="C110" s="2" t="s">
        <v>155</v>
      </c>
    </row>
    <row r="111" spans="3:6" x14ac:dyDescent="0.3">
      <c r="C111" s="2" t="s">
        <v>156</v>
      </c>
    </row>
    <row r="112" spans="3:6" x14ac:dyDescent="0.3">
      <c r="C112" s="2" t="s">
        <v>157</v>
      </c>
    </row>
    <row r="113" spans="3:11" x14ac:dyDescent="0.3">
      <c r="C113" s="2" t="s">
        <v>158</v>
      </c>
    </row>
    <row r="114" spans="3:11" x14ac:dyDescent="0.3">
      <c r="C114" s="2" t="s">
        <v>159</v>
      </c>
    </row>
    <row r="115" spans="3:11" x14ac:dyDescent="0.3">
      <c r="C115" s="2" t="s">
        <v>160</v>
      </c>
    </row>
    <row r="116" spans="3:11" ht="14.4" x14ac:dyDescent="0.3">
      <c r="C116" s="54"/>
      <c r="D116" s="54"/>
      <c r="E116" s="55"/>
      <c r="F116" s="55"/>
      <c r="G116" s="55"/>
      <c r="H116" s="55"/>
      <c r="I116" s="55"/>
      <c r="J116" s="55"/>
      <c r="K116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BS</vt:lpstr>
      <vt:lpstr>XDO_?CLASS_3?23?</vt:lpstr>
      <vt:lpstr>XDO_?FINAL_ISIN?107?</vt:lpstr>
      <vt:lpstr>XDO_?FINAL_ISIN?108?</vt:lpstr>
      <vt:lpstr>XDO_?FINAL_ISIN?109?</vt:lpstr>
      <vt:lpstr>XDO_?FINAL_ISIN?110?</vt:lpstr>
      <vt:lpstr>XDO_?FINAL_MV?107?</vt:lpstr>
      <vt:lpstr>XDO_?FINAL_MV?108?</vt:lpstr>
      <vt:lpstr>XDO_?FINAL_MV?109?</vt:lpstr>
      <vt:lpstr>XDO_?FINAL_MV?110?</vt:lpstr>
      <vt:lpstr>XDO_?FINAL_NAME?107?</vt:lpstr>
      <vt:lpstr>XDO_?FINAL_NAME?108?</vt:lpstr>
      <vt:lpstr>XDO_?FINAL_NAME?109?</vt:lpstr>
      <vt:lpstr>XDO_?FINAL_NAME?110?</vt:lpstr>
      <vt:lpstr>XDO_?FINAL_PER_NET?107?</vt:lpstr>
      <vt:lpstr>XDO_?FINAL_PER_NET?108?</vt:lpstr>
      <vt:lpstr>XDO_?FINAL_PER_NET?109?</vt:lpstr>
      <vt:lpstr>XDO_?FINAL_PER_NET?110?</vt:lpstr>
      <vt:lpstr>XDO_?FINAL_QUANTITE?107?</vt:lpstr>
      <vt:lpstr>XDO_?FINAL_QUANTITE?108?</vt:lpstr>
      <vt:lpstr>XDO_?FINAL_QUANTITE?109?</vt:lpstr>
      <vt:lpstr>XDO_?FINAL_QUANTITE?110?</vt:lpstr>
      <vt:lpstr>XDO_?NAMCNAME?23?</vt:lpstr>
      <vt:lpstr>XDO_?NOVAL?107?</vt:lpstr>
      <vt:lpstr>XDO_?NOVAL?108?</vt:lpstr>
      <vt:lpstr>XDO_?NOVAL?109?</vt:lpstr>
      <vt:lpstr>XDO_?NOVAL?110?</vt:lpstr>
      <vt:lpstr>XDO_?NPTF?23?</vt:lpstr>
      <vt:lpstr>XDO_?RATING?107?</vt:lpstr>
      <vt:lpstr>XDO_?RATING?108?</vt:lpstr>
      <vt:lpstr>XDO_?RATING?109?</vt:lpstr>
      <vt:lpstr>XDO_?RATING?110?</vt:lpstr>
      <vt:lpstr>XDO_?REMARKS?107?</vt:lpstr>
      <vt:lpstr>XDO_?REMARKS?108?</vt:lpstr>
      <vt:lpstr>XDO_?REMARKS?109?</vt:lpstr>
      <vt:lpstr>XDO_?REMARKS?110?</vt:lpstr>
      <vt:lpstr>XDO_?TITL?23?</vt:lpstr>
      <vt:lpstr>XDO_?YTM?107?</vt:lpstr>
      <vt:lpstr>XDO_?YTM?108?</vt:lpstr>
      <vt:lpstr>XDO_?YTM?109?</vt:lpstr>
      <vt:lpstr>XDO_?YTM?110?</vt:lpstr>
      <vt:lpstr>XDO_GROUP_?G_2?23?</vt:lpstr>
      <vt:lpstr>XDO_GROUP_?G_3?23?</vt:lpstr>
      <vt:lpstr>XDO_GROUP_?G_4?107?</vt:lpstr>
      <vt:lpstr>XDO_GROUP_?G_4?108?</vt:lpstr>
      <vt:lpstr>XDO_GROUP_?G_4?109?</vt:lpstr>
      <vt:lpstr>XDO_GROUP_?G_4?110?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2023-08-07T09:10:39Z</dcterms:created>
  <dcterms:modified xsi:type="dcterms:W3CDTF">2023-08-07T10:36:17Z</dcterms:modified>
</cp:coreProperties>
</file>