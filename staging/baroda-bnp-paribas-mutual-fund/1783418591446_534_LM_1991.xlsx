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5DDCE3E6-06AD-48A8-BAE3-B8CE5FC6F0A4}" xr6:coauthVersionLast="47" xr6:coauthVersionMax="47" xr10:uidLastSave="{00000000-0000-0000-0000-000000000000}"/>
  <bookViews>
    <workbookView xWindow="-108" yWindow="-108" windowWidth="23256" windowHeight="12576" xr2:uid="{05C7C42D-EC63-45D3-BCCF-CAC89A2A8B13}"/>
  </bookViews>
  <sheets>
    <sheet name="LM" sheetId="1" r:id="rId1"/>
  </sheets>
  <externalReferences>
    <externalReference r:id="rId2"/>
  </externalReferences>
  <definedNames>
    <definedName name="XDO_?CLASS_3?27?">LM!$C$8:$C$48</definedName>
    <definedName name="XDO_?FINAL_ISIN?126?">LM!$D$10:$D$48</definedName>
    <definedName name="XDO_?FINAL_ISIN?127?">LM!$D$10:$D$87</definedName>
    <definedName name="XDO_?FINAL_ISIN?128?">LM!$D$10:$D$91</definedName>
    <definedName name="XDO_?FINAL_MV?126?">LM!$G$10:$G$48</definedName>
    <definedName name="XDO_?FINAL_MV?127?">LM!$G$10:$G$87</definedName>
    <definedName name="XDO_?FINAL_MV?128?">LM!$G$10:$G$91</definedName>
    <definedName name="XDO_?FINAL_NAME?126?">LM!$C$10:$C$48</definedName>
    <definedName name="XDO_?FINAL_NAME?127?">LM!$C$10:$C$87</definedName>
    <definedName name="XDO_?FINAL_NAME?128?">LM!$C$10:$C$91</definedName>
    <definedName name="XDO_?FINAL_PER_NET?126?">LM!$H$10:$H$48</definedName>
    <definedName name="XDO_?FINAL_PER_NET?127?">LM!$H$10:$H$87</definedName>
    <definedName name="XDO_?FINAL_PER_NET?128?">LM!$H$10:$H$91</definedName>
    <definedName name="XDO_?FINAL_QUANTITE?126?">LM!$F$10:$F$48</definedName>
    <definedName name="XDO_?FINAL_QUANTITE?127?">LM!$F$10:$F$87</definedName>
    <definedName name="XDO_?FINAL_QUANTITE?128?">LM!$F$10:$F$91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7?">LM!$C$2:$C$48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26?">LM!$B$10:$B$48</definedName>
    <definedName name="XDO_?NOVAL?127?">LM!$B$10:$B$87</definedName>
    <definedName name="XDO_?NOVAL?128?">LM!$B$10:$B$91</definedName>
    <definedName name="XDO_?NPTF?27?">LM!$D$2:$D$48</definedName>
    <definedName name="XDO_?RATING?126?">LM!$E$10:$E$48</definedName>
    <definedName name="XDO_?RATING?127?">LM!$E$10:$E$87</definedName>
    <definedName name="XDO_?RATING?128?">LM!$E$10:$E$91</definedName>
    <definedName name="XDO_?REMARKS?126?">LM!$K$10:$K$48</definedName>
    <definedName name="XDO_?REMARKS?127?">LM!$K$10:$K$87</definedName>
    <definedName name="XDO_?REMARKS?128?">LM!$K$10:$K$91</definedName>
    <definedName name="XDO_?TITL?27?">LM!$A$8:$A$48</definedName>
    <definedName name="XDO_?YTM?126?">LM!$I$10:$I$48</definedName>
    <definedName name="XDO_?YTM?127?">LM!$I$10:$I$87</definedName>
    <definedName name="XDO_?YTM?128?">LM!$I$10:$I$91</definedName>
    <definedName name="XDO_GROUP_?G_2?27?">LM!$2:$59</definedName>
    <definedName name="XDO_GROUP_?G_3?27?">LM!$8:$58</definedName>
    <definedName name="XDO_GROUP_?G_4?126?">LM!$B$10:$IV$48</definedName>
    <definedName name="XDO_GROUP_?G_4?127?">LM!$B$53:$IV$53</definedName>
    <definedName name="XDO_GROUP_?G_4?128?">LM!$B$56:$IV$56</definedName>
    <definedName name="XDO_GROUP_?G_4?28?">[1]TA!#REF!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<sst xmlns="http://schemas.openxmlformats.org/spreadsheetml/2006/main" count="259" uniqueCount="210">
  <si>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</si>
  <si>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</si>
  <si>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</si>
  <si>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</si>
  <si>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</si>
  <si>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</si>
  <si>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</si>
  <si>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</si>
  <si>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</si>
  <si>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</si>
  <si>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</si>
  <si>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</si>
  <si>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</si>
  <si>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</si>
  <si>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</si>
  <si>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</si>
  <si>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</si>
  <si>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</si>
  <si>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</si>
  <si>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</si>
  <si>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</si>
  <si>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</si>
  <si>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</si>
  <si>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</si>
  <si>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</si>
  <si>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</si>
  <si>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</si>
  <si>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</si>
  <si>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100286</t>
  </si>
  <si>
    <t>NHPC Ltd.</t>
  </si>
  <si>
    <t>INE848E01016</t>
  </si>
  <si>
    <t>Power</t>
  </si>
  <si>
    <t>100003</t>
  </si>
  <si>
    <t>Infosys Ltd.</t>
  </si>
  <si>
    <t>INE009A01021</t>
  </si>
  <si>
    <t>100234</t>
  </si>
  <si>
    <t>Coforge Ltd.</t>
  </si>
  <si>
    <t>INE591G01017</t>
  </si>
  <si>
    <t>100161</t>
  </si>
  <si>
    <t>Cummins India Ltd.</t>
  </si>
  <si>
    <t>INE298A01020</t>
  </si>
  <si>
    <t>Industrial Products</t>
  </si>
  <si>
    <t>100019</t>
  </si>
  <si>
    <t>ITC Ltd.</t>
  </si>
  <si>
    <t>INE154A01025</t>
  </si>
  <si>
    <t>Diversified FMCG</t>
  </si>
  <si>
    <t>100843</t>
  </si>
  <si>
    <t>Dalmia Bharat Ltd.</t>
  </si>
  <si>
    <t>INE00R701025</t>
  </si>
  <si>
    <t>Cement &amp; Cement Products</t>
  </si>
  <si>
    <t>100242</t>
  </si>
  <si>
    <t>Schaeffler India Ltd.</t>
  </si>
  <si>
    <t>INE513A01022</t>
  </si>
  <si>
    <t>Auto Components</t>
  </si>
  <si>
    <t>100816</t>
  </si>
  <si>
    <t>APL Apollo Tubes Ltd.</t>
  </si>
  <si>
    <t>INE702C01027</t>
  </si>
  <si>
    <t>100036</t>
  </si>
  <si>
    <t>Mahindra &amp; Mahindra Financial Services Ltd.</t>
  </si>
  <si>
    <t>INE774D01024</t>
  </si>
  <si>
    <t>Finance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</si>
  <si>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</si>
  <si>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</si>
  <si>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</si>
  <si>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</si>
  <si>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</si>
  <si>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</si>
  <si>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</si>
  <si>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100022</t>
  </si>
  <si>
    <t>The Phoenix Mills Ltd.</t>
  </si>
  <si>
    <t>INE211B01039</t>
  </si>
  <si>
    <t>Realty</t>
  </si>
  <si>
    <t>100453</t>
  </si>
  <si>
    <t>RBL Bank Ltd.</t>
  </si>
  <si>
    <t>INE976G01028</t>
  </si>
  <si>
    <t>100024</t>
  </si>
  <si>
    <t>Axis Bank Ltd.</t>
  </si>
  <si>
    <t>INE238A01034</t>
  </si>
  <si>
    <t>100008</t>
  </si>
  <si>
    <t>Sun Pharmaceutical Industries Ltd.</t>
  </si>
  <si>
    <t>INE044A01036</t>
  </si>
  <si>
    <t>Pharmaceuticals &amp; Biotechnology</t>
  </si>
  <si>
    <t>100095</t>
  </si>
  <si>
    <t>Bharti Airtel Ltd.</t>
  </si>
  <si>
    <t>INE397D01024</t>
  </si>
  <si>
    <t>Telecom - Services</t>
  </si>
  <si>
    <t>100035</t>
  </si>
  <si>
    <t>NMDC Ltd.</t>
  </si>
  <si>
    <t>INE584A01023</t>
  </si>
  <si>
    <t>Minerals &amp; Mining</t>
  </si>
  <si>
    <t>100013</t>
  </si>
  <si>
    <t>IndusInd Bank Ltd.</t>
  </si>
  <si>
    <t>INE095A01012</t>
  </si>
  <si>
    <t>100268</t>
  </si>
  <si>
    <t>NLC India Ltd.</t>
  </si>
  <si>
    <t>INE589A01014</t>
  </si>
  <si>
    <t>100222</t>
  </si>
  <si>
    <t>The Indian Hotels Company Ltd.</t>
  </si>
  <si>
    <t>INE053A01029</t>
  </si>
  <si>
    <t>Leisure Services</t>
  </si>
  <si>
    <t>100010</t>
  </si>
  <si>
    <t>State Bank of India</t>
  </si>
  <si>
    <t>INE062A01020</t>
  </si>
  <si>
    <t>100056</t>
  </si>
  <si>
    <t>Supreme Industries Ltd.</t>
  </si>
  <si>
    <t>INE195A01028</t>
  </si>
  <si>
    <t>100739</t>
  </si>
  <si>
    <t>UNO Minda Ltd.</t>
  </si>
  <si>
    <t>INE405E01023</t>
  </si>
  <si>
    <t>100830</t>
  </si>
  <si>
    <t>Varun Beverages Ltd.</t>
  </si>
  <si>
    <t>INE200M01013</t>
  </si>
  <si>
    <t>Beverages</t>
  </si>
  <si>
    <t>100026</t>
  </si>
  <si>
    <t>Persistent Systems Ltd.</t>
  </si>
  <si>
    <t>INE262H01013</t>
  </si>
  <si>
    <t>100386</t>
  </si>
  <si>
    <t>Carborundum Universal Ltd.</t>
  </si>
  <si>
    <t>INE120A01034</t>
  </si>
  <si>
    <t>100106</t>
  </si>
  <si>
    <t>Maruti Suzuki India Ltd.</t>
  </si>
  <si>
    <t>INE585B01010</t>
  </si>
  <si>
    <t>Automobiles</t>
  </si>
  <si>
    <t>100081</t>
  </si>
  <si>
    <t>Titan Company Ltd.</t>
  </si>
  <si>
    <t>INE280A01028</t>
  </si>
  <si>
    <t>Consumer Durables</t>
  </si>
  <si>
    <t>101080</t>
  </si>
  <si>
    <t>JB Chemicals &amp; Pharmaceuticals Ltd.</t>
  </si>
  <si>
    <t>INE572A01028</t>
  </si>
  <si>
    <t>100084</t>
  </si>
  <si>
    <t>ABB India Ltd.</t>
  </si>
  <si>
    <t>INE117A01022</t>
  </si>
  <si>
    <t>Electrical Equipment</t>
  </si>
  <si>
    <t>100942</t>
  </si>
  <si>
    <t>Brigade Enterprises Ltd.</t>
  </si>
  <si>
    <t>INE791I01019</t>
  </si>
  <si>
    <t>100200</t>
  </si>
  <si>
    <t>Page Industries Ltd.</t>
  </si>
  <si>
    <t>INE761H01022</t>
  </si>
  <si>
    <t>Textiles &amp; Apparels</t>
  </si>
  <si>
    <t>100004</t>
  </si>
  <si>
    <t>Zydus Lifesciences Ltd.</t>
  </si>
  <si>
    <t>INE010B01027</t>
  </si>
  <si>
    <t>101390</t>
  </si>
  <si>
    <t>PB Fintech Ltd.</t>
  </si>
  <si>
    <t>INE417T01026</t>
  </si>
  <si>
    <t>Financial Technology (Fintech)</t>
  </si>
  <si>
    <t>100100</t>
  </si>
  <si>
    <t>Hindustan Petroleum Corporation Ltd.</t>
  </si>
  <si>
    <t>INE094A01015</t>
  </si>
  <si>
    <t>100235</t>
  </si>
  <si>
    <t>CRISIL Ltd.</t>
  </si>
  <si>
    <t>INE007A01025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</si>
  <si>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</si>
  <si>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</si>
  <si>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</si>
  <si>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</si>
  <si>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</si>
  <si>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</si>
  <si>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</si>
  <si>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</si>
  <si>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</si>
  <si>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</si>
  <si>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</si>
  <si>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</si>
  <si>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</si>
  <si>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</si>
  <si>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</si>
  <si>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</si>
  <si>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</si>
  <si>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</si>
  <si>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</si>
  <si>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</si>
  <si>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</si>
  <si>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</si>
  <si>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</si>
  <si>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</si>
  <si>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</si>
  <si>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</si>
  <si>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</si>
  <si>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</si>
  <si>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</si>
  <si>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</si>
  <si>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</si>
  <si>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</si>
  <si>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</si>
  <si>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</si>
  <si>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</si>
  <si>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</si>
  <si>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</si>
  <si>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</si>
  <si>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</si>
  <si>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</si>
  <si>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</si>
  <si>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</si>
  <si>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</si>
  <si>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</si>
  <si>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</si>
  <si>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</si>
  <si>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0.15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</si>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</sst>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65598BF7-3FD8-4145-9400-B4C4730ADEDC}"/>
    <cellStyle name="Hyperlink" xfId="2" builtinId="8"/>
    <cellStyle name="Normal" xfId="0" builtinId="0"/>
    <cellStyle name="Normal 2" xfId="4" xr:uid="{00A21A76-F594-4839-A55F-3E7CDB797703}"/>
    <cellStyle name="Style 1" xfId="3" xr:uid="{01ABF301-BEE0-47E1-9461-FD4035E9C6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5</xdr:col>
      <xdr:colOff>504275</xdr:colOff>
      <xdr:row>142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1B2214-5BC2-05FC-1D78-B7DAC183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876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ADA9-2652-4C39-ABC5-4E39C8E2BB30}">
  <dimension ref="A1:BC12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5438.64</v>
      </c>
      <c r="H10" s="34">
        <v>7.6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200000</v>
      </c>
      <c r="G11" s="34">
        <v>4645.1000000000004</v>
      </c>
      <c r="H11" s="34">
        <v>6.49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115000</v>
      </c>
      <c r="G12" s="34">
        <v>3809.78</v>
      </c>
      <c r="H12" s="34">
        <v>5.32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7400000</v>
      </c>
      <c r="G13" s="34">
        <v>2897.1</v>
      </c>
      <c r="H13" s="34">
        <v>4.05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27</v>
      </c>
      <c r="F14" s="33">
        <v>175000</v>
      </c>
      <c r="G14" s="34">
        <v>2603.21</v>
      </c>
      <c r="H14" s="34">
        <v>3.64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27</v>
      </c>
      <c r="F15" s="33">
        <v>55000</v>
      </c>
      <c r="G15" s="34">
        <v>2364.2600000000002</v>
      </c>
      <c r="H15" s="34">
        <v>3.3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150000</v>
      </c>
      <c r="G16" s="34">
        <v>2355.15</v>
      </c>
      <c r="H16" s="34">
        <v>3.29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600000</v>
      </c>
      <c r="G17" s="34">
        <v>2260.1999999999998</v>
      </c>
      <c r="H17" s="34">
        <v>3.16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115000</v>
      </c>
      <c r="G18" s="34">
        <v>2108.9899999999998</v>
      </c>
      <c r="H18" s="34">
        <v>2.95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70000</v>
      </c>
      <c r="G19" s="34">
        <v>2087.3000000000002</v>
      </c>
      <c r="H19" s="34">
        <v>2.92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41</v>
      </c>
      <c r="F20" s="33">
        <v>175000</v>
      </c>
      <c r="G20" s="34">
        <v>2081.19</v>
      </c>
      <c r="H20" s="34">
        <v>2.91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800000</v>
      </c>
      <c r="G21" s="34">
        <v>2014.4</v>
      </c>
      <c r="H21" s="34">
        <v>2.82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19</v>
      </c>
      <c r="F22" s="33">
        <v>235000</v>
      </c>
      <c r="G22" s="34">
        <v>2008.9</v>
      </c>
      <c r="H22" s="34">
        <v>2.81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95000</v>
      </c>
      <c r="G23" s="34">
        <v>2003.69</v>
      </c>
      <c r="H23" s="34">
        <v>2.8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135000</v>
      </c>
      <c r="G24" s="34">
        <v>1867.19</v>
      </c>
      <c r="H24" s="34">
        <v>2.61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19</v>
      </c>
      <c r="F25" s="33">
        <v>1125000</v>
      </c>
      <c r="G25" s="34">
        <v>1753.31</v>
      </c>
      <c r="H25" s="34">
        <v>2.4500000000000002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19</v>
      </c>
      <c r="F26" s="33">
        <v>200000</v>
      </c>
      <c r="G26" s="34">
        <v>1688.2</v>
      </c>
      <c r="H26" s="34">
        <v>2.36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175000</v>
      </c>
      <c r="G27" s="34">
        <v>1674.05</v>
      </c>
      <c r="H27" s="34">
        <v>2.34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225000</v>
      </c>
      <c r="G28" s="34">
        <v>1670.06</v>
      </c>
      <c r="H28" s="34">
        <v>2.33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1500000</v>
      </c>
      <c r="G29" s="34">
        <v>1666.5</v>
      </c>
      <c r="H29" s="34">
        <v>2.33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19</v>
      </c>
      <c r="F30" s="33">
        <v>150000</v>
      </c>
      <c r="G30" s="34">
        <v>1616.55</v>
      </c>
      <c r="H30" s="34">
        <v>2.2599999999999998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31</v>
      </c>
      <c r="F31" s="33">
        <v>2000000</v>
      </c>
      <c r="G31" s="34">
        <v>1577</v>
      </c>
      <c r="H31" s="34">
        <v>2.2000000000000002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500000</v>
      </c>
      <c r="G32" s="34">
        <v>1553.75</v>
      </c>
      <c r="H32" s="34">
        <v>2.17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19</v>
      </c>
      <c r="F33" s="33">
        <v>275000</v>
      </c>
      <c r="G33" s="34">
        <v>1437.7</v>
      </c>
      <c r="H33" s="34">
        <v>2.0099999999999998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41</v>
      </c>
      <c r="F34" s="33">
        <v>50000</v>
      </c>
      <c r="G34" s="34">
        <v>1380.68</v>
      </c>
      <c r="H34" s="34">
        <v>1.93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53</v>
      </c>
      <c r="F35" s="33">
        <v>271837</v>
      </c>
      <c r="G35" s="34">
        <v>1377.81</v>
      </c>
      <c r="H35" s="34">
        <v>1.93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100000</v>
      </c>
      <c r="G36" s="34">
        <v>1300.75</v>
      </c>
      <c r="H36" s="34">
        <v>1.82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27</v>
      </c>
      <c r="F37" s="33">
        <v>25000</v>
      </c>
      <c r="G37" s="34">
        <v>1198.28</v>
      </c>
      <c r="H37" s="34">
        <v>1.67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41</v>
      </c>
      <c r="F38" s="33">
        <v>115000</v>
      </c>
      <c r="G38" s="34">
        <v>1125.74</v>
      </c>
      <c r="H38" s="34">
        <v>1.57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13000</v>
      </c>
      <c r="G39" s="34">
        <v>1121.17</v>
      </c>
      <c r="H39" s="34">
        <v>1.57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45000</v>
      </c>
      <c r="G40" s="34">
        <v>1067.76</v>
      </c>
      <c r="H40" s="34">
        <v>1.49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81</v>
      </c>
      <c r="F41" s="33">
        <v>50000</v>
      </c>
      <c r="G41" s="34">
        <v>969.35</v>
      </c>
      <c r="H41" s="34">
        <v>1.35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30000</v>
      </c>
      <c r="G42" s="34">
        <v>965.21</v>
      </c>
      <c r="H42" s="34">
        <v>1.35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71</v>
      </c>
      <c r="F43" s="33">
        <v>185000</v>
      </c>
      <c r="G43" s="34">
        <v>902.15</v>
      </c>
      <c r="H43" s="34">
        <v>1.26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2000</v>
      </c>
      <c r="G44" s="34">
        <v>759.39</v>
      </c>
      <c r="H44" s="34">
        <v>1.06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81</v>
      </c>
      <c r="F45" s="33">
        <v>150000</v>
      </c>
      <c r="G45" s="34">
        <v>698.7</v>
      </c>
      <c r="H45" s="34">
        <v>0.98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100000</v>
      </c>
      <c r="G46" s="34">
        <v>558.25</v>
      </c>
      <c r="H46" s="34">
        <v>0.78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23</v>
      </c>
      <c r="F47" s="33">
        <v>250000</v>
      </c>
      <c r="G47" s="34">
        <v>538.13</v>
      </c>
      <c r="H47" s="34">
        <v>0.75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60</v>
      </c>
      <c r="F48" s="33">
        <v>14784</v>
      </c>
      <c r="G48" s="34">
        <v>500.76</v>
      </c>
      <c r="H48" s="34">
        <v>0.7</v>
      </c>
      <c r="I48" s="35"/>
      <c r="J48" s="35"/>
      <c r="K48" s="36"/>
    </row>
    <row r="49" spans="3:11" x14ac:dyDescent="0.3">
      <c r="C49" s="30" t="s">
        <v>154</v>
      </c>
      <c r="D49" s="31"/>
      <c r="E49" s="32"/>
      <c r="F49" s="33"/>
      <c r="G49" s="38">
        <v>69646.350000000006</v>
      </c>
      <c r="H49" s="38">
        <v>97.33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155</v>
      </c>
      <c r="D51" s="31"/>
      <c r="E51" s="32"/>
      <c r="F51" s="33"/>
      <c r="G51" s="34" t="s">
        <v>156</v>
      </c>
      <c r="H51" s="34" t="s">
        <v>156</v>
      </c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157</v>
      </c>
      <c r="D53" s="31"/>
      <c r="E53" s="32"/>
      <c r="F53" s="33"/>
      <c r="G53" s="34" t="s">
        <v>156</v>
      </c>
      <c r="H53" s="34" t="s">
        <v>156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158</v>
      </c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159</v>
      </c>
      <c r="D57" s="31"/>
      <c r="E57" s="32"/>
      <c r="F57" s="33"/>
      <c r="G57" s="34" t="s">
        <v>156</v>
      </c>
      <c r="H57" s="34" t="s">
        <v>156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160</v>
      </c>
      <c r="D59" s="31"/>
      <c r="E59" s="32"/>
      <c r="F59" s="33"/>
      <c r="G59" s="34" t="s">
        <v>156</v>
      </c>
      <c r="H59" s="34" t="s">
        <v>156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161</v>
      </c>
      <c r="D61" s="31"/>
      <c r="E61" s="32"/>
      <c r="F61" s="33"/>
      <c r="G61" s="34" t="s">
        <v>156</v>
      </c>
      <c r="H61" s="34" t="s">
        <v>156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162</v>
      </c>
      <c r="D63" s="31"/>
      <c r="E63" s="32"/>
      <c r="F63" s="33"/>
      <c r="G63" s="34" t="s">
        <v>156</v>
      </c>
      <c r="H63" s="34" t="s">
        <v>156</v>
      </c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163</v>
      </c>
      <c r="D65" s="31"/>
      <c r="E65" s="32"/>
      <c r="F65" s="33"/>
      <c r="G65" s="34" t="s">
        <v>156</v>
      </c>
      <c r="H65" s="34" t="s">
        <v>156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164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165</v>
      </c>
      <c r="D69" s="31"/>
      <c r="E69" s="32"/>
      <c r="F69" s="33"/>
      <c r="G69" s="34" t="s">
        <v>156</v>
      </c>
      <c r="H69" s="34" t="s">
        <v>156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166</v>
      </c>
      <c r="D71" s="31"/>
      <c r="E71" s="32"/>
      <c r="F71" s="33"/>
      <c r="G71" s="34" t="s">
        <v>156</v>
      </c>
      <c r="H71" s="34" t="s">
        <v>156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167</v>
      </c>
      <c r="D73" s="31"/>
      <c r="E73" s="32"/>
      <c r="F73" s="33"/>
      <c r="G73" s="34" t="s">
        <v>156</v>
      </c>
      <c r="H73" s="34" t="s">
        <v>156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168</v>
      </c>
      <c r="D75" s="31"/>
      <c r="E75" s="32"/>
      <c r="F75" s="33"/>
      <c r="G75" s="34" t="s">
        <v>156</v>
      </c>
      <c r="H75" s="34" t="s">
        <v>156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169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170</v>
      </c>
      <c r="D78" s="31"/>
      <c r="E78" s="32"/>
      <c r="F78" s="33"/>
      <c r="G78" s="34" t="s">
        <v>156</v>
      </c>
      <c r="H78" s="34" t="s">
        <v>156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171</v>
      </c>
      <c r="D80" s="31"/>
      <c r="E80" s="32"/>
      <c r="F80" s="33"/>
      <c r="G80" s="34" t="s">
        <v>156</v>
      </c>
      <c r="H80" s="34" t="s">
        <v>156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172</v>
      </c>
      <c r="D82" s="31"/>
      <c r="E82" s="32"/>
      <c r="F82" s="33"/>
      <c r="G82" s="34" t="s">
        <v>156</v>
      </c>
      <c r="H82" s="34" t="s">
        <v>156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173</v>
      </c>
      <c r="D84" s="31"/>
      <c r="E84" s="32"/>
      <c r="F84" s="33"/>
      <c r="G84" s="34" t="s">
        <v>156</v>
      </c>
      <c r="H84" s="34" t="s">
        <v>156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174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175</v>
      </c>
      <c r="C87" s="21" t="s">
        <v>176</v>
      </c>
      <c r="D87" s="31"/>
      <c r="E87" s="32"/>
      <c r="F87" s="33"/>
      <c r="G87" s="34">
        <v>3567.5</v>
      </c>
      <c r="H87" s="34">
        <v>4.99</v>
      </c>
      <c r="I87" s="35">
        <v>6.51</v>
      </c>
      <c r="J87" s="35"/>
      <c r="K87" s="36"/>
    </row>
    <row r="88" spans="1:11" x14ac:dyDescent="0.3">
      <c r="C88" s="30" t="s">
        <v>154</v>
      </c>
      <c r="D88" s="31"/>
      <c r="E88" s="32"/>
      <c r="F88" s="33"/>
      <c r="G88" s="38">
        <v>3567.5</v>
      </c>
      <c r="H88" s="38">
        <v>4.99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177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178</v>
      </c>
      <c r="D91" s="31"/>
      <c r="E91" s="32"/>
      <c r="F91" s="33"/>
      <c r="G91" s="34">
        <v>-1665.56</v>
      </c>
      <c r="H91" s="34">
        <v>-2.3200000000000003</v>
      </c>
      <c r="I91" s="35"/>
      <c r="J91" s="35"/>
      <c r="K91" s="36"/>
    </row>
    <row r="92" spans="1:11" x14ac:dyDescent="0.3">
      <c r="C92" s="30" t="s">
        <v>154</v>
      </c>
      <c r="D92" s="31"/>
      <c r="E92" s="32"/>
      <c r="F92" s="33"/>
      <c r="G92" s="38">
        <v>-1665.56</v>
      </c>
      <c r="H92" s="38">
        <v>-2.3200000000000003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179</v>
      </c>
      <c r="D94" s="40"/>
      <c r="E94" s="41"/>
      <c r="F94" s="42"/>
      <c r="G94" s="43">
        <v>71548.289999999994</v>
      </c>
      <c r="H94" s="43">
        <f>SUMIFS(H:H,C:C,"Total")</f>
        <v>100</v>
      </c>
      <c r="I94" s="44"/>
      <c r="J94" s="44"/>
      <c r="K94" s="45"/>
    </row>
    <row r="97" spans="3:55" x14ac:dyDescent="0.3">
      <c r="C97" s="11" t="s">
        <v>180</v>
      </c>
    </row>
    <row r="98" spans="3:55" x14ac:dyDescent="0.3">
      <c r="C98" s="2" t="s">
        <v>181</v>
      </c>
    </row>
    <row r="99" spans="3:55" x14ac:dyDescent="0.3">
      <c r="C99" s="46" t="s">
        <v>182</v>
      </c>
    </row>
    <row r="100" spans="3:55" x14ac:dyDescent="0.3">
      <c r="C100" s="2" t="s">
        <v>183</v>
      </c>
    </row>
    <row r="101" spans="3:55" x14ac:dyDescent="0.3">
      <c r="C101" s="2" t="s">
        <v>184</v>
      </c>
    </row>
    <row r="102" spans="3:55" x14ac:dyDescent="0.3">
      <c r="C102" s="2" t="s">
        <v>185</v>
      </c>
      <c r="D102" s="47"/>
      <c r="E102" s="47"/>
      <c r="F102" s="47"/>
      <c r="G102" s="48"/>
      <c r="H102" s="48"/>
    </row>
    <row r="103" spans="3:55" x14ac:dyDescent="0.3">
      <c r="C103" s="2" t="s">
        <v>186</v>
      </c>
    </row>
    <row r="104" spans="3:55" x14ac:dyDescent="0.3">
      <c r="C104" s="2" t="s">
        <v>187</v>
      </c>
    </row>
    <row r="105" spans="3:55" x14ac:dyDescent="0.3">
      <c r="C105" s="2" t="s">
        <v>188</v>
      </c>
    </row>
    <row r="106" spans="3:55" x14ac:dyDescent="0.3">
      <c r="C106" s="2" t="s">
        <v>189</v>
      </c>
    </row>
    <row r="107" spans="3:55" s="11" customFormat="1" x14ac:dyDescent="0.3">
      <c r="C107" s="11" t="s">
        <v>190</v>
      </c>
      <c r="E107" s="11" t="s">
        <v>191</v>
      </c>
      <c r="F107" s="49" t="s">
        <v>192</v>
      </c>
      <c r="G107" s="50"/>
      <c r="H107" s="50"/>
      <c r="I107" s="50"/>
      <c r="J107" s="50"/>
      <c r="K107" s="51"/>
      <c r="L107" s="51"/>
      <c r="M107" s="51"/>
      <c r="AJ107" s="51"/>
      <c r="AW107" s="51"/>
      <c r="AY107" s="51"/>
      <c r="BC107" s="51"/>
    </row>
    <row r="108" spans="3:55" x14ac:dyDescent="0.3">
      <c r="C108" s="2" t="s">
        <v>193</v>
      </c>
      <c r="E108" s="52">
        <v>15.228400000000001</v>
      </c>
      <c r="F108" s="53">
        <v>15.175599999999999</v>
      </c>
    </row>
    <row r="109" spans="3:55" x14ac:dyDescent="0.3">
      <c r="C109" s="2" t="s">
        <v>194</v>
      </c>
      <c r="E109" s="52">
        <v>16.197099999999999</v>
      </c>
      <c r="F109" s="53">
        <v>16.140999999999998</v>
      </c>
    </row>
    <row r="110" spans="3:55" x14ac:dyDescent="0.3">
      <c r="C110" s="2" t="s">
        <v>195</v>
      </c>
      <c r="E110" s="52">
        <v>16.858899999999998</v>
      </c>
      <c r="F110" s="53">
        <v>16.818300000000001</v>
      </c>
    </row>
    <row r="111" spans="3:55" x14ac:dyDescent="0.3">
      <c r="C111" s="2" t="s">
        <v>196</v>
      </c>
      <c r="E111" s="52">
        <v>16.858899999999998</v>
      </c>
      <c r="F111" s="53">
        <v>16.818300000000001</v>
      </c>
    </row>
    <row r="113" spans="3:11" x14ac:dyDescent="0.3">
      <c r="C113" s="2" t="s">
        <v>197</v>
      </c>
    </row>
    <row r="115" spans="3:11" x14ac:dyDescent="0.3">
      <c r="C115" s="2" t="s">
        <v>198</v>
      </c>
    </row>
    <row r="116" spans="3:11" x14ac:dyDescent="0.3">
      <c r="C116" s="2" t="s">
        <v>199</v>
      </c>
    </row>
    <row r="117" spans="3:11" x14ac:dyDescent="0.3">
      <c r="C117" s="2" t="s">
        <v>200</v>
      </c>
    </row>
    <row r="118" spans="3:11" x14ac:dyDescent="0.3">
      <c r="C118" s="2" t="s">
        <v>201</v>
      </c>
    </row>
    <row r="119" spans="3:11" x14ac:dyDescent="0.3">
      <c r="C119" s="2" t="s">
        <v>202</v>
      </c>
    </row>
    <row r="120" spans="3:11" x14ac:dyDescent="0.3">
      <c r="C120" s="2" t="s">
        <v>203</v>
      </c>
    </row>
    <row r="121" spans="3:11" x14ac:dyDescent="0.3">
      <c r="C121" s="2" t="s">
        <v>204</v>
      </c>
    </row>
    <row r="122" spans="3:11" x14ac:dyDescent="0.3">
      <c r="C122" s="2" t="s">
        <v>205</v>
      </c>
    </row>
    <row r="123" spans="3:11" x14ac:dyDescent="0.3">
      <c r="C123" s="2" t="s">
        <v>206</v>
      </c>
    </row>
    <row r="124" spans="3:11" x14ac:dyDescent="0.3">
      <c r="C124" s="2" t="s">
        <v>207</v>
      </c>
    </row>
    <row r="125" spans="3:11" x14ac:dyDescent="0.3">
      <c r="C125" s="2" t="s">
        <v>208</v>
      </c>
    </row>
    <row r="126" spans="3:11" x14ac:dyDescent="0.3">
      <c r="C126" s="2" t="s">
        <v>209</v>
      </c>
    </row>
    <row r="127" spans="3:11" ht="14.4" x14ac:dyDescent="0.3">
      <c r="C127" s="54"/>
      <c r="D127" s="54"/>
      <c r="E127" s="55"/>
      <c r="F127" s="55"/>
      <c r="G127" s="55"/>
      <c r="H127" s="55"/>
      <c r="I127" s="55"/>
      <c r="J127" s="55"/>
      <c r="K127" s="55"/>
    </row>
    <row r="128" spans="3:11" ht="14.4" x14ac:dyDescent="0.3"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3:11" ht="14.4" x14ac:dyDescent="0.3">
      <c r="C129" s="55"/>
      <c r="D129" s="55"/>
      <c r="E129" s="55"/>
      <c r="F129" s="55"/>
      <c r="G129" s="55"/>
      <c r="H129" s="55"/>
      <c r="I129" s="55"/>
      <c r="J129" s="55"/>
      <c r="K12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XDO_?CLASS_3?27?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XDO_?NAMCNAME?27?</vt:lpstr>
      <vt:lpstr>XDO_?NOVAL?126?</vt:lpstr>
      <vt:lpstr>XDO_?NOVAL?127?</vt:lpstr>
      <vt:lpstr>XDO_?NOVAL?128?</vt:lpstr>
      <vt:lpstr>XDO_?NPTF?27?</vt:lpstr>
      <vt:lpstr>XDO_?RATING?126?</vt:lpstr>
      <vt:lpstr>XDO_?RATING?127?</vt:lpstr>
      <vt:lpstr>XDO_?RATING?128?</vt:lpstr>
      <vt:lpstr>XDO_?REMARKS?126?</vt:lpstr>
      <vt:lpstr>XDO_?REMARKS?127?</vt:lpstr>
      <vt:lpstr>XDO_?REMARKS?128?</vt:lpstr>
      <vt:lpstr>XDO_?TITL?27?</vt:lpstr>
      <vt:lpstr>XDO_?YTM?126?</vt:lpstr>
      <vt:lpstr>XDO_?YTM?127?</vt:lpstr>
      <vt:lpstr>XDO_?YTM?128?</vt:lpstr>
      <vt:lpstr>XDO_GROUP_?G_2?27?</vt:lpstr>
      <vt:lpstr>XDO_GROUP_?G_3?27?</vt:lpstr>
      <vt:lpstr>XDO_GROUP_?G_4?126?</vt:lpstr>
      <vt:lpstr>XDO_GROUP_?G_4?127?</vt:lpstr>
      <vt:lpstr>XDO_GROUP_?G_4?128?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2023-03-06T13:25:42Z</dcterms:created>
  <dcterms:modified xsi:type="dcterms:W3CDTF">2023-03-09T09:49:18Z</dcterms:modified>
</cp:coreProperties>
</file>