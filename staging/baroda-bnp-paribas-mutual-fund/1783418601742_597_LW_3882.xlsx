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LW" sheetId="1" r:id="rId1"/>
  </sheets>
  <externalReferences>
    <externalReference r:id="rId2"/>
  </externalReferences>
  <definedNames>
    <definedName name="XDO_?CLASS_3?1?">LW!$C$16:$C$22</definedName>
    <definedName name="XDO_?FINAL_ISIN?1?">LW!$D$18:$D$22</definedName>
    <definedName name="XDO_?FINAL_ISIN?2?">LW!$D$18:$D$31</definedName>
    <definedName name="XDO_?FINAL_ISIN?3?">LW!$D$18:$D$38</definedName>
    <definedName name="XDO_?FINAL_ISIN?4?">LW!$D$18:$D$46</definedName>
    <definedName name="XDO_?FINAL_ISIN?5?">LW!$D$18:$D$63</definedName>
    <definedName name="XDO_?FINAL_ISIN?6?">LW!$D$18:$D$67</definedName>
    <definedName name="XDO_?FINAL_MV?1?">LW!$G$18:$G$22</definedName>
    <definedName name="XDO_?FINAL_MV?2?">LW!$G$18:$G$31</definedName>
    <definedName name="XDO_?FINAL_MV?3?">LW!$G$18:$G$38</definedName>
    <definedName name="XDO_?FINAL_MV?4?">LW!$G$18:$G$46</definedName>
    <definedName name="XDO_?FINAL_MV?5?">LW!$G$18:$G$63</definedName>
    <definedName name="XDO_?FINAL_MV?6?">LW!$G$18:$G$67</definedName>
    <definedName name="XDO_?FINAL_NAME?1?">LW!$C$18:$C$22</definedName>
    <definedName name="XDO_?FINAL_NAME?2?">LW!$C$18:$C$31</definedName>
    <definedName name="XDO_?FINAL_NAME?3?">LW!$C$18:$C$38</definedName>
    <definedName name="XDO_?FINAL_NAME?4?">LW!$C$18:$C$46</definedName>
    <definedName name="XDO_?FINAL_NAME?5?">LW!$C$18:$C$63</definedName>
    <definedName name="XDO_?FINAL_NAME?6?">LW!$C$18:$C$67</definedName>
    <definedName name="XDO_?FINAL_PER_NET?1?">LW!$H$18:$H$22</definedName>
    <definedName name="XDO_?FINAL_PER_NET?2?">LW!$H$18:$H$31</definedName>
    <definedName name="XDO_?FINAL_PER_NET?3?">LW!$H$18:$H$38</definedName>
    <definedName name="XDO_?FINAL_PER_NET?4?">LW!$H$18:$H$46</definedName>
    <definedName name="XDO_?FINAL_PER_NET?5?">LW!$H$18:$H$63</definedName>
    <definedName name="XDO_?FINAL_PER_NET?6?">LW!$H$18:$H$67</definedName>
    <definedName name="XDO_?FINAL_QUANTITE?1?">LW!$F$18:$F$22</definedName>
    <definedName name="XDO_?FINAL_QUANTITE?2?">LW!$F$18:$F$31</definedName>
    <definedName name="XDO_?FINAL_QUANTITE?3?">LW!$F$18:$F$38</definedName>
    <definedName name="XDO_?FINAL_QUANTITE?4?">LW!$F$18:$F$46</definedName>
    <definedName name="XDO_?FINAL_QUANTITE?5?">LW!$F$18:$F$63</definedName>
    <definedName name="XDO_?FINAL_QUANTITE?6?">LW!$F$18:$F$67</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LW!$C$2:$C$22</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LW!$B$18:$B$22</definedName>
    <definedName name="XDO_?NOVAL?2?">LW!$B$18:$B$31</definedName>
    <definedName name="XDO_?NOVAL?3?">LW!$B$18:$B$38</definedName>
    <definedName name="XDO_?NOVAL?4?">LW!$B$18:$B$46</definedName>
    <definedName name="XDO_?NOVAL?5?">LW!$B$18:$B$63</definedName>
    <definedName name="XDO_?NOVAL?6?">LW!$B$18:$B$67</definedName>
    <definedName name="XDO_?NPTF?1?">LW!$D$2:$D$22</definedName>
    <definedName name="XDO_?RATING?1?">LW!$E$18:$E$22</definedName>
    <definedName name="XDO_?RATING?2?">LW!$E$18:$E$31</definedName>
    <definedName name="XDO_?RATING?3?">LW!$E$18:$E$38</definedName>
    <definedName name="XDO_?RATING?4?">LW!$E$18:$E$46</definedName>
    <definedName name="XDO_?RATING?5?">LW!$E$18:$E$63</definedName>
    <definedName name="XDO_?RATING?6?">LW!$E$18:$E$67</definedName>
    <definedName name="XDO_?REMARKS?1?">LW!$K$18:$K$22</definedName>
    <definedName name="XDO_?REMARKS?2?">LW!$K$18:$K$31</definedName>
    <definedName name="XDO_?REMARKS?3?">LW!$K$18:$K$38</definedName>
    <definedName name="XDO_?REMARKS?4?">LW!$K$18:$K$46</definedName>
    <definedName name="XDO_?REMARKS?5?">LW!$K$18:$K$63</definedName>
    <definedName name="XDO_?REMARKS?6?">LW!$K$18:$K$67</definedName>
    <definedName name="XDO_?TITL?1?">LW!$A$16:$A$22</definedName>
    <definedName name="XDO_?YTM?1?">LW!$I$18:$I$22</definedName>
    <definedName name="XDO_?YTM?2?">LW!$I$18:$I$31</definedName>
    <definedName name="XDO_?YTM?3?">LW!$I$18:$I$38</definedName>
    <definedName name="XDO_?YTM?4?">LW!$I$18:$I$46</definedName>
    <definedName name="XDO_?YTM?5?">LW!$I$18:$I$63</definedName>
    <definedName name="XDO_?YTM?6?">LW!$I$18:$I$67</definedName>
    <definedName name="XDO_GROUP_?G_2?1?">LW!$2:$41</definedName>
    <definedName name="XDO_GROUP_?G_3?1?">LW!$8:$40</definedName>
    <definedName name="XDO_GROUP_?G_4?1?">LW!$B$10:$IV$14</definedName>
    <definedName name="XDO_GROUP_?G_4?140?">[1]ON!#REF!</definedName>
    <definedName name="XDO_GROUP_?G_4?143?">[1]BM!#REF!</definedName>
    <definedName name="XDO_GROUP_?G_4?2?">LW!#REF!</definedName>
    <definedName name="XDO_GROUP_?G_4?21?">[1]N2!#REF!</definedName>
    <definedName name="XDO_GROUP_?G_4?29?">[1]MC!#REF!</definedName>
    <definedName name="XDO_GROUP_?G_4?3?">LW!$B$20:$IV$20</definedName>
    <definedName name="XDO_GROUP_?G_4?39?">[1]TA!#REF!</definedName>
    <definedName name="XDO_GROUP_?G_4?4?">LW!$B$24:$IV$28</definedName>
    <definedName name="XDO_GROUP_?G_4?5?">LW!$B$33:$IV$33</definedName>
    <definedName name="XDO_GROUP_?G_4?6?">LW!$B$38:$IV$38</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<sst xmlns="http://schemas.openxmlformats.org/spreadsheetml/2006/main" count="196" uniqueCount="144">
  <si>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</si>
  <si>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</si>
  <si>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</si>
  <si>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</si>
  <si>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</si>
  <si>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</si>
  <si>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</si>
  <si>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</si>
  <si>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</si>
  <si>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</si>
  <si>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</si>
  <si>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</si>
  <si>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</si>
  <si>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</si>
  <si>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</si>
  <si>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</si>
  <si>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</si>
  <si>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</si>
  <si>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</si>
  <si>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</si>
  <si>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</si>
  <si>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</si>
  <si>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</si>
  <si>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</si>
  <si>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</si>
  <si>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N**</t>
  </si>
  <si>
    <t>702738</t>
  </si>
  <si>
    <t>5.35% National Housing Bank 12-Feb-2024</t>
  </si>
  <si>
    <t>INE557F08FL1</t>
  </si>
  <si>
    <t>703784</t>
  </si>
  <si>
    <t>7.13% Power Finance Corporation Ltd. 08-Aug-2025</t>
  </si>
  <si>
    <t>INE134E08LO4</t>
  </si>
  <si>
    <t>704352</t>
  </si>
  <si>
    <t>8.80% Piramal Capital &amp; Housing Finance Ltd. 30-Dec-2024</t>
  </si>
  <si>
    <t>INE516Y07477</t>
  </si>
  <si>
    <t>CARE AA</t>
  </si>
  <si>
    <t>703915</t>
  </si>
  <si>
    <t>8.50% JM Financial Products Ltd. 16-May-2025</t>
  </si>
  <si>
    <t>INE523H07BV9</t>
  </si>
  <si>
    <t>[ICRA]AA</t>
  </si>
  <si>
    <t>Total</t>
  </si>
  <si>
    <t>b) Privately Placed/Unlisted</t>
  </si>
  <si>
    <t>c) Securitised Debt Instruments</t>
  </si>
  <si>
    <t>d) Central Government Securities</t>
  </si>
  <si>
    <t>900157</t>
  </si>
  <si>
    <t>5.63% Government of India 12-Apr-2026</t>
  </si>
  <si>
    <t>IN0020210012</t>
  </si>
  <si>
    <t>Sovereign</t>
  </si>
  <si>
    <t>900145</t>
  </si>
  <si>
    <t>5.22% Government of India 15-Jun-2025</t>
  </si>
  <si>
    <t>IN0020200112</t>
  </si>
  <si>
    <t>e) State Government Securities</t>
  </si>
  <si>
    <t>MONEY MARKET INSTRUMENTS</t>
  </si>
  <si>
    <t>a) Commercial Paper</t>
  </si>
  <si>
    <t>1008735</t>
  </si>
  <si>
    <t>Tata Capital Financial Services Ltd. 20-Feb-2024</t>
  </si>
  <si>
    <t>INE306N14VR9</t>
  </si>
  <si>
    <t>CRISIL A1+</t>
  </si>
  <si>
    <t>b) Certificate of Deposits</t>
  </si>
  <si>
    <t>1102214</t>
  </si>
  <si>
    <t>National Bank for Agriculture and Rural Development 08-Mar-2024</t>
  </si>
  <si>
    <t>INE261F16702</t>
  </si>
  <si>
    <t>1102280</t>
  </si>
  <si>
    <t>State Bank of India 17-May-2024</t>
  </si>
  <si>
    <t>INE062A16499</t>
  </si>
  <si>
    <t>IND A1+</t>
  </si>
  <si>
    <t>1102228</t>
  </si>
  <si>
    <t>HDFC Bank Ltd. 20-Mar-2024</t>
  </si>
  <si>
    <t>INE040A16DU8</t>
  </si>
  <si>
    <t>1102258</t>
  </si>
  <si>
    <t>Small Industries Development Bank of India 24-Apr-2024</t>
  </si>
  <si>
    <t>INE556F16AI3</t>
  </si>
  <si>
    <t>1102349</t>
  </si>
  <si>
    <t>Axis Bank Ltd. 19-Jun-2024</t>
  </si>
  <si>
    <t>INE238AD6454</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</si>
  <si>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</si>
  <si>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</si>
  <si>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</si>
  <si>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</si>
  <si>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</si>
  <si>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</si>
  <si>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</si>
  <si>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</si>
  <si>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</si>
  <si>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</si>
  <si>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</si>
  <si>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</si>
  <si>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</si>
  <si>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</si>
  <si>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</si>
  <si>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</si>
  <si>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</si>
  <si>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</si>
  <si>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</si>
  <si>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</si>
  <si>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</si>
  <si>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</si>
  <si>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</si>
  <si>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</si>
  <si>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</si>
  <si>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</si>
  <si>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</si>
  <si>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</si>
  <si>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</si>
  <si>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</si>
  <si>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</si>
  <si>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</si>
  <si>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</si>
  <si>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</si>
  <si>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</si>
  <si>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</si>
  <si>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</si>
  <si>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</si>
  <si>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</si>
  <si>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</si>
  <si>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</si>
  <si>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</si>
  <si>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</si>
  <si>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313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</si>
  <si>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</si>
  <si>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</si>
  <si>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</si>
  <si>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</si>
  <si>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</si>
  <si>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</si>
  <si>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</si>
  <si>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</si>
  <si>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</si>
  <si>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301 days.</t>
  </si>
  <si>
    <t>(18) Annualised Portfolio YTM has been 7.4743.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</si>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</sst>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5</xdr:col>
      <xdr:colOff>504275</xdr:colOff>
      <xdr:row>143</xdr:row>
      <xdr:rowOff>61637</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987933"/>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C154"/>
  <sheetViews>
    <sheetView showGridLines="0" tabSelected="1" zoomScale="90" zoomScaleNormal="90" workbookViewId="0">
      <pane ySplit="6" topLeftCell="A136" activePane="bottomLeft" state="frozen"/>
      <selection activeCell="I2" sqref="I2"/>
      <selection pane="bottomLeft" activeCell="C123" sqref="C123"/>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150</v>
      </c>
      <c r="G18" s="32">
        <v>1474</v>
      </c>
      <c r="H18" s="32">
        <v>9.15</v>
      </c>
      <c r="I18" s="33">
        <v>8.1008999999999993</v>
      </c>
      <c r="J18" s="33"/>
      <c r="K18" s="34" t="s">
        <v>25</v>
      </c>
    </row>
    <row r="19" spans="2:11">
      <c r="B19" s="1" t="s">
        <v>26</v>
      </c>
      <c r="C19" s="21" t="s">
        <v>27</v>
      </c>
      <c r="D19" s="29" t="s">
        <v>28</v>
      </c>
      <c r="E19" s="30" t="s">
        <v>24</v>
      </c>
      <c r="F19" s="31">
        <v>130</v>
      </c>
      <c r="G19" s="32">
        <v>1288.33</v>
      </c>
      <c r="H19" s="32">
        <v>8</v>
      </c>
      <c r="I19" s="33">
        <v>7.2000999999999999</v>
      </c>
      <c r="J19" s="33"/>
      <c r="K19" s="34"/>
    </row>
    <row r="20" spans="2:11">
      <c r="B20" s="1" t="s">
        <v>29</v>
      </c>
      <c r="C20" s="21" t="s">
        <v>30</v>
      </c>
      <c r="D20" s="29" t="s">
        <v>31</v>
      </c>
      <c r="E20" s="30" t="s">
        <v>24</v>
      </c>
      <c r="F20" s="31">
        <v>100</v>
      </c>
      <c r="G20" s="32">
        <v>992.3</v>
      </c>
      <c r="H20" s="32">
        <v>6.16</v>
      </c>
      <c r="I20" s="33">
        <v>7.5650000000000004</v>
      </c>
      <c r="J20" s="33"/>
      <c r="K20" s="34" t="s">
        <v>25</v>
      </c>
    </row>
    <row r="21" spans="2:11">
      <c r="B21" s="1" t="s">
        <v>32</v>
      </c>
      <c r="C21" s="21" t="s">
        <v>33</v>
      </c>
      <c r="D21" s="29" t="s">
        <v>34</v>
      </c>
      <c r="E21" s="30" t="s">
        <v>35</v>
      </c>
      <c r="F21" s="31">
        <v>700</v>
      </c>
      <c r="G21" s="32">
        <v>697.29</v>
      </c>
      <c r="H21" s="32">
        <v>4.33</v>
      </c>
      <c r="I21" s="33">
        <v>9.1562000000000001</v>
      </c>
      <c r="J21" s="33"/>
      <c r="K21" s="34" t="s">
        <v>25</v>
      </c>
    </row>
    <row r="22" spans="2:11">
      <c r="B22" s="1" t="s">
        <v>36</v>
      </c>
      <c r="C22" s="21" t="s">
        <v>37</v>
      </c>
      <c r="D22" s="29" t="s">
        <v>38</v>
      </c>
      <c r="E22" s="30" t="s">
        <v>39</v>
      </c>
      <c r="F22" s="31">
        <v>70</v>
      </c>
      <c r="G22" s="32">
        <v>690.72</v>
      </c>
      <c r="H22" s="32">
        <v>4.29</v>
      </c>
      <c r="I22" s="33">
        <v>9.3896999999999995</v>
      </c>
      <c r="J22" s="33"/>
      <c r="K22" s="34" t="s">
        <v>25</v>
      </c>
    </row>
    <row r="23" spans="2:11">
      <c r="C23" s="28" t="s">
        <v>40</v>
      </c>
      <c r="D23" s="29"/>
      <c r="E23" s="30"/>
      <c r="F23" s="31"/>
      <c r="G23" s="38">
        <v>5142.6400000000003</v>
      </c>
      <c r="H23" s="38">
        <v>31.93</v>
      </c>
      <c r="I23" s="33"/>
      <c r="J23" s="33"/>
      <c r="K23" s="34"/>
    </row>
    <row r="24" spans="2:11">
      <c r="C24" s="21"/>
      <c r="D24" s="29"/>
      <c r="E24" s="30"/>
      <c r="F24" s="31"/>
      <c r="G24" s="32"/>
      <c r="H24" s="32"/>
      <c r="I24" s="33"/>
      <c r="J24" s="33"/>
      <c r="K24" s="34"/>
    </row>
    <row r="25" spans="2:11">
      <c r="C25" s="28" t="s">
        <v>41</v>
      </c>
      <c r="D25" s="29"/>
      <c r="E25" s="30"/>
      <c r="F25" s="31"/>
      <c r="G25" s="32" t="s">
        <v>16</v>
      </c>
      <c r="H25" s="32" t="s">
        <v>16</v>
      </c>
      <c r="I25" s="33"/>
      <c r="J25" s="33"/>
      <c r="K25" s="34"/>
    </row>
    <row r="26" spans="2:11">
      <c r="C26" s="21"/>
      <c r="D26" s="29"/>
      <c r="E26" s="30"/>
      <c r="F26" s="31"/>
      <c r="G26" s="32"/>
      <c r="H26" s="32"/>
      <c r="I26" s="33"/>
      <c r="J26" s="33"/>
      <c r="K26" s="34"/>
    </row>
    <row r="27" spans="2:11">
      <c r="C27" s="28" t="s">
        <v>42</v>
      </c>
      <c r="D27" s="29"/>
      <c r="E27" s="30"/>
      <c r="F27" s="31"/>
      <c r="G27" s="32" t="s">
        <v>16</v>
      </c>
      <c r="H27" s="32" t="s">
        <v>16</v>
      </c>
      <c r="I27" s="33"/>
      <c r="J27" s="33"/>
      <c r="K27" s="34"/>
    </row>
    <row r="28" spans="2:11">
      <c r="C28" s="21"/>
      <c r="D28" s="29"/>
      <c r="E28" s="30"/>
      <c r="F28" s="31"/>
      <c r="G28" s="32"/>
      <c r="H28" s="32"/>
      <c r="I28" s="33"/>
      <c r="J28" s="33"/>
      <c r="K28" s="34"/>
    </row>
    <row r="29" spans="2:11">
      <c r="C29" s="37" t="s">
        <v>43</v>
      </c>
      <c r="D29" s="29"/>
      <c r="E29" s="30"/>
      <c r="F29" s="31"/>
      <c r="G29" s="32"/>
      <c r="H29" s="32"/>
      <c r="I29" s="33"/>
      <c r="J29" s="33"/>
      <c r="K29" s="34"/>
    </row>
    <row r="30" spans="2:11">
      <c r="B30" s="1" t="s">
        <v>44</v>
      </c>
      <c r="C30" s="21" t="s">
        <v>45</v>
      </c>
      <c r="D30" s="29" t="s">
        <v>46</v>
      </c>
      <c r="E30" s="30" t="s">
        <v>47</v>
      </c>
      <c r="F30" s="31">
        <v>1000000</v>
      </c>
      <c r="G30" s="32">
        <v>964.17</v>
      </c>
      <c r="H30" s="32">
        <v>5.99</v>
      </c>
      <c r="I30" s="33">
        <v>7.2816193</v>
      </c>
      <c r="J30" s="33"/>
      <c r="K30" s="34"/>
    </row>
    <row r="31" spans="2:11">
      <c r="B31" s="1" t="s">
        <v>48</v>
      </c>
      <c r="C31" s="21" t="s">
        <v>49</v>
      </c>
      <c r="D31" s="29" t="s">
        <v>50</v>
      </c>
      <c r="E31" s="30" t="s">
        <v>47</v>
      </c>
      <c r="F31" s="31">
        <v>262000</v>
      </c>
      <c r="G31" s="32">
        <v>253.81</v>
      </c>
      <c r="H31" s="32">
        <v>1.58</v>
      </c>
      <c r="I31" s="33">
        <v>7.2314048</v>
      </c>
      <c r="J31" s="33"/>
      <c r="K31" s="34"/>
    </row>
    <row r="32" spans="2:11">
      <c r="C32" s="28" t="s">
        <v>40</v>
      </c>
      <c r="D32" s="29"/>
      <c r="E32" s="30"/>
      <c r="F32" s="31"/>
      <c r="G32" s="38">
        <v>1217.98</v>
      </c>
      <c r="H32" s="38">
        <v>7.57</v>
      </c>
      <c r="I32" s="33"/>
      <c r="J32" s="33"/>
      <c r="K32" s="34"/>
    </row>
    <row r="33" spans="1:11">
      <c r="C33" s="21"/>
      <c r="D33" s="29"/>
      <c r="E33" s="30"/>
      <c r="F33" s="31"/>
      <c r="G33" s="32"/>
      <c r="H33" s="32"/>
      <c r="I33" s="33"/>
      <c r="J33" s="33"/>
      <c r="K33" s="34"/>
    </row>
    <row r="34" spans="1:11">
      <c r="C34" s="28" t="s">
        <v>51</v>
      </c>
      <c r="D34" s="29"/>
      <c r="E34" s="30"/>
      <c r="F34" s="31"/>
      <c r="G34" s="32" t="s">
        <v>16</v>
      </c>
      <c r="H34" s="32" t="s">
        <v>16</v>
      </c>
      <c r="I34" s="33"/>
      <c r="J34" s="33"/>
      <c r="K34" s="34"/>
    </row>
    <row r="35" spans="1:11">
      <c r="C35" s="21"/>
      <c r="D35" s="29"/>
      <c r="E35" s="30"/>
      <c r="F35" s="31"/>
      <c r="G35" s="32"/>
      <c r="H35" s="32"/>
      <c r="I35" s="33"/>
      <c r="J35" s="33"/>
      <c r="K35" s="34"/>
    </row>
    <row r="36" spans="1:11">
      <c r="A36" s="35"/>
      <c r="B36" s="36"/>
      <c r="C36" s="28" t="s">
        <v>52</v>
      </c>
      <c r="D36" s="29"/>
      <c r="E36" s="30"/>
      <c r="F36" s="31"/>
      <c r="G36" s="32"/>
      <c r="H36" s="32"/>
      <c r="I36" s="33"/>
      <c r="J36" s="33"/>
      <c r="K36" s="34"/>
    </row>
    <row r="37" spans="1:11">
      <c r="C37" s="37" t="s">
        <v>53</v>
      </c>
      <c r="D37" s="29"/>
      <c r="E37" s="30"/>
      <c r="F37" s="31"/>
      <c r="G37" s="32"/>
      <c r="H37" s="32"/>
      <c r="I37" s="33"/>
      <c r="J37" s="33"/>
      <c r="K37" s="34"/>
    </row>
    <row r="38" spans="1:11">
      <c r="B38" s="1" t="s">
        <v>54</v>
      </c>
      <c r="C38" s="21" t="s">
        <v>55</v>
      </c>
      <c r="D38" s="29" t="s">
        <v>56</v>
      </c>
      <c r="E38" s="30" t="s">
        <v>57</v>
      </c>
      <c r="F38" s="31">
        <v>200</v>
      </c>
      <c r="G38" s="32">
        <v>965.43</v>
      </c>
      <c r="H38" s="32">
        <v>5.99</v>
      </c>
      <c r="I38" s="33">
        <v>7.5998999999999999</v>
      </c>
      <c r="J38" s="33"/>
      <c r="K38" s="34" t="s">
        <v>25</v>
      </c>
    </row>
    <row r="39" spans="1:11">
      <c r="C39" s="28" t="s">
        <v>40</v>
      </c>
      <c r="D39" s="29"/>
      <c r="E39" s="30"/>
      <c r="F39" s="31"/>
      <c r="G39" s="38">
        <v>965.43</v>
      </c>
      <c r="H39" s="38">
        <v>5.99</v>
      </c>
      <c r="I39" s="33"/>
      <c r="J39" s="33"/>
      <c r="K39" s="34"/>
    </row>
    <row r="40" spans="1:11">
      <c r="C40" s="21"/>
      <c r="D40" s="29"/>
      <c r="E40" s="30"/>
      <c r="F40" s="31"/>
      <c r="G40" s="32"/>
      <c r="H40" s="32"/>
      <c r="I40" s="33"/>
      <c r="J40" s="33"/>
      <c r="K40" s="34"/>
    </row>
    <row r="41" spans="1:11">
      <c r="C41" s="37" t="s">
        <v>58</v>
      </c>
      <c r="D41" s="29"/>
      <c r="E41" s="30"/>
      <c r="F41" s="31"/>
      <c r="G41" s="32"/>
      <c r="H41" s="32"/>
      <c r="I41" s="33"/>
      <c r="J41" s="33"/>
      <c r="K41" s="34"/>
    </row>
    <row r="42" spans="1:11">
      <c r="B42" s="1" t="s">
        <v>59</v>
      </c>
      <c r="C42" s="21" t="s">
        <v>60</v>
      </c>
      <c r="D42" s="29" t="s">
        <v>61</v>
      </c>
      <c r="E42" s="30" t="s">
        <v>57</v>
      </c>
      <c r="F42" s="31">
        <v>300</v>
      </c>
      <c r="G42" s="32">
        <v>1445.91</v>
      </c>
      <c r="H42" s="32">
        <v>8.98</v>
      </c>
      <c r="I42" s="33">
        <v>7.2249999999999996</v>
      </c>
      <c r="J42" s="33"/>
      <c r="K42" s="34" t="s">
        <v>25</v>
      </c>
    </row>
    <row r="43" spans="1:11">
      <c r="B43" s="1" t="s">
        <v>62</v>
      </c>
      <c r="C43" s="21" t="s">
        <v>63</v>
      </c>
      <c r="D43" s="29" t="s">
        <v>64</v>
      </c>
      <c r="E43" s="30" t="s">
        <v>65</v>
      </c>
      <c r="F43" s="31">
        <v>300</v>
      </c>
      <c r="G43" s="32">
        <v>1426.17</v>
      </c>
      <c r="H43" s="32">
        <v>8.86</v>
      </c>
      <c r="I43" s="33">
        <v>7.2949999999999999</v>
      </c>
      <c r="J43" s="33"/>
      <c r="K43" s="34" t="s">
        <v>25</v>
      </c>
    </row>
    <row r="44" spans="1:11">
      <c r="B44" s="1" t="s">
        <v>66</v>
      </c>
      <c r="C44" s="21" t="s">
        <v>67</v>
      </c>
      <c r="D44" s="29" t="s">
        <v>68</v>
      </c>
      <c r="E44" s="30" t="s">
        <v>65</v>
      </c>
      <c r="F44" s="31">
        <v>280</v>
      </c>
      <c r="G44" s="32">
        <v>1346.22</v>
      </c>
      <c r="H44" s="32">
        <v>8.36</v>
      </c>
      <c r="I44" s="33">
        <v>7.2549999999999999</v>
      </c>
      <c r="J44" s="33"/>
      <c r="K44" s="34" t="s">
        <v>25</v>
      </c>
    </row>
    <row r="45" spans="1:11">
      <c r="B45" s="1" t="s">
        <v>69</v>
      </c>
      <c r="C45" s="21" t="s">
        <v>70</v>
      </c>
      <c r="D45" s="29" t="s">
        <v>71</v>
      </c>
      <c r="E45" s="30" t="s">
        <v>57</v>
      </c>
      <c r="F45" s="31">
        <v>260</v>
      </c>
      <c r="G45" s="32">
        <v>1240.3</v>
      </c>
      <c r="H45" s="32">
        <v>7.7</v>
      </c>
      <c r="I45" s="33">
        <v>7.4450000000000003</v>
      </c>
      <c r="J45" s="33"/>
      <c r="K45" s="34" t="s">
        <v>25</v>
      </c>
    </row>
    <row r="46" spans="1:11">
      <c r="B46" s="1" t="s">
        <v>72</v>
      </c>
      <c r="C46" s="21" t="s">
        <v>73</v>
      </c>
      <c r="D46" s="29" t="s">
        <v>74</v>
      </c>
      <c r="E46" s="30" t="s">
        <v>57</v>
      </c>
      <c r="F46" s="31">
        <v>200</v>
      </c>
      <c r="G46" s="32">
        <v>944.11</v>
      </c>
      <c r="H46" s="32">
        <v>5.86</v>
      </c>
      <c r="I46" s="33">
        <v>7.4</v>
      </c>
      <c r="J46" s="33"/>
      <c r="K46" s="34"/>
    </row>
    <row r="47" spans="1:11">
      <c r="C47" s="28" t="s">
        <v>40</v>
      </c>
      <c r="D47" s="29"/>
      <c r="E47" s="30"/>
      <c r="F47" s="31"/>
      <c r="G47" s="38">
        <v>6402.71</v>
      </c>
      <c r="H47" s="38">
        <v>39.76</v>
      </c>
      <c r="I47" s="33"/>
      <c r="J47" s="33"/>
      <c r="K47" s="34"/>
    </row>
    <row r="48" spans="1:11">
      <c r="C48" s="21"/>
      <c r="D48" s="29"/>
      <c r="E48" s="30"/>
      <c r="F48" s="31"/>
      <c r="G48" s="32"/>
      <c r="H48" s="32"/>
      <c r="I48" s="33"/>
      <c r="J48" s="33"/>
      <c r="K48" s="34"/>
    </row>
    <row r="49" spans="1:11">
      <c r="C49" s="28" t="s">
        <v>75</v>
      </c>
      <c r="D49" s="29"/>
      <c r="E49" s="30"/>
      <c r="F49" s="31"/>
      <c r="G49" s="32" t="s">
        <v>16</v>
      </c>
      <c r="H49" s="32" t="s">
        <v>16</v>
      </c>
      <c r="I49" s="33"/>
      <c r="J49" s="33"/>
      <c r="K49" s="34"/>
    </row>
    <row r="50" spans="1:11">
      <c r="C50" s="21"/>
      <c r="D50" s="29"/>
      <c r="E50" s="30"/>
      <c r="F50" s="31"/>
      <c r="G50" s="32"/>
      <c r="H50" s="32"/>
      <c r="I50" s="33"/>
      <c r="J50" s="33"/>
      <c r="K50" s="34"/>
    </row>
    <row r="51" spans="1:11">
      <c r="C51" s="28" t="s">
        <v>76</v>
      </c>
      <c r="D51" s="29"/>
      <c r="E51" s="30"/>
      <c r="F51" s="31"/>
      <c r="G51" s="32" t="s">
        <v>16</v>
      </c>
      <c r="H51" s="32" t="s">
        <v>16</v>
      </c>
      <c r="I51" s="33"/>
      <c r="J51" s="33"/>
      <c r="K51" s="34"/>
    </row>
    <row r="52" spans="1:11">
      <c r="C52" s="21"/>
      <c r="D52" s="29"/>
      <c r="E52" s="30"/>
      <c r="F52" s="31"/>
      <c r="G52" s="32"/>
      <c r="H52" s="32"/>
      <c r="I52" s="33"/>
      <c r="J52" s="33"/>
      <c r="K52" s="34"/>
    </row>
    <row r="53" spans="1:11">
      <c r="A53" s="35"/>
      <c r="B53" s="36"/>
      <c r="C53" s="28" t="s">
        <v>77</v>
      </c>
      <c r="D53" s="29"/>
      <c r="E53" s="30"/>
      <c r="F53" s="31"/>
      <c r="G53" s="32"/>
      <c r="H53" s="32"/>
      <c r="I53" s="33"/>
      <c r="J53" s="33"/>
      <c r="K53" s="34"/>
    </row>
    <row r="54" spans="1:11">
      <c r="A54" s="36"/>
      <c r="B54" s="36"/>
      <c r="C54" s="28" t="s">
        <v>78</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79</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80</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81</v>
      </c>
      <c r="D60" s="29"/>
      <c r="E60" s="30"/>
      <c r="F60" s="31"/>
      <c r="G60" s="32" t="s">
        <v>16</v>
      </c>
      <c r="H60" s="32" t="s">
        <v>16</v>
      </c>
      <c r="I60" s="33"/>
      <c r="J60" s="33"/>
      <c r="K60" s="34"/>
    </row>
    <row r="61" spans="1:11">
      <c r="A61" s="36"/>
      <c r="B61" s="36"/>
      <c r="C61" s="28"/>
      <c r="D61" s="29"/>
      <c r="E61" s="30"/>
      <c r="F61" s="31"/>
      <c r="G61" s="32"/>
      <c r="H61" s="32"/>
      <c r="I61" s="33"/>
      <c r="J61" s="33"/>
      <c r="K61" s="34"/>
    </row>
    <row r="62" spans="1:11">
      <c r="C62" s="37" t="s">
        <v>82</v>
      </c>
      <c r="D62" s="29"/>
      <c r="E62" s="30"/>
      <c r="F62" s="31"/>
      <c r="G62" s="32"/>
      <c r="H62" s="32"/>
      <c r="I62" s="33"/>
      <c r="J62" s="33"/>
      <c r="K62" s="34"/>
    </row>
    <row r="63" spans="1:11">
      <c r="B63" s="1" t="s">
        <v>83</v>
      </c>
      <c r="C63" s="21" t="s">
        <v>84</v>
      </c>
      <c r="D63" s="29"/>
      <c r="E63" s="30"/>
      <c r="F63" s="31"/>
      <c r="G63" s="32">
        <v>2602.65</v>
      </c>
      <c r="H63" s="32">
        <v>16.16</v>
      </c>
      <c r="I63" s="33">
        <v>6.63</v>
      </c>
      <c r="J63" s="33"/>
      <c r="K63" s="34"/>
    </row>
    <row r="64" spans="1:11">
      <c r="C64" s="28" t="s">
        <v>40</v>
      </c>
      <c r="D64" s="29"/>
      <c r="E64" s="30"/>
      <c r="F64" s="31"/>
      <c r="G64" s="38">
        <v>2602.65</v>
      </c>
      <c r="H64" s="38">
        <v>16.16</v>
      </c>
      <c r="I64" s="33"/>
      <c r="J64" s="33"/>
      <c r="K64" s="34"/>
    </row>
    <row r="65" spans="1:11">
      <c r="C65" s="21"/>
      <c r="D65" s="29"/>
      <c r="E65" s="30"/>
      <c r="F65" s="31"/>
      <c r="G65" s="32"/>
      <c r="H65" s="32"/>
      <c r="I65" s="33"/>
      <c r="J65" s="33"/>
      <c r="K65" s="34"/>
    </row>
    <row r="66" spans="1:11">
      <c r="A66" s="35"/>
      <c r="B66" s="36"/>
      <c r="C66" s="28" t="s">
        <v>85</v>
      </c>
      <c r="D66" s="29"/>
      <c r="E66" s="30"/>
      <c r="F66" s="31"/>
      <c r="G66" s="32"/>
      <c r="H66" s="32"/>
      <c r="I66" s="33"/>
      <c r="J66" s="33"/>
      <c r="K66" s="34"/>
    </row>
    <row r="67" spans="1:11">
      <c r="B67" s="1"/>
      <c r="C67" s="21" t="s">
        <v>86</v>
      </c>
      <c r="D67" s="29"/>
      <c r="E67" s="30"/>
      <c r="F67" s="31"/>
      <c r="G67" s="32">
        <v>-226.87</v>
      </c>
      <c r="H67" s="32">
        <v>-1.41</v>
      </c>
      <c r="I67" s="33"/>
      <c r="J67" s="33"/>
      <c r="K67" s="34"/>
    </row>
    <row r="68" spans="1:11">
      <c r="C68" s="28" t="s">
        <v>40</v>
      </c>
      <c r="D68" s="29"/>
      <c r="E68" s="30"/>
      <c r="F68" s="31"/>
      <c r="G68" s="38">
        <v>-226.87</v>
      </c>
      <c r="H68" s="38">
        <v>-1.41</v>
      </c>
      <c r="I68" s="33"/>
      <c r="J68" s="33"/>
      <c r="K68" s="34"/>
    </row>
    <row r="69" spans="1:11">
      <c r="C69" s="21"/>
      <c r="D69" s="29"/>
      <c r="E69" s="30"/>
      <c r="F69" s="31"/>
      <c r="G69" s="32"/>
      <c r="H69" s="32"/>
      <c r="I69" s="33"/>
      <c r="J69" s="33"/>
      <c r="K69" s="34"/>
    </row>
    <row r="70" spans="1:11" ht="14.4" thickBot="1">
      <c r="C70" s="39" t="s">
        <v>87</v>
      </c>
      <c r="D70" s="40"/>
      <c r="E70" s="41"/>
      <c r="F70" s="42"/>
      <c r="G70" s="43">
        <v>16104.54</v>
      </c>
      <c r="H70" s="43">
        <f>SUMIFS(H:H,C:C,"Total")</f>
        <v>100</v>
      </c>
      <c r="I70" s="44"/>
      <c r="J70" s="44"/>
      <c r="K70" s="45"/>
    </row>
    <row r="73" spans="1:11">
      <c r="C73" s="11" t="s">
        <v>88</v>
      </c>
    </row>
    <row r="74" spans="1:11">
      <c r="C74" s="2" t="s">
        <v>89</v>
      </c>
    </row>
    <row r="75" spans="1:11">
      <c r="C75" s="46" t="s">
        <v>90</v>
      </c>
    </row>
    <row r="76" spans="1:11">
      <c r="C76" s="2" t="s">
        <v>91</v>
      </c>
    </row>
    <row r="77" spans="1:11">
      <c r="C77" s="2" t="s">
        <v>92</v>
      </c>
    </row>
    <row r="78" spans="1:11">
      <c r="C78" s="2" t="s">
        <v>93</v>
      </c>
      <c r="D78" s="47"/>
      <c r="E78" s="47"/>
      <c r="F78" s="47"/>
      <c r="G78" s="48"/>
      <c r="H78" s="48"/>
    </row>
    <row r="79" spans="1:11">
      <c r="C79" s="2" t="s">
        <v>94</v>
      </c>
    </row>
    <row r="80" spans="1:11">
      <c r="C80" s="2" t="s">
        <v>95</v>
      </c>
    </row>
    <row r="81" spans="3:55">
      <c r="C81" s="2" t="s">
        <v>96</v>
      </c>
    </row>
    <row r="82" spans="3:55">
      <c r="C82" s="2" t="s">
        <v>97</v>
      </c>
    </row>
    <row r="83" spans="3:55" s="11" customFormat="1">
      <c r="C83" s="11" t="s">
        <v>98</v>
      </c>
      <c r="E83" s="11" t="s">
        <v>99</v>
      </c>
      <c r="F83" s="49" t="s">
        <v>100</v>
      </c>
      <c r="G83" s="50"/>
      <c r="H83" s="50"/>
      <c r="I83" s="50"/>
      <c r="J83" s="50"/>
      <c r="K83" s="51"/>
      <c r="L83" s="51"/>
      <c r="M83" s="51"/>
      <c r="AJ83" s="51"/>
      <c r="AW83" s="51"/>
      <c r="AY83" s="51"/>
      <c r="BC83" s="51"/>
    </row>
    <row r="84" spans="3:55">
      <c r="C84" s="2" t="s">
        <v>101</v>
      </c>
      <c r="E84" s="52">
        <v>10.0604</v>
      </c>
      <c r="F84" s="53">
        <v>10.0604</v>
      </c>
    </row>
    <row r="85" spans="3:55">
      <c r="C85" s="2" t="s">
        <v>102</v>
      </c>
      <c r="E85" s="52">
        <v>35.166600000000003</v>
      </c>
      <c r="F85" s="53">
        <v>35.345599999999997</v>
      </c>
    </row>
    <row r="86" spans="3:55">
      <c r="C86" s="2" t="s">
        <v>103</v>
      </c>
      <c r="E86" s="52">
        <v>10.2988</v>
      </c>
      <c r="F86" s="53">
        <v>10.301500000000001</v>
      </c>
    </row>
    <row r="87" spans="3:55">
      <c r="C87" s="2" t="s">
        <v>104</v>
      </c>
      <c r="E87" s="52">
        <v>10.0275</v>
      </c>
      <c r="F87" s="53">
        <v>10.0145</v>
      </c>
    </row>
    <row r="88" spans="3:55">
      <c r="C88" s="2" t="s">
        <v>105</v>
      </c>
      <c r="E88" s="52">
        <v>10.049899999999999</v>
      </c>
      <c r="F88" s="53">
        <v>10.049899999999999</v>
      </c>
    </row>
    <row r="89" spans="3:55">
      <c r="C89" s="2" t="s">
        <v>106</v>
      </c>
      <c r="E89" s="52">
        <v>35.194400000000002</v>
      </c>
      <c r="F89" s="53">
        <v>35.384900000000002</v>
      </c>
    </row>
    <row r="90" spans="3:55">
      <c r="C90" s="2" t="s">
        <v>107</v>
      </c>
      <c r="E90" s="52">
        <v>10.48</v>
      </c>
      <c r="F90" s="53">
        <v>10.486700000000001</v>
      </c>
    </row>
    <row r="91" spans="3:55">
      <c r="C91" s="2" t="s">
        <v>108</v>
      </c>
      <c r="E91" s="52">
        <v>10.0275</v>
      </c>
      <c r="F91" s="53">
        <v>10.0145</v>
      </c>
    </row>
    <row r="92" spans="3:55">
      <c r="C92" s="2" t="s">
        <v>109</v>
      </c>
      <c r="E92" s="52">
        <v>10.083500000000001</v>
      </c>
      <c r="F92" s="53">
        <v>10.083500000000001</v>
      </c>
    </row>
    <row r="93" spans="3:55">
      <c r="C93" s="2" t="s">
        <v>110</v>
      </c>
      <c r="E93" s="52">
        <v>37.94</v>
      </c>
      <c r="F93" s="53">
        <v>38.1693</v>
      </c>
    </row>
    <row r="94" spans="3:55">
      <c r="C94" s="2" t="s">
        <v>111</v>
      </c>
      <c r="E94" s="52">
        <v>10.199199999999999</v>
      </c>
      <c r="F94" s="53">
        <v>10.210900000000001</v>
      </c>
    </row>
    <row r="95" spans="3:55">
      <c r="C95" s="2" t="s">
        <v>112</v>
      </c>
      <c r="E95" s="52">
        <v>10.028700000000001</v>
      </c>
      <c r="F95" s="53">
        <v>10.014900000000001</v>
      </c>
    </row>
    <row r="97" spans="3:6">
      <c r="C97" s="2" t="s">
        <v>113</v>
      </c>
      <c r="E97" s="11" t="s">
        <v>114</v>
      </c>
      <c r="F97" s="49" t="s">
        <v>115</v>
      </c>
    </row>
    <row r="98" spans="3:6">
      <c r="C98" s="2" t="s">
        <v>101</v>
      </c>
      <c r="E98" s="52">
        <v>5.1077869999999997E-2</v>
      </c>
      <c r="F98" s="53">
        <v>5.1077869999999997E-2</v>
      </c>
    </row>
    <row r="99" spans="3:6">
      <c r="C99" s="2" t="s">
        <v>103</v>
      </c>
      <c r="E99" s="52">
        <v>0.05</v>
      </c>
      <c r="F99" s="53">
        <v>0.05</v>
      </c>
    </row>
    <row r="100" spans="3:6">
      <c r="C100" s="2" t="s">
        <v>104</v>
      </c>
      <c r="E100" s="52">
        <v>6.381226000000001E-2</v>
      </c>
      <c r="F100" s="53">
        <v>6.381226000000001E-2</v>
      </c>
    </row>
    <row r="101" spans="3:6">
      <c r="C101" s="2" t="s">
        <v>105</v>
      </c>
      <c r="E101" s="52">
        <v>5.4252859999999993E-2</v>
      </c>
      <c r="F101" s="53">
        <v>5.4252859999999993E-2</v>
      </c>
    </row>
    <row r="102" spans="3:6">
      <c r="C102" s="2" t="s">
        <v>107</v>
      </c>
      <c r="E102" s="52">
        <v>0.05</v>
      </c>
      <c r="F102" s="53">
        <v>0.05</v>
      </c>
    </row>
    <row r="103" spans="3:6">
      <c r="C103" s="2" t="s">
        <v>108</v>
      </c>
      <c r="E103" s="52">
        <v>6.7027799999999998E-2</v>
      </c>
      <c r="F103" s="53">
        <v>6.7027799999999998E-2</v>
      </c>
    </row>
    <row r="104" spans="3:6">
      <c r="C104" s="2" t="s">
        <v>109</v>
      </c>
      <c r="E104" s="52">
        <v>6.0752569999999992E-2</v>
      </c>
      <c r="F104" s="53">
        <v>6.0752569999999992E-2</v>
      </c>
    </row>
    <row r="105" spans="3:6">
      <c r="C105" s="2" t="s">
        <v>111</v>
      </c>
      <c r="E105" s="52">
        <v>0.05</v>
      </c>
      <c r="F105" s="53">
        <v>0.05</v>
      </c>
    </row>
    <row r="106" spans="3:6">
      <c r="C106" s="2" t="s">
        <v>112</v>
      </c>
      <c r="E106" s="52">
        <v>7.4070280000000002E-2</v>
      </c>
      <c r="F106" s="53">
        <v>7.4070280000000002E-2</v>
      </c>
    </row>
    <row r="108" spans="3:6">
      <c r="C108" s="2" t="s">
        <v>116</v>
      </c>
    </row>
    <row r="109" spans="3:6">
      <c r="C109" s="2" t="s">
        <v>117</v>
      </c>
    </row>
    <row r="110" spans="3:6">
      <c r="C110" s="2" t="s">
        <v>118</v>
      </c>
    </row>
    <row r="111" spans="3:6">
      <c r="C111" s="2" t="s">
        <v>119</v>
      </c>
    </row>
    <row r="112" spans="3:6">
      <c r="C112" s="2" t="s">
        <v>120</v>
      </c>
    </row>
    <row r="113" spans="3:11">
      <c r="C113" s="2" t="s">
        <v>121</v>
      </c>
    </row>
    <row r="114" spans="3:11">
      <c r="C114" s="2" t="s">
        <v>122</v>
      </c>
    </row>
    <row r="115" spans="3:11">
      <c r="C115" s="2" t="s">
        <v>123</v>
      </c>
    </row>
    <row r="116" spans="3:11">
      <c r="C116" s="2" t="s">
        <v>124</v>
      </c>
    </row>
    <row r="117" spans="3:11">
      <c r="C117" s="2" t="s">
        <v>125</v>
      </c>
    </row>
    <row r="118" spans="3:11">
      <c r="C118" s="2" t="s">
        <v>126</v>
      </c>
    </row>
    <row r="119" spans="3:11">
      <c r="C119" s="2" t="s">
        <v>127</v>
      </c>
    </row>
    <row r="120" spans="3:11">
      <c r="C120" s="2" t="s">
        <v>128</v>
      </c>
    </row>
    <row r="121" spans="3:11">
      <c r="C121" s="2" t="s">
        <v>129</v>
      </c>
    </row>
    <row r="122" spans="3:11" ht="14.4">
      <c r="C122" s="54"/>
      <c r="D122" s="54"/>
      <c r="E122" s="54"/>
      <c r="F122" s="54"/>
      <c r="G122" s="54"/>
      <c r="H122" s="54"/>
      <c r="I122" s="54"/>
      <c r="J122" s="54"/>
      <c r="K122" s="54"/>
    </row>
    <row r="123" spans="3:11" ht="14.4">
      <c r="J123" s="54"/>
      <c r="K123" s="54"/>
    </row>
    <row r="144" ht="14.4" thickBot="1"/>
    <row r="145" spans="3:6" ht="14.4" thickBot="1">
      <c r="C145" s="64" t="s">
        <v>130</v>
      </c>
      <c r="D145" s="65"/>
      <c r="E145" s="65"/>
      <c r="F145" s="66"/>
    </row>
    <row r="146" spans="3:6" ht="14.4" thickBot="1">
      <c r="C146" s="55" t="s">
        <v>131</v>
      </c>
      <c r="D146" s="67" t="s">
        <v>132</v>
      </c>
      <c r="E146" s="67" t="s">
        <v>133</v>
      </c>
      <c r="F146" s="67" t="s">
        <v>134</v>
      </c>
    </row>
    <row r="147" spans="3:6" ht="14.4" thickBot="1">
      <c r="C147" s="55" t="s">
        <v>135</v>
      </c>
      <c r="D147" s="68"/>
      <c r="E147" s="68"/>
      <c r="F147" s="68"/>
    </row>
    <row r="148" spans="3:6" ht="14.4" thickBot="1">
      <c r="C148" s="56" t="s">
        <v>136</v>
      </c>
      <c r="D148" s="57"/>
      <c r="E148" s="58" t="s">
        <v>137</v>
      </c>
      <c r="F148" s="57"/>
    </row>
    <row r="149" spans="3:6">
      <c r="C149" s="59" t="s">
        <v>138</v>
      </c>
      <c r="D149" s="62"/>
      <c r="E149" s="62"/>
      <c r="F149" s="62"/>
    </row>
    <row r="150" spans="3:6" ht="14.4" thickBot="1">
      <c r="C150" s="56" t="s">
        <v>139</v>
      </c>
      <c r="D150" s="63"/>
      <c r="E150" s="63"/>
      <c r="F150" s="63"/>
    </row>
    <row r="151" spans="3:6">
      <c r="C151" s="59" t="s">
        <v>140</v>
      </c>
      <c r="D151" s="62"/>
      <c r="E151" s="62"/>
      <c r="F151" s="62"/>
    </row>
    <row r="152" spans="3:6" ht="14.4" thickBot="1">
      <c r="C152" s="56" t="s">
        <v>141</v>
      </c>
      <c r="D152" s="63"/>
      <c r="E152" s="63"/>
      <c r="F152" s="63"/>
    </row>
    <row r="153" spans="3:6">
      <c r="C153" s="60" t="s">
        <v>142</v>
      </c>
      <c r="D153" s="61"/>
      <c r="E153" s="61"/>
      <c r="F153" s="61"/>
    </row>
    <row r="154" spans="3:6" ht="14.4">
      <c r="C154" s="2" t="s">
        <v>143</v>
      </c>
      <c r="D154"/>
      <c r="E154"/>
      <c r="F154"/>
    </row>
  </sheetData>
  <mergeCells count="10">
    <mergeCell ref="D151:D152"/>
    <mergeCell ref="E151:E152"/>
    <mergeCell ref="F151:F152"/>
    <mergeCell ref="C145:F145"/>
    <mergeCell ref="D146:D147"/>
    <mergeCell ref="E146:E147"/>
    <mergeCell ref="F146:F147"/>
    <mergeCell ref="D149:D150"/>
    <mergeCell ref="E149:E150"/>
    <mergeCell ref="F149:F15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65</vt:i4>
      </vt:variant>
    </vt:vector>
  </HeadingPairs>
  <TitlesOfParts>
    <vt:vector size="66"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2023-09-06T09:47:11Z</dcterms:created>
  <dcterms:modified xsi:type="dcterms:W3CDTF">2023-09-07T08:04:23Z</dcterms:modified>
</cp:coreProperties>
</file>