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ADFB60B4-0B17-41BC-8835-2C4BAB33A8D4}" xr6:coauthVersionLast="47" xr6:coauthVersionMax="47" xr10:uidLastSave="{00000000-0000-0000-0000-000000000000}"/>
  <bookViews>
    <workbookView xWindow="-108" yWindow="-108" windowWidth="23256" windowHeight="12576" xr2:uid="{BAC7B81B-0B5B-4147-BB2C-ACD26A0DF410}"/>
  </bookViews>
  <sheets>
    <sheet name="SI" sheetId="1" r:id="rId1"/>
  </sheets>
  <externalReferences>
    <externalReference r:id="rId2"/>
  </externalReferences>
  <definedNames>
    <definedName name="XDO_?CLASS_3?19?">SI!$C$16:$C$34</definedName>
    <definedName name="XDO_?FINAL_ISIN?83?">SI!$D$18:$D$34</definedName>
    <definedName name="XDO_?FINAL_ISIN?84?">SI!$D$18:$D$45</definedName>
    <definedName name="XDO_?FINAL_ISIN?85?">SI!$D$18:$D$50</definedName>
    <definedName name="XDO_?FINAL_ISIN?86?">SI!$D$18:$D$73</definedName>
    <definedName name="XDO_?FINAL_ISIN?87?">SI!$D$18:$D$77</definedName>
    <definedName name="XDO_?FINAL_MV?83?">SI!$G$18:$G$34</definedName>
    <definedName name="XDO_?FINAL_MV?84?">SI!$G$18:$G$45</definedName>
    <definedName name="XDO_?FINAL_MV?85?">SI!$G$18:$G$50</definedName>
    <definedName name="XDO_?FINAL_MV?86?">SI!$G$18:$G$73</definedName>
    <definedName name="XDO_?FINAL_MV?87?">SI!$G$18:$G$77</definedName>
    <definedName name="XDO_?FINAL_NAME?83?">SI!$C$18:$C$34</definedName>
    <definedName name="XDO_?FINAL_NAME?84?">SI!$C$18:$C$45</definedName>
    <definedName name="XDO_?FINAL_NAME?85?">SI!$C$18:$C$50</definedName>
    <definedName name="XDO_?FINAL_NAME?86?">SI!$C$18:$C$73</definedName>
    <definedName name="XDO_?FINAL_NAME?87?">SI!$C$18:$C$77</definedName>
    <definedName name="XDO_?FINAL_PER_NET?83?">SI!$H$18:$H$34</definedName>
    <definedName name="XDO_?FINAL_PER_NET?84?">SI!$H$18:$H$45</definedName>
    <definedName name="XDO_?FINAL_PER_NET?85?">SI!$H$18:$H$50</definedName>
    <definedName name="XDO_?FINAL_PER_NET?86?">SI!$H$18:$H$73</definedName>
    <definedName name="XDO_?FINAL_PER_NET?87?">SI!$H$18:$H$77</definedName>
    <definedName name="XDO_?FINAL_QUANTITE?83?">SI!$F$18:$F$34</definedName>
    <definedName name="XDO_?FINAL_QUANTITE?84?">SI!$F$18:$F$45</definedName>
    <definedName name="XDO_?FINAL_QUANTITE?85?">SI!$F$18:$F$50</definedName>
    <definedName name="XDO_?FINAL_QUANTITE?86?">SI!$F$18:$F$73</definedName>
    <definedName name="XDO_?FINAL_QUANTITE?87?">SI!$F$18:$F$77</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9?">SI!$C$2:$C$34</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83?">SI!$B$18:$B$34</definedName>
    <definedName name="XDO_?NOVAL?84?">SI!$B$18:$B$45</definedName>
    <definedName name="XDO_?NOVAL?85?">SI!$B$18:$B$50</definedName>
    <definedName name="XDO_?NOVAL?86?">SI!$B$18:$B$73</definedName>
    <definedName name="XDO_?NOVAL?87?">SI!$B$18:$B$77</definedName>
    <definedName name="XDO_?NPTF?19?">SI!$D$2:$D$34</definedName>
    <definedName name="XDO_?RATING?83?">SI!$E$18:$E$34</definedName>
    <definedName name="XDO_?RATING?84?">SI!$E$18:$E$45</definedName>
    <definedName name="XDO_?RATING?85?">SI!$E$18:$E$50</definedName>
    <definedName name="XDO_?RATING?86?">SI!$E$18:$E$73</definedName>
    <definedName name="XDO_?RATING?87?">SI!$E$18:$E$77</definedName>
    <definedName name="XDO_?REMARKS?83?">SI!$K$18:$K$34</definedName>
    <definedName name="XDO_?REMARKS?84?">SI!$K$18:$K$45</definedName>
    <definedName name="XDO_?REMARKS?85?">SI!$K$18:$K$50</definedName>
    <definedName name="XDO_?REMARKS?86?">SI!$K$18:$K$73</definedName>
    <definedName name="XDO_?REMARKS?87?">SI!$K$18:$K$77</definedName>
    <definedName name="XDO_?TITL?19?">SI!$A$16:$A$34</definedName>
    <definedName name="XDO_?YTM?83?">SI!$I$18:$I$34</definedName>
    <definedName name="XDO_?YTM?84?">SI!$I$18:$I$45</definedName>
    <definedName name="XDO_?YTM?85?">SI!$I$18:$I$50</definedName>
    <definedName name="XDO_?YTM?86?">SI!$I$18:$I$73</definedName>
    <definedName name="XDO_?YTM?87?">SI!$I$18:$I$77</definedName>
    <definedName name="XDO_GROUP_?G_2?19?">SI!$2:$49</definedName>
    <definedName name="XDO_GROUP_?G_3?19?">SI!$8:$48</definedName>
    <definedName name="XDO_GROUP_?G_4?28?">[1]TA!#REF!</definedName>
    <definedName name="XDO_GROUP_?G_4?71?">[1]GR!#REF!</definedName>
    <definedName name="XDO_GROUP_?G_4?83?">SI!$B$10:$IV$24</definedName>
    <definedName name="XDO_GROUP_?G_4?84?">SI!$B$28:$IV$31</definedName>
    <definedName name="XDO_GROUP_?G_4?85?">SI!$B$35:$IV$36</definedName>
    <definedName name="XDO_GROUP_?G_4?86?">SI!$B$41:$IV$41</definedName>
    <definedName name="XDO_GROUP_?G_4?87?">SI!$B$46:$IV$46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0" i="1" l="1"/>
</calcChain>
</file>

<file path=xl/sharedStrings.xml><?xml version="1.0" encoding="utf-8"?>
<sst xmlns="http://schemas.openxmlformats.org/spreadsheetml/2006/main" count="233" uniqueCount="169">
  <si>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</si>
  <si>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</si>
  <si>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</si>
  <si>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</si>
  <si>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</si>
  <si>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</si>
  <si>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</si>
  <si>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</si>
  <si>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</si>
  <si>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</si>
  <si>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</si>
  <si>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</si>
  <si>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</si>
  <si>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</si>
  <si>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</si>
  <si>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</si>
  <si>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</si>
  <si>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</si>
  <si>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</si>
  <si>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</si>
  <si>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</si>
  <si>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703892</t>
  </si>
  <si>
    <t>7.75% Small Industries Development Bank of India 27-Oct-2025</t>
  </si>
  <si>
    <t>INE556F08KD0</t>
  </si>
  <si>
    <t>[ICRA]AAA</t>
  </si>
  <si>
    <t>N**</t>
  </si>
  <si>
    <t>703772</t>
  </si>
  <si>
    <t>7.25% National Bank for Agriculture and Rural Development 01-Aug-2025</t>
  </si>
  <si>
    <t>INE261F08DQ4</t>
  </si>
  <si>
    <t>CRISIL AAA</t>
  </si>
  <si>
    <t>704048</t>
  </si>
  <si>
    <t>7.58% Power Finance Corporation Ltd. 15-Jan-2026</t>
  </si>
  <si>
    <t>INE134E08LZ0</t>
  </si>
  <si>
    <t>704002</t>
  </si>
  <si>
    <t>7.88% Kotak Mahindra Prime Ltd. 17-Feb-2025</t>
  </si>
  <si>
    <t>INE916DA7RZ5</t>
  </si>
  <si>
    <t>703771</t>
  </si>
  <si>
    <t>7.12% Hindustan Petroleum Corporation Ltd. 30-Jul-2025</t>
  </si>
  <si>
    <t>INE094A08127</t>
  </si>
  <si>
    <t>704138</t>
  </si>
  <si>
    <t>7.68% Housing and Urban Development Corporation Ltd. 16-May-2026</t>
  </si>
  <si>
    <t>INE031A08871</t>
  </si>
  <si>
    <t>704128</t>
  </si>
  <si>
    <t>7.60% REC Ltd. 27-Feb-2026</t>
  </si>
  <si>
    <t>INE020B08EF4</t>
  </si>
  <si>
    <t>703915</t>
  </si>
  <si>
    <t>8.50% JM Financial Products Ltd. 16-May-2025</t>
  </si>
  <si>
    <t>INE523H07BV9</t>
  </si>
  <si>
    <t>[ICRA]AA</t>
  </si>
  <si>
    <t>703028</t>
  </si>
  <si>
    <t>6.25% Embassy Office Parks Reit 18-Oct-2024</t>
  </si>
  <si>
    <t>INE041007076</t>
  </si>
  <si>
    <t>704055</t>
  </si>
  <si>
    <t>8.30% Muthoot Finance Ltd. 06-Jan-2026</t>
  </si>
  <si>
    <t>INE414G07HI7</t>
  </si>
  <si>
    <t>CRISIL AA+</t>
  </si>
  <si>
    <t>703648</t>
  </si>
  <si>
    <t>7.34% National Housing Bank 07-Aug-2025</t>
  </si>
  <si>
    <t>INE557F08FN7</t>
  </si>
  <si>
    <t>702593</t>
  </si>
  <si>
    <t>5.45% NTPC Ltd. 15-Oct-2025</t>
  </si>
  <si>
    <t>INE733E08163</t>
  </si>
  <si>
    <t>702874</t>
  </si>
  <si>
    <t>6.00% Housing Development Finance Corporation Ltd. 29-May-2026</t>
  </si>
  <si>
    <t>INE001A07SY9</t>
  </si>
  <si>
    <t>703777</t>
  </si>
  <si>
    <t>8.35% Piramal Capital &amp; Housing Finance Ltd. 23-Sep-2023</t>
  </si>
  <si>
    <t>INE516Y07386</t>
  </si>
  <si>
    <t>704114</t>
  </si>
  <si>
    <t>8.50% Muthoot Finance Ltd. 29-Jan-2026</t>
  </si>
  <si>
    <t>INE414G07HK3</t>
  </si>
  <si>
    <t>703737</t>
  </si>
  <si>
    <t>7.42% Bajaj Housing Finance Ltd. 12-Jul-2024</t>
  </si>
  <si>
    <t>INE377Y07318</t>
  </si>
  <si>
    <t>700186</t>
  </si>
  <si>
    <t>11.00% Motilal Oswal Home Finance Ltd. 07-Aug-2026</t>
  </si>
  <si>
    <t>INE658R08123</t>
  </si>
  <si>
    <t>CRISIL AA</t>
  </si>
  <si>
    <t>Total</t>
  </si>
  <si>
    <t>b) Privately Placed/Unlisted</t>
  </si>
  <si>
    <t>c) Securitised Debt Instruments</t>
  </si>
  <si>
    <t>d) Central Government Securities</t>
  </si>
  <si>
    <t>900163</t>
  </si>
  <si>
    <t>5.74% Government of India 15-Nov-2026</t>
  </si>
  <si>
    <t>IN0020210186</t>
  </si>
  <si>
    <t>Sovereign</t>
  </si>
  <si>
    <t>900154</t>
  </si>
  <si>
    <t>7.42% Government of India 22-Sep-2033</t>
  </si>
  <si>
    <t>IN0020200120</t>
  </si>
  <si>
    <t>900249</t>
  </si>
  <si>
    <t>7.10% Government of India 18-Apr-2029</t>
  </si>
  <si>
    <t>IN0020220011</t>
  </si>
  <si>
    <t>900145</t>
  </si>
  <si>
    <t>5.22% Government of India 15-Jun-2025</t>
  </si>
  <si>
    <t>IN0020200112</t>
  </si>
  <si>
    <t>e) State Government Securities</t>
  </si>
  <si>
    <t>1900796</t>
  </si>
  <si>
    <t>7.08% State Government of Karnataka 14-Dec-2026</t>
  </si>
  <si>
    <t>IN1920160059</t>
  </si>
  <si>
    <t>1900324</t>
  </si>
  <si>
    <t>8.21% State Government of Rajasthan 31-Mar-2025</t>
  </si>
  <si>
    <t>IN2920150447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</si>
  <si>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</si>
  <si>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</si>
  <si>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</si>
  <si>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</si>
  <si>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</si>
  <si>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</si>
  <si>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</si>
  <si>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</si>
  <si>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</si>
  <si>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</si>
  <si>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</si>
  <si>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</si>
  <si>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</si>
  <si>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</si>
  <si>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</si>
  <si>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</si>
  <si>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</si>
  <si>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</si>
  <si>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</si>
  <si>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</si>
  <si>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</si>
  <si>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</si>
  <si>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</si>
  <si>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</si>
  <si>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</si>
  <si>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</si>
  <si>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</si>
  <si>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</si>
  <si>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</si>
  <si>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</si>
  <si>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</si>
  <si>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</si>
  <si>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</si>
  <si>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</si>
  <si>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</si>
  <si>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</si>
  <si>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</si>
  <si>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</si>
  <si>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</si>
  <si>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</si>
  <si>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1255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</si>
  <si>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</si>
  <si>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</si>
  <si>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</si>
  <si>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</si>
  <si>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</si>
  <si>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</si>
  <si>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</si>
  <si>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</si>
  <si>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</si>
  <si>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817 days.</t>
  </si>
  <si>
    <t>(18) Annualised Portfolio YTM has been 7.1663.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</si>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</sst>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62BFDEAF-7293-4E19-9005-13CA3E9EB3C6}"/>
    <cellStyle name="Hyperlink" xfId="2" builtinId="8"/>
    <cellStyle name="Normal" xfId="0" builtinId="0"/>
    <cellStyle name="Normal 2" xfId="4" xr:uid="{E7AEC01F-3ACF-49CE-9DBE-B53740A170DC}"/>
    <cellStyle name="Style 1" xfId="3" xr:uid="{D90DB200-6CD7-4870-B311-8068827F8A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504275</xdr:colOff>
      <xdr:row>143</xdr:row>
      <xdr:rowOff>64686</xdr:rowOff>
    </xdr:to>
    <xdr:pic>
      <xdr:nvPicPr>
        <xdr:cNvPr id="3" name="Picture 2">
          <a:extLst>
            <a:ext uri="{FF2B5EF4-FFF2-40B4-BE49-F238E27FC236}">
              <a16:creationId xmlns:a16="http://schemas.microsoft.com/office/drawing/2014/main" id="{7A2462D5-9713-8D81-666F-30BEE7B806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852467"/>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4360-EA86-4A17-AD80-A2BE44383033}">
  <dimension ref="A1:BC154"/>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200</v>
      </c>
      <c r="G18" s="32">
        <v>1993.23</v>
      </c>
      <c r="H18" s="32">
        <v>8.48</v>
      </c>
      <c r="I18" s="33">
        <v>7.87</v>
      </c>
      <c r="J18" s="33"/>
      <c r="K18" s="34" t="s">
        <v>25</v>
      </c>
    </row>
    <row r="19" spans="2:11" x14ac:dyDescent="0.3">
      <c r="B19" s="1" t="s">
        <v>26</v>
      </c>
      <c r="C19" s="21" t="s">
        <v>27</v>
      </c>
      <c r="D19" s="29" t="s">
        <v>28</v>
      </c>
      <c r="E19" s="30" t="s">
        <v>29</v>
      </c>
      <c r="F19" s="31">
        <v>180</v>
      </c>
      <c r="G19" s="32">
        <v>1775.94</v>
      </c>
      <c r="H19" s="32">
        <v>7.55</v>
      </c>
      <c r="I19" s="33">
        <v>7.8449999999999998</v>
      </c>
      <c r="J19" s="33"/>
      <c r="K19" s="34" t="s">
        <v>25</v>
      </c>
    </row>
    <row r="20" spans="2:11" x14ac:dyDescent="0.3">
      <c r="B20" s="1" t="s">
        <v>30</v>
      </c>
      <c r="C20" s="21" t="s">
        <v>31</v>
      </c>
      <c r="D20" s="29" t="s">
        <v>32</v>
      </c>
      <c r="E20" s="30" t="s">
        <v>29</v>
      </c>
      <c r="F20" s="31">
        <v>170</v>
      </c>
      <c r="G20" s="32">
        <v>1693.1</v>
      </c>
      <c r="H20" s="32">
        <v>7.2</v>
      </c>
      <c r="I20" s="33">
        <v>7.7309999999999999</v>
      </c>
      <c r="J20" s="33"/>
      <c r="K20" s="34" t="s">
        <v>25</v>
      </c>
    </row>
    <row r="21" spans="2:11" x14ac:dyDescent="0.3">
      <c r="B21" s="1" t="s">
        <v>33</v>
      </c>
      <c r="C21" s="21" t="s">
        <v>34</v>
      </c>
      <c r="D21" s="29" t="s">
        <v>35</v>
      </c>
      <c r="E21" s="30" t="s">
        <v>29</v>
      </c>
      <c r="F21" s="31">
        <v>150</v>
      </c>
      <c r="G21" s="32">
        <v>1497.53</v>
      </c>
      <c r="H21" s="32">
        <v>6.37</v>
      </c>
      <c r="I21" s="33">
        <v>7.97</v>
      </c>
      <c r="J21" s="33"/>
      <c r="K21" s="34" t="s">
        <v>25</v>
      </c>
    </row>
    <row r="22" spans="2:11" x14ac:dyDescent="0.3">
      <c r="B22" s="1" t="s">
        <v>36</v>
      </c>
      <c r="C22" s="21" t="s">
        <v>37</v>
      </c>
      <c r="D22" s="29" t="s">
        <v>38</v>
      </c>
      <c r="E22" s="30" t="s">
        <v>29</v>
      </c>
      <c r="F22" s="31">
        <v>130</v>
      </c>
      <c r="G22" s="32">
        <v>1283.1199999999999</v>
      </c>
      <c r="H22" s="32">
        <v>5.46</v>
      </c>
      <c r="I22" s="33">
        <v>7.7050000000000001</v>
      </c>
      <c r="J22" s="33"/>
      <c r="K22" s="34" t="s">
        <v>25</v>
      </c>
    </row>
    <row r="23" spans="2:11" x14ac:dyDescent="0.3">
      <c r="B23" s="1" t="s">
        <v>39</v>
      </c>
      <c r="C23" s="21" t="s">
        <v>40</v>
      </c>
      <c r="D23" s="29" t="s">
        <v>41</v>
      </c>
      <c r="E23" s="30" t="s">
        <v>24</v>
      </c>
      <c r="F23" s="31">
        <v>1000</v>
      </c>
      <c r="G23" s="32">
        <v>997.2</v>
      </c>
      <c r="H23" s="32">
        <v>4.24</v>
      </c>
      <c r="I23" s="33">
        <v>7.7975000000000003</v>
      </c>
      <c r="J23" s="33"/>
      <c r="K23" s="34" t="s">
        <v>25</v>
      </c>
    </row>
    <row r="24" spans="2:11" x14ac:dyDescent="0.3">
      <c r="B24" s="1" t="s">
        <v>42</v>
      </c>
      <c r="C24" s="21" t="s">
        <v>43</v>
      </c>
      <c r="D24" s="29" t="s">
        <v>44</v>
      </c>
      <c r="E24" s="30" t="s">
        <v>29</v>
      </c>
      <c r="F24" s="31">
        <v>1000</v>
      </c>
      <c r="G24" s="32">
        <v>994.57</v>
      </c>
      <c r="H24" s="32">
        <v>4.2300000000000004</v>
      </c>
      <c r="I24" s="33">
        <v>7.7949999999999999</v>
      </c>
      <c r="J24" s="33"/>
      <c r="K24" s="34" t="s">
        <v>25</v>
      </c>
    </row>
    <row r="25" spans="2:11" x14ac:dyDescent="0.3">
      <c r="B25" s="1" t="s">
        <v>45</v>
      </c>
      <c r="C25" s="21" t="s">
        <v>46</v>
      </c>
      <c r="D25" s="29" t="s">
        <v>47</v>
      </c>
      <c r="E25" s="30" t="s">
        <v>48</v>
      </c>
      <c r="F25" s="31">
        <v>100</v>
      </c>
      <c r="G25" s="32">
        <v>981.09</v>
      </c>
      <c r="H25" s="32">
        <v>4.17</v>
      </c>
      <c r="I25" s="33">
        <v>9.4885999999999999</v>
      </c>
      <c r="J25" s="33"/>
      <c r="K25" s="34" t="s">
        <v>25</v>
      </c>
    </row>
    <row r="26" spans="2:11" x14ac:dyDescent="0.3">
      <c r="B26" s="1" t="s">
        <v>49</v>
      </c>
      <c r="C26" s="21" t="s">
        <v>50</v>
      </c>
      <c r="D26" s="29" t="s">
        <v>51</v>
      </c>
      <c r="E26" s="30" t="s">
        <v>29</v>
      </c>
      <c r="F26" s="31">
        <v>100</v>
      </c>
      <c r="G26" s="32">
        <v>973.31</v>
      </c>
      <c r="H26" s="32">
        <v>4.1399999999999997</v>
      </c>
      <c r="I26" s="33">
        <v>8.2508999999999997</v>
      </c>
      <c r="J26" s="33"/>
      <c r="K26" s="34" t="s">
        <v>25</v>
      </c>
    </row>
    <row r="27" spans="2:11" x14ac:dyDescent="0.3">
      <c r="B27" s="1" t="s">
        <v>52</v>
      </c>
      <c r="C27" s="21" t="s">
        <v>53</v>
      </c>
      <c r="D27" s="29" t="s">
        <v>54</v>
      </c>
      <c r="E27" s="30" t="s">
        <v>55</v>
      </c>
      <c r="F27" s="31">
        <v>90</v>
      </c>
      <c r="G27" s="32">
        <v>891.18</v>
      </c>
      <c r="H27" s="32">
        <v>3.79</v>
      </c>
      <c r="I27" s="33">
        <v>8.6850000000000005</v>
      </c>
      <c r="J27" s="33"/>
      <c r="K27" s="34" t="s">
        <v>25</v>
      </c>
    </row>
    <row r="28" spans="2:11" x14ac:dyDescent="0.3">
      <c r="B28" s="1" t="s">
        <v>56</v>
      </c>
      <c r="C28" s="21" t="s">
        <v>57</v>
      </c>
      <c r="D28" s="29" t="s">
        <v>58</v>
      </c>
      <c r="E28" s="30" t="s">
        <v>29</v>
      </c>
      <c r="F28" s="31">
        <v>50</v>
      </c>
      <c r="G28" s="32">
        <v>495.01</v>
      </c>
      <c r="H28" s="32">
        <v>2.11</v>
      </c>
      <c r="I28" s="33">
        <v>7.7949999999999999</v>
      </c>
      <c r="J28" s="33"/>
      <c r="K28" s="34" t="s">
        <v>25</v>
      </c>
    </row>
    <row r="29" spans="2:11" x14ac:dyDescent="0.3">
      <c r="B29" s="1" t="s">
        <v>59</v>
      </c>
      <c r="C29" s="21" t="s">
        <v>60</v>
      </c>
      <c r="D29" s="29" t="s">
        <v>61</v>
      </c>
      <c r="E29" s="30" t="s">
        <v>29</v>
      </c>
      <c r="F29" s="31">
        <v>35</v>
      </c>
      <c r="G29" s="32">
        <v>331</v>
      </c>
      <c r="H29" s="32">
        <v>1.41</v>
      </c>
      <c r="I29" s="33">
        <v>7.7949999999999999</v>
      </c>
      <c r="J29" s="33"/>
      <c r="K29" s="34" t="s">
        <v>25</v>
      </c>
    </row>
    <row r="30" spans="2:11" x14ac:dyDescent="0.3">
      <c r="B30" s="1" t="s">
        <v>62</v>
      </c>
      <c r="C30" s="21" t="s">
        <v>63</v>
      </c>
      <c r="D30" s="29" t="s">
        <v>64</v>
      </c>
      <c r="E30" s="30" t="s">
        <v>29</v>
      </c>
      <c r="F30" s="31">
        <v>35</v>
      </c>
      <c r="G30" s="32">
        <v>330.43</v>
      </c>
      <c r="H30" s="32">
        <v>1.41</v>
      </c>
      <c r="I30" s="33">
        <v>8.0099</v>
      </c>
      <c r="J30" s="33"/>
      <c r="K30" s="34" t="s">
        <v>25</v>
      </c>
    </row>
    <row r="31" spans="2:11" x14ac:dyDescent="0.3">
      <c r="B31" s="1" t="s">
        <v>65</v>
      </c>
      <c r="C31" s="21" t="s">
        <v>66</v>
      </c>
      <c r="D31" s="29" t="s">
        <v>67</v>
      </c>
      <c r="E31" s="30" t="s">
        <v>48</v>
      </c>
      <c r="F31" s="31">
        <v>30000</v>
      </c>
      <c r="G31" s="32">
        <v>299.54000000000002</v>
      </c>
      <c r="H31" s="32">
        <v>1.27</v>
      </c>
      <c r="I31" s="33">
        <v>8.5699000000000005</v>
      </c>
      <c r="J31" s="33"/>
      <c r="K31" s="34" t="s">
        <v>25</v>
      </c>
    </row>
    <row r="32" spans="2:11" x14ac:dyDescent="0.3">
      <c r="B32" s="1" t="s">
        <v>68</v>
      </c>
      <c r="C32" s="21" t="s">
        <v>69</v>
      </c>
      <c r="D32" s="29" t="s">
        <v>70</v>
      </c>
      <c r="E32" s="30" t="s">
        <v>55</v>
      </c>
      <c r="F32" s="31">
        <v>300</v>
      </c>
      <c r="G32" s="32">
        <v>298.54000000000002</v>
      </c>
      <c r="H32" s="32">
        <v>1.27</v>
      </c>
      <c r="I32" s="33">
        <v>8.6850000000000005</v>
      </c>
      <c r="J32" s="33"/>
      <c r="K32" s="34" t="s">
        <v>25</v>
      </c>
    </row>
    <row r="33" spans="2:11" x14ac:dyDescent="0.3">
      <c r="B33" s="1" t="s">
        <v>71</v>
      </c>
      <c r="C33" s="21" t="s">
        <v>72</v>
      </c>
      <c r="D33" s="29" t="s">
        <v>73</v>
      </c>
      <c r="E33" s="30" t="s">
        <v>29</v>
      </c>
      <c r="F33" s="31">
        <v>30</v>
      </c>
      <c r="G33" s="32">
        <v>297.61</v>
      </c>
      <c r="H33" s="32">
        <v>1.27</v>
      </c>
      <c r="I33" s="33">
        <v>8.0048999999999992</v>
      </c>
      <c r="J33" s="33"/>
      <c r="K33" s="34" t="s">
        <v>25</v>
      </c>
    </row>
    <row r="34" spans="2:11" x14ac:dyDescent="0.3">
      <c r="B34" s="1" t="s">
        <v>74</v>
      </c>
      <c r="C34" s="21" t="s">
        <v>75</v>
      </c>
      <c r="D34" s="29" t="s">
        <v>76</v>
      </c>
      <c r="E34" s="30" t="s">
        <v>77</v>
      </c>
      <c r="F34" s="31">
        <v>25</v>
      </c>
      <c r="G34" s="32">
        <v>256.47000000000003</v>
      </c>
      <c r="H34" s="32">
        <v>1.0900000000000001</v>
      </c>
      <c r="I34" s="33">
        <v>10.0275</v>
      </c>
      <c r="J34" s="33"/>
      <c r="K34" s="34" t="s">
        <v>25</v>
      </c>
    </row>
    <row r="35" spans="2:11" x14ac:dyDescent="0.3">
      <c r="C35" s="28" t="s">
        <v>78</v>
      </c>
      <c r="D35" s="29"/>
      <c r="E35" s="30"/>
      <c r="F35" s="31"/>
      <c r="G35" s="38">
        <v>15388.87</v>
      </c>
      <c r="H35" s="38">
        <v>65.459999999999994</v>
      </c>
      <c r="I35" s="33"/>
      <c r="J35" s="33"/>
      <c r="K35" s="34"/>
    </row>
    <row r="36" spans="2:11" x14ac:dyDescent="0.3">
      <c r="C36" s="21"/>
      <c r="D36" s="29"/>
      <c r="E36" s="30"/>
      <c r="F36" s="31"/>
      <c r="G36" s="32"/>
      <c r="H36" s="32"/>
      <c r="I36" s="33"/>
      <c r="J36" s="33"/>
      <c r="K36" s="34"/>
    </row>
    <row r="37" spans="2:11" x14ac:dyDescent="0.3">
      <c r="C37" s="28" t="s">
        <v>79</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28" t="s">
        <v>80</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37" t="s">
        <v>81</v>
      </c>
      <c r="D41" s="29"/>
      <c r="E41" s="30"/>
      <c r="F41" s="31"/>
      <c r="G41" s="32"/>
      <c r="H41" s="32"/>
      <c r="I41" s="33"/>
      <c r="J41" s="33"/>
      <c r="K41" s="34"/>
    </row>
    <row r="42" spans="2:11" x14ac:dyDescent="0.3">
      <c r="B42" s="1" t="s">
        <v>82</v>
      </c>
      <c r="C42" s="21" t="s">
        <v>83</v>
      </c>
      <c r="D42" s="29" t="s">
        <v>84</v>
      </c>
      <c r="E42" s="30" t="s">
        <v>85</v>
      </c>
      <c r="F42" s="31">
        <v>2500000</v>
      </c>
      <c r="G42" s="32">
        <v>2366.25</v>
      </c>
      <c r="H42" s="32">
        <v>10.06</v>
      </c>
      <c r="I42" s="33">
        <v>7.5505018000000002</v>
      </c>
      <c r="J42" s="33"/>
      <c r="K42" s="34"/>
    </row>
    <row r="43" spans="2:11" x14ac:dyDescent="0.3">
      <c r="B43" s="1" t="s">
        <v>86</v>
      </c>
      <c r="C43" s="21" t="s">
        <v>87</v>
      </c>
      <c r="D43" s="29" t="s">
        <v>88</v>
      </c>
      <c r="E43" s="30" t="s">
        <v>85</v>
      </c>
      <c r="F43" s="31">
        <v>2150000</v>
      </c>
      <c r="G43" s="32">
        <v>2141.42</v>
      </c>
      <c r="H43" s="32">
        <v>9.11</v>
      </c>
      <c r="I43" s="33">
        <v>0</v>
      </c>
      <c r="J43" s="33"/>
      <c r="K43" s="34"/>
    </row>
    <row r="44" spans="2:11" x14ac:dyDescent="0.3">
      <c r="B44" s="1" t="s">
        <v>89</v>
      </c>
      <c r="C44" s="21" t="s">
        <v>90</v>
      </c>
      <c r="D44" s="29" t="s">
        <v>91</v>
      </c>
      <c r="E44" s="30" t="s">
        <v>85</v>
      </c>
      <c r="F44" s="31">
        <v>1000000</v>
      </c>
      <c r="G44" s="32">
        <v>983.17</v>
      </c>
      <c r="H44" s="32">
        <v>4.18</v>
      </c>
      <c r="I44" s="33">
        <v>7.5814219999999999</v>
      </c>
      <c r="J44" s="33"/>
      <c r="K44" s="34"/>
    </row>
    <row r="45" spans="2:11" x14ac:dyDescent="0.3">
      <c r="B45" s="1" t="s">
        <v>92</v>
      </c>
      <c r="C45" s="21" t="s">
        <v>93</v>
      </c>
      <c r="D45" s="29" t="s">
        <v>94</v>
      </c>
      <c r="E45" s="30" t="s">
        <v>85</v>
      </c>
      <c r="F45" s="31">
        <v>401000</v>
      </c>
      <c r="G45" s="32">
        <v>383.44</v>
      </c>
      <c r="H45" s="32">
        <v>1.63</v>
      </c>
      <c r="I45" s="33">
        <v>7.4610208</v>
      </c>
      <c r="J45" s="33"/>
      <c r="K45" s="34"/>
    </row>
    <row r="46" spans="2:11" x14ac:dyDescent="0.3">
      <c r="C46" s="28" t="s">
        <v>78</v>
      </c>
      <c r="D46" s="29"/>
      <c r="E46" s="30"/>
      <c r="F46" s="31"/>
      <c r="G46" s="38">
        <v>5874.28</v>
      </c>
      <c r="H46" s="38">
        <v>24.98</v>
      </c>
      <c r="I46" s="33"/>
      <c r="J46" s="33"/>
      <c r="K46" s="34"/>
    </row>
    <row r="47" spans="2:11" x14ac:dyDescent="0.3">
      <c r="C47" s="21"/>
      <c r="D47" s="29"/>
      <c r="E47" s="30"/>
      <c r="F47" s="31"/>
      <c r="G47" s="32"/>
      <c r="H47" s="32"/>
      <c r="I47" s="33"/>
      <c r="J47" s="33"/>
      <c r="K47" s="34"/>
    </row>
    <row r="48" spans="2:11" x14ac:dyDescent="0.3">
      <c r="C48" s="37" t="s">
        <v>95</v>
      </c>
      <c r="D48" s="29"/>
      <c r="E48" s="30"/>
      <c r="F48" s="31"/>
      <c r="G48" s="32"/>
      <c r="H48" s="32"/>
      <c r="I48" s="33"/>
      <c r="J48" s="33"/>
      <c r="K48" s="34"/>
    </row>
    <row r="49" spans="1:11" x14ac:dyDescent="0.3">
      <c r="B49" s="1" t="s">
        <v>96</v>
      </c>
      <c r="C49" s="21" t="s">
        <v>97</v>
      </c>
      <c r="D49" s="29" t="s">
        <v>98</v>
      </c>
      <c r="E49" s="30" t="s">
        <v>85</v>
      </c>
      <c r="F49" s="31">
        <v>1000000</v>
      </c>
      <c r="G49" s="32">
        <v>983.33</v>
      </c>
      <c r="H49" s="32">
        <v>4.18</v>
      </c>
      <c r="I49" s="33">
        <v>7.734</v>
      </c>
      <c r="J49" s="33"/>
      <c r="K49" s="34"/>
    </row>
    <row r="50" spans="1:11" x14ac:dyDescent="0.3">
      <c r="B50" s="1" t="s">
        <v>99</v>
      </c>
      <c r="C50" s="21" t="s">
        <v>100</v>
      </c>
      <c r="D50" s="29" t="s">
        <v>101</v>
      </c>
      <c r="E50" s="30" t="s">
        <v>85</v>
      </c>
      <c r="F50" s="31">
        <v>100000</v>
      </c>
      <c r="G50" s="32">
        <v>100.99</v>
      </c>
      <c r="H50" s="32">
        <v>0.43</v>
      </c>
      <c r="I50" s="33">
        <v>7.8265989999999999</v>
      </c>
      <c r="J50" s="33"/>
      <c r="K50" s="34"/>
    </row>
    <row r="51" spans="1:11" x14ac:dyDescent="0.3">
      <c r="C51" s="28" t="s">
        <v>78</v>
      </c>
      <c r="D51" s="29"/>
      <c r="E51" s="30"/>
      <c r="F51" s="31"/>
      <c r="G51" s="38">
        <v>1084.32</v>
      </c>
      <c r="H51" s="38">
        <v>4.6100000000000003</v>
      </c>
      <c r="I51" s="33"/>
      <c r="J51" s="33"/>
      <c r="K51" s="34"/>
    </row>
    <row r="52" spans="1:11" x14ac:dyDescent="0.3">
      <c r="C52" s="21"/>
      <c r="D52" s="29"/>
      <c r="E52" s="30"/>
      <c r="F52" s="31"/>
      <c r="G52" s="32"/>
      <c r="H52" s="32"/>
      <c r="I52" s="33"/>
      <c r="J52" s="33"/>
      <c r="K52" s="34"/>
    </row>
    <row r="53" spans="1:11" x14ac:dyDescent="0.3">
      <c r="C53" s="28" t="s">
        <v>102</v>
      </c>
      <c r="D53" s="29"/>
      <c r="E53" s="30"/>
      <c r="F53" s="31"/>
      <c r="G53" s="32"/>
      <c r="H53" s="32"/>
      <c r="I53" s="33"/>
      <c r="J53" s="33"/>
      <c r="K53" s="34"/>
    </row>
    <row r="54" spans="1:11" x14ac:dyDescent="0.3">
      <c r="C54" s="21"/>
      <c r="D54" s="29"/>
      <c r="E54" s="30"/>
      <c r="F54" s="31"/>
      <c r="G54" s="32"/>
      <c r="H54" s="32"/>
      <c r="I54" s="33"/>
      <c r="J54" s="33"/>
      <c r="K54" s="34"/>
    </row>
    <row r="55" spans="1:11" x14ac:dyDescent="0.3">
      <c r="C55" s="28" t="s">
        <v>103</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C57" s="28" t="s">
        <v>104</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105</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106</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A63" s="35"/>
      <c r="B63" s="36"/>
      <c r="C63" s="28" t="s">
        <v>107</v>
      </c>
      <c r="D63" s="29"/>
      <c r="E63" s="30"/>
      <c r="F63" s="31"/>
      <c r="G63" s="32"/>
      <c r="H63" s="32"/>
      <c r="I63" s="33"/>
      <c r="J63" s="33"/>
      <c r="K63" s="34"/>
    </row>
    <row r="64" spans="1:11" x14ac:dyDescent="0.3">
      <c r="A64" s="36"/>
      <c r="B64" s="36"/>
      <c r="C64" s="28" t="s">
        <v>108</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A66" s="36"/>
      <c r="B66" s="36"/>
      <c r="C66" s="28" t="s">
        <v>109</v>
      </c>
      <c r="D66" s="29"/>
      <c r="E66" s="30"/>
      <c r="F66" s="31"/>
      <c r="G66" s="32" t="s">
        <v>16</v>
      </c>
      <c r="H66" s="32" t="s">
        <v>16</v>
      </c>
      <c r="I66" s="33"/>
      <c r="J66" s="33"/>
      <c r="K66" s="34"/>
    </row>
    <row r="67" spans="1:11" x14ac:dyDescent="0.3">
      <c r="A67" s="36"/>
      <c r="B67" s="36"/>
      <c r="C67" s="28"/>
      <c r="D67" s="29"/>
      <c r="E67" s="30"/>
      <c r="F67" s="31"/>
      <c r="G67" s="32"/>
      <c r="H67" s="32"/>
      <c r="I67" s="33"/>
      <c r="J67" s="33"/>
      <c r="K67" s="34"/>
    </row>
    <row r="68" spans="1:11" x14ac:dyDescent="0.3">
      <c r="A68" s="36"/>
      <c r="B68" s="36"/>
      <c r="C68" s="28" t="s">
        <v>110</v>
      </c>
      <c r="D68" s="29"/>
      <c r="E68" s="30"/>
      <c r="F68" s="31"/>
      <c r="G68" s="32" t="s">
        <v>16</v>
      </c>
      <c r="H68" s="32" t="s">
        <v>16</v>
      </c>
      <c r="I68" s="33"/>
      <c r="J68" s="33"/>
      <c r="K68" s="34"/>
    </row>
    <row r="69" spans="1:11" x14ac:dyDescent="0.3">
      <c r="A69" s="36"/>
      <c r="B69" s="36"/>
      <c r="C69" s="28"/>
      <c r="D69" s="29"/>
      <c r="E69" s="30"/>
      <c r="F69" s="31"/>
      <c r="G69" s="32"/>
      <c r="H69" s="32"/>
      <c r="I69" s="33"/>
      <c r="J69" s="33"/>
      <c r="K69" s="34"/>
    </row>
    <row r="70" spans="1:11" x14ac:dyDescent="0.3">
      <c r="A70" s="36"/>
      <c r="B70" s="36"/>
      <c r="C70" s="28" t="s">
        <v>111</v>
      </c>
      <c r="D70" s="29"/>
      <c r="E70" s="30"/>
      <c r="F70" s="31"/>
      <c r="G70" s="32" t="s">
        <v>16</v>
      </c>
      <c r="H70" s="32" t="s">
        <v>16</v>
      </c>
      <c r="I70" s="33"/>
      <c r="J70" s="33"/>
      <c r="K70" s="34"/>
    </row>
    <row r="71" spans="1:11" x14ac:dyDescent="0.3">
      <c r="A71" s="36"/>
      <c r="B71" s="36"/>
      <c r="C71" s="28"/>
      <c r="D71" s="29"/>
      <c r="E71" s="30"/>
      <c r="F71" s="31"/>
      <c r="G71" s="32"/>
      <c r="H71" s="32"/>
      <c r="I71" s="33"/>
      <c r="J71" s="33"/>
      <c r="K71" s="34"/>
    </row>
    <row r="72" spans="1:11" x14ac:dyDescent="0.3">
      <c r="C72" s="37" t="s">
        <v>112</v>
      </c>
      <c r="D72" s="29"/>
      <c r="E72" s="30"/>
      <c r="F72" s="31"/>
      <c r="G72" s="32"/>
      <c r="H72" s="32"/>
      <c r="I72" s="33"/>
      <c r="J72" s="33"/>
      <c r="K72" s="34"/>
    </row>
    <row r="73" spans="1:11" x14ac:dyDescent="0.3">
      <c r="B73" s="1" t="s">
        <v>113</v>
      </c>
      <c r="C73" s="21" t="s">
        <v>114</v>
      </c>
      <c r="D73" s="29"/>
      <c r="E73" s="30"/>
      <c r="F73" s="31"/>
      <c r="G73" s="32">
        <v>845.37</v>
      </c>
      <c r="H73" s="32">
        <v>3.6</v>
      </c>
      <c r="I73" s="33">
        <v>6.51</v>
      </c>
      <c r="J73" s="33"/>
      <c r="K73" s="34"/>
    </row>
    <row r="74" spans="1:11" x14ac:dyDescent="0.3">
      <c r="C74" s="28" t="s">
        <v>78</v>
      </c>
      <c r="D74" s="29"/>
      <c r="E74" s="30"/>
      <c r="F74" s="31"/>
      <c r="G74" s="38">
        <v>845.37</v>
      </c>
      <c r="H74" s="38">
        <v>3.6</v>
      </c>
      <c r="I74" s="33"/>
      <c r="J74" s="33"/>
      <c r="K74" s="34"/>
    </row>
    <row r="75" spans="1:11" x14ac:dyDescent="0.3">
      <c r="C75" s="21"/>
      <c r="D75" s="29"/>
      <c r="E75" s="30"/>
      <c r="F75" s="31"/>
      <c r="G75" s="32"/>
      <c r="H75" s="32"/>
      <c r="I75" s="33"/>
      <c r="J75" s="33"/>
      <c r="K75" s="34"/>
    </row>
    <row r="76" spans="1:11" x14ac:dyDescent="0.3">
      <c r="A76" s="35"/>
      <c r="B76" s="36"/>
      <c r="C76" s="28" t="s">
        <v>115</v>
      </c>
      <c r="D76" s="29"/>
      <c r="E76" s="30"/>
      <c r="F76" s="31"/>
      <c r="G76" s="32"/>
      <c r="H76" s="32"/>
      <c r="I76" s="33"/>
      <c r="J76" s="33"/>
      <c r="K76" s="34"/>
    </row>
    <row r="77" spans="1:11" x14ac:dyDescent="0.3">
      <c r="B77" s="1"/>
      <c r="C77" s="21" t="s">
        <v>116</v>
      </c>
      <c r="D77" s="29"/>
      <c r="E77" s="30"/>
      <c r="F77" s="31"/>
      <c r="G77" s="32">
        <v>319.33</v>
      </c>
      <c r="H77" s="32">
        <v>1.35</v>
      </c>
      <c r="I77" s="33"/>
      <c r="J77" s="33"/>
      <c r="K77" s="34"/>
    </row>
    <row r="78" spans="1:11" x14ac:dyDescent="0.3">
      <c r="C78" s="28" t="s">
        <v>78</v>
      </c>
      <c r="D78" s="29"/>
      <c r="E78" s="30"/>
      <c r="F78" s="31"/>
      <c r="G78" s="38">
        <v>319.33</v>
      </c>
      <c r="H78" s="38">
        <v>1.35</v>
      </c>
      <c r="I78" s="33"/>
      <c r="J78" s="33"/>
      <c r="K78" s="34"/>
    </row>
    <row r="79" spans="1:11" x14ac:dyDescent="0.3">
      <c r="C79" s="21"/>
      <c r="D79" s="29"/>
      <c r="E79" s="30"/>
      <c r="F79" s="31"/>
      <c r="G79" s="32"/>
      <c r="H79" s="32"/>
      <c r="I79" s="33"/>
      <c r="J79" s="33"/>
      <c r="K79" s="34"/>
    </row>
    <row r="80" spans="1:11" ht="14.4" thickBot="1" x14ac:dyDescent="0.35">
      <c r="C80" s="39" t="s">
        <v>117</v>
      </c>
      <c r="D80" s="40"/>
      <c r="E80" s="41"/>
      <c r="F80" s="42"/>
      <c r="G80" s="43">
        <v>23512.17</v>
      </c>
      <c r="H80" s="43">
        <f>SUMIFS(H:H,C:C,"Total")</f>
        <v>99.999999999999986</v>
      </c>
      <c r="I80" s="44"/>
      <c r="J80" s="44"/>
      <c r="K80" s="45"/>
    </row>
    <row r="83" spans="3:55" x14ac:dyDescent="0.3">
      <c r="C83" s="11" t="s">
        <v>118</v>
      </c>
    </row>
    <row r="84" spans="3:55" x14ac:dyDescent="0.3">
      <c r="C84" s="2" t="s">
        <v>119</v>
      </c>
    </row>
    <row r="85" spans="3:55" x14ac:dyDescent="0.3">
      <c r="C85" s="46" t="s">
        <v>120</v>
      </c>
    </row>
    <row r="86" spans="3:55" x14ac:dyDescent="0.3">
      <c r="C86" s="2" t="s">
        <v>121</v>
      </c>
    </row>
    <row r="87" spans="3:55" x14ac:dyDescent="0.3">
      <c r="C87" s="2" t="s">
        <v>122</v>
      </c>
    </row>
    <row r="88" spans="3:55" x14ac:dyDescent="0.3">
      <c r="C88" s="2" t="s">
        <v>123</v>
      </c>
      <c r="D88" s="47"/>
      <c r="E88" s="47"/>
      <c r="F88" s="47"/>
      <c r="G88" s="48"/>
      <c r="H88" s="48"/>
    </row>
    <row r="89" spans="3:55" x14ac:dyDescent="0.3">
      <c r="C89" s="2" t="s">
        <v>124</v>
      </c>
    </row>
    <row r="90" spans="3:55" x14ac:dyDescent="0.3">
      <c r="C90" s="2" t="s">
        <v>125</v>
      </c>
    </row>
    <row r="91" spans="3:55" x14ac:dyDescent="0.3">
      <c r="C91" s="2" t="s">
        <v>126</v>
      </c>
    </row>
    <row r="92" spans="3:55" x14ac:dyDescent="0.3">
      <c r="C92" s="2" t="s">
        <v>127</v>
      </c>
    </row>
    <row r="93" spans="3:55" s="11" customFormat="1" x14ac:dyDescent="0.3">
      <c r="C93" s="11" t="s">
        <v>128</v>
      </c>
      <c r="E93" s="11" t="s">
        <v>129</v>
      </c>
      <c r="F93" s="49" t="s">
        <v>130</v>
      </c>
      <c r="G93" s="50"/>
      <c r="H93" s="50"/>
      <c r="I93" s="50"/>
      <c r="J93" s="50"/>
      <c r="K93" s="51"/>
      <c r="L93" s="51"/>
      <c r="M93" s="51"/>
      <c r="AJ93" s="51"/>
      <c r="AW93" s="51"/>
      <c r="AY93" s="51"/>
      <c r="BC93" s="51"/>
    </row>
    <row r="94" spans="3:55" x14ac:dyDescent="0.3">
      <c r="C94" s="2" t="s">
        <v>131</v>
      </c>
      <c r="E94" s="52">
        <v>10.0761</v>
      </c>
      <c r="F94" s="53">
        <v>10.050800000000001</v>
      </c>
    </row>
    <row r="95" spans="3:55" x14ac:dyDescent="0.3">
      <c r="C95" s="2" t="s">
        <v>132</v>
      </c>
      <c r="E95" s="52">
        <v>24.366399999999999</v>
      </c>
      <c r="F95" s="53">
        <v>24.426200000000001</v>
      </c>
    </row>
    <row r="96" spans="3:55" x14ac:dyDescent="0.3">
      <c r="C96" s="2" t="s">
        <v>133</v>
      </c>
      <c r="E96" s="52">
        <v>10.509</v>
      </c>
      <c r="F96" s="53">
        <v>10.534800000000001</v>
      </c>
    </row>
    <row r="97" spans="3:6" x14ac:dyDescent="0.3">
      <c r="C97" s="2" t="s">
        <v>134</v>
      </c>
      <c r="E97" s="52">
        <v>10.095800000000001</v>
      </c>
      <c r="F97" s="53">
        <v>10.075900000000001</v>
      </c>
    </row>
    <row r="98" spans="3:6" x14ac:dyDescent="0.3">
      <c r="C98" s="2" t="s">
        <v>135</v>
      </c>
      <c r="E98" s="52">
        <v>26.020600000000002</v>
      </c>
      <c r="F98" s="53">
        <v>26.097899999999999</v>
      </c>
    </row>
    <row r="99" spans="3:6" x14ac:dyDescent="0.3">
      <c r="C99" s="2" t="s">
        <v>136</v>
      </c>
      <c r="E99" s="52">
        <v>10.896800000000001</v>
      </c>
      <c r="F99" s="53">
        <v>10.9292</v>
      </c>
    </row>
    <row r="101" spans="3:6" x14ac:dyDescent="0.3">
      <c r="C101" s="2" t="s">
        <v>137</v>
      </c>
      <c r="E101" s="11" t="s">
        <v>138</v>
      </c>
      <c r="F101" s="49" t="s">
        <v>139</v>
      </c>
    </row>
    <row r="102" spans="3:6" x14ac:dyDescent="0.3">
      <c r="C102" s="2" t="s">
        <v>131</v>
      </c>
      <c r="E102" s="52">
        <v>0.05</v>
      </c>
      <c r="F102" s="53">
        <v>0.05</v>
      </c>
    </row>
    <row r="103" spans="3:6" x14ac:dyDescent="0.3">
      <c r="C103" s="2" t="s">
        <v>134</v>
      </c>
      <c r="E103" s="52">
        <v>0.05</v>
      </c>
      <c r="F103" s="53">
        <v>0.05</v>
      </c>
    </row>
    <row r="105" spans="3:6" x14ac:dyDescent="0.3">
      <c r="C105" s="2" t="s">
        <v>140</v>
      </c>
    </row>
    <row r="106" spans="3:6" x14ac:dyDescent="0.3">
      <c r="C106" s="2" t="s">
        <v>141</v>
      </c>
    </row>
    <row r="107" spans="3:6" x14ac:dyDescent="0.3">
      <c r="C107" s="2" t="s">
        <v>142</v>
      </c>
    </row>
    <row r="108" spans="3:6" x14ac:dyDescent="0.3">
      <c r="C108" s="2" t="s">
        <v>143</v>
      </c>
    </row>
    <row r="109" spans="3:6" x14ac:dyDescent="0.3">
      <c r="C109" s="2" t="s">
        <v>144</v>
      </c>
    </row>
    <row r="110" spans="3:6" x14ac:dyDescent="0.3">
      <c r="C110" s="2" t="s">
        <v>145</v>
      </c>
    </row>
    <row r="111" spans="3:6" x14ac:dyDescent="0.3">
      <c r="C111" s="2" t="s">
        <v>146</v>
      </c>
    </row>
    <row r="112" spans="3:6" x14ac:dyDescent="0.3">
      <c r="C112" s="2" t="s">
        <v>147</v>
      </c>
    </row>
    <row r="113" spans="3:11" x14ac:dyDescent="0.3">
      <c r="C113" s="2" t="s">
        <v>148</v>
      </c>
    </row>
    <row r="114" spans="3:11" x14ac:dyDescent="0.3">
      <c r="C114" s="2" t="s">
        <v>149</v>
      </c>
    </row>
    <row r="115" spans="3:11" x14ac:dyDescent="0.3">
      <c r="C115" s="2" t="s">
        <v>150</v>
      </c>
    </row>
    <row r="116" spans="3:11" x14ac:dyDescent="0.3">
      <c r="C116" s="2" t="s">
        <v>151</v>
      </c>
    </row>
    <row r="117" spans="3:11" x14ac:dyDescent="0.3">
      <c r="C117" s="2" t="s">
        <v>152</v>
      </c>
    </row>
    <row r="118" spans="3:11" x14ac:dyDescent="0.3">
      <c r="C118" s="2" t="s">
        <v>153</v>
      </c>
    </row>
    <row r="119" spans="3:11" ht="46.5" customHeight="1" x14ac:dyDescent="0.3">
      <c r="C119" s="55" t="s">
        <v>154</v>
      </c>
      <c r="D119" s="56"/>
      <c r="E119" s="56"/>
      <c r="F119" s="56"/>
      <c r="G119" s="56"/>
      <c r="H119" s="56"/>
      <c r="I119" s="56"/>
      <c r="J119" s="56"/>
      <c r="K119" s="56"/>
    </row>
    <row r="120" spans="3:11" ht="14.4" x14ac:dyDescent="0.3">
      <c r="C120" s="54"/>
      <c r="D120" s="54"/>
      <c r="E120" s="54"/>
      <c r="F120" s="54"/>
      <c r="G120" s="54"/>
      <c r="H120" s="54"/>
      <c r="I120" s="54"/>
      <c r="J120" s="54"/>
      <c r="K120" s="54"/>
    </row>
    <row r="144" ht="14.4" thickBot="1" x14ac:dyDescent="0.35"/>
    <row r="145" spans="3:6" ht="15" thickBot="1" x14ac:dyDescent="0.35">
      <c r="C145" s="57" t="s">
        <v>155</v>
      </c>
      <c r="D145" s="58"/>
      <c r="E145" s="58"/>
      <c r="F145" s="59"/>
    </row>
    <row r="146" spans="3:6" ht="15" thickBot="1" x14ac:dyDescent="0.35">
      <c r="C146" s="60" t="s">
        <v>156</v>
      </c>
      <c r="D146" s="61" t="s">
        <v>157</v>
      </c>
      <c r="E146" s="61" t="s">
        <v>158</v>
      </c>
      <c r="F146" s="61" t="s">
        <v>159</v>
      </c>
    </row>
    <row r="147" spans="3:6" ht="15" thickBot="1" x14ac:dyDescent="0.35">
      <c r="C147" s="60" t="s">
        <v>160</v>
      </c>
      <c r="D147" s="62"/>
      <c r="E147" s="62"/>
      <c r="F147" s="62"/>
    </row>
    <row r="148" spans="3:6" ht="15" thickBot="1" x14ac:dyDescent="0.35">
      <c r="C148" s="63" t="s">
        <v>161</v>
      </c>
      <c r="D148" s="64"/>
      <c r="E148" s="65"/>
      <c r="F148" s="65"/>
    </row>
    <row r="149" spans="3:6" ht="14.4" x14ac:dyDescent="0.3">
      <c r="C149" s="66" t="s">
        <v>162</v>
      </c>
      <c r="D149"/>
      <c r="E149" s="67" t="s">
        <v>163</v>
      </c>
      <c r="F149" s="68"/>
    </row>
    <row r="150" spans="3:6" ht="15" thickBot="1" x14ac:dyDescent="0.35">
      <c r="C150" s="63" t="s">
        <v>164</v>
      </c>
      <c r="D150"/>
      <c r="E150" s="69"/>
      <c r="F150" s="70"/>
    </row>
    <row r="151" spans="3:6" ht="14.4" x14ac:dyDescent="0.3">
      <c r="C151" s="66" t="s">
        <v>165</v>
      </c>
      <c r="D151" s="68"/>
      <c r="E151" s="68"/>
      <c r="F151" s="68"/>
    </row>
    <row r="152" spans="3:6" ht="15" thickBot="1" x14ac:dyDescent="0.35">
      <c r="C152" s="63" t="s">
        <v>166</v>
      </c>
      <c r="D152" s="70"/>
      <c r="E152" s="70"/>
      <c r="F152" s="70"/>
    </row>
    <row r="153" spans="3:6" ht="14.4" x14ac:dyDescent="0.35">
      <c r="C153" s="71" t="s">
        <v>167</v>
      </c>
      <c r="D153" s="72"/>
      <c r="E153" s="72"/>
      <c r="F153" s="72"/>
    </row>
    <row r="154" spans="3:6" ht="14.4" x14ac:dyDescent="0.3">
      <c r="C154" s="2" t="s">
        <v>168</v>
      </c>
      <c r="D154"/>
      <c r="E154"/>
      <c r="F154"/>
    </row>
  </sheetData>
  <mergeCells count="10">
    <mergeCell ref="E149:E150"/>
    <mergeCell ref="F149:F150"/>
    <mergeCell ref="D151:D152"/>
    <mergeCell ref="E151:E152"/>
    <mergeCell ref="F151:F152"/>
    <mergeCell ref="C119:K119"/>
    <mergeCell ref="C145:F145"/>
    <mergeCell ref="D146:D147"/>
    <mergeCell ref="E146:E147"/>
    <mergeCell ref="F146:F14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XDO_?CLASS_3?19?</vt:lpstr>
      <vt:lpstr>XDO_?FINAL_ISIN?83?</vt:lpstr>
      <vt:lpstr>XDO_?FINAL_ISIN?84?</vt:lpstr>
      <vt:lpstr>XDO_?FINAL_ISIN?85?</vt:lpstr>
      <vt:lpstr>XDO_?FINAL_ISIN?86?</vt:lpstr>
      <vt:lpstr>XDO_?FINAL_ISIN?87?</vt:lpstr>
      <vt:lpstr>XDO_?FINAL_MV?83?</vt:lpstr>
      <vt:lpstr>XDO_?FINAL_MV?84?</vt:lpstr>
      <vt:lpstr>XDO_?FINAL_MV?85?</vt:lpstr>
      <vt:lpstr>XDO_?FINAL_MV?86?</vt:lpstr>
      <vt:lpstr>XDO_?FINAL_MV?87?</vt:lpstr>
      <vt:lpstr>XDO_?FINAL_NAME?83?</vt:lpstr>
      <vt:lpstr>XDO_?FINAL_NAME?84?</vt:lpstr>
      <vt:lpstr>XDO_?FINAL_NAME?85?</vt:lpstr>
      <vt:lpstr>XDO_?FINAL_NAME?86?</vt:lpstr>
      <vt:lpstr>XDO_?FINAL_NAME?87?</vt:lpstr>
      <vt:lpstr>XDO_?FINAL_PER_NET?83?</vt:lpstr>
      <vt:lpstr>XDO_?FINAL_PER_NET?84?</vt:lpstr>
      <vt:lpstr>XDO_?FINAL_PER_NET?85?</vt:lpstr>
      <vt:lpstr>XDO_?FINAL_PER_NET?86?</vt:lpstr>
      <vt:lpstr>XDO_?FINAL_PER_NET?87?</vt:lpstr>
      <vt:lpstr>XDO_?FINAL_QUANTITE?83?</vt:lpstr>
      <vt:lpstr>XDO_?FINAL_QUANTITE?84?</vt:lpstr>
      <vt:lpstr>XDO_?FINAL_QUANTITE?85?</vt:lpstr>
      <vt:lpstr>XDO_?FINAL_QUANTITE?86?</vt:lpstr>
      <vt:lpstr>XDO_?FINAL_QUANTITE?87?</vt:lpstr>
      <vt:lpstr>XDO_?NAMCNAME?19?</vt:lpstr>
      <vt:lpstr>XDO_?NOVAL?83?</vt:lpstr>
      <vt:lpstr>XDO_?NOVAL?84?</vt:lpstr>
      <vt:lpstr>XDO_?NOVAL?85?</vt:lpstr>
      <vt:lpstr>XDO_?NOVAL?86?</vt:lpstr>
      <vt:lpstr>XDO_?NOVAL?87?</vt:lpstr>
      <vt:lpstr>XDO_?NPTF?19?</vt:lpstr>
      <vt:lpstr>XDO_?RATING?83?</vt:lpstr>
      <vt:lpstr>XDO_?RATING?84?</vt:lpstr>
      <vt:lpstr>XDO_?RATING?85?</vt:lpstr>
      <vt:lpstr>XDO_?RATING?86?</vt:lpstr>
      <vt:lpstr>XDO_?RATING?87?</vt:lpstr>
      <vt:lpstr>XDO_?REMARKS?83?</vt:lpstr>
      <vt:lpstr>XDO_?REMARKS?84?</vt:lpstr>
      <vt:lpstr>XDO_?REMARKS?85?</vt:lpstr>
      <vt:lpstr>XDO_?REMARKS?86?</vt:lpstr>
      <vt:lpstr>XDO_?REMARKS?87?</vt:lpstr>
      <vt:lpstr>XDO_?TITL?19?</vt:lpstr>
      <vt:lpstr>XDO_?YTM?83?</vt:lpstr>
      <vt:lpstr>XDO_?YTM?84?</vt:lpstr>
      <vt:lpstr>XDO_?YTM?85?</vt:lpstr>
      <vt:lpstr>XDO_?YTM?86?</vt:lpstr>
      <vt:lpstr>XDO_?YTM?87?</vt:lpstr>
      <vt:lpstr>XDO_GROUP_?G_2?19?</vt:lpstr>
      <vt:lpstr>XDO_GROUP_?G_3?19?</vt:lpstr>
      <vt:lpstr>XDO_GROUP_?G_4?83?</vt:lpstr>
      <vt:lpstr>XDO_GROUP_?G_4?84?</vt:lpstr>
      <vt:lpstr>XDO_GROUP_?G_4?85?</vt:lpstr>
      <vt:lpstr>XDO_GROUP_?G_4?86?</vt:lpstr>
      <vt:lpstr>XDO_GROUP_?G_4?87?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2023-03-06T13:25:36Z</dcterms:created>
  <dcterms:modified xsi:type="dcterms:W3CDTF">2023-03-09T10:16:16Z</dcterms:modified>
</cp:coreProperties>
</file>