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CA1C7ECF-FC22-4700-8727-0CB1FCF4A657}" xr6:coauthVersionLast="47" xr6:coauthVersionMax="47" xr10:uidLastSave="{00000000-0000-0000-0000-000000000000}"/>
  <bookViews>
    <workbookView xWindow="384" yWindow="384" windowWidth="11004" windowHeight="11976" xr2:uid="{A890446E-A51B-4C74-A341-9B99C96BDD08}"/>
  </bookViews>
  <sheets>
    <sheet name="IC" sheetId="1" r:id="rId1"/>
  </sheets>
  <externalReferences>
    <externalReference r:id="rId2"/>
  </externalReferences>
  <definedNames>
    <definedName name="XDO_?CLASS_3?12?">IC!$C$8:$C$48</definedName>
    <definedName name="XDO_?FINAL_ISIN?53?">IC!$D$10:$D$48</definedName>
    <definedName name="XDO_?FINAL_ISIN?54?">IC!$D$10:$D$87</definedName>
    <definedName name="XDO_?FINAL_ISIN?55?">IC!$D$10:$D$91</definedName>
    <definedName name="XDO_?FINAL_MV?53?">IC!$G$10:$G$48</definedName>
    <definedName name="XDO_?FINAL_MV?54?">IC!$G$10:$G$87</definedName>
    <definedName name="XDO_?FINAL_MV?55?">IC!$G$10:$G$91</definedName>
    <definedName name="XDO_?FINAL_NAME?53?">IC!$C$10:$C$48</definedName>
    <definedName name="XDO_?FINAL_NAME?54?">IC!$C$10:$C$87</definedName>
    <definedName name="XDO_?FINAL_NAME?55?">IC!$C$10:$C$91</definedName>
    <definedName name="XDO_?FINAL_PER_NET?53?">IC!$H$10:$H$48</definedName>
    <definedName name="XDO_?FINAL_PER_NET?54?">IC!$H$10:$H$87</definedName>
    <definedName name="XDO_?FINAL_PER_NET?55?">IC!$H$10:$H$91</definedName>
    <definedName name="XDO_?FINAL_QUANTITE?53?">IC!$F$10:$F$48</definedName>
    <definedName name="XDO_?FINAL_QUANTITE?54?">IC!$F$10:$F$87</definedName>
    <definedName name="XDO_?FINAL_QUANTITE?55?">IC!$F$10:$F$91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2?">IC!$C$2:$C$48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3?">IC!$B$10:$B$48</definedName>
    <definedName name="XDO_?NOVAL?54?">IC!$B$10:$B$87</definedName>
    <definedName name="XDO_?NOVAL?55?">IC!$B$10:$B$91</definedName>
    <definedName name="XDO_?NPTF?12?">IC!$D$2:$D$48</definedName>
    <definedName name="XDO_?RATING?53?">IC!$E$10:$E$48</definedName>
    <definedName name="XDO_?RATING?54?">IC!$E$10:$E$87</definedName>
    <definedName name="XDO_?RATING?55?">IC!$E$10:$E$91</definedName>
    <definedName name="XDO_?REMARKS?53?">IC!$K$10:$K$48</definedName>
    <definedName name="XDO_?REMARKS?54?">IC!$K$10:$K$87</definedName>
    <definedName name="XDO_?REMARKS?55?">IC!$K$10:$K$91</definedName>
    <definedName name="XDO_?TITL?12?">IC!$A$8:$A$48</definedName>
    <definedName name="XDO_?YTM?53?">IC!$I$10:$I$48</definedName>
    <definedName name="XDO_?YTM?54?">IC!$I$10:$I$87</definedName>
    <definedName name="XDO_?YTM?55?">IC!$I$10:$I$91</definedName>
    <definedName name="XDO_GROUP_?G_2?12?">IC!$2:$59</definedName>
    <definedName name="XDO_GROUP_?G_3?12?">IC!$8:$58</definedName>
    <definedName name="XDO_GROUP_?G_4?114?">[1]ON!#REF!</definedName>
    <definedName name="XDO_GROUP_?G_4?28?">[1]TA!#REF!</definedName>
    <definedName name="XDO_GROUP_?G_4?53?">IC!$B$10:$IV$48</definedName>
    <definedName name="XDO_GROUP_?G_4?54?">IC!$B$53:$IV$53</definedName>
    <definedName name="XDO_GROUP_?G_4?55?">IC!$B$56:$IV$56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<sst xmlns="http://schemas.openxmlformats.org/spreadsheetml/2006/main" count="259" uniqueCount="204">
  <si>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</si>
  <si>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</si>
  <si>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</si>
  <si>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</si>
  <si>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</si>
  <si>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</si>
  <si>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</si>
  <si>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</si>
  <si>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</si>
  <si>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</si>
  <si>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</si>
  <si>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</si>
  <si>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</si>
  <si>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</si>
  <si>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</si>
  <si>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</si>
  <si>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</si>
  <si>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</si>
  <si>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</si>
  <si>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</si>
  <si>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</si>
  <si>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</si>
  <si>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</si>
  <si>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</si>
  <si>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</si>
  <si>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</si>
  <si>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</si>
  <si>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</si>
  <si>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</si>
  <si>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</si>
  <si>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</si>
  <si>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</si>
  <si>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</si>
  <si>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</si>
  <si>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</si>
  <si>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</si>
  <si>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</si>
  <si>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</si>
  <si>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100081</t>
  </si>
  <si>
    <t>Titan Company Ltd.</t>
  </si>
  <si>
    <t>INE280A01028</t>
  </si>
  <si>
    <t>Consumer Durables</t>
  </si>
  <si>
    <t>100157</t>
  </si>
  <si>
    <t>Godrej Consumer Products Ltd.</t>
  </si>
  <si>
    <t>INE102D01028</t>
  </si>
  <si>
    <t>Personal Products</t>
  </si>
  <si>
    <t>100050</t>
  </si>
  <si>
    <t>Trent Ltd.</t>
  </si>
  <si>
    <t>INE849A01020</t>
  </si>
  <si>
    <t>Retailing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</si>
  <si>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</si>
  <si>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</si>
  <si>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</si>
  <si>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</si>
  <si>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</si>
  <si>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</si>
  <si>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</si>
  <si>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</si>
  <si>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</si>
  <si>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</si>
  <si>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100363</t>
  </si>
  <si>
    <t>Procter &amp; Gamble Hygiene and Health Care Ltd.</t>
  </si>
  <si>
    <t>INE179A01014</t>
  </si>
  <si>
    <t>100020</t>
  </si>
  <si>
    <t>Tata Consumer Products Ltd.</t>
  </si>
  <si>
    <t>INE192A01025</t>
  </si>
  <si>
    <t>Agricultural Food &amp; other Products</t>
  </si>
  <si>
    <t>100012</t>
  </si>
  <si>
    <t>ICICI Bank Ltd.</t>
  </si>
  <si>
    <t>INE090A01021</t>
  </si>
  <si>
    <t>Banks</t>
  </si>
  <si>
    <t>100421</t>
  </si>
  <si>
    <t>Dabur India Ltd.</t>
  </si>
  <si>
    <t>INE016A01026</t>
  </si>
  <si>
    <t>100505</t>
  </si>
  <si>
    <t>ICICI Prudential Life Insurance Company Ltd.</t>
  </si>
  <si>
    <t>INE726G01019</t>
  </si>
  <si>
    <t>Insurance</t>
  </si>
  <si>
    <t>100282</t>
  </si>
  <si>
    <t>Blue Star Ltd.</t>
  </si>
  <si>
    <t>INE472A01039</t>
  </si>
  <si>
    <t>100706</t>
  </si>
  <si>
    <t>HDFC Life Insurance Company Ltd.</t>
  </si>
  <si>
    <t>INE795G01014</t>
  </si>
  <si>
    <t>100814</t>
  </si>
  <si>
    <t>HDFC Asset Management Company Ltd.</t>
  </si>
  <si>
    <t>INE127D01025</t>
  </si>
  <si>
    <t>Capital Markets</t>
  </si>
  <si>
    <t>100128</t>
  </si>
  <si>
    <t>Eicher Motors Ltd.</t>
  </si>
  <si>
    <t>INE066A01021</t>
  </si>
  <si>
    <t>100105</t>
  </si>
  <si>
    <t>Marico Ltd.</t>
  </si>
  <si>
    <t>INE196A01026</t>
  </si>
  <si>
    <t>100289</t>
  </si>
  <si>
    <t>Shoppers Stop Ltd.</t>
  </si>
  <si>
    <t>INE498B01024</t>
  </si>
  <si>
    <t>100821</t>
  </si>
  <si>
    <t>TTK Prestige Ltd.</t>
  </si>
  <si>
    <t>INE690A01028</t>
  </si>
  <si>
    <t>100204</t>
  </si>
  <si>
    <t>Inox Leisure Ltd.</t>
  </si>
  <si>
    <t>INE312H01016</t>
  </si>
  <si>
    <t>Entertainment</t>
  </si>
  <si>
    <t>100179</t>
  </si>
  <si>
    <t>Hero MotoCorp Ltd.</t>
  </si>
  <si>
    <t>INE158A01026</t>
  </si>
  <si>
    <t>100121</t>
  </si>
  <si>
    <t>United Breweries Ltd.</t>
  </si>
  <si>
    <t>INE686F01025</t>
  </si>
  <si>
    <t>Beverages</t>
  </si>
  <si>
    <t>100126</t>
  </si>
  <si>
    <t>Britannia Industries Ltd.</t>
  </si>
  <si>
    <t>INE216A01030</t>
  </si>
  <si>
    <t>101313</t>
  </si>
  <si>
    <t>Zomato Ltd.</t>
  </si>
  <si>
    <t>INE758T01015</t>
  </si>
  <si>
    <t>100222</t>
  </si>
  <si>
    <t>The Indian Hotels Company Ltd.</t>
  </si>
  <si>
    <t>INE053A01029</t>
  </si>
  <si>
    <t>Leisure Services</t>
  </si>
  <si>
    <t>100068</t>
  </si>
  <si>
    <t>Kansai Nerolac Paints Ltd.</t>
  </si>
  <si>
    <t>INE531A01024</t>
  </si>
  <si>
    <t>100227</t>
  </si>
  <si>
    <t>Jubilant Foodworks Ltd.</t>
  </si>
  <si>
    <t>INE797F01020</t>
  </si>
  <si>
    <t>100223</t>
  </si>
  <si>
    <t>United Spirits Ltd.</t>
  </si>
  <si>
    <t>INE854D01024</t>
  </si>
  <si>
    <t>100519</t>
  </si>
  <si>
    <t>Westlife Foodworld Ltd.</t>
  </si>
  <si>
    <t>INE274F01020</t>
  </si>
  <si>
    <t>100335</t>
  </si>
  <si>
    <t>Kajaria Ceramics Ltd.</t>
  </si>
  <si>
    <t>INE217B01036</t>
  </si>
  <si>
    <t>100125</t>
  </si>
  <si>
    <t>Bajaj Finance Ltd.</t>
  </si>
  <si>
    <t>INE296A01024</t>
  </si>
  <si>
    <t>100768</t>
  </si>
  <si>
    <t>V-Mart Retail Ltd.</t>
  </si>
  <si>
    <t>INE665J01013</t>
  </si>
  <si>
    <t>100186</t>
  </si>
  <si>
    <t>Zee Entertainment Enterprises Ltd.</t>
  </si>
  <si>
    <t>INE256A01028</t>
  </si>
  <si>
    <t>100434</t>
  </si>
  <si>
    <t>Century Plyboards (India) Ltd.</t>
  </si>
  <si>
    <t>INE348B01021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</si>
  <si>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</si>
  <si>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</si>
  <si>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</si>
  <si>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</si>
  <si>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</si>
  <si>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</si>
  <si>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</si>
  <si>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</si>
  <si>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</si>
  <si>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</si>
  <si>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</si>
  <si>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</si>
  <si>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</si>
  <si>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</si>
  <si>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</si>
  <si>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</si>
  <si>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</si>
  <si>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</si>
  <si>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</si>
  <si>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</si>
  <si>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</si>
  <si>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</si>
  <si>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</si>
  <si>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</si>
  <si>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</si>
  <si>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</si>
  <si>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</si>
  <si>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</si>
  <si>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</si>
  <si>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</si>
  <si>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</si>
  <si>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</si>
  <si>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</si>
  <si>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</si>
  <si>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</si>
  <si>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</si>
  <si>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</si>
  <si>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</si>
  <si>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</si>
  <si>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</si>
  <si>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</si>
  <si>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</si>
  <si>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</si>
  <si>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</si>
  <si>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</si>
  <si>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</si>
  <si>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0.05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</si>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</sst>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9346B9F1-6A81-44F0-83CB-738CBD01310D}"/>
    <cellStyle name="Hyperlink" xfId="2" builtinId="8"/>
    <cellStyle name="Normal" xfId="0" builtinId="0"/>
    <cellStyle name="Normal 2" xfId="4" xr:uid="{001D7CD0-6485-4816-A1CF-468E9930CAD8}"/>
    <cellStyle name="Style 1" xfId="3" xr:uid="{5C5CF01C-1B31-4FC1-936F-2C66034E2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5</xdr:col>
      <xdr:colOff>504275</xdr:colOff>
      <xdr:row>145</xdr:row>
      <xdr:rowOff>147658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DA0BE-58E9-4105-BDFD-F049A3F85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876933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C65D-5FB8-4C05-A263-CD54DFE040EF}">
  <dimension ref="A1:BC129"/>
  <sheetViews>
    <sheetView showGridLines="0" tabSelected="1" zoomScale="90" zoomScaleNormal="90" workbookViewId="0">
      <pane ySplit="6" topLeftCell="A127" activePane="bottomLeft" state="frozen"/>
      <selection activeCell="J4" sqref="J4"/>
      <selection pane="bottomLeft" activeCell="C128" sqref="C12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2500000</v>
      </c>
      <c r="G10" s="34">
        <v>8808.75</v>
      </c>
      <c r="H10" s="34">
        <v>9.89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</v>
      </c>
      <c r="G11" s="34">
        <v>7730.25</v>
      </c>
      <c r="H11" s="34">
        <v>8.68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850000</v>
      </c>
      <c r="G12" s="34">
        <v>6547.55</v>
      </c>
      <c r="H12" s="34">
        <v>7.35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4754.4399999999996</v>
      </c>
      <c r="H13" s="34">
        <v>5.34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48500</v>
      </c>
      <c r="G14" s="34">
        <v>4314.22</v>
      </c>
      <c r="H14" s="34">
        <v>4.84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300000</v>
      </c>
      <c r="G15" s="34">
        <v>4136.25</v>
      </c>
      <c r="H15" s="34">
        <v>4.6399999999999997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135000</v>
      </c>
      <c r="G16" s="34">
        <v>3209.15</v>
      </c>
      <c r="H16" s="34">
        <v>3.6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350000</v>
      </c>
      <c r="G17" s="34">
        <v>3196.38</v>
      </c>
      <c r="H17" s="34">
        <v>3.59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265000</v>
      </c>
      <c r="G18" s="34">
        <v>3170.99</v>
      </c>
      <c r="H18" s="34">
        <v>3.56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41</v>
      </c>
      <c r="F19" s="33">
        <v>110000</v>
      </c>
      <c r="G19" s="34">
        <v>2998.44</v>
      </c>
      <c r="H19" s="34">
        <v>3.37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270000</v>
      </c>
      <c r="G20" s="34">
        <v>2799.23</v>
      </c>
      <c r="H20" s="34">
        <v>3.14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2281.9699999999998</v>
      </c>
      <c r="H21" s="34">
        <v>2.56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45</v>
      </c>
      <c r="F22" s="33">
        <v>13000</v>
      </c>
      <c r="G22" s="34">
        <v>1842.35</v>
      </c>
      <c r="H22" s="34">
        <v>2.0699999999999998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230000</v>
      </c>
      <c r="G23" s="34">
        <v>1677.85</v>
      </c>
      <c r="H23" s="34">
        <v>1.88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200000</v>
      </c>
      <c r="G24" s="34">
        <v>1663.8</v>
      </c>
      <c r="H24" s="34">
        <v>1.87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45</v>
      </c>
      <c r="F25" s="33">
        <v>250000</v>
      </c>
      <c r="G25" s="34">
        <v>1394.38</v>
      </c>
      <c r="H25" s="34">
        <v>1.57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300000</v>
      </c>
      <c r="G26" s="34">
        <v>1357.2</v>
      </c>
      <c r="H26" s="34">
        <v>1.52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41</v>
      </c>
      <c r="F27" s="33">
        <v>110000</v>
      </c>
      <c r="G27" s="34">
        <v>1351.85</v>
      </c>
      <c r="H27" s="34">
        <v>1.52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77</v>
      </c>
      <c r="F28" s="33">
        <v>230000</v>
      </c>
      <c r="G28" s="34">
        <v>1331.36</v>
      </c>
      <c r="H28" s="34">
        <v>1.49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70000</v>
      </c>
      <c r="G29" s="34">
        <v>1323.25</v>
      </c>
      <c r="H29" s="34">
        <v>1.49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34</v>
      </c>
      <c r="F30" s="33">
        <v>40000</v>
      </c>
      <c r="G30" s="34">
        <v>1305.3399999999999</v>
      </c>
      <c r="H30" s="34">
        <v>1.47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45</v>
      </c>
      <c r="F31" s="33">
        <v>250000</v>
      </c>
      <c r="G31" s="34">
        <v>1245.25</v>
      </c>
      <c r="H31" s="34">
        <v>1.4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49</v>
      </c>
      <c r="F32" s="33">
        <v>180000</v>
      </c>
      <c r="G32" s="34">
        <v>1190.79</v>
      </c>
      <c r="H32" s="34">
        <v>1.34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41</v>
      </c>
      <c r="F33" s="33">
        <v>149024</v>
      </c>
      <c r="G33" s="34">
        <v>1167.9000000000001</v>
      </c>
      <c r="H33" s="34">
        <v>1.31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230000</v>
      </c>
      <c r="G34" s="34">
        <v>1154.95</v>
      </c>
      <c r="H34" s="34">
        <v>1.3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34</v>
      </c>
      <c r="F35" s="33">
        <v>35000</v>
      </c>
      <c r="G35" s="34">
        <v>967.14</v>
      </c>
      <c r="H35" s="34">
        <v>1.0900000000000001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60000</v>
      </c>
      <c r="G36" s="34">
        <v>955.29</v>
      </c>
      <c r="H36" s="34">
        <v>1.07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30</v>
      </c>
      <c r="F37" s="33">
        <v>22000</v>
      </c>
      <c r="G37" s="34">
        <v>949.87</v>
      </c>
      <c r="H37" s="34">
        <v>1.07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49</v>
      </c>
      <c r="F38" s="33">
        <v>1900000</v>
      </c>
      <c r="G38" s="34">
        <v>945.25</v>
      </c>
      <c r="H38" s="34">
        <v>1.06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310000</v>
      </c>
      <c r="G39" s="34">
        <v>933.1</v>
      </c>
      <c r="H39" s="34">
        <v>1.05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41</v>
      </c>
      <c r="F40" s="33">
        <v>220000</v>
      </c>
      <c r="G40" s="34">
        <v>930.93</v>
      </c>
      <c r="H40" s="34">
        <v>1.05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120</v>
      </c>
      <c r="F41" s="33">
        <v>190000</v>
      </c>
      <c r="G41" s="34">
        <v>925.02</v>
      </c>
      <c r="H41" s="34">
        <v>1.04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110</v>
      </c>
      <c r="F42" s="33">
        <v>120000</v>
      </c>
      <c r="G42" s="34">
        <v>922.38</v>
      </c>
      <c r="H42" s="34">
        <v>1.04</v>
      </c>
      <c r="I42" s="35"/>
      <c r="J42" s="35"/>
      <c r="K42" s="36"/>
    </row>
    <row r="43" spans="2:11" x14ac:dyDescent="0.3">
      <c r="B43" s="1" t="s">
        <v>130</v>
      </c>
      <c r="C43" s="21" t="s">
        <v>131</v>
      </c>
      <c r="D43" s="31" t="s">
        <v>132</v>
      </c>
      <c r="E43" s="32" t="s">
        <v>120</v>
      </c>
      <c r="F43" s="33">
        <v>125000</v>
      </c>
      <c r="G43" s="34">
        <v>919.25</v>
      </c>
      <c r="H43" s="34">
        <v>1.03</v>
      </c>
      <c r="I43" s="35"/>
      <c r="J43" s="35"/>
      <c r="K43" s="36"/>
    </row>
    <row r="44" spans="2:11" x14ac:dyDescent="0.3">
      <c r="B44" s="1" t="s">
        <v>133</v>
      </c>
      <c r="C44" s="21" t="s">
        <v>134</v>
      </c>
      <c r="D44" s="31" t="s">
        <v>135</v>
      </c>
      <c r="E44" s="32" t="s">
        <v>41</v>
      </c>
      <c r="F44" s="33">
        <v>85000</v>
      </c>
      <c r="G44" s="34">
        <v>896.33</v>
      </c>
      <c r="H44" s="34">
        <v>1.01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59</v>
      </c>
      <c r="F45" s="33">
        <v>15000</v>
      </c>
      <c r="G45" s="34">
        <v>882.96</v>
      </c>
      <c r="H45" s="34">
        <v>0.99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49</v>
      </c>
      <c r="F46" s="33">
        <v>30872</v>
      </c>
      <c r="G46" s="34">
        <v>856.17</v>
      </c>
      <c r="H46" s="34">
        <v>0.96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103</v>
      </c>
      <c r="F47" s="33">
        <v>360000</v>
      </c>
      <c r="G47" s="34">
        <v>816.48</v>
      </c>
      <c r="H47" s="34">
        <v>0.92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41</v>
      </c>
      <c r="F48" s="33">
        <v>150000</v>
      </c>
      <c r="G48" s="34">
        <v>777.6</v>
      </c>
      <c r="H48" s="34">
        <v>0.87</v>
      </c>
      <c r="I48" s="35"/>
      <c r="J48" s="35"/>
      <c r="K48" s="36"/>
    </row>
    <row r="49" spans="3:11" x14ac:dyDescent="0.3">
      <c r="C49" s="30" t="s">
        <v>148</v>
      </c>
      <c r="D49" s="31"/>
      <c r="E49" s="32"/>
      <c r="F49" s="33"/>
      <c r="G49" s="38">
        <v>84631.66</v>
      </c>
      <c r="H49" s="38">
        <v>95.04</v>
      </c>
      <c r="I49" s="35"/>
      <c r="J49" s="35"/>
      <c r="K49" s="36"/>
    </row>
    <row r="50" spans="3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3:11" x14ac:dyDescent="0.3">
      <c r="C51" s="30" t="s">
        <v>149</v>
      </c>
      <c r="D51" s="31"/>
      <c r="E51" s="32"/>
      <c r="F51" s="33"/>
      <c r="G51" s="34" t="s">
        <v>150</v>
      </c>
      <c r="H51" s="34" t="s">
        <v>150</v>
      </c>
      <c r="I51" s="35"/>
      <c r="J51" s="35"/>
      <c r="K51" s="36"/>
    </row>
    <row r="52" spans="3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3:11" x14ac:dyDescent="0.3">
      <c r="C53" s="30" t="s">
        <v>151</v>
      </c>
      <c r="D53" s="31"/>
      <c r="E53" s="32"/>
      <c r="F53" s="33"/>
      <c r="G53" s="34" t="s">
        <v>150</v>
      </c>
      <c r="H53" s="34" t="s">
        <v>150</v>
      </c>
      <c r="I53" s="35"/>
      <c r="J53" s="35"/>
      <c r="K53" s="36"/>
    </row>
    <row r="54" spans="3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30" t="s">
        <v>152</v>
      </c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30" t="s">
        <v>153</v>
      </c>
      <c r="D57" s="31"/>
      <c r="E57" s="32"/>
      <c r="F57" s="33"/>
      <c r="G57" s="34" t="s">
        <v>150</v>
      </c>
      <c r="H57" s="34" t="s">
        <v>150</v>
      </c>
      <c r="I57" s="35"/>
      <c r="J57" s="35"/>
      <c r="K57" s="36"/>
    </row>
    <row r="58" spans="3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3:11" x14ac:dyDescent="0.3">
      <c r="C59" s="30" t="s">
        <v>154</v>
      </c>
      <c r="D59" s="31"/>
      <c r="E59" s="32"/>
      <c r="F59" s="33"/>
      <c r="G59" s="34" t="s">
        <v>150</v>
      </c>
      <c r="H59" s="34" t="s">
        <v>150</v>
      </c>
      <c r="I59" s="35"/>
      <c r="J59" s="35"/>
      <c r="K59" s="36"/>
    </row>
    <row r="60" spans="3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3:11" x14ac:dyDescent="0.3">
      <c r="C61" s="30" t="s">
        <v>155</v>
      </c>
      <c r="D61" s="31"/>
      <c r="E61" s="32"/>
      <c r="F61" s="33"/>
      <c r="G61" s="34" t="s">
        <v>150</v>
      </c>
      <c r="H61" s="34" t="s">
        <v>150</v>
      </c>
      <c r="I61" s="35"/>
      <c r="J61" s="35"/>
      <c r="K61" s="36"/>
    </row>
    <row r="62" spans="3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3:11" x14ac:dyDescent="0.3">
      <c r="C63" s="30" t="s">
        <v>156</v>
      </c>
      <c r="D63" s="31"/>
      <c r="E63" s="32"/>
      <c r="F63" s="33"/>
      <c r="G63" s="34" t="s">
        <v>150</v>
      </c>
      <c r="H63" s="34" t="s">
        <v>150</v>
      </c>
      <c r="I63" s="35"/>
      <c r="J63" s="35"/>
      <c r="K63" s="36"/>
    </row>
    <row r="64" spans="3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157</v>
      </c>
      <c r="D65" s="31"/>
      <c r="E65" s="32"/>
      <c r="F65" s="33"/>
      <c r="G65" s="34" t="s">
        <v>150</v>
      </c>
      <c r="H65" s="34" t="s">
        <v>150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158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159</v>
      </c>
      <c r="D69" s="31"/>
      <c r="E69" s="32"/>
      <c r="F69" s="33"/>
      <c r="G69" s="34" t="s">
        <v>150</v>
      </c>
      <c r="H69" s="34" t="s">
        <v>150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160</v>
      </c>
      <c r="D71" s="31"/>
      <c r="E71" s="32"/>
      <c r="F71" s="33"/>
      <c r="G71" s="34" t="s">
        <v>150</v>
      </c>
      <c r="H71" s="34" t="s">
        <v>150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161</v>
      </c>
      <c r="D73" s="31"/>
      <c r="E73" s="32"/>
      <c r="F73" s="33"/>
      <c r="G73" s="34" t="s">
        <v>150</v>
      </c>
      <c r="H73" s="34" t="s">
        <v>150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162</v>
      </c>
      <c r="D75" s="31"/>
      <c r="E75" s="32"/>
      <c r="F75" s="33"/>
      <c r="G75" s="34" t="s">
        <v>150</v>
      </c>
      <c r="H75" s="34" t="s">
        <v>150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163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164</v>
      </c>
      <c r="D78" s="31"/>
      <c r="E78" s="32"/>
      <c r="F78" s="33"/>
      <c r="G78" s="34" t="s">
        <v>150</v>
      </c>
      <c r="H78" s="34" t="s">
        <v>150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165</v>
      </c>
      <c r="D80" s="31"/>
      <c r="E80" s="32"/>
      <c r="F80" s="33"/>
      <c r="G80" s="34" t="s">
        <v>150</v>
      </c>
      <c r="H80" s="34" t="s">
        <v>150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166</v>
      </c>
      <c r="D82" s="31"/>
      <c r="E82" s="32"/>
      <c r="F82" s="33"/>
      <c r="G82" s="34" t="s">
        <v>150</v>
      </c>
      <c r="H82" s="34" t="s">
        <v>150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167</v>
      </c>
      <c r="D84" s="31"/>
      <c r="E84" s="32"/>
      <c r="F84" s="33"/>
      <c r="G84" s="34" t="s">
        <v>150</v>
      </c>
      <c r="H84" s="34" t="s">
        <v>150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168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169</v>
      </c>
      <c r="C87" s="21" t="s">
        <v>170</v>
      </c>
      <c r="D87" s="31"/>
      <c r="E87" s="32"/>
      <c r="F87" s="33"/>
      <c r="G87" s="34">
        <v>4917.8100000000004</v>
      </c>
      <c r="H87" s="34">
        <v>5.52</v>
      </c>
      <c r="I87" s="35">
        <v>6.4121865622529999</v>
      </c>
      <c r="J87" s="35"/>
      <c r="K87" s="36"/>
    </row>
    <row r="88" spans="1:11" x14ac:dyDescent="0.3">
      <c r="C88" s="30" t="s">
        <v>148</v>
      </c>
      <c r="D88" s="31"/>
      <c r="E88" s="32"/>
      <c r="F88" s="33"/>
      <c r="G88" s="38">
        <v>4917.8100000000004</v>
      </c>
      <c r="H88" s="38">
        <v>5.52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171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172</v>
      </c>
      <c r="D91" s="31"/>
      <c r="E91" s="32"/>
      <c r="F91" s="33"/>
      <c r="G91" s="34">
        <v>-487.59</v>
      </c>
      <c r="H91" s="34">
        <v>-0.56000000000000005</v>
      </c>
      <c r="I91" s="35"/>
      <c r="J91" s="35"/>
      <c r="K91" s="36"/>
    </row>
    <row r="92" spans="1:11" x14ac:dyDescent="0.3">
      <c r="C92" s="30" t="s">
        <v>148</v>
      </c>
      <c r="D92" s="31"/>
      <c r="E92" s="32"/>
      <c r="F92" s="33"/>
      <c r="G92" s="38">
        <v>-487.59</v>
      </c>
      <c r="H92" s="38">
        <v>-0.56000000000000005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173</v>
      </c>
      <c r="D94" s="40"/>
      <c r="E94" s="41"/>
      <c r="F94" s="42"/>
      <c r="G94" s="43">
        <v>89061.88</v>
      </c>
      <c r="H94" s="43">
        <f>SUMIFS(H:H,C:C,"Total")</f>
        <v>100</v>
      </c>
      <c r="I94" s="44"/>
      <c r="J94" s="44"/>
      <c r="K94" s="45"/>
    </row>
    <row r="97" spans="3:55" x14ac:dyDescent="0.3">
      <c r="C97" s="11" t="s">
        <v>174</v>
      </c>
    </row>
    <row r="98" spans="3:55" x14ac:dyDescent="0.3">
      <c r="C98" s="2" t="s">
        <v>175</v>
      </c>
    </row>
    <row r="99" spans="3:55" x14ac:dyDescent="0.3">
      <c r="C99" s="46" t="s">
        <v>176</v>
      </c>
    </row>
    <row r="100" spans="3:55" x14ac:dyDescent="0.3">
      <c r="C100" s="2" t="s">
        <v>177</v>
      </c>
    </row>
    <row r="101" spans="3:55" x14ac:dyDescent="0.3">
      <c r="C101" s="2" t="s">
        <v>178</v>
      </c>
    </row>
    <row r="102" spans="3:55" x14ac:dyDescent="0.3">
      <c r="C102" s="2" t="s">
        <v>179</v>
      </c>
      <c r="D102" s="47"/>
      <c r="E102" s="47"/>
      <c r="F102" s="47"/>
      <c r="G102" s="48"/>
      <c r="H102" s="48"/>
    </row>
    <row r="103" spans="3:55" x14ac:dyDescent="0.3">
      <c r="C103" s="2" t="s">
        <v>180</v>
      </c>
    </row>
    <row r="104" spans="3:55" x14ac:dyDescent="0.3">
      <c r="C104" s="2" t="s">
        <v>181</v>
      </c>
    </row>
    <row r="105" spans="3:55" x14ac:dyDescent="0.3">
      <c r="C105" s="2" t="s">
        <v>182</v>
      </c>
    </row>
    <row r="106" spans="3:55" x14ac:dyDescent="0.3">
      <c r="C106" s="2" t="s">
        <v>183</v>
      </c>
    </row>
    <row r="107" spans="3:55" s="11" customFormat="1" x14ac:dyDescent="0.3">
      <c r="C107" s="11" t="s">
        <v>184</v>
      </c>
      <c r="E107" s="11" t="s">
        <v>185</v>
      </c>
      <c r="F107" s="49" t="s">
        <v>186</v>
      </c>
      <c r="G107" s="50"/>
      <c r="H107" s="50"/>
      <c r="I107" s="50"/>
      <c r="J107" s="50"/>
      <c r="K107" s="51"/>
      <c r="L107" s="51"/>
      <c r="M107" s="51"/>
      <c r="AJ107" s="51"/>
      <c r="AW107" s="51"/>
      <c r="AY107" s="51"/>
      <c r="BC107" s="51"/>
    </row>
    <row r="108" spans="3:55" x14ac:dyDescent="0.3">
      <c r="C108" s="2" t="s">
        <v>187</v>
      </c>
      <c r="E108" s="52">
        <v>17.787299999999998</v>
      </c>
      <c r="F108" s="53">
        <v>17.366800000000001</v>
      </c>
    </row>
    <row r="109" spans="3:55" x14ac:dyDescent="0.3">
      <c r="C109" s="2" t="s">
        <v>188</v>
      </c>
      <c r="E109" s="52">
        <v>20.1904</v>
      </c>
      <c r="F109" s="53">
        <v>19.713000000000001</v>
      </c>
    </row>
    <row r="110" spans="3:55" x14ac:dyDescent="0.3">
      <c r="C110" s="2" t="s">
        <v>189</v>
      </c>
      <c r="E110" s="52">
        <v>19.591799999999999</v>
      </c>
      <c r="F110" s="53">
        <v>19.153199999999998</v>
      </c>
    </row>
    <row r="111" spans="3:55" x14ac:dyDescent="0.3">
      <c r="C111" s="2" t="s">
        <v>190</v>
      </c>
      <c r="E111" s="52">
        <v>21.551400000000001</v>
      </c>
      <c r="F111" s="53">
        <v>21.068899999999999</v>
      </c>
    </row>
    <row r="113" spans="3:11" x14ac:dyDescent="0.3">
      <c r="C113" s="2" t="s">
        <v>191</v>
      </c>
    </row>
    <row r="115" spans="3:11" x14ac:dyDescent="0.3">
      <c r="C115" s="2" t="s">
        <v>192</v>
      </c>
    </row>
    <row r="116" spans="3:11" x14ac:dyDescent="0.3">
      <c r="C116" s="2" t="s">
        <v>193</v>
      </c>
    </row>
    <row r="117" spans="3:11" x14ac:dyDescent="0.3">
      <c r="C117" s="2" t="s">
        <v>194</v>
      </c>
    </row>
    <row r="118" spans="3:11" x14ac:dyDescent="0.3">
      <c r="C118" s="2" t="s">
        <v>195</v>
      </c>
    </row>
    <row r="119" spans="3:11" x14ac:dyDescent="0.3">
      <c r="C119" s="2" t="s">
        <v>196</v>
      </c>
    </row>
    <row r="120" spans="3:11" x14ac:dyDescent="0.3">
      <c r="C120" s="2" t="s">
        <v>197</v>
      </c>
    </row>
    <row r="121" spans="3:11" x14ac:dyDescent="0.3">
      <c r="C121" s="2" t="s">
        <v>198</v>
      </c>
    </row>
    <row r="122" spans="3:11" x14ac:dyDescent="0.3">
      <c r="C122" s="2" t="s">
        <v>199</v>
      </c>
    </row>
    <row r="123" spans="3:11" x14ac:dyDescent="0.3">
      <c r="C123" s="2" t="s">
        <v>200</v>
      </c>
    </row>
    <row r="124" spans="3:11" x14ac:dyDescent="0.3">
      <c r="C124" s="2" t="s">
        <v>201</v>
      </c>
    </row>
    <row r="125" spans="3:11" x14ac:dyDescent="0.3">
      <c r="C125" s="2" t="s">
        <v>202</v>
      </c>
    </row>
    <row r="126" spans="3:11" x14ac:dyDescent="0.3">
      <c r="C126" s="2" t="s">
        <v>203</v>
      </c>
    </row>
    <row r="127" spans="3:11" ht="14.4" x14ac:dyDescent="0.3">
      <c r="C127" s="54"/>
      <c r="D127" s="54"/>
      <c r="E127" s="55"/>
      <c r="F127" s="55"/>
      <c r="G127" s="55"/>
      <c r="H127" s="55"/>
      <c r="I127" s="55"/>
      <c r="J127" s="55"/>
      <c r="K127" s="55"/>
    </row>
    <row r="128" spans="3:11" ht="14.4" x14ac:dyDescent="0.3"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3:11" ht="14.4" x14ac:dyDescent="0.3">
      <c r="C129" s="55"/>
      <c r="D129" s="55"/>
      <c r="E129" s="55"/>
      <c r="F129" s="55"/>
      <c r="G129" s="55"/>
      <c r="H129" s="55"/>
      <c r="I129" s="55"/>
      <c r="J129" s="55"/>
      <c r="K12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XDO_?CLASS_3?12?</vt:lpstr>
      <vt:lpstr>XDO_?FINAL_ISIN?53?</vt:lpstr>
      <vt:lpstr>XDO_?FINAL_ISIN?54?</vt:lpstr>
      <vt:lpstr>XDO_?FINAL_ISIN?55?</vt:lpstr>
      <vt:lpstr>XDO_?FINAL_MV?53?</vt:lpstr>
      <vt:lpstr>XDO_?FINAL_MV?54?</vt:lpstr>
      <vt:lpstr>XDO_?FINAL_MV?55?</vt:lpstr>
      <vt:lpstr>XDO_?FINAL_NAME?53?</vt:lpstr>
      <vt:lpstr>XDO_?FINAL_NAME?54?</vt:lpstr>
      <vt:lpstr>XDO_?FINAL_NAME?55?</vt:lpstr>
      <vt:lpstr>XDO_?FINAL_PER_NET?53?</vt:lpstr>
      <vt:lpstr>XDO_?FINAL_PER_NET?54?</vt:lpstr>
      <vt:lpstr>XDO_?FINAL_PER_NET?55?</vt:lpstr>
      <vt:lpstr>XDO_?FINAL_QUANTITE?53?</vt:lpstr>
      <vt:lpstr>XDO_?FINAL_QUANTITE?54?</vt:lpstr>
      <vt:lpstr>XDO_?FINAL_QUANTITE?55?</vt:lpstr>
      <vt:lpstr>XDO_?NAMCNAME?12?</vt:lpstr>
      <vt:lpstr>XDO_?NOVAL?53?</vt:lpstr>
      <vt:lpstr>XDO_?NOVAL?54?</vt:lpstr>
      <vt:lpstr>XDO_?NOVAL?55?</vt:lpstr>
      <vt:lpstr>XDO_?NPTF?12?</vt:lpstr>
      <vt:lpstr>XDO_?RATING?53?</vt:lpstr>
      <vt:lpstr>XDO_?RATING?54?</vt:lpstr>
      <vt:lpstr>XDO_?RATING?55?</vt:lpstr>
      <vt:lpstr>XDO_?REMARKS?53?</vt:lpstr>
      <vt:lpstr>XDO_?REMARKS?54?</vt:lpstr>
      <vt:lpstr>XDO_?REMARKS?55?</vt:lpstr>
      <vt:lpstr>XDO_?TITL?12?</vt:lpstr>
      <vt:lpstr>XDO_?YTM?53?</vt:lpstr>
      <vt:lpstr>XDO_?YTM?54?</vt:lpstr>
      <vt:lpstr>XDO_?YTM?55?</vt:lpstr>
      <vt:lpstr>XDO_GROUP_?G_2?12?</vt:lpstr>
      <vt:lpstr>XDO_GROUP_?G_3?12?</vt:lpstr>
      <vt:lpstr>XDO_GROUP_?G_4?53?</vt:lpstr>
      <vt:lpstr>XDO_GROUP_?G_4?54?</vt:lpstr>
      <vt:lpstr>XDO_GROUP_?G_4?55?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2023-02-06T13:49:37Z</dcterms:created>
  <dcterms:modified xsi:type="dcterms:W3CDTF">2023-02-09T12:21:09Z</dcterms:modified>
</cp:coreProperties>
</file>