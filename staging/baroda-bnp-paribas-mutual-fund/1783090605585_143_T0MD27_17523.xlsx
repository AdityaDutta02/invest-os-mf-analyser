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2342A45D-513B-49CE-99A5-090BBC66AF28}" xr6:coauthVersionLast="47" xr6:coauthVersionMax="47" xr10:uidLastSave="{00000000-0000-0000-0000-000000000000}"/>
  <bookViews>
    <workbookView xWindow="-108" yWindow="-108" windowWidth="23256" windowHeight="12456" xr2:uid="{3F14E9FF-A209-4F3A-BF44-67F0CB2CCFF7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'Half Yearly Portfolio'!#REF!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C32" i="2"/>
  <c r="E31" i="2"/>
  <c r="E30" i="2"/>
  <c r="E29" i="2"/>
  <c r="E32" i="2" s="1"/>
  <c r="E35" i="1"/>
  <c r="D35" i="1"/>
  <c r="C35" i="1"/>
  <c r="E34" i="1"/>
  <c r="E33" i="1"/>
  <c r="E32" i="1"/>
</calcChain>
</file>

<file path=xl/sharedStrings.xml><?xml version="1.0" encoding="utf-8"?>
<sst xmlns="http://schemas.openxmlformats.org/spreadsheetml/2006/main" count="174" uniqueCount="86">
  <si>
    <t>Baroda BNP Paribas NIFTY SDL December 2026 Index Fund
(An open-ended Target Maturity Index Fund replicating / tracking the NIFTY SDL December 2026 Index)
A Relatively High Interest Rate Risk and Relatively Low Credit Risk)</t>
  </si>
  <si>
    <t>HALF YEARLY PORTFOLIO STATEMENT AS ON MARCH 31, 2026
(Pursuant to the provisions of Regulation 59A of the Securities and Exchange Board of India (Mutual Funds) Regulations, 1996)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</si>
  <si>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</si>
  <si>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</si>
  <si>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</si>
  <si>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</si>
  <si>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</si>
  <si>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</si>
  <si>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</si>
  <si>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</si>
  <si>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</si>
  <si>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</si>
  <si>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</si>
  <si>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</si>
  <si>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GOI1686</t>
  </si>
  <si>
    <t>7.25% State Government Securities (28/12/2026)</t>
  </si>
  <si>
    <t>IN2220160120</t>
  </si>
  <si>
    <t>Sovereign</t>
  </si>
  <si>
    <t>GOI2505</t>
  </si>
  <si>
    <t>7.24% State Government Securities (28/12/2026)</t>
  </si>
  <si>
    <t>IN1520160160</t>
  </si>
  <si>
    <t>GOI2497</t>
  </si>
  <si>
    <t>7.08% State Government Securities (14/12/2026)</t>
  </si>
  <si>
    <t>IN1920160059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</si>
  <si>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</si>
  <si>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</si>
  <si>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</si>
  <si>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</si>
  <si>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</si>
  <si>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</si>
  <si>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</si>
  <si>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</si>
  <si>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</si>
  <si>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</si>
  <si>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</si>
  <si>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</si>
  <si>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</si>
  <si>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</si>
  <si>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</si>
  <si>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</si>
  <si>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</si>
  <si>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</si>
  <si>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</si>
  <si>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</si>
  <si>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</si>
  <si>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</si>
  <si>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</si>
  <si>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</si>
  <si>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</si>
  <si>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</si>
  <si>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</si>
  <si>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</si>
  <si>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</si>
  <si>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</si>
  <si>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</si>
  <si>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</si>
  <si>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</si>
  <si>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</si>
  <si>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</si>
  <si>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</si>
  <si>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</si>
  <si>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</si>
  <si>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</si>
  <si>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</si>
  <si>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</si>
  <si>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</si>
  <si>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Growth Option</t>
  </si>
  <si>
    <t>Direct Plan - IDCW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</si>
  <si>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</si>
  <si>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</si>
  <si>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</si>
  <si>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221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</si>
  <si>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</si>
  <si>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</si>
  <si>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</si>
  <si>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</si>
  <si>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</si>
  <si>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</si>
  <si>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</si>
  <si>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</si>
  <si>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</si>
  <si>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215 days.</t>
  </si>
  <si>
    <t>(18) Annualised Portfolio YTM has been 5.91.</t>
  </si>
  <si>
    <t>Monthly Performance Link:     https://www.barodabnpparibasmf.in/assets/download_documents/Performance_of_Schemes-march_2026_17502.pdf</t>
  </si>
  <si>
    <t>Baroda BNP Paribas NIFTY SDL December 2026 Index Fund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</si>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</sst>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168" fontId="6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1" fillId="0" borderId="26" xfId="1" applyBorder="1"/>
    <xf numFmtId="9" fontId="1" fillId="0" borderId="27" xfId="1" applyNumberFormat="1" applyBorder="1"/>
    <xf numFmtId="9" fontId="1" fillId="0" borderId="28" xfId="1" applyNumberFormat="1" applyBorder="1"/>
    <xf numFmtId="0" fontId="2" fillId="0" borderId="29" xfId="1" applyFont="1" applyBorder="1"/>
    <xf numFmtId="9" fontId="2" fillId="0" borderId="30" xfId="1" applyNumberFormat="1" applyFont="1" applyBorder="1"/>
    <xf numFmtId="9" fontId="2" fillId="0" borderId="31" xfId="1" applyNumberFormat="1" applyFont="1" applyBorder="1"/>
    <xf numFmtId="0" fontId="2" fillId="0" borderId="0" xfId="1" applyFont="1"/>
    <xf numFmtId="9" fontId="2" fillId="0" borderId="0" xfId="1" applyNumberFormat="1" applyFont="1"/>
    <xf numFmtId="0" fontId="11" fillId="0" borderId="0" xfId="0" applyFont="1"/>
    <xf numFmtId="0" fontId="12" fillId="0" borderId="0" xfId="0" applyFont="1"/>
    <xf numFmtId="169" fontId="12" fillId="0" borderId="0" xfId="0" applyNumberFormat="1" applyFont="1"/>
    <xf numFmtId="164" fontId="12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2" fillId="0" borderId="0" xfId="0" applyNumberFormat="1" applyFont="1"/>
    <xf numFmtId="170" fontId="12" fillId="0" borderId="0" xfId="0" applyNumberFormat="1" applyFont="1"/>
    <xf numFmtId="165" fontId="12" fillId="0" borderId="0" xfId="0" applyNumberFormat="1" applyFont="1"/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8379EDA5-7598-4E4B-A2A7-9C9C1D2424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2711051</xdr:colOff>
      <xdr:row>52</xdr:row>
      <xdr:rowOff>119308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B10B9-B9AB-42ED-9E5F-465575953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8311" cy="28625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3855720</xdr:colOff>
      <xdr:row>66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61ABF0-46E7-4FD9-8428-E7B72CB1E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4716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73</xdr:row>
      <xdr:rowOff>0</xdr:rowOff>
    </xdr:from>
    <xdr:to>
      <xdr:col>2</xdr:col>
      <xdr:colOff>859693</xdr:colOff>
      <xdr:row>87</xdr:row>
      <xdr:rowOff>124307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FBAC2B-B2A6-4A2F-87EA-EA41D3951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50" y="13631333"/>
          <a:ext cx="5607538" cy="2677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1</xdr:rowOff>
    </xdr:from>
    <xdr:to>
      <xdr:col>1</xdr:col>
      <xdr:colOff>2950307</xdr:colOff>
      <xdr:row>102</xdr:row>
      <xdr:rowOff>50112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75CD16-6604-4CC8-8710-B9C89BBA0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949" y="16731437"/>
          <a:ext cx="2950307" cy="2238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2569-7E70-433C-9277-A7B2B5059A36}">
  <dimension ref="A1:J69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3" t="s">
        <v>84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85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4700000</v>
      </c>
      <c r="F7" s="17">
        <v>4745.28</v>
      </c>
      <c r="G7" s="18">
        <v>0.35820000000000002</v>
      </c>
      <c r="H7" s="19">
        <v>5.9715999999999998E-2</v>
      </c>
      <c r="I7" s="20"/>
      <c r="J7" s="3"/>
    </row>
    <row r="8" spans="1:10" ht="13.05" customHeight="1">
      <c r="A8" s="14" t="s">
        <v>18</v>
      </c>
      <c r="B8" s="15" t="s">
        <v>19</v>
      </c>
      <c r="C8" s="12" t="s">
        <v>20</v>
      </c>
      <c r="D8" s="12" t="s">
        <v>17</v>
      </c>
      <c r="E8" s="16">
        <v>2500000</v>
      </c>
      <c r="F8" s="17">
        <v>2523.91</v>
      </c>
      <c r="G8" s="18">
        <v>0.1905</v>
      </c>
      <c r="H8" s="19">
        <v>5.9715999999999998E-2</v>
      </c>
      <c r="I8" s="20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17</v>
      </c>
      <c r="E9" s="16">
        <v>2500000</v>
      </c>
      <c r="F9" s="17">
        <v>2519.9699999999998</v>
      </c>
      <c r="G9" s="18">
        <v>0.19020000000000001</v>
      </c>
      <c r="H9" s="19">
        <v>5.9715999999999998E-2</v>
      </c>
      <c r="I9" s="20"/>
      <c r="J9" s="3"/>
    </row>
    <row r="10" spans="1:10" ht="13.05" customHeight="1">
      <c r="A10" s="14" t="s">
        <v>24</v>
      </c>
      <c r="B10" s="15" t="s">
        <v>25</v>
      </c>
      <c r="C10" s="12" t="s">
        <v>26</v>
      </c>
      <c r="D10" s="12" t="s">
        <v>17</v>
      </c>
      <c r="E10" s="16">
        <v>1500000</v>
      </c>
      <c r="F10" s="17">
        <v>1514.67</v>
      </c>
      <c r="G10" s="18">
        <v>0.1143</v>
      </c>
      <c r="H10" s="19">
        <v>5.9715999999999998E-2</v>
      </c>
      <c r="I10" s="20"/>
      <c r="J10" s="3"/>
    </row>
    <row r="11" spans="1:10" ht="13.05" customHeight="1">
      <c r="A11" s="14" t="s">
        <v>27</v>
      </c>
      <c r="B11" s="15" t="s">
        <v>28</v>
      </c>
      <c r="C11" s="12" t="s">
        <v>29</v>
      </c>
      <c r="D11" s="12" t="s">
        <v>17</v>
      </c>
      <c r="E11" s="16">
        <v>1000000</v>
      </c>
      <c r="F11" s="17">
        <v>1007.92</v>
      </c>
      <c r="G11" s="18">
        <v>7.6100000000000001E-2</v>
      </c>
      <c r="H11" s="19">
        <v>5.9715999999999998E-2</v>
      </c>
      <c r="I11" s="20"/>
      <c r="J11" s="3"/>
    </row>
    <row r="12" spans="1:10" ht="13.05" customHeight="1">
      <c r="A12" s="14" t="s">
        <v>30</v>
      </c>
      <c r="B12" s="15" t="s">
        <v>15</v>
      </c>
      <c r="C12" s="12" t="s">
        <v>31</v>
      </c>
      <c r="D12" s="12" t="s">
        <v>17</v>
      </c>
      <c r="E12" s="16">
        <v>500000</v>
      </c>
      <c r="F12" s="17">
        <v>504.61</v>
      </c>
      <c r="G12" s="18">
        <v>3.8100000000000002E-2</v>
      </c>
      <c r="H12" s="19">
        <v>6.0317000000000003E-2</v>
      </c>
      <c r="I12" s="20"/>
      <c r="J12" s="3"/>
    </row>
    <row r="13" spans="1:10" ht="13.05" customHeight="1">
      <c r="A13" s="3"/>
      <c r="B13" s="21" t="s">
        <v>32</v>
      </c>
      <c r="C13" s="22"/>
      <c r="D13" s="22"/>
      <c r="E13" s="22"/>
      <c r="F13" s="23">
        <v>12816.36</v>
      </c>
      <c r="G13" s="24">
        <v>0.96740000000000004</v>
      </c>
      <c r="H13" s="25"/>
      <c r="I13" s="25"/>
      <c r="J13" s="3"/>
    </row>
    <row r="14" spans="1:10" ht="13.05" customHeight="1">
      <c r="A14" s="3"/>
      <c r="B14" s="21" t="s">
        <v>33</v>
      </c>
      <c r="C14" s="22"/>
      <c r="D14" s="22"/>
      <c r="E14" s="22"/>
      <c r="F14" s="25" t="s">
        <v>34</v>
      </c>
      <c r="G14" s="25" t="s">
        <v>34</v>
      </c>
      <c r="H14" s="25"/>
      <c r="I14" s="25"/>
      <c r="J14" s="3"/>
    </row>
    <row r="15" spans="1:10" ht="13.05" customHeight="1">
      <c r="A15" s="3"/>
      <c r="B15" s="21" t="s">
        <v>32</v>
      </c>
      <c r="C15" s="22"/>
      <c r="D15" s="22"/>
      <c r="E15" s="22"/>
      <c r="F15" s="25" t="s">
        <v>34</v>
      </c>
      <c r="G15" s="25" t="s">
        <v>34</v>
      </c>
      <c r="H15" s="25"/>
      <c r="I15" s="25"/>
      <c r="J15" s="3"/>
    </row>
    <row r="16" spans="1:10" ht="13.05" customHeight="1">
      <c r="A16" s="3"/>
      <c r="B16" s="21" t="s">
        <v>35</v>
      </c>
      <c r="C16" s="26"/>
      <c r="D16" s="22"/>
      <c r="E16" s="26"/>
      <c r="F16" s="23">
        <v>12816.36</v>
      </c>
      <c r="G16" s="24">
        <v>0.96740000000000004</v>
      </c>
      <c r="H16" s="25"/>
      <c r="I16" s="25"/>
      <c r="J16" s="3"/>
    </row>
    <row r="17" spans="1:10" ht="13.05" customHeight="1">
      <c r="A17" s="3"/>
      <c r="B17" s="11" t="s">
        <v>36</v>
      </c>
      <c r="C17" s="12"/>
      <c r="D17" s="12"/>
      <c r="E17" s="12"/>
      <c r="F17" s="12"/>
      <c r="G17" s="12"/>
      <c r="H17" s="13"/>
      <c r="I17" s="13"/>
      <c r="J17" s="3"/>
    </row>
    <row r="18" spans="1:10" ht="13.05" customHeight="1">
      <c r="A18" s="14" t="s">
        <v>37</v>
      </c>
      <c r="B18" s="15" t="s">
        <v>38</v>
      </c>
      <c r="C18" s="12"/>
      <c r="D18" s="12" t="s">
        <v>39</v>
      </c>
      <c r="E18" s="16"/>
      <c r="F18" s="17">
        <v>2769.61</v>
      </c>
      <c r="G18" s="18">
        <v>0.20910000000000001</v>
      </c>
      <c r="H18" s="19">
        <v>6.6440274099013458E-2</v>
      </c>
      <c r="I18" s="20"/>
      <c r="J18" s="3"/>
    </row>
    <row r="19" spans="1:10" ht="13.05" customHeight="1">
      <c r="A19" s="3"/>
      <c r="B19" s="21" t="s">
        <v>32</v>
      </c>
      <c r="C19" s="22"/>
      <c r="D19" s="22"/>
      <c r="E19" s="22"/>
      <c r="F19" s="23">
        <v>2769.61</v>
      </c>
      <c r="G19" s="24">
        <v>0.20910000000000001</v>
      </c>
      <c r="H19" s="25"/>
      <c r="I19" s="25"/>
      <c r="J19" s="3"/>
    </row>
    <row r="20" spans="1:10" ht="13.05" customHeight="1">
      <c r="A20" s="3"/>
      <c r="B20" s="21" t="s">
        <v>33</v>
      </c>
      <c r="C20" s="22"/>
      <c r="D20" s="22"/>
      <c r="E20" s="22"/>
      <c r="F20" s="25" t="s">
        <v>34</v>
      </c>
      <c r="G20" s="25" t="s">
        <v>34</v>
      </c>
      <c r="H20" s="25"/>
      <c r="I20" s="25"/>
      <c r="J20" s="3"/>
    </row>
    <row r="21" spans="1:10" ht="13.05" customHeight="1">
      <c r="A21" s="3"/>
      <c r="B21" s="21" t="s">
        <v>32</v>
      </c>
      <c r="C21" s="22"/>
      <c r="D21" s="22"/>
      <c r="E21" s="22"/>
      <c r="F21" s="25" t="s">
        <v>34</v>
      </c>
      <c r="G21" s="25" t="s">
        <v>34</v>
      </c>
      <c r="H21" s="25"/>
      <c r="I21" s="25"/>
      <c r="J21" s="3"/>
    </row>
    <row r="22" spans="1:10" ht="13.05" customHeight="1">
      <c r="A22" s="3"/>
      <c r="B22" s="21" t="s">
        <v>35</v>
      </c>
      <c r="C22" s="26"/>
      <c r="D22" s="22"/>
      <c r="E22" s="26"/>
      <c r="F22" s="23">
        <v>2769.61</v>
      </c>
      <c r="G22" s="24">
        <v>0.20910000000000001</v>
      </c>
      <c r="H22" s="25"/>
      <c r="I22" s="25"/>
      <c r="J22" s="3"/>
    </row>
    <row r="23" spans="1:10" ht="13.05" customHeight="1">
      <c r="A23" s="3"/>
      <c r="B23" s="21" t="s">
        <v>40</v>
      </c>
      <c r="C23" s="12"/>
      <c r="D23" s="22"/>
      <c r="E23" s="12"/>
      <c r="F23" s="27">
        <v>-2338.79</v>
      </c>
      <c r="G23" s="24">
        <v>-0.17649999999999999</v>
      </c>
      <c r="H23" s="25"/>
      <c r="I23" s="25"/>
      <c r="J23" s="3"/>
    </row>
    <row r="24" spans="1:10" ht="13.05" customHeight="1" thickBot="1">
      <c r="A24" s="3"/>
      <c r="B24" s="28" t="s">
        <v>41</v>
      </c>
      <c r="C24" s="29"/>
      <c r="D24" s="29"/>
      <c r="E24" s="29"/>
      <c r="F24" s="30">
        <v>13247.18</v>
      </c>
      <c r="G24" s="31">
        <v>1</v>
      </c>
      <c r="H24" s="32"/>
      <c r="I24" s="32"/>
      <c r="J24" s="3"/>
    </row>
    <row r="25" spans="1:10" ht="13.05" customHeight="1">
      <c r="A25" s="3"/>
      <c r="B25" s="5"/>
      <c r="C25" s="3"/>
      <c r="D25" s="3"/>
      <c r="E25" s="3"/>
      <c r="F25" s="3"/>
      <c r="G25" s="3"/>
      <c r="H25" s="3"/>
      <c r="I25" s="3"/>
      <c r="J25" s="3"/>
    </row>
    <row r="26" spans="1:10" ht="13.05" customHeight="1">
      <c r="A26" s="3"/>
      <c r="B26" s="66"/>
      <c r="C26" s="66"/>
      <c r="D26" s="66"/>
      <c r="E26" s="66"/>
      <c r="F26" s="66"/>
      <c r="G26" s="66"/>
      <c r="H26" s="66"/>
      <c r="I26" s="3"/>
      <c r="J26" s="3"/>
    </row>
    <row r="27" spans="1:10" ht="13.05" customHeight="1" thickBot="1">
      <c r="A27" s="3"/>
      <c r="B27" s="66"/>
      <c r="C27" s="66"/>
      <c r="D27" s="66"/>
      <c r="E27" s="66"/>
      <c r="F27" s="66"/>
      <c r="G27" s="66"/>
      <c r="H27" s="66"/>
      <c r="I27" s="3"/>
      <c r="J27" s="3"/>
    </row>
    <row r="28" spans="1:10" ht="13.05" customHeight="1">
      <c r="A28" s="3"/>
      <c r="B28" s="34" t="s">
        <v>42</v>
      </c>
      <c r="C28" s="35" t="s">
        <v>43</v>
      </c>
      <c r="D28" s="35" t="s">
        <v>44</v>
      </c>
      <c r="E28" s="36" t="s">
        <v>45</v>
      </c>
      <c r="F28" s="33"/>
      <c r="G28" s="33"/>
      <c r="H28" s="33"/>
      <c r="I28" s="3"/>
      <c r="J28" s="3"/>
    </row>
    <row r="29" spans="1:10" ht="13.05" customHeight="1">
      <c r="A29" s="3"/>
      <c r="B29" s="37" t="s">
        <v>46</v>
      </c>
      <c r="C29" s="38">
        <v>0</v>
      </c>
      <c r="D29" s="38">
        <v>0</v>
      </c>
      <c r="E29" s="39">
        <f>MIN(C29:D29)</f>
        <v>0</v>
      </c>
      <c r="F29" s="33"/>
      <c r="G29" s="33"/>
      <c r="H29" s="33"/>
      <c r="I29" s="3"/>
      <c r="J29" s="3"/>
    </row>
    <row r="30" spans="1:10" ht="13.05" customHeight="1">
      <c r="A30" s="3"/>
      <c r="B30" s="37" t="s">
        <v>47</v>
      </c>
      <c r="C30" s="38">
        <v>1</v>
      </c>
      <c r="D30" s="38">
        <v>0.96740000000000004</v>
      </c>
      <c r="E30" s="39">
        <f t="shared" ref="E30:E31" si="0">MIN(C30:D30)</f>
        <v>0.96740000000000004</v>
      </c>
      <c r="F30" s="33"/>
      <c r="G30" s="33"/>
      <c r="H30" s="33"/>
      <c r="I30" s="3"/>
      <c r="J30" s="3"/>
    </row>
    <row r="31" spans="1:10" ht="13.05" customHeight="1">
      <c r="A31" s="3"/>
      <c r="B31" s="37" t="s">
        <v>48</v>
      </c>
      <c r="C31" s="38">
        <v>0</v>
      </c>
      <c r="D31" s="38">
        <v>3.2599999999999997E-2</v>
      </c>
      <c r="E31" s="39">
        <f t="shared" si="0"/>
        <v>0</v>
      </c>
      <c r="F31" s="33"/>
      <c r="G31" s="33"/>
      <c r="H31" s="33"/>
      <c r="I31" s="3"/>
      <c r="J31" s="3"/>
    </row>
    <row r="32" spans="1:10" ht="13.05" customHeight="1" thickBot="1">
      <c r="A32" s="3"/>
      <c r="B32" s="40" t="s">
        <v>35</v>
      </c>
      <c r="C32" s="41">
        <f t="shared" ref="C32" si="1">SUM(C29:C31)</f>
        <v>1</v>
      </c>
      <c r="D32" s="41">
        <f>SUM(D29:D31)</f>
        <v>1</v>
      </c>
      <c r="E32" s="42">
        <f t="shared" ref="E32" si="2">SUM(E29:E31)</f>
        <v>0.96740000000000004</v>
      </c>
      <c r="F32" s="3"/>
      <c r="G32" s="3"/>
      <c r="H32" s="3"/>
      <c r="I32" s="3"/>
      <c r="J32" s="3"/>
    </row>
    <row r="33" spans="1:10" ht="13.05" customHeight="1">
      <c r="A33" s="3"/>
      <c r="B33" s="43"/>
      <c r="C33" s="44"/>
      <c r="D33" s="44"/>
      <c r="E33" s="44"/>
      <c r="F33" s="3"/>
      <c r="G33" s="3"/>
      <c r="H33" s="3"/>
      <c r="I33" s="3"/>
      <c r="J33" s="3"/>
    </row>
    <row r="34" spans="1:10" ht="13.05" customHeight="1">
      <c r="A34" s="3"/>
      <c r="B34" s="33" t="s">
        <v>49</v>
      </c>
      <c r="C34" s="3"/>
      <c r="D34" s="3"/>
      <c r="E34" s="3"/>
      <c r="F34" s="3"/>
      <c r="G34" s="3"/>
      <c r="H34" s="3"/>
      <c r="I34" s="3"/>
      <c r="J34" s="3"/>
    </row>
    <row r="35" spans="1:10" ht="25.95" customHeight="1">
      <c r="A35" s="3"/>
      <c r="B35" s="66" t="s">
        <v>50</v>
      </c>
      <c r="C35" s="66"/>
      <c r="D35" s="66"/>
      <c r="E35" s="66"/>
      <c r="F35" s="66"/>
      <c r="G35" s="66"/>
      <c r="H35" s="66"/>
      <c r="I35" s="3"/>
      <c r="J35" s="3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9" spans="2:2">
      <c r="B69" t="s">
        <v>83</v>
      </c>
    </row>
  </sheetData>
  <mergeCells count="3">
    <mergeCell ref="B26:H26"/>
    <mergeCell ref="B27:H27"/>
    <mergeCell ref="B35:H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C382-98D6-4F56-85D6-7A10567E2D52}">
  <sheetPr codeName="Sheet5">
    <outlinePr summaryBelow="0"/>
  </sheetPr>
  <dimension ref="A1:AY122"/>
  <sheetViews>
    <sheetView zoomScale="117" zoomScaleNormal="117" workbookViewId="0">
      <selection activeCell="B99" sqref="B99"/>
    </sheetView>
  </sheetViews>
  <sheetFormatPr defaultRowHeight="14.4"/>
  <cols>
    <col min="1" max="1" width="3.33203125" customWidth="1"/>
    <col min="2" max="2" width="69.21875" style="46" customWidth="1"/>
    <col min="3" max="3" width="50" style="46" customWidth="1"/>
    <col min="4" max="4" width="33.33203125" style="46" customWidth="1"/>
    <col min="5" max="5" width="16.6640625" style="46" customWidth="1"/>
    <col min="6" max="7" width="25" style="46" customWidth="1"/>
    <col min="8" max="8" width="16.6640625" style="46" customWidth="1"/>
    <col min="9" max="9" width="16.6640625" customWidth="1"/>
    <col min="10" max="10" width="10.77734375" customWidth="1"/>
  </cols>
  <sheetData>
    <row r="1" spans="1:51" ht="15" thickBot="1">
      <c r="B1"/>
      <c r="C1"/>
      <c r="D1"/>
      <c r="E1"/>
      <c r="F1"/>
      <c r="G1"/>
      <c r="H1"/>
    </row>
    <row r="2" spans="1:51" s="1" customFormat="1" ht="39" customHeight="1">
      <c r="B2" s="57" t="s">
        <v>0</v>
      </c>
      <c r="C2" s="58"/>
      <c r="D2" s="58"/>
      <c r="E2" s="58"/>
      <c r="F2" s="58"/>
      <c r="G2" s="58"/>
      <c r="H2" s="58"/>
      <c r="I2" s="59"/>
      <c r="J2" s="2"/>
      <c r="AF2" s="2"/>
      <c r="AS2" s="2"/>
      <c r="AU2" s="2"/>
      <c r="AY2" s="2"/>
    </row>
    <row r="3" spans="1:51" s="1" customFormat="1" ht="39" customHeight="1" thickBot="1">
      <c r="B3" s="60"/>
      <c r="C3" s="61"/>
      <c r="D3" s="61"/>
      <c r="E3" s="61"/>
      <c r="F3" s="61"/>
      <c r="G3" s="61"/>
      <c r="H3" s="61"/>
      <c r="I3" s="62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63" t="s">
        <v>1</v>
      </c>
      <c r="C5" s="64"/>
      <c r="D5" s="64"/>
      <c r="E5" s="64"/>
      <c r="F5" s="64"/>
      <c r="G5" s="64"/>
      <c r="H5" s="64"/>
      <c r="I5" s="65"/>
      <c r="AC5" s="2"/>
      <c r="AP5" s="2"/>
      <c r="AR5" s="2"/>
      <c r="AV5" s="2"/>
    </row>
    <row r="6" spans="1:51" ht="13.05" customHeight="1" thickBot="1">
      <c r="A6" s="5" t="s">
        <v>2</v>
      </c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3</v>
      </c>
      <c r="C7" s="8" t="s">
        <v>4</v>
      </c>
      <c r="D7" s="9" t="s">
        <v>5</v>
      </c>
      <c r="E7" s="9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10" t="s">
        <v>11</v>
      </c>
    </row>
    <row r="8" spans="1:51" ht="13.05" customHeight="1">
      <c r="A8" s="3"/>
      <c r="B8" s="11" t="s">
        <v>12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13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14</v>
      </c>
      <c r="B10" s="15" t="s">
        <v>15</v>
      </c>
      <c r="C10" s="12" t="s">
        <v>16</v>
      </c>
      <c r="D10" s="12" t="s">
        <v>17</v>
      </c>
      <c r="E10" s="16">
        <v>4700000</v>
      </c>
      <c r="F10" s="17">
        <v>4745.28</v>
      </c>
      <c r="G10" s="18">
        <v>0.35820000000000002</v>
      </c>
      <c r="H10" s="19">
        <v>5.9715999999999998E-2</v>
      </c>
      <c r="I10" s="20"/>
      <c r="J10" s="3"/>
    </row>
    <row r="11" spans="1:51" ht="13.05" customHeight="1">
      <c r="A11" s="14" t="s">
        <v>18</v>
      </c>
      <c r="B11" s="15" t="s">
        <v>19</v>
      </c>
      <c r="C11" s="12" t="s">
        <v>20</v>
      </c>
      <c r="D11" s="12" t="s">
        <v>17</v>
      </c>
      <c r="E11" s="16">
        <v>2500000</v>
      </c>
      <c r="F11" s="17">
        <v>2523.91</v>
      </c>
      <c r="G11" s="18">
        <v>0.1905</v>
      </c>
      <c r="H11" s="19">
        <v>5.9715999999999998E-2</v>
      </c>
      <c r="I11" s="20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17</v>
      </c>
      <c r="E12" s="16">
        <v>2500000</v>
      </c>
      <c r="F12" s="17">
        <v>2519.9699999999998</v>
      </c>
      <c r="G12" s="18">
        <v>0.19020000000000001</v>
      </c>
      <c r="H12" s="19">
        <v>5.9715999999999998E-2</v>
      </c>
      <c r="I12" s="20"/>
      <c r="J12" s="3"/>
    </row>
    <row r="13" spans="1:51" ht="13.05" customHeight="1">
      <c r="A13" s="14" t="s">
        <v>24</v>
      </c>
      <c r="B13" s="15" t="s">
        <v>25</v>
      </c>
      <c r="C13" s="12" t="s">
        <v>26</v>
      </c>
      <c r="D13" s="12" t="s">
        <v>17</v>
      </c>
      <c r="E13" s="16">
        <v>1500000</v>
      </c>
      <c r="F13" s="17">
        <v>1514.67</v>
      </c>
      <c r="G13" s="18">
        <v>0.1143</v>
      </c>
      <c r="H13" s="19">
        <v>5.9715999999999998E-2</v>
      </c>
      <c r="I13" s="20"/>
      <c r="J13" s="3"/>
    </row>
    <row r="14" spans="1:51" ht="13.05" customHeight="1">
      <c r="A14" s="14" t="s">
        <v>27</v>
      </c>
      <c r="B14" s="15" t="s">
        <v>28</v>
      </c>
      <c r="C14" s="12" t="s">
        <v>29</v>
      </c>
      <c r="D14" s="12" t="s">
        <v>17</v>
      </c>
      <c r="E14" s="16">
        <v>1000000</v>
      </c>
      <c r="F14" s="17">
        <v>1007.92</v>
      </c>
      <c r="G14" s="18">
        <v>7.6100000000000001E-2</v>
      </c>
      <c r="H14" s="19">
        <v>5.9715999999999998E-2</v>
      </c>
      <c r="I14" s="20"/>
      <c r="J14" s="3"/>
    </row>
    <row r="15" spans="1:51" ht="13.05" customHeight="1">
      <c r="A15" s="14" t="s">
        <v>30</v>
      </c>
      <c r="B15" s="15" t="s">
        <v>15</v>
      </c>
      <c r="C15" s="12" t="s">
        <v>31</v>
      </c>
      <c r="D15" s="12" t="s">
        <v>17</v>
      </c>
      <c r="E15" s="16">
        <v>500000</v>
      </c>
      <c r="F15" s="17">
        <v>504.61</v>
      </c>
      <c r="G15" s="18">
        <v>3.8100000000000002E-2</v>
      </c>
      <c r="H15" s="19">
        <v>6.0317000000000003E-2</v>
      </c>
      <c r="I15" s="20"/>
      <c r="J15" s="3"/>
    </row>
    <row r="16" spans="1:51" ht="13.05" customHeight="1">
      <c r="A16" s="3"/>
      <c r="B16" s="21" t="s">
        <v>32</v>
      </c>
      <c r="C16" s="22"/>
      <c r="D16" s="22"/>
      <c r="E16" s="22"/>
      <c r="F16" s="23">
        <v>12816.36</v>
      </c>
      <c r="G16" s="24">
        <v>0.96740000000000004</v>
      </c>
      <c r="H16" s="25"/>
      <c r="I16" s="25"/>
      <c r="J16" s="3"/>
    </row>
    <row r="17" spans="1:10" ht="13.05" customHeight="1">
      <c r="A17" s="3"/>
      <c r="B17" s="21" t="s">
        <v>33</v>
      </c>
      <c r="C17" s="22"/>
      <c r="D17" s="22"/>
      <c r="E17" s="22"/>
      <c r="F17" s="25" t="s">
        <v>34</v>
      </c>
      <c r="G17" s="25" t="s">
        <v>34</v>
      </c>
      <c r="H17" s="25"/>
      <c r="I17" s="25"/>
      <c r="J17" s="3"/>
    </row>
    <row r="18" spans="1:10" ht="13.05" customHeight="1">
      <c r="A18" s="3"/>
      <c r="B18" s="21" t="s">
        <v>32</v>
      </c>
      <c r="C18" s="22"/>
      <c r="D18" s="22"/>
      <c r="E18" s="22"/>
      <c r="F18" s="25" t="s">
        <v>34</v>
      </c>
      <c r="G18" s="25" t="s">
        <v>34</v>
      </c>
      <c r="H18" s="25"/>
      <c r="I18" s="25"/>
      <c r="J18" s="3"/>
    </row>
    <row r="19" spans="1:10" ht="13.05" customHeight="1">
      <c r="A19" s="3"/>
      <c r="B19" s="21" t="s">
        <v>35</v>
      </c>
      <c r="C19" s="26"/>
      <c r="D19" s="22"/>
      <c r="E19" s="26"/>
      <c r="F19" s="23">
        <v>12816.36</v>
      </c>
      <c r="G19" s="24">
        <v>0.96740000000000004</v>
      </c>
      <c r="H19" s="25"/>
      <c r="I19" s="25"/>
      <c r="J19" s="3"/>
    </row>
    <row r="20" spans="1:10" ht="13.05" customHeight="1">
      <c r="A20" s="3"/>
      <c r="B20" s="11" t="s">
        <v>36</v>
      </c>
      <c r="C20" s="12"/>
      <c r="D20" s="12"/>
      <c r="E20" s="12"/>
      <c r="F20" s="12"/>
      <c r="G20" s="12"/>
      <c r="H20" s="13"/>
      <c r="I20" s="13"/>
      <c r="J20" s="3"/>
    </row>
    <row r="21" spans="1:10" ht="13.05" customHeight="1">
      <c r="A21" s="14" t="s">
        <v>37</v>
      </c>
      <c r="B21" s="15" t="s">
        <v>38</v>
      </c>
      <c r="C21" s="12"/>
      <c r="D21" s="12" t="s">
        <v>39</v>
      </c>
      <c r="E21" s="16"/>
      <c r="F21" s="17">
        <v>2769.61</v>
      </c>
      <c r="G21" s="18">
        <v>0.20910000000000001</v>
      </c>
      <c r="H21" s="19">
        <v>6.6440274099013458E-2</v>
      </c>
      <c r="I21" s="20"/>
      <c r="J21" s="3"/>
    </row>
    <row r="22" spans="1:10" ht="13.05" customHeight="1">
      <c r="A22" s="3"/>
      <c r="B22" s="21" t="s">
        <v>32</v>
      </c>
      <c r="C22" s="22"/>
      <c r="D22" s="22"/>
      <c r="E22" s="22"/>
      <c r="F22" s="23">
        <v>2769.61</v>
      </c>
      <c r="G22" s="24">
        <v>0.20910000000000001</v>
      </c>
      <c r="H22" s="25"/>
      <c r="I22" s="25"/>
      <c r="J22" s="3"/>
    </row>
    <row r="23" spans="1:10" ht="13.05" customHeight="1">
      <c r="A23" s="3"/>
      <c r="B23" s="21" t="s">
        <v>33</v>
      </c>
      <c r="C23" s="22"/>
      <c r="D23" s="22"/>
      <c r="E23" s="22"/>
      <c r="F23" s="25" t="s">
        <v>34</v>
      </c>
      <c r="G23" s="25" t="s">
        <v>34</v>
      </c>
      <c r="H23" s="25"/>
      <c r="I23" s="25"/>
      <c r="J23" s="3"/>
    </row>
    <row r="24" spans="1:10" ht="13.05" customHeight="1">
      <c r="A24" s="3"/>
      <c r="B24" s="21" t="s">
        <v>32</v>
      </c>
      <c r="C24" s="22"/>
      <c r="D24" s="22"/>
      <c r="E24" s="22"/>
      <c r="F24" s="25" t="s">
        <v>34</v>
      </c>
      <c r="G24" s="25" t="s">
        <v>34</v>
      </c>
      <c r="H24" s="25"/>
      <c r="I24" s="25"/>
      <c r="J24" s="3"/>
    </row>
    <row r="25" spans="1:10" ht="13.05" customHeight="1">
      <c r="A25" s="3"/>
      <c r="B25" s="21" t="s">
        <v>35</v>
      </c>
      <c r="C25" s="26"/>
      <c r="D25" s="22"/>
      <c r="E25" s="26"/>
      <c r="F25" s="23">
        <v>2769.61</v>
      </c>
      <c r="G25" s="24">
        <v>0.20910000000000001</v>
      </c>
      <c r="H25" s="25"/>
      <c r="I25" s="25"/>
      <c r="J25" s="3"/>
    </row>
    <row r="26" spans="1:10" ht="13.05" customHeight="1">
      <c r="A26" s="3"/>
      <c r="B26" s="21" t="s">
        <v>40</v>
      </c>
      <c r="C26" s="12"/>
      <c r="D26" s="22"/>
      <c r="E26" s="12"/>
      <c r="F26" s="27">
        <v>-2338.79</v>
      </c>
      <c r="G26" s="24">
        <v>-0.17649999999999999</v>
      </c>
      <c r="H26" s="25"/>
      <c r="I26" s="25"/>
      <c r="J26" s="3"/>
    </row>
    <row r="27" spans="1:10" ht="13.05" customHeight="1" thickBot="1">
      <c r="A27" s="3"/>
      <c r="B27" s="28" t="s">
        <v>41</v>
      </c>
      <c r="C27" s="29"/>
      <c r="D27" s="29"/>
      <c r="E27" s="29"/>
      <c r="F27" s="30">
        <v>13247.18</v>
      </c>
      <c r="G27" s="31">
        <v>1</v>
      </c>
      <c r="H27" s="32"/>
      <c r="I27" s="32"/>
      <c r="J27" s="3"/>
    </row>
    <row r="28" spans="1:10" ht="13.0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3.05" customHeight="1">
      <c r="A29" s="3"/>
      <c r="B29" s="66"/>
      <c r="C29" s="66"/>
      <c r="D29" s="66"/>
      <c r="E29" s="66"/>
      <c r="F29" s="66"/>
      <c r="G29" s="66"/>
      <c r="H29" s="66"/>
      <c r="I29" s="3"/>
      <c r="J29" s="3"/>
    </row>
    <row r="30" spans="1:10" ht="13.05" customHeight="1" thickBot="1">
      <c r="A30" s="3"/>
      <c r="B30" s="66"/>
      <c r="C30" s="66"/>
      <c r="D30" s="66"/>
      <c r="E30" s="66"/>
      <c r="F30" s="66"/>
      <c r="G30" s="66"/>
      <c r="H30" s="66"/>
      <c r="I30" s="3"/>
      <c r="J30" s="3"/>
    </row>
    <row r="31" spans="1:10" ht="13.05" customHeight="1">
      <c r="A31" s="3"/>
      <c r="B31" s="34" t="s">
        <v>42</v>
      </c>
      <c r="C31" s="35" t="s">
        <v>43</v>
      </c>
      <c r="D31" s="35" t="s">
        <v>44</v>
      </c>
      <c r="E31" s="36" t="s">
        <v>45</v>
      </c>
      <c r="F31" s="33"/>
      <c r="G31" s="33"/>
      <c r="H31" s="33"/>
      <c r="I31" s="3"/>
      <c r="J31" s="3"/>
    </row>
    <row r="32" spans="1:10" ht="13.05" customHeight="1">
      <c r="A32" s="3"/>
      <c r="B32" s="37" t="s">
        <v>46</v>
      </c>
      <c r="C32" s="38">
        <v>0</v>
      </c>
      <c r="D32" s="38">
        <v>0</v>
      </c>
      <c r="E32" s="39">
        <f>MIN(C32:D32)</f>
        <v>0</v>
      </c>
      <c r="F32" s="33"/>
      <c r="G32" s="33"/>
      <c r="H32" s="33"/>
      <c r="I32" s="3"/>
      <c r="J32" s="3"/>
    </row>
    <row r="33" spans="1:10" ht="13.05" customHeight="1">
      <c r="A33" s="3"/>
      <c r="B33" s="37" t="s">
        <v>47</v>
      </c>
      <c r="C33" s="38">
        <v>1</v>
      </c>
      <c r="D33" s="38">
        <v>0.96740000000000004</v>
      </c>
      <c r="E33" s="39">
        <f t="shared" ref="E33:E34" si="0">MIN(C33:D33)</f>
        <v>0.96740000000000004</v>
      </c>
      <c r="F33" s="33"/>
      <c r="G33" s="33"/>
      <c r="H33" s="33"/>
      <c r="I33" s="3"/>
      <c r="J33" s="3"/>
    </row>
    <row r="34" spans="1:10" ht="13.05" customHeight="1">
      <c r="A34" s="3"/>
      <c r="B34" s="37" t="s">
        <v>48</v>
      </c>
      <c r="C34" s="38">
        <v>0</v>
      </c>
      <c r="D34" s="38">
        <v>3.2599999999999997E-2</v>
      </c>
      <c r="E34" s="39">
        <f t="shared" si="0"/>
        <v>0</v>
      </c>
      <c r="F34" s="33"/>
      <c r="G34" s="33"/>
      <c r="H34" s="33"/>
      <c r="I34" s="3"/>
      <c r="J34" s="3"/>
    </row>
    <row r="35" spans="1:10" ht="13.05" customHeight="1" thickBot="1">
      <c r="A35" s="3"/>
      <c r="B35" s="40" t="s">
        <v>35</v>
      </c>
      <c r="C35" s="41">
        <f t="shared" ref="C35" si="1">SUM(C32:C34)</f>
        <v>1</v>
      </c>
      <c r="D35" s="41">
        <f>SUM(D32:D34)</f>
        <v>1</v>
      </c>
      <c r="E35" s="42">
        <f t="shared" ref="E35" si="2">SUM(E32:E34)</f>
        <v>0.96740000000000004</v>
      </c>
      <c r="F35" s="3"/>
      <c r="G35" s="3"/>
      <c r="H35" s="3"/>
      <c r="I35" s="3"/>
      <c r="J35" s="3"/>
    </row>
    <row r="36" spans="1:10" ht="13.05" customHeight="1">
      <c r="A36" s="3"/>
      <c r="B36" s="43"/>
      <c r="C36" s="44"/>
      <c r="D36" s="44"/>
      <c r="E36" s="44"/>
      <c r="F36" s="3"/>
      <c r="G36" s="3"/>
      <c r="H36" s="3"/>
      <c r="I36" s="3"/>
      <c r="J36" s="3"/>
    </row>
    <row r="37" spans="1:10" ht="13.05" customHeight="1">
      <c r="A37" s="3"/>
      <c r="B37" s="33" t="s">
        <v>49</v>
      </c>
      <c r="C37" s="3"/>
      <c r="D37" s="3"/>
      <c r="E37" s="3"/>
      <c r="F37" s="3"/>
      <c r="G37" s="3"/>
      <c r="H37" s="3"/>
      <c r="I37" s="3"/>
      <c r="J37" s="3"/>
    </row>
    <row r="38" spans="1:10" ht="25.95" customHeight="1">
      <c r="A38" s="3"/>
      <c r="B38" s="66" t="s">
        <v>50</v>
      </c>
      <c r="C38" s="66"/>
      <c r="D38" s="66"/>
      <c r="E38" s="66"/>
      <c r="F38" s="66"/>
      <c r="G38" s="66"/>
      <c r="H38" s="66"/>
      <c r="I38" s="3"/>
      <c r="J38" s="3"/>
    </row>
    <row r="39" spans="1:10">
      <c r="B39"/>
      <c r="C39"/>
      <c r="D39"/>
      <c r="E39"/>
      <c r="F39"/>
      <c r="G39"/>
      <c r="H39"/>
    </row>
    <row r="40" spans="1:10">
      <c r="B40" s="45" t="s">
        <v>51</v>
      </c>
      <c r="E40" s="47"/>
      <c r="F40" s="48"/>
      <c r="G40" s="48"/>
      <c r="H40" s="48"/>
      <c r="I40" s="49"/>
      <c r="J40" s="50"/>
    </row>
    <row r="41" spans="1:10">
      <c r="B41" s="46" t="s">
        <v>52</v>
      </c>
      <c r="E41" s="47"/>
      <c r="F41" s="48"/>
      <c r="G41" s="48"/>
      <c r="H41" s="48"/>
      <c r="I41" s="49"/>
      <c r="J41" s="50"/>
    </row>
    <row r="42" spans="1:10">
      <c r="B42" s="46" t="s">
        <v>53</v>
      </c>
      <c r="E42" s="47"/>
      <c r="F42" s="48"/>
      <c r="G42" s="48"/>
      <c r="H42" s="48"/>
      <c r="I42" s="49"/>
      <c r="J42" s="50"/>
    </row>
    <row r="43" spans="1:10">
      <c r="B43" s="46" t="s">
        <v>54</v>
      </c>
      <c r="E43" s="47"/>
      <c r="F43" s="48"/>
      <c r="G43" s="48"/>
      <c r="H43" s="48"/>
      <c r="I43" s="49"/>
      <c r="J43" s="50"/>
    </row>
    <row r="44" spans="1:10">
      <c r="B44" s="46" t="s">
        <v>55</v>
      </c>
      <c r="E44" s="47"/>
      <c r="F44" s="48"/>
      <c r="G44" s="48"/>
      <c r="H44" s="48"/>
      <c r="I44" s="49"/>
      <c r="J44" s="50"/>
    </row>
    <row r="45" spans="1:10">
      <c r="B45" s="46" t="s">
        <v>56</v>
      </c>
      <c r="F45" s="51"/>
      <c r="G45" s="51"/>
      <c r="H45" s="48"/>
      <c r="I45" s="49"/>
      <c r="J45" s="50"/>
    </row>
    <row r="46" spans="1:10">
      <c r="B46" s="46" t="s">
        <v>57</v>
      </c>
      <c r="E46" s="47"/>
      <c r="F46" s="48"/>
      <c r="G46" s="48"/>
      <c r="H46" s="48"/>
      <c r="I46" s="49"/>
      <c r="J46" s="50"/>
    </row>
    <row r="47" spans="1:10">
      <c r="B47" s="46" t="s">
        <v>58</v>
      </c>
      <c r="E47" s="47"/>
      <c r="F47" s="48"/>
      <c r="G47" s="48"/>
      <c r="H47" s="48"/>
      <c r="I47" s="49"/>
      <c r="J47" s="50"/>
    </row>
    <row r="48" spans="1:10">
      <c r="B48" s="46" t="s">
        <v>59</v>
      </c>
      <c r="E48" s="47"/>
      <c r="F48" s="48"/>
      <c r="G48" s="48"/>
      <c r="H48" s="48"/>
      <c r="I48" s="49"/>
      <c r="J48" s="50"/>
    </row>
    <row r="49" spans="2:10">
      <c r="B49" s="46" t="s">
        <v>60</v>
      </c>
      <c r="E49" s="47"/>
      <c r="F49" s="48"/>
      <c r="G49" s="48"/>
      <c r="H49" s="48"/>
      <c r="I49" s="49"/>
      <c r="J49" s="50"/>
    </row>
    <row r="50" spans="2:10">
      <c r="B50" s="45" t="s">
        <v>61</v>
      </c>
      <c r="C50" s="45"/>
      <c r="D50" s="45" t="s">
        <v>62</v>
      </c>
      <c r="E50" s="45" t="s">
        <v>63</v>
      </c>
      <c r="F50" s="48"/>
      <c r="G50" s="48"/>
      <c r="H50" s="48"/>
      <c r="I50" s="49"/>
      <c r="J50" s="50"/>
    </row>
    <row r="51" spans="2:10">
      <c r="B51" s="46" t="s">
        <v>64</v>
      </c>
      <c r="D51" s="52">
        <v>12.1205</v>
      </c>
      <c r="E51" s="52">
        <v>12.4702</v>
      </c>
      <c r="F51" s="48"/>
      <c r="G51" s="48"/>
      <c r="H51" s="48"/>
      <c r="I51" s="49"/>
      <c r="J51" s="50"/>
    </row>
    <row r="52" spans="2:10">
      <c r="B52" s="46" t="s">
        <v>65</v>
      </c>
      <c r="D52" s="52">
        <v>12.1204</v>
      </c>
      <c r="E52" s="52">
        <v>12.4701</v>
      </c>
      <c r="F52" s="48"/>
      <c r="G52" s="48"/>
      <c r="H52" s="48"/>
      <c r="I52" s="49"/>
      <c r="J52" s="50"/>
    </row>
    <row r="53" spans="2:10">
      <c r="B53" s="46" t="s">
        <v>66</v>
      </c>
      <c r="D53" s="52">
        <v>12.218400000000001</v>
      </c>
      <c r="E53" s="52">
        <v>12.589700000000001</v>
      </c>
      <c r="F53" s="48"/>
      <c r="G53" s="48"/>
      <c r="H53" s="48"/>
      <c r="I53" s="49"/>
      <c r="J53" s="50"/>
    </row>
    <row r="54" spans="2:10">
      <c r="B54" s="46" t="s">
        <v>67</v>
      </c>
      <c r="D54" s="52">
        <v>0</v>
      </c>
      <c r="E54" s="52">
        <v>0</v>
      </c>
      <c r="F54" s="48"/>
      <c r="G54" s="48"/>
      <c r="H54" s="48"/>
      <c r="I54" s="49"/>
      <c r="J54" s="50"/>
    </row>
    <row r="55" spans="2:10">
      <c r="E55" s="47"/>
      <c r="F55" s="48"/>
      <c r="G55" s="48"/>
      <c r="H55" s="48"/>
      <c r="I55" s="49"/>
      <c r="J55" s="50"/>
    </row>
    <row r="56" spans="2:10">
      <c r="B56" s="46" t="s">
        <v>68</v>
      </c>
      <c r="E56" s="47"/>
      <c r="F56" s="48"/>
      <c r="G56" s="48"/>
      <c r="H56" s="48"/>
      <c r="I56" s="49"/>
      <c r="J56" s="50"/>
    </row>
    <row r="57" spans="2:10">
      <c r="B57" s="46" t="s">
        <v>69</v>
      </c>
      <c r="E57" s="47"/>
      <c r="F57" s="48"/>
      <c r="G57" s="48"/>
      <c r="H57" s="48"/>
      <c r="I57" s="49"/>
      <c r="J57" s="50"/>
    </row>
    <row r="58" spans="2:10">
      <c r="B58" s="46" t="s">
        <v>70</v>
      </c>
      <c r="E58" s="47"/>
      <c r="F58" s="48"/>
      <c r="G58" s="48"/>
      <c r="H58" s="48"/>
      <c r="I58" s="49"/>
      <c r="J58" s="50"/>
    </row>
    <row r="59" spans="2:10" s="46" customFormat="1" ht="11.4">
      <c r="B59" s="46" t="s">
        <v>71</v>
      </c>
      <c r="E59" s="47"/>
      <c r="F59" s="48"/>
      <c r="G59" s="48"/>
      <c r="H59" s="48"/>
      <c r="I59" s="48"/>
      <c r="J59" s="53"/>
    </row>
    <row r="60" spans="2:10" s="46" customFormat="1" ht="11.4">
      <c r="B60" s="46" t="s">
        <v>72</v>
      </c>
      <c r="E60" s="47"/>
      <c r="F60" s="48"/>
      <c r="G60" s="48"/>
      <c r="H60" s="48"/>
      <c r="I60" s="48"/>
      <c r="J60" s="53"/>
    </row>
    <row r="61" spans="2:10" s="46" customFormat="1" ht="11.4">
      <c r="B61" s="46" t="s">
        <v>73</v>
      </c>
      <c r="E61" s="47"/>
      <c r="F61" s="48"/>
      <c r="G61" s="48"/>
      <c r="H61" s="48"/>
      <c r="I61" s="48"/>
      <c r="J61" s="53"/>
    </row>
    <row r="62" spans="2:10" s="46" customFormat="1" ht="11.4">
      <c r="B62" s="46" t="s">
        <v>74</v>
      </c>
      <c r="E62" s="47"/>
      <c r="F62" s="48"/>
      <c r="G62" s="48"/>
      <c r="H62" s="48"/>
      <c r="I62" s="48"/>
      <c r="J62" s="53"/>
    </row>
    <row r="63" spans="2:10" s="46" customFormat="1" ht="11.4">
      <c r="B63" s="46" t="s">
        <v>75</v>
      </c>
      <c r="E63" s="47"/>
      <c r="F63" s="48"/>
      <c r="G63" s="48"/>
      <c r="H63" s="48"/>
      <c r="I63" s="48"/>
      <c r="J63" s="53"/>
    </row>
    <row r="64" spans="2:10" s="46" customFormat="1" ht="11.4">
      <c r="B64" s="46" t="s">
        <v>76</v>
      </c>
      <c r="E64" s="47"/>
      <c r="F64" s="48"/>
      <c r="G64" s="48"/>
      <c r="H64" s="48"/>
      <c r="I64" s="48"/>
      <c r="J64" s="53"/>
    </row>
    <row r="65" spans="2:10" s="46" customFormat="1" ht="11.4">
      <c r="B65" s="46" t="s">
        <v>77</v>
      </c>
      <c r="E65" s="47"/>
      <c r="F65" s="48"/>
      <c r="G65" s="48"/>
      <c r="H65" s="48"/>
      <c r="I65" s="48"/>
      <c r="J65" s="53"/>
    </row>
    <row r="66" spans="2:10" s="46" customFormat="1" ht="11.4">
      <c r="B66" s="46" t="s">
        <v>78</v>
      </c>
      <c r="E66" s="47"/>
      <c r="F66" s="48"/>
      <c r="G66" s="48"/>
      <c r="H66" s="48"/>
      <c r="I66" s="48"/>
      <c r="J66" s="53"/>
    </row>
    <row r="67" spans="2:10" s="46" customFormat="1" ht="11.4">
      <c r="B67" s="46" t="s">
        <v>79</v>
      </c>
      <c r="E67" s="47"/>
      <c r="F67" s="48"/>
      <c r="G67" s="48"/>
      <c r="H67" s="48"/>
      <c r="I67" s="48"/>
      <c r="J67" s="53"/>
    </row>
    <row r="68" spans="2:10" s="46" customFormat="1" ht="11.4">
      <c r="B68" s="46" t="s">
        <v>80</v>
      </c>
      <c r="E68" s="47"/>
      <c r="F68" s="48"/>
      <c r="G68" s="48"/>
      <c r="H68" s="48"/>
      <c r="I68" s="48"/>
      <c r="J68" s="53"/>
    </row>
    <row r="69" spans="2:10" s="46" customFormat="1" ht="11.4">
      <c r="B69" s="46" t="s">
        <v>81</v>
      </c>
      <c r="E69" s="47"/>
      <c r="F69" s="48"/>
      <c r="G69" s="48"/>
      <c r="H69" s="48"/>
      <c r="I69" s="48"/>
      <c r="J69" s="53"/>
    </row>
    <row r="70" spans="2:10" s="45" customFormat="1" ht="12">
      <c r="B70" s="45" t="s">
        <v>82</v>
      </c>
      <c r="E70" s="54"/>
      <c r="F70" s="55"/>
      <c r="G70" s="55"/>
      <c r="H70" s="55"/>
      <c r="I70" s="55"/>
      <c r="J70" s="56"/>
    </row>
    <row r="71" spans="2:10" s="46" customFormat="1" ht="11.4"/>
    <row r="72" spans="2:10" s="46" customFormat="1" ht="11.4"/>
    <row r="73" spans="2:10">
      <c r="B73"/>
      <c r="C73"/>
      <c r="D73"/>
      <c r="E73"/>
      <c r="F73"/>
      <c r="G73"/>
      <c r="H73"/>
    </row>
    <row r="74" spans="2:10">
      <c r="B74"/>
      <c r="C74"/>
      <c r="D74"/>
      <c r="E74"/>
      <c r="F74"/>
      <c r="G74"/>
      <c r="H74"/>
    </row>
    <row r="75" spans="2:10">
      <c r="B75"/>
      <c r="C75"/>
      <c r="D75"/>
      <c r="E75"/>
      <c r="F75"/>
      <c r="G75"/>
      <c r="H75"/>
    </row>
    <row r="76" spans="2:10">
      <c r="B76"/>
      <c r="C76"/>
      <c r="D76"/>
      <c r="E76"/>
      <c r="F76"/>
      <c r="G76"/>
      <c r="H76"/>
    </row>
    <row r="77" spans="2:10">
      <c r="B77"/>
      <c r="C77"/>
      <c r="D77"/>
      <c r="E77"/>
      <c r="F77"/>
      <c r="G77"/>
      <c r="H77"/>
    </row>
    <row r="78" spans="2:10">
      <c r="B78"/>
      <c r="C78"/>
      <c r="D78"/>
      <c r="E78"/>
      <c r="F78"/>
      <c r="G78"/>
      <c r="H78"/>
    </row>
    <row r="79" spans="2:10">
      <c r="B79"/>
      <c r="C79"/>
      <c r="D79"/>
      <c r="E79"/>
      <c r="F79"/>
      <c r="G79"/>
      <c r="H79"/>
    </row>
    <row r="80" spans="2:10">
      <c r="B80"/>
      <c r="C80"/>
      <c r="D80"/>
      <c r="E80"/>
      <c r="F80"/>
      <c r="G80"/>
      <c r="H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 t="s">
        <v>83</v>
      </c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 s="46" customFormat="1" ht="11.4"/>
    <row r="108" spans="2:8" s="46" customFormat="1" ht="11.4"/>
    <row r="109" spans="2:8" s="46" customFormat="1" ht="11.4"/>
    <row r="110" spans="2:8" s="46" customFormat="1" ht="11.4"/>
    <row r="111" spans="2:8" s="46" customFormat="1" ht="11.4"/>
    <row r="112" spans="2:8" s="46" customFormat="1" ht="11.4"/>
    <row r="113" s="46" customFormat="1" ht="11.4"/>
    <row r="114" s="46" customFormat="1" ht="11.4"/>
    <row r="115" s="46" customFormat="1" ht="11.4"/>
    <row r="116" s="46" customFormat="1" ht="11.4"/>
    <row r="117" s="46" customFormat="1" ht="11.4"/>
    <row r="118" s="46" customFormat="1" ht="11.4"/>
    <row r="119" s="46" customFormat="1" ht="11.4"/>
    <row r="120" s="46" customFormat="1" ht="11.4"/>
    <row r="121" s="46" customFormat="1" ht="11.4"/>
    <row r="122" s="46" customFormat="1" ht="11.4"/>
  </sheetData>
  <mergeCells count="5">
    <mergeCell ref="B2:I3"/>
    <mergeCell ref="B5:I5"/>
    <mergeCell ref="B29:H29"/>
    <mergeCell ref="B30:H30"/>
    <mergeCell ref="B38:H3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2026-04-08T18:58:57Z</dcterms:created>
  <dcterms:modified xsi:type="dcterms:W3CDTF">2026-04-09T10:51:26Z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2026-04-08T18:58:57Z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80103e38-c1fe-4175-a02e-31eaf22e7f2b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