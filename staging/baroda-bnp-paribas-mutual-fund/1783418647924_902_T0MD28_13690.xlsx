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62FA2EA7-E66E-43A3-A9BA-FF94A9DC414D}" xr6:coauthVersionLast="47" xr6:coauthVersionMax="47" xr10:uidLastSave="{00000000-0000-0000-0000-000000000000}"/>
  <bookViews>
    <workbookView xWindow="-108" yWindow="-108" windowWidth="23256" windowHeight="12456" xr2:uid="{FD141194-1878-47FF-B5F0-C6CA598E042E}"/>
  </bookViews>
  <sheets>
    <sheet name="T0MD28" sheetId="1" r:id="rId1"/>
  </sheets>
  <definedNames>
    <definedName name="JR_PAGE_ANCHOR_0_37">#REF!</definedName>
    <definedName name="JR_PAGE_ANCHOR_0_41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<sst xmlns="http://schemas.openxmlformats.org/spreadsheetml/2006/main" count="63" uniqueCount="43">
  <si>
    <t>Baroda BNP Paribas NIFTY SDL December 2028 Index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</si>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</sst>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C43F373-EF96-4059-98D8-BF2E0D290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1E1E2-234C-438F-843A-28219DBF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BA89CC-1496-4DDC-8146-CA29A853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BE3F-DB4C-421E-9C72-B05CA451D1EF}">
  <sheetPr codeName="Sheet6">
    <outlinePr summaryBelow="0"/>
  </sheetPr>
  <dimension ref="A1:J3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1405000</v>
      </c>
      <c r="F7" s="16">
        <v>1489.15</v>
      </c>
      <c r="G7" s="17">
        <v>0.49990000000000001</v>
      </c>
      <c r="H7" s="18">
        <v>6.1942999999999998E-2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758100</v>
      </c>
      <c r="F8" s="16">
        <v>803.5</v>
      </c>
      <c r="G8" s="17">
        <v>0.2697</v>
      </c>
      <c r="H8" s="18">
        <v>6.1942999999999998E-2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370.96</v>
      </c>
      <c r="G9" s="17">
        <v>0.1245</v>
      </c>
      <c r="H9" s="18">
        <v>6.1942999999999998E-2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155000</v>
      </c>
      <c r="F10" s="16">
        <v>164.28</v>
      </c>
      <c r="G10" s="17">
        <v>5.5100000000000003E-2</v>
      </c>
      <c r="H10" s="18">
        <v>6.1942999999999998E-2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2827.89</v>
      </c>
      <c r="G11" s="23">
        <v>0.94920000000000004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2827.89</v>
      </c>
      <c r="G14" s="23">
        <v>0.94920000000000004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139.93</v>
      </c>
      <c r="G16" s="17">
        <v>4.7E-2</v>
      </c>
      <c r="H16" s="18">
        <v>5.4226775015244755E-2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139.93</v>
      </c>
      <c r="G17" s="23">
        <v>4.7E-2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139.93</v>
      </c>
      <c r="G20" s="23">
        <v>4.7E-2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11.27</v>
      </c>
      <c r="G21" s="23">
        <v>3.8E-3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2979.09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0.94920000000000004</v>
      </c>
      <c r="E28" s="37">
        <f t="shared" ref="E28:E29" si="0">MIN(C28:D28)</f>
        <v>0.94920000000000004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5.0799999999999998E-2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>SUM(C27:C29)</f>
        <v>1</v>
      </c>
      <c r="D30" s="39">
        <f t="shared" ref="D30:E30" si="1">SUM(D27:D29)</f>
        <v>1</v>
      </c>
      <c r="E30" s="40">
        <f t="shared" si="1"/>
        <v>0.94920000000000004</v>
      </c>
      <c r="F30" s="2"/>
      <c r="G30" s="2"/>
      <c r="H30" s="2"/>
      <c r="I30" s="1"/>
      <c r="J30" s="1"/>
    </row>
    <row r="31" spans="1:10" ht="13.05" customHeight="1">
      <c r="A31" s="1"/>
      <c r="B31" s="2"/>
      <c r="C31" s="2"/>
      <c r="D31" s="2"/>
      <c r="E31" s="2"/>
      <c r="F31" s="2"/>
      <c r="G31" s="2"/>
      <c r="H31" s="2"/>
      <c r="I31" s="1"/>
      <c r="J31" s="1"/>
    </row>
    <row r="32" spans="1:10" ht="13.05" customHeight="1">
      <c r="A32" s="1"/>
      <c r="B32" s="2"/>
      <c r="C32" s="2"/>
      <c r="D32" s="2"/>
      <c r="E32" s="2"/>
      <c r="F32" s="2"/>
      <c r="G32" s="2"/>
      <c r="H32" s="2"/>
      <c r="I32" s="1"/>
      <c r="J32" s="1"/>
    </row>
    <row r="33" spans="1:10" ht="13.05" customHeight="1">
      <c r="A33" s="1"/>
      <c r="B33" s="2" t="s">
        <v>31</v>
      </c>
      <c r="C33" s="1"/>
      <c r="D33" s="1"/>
      <c r="E33" s="1"/>
      <c r="F33" s="1"/>
      <c r="G33" s="1"/>
      <c r="H33" s="1"/>
      <c r="I33" s="1"/>
      <c r="J33" s="1"/>
    </row>
    <row r="34" spans="1:10" ht="13.05" customHeight="1">
      <c r="A34" s="1"/>
      <c r="B34" s="2" t="s">
        <v>41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1" t="s">
        <v>42</v>
      </c>
      <c r="C35" s="41"/>
      <c r="D35" s="41"/>
      <c r="E35" s="41"/>
      <c r="F35" s="41"/>
      <c r="G35" s="41"/>
      <c r="H35" s="41"/>
      <c r="I35" s="1"/>
      <c r="J35" s="1"/>
    </row>
  </sheetData>
  <mergeCells count="3">
    <mergeCell ref="B24:H24"/>
    <mergeCell ref="B25:H25"/>
    <mergeCell ref="B35:H3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2025-08-06T16:35:14Z</dcterms:created>
  <dcterms:modified xsi:type="dcterms:W3CDTF">2025-08-08T06:48:57Z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2025-08-06T16:35:15Z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b16746d4-3dcd-45e5-b5a3-c14e4c350b6f</vt:lpwstr>
  </property>
  <property fmtid="{D5CDD505-2E9C-101B-9397-08002B2CF9AE}" pid="8" name="MSIP_Label_958510b9-3810-472f-9abf-3a689c488070_ContentBits">
    <vt:lpwstr>3</vt:lpwstr>
  </property>
</Properties>
</file>