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BC" sheetId="1" r:id="rId1"/>
  </sheets>
  <externalReferences>
    <externalReference r:id="rId2"/>
  </externalReferences>
  <definedNames>
    <definedName name="XDO_?CLASS_3?32?">BC!$C$8:$C$47</definedName>
    <definedName name="XDO_?FINAL_ISIN?158?">BC!$D$10:$D$47</definedName>
    <definedName name="XDO_?FINAL_ISIN?159?">BC!$D$10:$D$55</definedName>
    <definedName name="XDO_?FINAL_ISIN?160?">BC!$D$10:$D$76</definedName>
    <definedName name="XDO_?FINAL_ISIN?161?">BC!$D$10:$D$91</definedName>
    <definedName name="XDO_?FINAL_ISIN?162?">BC!$D$10:$D$95</definedName>
    <definedName name="XDO_?FINAL_MV?158?">BC!$G$10:$G$47</definedName>
    <definedName name="XDO_?FINAL_MV?159?">BC!$G$10:$G$55</definedName>
    <definedName name="XDO_?FINAL_MV?160?">BC!$G$10:$G$76</definedName>
    <definedName name="XDO_?FINAL_MV?161?">BC!$G$10:$G$91</definedName>
    <definedName name="XDO_?FINAL_MV?162?">BC!$G$10:$G$95</definedName>
    <definedName name="XDO_?FINAL_NAME?158?">BC!$C$10:$C$47</definedName>
    <definedName name="XDO_?FINAL_NAME?159?">BC!$C$10:$C$55</definedName>
    <definedName name="XDO_?FINAL_NAME?160?">BC!$C$10:$C$76</definedName>
    <definedName name="XDO_?FINAL_NAME?161?">BC!$C$10:$C$91</definedName>
    <definedName name="XDO_?FINAL_NAME?162?">BC!$C$10:$C$95</definedName>
    <definedName name="XDO_?FINAL_PER_NET?158?">BC!$H$10:$H$47</definedName>
    <definedName name="XDO_?FINAL_PER_NET?159?">BC!$H$10:$H$55</definedName>
    <definedName name="XDO_?FINAL_PER_NET?160?">BC!$H$10:$H$76</definedName>
    <definedName name="XDO_?FINAL_PER_NET?161?">BC!$H$10:$H$91</definedName>
    <definedName name="XDO_?FINAL_PER_NET?162?">BC!$H$10:$H$95</definedName>
    <definedName name="XDO_?FINAL_QUANTITE?158?">BC!$F$10:$F$47</definedName>
    <definedName name="XDO_?FINAL_QUANTITE?159?">BC!$F$10:$F$55</definedName>
    <definedName name="XDO_?FINAL_QUANTITE?160?">BC!$F$10:$F$76</definedName>
    <definedName name="XDO_?FINAL_QUANTITE?161?">BC!$F$10:$F$91</definedName>
    <definedName name="XDO_?FINAL_QUANTITE?162?">BC!$F$10:$F$95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2?">BC!$C$2:$C$47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58?">BC!$B$10:$B$47</definedName>
    <definedName name="XDO_?NOVAL?159?">BC!$B$10:$B$55</definedName>
    <definedName name="XDO_?NOVAL?160?">BC!$B$10:$B$76</definedName>
    <definedName name="XDO_?NOVAL?161?">BC!$B$10:$B$91</definedName>
    <definedName name="XDO_?NOVAL?162?">BC!$B$10:$B$95</definedName>
    <definedName name="XDO_?NPTF?32?">BC!$D$2:$D$47</definedName>
    <definedName name="XDO_?RATING?158?">BC!$E$10:$E$47</definedName>
    <definedName name="XDO_?RATING?159?">BC!$E$10:$E$55</definedName>
    <definedName name="XDO_?RATING?160?">BC!$E$10:$E$76</definedName>
    <definedName name="XDO_?RATING?161?">BC!$E$10:$E$91</definedName>
    <definedName name="XDO_?RATING?162?">BC!$E$10:$E$95</definedName>
    <definedName name="XDO_?REMARKS?158?">BC!$K$10:$K$47</definedName>
    <definedName name="XDO_?REMARKS?159?">BC!$K$10:$K$55</definedName>
    <definedName name="XDO_?REMARKS?160?">BC!$K$10:$K$76</definedName>
    <definedName name="XDO_?REMARKS?161?">BC!$K$10:$K$91</definedName>
    <definedName name="XDO_?REMARKS?162?">BC!$K$10:$K$95</definedName>
    <definedName name="XDO_?TITL?32?">BC!$A$8:$A$47</definedName>
    <definedName name="XDO_?YTM?158?">BC!$I$10:$I$47</definedName>
    <definedName name="XDO_?YTM?159?">BC!$I$10:$I$55</definedName>
    <definedName name="XDO_?YTM?160?">BC!$I$10:$I$76</definedName>
    <definedName name="XDO_?YTM?161?">BC!$I$10:$I$91</definedName>
    <definedName name="XDO_?YTM?162?">BC!$I$10:$I$95</definedName>
    <definedName name="XDO_GROUP_?G_2?32?">BC!$2:$69</definedName>
    <definedName name="XDO_GROUP_?G_3?32?">BC!$8:$68</definedName>
    <definedName name="XDO_GROUP_?G_4?135?">[1]ON!#REF!</definedName>
    <definedName name="XDO_GROUP_?G_4?158?">BC!$B$10:$IV$47</definedName>
    <definedName name="XDO_GROUP_?G_4?159?">BC!$B$51:$IV$51</definedName>
    <definedName name="XDO_GROUP_?G_4?160?">BC!$B$56:$IV$56</definedName>
    <definedName name="XDO_GROUP_?G_4?161?">BC!$B$61:$IV$61</definedName>
    <definedName name="XDO_GROUP_?G_4?162?">BC!$B$66:$IV$66</definedName>
    <definedName name="XDO_GROUP_?G_4?41?">[1]TA!#REF!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8" i="1" l="1"/>
</calcChain>
</file>

<file path=xl/sharedStrings.xml><?xml version="1.0" encoding="utf-8"?>
<sst xmlns="http://schemas.openxmlformats.org/spreadsheetml/2006/main" count="296" uniqueCount="239">
  <si>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</si>
  <si>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</si>
  <si>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</si>
  <si>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</si>
  <si>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</si>
  <si>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</si>
  <si>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</si>
  <si>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</si>
  <si>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</si>
  <si>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</si>
  <si>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</si>
  <si>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</si>
  <si>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</si>
  <si>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</si>
  <si>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</si>
  <si>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</si>
  <si>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</si>
  <si>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</si>
  <si>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</si>
  <si>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</si>
  <si>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</si>
  <si>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</si>
  <si>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</si>
  <si>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</si>
  <si>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</si>
  <si>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</si>
  <si>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</si>
  <si>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</si>
  <si>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</si>
  <si>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</si>
  <si>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</si>
  <si>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IT - Software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</si>
  <si>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</si>
  <si>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</si>
  <si>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</si>
  <si>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</si>
  <si>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</si>
  <si>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</si>
  <si>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</si>
  <si>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Banks</t>
  </si>
  <si>
    <t>100010</t>
  </si>
  <si>
    <t>State Bank of India</t>
  </si>
  <si>
    <t>INE062A01020</t>
  </si>
  <si>
    <t>100286</t>
  </si>
  <si>
    <t>NHPC Ltd.</t>
  </si>
  <si>
    <t>INE848E01016</t>
  </si>
  <si>
    <t>Power</t>
  </si>
  <si>
    <t>101080</t>
  </si>
  <si>
    <t>JB Chemicals &amp; Pharmaceuticals Ltd.</t>
  </si>
  <si>
    <t>INE572A01028</t>
  </si>
  <si>
    <t>Pharmaceuticals &amp; Biotechnology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</si>
  <si>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</si>
  <si>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</si>
  <si>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</si>
  <si>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</si>
  <si>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</si>
  <si>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</si>
  <si>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100025</t>
  </si>
  <si>
    <t>Nestle India Ltd.</t>
  </si>
  <si>
    <t>INE239A01016</t>
  </si>
  <si>
    <t>Food Products</t>
  </si>
  <si>
    <t>100089</t>
  </si>
  <si>
    <t>Bharat Electronics Ltd.</t>
  </si>
  <si>
    <t>INE263A01024</t>
  </si>
  <si>
    <t>Aerospace &amp; Defense</t>
  </si>
  <si>
    <t>100104</t>
  </si>
  <si>
    <t>Kotak Mahindra Bank Ltd.</t>
  </si>
  <si>
    <t>INE237A01028</t>
  </si>
  <si>
    <t>100050</t>
  </si>
  <si>
    <t>Trent Ltd.</t>
  </si>
  <si>
    <t>INE849A01020</t>
  </si>
  <si>
    <t>Retailing</t>
  </si>
  <si>
    <t>100014</t>
  </si>
  <si>
    <t>Mahindra &amp; Mahindra Ltd.</t>
  </si>
  <si>
    <t>INE101A01026</t>
  </si>
  <si>
    <t>Automobiles</t>
  </si>
  <si>
    <t>100382</t>
  </si>
  <si>
    <t>Fortis Healthcare Ltd.</t>
  </si>
  <si>
    <t>INE061F01013</t>
  </si>
  <si>
    <t>Healthcare Services</t>
  </si>
  <si>
    <t>100830</t>
  </si>
  <si>
    <t>Varun Beverages Ltd.</t>
  </si>
  <si>
    <t>INE200M01021</t>
  </si>
  <si>
    <t>Beverages</t>
  </si>
  <si>
    <t>100003</t>
  </si>
  <si>
    <t>Infosys Ltd.</t>
  </si>
  <si>
    <t>INE009A01021</t>
  </si>
  <si>
    <t>100318</t>
  </si>
  <si>
    <t>Tata Motors Ltd. - DVR</t>
  </si>
  <si>
    <t>IN9155A01020</t>
  </si>
  <si>
    <t>100477</t>
  </si>
  <si>
    <t>PNB Housing Finance Ltd.</t>
  </si>
  <si>
    <t>INE572E01012</t>
  </si>
  <si>
    <t>100191</t>
  </si>
  <si>
    <t>Canara Bank</t>
  </si>
  <si>
    <t>INE476A01014</t>
  </si>
  <si>
    <t>100164</t>
  </si>
  <si>
    <t>Petronet LNG Ltd.</t>
  </si>
  <si>
    <t>INE347G01014</t>
  </si>
  <si>
    <t>Gas</t>
  </si>
  <si>
    <t>100120</t>
  </si>
  <si>
    <t>Torrent Pharmaceuticals Ltd.</t>
  </si>
  <si>
    <t>INE685A01028</t>
  </si>
  <si>
    <t>100843</t>
  </si>
  <si>
    <t>Dalmia Bharat Ltd.</t>
  </si>
  <si>
    <t>INE00R701025</t>
  </si>
  <si>
    <t>Cement &amp; Cement Products</t>
  </si>
  <si>
    <t>100157</t>
  </si>
  <si>
    <t>Godrej Consumer Products Ltd.</t>
  </si>
  <si>
    <t>INE102D01028</t>
  </si>
  <si>
    <t>Personal Products</t>
  </si>
  <si>
    <t>100453</t>
  </si>
  <si>
    <t>RBL Bank Ltd.</t>
  </si>
  <si>
    <t>INE976G01028</t>
  </si>
  <si>
    <t>100004</t>
  </si>
  <si>
    <t>Zydus Lifesciences Ltd.</t>
  </si>
  <si>
    <t>INE010B01027</t>
  </si>
  <si>
    <t>100115</t>
  </si>
  <si>
    <t>Siemens Ltd.</t>
  </si>
  <si>
    <t>INE003A01024</t>
  </si>
  <si>
    <t>Electrical Equipment</t>
  </si>
  <si>
    <t>100194</t>
  </si>
  <si>
    <t>Power Finance Corporation Ltd.</t>
  </si>
  <si>
    <t>INE134E01011</t>
  </si>
  <si>
    <t>100082</t>
  </si>
  <si>
    <t>Ultratech Cement Ltd.</t>
  </si>
  <si>
    <t>INE481G01011</t>
  </si>
  <si>
    <t>100106</t>
  </si>
  <si>
    <t>Maruti Suzuki India Ltd.</t>
  </si>
  <si>
    <t>INE585B01010</t>
  </si>
  <si>
    <t>100128</t>
  </si>
  <si>
    <t>Eicher Motors Ltd.</t>
  </si>
  <si>
    <t>INE066A01021</t>
  </si>
  <si>
    <t>100180</t>
  </si>
  <si>
    <t>Hindalco Industries Ltd.</t>
  </si>
  <si>
    <t>INE038A01020</t>
  </si>
  <si>
    <t>Non - Ferrous Metals</t>
  </si>
  <si>
    <t>100332</t>
  </si>
  <si>
    <t>Navin Fluorine International Ltd.</t>
  </si>
  <si>
    <t>INE048G01026</t>
  </si>
  <si>
    <t>Chemicals &amp; Petrochemicals</t>
  </si>
  <si>
    <t>100902</t>
  </si>
  <si>
    <t>Jtekt India Ltd.</t>
  </si>
  <si>
    <t>INE643A01035</t>
  </si>
  <si>
    <t>Auto Components</t>
  </si>
  <si>
    <t>100095</t>
  </si>
  <si>
    <t>Bharti Airtel Ltd.</t>
  </si>
  <si>
    <t>INE397D01024</t>
  </si>
  <si>
    <t>Telecom - Services</t>
  </si>
  <si>
    <t>100006</t>
  </si>
  <si>
    <t>HDFC Bank Ltd.</t>
  </si>
  <si>
    <t>INE040A01034</t>
  </si>
  <si>
    <t>Total</t>
  </si>
  <si>
    <t>b) Unlisted</t>
  </si>
  <si>
    <t>NIL</t>
  </si>
  <si>
    <t>c) Foreign Securities and /or overseas ETF</t>
  </si>
  <si>
    <t>d) Stock Futures</t>
  </si>
  <si>
    <t>2215331</t>
  </si>
  <si>
    <t>JSW Steel Ltd.</t>
  </si>
  <si>
    <t>Long</t>
  </si>
  <si>
    <t>Ferrous Metals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</si>
  <si>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</si>
  <si>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</si>
  <si>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</si>
  <si>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</si>
  <si>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</si>
  <si>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</si>
  <si>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</si>
  <si>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</si>
  <si>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</si>
  <si>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</si>
  <si>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</si>
  <si>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</si>
  <si>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</si>
  <si>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</si>
  <si>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</si>
  <si>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</si>
  <si>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</si>
  <si>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</si>
  <si>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</si>
  <si>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</si>
  <si>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</si>
  <si>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</si>
  <si>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</si>
  <si>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</si>
  <si>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</si>
  <si>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</si>
  <si>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</si>
  <si>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 xml:space="preserve">Hedging Positions through Futures as on June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</si>
  <si>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</si>
  <si>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</si>
  <si>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</si>
  <si>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</si>
  <si>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</si>
  <si>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</si>
  <si>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</si>
  <si>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0.00% age of net assets</t>
  </si>
  <si>
    <t>For the month ended June 30,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</si>
  <si>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</si>
  <si>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</si>
  <si>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</si>
  <si>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</si>
  <si>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</si>
  <si>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June 30, 2023:</t>
  </si>
  <si>
    <t>Number of Contracts</t>
  </si>
  <si>
    <t>Total Exposure through Futures(other than hedging positions) is 1.00% age of net assets</t>
  </si>
  <si>
    <t>For the month ended June 30, 2023 with regard to Other than hedging transactions through futures which have already been squared off/expired specify:</t>
  </si>
  <si>
    <t>Total Number of contracts where futures were sold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</si>
  <si>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</si>
  <si>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</si>
  <si>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</si>
  <si>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</si>
  <si>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</si>
  <si>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</si>
  <si>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</si>
  <si>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</si>
  <si>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</si>
  <si>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</si>
  <si>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</si>
  <si>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</si>
  <si>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</si>
  <si>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</si>
  <si>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</si>
  <si>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</si>
  <si>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</si>
  <si>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</si>
  <si>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2023</t>
  </si>
  <si>
    <t>(9)  Total outstanding exposure in derivative instruments as on June 30, 2023 is 423.74 Lacs.</t>
  </si>
  <si>
    <t>(10) Total Market value of investments in Foreign Securities/American Depositary Receipts/Global Depositary Receipts as at  June 30, 2023 is Rs. Nil.</t>
  </si>
  <si>
    <t>(11)  During the period, the portfolio turnover ratio is  0.03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</si>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</sst>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164" fontId="3" fillId="4" borderId="0" xfId="1" applyFont="1" applyFill="1"/>
    <xf numFmtId="0" fontId="6" fillId="4" borderId="0" xfId="0" applyFont="1" applyFill="1"/>
    <xf numFmtId="0" fontId="12" fillId="3" borderId="0" xfId="0" applyFont="1" applyFill="1"/>
    <xf numFmtId="0" fontId="12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2" fillId="3" borderId="13" xfId="0" applyFont="1" applyFill="1" applyBorder="1"/>
    <xf numFmtId="164" fontId="12" fillId="3" borderId="13" xfId="1" applyFont="1" applyFill="1" applyBorder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5</xdr:col>
      <xdr:colOff>148675</xdr:colOff>
      <xdr:row>179</xdr:row>
      <xdr:rowOff>88392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8521660"/>
          <a:ext cx="7456255" cy="3258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1"/>
  <sheetViews>
    <sheetView showGridLines="0" tabSelected="1" zoomScale="90" zoomScaleNormal="90" workbookViewId="0">
      <pane ySplit="6" topLeftCell="A154" activePane="bottomLeft" state="frozen"/>
      <selection activeCell="E119" sqref="E119"/>
      <selection pane="bottomLeft" activeCell="F163" sqref="F16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88671875" style="2" bestFit="1" customWidth="1"/>
    <col min="6" max="6" width="19.5546875" style="7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.88671875" style="2" bestFit="1" customWidth="1"/>
    <col min="262" max="262" width="19.5546875" style="2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.88671875" style="2" bestFit="1" customWidth="1"/>
    <col min="518" max="518" width="19.5546875" style="2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.88671875" style="2" bestFit="1" customWidth="1"/>
    <col min="774" max="774" width="19.5546875" style="2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.88671875" style="2" bestFit="1" customWidth="1"/>
    <col min="1030" max="1030" width="19.5546875" style="2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.88671875" style="2" bestFit="1" customWidth="1"/>
    <col min="1286" max="1286" width="19.5546875" style="2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.88671875" style="2" bestFit="1" customWidth="1"/>
    <col min="1542" max="1542" width="19.5546875" style="2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.88671875" style="2" bestFit="1" customWidth="1"/>
    <col min="1798" max="1798" width="19.5546875" style="2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.88671875" style="2" bestFit="1" customWidth="1"/>
    <col min="2054" max="2054" width="19.5546875" style="2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.88671875" style="2" bestFit="1" customWidth="1"/>
    <col min="2310" max="2310" width="19.5546875" style="2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.88671875" style="2" bestFit="1" customWidth="1"/>
    <col min="2566" max="2566" width="19.5546875" style="2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.88671875" style="2" bestFit="1" customWidth="1"/>
    <col min="2822" max="2822" width="19.5546875" style="2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.88671875" style="2" bestFit="1" customWidth="1"/>
    <col min="3078" max="3078" width="19.5546875" style="2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.88671875" style="2" bestFit="1" customWidth="1"/>
    <col min="3334" max="3334" width="19.5546875" style="2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.88671875" style="2" bestFit="1" customWidth="1"/>
    <col min="3590" max="3590" width="19.5546875" style="2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.88671875" style="2" bestFit="1" customWidth="1"/>
    <col min="3846" max="3846" width="19.5546875" style="2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.88671875" style="2" bestFit="1" customWidth="1"/>
    <col min="4102" max="4102" width="19.5546875" style="2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.88671875" style="2" bestFit="1" customWidth="1"/>
    <col min="4358" max="4358" width="19.5546875" style="2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.88671875" style="2" bestFit="1" customWidth="1"/>
    <col min="4614" max="4614" width="19.5546875" style="2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.88671875" style="2" bestFit="1" customWidth="1"/>
    <col min="4870" max="4870" width="19.5546875" style="2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.88671875" style="2" bestFit="1" customWidth="1"/>
    <col min="5126" max="5126" width="19.5546875" style="2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.88671875" style="2" bestFit="1" customWidth="1"/>
    <col min="5382" max="5382" width="19.5546875" style="2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.88671875" style="2" bestFit="1" customWidth="1"/>
    <col min="5638" max="5638" width="19.5546875" style="2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.88671875" style="2" bestFit="1" customWidth="1"/>
    <col min="5894" max="5894" width="19.5546875" style="2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.88671875" style="2" bestFit="1" customWidth="1"/>
    <col min="6150" max="6150" width="19.5546875" style="2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.88671875" style="2" bestFit="1" customWidth="1"/>
    <col min="6406" max="6406" width="19.5546875" style="2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.88671875" style="2" bestFit="1" customWidth="1"/>
    <col min="6662" max="6662" width="19.5546875" style="2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.88671875" style="2" bestFit="1" customWidth="1"/>
    <col min="6918" max="6918" width="19.5546875" style="2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.88671875" style="2" bestFit="1" customWidth="1"/>
    <col min="7174" max="7174" width="19.5546875" style="2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.88671875" style="2" bestFit="1" customWidth="1"/>
    <col min="7430" max="7430" width="19.5546875" style="2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.88671875" style="2" bestFit="1" customWidth="1"/>
    <col min="7686" max="7686" width="19.5546875" style="2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.88671875" style="2" bestFit="1" customWidth="1"/>
    <col min="7942" max="7942" width="19.5546875" style="2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.88671875" style="2" bestFit="1" customWidth="1"/>
    <col min="8198" max="8198" width="19.5546875" style="2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.88671875" style="2" bestFit="1" customWidth="1"/>
    <col min="8454" max="8454" width="19.5546875" style="2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.88671875" style="2" bestFit="1" customWidth="1"/>
    <col min="8710" max="8710" width="19.5546875" style="2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.88671875" style="2" bestFit="1" customWidth="1"/>
    <col min="8966" max="8966" width="19.5546875" style="2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.88671875" style="2" bestFit="1" customWidth="1"/>
    <col min="9222" max="9222" width="19.5546875" style="2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.88671875" style="2" bestFit="1" customWidth="1"/>
    <col min="9478" max="9478" width="19.5546875" style="2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.88671875" style="2" bestFit="1" customWidth="1"/>
    <col min="9734" max="9734" width="19.5546875" style="2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.88671875" style="2" bestFit="1" customWidth="1"/>
    <col min="9990" max="9990" width="19.5546875" style="2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.88671875" style="2" bestFit="1" customWidth="1"/>
    <col min="10246" max="10246" width="19.5546875" style="2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.88671875" style="2" bestFit="1" customWidth="1"/>
    <col min="10502" max="10502" width="19.5546875" style="2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.88671875" style="2" bestFit="1" customWidth="1"/>
    <col min="10758" max="10758" width="19.5546875" style="2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.88671875" style="2" bestFit="1" customWidth="1"/>
    <col min="11014" max="11014" width="19.5546875" style="2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.88671875" style="2" bestFit="1" customWidth="1"/>
    <col min="11270" max="11270" width="19.5546875" style="2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.88671875" style="2" bestFit="1" customWidth="1"/>
    <col min="11526" max="11526" width="19.5546875" style="2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.88671875" style="2" bestFit="1" customWidth="1"/>
    <col min="11782" max="11782" width="19.5546875" style="2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.88671875" style="2" bestFit="1" customWidth="1"/>
    <col min="12038" max="12038" width="19.5546875" style="2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.88671875" style="2" bestFit="1" customWidth="1"/>
    <col min="12294" max="12294" width="19.5546875" style="2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.88671875" style="2" bestFit="1" customWidth="1"/>
    <col min="12550" max="12550" width="19.5546875" style="2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.88671875" style="2" bestFit="1" customWidth="1"/>
    <col min="12806" max="12806" width="19.5546875" style="2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.88671875" style="2" bestFit="1" customWidth="1"/>
    <col min="13062" max="13062" width="19.5546875" style="2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.88671875" style="2" bestFit="1" customWidth="1"/>
    <col min="13318" max="13318" width="19.5546875" style="2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.88671875" style="2" bestFit="1" customWidth="1"/>
    <col min="13574" max="13574" width="19.5546875" style="2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.88671875" style="2" bestFit="1" customWidth="1"/>
    <col min="13830" max="13830" width="19.5546875" style="2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.88671875" style="2" bestFit="1" customWidth="1"/>
    <col min="14086" max="14086" width="19.5546875" style="2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.88671875" style="2" bestFit="1" customWidth="1"/>
    <col min="14342" max="14342" width="19.5546875" style="2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.88671875" style="2" bestFit="1" customWidth="1"/>
    <col min="14598" max="14598" width="19.5546875" style="2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.88671875" style="2" bestFit="1" customWidth="1"/>
    <col min="14854" max="14854" width="19.5546875" style="2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.88671875" style="2" bestFit="1" customWidth="1"/>
    <col min="15110" max="15110" width="19.5546875" style="2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.88671875" style="2" bestFit="1" customWidth="1"/>
    <col min="15366" max="15366" width="19.5546875" style="2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.88671875" style="2" bestFit="1" customWidth="1"/>
    <col min="15622" max="15622" width="19.5546875" style="2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.88671875" style="2" bestFit="1" customWidth="1"/>
    <col min="15878" max="15878" width="19.5546875" style="2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.88671875" style="2" bestFit="1" customWidth="1"/>
    <col min="16134" max="16134" width="19.5546875" style="2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133000</v>
      </c>
      <c r="G10" s="34">
        <v>3753.19</v>
      </c>
      <c r="H10" s="34">
        <v>8.9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126000</v>
      </c>
      <c r="G11" s="34">
        <v>3213.32</v>
      </c>
      <c r="H11" s="34">
        <v>7.62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500000</v>
      </c>
      <c r="G12" s="34">
        <v>2258</v>
      </c>
      <c r="H12" s="34">
        <v>5.35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65000</v>
      </c>
      <c r="G13" s="34">
        <v>2146.46</v>
      </c>
      <c r="H13" s="34">
        <v>5.09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80000</v>
      </c>
      <c r="G14" s="34">
        <v>1980.44</v>
      </c>
      <c r="H14" s="34">
        <v>4.7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200000</v>
      </c>
      <c r="G15" s="34">
        <v>1869.2</v>
      </c>
      <c r="H15" s="34">
        <v>4.43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39</v>
      </c>
      <c r="F16" s="33">
        <v>320000</v>
      </c>
      <c r="G16" s="34">
        <v>1833.12</v>
      </c>
      <c r="H16" s="34">
        <v>4.3499999999999996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3000000</v>
      </c>
      <c r="G17" s="34">
        <v>1378.5</v>
      </c>
      <c r="H17" s="34">
        <v>3.27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50000</v>
      </c>
      <c r="G18" s="34">
        <v>1183.48</v>
      </c>
      <c r="H18" s="34">
        <v>2.81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27</v>
      </c>
      <c r="F19" s="33">
        <v>40000</v>
      </c>
      <c r="G19" s="34">
        <v>1071.26</v>
      </c>
      <c r="H19" s="34">
        <v>2.54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50</v>
      </c>
      <c r="F20" s="33">
        <v>100000</v>
      </c>
      <c r="G20" s="34">
        <v>1051.5999999999999</v>
      </c>
      <c r="H20" s="34">
        <v>2.4900000000000002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4500</v>
      </c>
      <c r="G21" s="34">
        <v>1030.24</v>
      </c>
      <c r="H21" s="34">
        <v>2.44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800000</v>
      </c>
      <c r="G22" s="34">
        <v>1006</v>
      </c>
      <c r="H22" s="34">
        <v>2.39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39</v>
      </c>
      <c r="F23" s="33">
        <v>50000</v>
      </c>
      <c r="G23" s="34">
        <v>923.28</v>
      </c>
      <c r="H23" s="34">
        <v>2.19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50000</v>
      </c>
      <c r="G24" s="34">
        <v>882.08</v>
      </c>
      <c r="H24" s="34">
        <v>2.09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60000</v>
      </c>
      <c r="G25" s="34">
        <v>872.16</v>
      </c>
      <c r="H25" s="34">
        <v>2.0699999999999998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275000</v>
      </c>
      <c r="G26" s="34">
        <v>866.39</v>
      </c>
      <c r="H26" s="34">
        <v>2.0499999999999998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100000</v>
      </c>
      <c r="G27" s="34">
        <v>802.55</v>
      </c>
      <c r="H27" s="34">
        <v>1.9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31</v>
      </c>
      <c r="F28" s="33">
        <v>60000</v>
      </c>
      <c r="G28" s="34">
        <v>801.3</v>
      </c>
      <c r="H28" s="34">
        <v>1.9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75</v>
      </c>
      <c r="F29" s="33">
        <v>235000</v>
      </c>
      <c r="G29" s="34">
        <v>733.32</v>
      </c>
      <c r="H29" s="34">
        <v>1.74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19</v>
      </c>
      <c r="F30" s="33">
        <v>125000</v>
      </c>
      <c r="G30" s="34">
        <v>709.25</v>
      </c>
      <c r="H30" s="34">
        <v>1.68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39</v>
      </c>
      <c r="F31" s="33">
        <v>230000</v>
      </c>
      <c r="G31" s="34">
        <v>694.26</v>
      </c>
      <c r="H31" s="34">
        <v>1.65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300000</v>
      </c>
      <c r="G32" s="34">
        <v>668.1</v>
      </c>
      <c r="H32" s="34">
        <v>1.58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50</v>
      </c>
      <c r="F33" s="33">
        <v>35000</v>
      </c>
      <c r="G33" s="34">
        <v>666.73</v>
      </c>
      <c r="H33" s="34">
        <v>1.58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30000</v>
      </c>
      <c r="G34" s="34">
        <v>649.86</v>
      </c>
      <c r="H34" s="34">
        <v>1.54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60000</v>
      </c>
      <c r="G35" s="34">
        <v>648.6</v>
      </c>
      <c r="H35" s="34">
        <v>1.54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39</v>
      </c>
      <c r="F36" s="33">
        <v>350000</v>
      </c>
      <c r="G36" s="34">
        <v>636.83000000000004</v>
      </c>
      <c r="H36" s="34">
        <v>1.51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50</v>
      </c>
      <c r="F37" s="33">
        <v>100000</v>
      </c>
      <c r="G37" s="34">
        <v>583.04999999999995</v>
      </c>
      <c r="H37" s="34">
        <v>1.38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15000</v>
      </c>
      <c r="G38" s="34">
        <v>564.97</v>
      </c>
      <c r="H38" s="34">
        <v>1.34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19</v>
      </c>
      <c r="F39" s="33">
        <v>250000</v>
      </c>
      <c r="G39" s="34">
        <v>539.75</v>
      </c>
      <c r="H39" s="34">
        <v>1.28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106</v>
      </c>
      <c r="F40" s="33">
        <v>6500</v>
      </c>
      <c r="G40" s="34">
        <v>539.16</v>
      </c>
      <c r="H40" s="34">
        <v>1.28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75</v>
      </c>
      <c r="F41" s="33">
        <v>5500</v>
      </c>
      <c r="G41" s="34">
        <v>538.4</v>
      </c>
      <c r="H41" s="34">
        <v>1.28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75</v>
      </c>
      <c r="F42" s="33">
        <v>15000</v>
      </c>
      <c r="G42" s="34">
        <v>537.02</v>
      </c>
      <c r="H42" s="34">
        <v>1.27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120000</v>
      </c>
      <c r="G43" s="34">
        <v>505.14</v>
      </c>
      <c r="H43" s="34">
        <v>1.2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11000</v>
      </c>
      <c r="G44" s="34">
        <v>495.22</v>
      </c>
      <c r="H44" s="34">
        <v>1.17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315162</v>
      </c>
      <c r="G45" s="34">
        <v>449.89</v>
      </c>
      <c r="H45" s="34">
        <v>1.07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50000</v>
      </c>
      <c r="G46" s="34">
        <v>439.38</v>
      </c>
      <c r="H46" s="34">
        <v>1.04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39</v>
      </c>
      <c r="F47" s="33">
        <v>25000</v>
      </c>
      <c r="G47" s="34">
        <v>425.35</v>
      </c>
      <c r="H47" s="34">
        <v>1.01</v>
      </c>
      <c r="I47" s="35"/>
      <c r="J47" s="35"/>
      <c r="K47" s="36"/>
    </row>
    <row r="48" spans="2:11" x14ac:dyDescent="0.3">
      <c r="C48" s="30" t="s">
        <v>152</v>
      </c>
      <c r="D48" s="31"/>
      <c r="E48" s="32"/>
      <c r="F48" s="33"/>
      <c r="G48" s="38">
        <v>39946.85</v>
      </c>
      <c r="H48" s="38">
        <v>94.72</v>
      </c>
      <c r="I48" s="35"/>
      <c r="J48" s="35"/>
      <c r="K48" s="36"/>
    </row>
    <row r="49" spans="2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2:11" x14ac:dyDescent="0.3">
      <c r="C50" s="30" t="s">
        <v>153</v>
      </c>
      <c r="D50" s="31"/>
      <c r="E50" s="32"/>
      <c r="F50" s="33"/>
      <c r="G50" s="34" t="s">
        <v>154</v>
      </c>
      <c r="H50" s="34" t="s">
        <v>154</v>
      </c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155</v>
      </c>
      <c r="D52" s="31"/>
      <c r="E52" s="32"/>
      <c r="F52" s="33"/>
      <c r="G52" s="34" t="s">
        <v>154</v>
      </c>
      <c r="H52" s="34" t="s">
        <v>154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7" t="s">
        <v>156</v>
      </c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B55" s="1" t="s">
        <v>157</v>
      </c>
      <c r="C55" s="21" t="s">
        <v>158</v>
      </c>
      <c r="D55" s="31" t="s">
        <v>159</v>
      </c>
      <c r="E55" s="32" t="s">
        <v>160</v>
      </c>
      <c r="F55" s="33">
        <v>54000</v>
      </c>
      <c r="G55" s="34">
        <v>423.74</v>
      </c>
      <c r="H55" s="34">
        <v>1</v>
      </c>
      <c r="I55" s="35"/>
      <c r="J55" s="35"/>
      <c r="K55" s="36"/>
    </row>
    <row r="56" spans="2:11" x14ac:dyDescent="0.3">
      <c r="C56" s="30" t="s">
        <v>161</v>
      </c>
      <c r="D56" s="31"/>
      <c r="E56" s="32"/>
      <c r="F56" s="33"/>
      <c r="G56" s="38">
        <v>423.74</v>
      </c>
      <c r="H56" s="38">
        <v>1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162</v>
      </c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163</v>
      </c>
      <c r="D60" s="31"/>
      <c r="E60" s="32"/>
      <c r="F60" s="33"/>
      <c r="G60" s="34" t="s">
        <v>154</v>
      </c>
      <c r="H60" s="34" t="s">
        <v>154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164</v>
      </c>
      <c r="D62" s="31"/>
      <c r="E62" s="32"/>
      <c r="F62" s="33"/>
      <c r="G62" s="34" t="s">
        <v>154</v>
      </c>
      <c r="H62" s="34" t="s">
        <v>154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165</v>
      </c>
      <c r="D64" s="31"/>
      <c r="E64" s="32"/>
      <c r="F64" s="33"/>
      <c r="G64" s="34" t="s">
        <v>154</v>
      </c>
      <c r="H64" s="34" t="s">
        <v>154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166</v>
      </c>
      <c r="D66" s="31"/>
      <c r="E66" s="32"/>
      <c r="F66" s="33"/>
      <c r="G66" s="34" t="s">
        <v>154</v>
      </c>
      <c r="H66" s="34" t="s">
        <v>154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167</v>
      </c>
      <c r="D68" s="31"/>
      <c r="E68" s="32"/>
      <c r="F68" s="33"/>
      <c r="G68" s="34" t="s">
        <v>154</v>
      </c>
      <c r="H68" s="34" t="s">
        <v>154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8"/>
      <c r="B70" s="29"/>
      <c r="C70" s="30" t="s">
        <v>168</v>
      </c>
      <c r="D70" s="31"/>
      <c r="E70" s="32"/>
      <c r="F70" s="33"/>
      <c r="G70" s="34"/>
      <c r="H70" s="34"/>
      <c r="I70" s="35"/>
      <c r="J70" s="35"/>
      <c r="K70" s="36"/>
    </row>
    <row r="71" spans="1:11" s="39" customFormat="1" ht="15" x14ac:dyDescent="0.35">
      <c r="A71" s="29"/>
      <c r="B71" s="29"/>
      <c r="C71" s="30" t="s">
        <v>169</v>
      </c>
      <c r="D71" s="31"/>
      <c r="E71" s="32"/>
      <c r="F71" s="33"/>
      <c r="G71" s="34" t="s">
        <v>154</v>
      </c>
      <c r="H71" s="34" t="s">
        <v>154</v>
      </c>
      <c r="I71" s="35"/>
      <c r="J71" s="35"/>
      <c r="K71" s="36"/>
    </row>
    <row r="72" spans="1:11" s="40" customFormat="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s="40" customFormat="1" x14ac:dyDescent="0.3">
      <c r="A73" s="29"/>
      <c r="B73" s="29"/>
      <c r="C73" s="30" t="s">
        <v>170</v>
      </c>
      <c r="D73" s="31"/>
      <c r="E73" s="32"/>
      <c r="F73" s="33"/>
      <c r="G73" s="34" t="s">
        <v>154</v>
      </c>
      <c r="H73" s="34" t="s">
        <v>154</v>
      </c>
      <c r="I73" s="35"/>
      <c r="J73" s="35"/>
      <c r="K73" s="36"/>
    </row>
    <row r="74" spans="1:11" s="2" customFormat="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s="11" customFormat="1" x14ac:dyDescent="0.3">
      <c r="A75" s="2"/>
      <c r="B75" s="2"/>
      <c r="C75" s="37" t="s">
        <v>171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B76" s="1" t="s">
        <v>172</v>
      </c>
      <c r="C76" s="21" t="s">
        <v>173</v>
      </c>
      <c r="D76" s="31" t="s">
        <v>174</v>
      </c>
      <c r="E76" s="32" t="s">
        <v>175</v>
      </c>
      <c r="F76" s="33">
        <v>400000</v>
      </c>
      <c r="G76" s="34">
        <v>387.47</v>
      </c>
      <c r="H76" s="34">
        <v>0.92</v>
      </c>
      <c r="I76" s="35">
        <v>6.8219000000000003</v>
      </c>
      <c r="J76" s="35"/>
      <c r="K76" s="36"/>
    </row>
    <row r="77" spans="1:11" x14ac:dyDescent="0.3">
      <c r="C77" s="30" t="s">
        <v>152</v>
      </c>
      <c r="D77" s="31"/>
      <c r="E77" s="32"/>
      <c r="F77" s="33"/>
      <c r="G77" s="38">
        <v>387.47</v>
      </c>
      <c r="H77" s="38">
        <v>0.92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0" t="s">
        <v>176</v>
      </c>
      <c r="D79" s="31"/>
      <c r="E79" s="32"/>
      <c r="F79" s="33"/>
      <c r="G79" s="34" t="s">
        <v>154</v>
      </c>
      <c r="H79" s="34" t="s">
        <v>154</v>
      </c>
      <c r="I79" s="35"/>
      <c r="J79" s="35"/>
      <c r="K79" s="36"/>
    </row>
    <row r="80" spans="1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8"/>
      <c r="B81" s="29"/>
      <c r="C81" s="30" t="s">
        <v>177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178</v>
      </c>
      <c r="D82" s="31"/>
      <c r="E82" s="32"/>
      <c r="F82" s="33"/>
      <c r="G82" s="34" t="s">
        <v>154</v>
      </c>
      <c r="H82" s="34" t="s">
        <v>154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179</v>
      </c>
      <c r="D84" s="31"/>
      <c r="E84" s="32"/>
      <c r="F84" s="33"/>
      <c r="G84" s="34" t="s">
        <v>154</v>
      </c>
      <c r="H84" s="34" t="s">
        <v>154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180</v>
      </c>
      <c r="D86" s="31"/>
      <c r="E86" s="32"/>
      <c r="F86" s="33"/>
      <c r="G86" s="34" t="s">
        <v>154</v>
      </c>
      <c r="H86" s="34" t="s">
        <v>154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9"/>
      <c r="B88" s="29"/>
      <c r="C88" s="30" t="s">
        <v>181</v>
      </c>
      <c r="D88" s="31"/>
      <c r="E88" s="32"/>
      <c r="F88" s="33"/>
      <c r="G88" s="34" t="s">
        <v>154</v>
      </c>
      <c r="H88" s="34" t="s">
        <v>154</v>
      </c>
      <c r="I88" s="35"/>
      <c r="J88" s="35"/>
      <c r="K88" s="36"/>
    </row>
    <row r="89" spans="1:11" x14ac:dyDescent="0.3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7" t="s">
        <v>182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B91" s="1" t="s">
        <v>183</v>
      </c>
      <c r="C91" s="21" t="s">
        <v>184</v>
      </c>
      <c r="D91" s="31"/>
      <c r="E91" s="32"/>
      <c r="F91" s="33"/>
      <c r="G91" s="34">
        <v>1988.51</v>
      </c>
      <c r="H91" s="34">
        <v>4.72</v>
      </c>
      <c r="I91" s="35">
        <v>6.78</v>
      </c>
      <c r="J91" s="35"/>
      <c r="K91" s="36"/>
    </row>
    <row r="92" spans="1:11" x14ac:dyDescent="0.3">
      <c r="C92" s="30" t="s">
        <v>152</v>
      </c>
      <c r="D92" s="31"/>
      <c r="E92" s="32"/>
      <c r="F92" s="33"/>
      <c r="G92" s="38">
        <v>1988.51</v>
      </c>
      <c r="H92" s="38">
        <v>4.72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8"/>
      <c r="B94" s="29"/>
      <c r="C94" s="30" t="s">
        <v>185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B95" s="1"/>
      <c r="C95" s="21" t="s">
        <v>186</v>
      </c>
      <c r="D95" s="31"/>
      <c r="E95" s="32"/>
      <c r="F95" s="33"/>
      <c r="G95" s="34">
        <v>-152.58000000000001</v>
      </c>
      <c r="H95" s="34">
        <v>-0.36</v>
      </c>
      <c r="I95" s="35"/>
      <c r="J95" s="35"/>
      <c r="K95" s="36"/>
    </row>
    <row r="96" spans="1:11" x14ac:dyDescent="0.3">
      <c r="C96" s="30" t="s">
        <v>152</v>
      </c>
      <c r="D96" s="31"/>
      <c r="E96" s="32"/>
      <c r="F96" s="33"/>
      <c r="G96" s="38">
        <v>-152.58000000000001</v>
      </c>
      <c r="H96" s="38">
        <v>-0.36</v>
      </c>
      <c r="I96" s="35"/>
      <c r="J96" s="35"/>
      <c r="K96" s="36"/>
    </row>
    <row r="97" spans="3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3:11" ht="14.4" thickBot="1" x14ac:dyDescent="0.35">
      <c r="C98" s="41" t="s">
        <v>187</v>
      </c>
      <c r="D98" s="42"/>
      <c r="E98" s="43"/>
      <c r="F98" s="44"/>
      <c r="G98" s="45">
        <v>42170.25</v>
      </c>
      <c r="H98" s="45">
        <f>SUMIFS(H:H,C:C,"Total")</f>
        <v>100</v>
      </c>
      <c r="I98" s="46"/>
      <c r="J98" s="46"/>
      <c r="K98" s="47"/>
    </row>
    <row r="100" spans="3:11" x14ac:dyDescent="0.3">
      <c r="C100" s="48" t="s">
        <v>188</v>
      </c>
      <c r="D100" s="49"/>
      <c r="E100" s="49"/>
      <c r="F100" s="49"/>
      <c r="G100" s="50"/>
      <c r="H100" s="50"/>
    </row>
    <row r="101" spans="3:11" x14ac:dyDescent="0.3">
      <c r="C101" s="48"/>
      <c r="D101" s="49"/>
      <c r="E101" s="49"/>
      <c r="F101" s="49"/>
      <c r="G101" s="50"/>
      <c r="H101" s="50"/>
    </row>
    <row r="102" spans="3:11" x14ac:dyDescent="0.3">
      <c r="C102" s="51" t="s">
        <v>189</v>
      </c>
      <c r="D102" s="51" t="s">
        <v>190</v>
      </c>
      <c r="E102" s="52" t="s">
        <v>191</v>
      </c>
      <c r="F102" s="53" t="s">
        <v>192</v>
      </c>
      <c r="G102" s="53" t="s">
        <v>193</v>
      </c>
      <c r="H102" s="53" t="s">
        <v>194</v>
      </c>
    </row>
    <row r="103" spans="3:11" x14ac:dyDescent="0.3">
      <c r="C103" s="76" t="s">
        <v>195</v>
      </c>
      <c r="D103" s="77"/>
      <c r="E103" s="77"/>
      <c r="F103" s="77"/>
      <c r="G103" s="77"/>
      <c r="H103" s="78"/>
    </row>
    <row r="104" spans="3:11" x14ac:dyDescent="0.3">
      <c r="C104" s="48"/>
      <c r="D104" s="49"/>
      <c r="E104" s="49"/>
      <c r="F104" s="49"/>
      <c r="G104" s="50"/>
      <c r="H104" s="50"/>
    </row>
    <row r="105" spans="3:11" x14ac:dyDescent="0.3">
      <c r="C105" s="49" t="s">
        <v>196</v>
      </c>
      <c r="D105" s="49"/>
      <c r="E105" s="49"/>
      <c r="F105" s="54"/>
      <c r="G105" s="50"/>
      <c r="H105" s="50"/>
    </row>
    <row r="106" spans="3:11" x14ac:dyDescent="0.3">
      <c r="C106" s="55"/>
      <c r="D106" s="49"/>
      <c r="E106" s="49"/>
      <c r="F106" s="54"/>
      <c r="G106" s="50"/>
      <c r="H106" s="50"/>
    </row>
    <row r="107" spans="3:11" x14ac:dyDescent="0.3">
      <c r="C107" s="48" t="s">
        <v>197</v>
      </c>
      <c r="D107" s="49"/>
      <c r="E107" s="49"/>
      <c r="F107" s="54"/>
      <c r="G107" s="50"/>
      <c r="H107" s="50"/>
    </row>
    <row r="108" spans="3:11" x14ac:dyDescent="0.3">
      <c r="C108" s="56" t="s">
        <v>198</v>
      </c>
      <c r="D108" s="49"/>
      <c r="E108" s="49"/>
      <c r="F108" s="54"/>
      <c r="G108" s="50"/>
      <c r="H108" s="50"/>
    </row>
    <row r="109" spans="3:11" x14ac:dyDescent="0.3">
      <c r="C109" s="56" t="s">
        <v>199</v>
      </c>
      <c r="D109" s="49"/>
      <c r="E109" s="49"/>
      <c r="F109" s="54"/>
      <c r="G109" s="50"/>
      <c r="H109" s="50"/>
    </row>
    <row r="110" spans="3:11" x14ac:dyDescent="0.3">
      <c r="C110" s="56" t="s">
        <v>200</v>
      </c>
      <c r="D110" s="54"/>
      <c r="E110" s="49"/>
      <c r="F110" s="54"/>
      <c r="G110" s="50"/>
      <c r="H110" s="50"/>
    </row>
    <row r="111" spans="3:11" x14ac:dyDescent="0.3">
      <c r="C111" s="56" t="s">
        <v>201</v>
      </c>
      <c r="D111" s="54"/>
      <c r="E111" s="54"/>
      <c r="F111" s="54"/>
      <c r="G111" s="50"/>
      <c r="H111" s="50"/>
    </row>
    <row r="112" spans="3:11" x14ac:dyDescent="0.3">
      <c r="C112" s="57" t="s">
        <v>202</v>
      </c>
      <c r="D112" s="54"/>
      <c r="E112" s="58"/>
      <c r="F112" s="54"/>
      <c r="G112" s="50"/>
      <c r="H112" s="50"/>
    </row>
    <row r="113" spans="3:8" x14ac:dyDescent="0.3">
      <c r="C113" s="55"/>
      <c r="D113" s="49"/>
      <c r="E113" s="49"/>
      <c r="F113" s="54"/>
      <c r="G113" s="50"/>
      <c r="H113" s="50"/>
    </row>
    <row r="114" spans="3:8" x14ac:dyDescent="0.3">
      <c r="C114" s="55"/>
      <c r="D114" s="49"/>
      <c r="E114" s="49"/>
      <c r="F114" s="54"/>
      <c r="G114" s="50"/>
      <c r="H114" s="50"/>
    </row>
    <row r="115" spans="3:8" x14ac:dyDescent="0.3">
      <c r="C115" s="48" t="s">
        <v>203</v>
      </c>
      <c r="D115" s="56"/>
      <c r="E115" s="56"/>
      <c r="F115" s="56"/>
      <c r="G115" s="56"/>
      <c r="H115" s="59"/>
    </row>
    <row r="116" spans="3:8" x14ac:dyDescent="0.3">
      <c r="C116" s="51" t="s">
        <v>189</v>
      </c>
      <c r="D116" s="51" t="s">
        <v>190</v>
      </c>
      <c r="E116" s="53" t="s">
        <v>204</v>
      </c>
      <c r="F116" s="53" t="s">
        <v>192</v>
      </c>
      <c r="G116" s="53" t="s">
        <v>193</v>
      </c>
      <c r="H116" s="53" t="s">
        <v>194</v>
      </c>
    </row>
    <row r="117" spans="3:8" x14ac:dyDescent="0.3">
      <c r="C117" s="60" t="s">
        <v>158</v>
      </c>
      <c r="D117" s="60" t="s">
        <v>159</v>
      </c>
      <c r="E117" s="60">
        <v>40</v>
      </c>
      <c r="F117" s="61">
        <v>787.94500000000005</v>
      </c>
      <c r="G117" s="61">
        <v>784.7</v>
      </c>
      <c r="H117" s="61">
        <v>82.125630000000001</v>
      </c>
    </row>
    <row r="118" spans="3:8" x14ac:dyDescent="0.3">
      <c r="C118" s="62"/>
      <c r="D118" s="62"/>
      <c r="E118" s="62"/>
      <c r="F118" s="62"/>
      <c r="G118" s="62"/>
      <c r="H118" s="62"/>
    </row>
    <row r="119" spans="3:8" x14ac:dyDescent="0.3">
      <c r="C119" s="56" t="s">
        <v>205</v>
      </c>
      <c r="D119" s="62"/>
      <c r="E119" s="62"/>
      <c r="F119" s="62"/>
      <c r="G119" s="62"/>
      <c r="H119" s="62"/>
    </row>
    <row r="120" spans="3:8" x14ac:dyDescent="0.3">
      <c r="C120" s="62"/>
      <c r="D120" s="62"/>
      <c r="E120" s="62"/>
      <c r="F120" s="62"/>
      <c r="G120" s="62"/>
      <c r="H120" s="62"/>
    </row>
    <row r="121" spans="3:8" x14ac:dyDescent="0.3">
      <c r="C121" s="48" t="s">
        <v>206</v>
      </c>
      <c r="D121" s="62"/>
      <c r="E121" s="62"/>
      <c r="F121" s="62"/>
      <c r="G121" s="62"/>
      <c r="H121" s="62"/>
    </row>
    <row r="122" spans="3:8" x14ac:dyDescent="0.3">
      <c r="C122" s="56" t="s">
        <v>198</v>
      </c>
      <c r="D122" s="62"/>
      <c r="E122" s="62"/>
      <c r="F122" s="62"/>
      <c r="G122" s="62"/>
      <c r="H122" s="62"/>
    </row>
    <row r="123" spans="3:8" x14ac:dyDescent="0.3">
      <c r="C123" s="56" t="s">
        <v>207</v>
      </c>
      <c r="D123" s="62"/>
      <c r="E123" s="62"/>
      <c r="F123" s="62"/>
      <c r="G123" s="62"/>
      <c r="H123" s="62"/>
    </row>
    <row r="124" spans="3:8" x14ac:dyDescent="0.3">
      <c r="C124" s="56" t="s">
        <v>200</v>
      </c>
      <c r="D124" s="63"/>
      <c r="E124" s="64"/>
      <c r="F124" s="62"/>
      <c r="G124" s="62"/>
      <c r="H124" s="62"/>
    </row>
    <row r="125" spans="3:8" x14ac:dyDescent="0.3">
      <c r="C125" s="56" t="s">
        <v>201</v>
      </c>
      <c r="D125" s="63"/>
      <c r="E125" s="62"/>
      <c r="F125" s="62"/>
      <c r="G125" s="62"/>
      <c r="H125" s="62"/>
    </row>
    <row r="126" spans="3:8" x14ac:dyDescent="0.3">
      <c r="C126" s="57" t="s">
        <v>202</v>
      </c>
      <c r="D126" s="63"/>
      <c r="E126" s="58"/>
      <c r="F126" s="58"/>
      <c r="G126" s="62"/>
      <c r="H126" s="62"/>
    </row>
    <row r="127" spans="3:8" x14ac:dyDescent="0.3">
      <c r="C127" s="62"/>
      <c r="D127" s="62"/>
      <c r="E127" s="62"/>
      <c r="F127" s="62"/>
      <c r="G127" s="62"/>
      <c r="H127" s="62"/>
    </row>
    <row r="128" spans="3:8" x14ac:dyDescent="0.3">
      <c r="C128" s="49"/>
      <c r="D128" s="58"/>
      <c r="E128" s="58"/>
      <c r="F128" s="58"/>
      <c r="G128" s="50"/>
      <c r="H128" s="50"/>
    </row>
    <row r="129" spans="3:55" x14ac:dyDescent="0.3">
      <c r="C129" s="65" t="s">
        <v>208</v>
      </c>
      <c r="D129" s="58"/>
      <c r="E129" s="58"/>
      <c r="F129" s="49"/>
      <c r="G129" s="50"/>
      <c r="H129" s="50"/>
    </row>
    <row r="131" spans="3:55" x14ac:dyDescent="0.3">
      <c r="C131" s="11" t="s">
        <v>209</v>
      </c>
    </row>
    <row r="132" spans="3:55" x14ac:dyDescent="0.3">
      <c r="C132" s="2" t="s">
        <v>210</v>
      </c>
    </row>
    <row r="133" spans="3:55" x14ac:dyDescent="0.3">
      <c r="C133" s="66" t="s">
        <v>211</v>
      </c>
    </row>
    <row r="134" spans="3:55" x14ac:dyDescent="0.3">
      <c r="C134" s="2" t="s">
        <v>212</v>
      </c>
    </row>
    <row r="135" spans="3:55" x14ac:dyDescent="0.3">
      <c r="C135" s="2" t="s">
        <v>213</v>
      </c>
    </row>
    <row r="136" spans="3:55" x14ac:dyDescent="0.3">
      <c r="C136" s="2" t="s">
        <v>214</v>
      </c>
      <c r="D136" s="67"/>
      <c r="E136" s="67"/>
      <c r="F136" s="67"/>
      <c r="G136" s="68"/>
      <c r="H136" s="68"/>
    </row>
    <row r="137" spans="3:55" x14ac:dyDescent="0.3">
      <c r="C137" s="2" t="s">
        <v>215</v>
      </c>
    </row>
    <row r="138" spans="3:55" x14ac:dyDescent="0.3">
      <c r="C138" s="2" t="s">
        <v>216</v>
      </c>
    </row>
    <row r="139" spans="3:55" x14ac:dyDescent="0.3">
      <c r="C139" s="2" t="s">
        <v>217</v>
      </c>
    </row>
    <row r="140" spans="3:55" x14ac:dyDescent="0.3">
      <c r="C140" s="2" t="s">
        <v>218</v>
      </c>
    </row>
    <row r="141" spans="3:55" s="11" customFormat="1" x14ac:dyDescent="0.3">
      <c r="C141" s="11" t="s">
        <v>219</v>
      </c>
      <c r="E141" s="11" t="s">
        <v>220</v>
      </c>
      <c r="F141" s="69" t="s">
        <v>221</v>
      </c>
      <c r="G141" s="70"/>
      <c r="H141" s="70"/>
      <c r="I141" s="70"/>
      <c r="J141" s="70"/>
      <c r="K141" s="71"/>
      <c r="L141" s="71"/>
      <c r="M141" s="71"/>
      <c r="AJ141" s="71"/>
      <c r="AW141" s="71"/>
      <c r="AY141" s="71"/>
      <c r="BC141" s="71"/>
    </row>
    <row r="142" spans="3:55" x14ac:dyDescent="0.3">
      <c r="C142" s="2" t="s">
        <v>222</v>
      </c>
      <c r="E142" s="72">
        <v>10.407999999999999</v>
      </c>
      <c r="F142" s="73">
        <v>10.8192</v>
      </c>
    </row>
    <row r="143" spans="3:55" x14ac:dyDescent="0.3">
      <c r="C143" s="2" t="s">
        <v>223</v>
      </c>
      <c r="E143" s="72">
        <v>10.407999999999999</v>
      </c>
      <c r="F143" s="73">
        <v>10.8192</v>
      </c>
    </row>
    <row r="144" spans="3:55" x14ac:dyDescent="0.3">
      <c r="C144" s="2" t="s">
        <v>224</v>
      </c>
      <c r="E144" s="72">
        <v>10.6915</v>
      </c>
      <c r="F144" s="73">
        <v>11.125299999999999</v>
      </c>
    </row>
    <row r="145" spans="3:6" x14ac:dyDescent="0.3">
      <c r="C145" s="2" t="s">
        <v>225</v>
      </c>
      <c r="E145" s="72">
        <v>10.6915</v>
      </c>
      <c r="F145" s="73">
        <v>11.125299999999999</v>
      </c>
    </row>
    <row r="147" spans="3:6" x14ac:dyDescent="0.3">
      <c r="C147" s="2" t="s">
        <v>226</v>
      </c>
    </row>
    <row r="149" spans="3:6" x14ac:dyDescent="0.3">
      <c r="C149" s="2" t="s">
        <v>227</v>
      </c>
    </row>
    <row r="150" spans="3:6" x14ac:dyDescent="0.3">
      <c r="C150" s="2" t="s">
        <v>228</v>
      </c>
    </row>
    <row r="151" spans="3:6" x14ac:dyDescent="0.3">
      <c r="C151" s="2" t="s">
        <v>229</v>
      </c>
    </row>
    <row r="152" spans="3:6" x14ac:dyDescent="0.3">
      <c r="C152" s="2" t="s">
        <v>230</v>
      </c>
    </row>
    <row r="153" spans="3:6" x14ac:dyDescent="0.3">
      <c r="C153" s="2" t="s">
        <v>231</v>
      </c>
    </row>
    <row r="154" spans="3:6" x14ac:dyDescent="0.3">
      <c r="C154" s="2" t="s">
        <v>232</v>
      </c>
    </row>
    <row r="155" spans="3:6" x14ac:dyDescent="0.3">
      <c r="C155" s="2" t="s">
        <v>233</v>
      </c>
    </row>
    <row r="156" spans="3:6" x14ac:dyDescent="0.3">
      <c r="C156" s="2" t="s">
        <v>234</v>
      </c>
    </row>
    <row r="157" spans="3:6" x14ac:dyDescent="0.3">
      <c r="C157" s="2" t="s">
        <v>235</v>
      </c>
    </row>
    <row r="158" spans="3:6" x14ac:dyDescent="0.3">
      <c r="C158" s="2" t="s">
        <v>236</v>
      </c>
    </row>
    <row r="159" spans="3:6" x14ac:dyDescent="0.3">
      <c r="C159" s="2" t="s">
        <v>237</v>
      </c>
    </row>
    <row r="160" spans="3:6" x14ac:dyDescent="0.3">
      <c r="C160" s="2" t="s">
        <v>238</v>
      </c>
    </row>
    <row r="161" spans="3:11" ht="14.4" x14ac:dyDescent="0.3">
      <c r="C161" s="74"/>
      <c r="D161" s="74"/>
      <c r="E161" s="75"/>
      <c r="F161" s="75"/>
      <c r="G161" s="75"/>
      <c r="H161" s="75"/>
      <c r="I161" s="75"/>
      <c r="J161" s="75"/>
      <c r="K161" s="75"/>
    </row>
  </sheetData>
  <mergeCells count="1">
    <mergeCell ref="C103:H103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BC</vt:lpstr>
      <vt:lpstr>XDO_?CLASS_3?32?</vt:lpstr>
      <vt:lpstr>XDO_?FINAL_ISIN?158?</vt:lpstr>
      <vt:lpstr>XDO_?FINAL_ISIN?159?</vt:lpstr>
      <vt:lpstr>XDO_?FINAL_ISIN?160?</vt:lpstr>
      <vt:lpstr>XDO_?FINAL_ISIN?161?</vt:lpstr>
      <vt:lpstr>XDO_?FINAL_ISIN?162?</vt:lpstr>
      <vt:lpstr>XDO_?FINAL_MV?158?</vt:lpstr>
      <vt:lpstr>XDO_?FINAL_MV?159?</vt:lpstr>
      <vt:lpstr>XDO_?FINAL_MV?160?</vt:lpstr>
      <vt:lpstr>XDO_?FINAL_MV?161?</vt:lpstr>
      <vt:lpstr>XDO_?FINAL_MV?162?</vt:lpstr>
      <vt:lpstr>XDO_?FINAL_NAME?158?</vt:lpstr>
      <vt:lpstr>XDO_?FINAL_NAME?159?</vt:lpstr>
      <vt:lpstr>XDO_?FINAL_NAME?160?</vt:lpstr>
      <vt:lpstr>XDO_?FINAL_NAME?161?</vt:lpstr>
      <vt:lpstr>XDO_?FINAL_NAME?162?</vt:lpstr>
      <vt:lpstr>XDO_?FINAL_PER_NET?158?</vt:lpstr>
      <vt:lpstr>XDO_?FINAL_PER_NET?159?</vt:lpstr>
      <vt:lpstr>XDO_?FINAL_PER_NET?160?</vt:lpstr>
      <vt:lpstr>XDO_?FINAL_PER_NET?161?</vt:lpstr>
      <vt:lpstr>XDO_?FINAL_PER_NET?162?</vt:lpstr>
      <vt:lpstr>XDO_?FINAL_QUANTITE?158?</vt:lpstr>
      <vt:lpstr>XDO_?FINAL_QUANTITE?159?</vt:lpstr>
      <vt:lpstr>XDO_?FINAL_QUANTITE?160?</vt:lpstr>
      <vt:lpstr>XDO_?FINAL_QUANTITE?161?</vt:lpstr>
      <vt:lpstr>XDO_?FINAL_QUANTITE?162?</vt:lpstr>
      <vt:lpstr>XDO_?NAMCNAME?32?</vt:lpstr>
      <vt:lpstr>XDO_?NOVAL?158?</vt:lpstr>
      <vt:lpstr>XDO_?NOVAL?159?</vt:lpstr>
      <vt:lpstr>XDO_?NOVAL?160?</vt:lpstr>
      <vt:lpstr>XDO_?NOVAL?161?</vt:lpstr>
      <vt:lpstr>XDO_?NOVAL?162?</vt:lpstr>
      <vt:lpstr>XDO_?NPTF?32?</vt:lpstr>
      <vt:lpstr>XDO_?RATING?158?</vt:lpstr>
      <vt:lpstr>XDO_?RATING?159?</vt:lpstr>
      <vt:lpstr>XDO_?RATING?160?</vt:lpstr>
      <vt:lpstr>XDO_?RATING?161?</vt:lpstr>
      <vt:lpstr>XDO_?RATING?162?</vt:lpstr>
      <vt:lpstr>XDO_?REMARKS?158?</vt:lpstr>
      <vt:lpstr>XDO_?REMARKS?159?</vt:lpstr>
      <vt:lpstr>XDO_?REMARKS?160?</vt:lpstr>
      <vt:lpstr>XDO_?REMARKS?161?</vt:lpstr>
      <vt:lpstr>XDO_?REMARKS?162?</vt:lpstr>
      <vt:lpstr>XDO_?TITL?32?</vt:lpstr>
      <vt:lpstr>XDO_?YTM?158?</vt:lpstr>
      <vt:lpstr>XDO_?YTM?159?</vt:lpstr>
      <vt:lpstr>XDO_?YTM?160?</vt:lpstr>
      <vt:lpstr>XDO_?YTM?161?</vt:lpstr>
      <vt:lpstr>XDO_?YTM?162?</vt:lpstr>
      <vt:lpstr>XDO_GROUP_?G_2?32?</vt:lpstr>
      <vt:lpstr>XDO_GROUP_?G_3?32?</vt:lpstr>
      <vt:lpstr>XDO_GROUP_?G_4?158?</vt:lpstr>
      <vt:lpstr>XDO_GROUP_?G_4?159?</vt:lpstr>
      <vt:lpstr>XDO_GROUP_?G_4?160?</vt:lpstr>
      <vt:lpstr>XDO_GROUP_?G_4?161?</vt:lpstr>
      <vt:lpstr>XDO_GROUP_?G_4?162?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2023-07-07T05:41:03Z</dcterms:created>
  <dcterms:modified xsi:type="dcterms:W3CDTF">2023-07-07T12:23:19Z</dcterms:modified>
</cp:coreProperties>
</file>