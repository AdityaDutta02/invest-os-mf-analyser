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D5D8AE9-182E-4B18-BF91-BD4A505864EE}" xr6:coauthVersionLast="47" xr6:coauthVersionMax="47" xr10:uidLastSave="{00000000-0000-0000-0000-000000000000}"/>
  <bookViews>
    <workbookView xWindow="-108" yWindow="-108" windowWidth="23256" windowHeight="12456" xr2:uid="{7FA5B3EB-9F2A-4C8F-B068-50A9E38933CC}"/>
  </bookViews>
  <sheets>
    <sheet name="T0MD27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E30" i="1"/>
  <c r="E29" i="1"/>
  <c r="E28" i="1"/>
  <c r="E31" i="1" s="1"/>
</calcChain>
</file>

<file path=xl/sharedStrings.xml><?xml version="1.0" encoding="utf-8"?>
<sst xmlns="http://schemas.openxmlformats.org/spreadsheetml/2006/main" count="71" uniqueCount="52">
  <si>
    <t>Baroda BNP Paribas NIFTY SDL December 2026 Index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</si>
  <si>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</si>
  <si>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</si>
  <si>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</si>
  <si>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</si>
  <si>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</si>
  <si>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</si>
  <si>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</si>
  <si>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</si>
  <si>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</si>
  <si>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</si>
  <si>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</si>
  <si>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</si>
  <si>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</si>
  <si>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</si>
  <si>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</si>
  <si>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</si>
  <si>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</si>
  <si>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</si>
  <si>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</si>
  <si>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</si>
  <si>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</si>
  <si>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</si>
  <si>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</si>
  <si>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GOI3565</t>
  </si>
  <si>
    <t>7.39% State Government Securities (09/11/2026)</t>
  </si>
  <si>
    <t>IN3120160137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</si>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</sst>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44DE10D2-6B64-493E-9949-4AA4C9719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3C2F7-6388-4BB4-8BE9-CE90AD71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B556-41E9-44F3-8179-3019232A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4945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ADFF-FF96-4CE5-A709-1513FCE223CD}">
  <sheetPr codeName="Sheet5">
    <outlinePr summaryBelow="0"/>
  </sheetPr>
  <dimension ref="A1:J34"/>
  <sheetViews>
    <sheetView tabSelected="1" topLeftCell="A19" workbookViewId="0">
      <selection activeCell="E38" sqref="E3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5078.21</v>
      </c>
      <c r="G7" s="17">
        <v>0.41949999999999998</v>
      </c>
      <c r="H7" s="18">
        <v>6.3218999999999997E-2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3047.53</v>
      </c>
      <c r="G8" s="17">
        <v>0.25180000000000002</v>
      </c>
      <c r="H8" s="18">
        <v>6.3492999999999994E-2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2031.59</v>
      </c>
      <c r="G9" s="17">
        <v>0.1678</v>
      </c>
      <c r="H9" s="18">
        <v>6.3218999999999997E-2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508.33</v>
      </c>
      <c r="G10" s="17">
        <v>4.2000000000000003E-2</v>
      </c>
      <c r="H10" s="18">
        <v>6.3218999999999997E-2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508.05</v>
      </c>
      <c r="G11" s="17">
        <v>4.2000000000000003E-2</v>
      </c>
      <c r="H11" s="18">
        <v>6.3218999999999997E-2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</v>
      </c>
      <c r="F12" s="16">
        <v>506.37</v>
      </c>
      <c r="G12" s="17">
        <v>4.1799999999999997E-2</v>
      </c>
      <c r="H12" s="18">
        <v>6.3218999999999997E-2</v>
      </c>
      <c r="I12" s="19"/>
      <c r="J12" s="1"/>
    </row>
    <row r="13" spans="1:10" ht="13.05" customHeight="1">
      <c r="A13" s="1"/>
      <c r="B13" s="20" t="s">
        <v>33</v>
      </c>
      <c r="C13" s="21"/>
      <c r="D13" s="21"/>
      <c r="E13" s="21"/>
      <c r="F13" s="22">
        <v>11680.08</v>
      </c>
      <c r="G13" s="23">
        <v>0.96489999999999998</v>
      </c>
      <c r="H13" s="24"/>
      <c r="I13" s="24"/>
      <c r="J13" s="1"/>
    </row>
    <row r="14" spans="1:10" ht="13.05" customHeight="1">
      <c r="A14" s="1"/>
      <c r="B14" s="20" t="s">
        <v>34</v>
      </c>
      <c r="C14" s="21"/>
      <c r="D14" s="21"/>
      <c r="E14" s="21"/>
      <c r="F14" s="24" t="s">
        <v>35</v>
      </c>
      <c r="G14" s="24" t="s">
        <v>35</v>
      </c>
      <c r="H14" s="24"/>
      <c r="I14" s="24"/>
      <c r="J14" s="1"/>
    </row>
    <row r="15" spans="1:10" ht="13.05" customHeight="1">
      <c r="A15" s="1"/>
      <c r="B15" s="20" t="s">
        <v>33</v>
      </c>
      <c r="C15" s="21"/>
      <c r="D15" s="21"/>
      <c r="E15" s="21"/>
      <c r="F15" s="24" t="s">
        <v>35</v>
      </c>
      <c r="G15" s="24" t="s">
        <v>35</v>
      </c>
      <c r="H15" s="24"/>
      <c r="I15" s="24"/>
      <c r="J15" s="1"/>
    </row>
    <row r="16" spans="1:10" ht="13.05" customHeight="1">
      <c r="A16" s="1"/>
      <c r="B16" s="20" t="s">
        <v>36</v>
      </c>
      <c r="C16" s="25"/>
      <c r="D16" s="21"/>
      <c r="E16" s="25"/>
      <c r="F16" s="22">
        <v>11680.08</v>
      </c>
      <c r="G16" s="23">
        <v>0.96489999999999998</v>
      </c>
      <c r="H16" s="24"/>
      <c r="I16" s="24"/>
      <c r="J16" s="1"/>
    </row>
    <row r="17" spans="1:10" ht="13.0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38</v>
      </c>
      <c r="B18" s="14" t="s">
        <v>39</v>
      </c>
      <c r="C18" s="11"/>
      <c r="D18" s="11" t="s">
        <v>40</v>
      </c>
      <c r="E18" s="15"/>
      <c r="F18" s="16">
        <v>146.69</v>
      </c>
      <c r="G18" s="17">
        <v>1.21E-2</v>
      </c>
      <c r="H18" s="18">
        <v>5.9433800468621012E-2</v>
      </c>
      <c r="I18" s="19"/>
      <c r="J18" s="1"/>
    </row>
    <row r="19" spans="1:10" ht="13.05" customHeight="1">
      <c r="A19" s="1"/>
      <c r="B19" s="20" t="s">
        <v>33</v>
      </c>
      <c r="C19" s="21"/>
      <c r="D19" s="21"/>
      <c r="E19" s="21"/>
      <c r="F19" s="22">
        <v>146.69</v>
      </c>
      <c r="G19" s="23">
        <v>1.21E-2</v>
      </c>
      <c r="H19" s="24"/>
      <c r="I19" s="24"/>
      <c r="J19" s="1"/>
    </row>
    <row r="20" spans="1:10" ht="13.05" customHeight="1">
      <c r="A20" s="1"/>
      <c r="B20" s="20" t="s">
        <v>34</v>
      </c>
      <c r="C20" s="21"/>
      <c r="D20" s="21"/>
      <c r="E20" s="21"/>
      <c r="F20" s="24" t="s">
        <v>35</v>
      </c>
      <c r="G20" s="24" t="s">
        <v>35</v>
      </c>
      <c r="H20" s="24"/>
      <c r="I20" s="24"/>
      <c r="J20" s="1"/>
    </row>
    <row r="21" spans="1:10" ht="13.05" customHeight="1">
      <c r="A21" s="1"/>
      <c r="B21" s="20" t="s">
        <v>33</v>
      </c>
      <c r="C21" s="21"/>
      <c r="D21" s="21"/>
      <c r="E21" s="21"/>
      <c r="F21" s="24" t="s">
        <v>35</v>
      </c>
      <c r="G21" s="24" t="s">
        <v>35</v>
      </c>
      <c r="H21" s="24"/>
      <c r="I21" s="24"/>
      <c r="J21" s="1"/>
    </row>
    <row r="22" spans="1:10" ht="13.05" customHeight="1">
      <c r="A22" s="1"/>
      <c r="B22" s="20" t="s">
        <v>36</v>
      </c>
      <c r="C22" s="25"/>
      <c r="D22" s="21"/>
      <c r="E22" s="25"/>
      <c r="F22" s="22">
        <v>146.69</v>
      </c>
      <c r="G22" s="23">
        <v>1.21E-2</v>
      </c>
      <c r="H22" s="24"/>
      <c r="I22" s="24"/>
      <c r="J22" s="1"/>
    </row>
    <row r="23" spans="1:10" ht="13.05" customHeight="1">
      <c r="A23" s="1"/>
      <c r="B23" s="20" t="s">
        <v>41</v>
      </c>
      <c r="C23" s="11"/>
      <c r="D23" s="21"/>
      <c r="E23" s="11"/>
      <c r="F23" s="26">
        <v>277.17</v>
      </c>
      <c r="G23" s="23">
        <v>2.3E-2</v>
      </c>
      <c r="H23" s="24"/>
      <c r="I23" s="24"/>
      <c r="J23" s="1"/>
    </row>
    <row r="24" spans="1:10" ht="13.05" customHeight="1" thickBot="1">
      <c r="A24" s="1"/>
      <c r="B24" s="27" t="s">
        <v>42</v>
      </c>
      <c r="C24" s="28"/>
      <c r="D24" s="28"/>
      <c r="E24" s="28"/>
      <c r="F24" s="29">
        <v>12103.94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 thickBot="1">
      <c r="A26" s="1"/>
      <c r="B26" s="41"/>
      <c r="C26" s="41"/>
      <c r="D26" s="41"/>
      <c r="E26" s="41"/>
      <c r="F26" s="41"/>
      <c r="G26" s="41"/>
      <c r="H26" s="41"/>
      <c r="I26" s="1"/>
      <c r="J26" s="1"/>
    </row>
    <row r="27" spans="1:10" ht="13.05" customHeight="1">
      <c r="A27" s="1"/>
      <c r="B27" s="32" t="s">
        <v>43</v>
      </c>
      <c r="C27" s="33" t="s">
        <v>44</v>
      </c>
      <c r="D27" s="33" t="s">
        <v>45</v>
      </c>
      <c r="E27" s="34" t="s">
        <v>46</v>
      </c>
      <c r="F27" s="2"/>
      <c r="G27" s="2"/>
      <c r="H27" s="2"/>
      <c r="I27" s="1"/>
      <c r="J27" s="1"/>
    </row>
    <row r="28" spans="1:10" ht="13.05" customHeight="1">
      <c r="A28" s="1"/>
      <c r="B28" s="35" t="s">
        <v>47</v>
      </c>
      <c r="C28" s="36">
        <v>0</v>
      </c>
      <c r="D28" s="36">
        <v>0</v>
      </c>
      <c r="E28" s="37">
        <f>MIN(C28:D28)</f>
        <v>0</v>
      </c>
      <c r="F28" s="2"/>
      <c r="G28" s="2"/>
      <c r="H28" s="2"/>
      <c r="I28" s="1"/>
      <c r="J28" s="1"/>
    </row>
    <row r="29" spans="1:10" ht="13.05" customHeight="1">
      <c r="A29" s="1"/>
      <c r="B29" s="35" t="s">
        <v>48</v>
      </c>
      <c r="C29" s="36">
        <v>1</v>
      </c>
      <c r="D29" s="36">
        <v>0.96489999999999998</v>
      </c>
      <c r="E29" s="37">
        <f t="shared" ref="E29:E30" si="0">MIN(C29:D29)</f>
        <v>0.96489999999999998</v>
      </c>
      <c r="F29" s="2"/>
      <c r="G29" s="2"/>
      <c r="H29" s="2"/>
      <c r="I29" s="1"/>
      <c r="J29" s="1"/>
    </row>
    <row r="30" spans="1:10" ht="13.05" customHeight="1">
      <c r="A30" s="1"/>
      <c r="B30" s="35" t="s">
        <v>49</v>
      </c>
      <c r="C30" s="36">
        <v>0</v>
      </c>
      <c r="D30" s="36">
        <v>3.5099999999999999E-2</v>
      </c>
      <c r="E30" s="37">
        <f t="shared" si="0"/>
        <v>0</v>
      </c>
      <c r="F30" s="2"/>
      <c r="G30" s="2"/>
      <c r="H30" s="2"/>
      <c r="I30" s="1"/>
      <c r="J30" s="1"/>
    </row>
    <row r="31" spans="1:10" ht="13.05" customHeight="1" thickBot="1">
      <c r="A31" s="1"/>
      <c r="B31" s="38" t="s">
        <v>36</v>
      </c>
      <c r="C31" s="39">
        <f t="shared" ref="C31" si="1">SUM(C28:C30)</f>
        <v>1</v>
      </c>
      <c r="D31" s="39">
        <f>SUM(D28:D30)</f>
        <v>1</v>
      </c>
      <c r="E31" s="40">
        <f t="shared" ref="E31" si="2">SUM(E28:E30)</f>
        <v>0.96489999999999998</v>
      </c>
      <c r="F31" s="2"/>
      <c r="G31" s="2"/>
      <c r="H31" s="2"/>
      <c r="I31" s="1"/>
      <c r="J31" s="1"/>
    </row>
    <row r="32" spans="1:10" ht="13.05" customHeight="1">
      <c r="A32" s="1"/>
      <c r="B32" s="2" t="s">
        <v>40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50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41" t="s">
        <v>51</v>
      </c>
      <c r="C34" s="41"/>
      <c r="D34" s="41"/>
      <c r="E34" s="41"/>
      <c r="F34" s="41"/>
      <c r="G34" s="41"/>
      <c r="H34" s="41"/>
      <c r="I34" s="1"/>
      <c r="J34" s="1"/>
    </row>
  </sheetData>
  <mergeCells count="2">
    <mergeCell ref="B26:H26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2025-05-07T13:04:23Z</dcterms:created>
  <dcterms:modified xsi:type="dcterms:W3CDTF">2025-05-08T13:16:07Z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4c51ca00-d6d1-463d-ae15-a9167fe15cf4</vt:lpwstr>
  </property>
  <property fmtid="{D5CDD505-2E9C-101B-9397-08002B2CF9AE}" pid="8" name="MSIP_Label_af1741f6-9e47-426e-a683-937c37d4ebc5_ContentBits">
    <vt:lpwstr>3</vt:lpwstr>
  </property>
</Properties>
</file>