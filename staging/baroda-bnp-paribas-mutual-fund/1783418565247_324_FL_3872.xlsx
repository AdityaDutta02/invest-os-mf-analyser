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FL" sheetId="1" r:id="rId1"/>
  </sheets>
  <externalReferences>
    <externalReference r:id="rId2"/>
  </externalReferences>
  <definedNames>
    <definedName name="XDO_?CLASS_3?2?">FL!$C$16:$C$30</definedName>
    <definedName name="XDO_?FINAL_ISIN?10?">FL!$D$24:$D$66</definedName>
    <definedName name="XDO_?FINAL_ISIN?7?">FL!$D$24:$D$30</definedName>
    <definedName name="XDO_?FINAL_ISIN?8?">FL!$D$24:$D$39</definedName>
    <definedName name="XDO_?FINAL_ISIN?9?">FL!$D$24:$D$62</definedName>
    <definedName name="XDO_?FINAL_MV?10?">FL!$G$24:$G$66</definedName>
    <definedName name="XDO_?FINAL_MV?7?">FL!$G$24:$G$30</definedName>
    <definedName name="XDO_?FINAL_MV?8?">FL!$G$24:$G$39</definedName>
    <definedName name="XDO_?FINAL_MV?9?">FL!$G$24:$G$62</definedName>
    <definedName name="XDO_?FINAL_NAME?10?">FL!$C$24:$C$66</definedName>
    <definedName name="XDO_?FINAL_NAME?7?">FL!$C$24:$C$30</definedName>
    <definedName name="XDO_?FINAL_NAME?8?">FL!$C$24:$C$39</definedName>
    <definedName name="XDO_?FINAL_NAME?9?">FL!$C$24:$C$62</definedName>
    <definedName name="XDO_?FINAL_PER_NET?10?">FL!$H$24:$H$66</definedName>
    <definedName name="XDO_?FINAL_PER_NET?7?">FL!$H$24:$H$30</definedName>
    <definedName name="XDO_?FINAL_PER_NET?8?">FL!$H$24:$H$39</definedName>
    <definedName name="XDO_?FINAL_PER_NET?9?">FL!$H$24:$H$62</definedName>
    <definedName name="XDO_?FINAL_QUANTITE?10?">FL!$F$24:$F$66</definedName>
    <definedName name="XDO_?FINAL_QUANTITE?7?">FL!$F$24:$F$30</definedName>
    <definedName name="XDO_?FINAL_QUANTITE?8?">FL!$F$24:$F$39</definedName>
    <definedName name="XDO_?FINAL_QUANTITE?9?">FL!$F$24:$F$62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FL!$B$24:$B$66</definedName>
    <definedName name="XDO_?NOVAL?7?">FL!$B$24:$B$30</definedName>
    <definedName name="XDO_?NOVAL?8?">FL!$B$24:$B$39</definedName>
    <definedName name="XDO_?NOVAL?9?">FL!$B$24:$B$62</definedName>
    <definedName name="XDO_?NPTF?2?">FL!$D$2:$D$30</definedName>
    <definedName name="XDO_?RATING?10?">FL!$E$24:$E$66</definedName>
    <definedName name="XDO_?RATING?7?">FL!$E$24:$E$30</definedName>
    <definedName name="XDO_?RATING?8?">FL!$E$24:$E$39</definedName>
    <definedName name="XDO_?RATING?9?">FL!$E$24:$E$62</definedName>
    <definedName name="XDO_?REMARKS?10?">FL!$K$24:$K$66</definedName>
    <definedName name="XDO_?REMARKS?7?">FL!$K$24:$K$30</definedName>
    <definedName name="XDO_?REMARKS?8?">FL!$K$24:$K$39</definedName>
    <definedName name="XDO_?REMARKS?9?">FL!$K$24:$K$62</definedName>
    <definedName name="XDO_?TITL?2?">FL!$A$16:$A$30</definedName>
    <definedName name="XDO_?YTM?10?">FL!$I$24:$I$66</definedName>
    <definedName name="XDO_?YTM?7?">FL!$I$24:$I$30</definedName>
    <definedName name="XDO_?YTM?8?">FL!$I$24:$I$39</definedName>
    <definedName name="XDO_?YTM?9?">FL!$I$24:$I$62</definedName>
    <definedName name="XDO_GROUP_?G_2?2?">FL!$2:$34</definedName>
    <definedName name="XDO_GROUP_?G_3?2?">FL!$8:$33</definedName>
    <definedName name="XDO_GROUP_?G_4?10?">FL!$B$31:$IV$31</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7?">FL!$B$10:$IV$15</definedName>
    <definedName name="XDO_GROUP_?G_4?8?">FL!$B$16:$IV$21</definedName>
    <definedName name="XDO_GROUP_?G_4?9?">FL!$B$26:$IV$26</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1" l="1"/>
</calcChain>
</file>

<file path=xl/sharedStrings.xml><?xml version="1.0" encoding="utf-8"?>
<sst xmlns="http://schemas.openxmlformats.org/spreadsheetml/2006/main" count="189" uniqueCount="140">
  <si>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</si>
  <si>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</si>
  <si>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</si>
  <si>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</si>
  <si>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</si>
  <si>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</si>
  <si>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</si>
  <si>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</si>
  <si>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</si>
  <si>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</si>
  <si>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</si>
  <si>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</si>
  <si>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</si>
  <si>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</si>
  <si>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</si>
  <si>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</si>
  <si>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</si>
  <si>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</si>
  <si>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</si>
  <si>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</si>
  <si>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</si>
  <si>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</si>
  <si>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</si>
  <si>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</si>
  <si>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900254</t>
  </si>
  <si>
    <t>7.38% Government of India 20-Jun-2027</t>
  </si>
  <si>
    <t>IN0020220037</t>
  </si>
  <si>
    <t>Sovereign</t>
  </si>
  <si>
    <t>900291</t>
  </si>
  <si>
    <t>7.17% Government of India 17-Apr-2030</t>
  </si>
  <si>
    <t>IN0020230036</t>
  </si>
  <si>
    <t>900288</t>
  </si>
  <si>
    <t>7.26% Government of India 06-Feb-2033</t>
  </si>
  <si>
    <t>IN0020220151</t>
  </si>
  <si>
    <t>900249</t>
  </si>
  <si>
    <t>7.10% Government of India 18-Apr-2029</t>
  </si>
  <si>
    <t>IN0020220011</t>
  </si>
  <si>
    <t>900290</t>
  </si>
  <si>
    <t>7.06% Government of India 10-Apr-2028</t>
  </si>
  <si>
    <t>IN0020230010</t>
  </si>
  <si>
    <t>900299</t>
  </si>
  <si>
    <t>7.18% Government of India 14-Aug-2033</t>
  </si>
  <si>
    <t>IN0020230085</t>
  </si>
  <si>
    <t>900283</t>
  </si>
  <si>
    <t>7.26% Government of India 22-Aug-2032</t>
  </si>
  <si>
    <t>IN0020220060</t>
  </si>
  <si>
    <t>Total</t>
  </si>
  <si>
    <t>e) State Government Securities</t>
  </si>
  <si>
    <t>1903462</t>
  </si>
  <si>
    <t>7.61% State Government of Maharashtra 11-May-2029</t>
  </si>
  <si>
    <t>IN2220220031</t>
  </si>
  <si>
    <t>1901206</t>
  </si>
  <si>
    <t>7.17% State Government of Karnataka 27-Nov-2029</t>
  </si>
  <si>
    <t>IN1920190106</t>
  </si>
  <si>
    <t>1901376</t>
  </si>
  <si>
    <t>6.49% State Government of Gujarat 02-Dec-2029</t>
  </si>
  <si>
    <t>IN1520200222</t>
  </si>
  <si>
    <t>1904933</t>
  </si>
  <si>
    <t>7.17% State Government of Karnataka 16-Oct-2027</t>
  </si>
  <si>
    <t>IN1920190072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</si>
  <si>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</si>
  <si>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</si>
  <si>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</si>
  <si>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</si>
  <si>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</si>
  <si>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</si>
  <si>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</si>
  <si>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</si>
  <si>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</si>
  <si>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</si>
  <si>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</si>
  <si>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</si>
  <si>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</si>
  <si>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</si>
  <si>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</si>
  <si>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</si>
  <si>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</si>
  <si>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</si>
  <si>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</si>
  <si>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</si>
  <si>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</si>
  <si>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</si>
  <si>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</si>
  <si>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</si>
  <si>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</si>
  <si>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</si>
  <si>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</si>
  <si>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</si>
  <si>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</si>
  <si>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</si>
  <si>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</si>
  <si>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</si>
  <si>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</si>
  <si>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</si>
  <si>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</si>
  <si>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</si>
  <si>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</si>
  <si>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</si>
  <si>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</si>
  <si>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</si>
  <si>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</si>
  <si>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</si>
  <si>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</si>
  <si>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</si>
  <si>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</si>
  <si>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</si>
  <si>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</si>
  <si>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</si>
  <si>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</si>
  <si>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</si>
  <si>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</si>
  <si>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</si>
  <si>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</si>
  <si>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</si>
  <si>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1903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</si>
  <si>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</si>
  <si>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</si>
  <si>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</si>
  <si>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</si>
  <si>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</si>
  <si>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</si>
  <si>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</si>
  <si>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</si>
  <si>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</si>
  <si>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1527 days.</t>
  </si>
  <si>
    <t>(18) Annualised Portfolio YTM has been 7.2731.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</si>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</sst>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504275</xdr:colOff>
      <xdr:row>136</xdr:row>
      <xdr:rowOff>171704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454533"/>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C148"/>
  <sheetViews>
    <sheetView showGridLines="0" tabSelected="1" zoomScale="90" zoomScaleNormal="90" workbookViewId="0">
      <pane ySplit="6" topLeftCell="A118" activePane="bottomLeft" state="frozen"/>
      <selection activeCell="I2" sqref="I2"/>
      <selection pane="bottomLeft" activeCell="C120" sqref="C12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2500000</v>
      </c>
      <c r="G24" s="32">
        <v>2517.39</v>
      </c>
      <c r="H24" s="32">
        <v>17.54</v>
      </c>
      <c r="I24" s="33">
        <v>7.2913892999999996</v>
      </c>
      <c r="J24" s="33"/>
      <c r="K24" s="34"/>
    </row>
    <row r="25" spans="1:11">
      <c r="B25" s="1" t="s">
        <v>28</v>
      </c>
      <c r="C25" s="21" t="s">
        <v>29</v>
      </c>
      <c r="D25" s="29" t="s">
        <v>30</v>
      </c>
      <c r="E25" s="30" t="s">
        <v>27</v>
      </c>
      <c r="F25" s="31">
        <v>2300000</v>
      </c>
      <c r="G25" s="32">
        <v>2299.54</v>
      </c>
      <c r="H25" s="32">
        <v>16.02</v>
      </c>
      <c r="I25" s="33">
        <v>7.3000879999999997</v>
      </c>
      <c r="J25" s="33"/>
      <c r="K25" s="34"/>
    </row>
    <row r="26" spans="1:11">
      <c r="B26" s="1" t="s">
        <v>31</v>
      </c>
      <c r="C26" s="21" t="s">
        <v>32</v>
      </c>
      <c r="D26" s="29" t="s">
        <v>33</v>
      </c>
      <c r="E26" s="30" t="s">
        <v>27</v>
      </c>
      <c r="F26" s="31">
        <v>1000000</v>
      </c>
      <c r="G26" s="32">
        <v>1006.28</v>
      </c>
      <c r="H26" s="32">
        <v>7.01</v>
      </c>
      <c r="I26" s="33">
        <v>7.2945929999999999</v>
      </c>
      <c r="J26" s="33"/>
      <c r="K26" s="34"/>
    </row>
    <row r="27" spans="1:11">
      <c r="B27" s="1" t="s">
        <v>34</v>
      </c>
      <c r="C27" s="21" t="s">
        <v>35</v>
      </c>
      <c r="D27" s="29" t="s">
        <v>36</v>
      </c>
      <c r="E27" s="30" t="s">
        <v>27</v>
      </c>
      <c r="F27" s="31">
        <v>1000000</v>
      </c>
      <c r="G27" s="32">
        <v>996.4</v>
      </c>
      <c r="H27" s="32">
        <v>6.94</v>
      </c>
      <c r="I27" s="33">
        <v>7.3050240999999998</v>
      </c>
      <c r="J27" s="33"/>
      <c r="K27" s="34"/>
    </row>
    <row r="28" spans="1:11">
      <c r="B28" s="1" t="s">
        <v>37</v>
      </c>
      <c r="C28" s="21" t="s">
        <v>38</v>
      </c>
      <c r="D28" s="29" t="s">
        <v>39</v>
      </c>
      <c r="E28" s="30" t="s">
        <v>27</v>
      </c>
      <c r="F28" s="31">
        <v>1000000</v>
      </c>
      <c r="G28" s="32">
        <v>996.18</v>
      </c>
      <c r="H28" s="32">
        <v>6.94</v>
      </c>
      <c r="I28" s="33">
        <v>7.2841676</v>
      </c>
      <c r="J28" s="33"/>
      <c r="K28" s="34"/>
    </row>
    <row r="29" spans="1:11">
      <c r="B29" s="1" t="s">
        <v>40</v>
      </c>
      <c r="C29" s="21" t="s">
        <v>41</v>
      </c>
      <c r="D29" s="29" t="s">
        <v>42</v>
      </c>
      <c r="E29" s="30" t="s">
        <v>27</v>
      </c>
      <c r="F29" s="31">
        <v>500000</v>
      </c>
      <c r="G29" s="32">
        <v>501.65</v>
      </c>
      <c r="H29" s="32">
        <v>3.5</v>
      </c>
      <c r="I29" s="33">
        <v>7.2594871000000003</v>
      </c>
      <c r="J29" s="33"/>
      <c r="K29" s="34"/>
    </row>
    <row r="30" spans="1:11">
      <c r="B30" s="1" t="s">
        <v>43</v>
      </c>
      <c r="C30" s="21" t="s">
        <v>44</v>
      </c>
      <c r="D30" s="29" t="s">
        <v>45</v>
      </c>
      <c r="E30" s="30" t="s">
        <v>27</v>
      </c>
      <c r="F30" s="31">
        <v>400000</v>
      </c>
      <c r="G30" s="32">
        <v>401.93</v>
      </c>
      <c r="H30" s="32">
        <v>2.8</v>
      </c>
      <c r="I30" s="33">
        <v>7.3146911000000001</v>
      </c>
      <c r="J30" s="33"/>
      <c r="K30" s="34"/>
    </row>
    <row r="31" spans="1:11">
      <c r="C31" s="28" t="s">
        <v>46</v>
      </c>
      <c r="D31" s="29"/>
      <c r="E31" s="30"/>
      <c r="F31" s="31"/>
      <c r="G31" s="38">
        <v>8719.3700000000008</v>
      </c>
      <c r="H31" s="38">
        <v>60.75</v>
      </c>
      <c r="I31" s="33"/>
      <c r="J31" s="33"/>
      <c r="K31" s="34"/>
    </row>
    <row r="32" spans="1:11">
      <c r="C32" s="21"/>
      <c r="D32" s="29"/>
      <c r="E32" s="30"/>
      <c r="F32" s="31"/>
      <c r="G32" s="32"/>
      <c r="H32" s="32"/>
      <c r="I32" s="33"/>
      <c r="J32" s="33"/>
      <c r="K32" s="34"/>
    </row>
    <row r="33" spans="2:11">
      <c r="C33" s="37" t="s">
        <v>47</v>
      </c>
      <c r="D33" s="29"/>
      <c r="E33" s="30"/>
      <c r="F33" s="31"/>
      <c r="G33" s="32"/>
      <c r="H33" s="32"/>
      <c r="I33" s="33"/>
      <c r="J33" s="33"/>
      <c r="K33" s="34"/>
    </row>
    <row r="34" spans="2:11">
      <c r="B34" s="1" t="s">
        <v>48</v>
      </c>
      <c r="C34" s="21" t="s">
        <v>49</v>
      </c>
      <c r="D34" s="29" t="s">
        <v>50</v>
      </c>
      <c r="E34" s="30" t="s">
        <v>27</v>
      </c>
      <c r="F34" s="31">
        <v>1300000</v>
      </c>
      <c r="G34" s="32">
        <v>1311.16</v>
      </c>
      <c r="H34" s="32">
        <v>9.14</v>
      </c>
      <c r="I34" s="33">
        <v>7.5563906999999997</v>
      </c>
      <c r="J34" s="33"/>
      <c r="K34" s="34"/>
    </row>
    <row r="35" spans="2:11">
      <c r="B35" s="1" t="s">
        <v>51</v>
      </c>
      <c r="C35" s="21" t="s">
        <v>52</v>
      </c>
      <c r="D35" s="29" t="s">
        <v>53</v>
      </c>
      <c r="E35" s="30" t="s">
        <v>27</v>
      </c>
      <c r="F35" s="31">
        <v>1000000</v>
      </c>
      <c r="G35" s="32">
        <v>988</v>
      </c>
      <c r="H35" s="32">
        <v>6.88</v>
      </c>
      <c r="I35" s="33">
        <v>7.5476925000000001</v>
      </c>
      <c r="J35" s="33"/>
      <c r="K35" s="34"/>
    </row>
    <row r="36" spans="2:11">
      <c r="B36" s="1" t="s">
        <v>54</v>
      </c>
      <c r="C36" s="21" t="s">
        <v>55</v>
      </c>
      <c r="D36" s="29" t="s">
        <v>56</v>
      </c>
      <c r="E36" s="30" t="s">
        <v>27</v>
      </c>
      <c r="F36" s="31">
        <v>1000000</v>
      </c>
      <c r="G36" s="32">
        <v>954.89</v>
      </c>
      <c r="H36" s="32">
        <v>6.65</v>
      </c>
      <c r="I36" s="33">
        <v>7.5381296000000004</v>
      </c>
      <c r="J36" s="33"/>
      <c r="K36" s="34"/>
    </row>
    <row r="37" spans="2:11">
      <c r="B37" s="1" t="s">
        <v>57</v>
      </c>
      <c r="C37" s="21" t="s">
        <v>58</v>
      </c>
      <c r="D37" s="29" t="s">
        <v>59</v>
      </c>
      <c r="E37" s="30" t="s">
        <v>27</v>
      </c>
      <c r="F37" s="31">
        <v>500000</v>
      </c>
      <c r="G37" s="32">
        <v>495.74</v>
      </c>
      <c r="H37" s="32">
        <v>3.45</v>
      </c>
      <c r="I37" s="33">
        <v>7.5473869999999996</v>
      </c>
      <c r="J37" s="33"/>
      <c r="K37" s="34"/>
    </row>
    <row r="38" spans="2:11">
      <c r="B38" s="1" t="s">
        <v>60</v>
      </c>
      <c r="C38" s="21" t="s">
        <v>61</v>
      </c>
      <c r="D38" s="29" t="s">
        <v>62</v>
      </c>
      <c r="E38" s="30" t="s">
        <v>27</v>
      </c>
      <c r="F38" s="31">
        <v>500</v>
      </c>
      <c r="G38" s="32">
        <v>0.52</v>
      </c>
      <c r="H38" s="32" t="s">
        <v>63</v>
      </c>
      <c r="I38" s="33">
        <v>7.5667907000000003</v>
      </c>
      <c r="J38" s="33"/>
      <c r="K38" s="34"/>
    </row>
    <row r="39" spans="2:11">
      <c r="B39" s="1" t="s">
        <v>64</v>
      </c>
      <c r="C39" s="21" t="s">
        <v>65</v>
      </c>
      <c r="D39" s="29" t="s">
        <v>66</v>
      </c>
      <c r="E39" s="30" t="s">
        <v>27</v>
      </c>
      <c r="F39" s="31">
        <v>300</v>
      </c>
      <c r="G39" s="32">
        <v>0.3</v>
      </c>
      <c r="H39" s="32" t="s">
        <v>63</v>
      </c>
      <c r="I39" s="33">
        <v>7.5248530999999996</v>
      </c>
      <c r="J39" s="33"/>
      <c r="K39" s="34"/>
    </row>
    <row r="40" spans="2:11">
      <c r="C40" s="28" t="s">
        <v>46</v>
      </c>
      <c r="D40" s="29"/>
      <c r="E40" s="30"/>
      <c r="F40" s="31"/>
      <c r="G40" s="38">
        <v>3750.61</v>
      </c>
      <c r="H40" s="38">
        <v>26.12</v>
      </c>
      <c r="I40" s="33"/>
      <c r="J40" s="33"/>
      <c r="K40" s="34"/>
    </row>
    <row r="41" spans="2:11">
      <c r="C41" s="21"/>
      <c r="D41" s="29"/>
      <c r="E41" s="30"/>
      <c r="F41" s="31"/>
      <c r="G41" s="32"/>
      <c r="H41" s="32"/>
      <c r="I41" s="33"/>
      <c r="J41" s="33"/>
      <c r="K41" s="34"/>
    </row>
    <row r="42" spans="2:11">
      <c r="C42" s="28" t="s">
        <v>67</v>
      </c>
      <c r="D42" s="29"/>
      <c r="E42" s="30"/>
      <c r="F42" s="31"/>
      <c r="G42" s="32"/>
      <c r="H42" s="32"/>
      <c r="I42" s="33"/>
      <c r="J42" s="33"/>
      <c r="K42" s="34"/>
    </row>
    <row r="43" spans="2:11">
      <c r="C43" s="21"/>
      <c r="D43" s="29"/>
      <c r="E43" s="30"/>
      <c r="F43" s="31"/>
      <c r="G43" s="32"/>
      <c r="H43" s="32"/>
      <c r="I43" s="33"/>
      <c r="J43" s="33"/>
      <c r="K43" s="34"/>
    </row>
    <row r="44" spans="2:11">
      <c r="C44" s="28" t="s">
        <v>68</v>
      </c>
      <c r="D44" s="29"/>
      <c r="E44" s="30"/>
      <c r="F44" s="31"/>
      <c r="G44" s="32" t="s">
        <v>16</v>
      </c>
      <c r="H44" s="32" t="s">
        <v>16</v>
      </c>
      <c r="I44" s="33"/>
      <c r="J44" s="33"/>
      <c r="K44" s="34"/>
    </row>
    <row r="45" spans="2:11">
      <c r="C45" s="21"/>
      <c r="D45" s="29"/>
      <c r="E45" s="30"/>
      <c r="F45" s="31"/>
      <c r="G45" s="32"/>
      <c r="H45" s="32"/>
      <c r="I45" s="33"/>
      <c r="J45" s="33"/>
      <c r="K45" s="34"/>
    </row>
    <row r="46" spans="2:11">
      <c r="C46" s="28" t="s">
        <v>69</v>
      </c>
      <c r="D46" s="29"/>
      <c r="E46" s="30"/>
      <c r="F46" s="31"/>
      <c r="G46" s="32" t="s">
        <v>16</v>
      </c>
      <c r="H46" s="32" t="s">
        <v>16</v>
      </c>
      <c r="I46" s="33"/>
      <c r="J46" s="33"/>
      <c r="K46" s="34"/>
    </row>
    <row r="47" spans="2:11">
      <c r="C47" s="21"/>
      <c r="D47" s="29"/>
      <c r="E47" s="30"/>
      <c r="F47" s="31"/>
      <c r="G47" s="32"/>
      <c r="H47" s="32"/>
      <c r="I47" s="33"/>
      <c r="J47" s="33"/>
      <c r="K47" s="34"/>
    </row>
    <row r="48" spans="2:11">
      <c r="C48" s="28" t="s">
        <v>70</v>
      </c>
      <c r="D48" s="29"/>
      <c r="E48" s="30"/>
      <c r="F48" s="31"/>
      <c r="G48" s="32" t="s">
        <v>16</v>
      </c>
      <c r="H48" s="32" t="s">
        <v>16</v>
      </c>
      <c r="I48" s="33"/>
      <c r="J48" s="33"/>
      <c r="K48" s="34"/>
    </row>
    <row r="49" spans="1:11">
      <c r="C49" s="21"/>
      <c r="D49" s="29"/>
      <c r="E49" s="30"/>
      <c r="F49" s="31"/>
      <c r="G49" s="32"/>
      <c r="H49" s="32"/>
      <c r="I49" s="33"/>
      <c r="J49" s="33"/>
      <c r="K49" s="34"/>
    </row>
    <row r="50" spans="1:11">
      <c r="C50" s="28" t="s">
        <v>71</v>
      </c>
      <c r="D50" s="29"/>
      <c r="E50" s="30"/>
      <c r="F50" s="31"/>
      <c r="G50" s="32" t="s">
        <v>16</v>
      </c>
      <c r="H50" s="32" t="s">
        <v>16</v>
      </c>
      <c r="I50" s="33"/>
      <c r="J50" s="33"/>
      <c r="K50" s="34"/>
    </row>
    <row r="51" spans="1:11">
      <c r="C51" s="21"/>
      <c r="D51" s="29"/>
      <c r="E51" s="30"/>
      <c r="F51" s="31"/>
      <c r="G51" s="32"/>
      <c r="H51" s="32"/>
      <c r="I51" s="33"/>
      <c r="J51" s="33"/>
      <c r="K51" s="34"/>
    </row>
    <row r="52" spans="1:11">
      <c r="A52" s="35"/>
      <c r="B52" s="36"/>
      <c r="C52" s="28" t="s">
        <v>72</v>
      </c>
      <c r="D52" s="29"/>
      <c r="E52" s="30"/>
      <c r="F52" s="31"/>
      <c r="G52" s="32"/>
      <c r="H52" s="32"/>
      <c r="I52" s="33"/>
      <c r="J52" s="33"/>
      <c r="K52" s="34"/>
    </row>
    <row r="53" spans="1:11">
      <c r="A53" s="36"/>
      <c r="B53" s="36"/>
      <c r="C53" s="28" t="s">
        <v>73</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74</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75</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76</v>
      </c>
      <c r="D59" s="29"/>
      <c r="E59" s="30"/>
      <c r="F59" s="31"/>
      <c r="G59" s="32" t="s">
        <v>16</v>
      </c>
      <c r="H59" s="32" t="s">
        <v>16</v>
      </c>
      <c r="I59" s="33"/>
      <c r="J59" s="33"/>
      <c r="K59" s="34"/>
    </row>
    <row r="60" spans="1:11">
      <c r="A60" s="36"/>
      <c r="B60" s="36"/>
      <c r="C60" s="28"/>
      <c r="D60" s="29"/>
      <c r="E60" s="30"/>
      <c r="F60" s="31"/>
      <c r="G60" s="32"/>
      <c r="H60" s="32"/>
      <c r="I60" s="33"/>
      <c r="J60" s="33"/>
      <c r="K60" s="34"/>
    </row>
    <row r="61" spans="1:11">
      <c r="C61" s="37" t="s">
        <v>77</v>
      </c>
      <c r="D61" s="29"/>
      <c r="E61" s="30"/>
      <c r="F61" s="31"/>
      <c r="G61" s="32"/>
      <c r="H61" s="32"/>
      <c r="I61" s="33"/>
      <c r="J61" s="33"/>
      <c r="K61" s="34"/>
    </row>
    <row r="62" spans="1:11">
      <c r="B62" s="1" t="s">
        <v>78</v>
      </c>
      <c r="C62" s="21" t="s">
        <v>79</v>
      </c>
      <c r="D62" s="29"/>
      <c r="E62" s="30"/>
      <c r="F62" s="31"/>
      <c r="G62" s="32">
        <v>2658.34</v>
      </c>
      <c r="H62" s="32">
        <v>18.52</v>
      </c>
      <c r="I62" s="33">
        <v>6.63</v>
      </c>
      <c r="J62" s="33"/>
      <c r="K62" s="34"/>
    </row>
    <row r="63" spans="1:11">
      <c r="C63" s="28" t="s">
        <v>46</v>
      </c>
      <c r="D63" s="29"/>
      <c r="E63" s="30"/>
      <c r="F63" s="31"/>
      <c r="G63" s="38">
        <v>2658.34</v>
      </c>
      <c r="H63" s="38">
        <v>18.52</v>
      </c>
      <c r="I63" s="33"/>
      <c r="J63" s="33"/>
      <c r="K63" s="34"/>
    </row>
    <row r="64" spans="1:11">
      <c r="C64" s="21"/>
      <c r="D64" s="29"/>
      <c r="E64" s="30"/>
      <c r="F64" s="31"/>
      <c r="G64" s="32"/>
      <c r="H64" s="32"/>
      <c r="I64" s="33"/>
      <c r="J64" s="33"/>
      <c r="K64" s="34"/>
    </row>
    <row r="65" spans="1:11">
      <c r="A65" s="35"/>
      <c r="B65" s="36"/>
      <c r="C65" s="28" t="s">
        <v>80</v>
      </c>
      <c r="D65" s="29"/>
      <c r="E65" s="30"/>
      <c r="F65" s="31"/>
      <c r="G65" s="32"/>
      <c r="H65" s="32"/>
      <c r="I65" s="33"/>
      <c r="J65" s="33"/>
      <c r="K65" s="34"/>
    </row>
    <row r="66" spans="1:11">
      <c r="B66" s="1"/>
      <c r="C66" s="21" t="s">
        <v>81</v>
      </c>
      <c r="D66" s="29"/>
      <c r="E66" s="30"/>
      <c r="F66" s="31"/>
      <c r="G66" s="32">
        <v>-777.47</v>
      </c>
      <c r="H66" s="32">
        <v>-5.39</v>
      </c>
      <c r="I66" s="33"/>
      <c r="J66" s="33"/>
      <c r="K66" s="34"/>
    </row>
    <row r="67" spans="1:11">
      <c r="C67" s="28" t="s">
        <v>46</v>
      </c>
      <c r="D67" s="29"/>
      <c r="E67" s="30"/>
      <c r="F67" s="31"/>
      <c r="G67" s="38">
        <v>-777.47</v>
      </c>
      <c r="H67" s="38">
        <v>-5.39</v>
      </c>
      <c r="I67" s="33"/>
      <c r="J67" s="33"/>
      <c r="K67" s="34"/>
    </row>
    <row r="68" spans="1:11">
      <c r="C68" s="21"/>
      <c r="D68" s="29"/>
      <c r="E68" s="30"/>
      <c r="F68" s="31"/>
      <c r="G68" s="32"/>
      <c r="H68" s="32"/>
      <c r="I68" s="33"/>
      <c r="J68" s="33"/>
      <c r="K68" s="34"/>
    </row>
    <row r="69" spans="1:11" ht="14.4" thickBot="1">
      <c r="C69" s="39" t="s">
        <v>82</v>
      </c>
      <c r="D69" s="40"/>
      <c r="E69" s="41"/>
      <c r="F69" s="42"/>
      <c r="G69" s="43">
        <v>14350.85</v>
      </c>
      <c r="H69" s="43">
        <f>SUMIFS(H:H,C:C,"Total")</f>
        <v>100</v>
      </c>
      <c r="I69" s="44"/>
      <c r="J69" s="44"/>
      <c r="K69" s="45"/>
    </row>
    <row r="72" spans="1:11">
      <c r="C72" s="11" t="s">
        <v>83</v>
      </c>
    </row>
    <row r="73" spans="1:11">
      <c r="C73" s="2" t="s">
        <v>84</v>
      </c>
    </row>
    <row r="74" spans="1:11">
      <c r="C74" s="46" t="s">
        <v>85</v>
      </c>
    </row>
    <row r="75" spans="1:11">
      <c r="C75" s="2" t="s">
        <v>86</v>
      </c>
    </row>
    <row r="76" spans="1:11">
      <c r="C76" s="2" t="s">
        <v>87</v>
      </c>
    </row>
    <row r="77" spans="1:11">
      <c r="C77" s="2" t="s">
        <v>88</v>
      </c>
      <c r="D77" s="47"/>
      <c r="E77" s="47"/>
      <c r="F77" s="47"/>
      <c r="G77" s="48"/>
      <c r="H77" s="48"/>
    </row>
    <row r="78" spans="1:11">
      <c r="C78" s="2" t="s">
        <v>89</v>
      </c>
    </row>
    <row r="79" spans="1:11">
      <c r="C79" s="2" t="s">
        <v>90</v>
      </c>
    </row>
    <row r="80" spans="1:11">
      <c r="C80" s="2" t="s">
        <v>91</v>
      </c>
    </row>
    <row r="81" spans="3:55">
      <c r="C81" s="2" t="s">
        <v>92</v>
      </c>
    </row>
    <row r="82" spans="3:55" s="11" customFormat="1">
      <c r="C82" s="11" t="s">
        <v>93</v>
      </c>
      <c r="E82" s="11" t="s">
        <v>94</v>
      </c>
      <c r="F82" s="49" t="s">
        <v>95</v>
      </c>
      <c r="G82" s="50"/>
      <c r="H82" s="50"/>
      <c r="I82" s="50"/>
      <c r="J82" s="50"/>
      <c r="K82" s="51"/>
      <c r="L82" s="51"/>
      <c r="M82" s="51"/>
      <c r="AJ82" s="51"/>
      <c r="AW82" s="51"/>
      <c r="AY82" s="51"/>
      <c r="BC82" s="51"/>
    </row>
    <row r="83" spans="3:55">
      <c r="C83" s="2" t="s">
        <v>96</v>
      </c>
      <c r="E83" s="52">
        <v>10.090400000000001</v>
      </c>
      <c r="F83" s="53">
        <v>10.114800000000001</v>
      </c>
    </row>
    <row r="84" spans="3:55">
      <c r="C84" s="2" t="s">
        <v>97</v>
      </c>
      <c r="E84" s="52">
        <v>39.673000000000002</v>
      </c>
      <c r="F84" s="53">
        <v>39.838200000000001</v>
      </c>
    </row>
    <row r="85" spans="3:55">
      <c r="C85" s="2" t="s">
        <v>98</v>
      </c>
      <c r="E85" s="52">
        <v>10.3414</v>
      </c>
      <c r="F85" s="53">
        <v>10.384399999999999</v>
      </c>
    </row>
    <row r="86" spans="3:55">
      <c r="C86" s="2" t="s">
        <v>99</v>
      </c>
      <c r="E86" s="52">
        <v>10.2339</v>
      </c>
      <c r="F86" s="53">
        <v>10.2264</v>
      </c>
    </row>
    <row r="87" spans="3:55">
      <c r="C87" s="2" t="s">
        <v>100</v>
      </c>
      <c r="E87" s="52">
        <v>10.275700000000001</v>
      </c>
      <c r="F87" s="53">
        <v>10.3185</v>
      </c>
    </row>
    <row r="88" spans="3:55">
      <c r="C88" s="2" t="s">
        <v>101</v>
      </c>
      <c r="E88" s="52">
        <v>10.0586</v>
      </c>
      <c r="F88" s="53">
        <v>10.087199999999999</v>
      </c>
    </row>
    <row r="89" spans="3:55">
      <c r="C89" s="2" t="s">
        <v>102</v>
      </c>
      <c r="E89" s="52">
        <v>27.941199999999998</v>
      </c>
      <c r="F89" s="53">
        <v>28.054600000000001</v>
      </c>
    </row>
    <row r="90" spans="3:55">
      <c r="C90" s="2" t="s">
        <v>103</v>
      </c>
      <c r="E90" s="52">
        <v>10.091900000000001</v>
      </c>
      <c r="F90" s="53">
        <v>10.114800000000001</v>
      </c>
    </row>
    <row r="91" spans="3:55">
      <c r="C91" s="2" t="s">
        <v>104</v>
      </c>
      <c r="E91" s="52">
        <v>43.376800000000003</v>
      </c>
      <c r="F91" s="53">
        <v>43.588900000000002</v>
      </c>
    </row>
    <row r="92" spans="3:55">
      <c r="C92" s="2" t="s">
        <v>105</v>
      </c>
      <c r="E92" s="52">
        <v>10.4377</v>
      </c>
      <c r="F92" s="53">
        <v>10.438700000000001</v>
      </c>
    </row>
    <row r="93" spans="3:55">
      <c r="C93" s="2" t="s">
        <v>106</v>
      </c>
      <c r="E93" s="52">
        <v>10.5061</v>
      </c>
      <c r="F93" s="53">
        <v>10.5578</v>
      </c>
    </row>
    <row r="94" spans="3:55">
      <c r="C94" s="2" t="s">
        <v>107</v>
      </c>
      <c r="E94" s="52">
        <v>10.062099999999999</v>
      </c>
      <c r="F94" s="53">
        <v>10.0878</v>
      </c>
    </row>
    <row r="95" spans="3:55">
      <c r="C95" s="2" t="s">
        <v>108</v>
      </c>
      <c r="E95" s="54">
        <v>10</v>
      </c>
      <c r="F95" s="55">
        <v>10</v>
      </c>
    </row>
    <row r="97" spans="3:6">
      <c r="C97" s="2" t="s">
        <v>109</v>
      </c>
      <c r="E97" s="11" t="s">
        <v>110</v>
      </c>
      <c r="F97" s="49" t="s">
        <v>111</v>
      </c>
    </row>
    <row r="98" spans="3:6">
      <c r="C98" s="2" t="s">
        <v>96</v>
      </c>
      <c r="E98" s="52">
        <v>1.7581699999999999E-2</v>
      </c>
      <c r="F98" s="53">
        <v>1.7581699999999999E-2</v>
      </c>
    </row>
    <row r="99" spans="3:6">
      <c r="C99" s="2" t="s">
        <v>99</v>
      </c>
      <c r="E99" s="52">
        <v>0.05</v>
      </c>
      <c r="F99" s="53">
        <v>0.05</v>
      </c>
    </row>
    <row r="100" spans="3:6">
      <c r="C100" s="2" t="s">
        <v>101</v>
      </c>
      <c r="E100" s="52">
        <v>1.3304140000000001E-2</v>
      </c>
      <c r="F100" s="53">
        <v>1.3304140000000001E-2</v>
      </c>
    </row>
    <row r="101" spans="3:6">
      <c r="C101" s="2" t="s">
        <v>103</v>
      </c>
      <c r="E101" s="52">
        <v>2.6463810000000001E-2</v>
      </c>
      <c r="F101" s="53">
        <v>2.6463810000000001E-2</v>
      </c>
    </row>
    <row r="102" spans="3:6">
      <c r="C102" s="2" t="s">
        <v>105</v>
      </c>
      <c r="E102" s="52">
        <v>0.05</v>
      </c>
      <c r="F102" s="53">
        <v>0.05</v>
      </c>
    </row>
    <row r="103" spans="3:6">
      <c r="C103" s="2" t="s">
        <v>107</v>
      </c>
      <c r="E103" s="52">
        <v>2.3594549999999999E-2</v>
      </c>
      <c r="F103" s="53">
        <v>2.3594549999999999E-2</v>
      </c>
    </row>
    <row r="105" spans="3:6">
      <c r="C105" s="2" t="s">
        <v>112</v>
      </c>
    </row>
    <row r="106" spans="3:6">
      <c r="C106" s="2" t="s">
        <v>113</v>
      </c>
    </row>
    <row r="107" spans="3:6">
      <c r="C107" s="2" t="s">
        <v>114</v>
      </c>
    </row>
    <row r="108" spans="3:6">
      <c r="C108" s="2" t="s">
        <v>115</v>
      </c>
    </row>
    <row r="109" spans="3:6">
      <c r="C109" s="2" t="s">
        <v>116</v>
      </c>
    </row>
    <row r="110" spans="3:6">
      <c r="C110" s="2" t="s">
        <v>117</v>
      </c>
    </row>
    <row r="111" spans="3:6">
      <c r="C111" s="2" t="s">
        <v>118</v>
      </c>
    </row>
    <row r="112" spans="3:6">
      <c r="C112" s="2" t="s">
        <v>119</v>
      </c>
    </row>
    <row r="113" spans="3:11">
      <c r="C113" s="2" t="s">
        <v>120</v>
      </c>
    </row>
    <row r="114" spans="3:11">
      <c r="C114" s="2" t="s">
        <v>121</v>
      </c>
    </row>
    <row r="115" spans="3:11">
      <c r="C115" s="2" t="s">
        <v>122</v>
      </c>
    </row>
    <row r="116" spans="3:11">
      <c r="C116" s="2" t="s">
        <v>123</v>
      </c>
    </row>
    <row r="117" spans="3:11">
      <c r="C117" s="2" t="s">
        <v>124</v>
      </c>
    </row>
    <row r="118" spans="3:11">
      <c r="C118" s="2" t="s">
        <v>125</v>
      </c>
    </row>
    <row r="119" spans="3:11" ht="14.4">
      <c r="C119" s="56"/>
      <c r="D119" s="56"/>
      <c r="E119" s="56"/>
      <c r="F119" s="56"/>
      <c r="G119" s="56"/>
      <c r="H119" s="56"/>
      <c r="I119" s="56"/>
      <c r="J119" s="56"/>
      <c r="K119" s="56"/>
    </row>
    <row r="138" spans="3:6" ht="14.4" thickBot="1"/>
    <row r="139" spans="3:6" ht="14.4" thickBot="1">
      <c r="C139" s="67" t="s">
        <v>126</v>
      </c>
      <c r="D139" s="68"/>
      <c r="E139" s="68"/>
      <c r="F139" s="69"/>
    </row>
    <row r="140" spans="3:6" ht="14.4" thickBot="1">
      <c r="C140" s="57" t="s">
        <v>127</v>
      </c>
      <c r="D140" s="70" t="s">
        <v>128</v>
      </c>
      <c r="E140" s="70" t="s">
        <v>129</v>
      </c>
      <c r="F140" s="70" t="s">
        <v>130</v>
      </c>
    </row>
    <row r="141" spans="3:6" ht="14.4" thickBot="1">
      <c r="C141" s="57" t="s">
        <v>131</v>
      </c>
      <c r="D141" s="71"/>
      <c r="E141" s="71"/>
      <c r="F141" s="71"/>
    </row>
    <row r="142" spans="3:6" ht="14.4" thickBot="1">
      <c r="C142" s="58" t="s">
        <v>132</v>
      </c>
      <c r="D142" s="59"/>
      <c r="E142" s="59"/>
      <c r="F142" s="59"/>
    </row>
    <row r="143" spans="3:6">
      <c r="C143" s="60" t="s">
        <v>133</v>
      </c>
      <c r="D143" s="63"/>
      <c r="E143" s="63"/>
      <c r="F143" s="63"/>
    </row>
    <row r="144" spans="3:6" ht="14.4" thickBot="1">
      <c r="C144" s="58" t="s">
        <v>134</v>
      </c>
      <c r="D144" s="64"/>
      <c r="E144" s="64"/>
      <c r="F144" s="64"/>
    </row>
    <row r="145" spans="3:6">
      <c r="C145" s="60" t="s">
        <v>135</v>
      </c>
      <c r="D145" s="63"/>
      <c r="E145" s="65" t="s">
        <v>136</v>
      </c>
      <c r="F145" s="63"/>
    </row>
    <row r="146" spans="3:6" ht="14.4" thickBot="1">
      <c r="C146" s="58" t="s">
        <v>137</v>
      </c>
      <c r="D146" s="64"/>
      <c r="E146" s="66"/>
      <c r="F146" s="64"/>
    </row>
    <row r="147" spans="3:6">
      <c r="C147" s="61" t="s">
        <v>138</v>
      </c>
      <c r="D147" s="62"/>
      <c r="E147" s="62"/>
      <c r="F147" s="62"/>
    </row>
    <row r="148" spans="3:6">
      <c r="C148" s="2" t="s">
        <v>139</v>
      </c>
      <c r="D148" s="62"/>
      <c r="E148" s="62"/>
      <c r="F148" s="62"/>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2023-09-06T09:47:12Z</dcterms:created>
  <dcterms:modified xsi:type="dcterms:W3CDTF">2023-09-07T07:59:36Z</dcterms:modified>
</cp:coreProperties>
</file>