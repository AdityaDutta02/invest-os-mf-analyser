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3?">'Monthly Portfolio'!$C$16:$C$19</definedName>
    <definedName name="XDO_?FINAL_ISIN?100?">'Monthly Portfolio'!$D$18:$D$19</definedName>
    <definedName name="XDO_?FINAL_ISIN?101?">'Monthly Portfolio'!$D$18:$D$27</definedName>
    <definedName name="XDO_?FINAL_ISIN?102?">'Monthly Portfolio'!$D$18:$D$31</definedName>
    <definedName name="XDO_?FINAL_ISIN?103?">'Monthly Portfolio'!$D$18:$D$39</definedName>
    <definedName name="XDO_?FINAL_ISIN?104?">'Monthly Portfolio'!$D$18:$D$54</definedName>
    <definedName name="XDO_?FINAL_ISIN?105?">'Monthly Portfolio'!$D$18:$D$71</definedName>
    <definedName name="XDO_?FINAL_ISIN?106?">'Monthly Portfolio'!$D$18:$D$75</definedName>
    <definedName name="XDO_?FINAL_MV?100?">'Monthly Portfolio'!$G$18:$G$19</definedName>
    <definedName name="XDO_?FINAL_MV?101?">'Monthly Portfolio'!$G$18:$G$27</definedName>
    <definedName name="XDO_?FINAL_MV?102?">'Monthly Portfolio'!$G$18:$G$31</definedName>
    <definedName name="XDO_?FINAL_MV?103?">'Monthly Portfolio'!$G$18:$G$39</definedName>
    <definedName name="XDO_?FINAL_MV?104?">'Monthly Portfolio'!$G$18:$G$54</definedName>
    <definedName name="XDO_?FINAL_MV?105?">'Monthly Portfolio'!$G$18:$G$71</definedName>
    <definedName name="XDO_?FINAL_MV?106?">'Monthly Portfolio'!$G$18:$G$75</definedName>
    <definedName name="XDO_?FINAL_NAME?100?">'Monthly Portfolio'!$C$18:$C$19</definedName>
    <definedName name="XDO_?FINAL_NAME?101?">'Monthly Portfolio'!$C$18:$C$27</definedName>
    <definedName name="XDO_?FINAL_NAME?102?">'Monthly Portfolio'!$C$18:$C$31</definedName>
    <definedName name="XDO_?FINAL_NAME?103?">'Monthly Portfolio'!$C$18:$C$39</definedName>
    <definedName name="XDO_?FINAL_NAME?104?">'Monthly Portfolio'!$C$18:$C$54</definedName>
    <definedName name="XDO_?FINAL_NAME?105?">'Monthly Portfolio'!$C$18:$C$71</definedName>
    <definedName name="XDO_?FINAL_NAME?106?">'Monthly Portfolio'!$C$18:$C$75</definedName>
    <definedName name="XDO_?FINAL_PER_NET?100?">'Monthly Portfolio'!$H$18:$H$19</definedName>
    <definedName name="XDO_?FINAL_PER_NET?101?">'Monthly Portfolio'!$H$18:$H$27</definedName>
    <definedName name="XDO_?FINAL_PER_NET?102?">'Monthly Portfolio'!$H$18:$H$31</definedName>
    <definedName name="XDO_?FINAL_PER_NET?103?">'Monthly Portfolio'!$H$18:$H$39</definedName>
    <definedName name="XDO_?FINAL_PER_NET?104?">'Monthly Portfolio'!$H$18:$H$54</definedName>
    <definedName name="XDO_?FINAL_PER_NET?105?">'Monthly Portfolio'!$H$18:$H$71</definedName>
    <definedName name="XDO_?FINAL_PER_NET?106?">'Monthly Portfolio'!$H$18:$H$75</definedName>
    <definedName name="XDO_?FINAL_QUANTITE?100?">'Monthly Portfolio'!$F$18:$F$19</definedName>
    <definedName name="XDO_?FINAL_QUANTITE?101?">'Monthly Portfolio'!$F$18:$F$27</definedName>
    <definedName name="XDO_?FINAL_QUANTITE?102?">'Monthly Portfolio'!$F$18:$F$31</definedName>
    <definedName name="XDO_?FINAL_QUANTITE?103?">'Monthly Portfolio'!$F$18:$F$39</definedName>
    <definedName name="XDO_?FINAL_QUANTITE?104?">'Monthly Portfolio'!$F$18:$F$54</definedName>
    <definedName name="XDO_?FINAL_QUANTITE?105?">'Monthly Portfolio'!$F$18:$F$71</definedName>
    <definedName name="XDO_?FINAL_QUANTITE?106?">'Monthly Portfolio'!$F$18:$F$75</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'Monthly Portfolio'!#REF!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3?">'Monthly Portfolio'!$C$2:$C$19</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'Monthly Portfolio'!#REF!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'Monthly Portfolio'!#REF!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00?">'Monthly Portfolio'!$B$18:$B$19</definedName>
    <definedName name="XDO_?NOVAL?101?">'Monthly Portfolio'!$B$18:$B$27</definedName>
    <definedName name="XDO_?NOVAL?102?">'Monthly Portfolio'!$B$18:$B$31</definedName>
    <definedName name="XDO_?NOVAL?103?">'Monthly Portfolio'!$B$18:$B$39</definedName>
    <definedName name="XDO_?NOVAL?104?">'Monthly Portfolio'!$B$18:$B$54</definedName>
    <definedName name="XDO_?NOVAL?105?">'Monthly Portfolio'!$B$18:$B$71</definedName>
    <definedName name="XDO_?NOVAL?106?">'Monthly Portfolio'!$B$18:$B$75</definedName>
    <definedName name="XDO_?NPTF?23?">'Monthly Portfolio'!$D$2:$D$19</definedName>
    <definedName name="XDO_?RATING?100?">'Monthly Portfolio'!$E$18:$E$19</definedName>
    <definedName name="XDO_?RATING?101?">'Monthly Portfolio'!$E$18:$E$27</definedName>
    <definedName name="XDO_?RATING?102?">'Monthly Portfolio'!$E$18:$E$31</definedName>
    <definedName name="XDO_?RATING?103?">'Monthly Portfolio'!$E$18:$E$39</definedName>
    <definedName name="XDO_?RATING?104?">'Monthly Portfolio'!$E$18:$E$54</definedName>
    <definedName name="XDO_?RATING?105?">'Monthly Portfolio'!$E$18:$E$71</definedName>
    <definedName name="XDO_?RATING?106?">'Monthly Portfolio'!$E$18:$E$75</definedName>
    <definedName name="XDO_?REMARKS?100?">'Monthly Portfolio'!$K$18:$K$19</definedName>
    <definedName name="XDO_?REMARKS?101?">'Monthly Portfolio'!$K$18:$K$27</definedName>
    <definedName name="XDO_?REMARKS?102?">'Monthly Portfolio'!$K$18:$K$31</definedName>
    <definedName name="XDO_?REMARKS?103?">'Monthly Portfolio'!$K$18:$K$39</definedName>
    <definedName name="XDO_?REMARKS?104?">'Monthly Portfolio'!$K$18:$K$54</definedName>
    <definedName name="XDO_?REMARKS?105?">'Monthly Portfolio'!$K$18:$K$71</definedName>
    <definedName name="XDO_?REMARKS?106?">'Monthly Portfolio'!$K$18:$K$75</definedName>
    <definedName name="XDO_?TITL?23?">'Monthly Portfolio'!$A$16:$A$19</definedName>
    <definedName name="XDO_?YTM?100?">'Monthly Portfolio'!$I$18:$I$19</definedName>
    <definedName name="XDO_?YTM?101?">'Monthly Portfolio'!$I$18:$I$27</definedName>
    <definedName name="XDO_?YTM?102?">'Monthly Portfolio'!$I$18:$I$31</definedName>
    <definedName name="XDO_?YTM?103?">'Monthly Portfolio'!$I$18:$I$39</definedName>
    <definedName name="XDO_?YTM?104?">'Monthly Portfolio'!$I$18:$I$54</definedName>
    <definedName name="XDO_?YTM?105?">'Monthly Portfolio'!$I$18:$I$71</definedName>
    <definedName name="XDO_?YTM?106?">'Monthly Portfolio'!$I$18:$I$75</definedName>
    <definedName name="XDO_GROUP_?G_2?23?">'Monthly Portfolio'!$2:$53</definedName>
    <definedName name="XDO_GROUP_?G_3?23?">'Monthly Portfolio'!$8:$52</definedName>
    <definedName name="XDO_GROUP_?G_4?100?">'Monthly Portfolio'!$B$10:$IV$11</definedName>
    <definedName name="XDO_GROUP_?G_4?101?">'Monthly Portfolio'!$B$15:$IV$15</definedName>
    <definedName name="XDO_GROUP_?G_4?102?">'Monthly Portfolio'!$B$17:$IV$17</definedName>
    <definedName name="XDO_GROUP_?G_4?103?">'Monthly Portfolio'!$B$22:$IV$25</definedName>
    <definedName name="XDO_GROUP_?G_4?104?">'Monthly Portfolio'!$B$29:$IV$40</definedName>
    <definedName name="XDO_GROUP_?G_4?105?">'Monthly Portfolio'!$B$45:$IV$45</definedName>
    <definedName name="XDO_GROUP_?G_4?106?">'Monthly Portfolio'!$B$50:$IV$50</definedName>
    <definedName name="XDO_GROUP_?G_4?117?">[1]ON!#REF!</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9" i="2"/>
  <c r="H78" i="1"/>
</calcChain>
</file>

<file path=xl/sharedStrings.xml><?xml version="1.0" encoding="utf-8"?>
<sst xmlns="http://schemas.openxmlformats.org/spreadsheetml/2006/main" count="436" uniqueCount="170">
  <si>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</si>
  <si>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</si>
  <si>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</si>
  <si>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</si>
  <si>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</si>
  <si>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</si>
  <si>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</si>
  <si>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</si>
  <si>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</si>
  <si>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</si>
  <si>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</si>
  <si>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</si>
  <si>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</si>
  <si>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</si>
  <si>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</si>
  <si>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</si>
  <si>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</si>
  <si>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</si>
  <si>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</si>
  <si>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</si>
  <si>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</si>
  <si>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703776</t>
  </si>
  <si>
    <t>7.00% Shriram Finance Ltd. 21-Feb-2024</t>
  </si>
  <si>
    <t>INE721A07QS8</t>
  </si>
  <si>
    <t>CRISIL AA+</t>
  </si>
  <si>
    <t>N**</t>
  </si>
  <si>
    <t>703630</t>
  </si>
  <si>
    <t>8.50% Piramal Capital &amp; Housing Finance Ltd. 31-Jul-2023</t>
  </si>
  <si>
    <t>INE516Y07188</t>
  </si>
  <si>
    <t>[ICRA]AA</t>
  </si>
  <si>
    <t>Total</t>
  </si>
  <si>
    <t>b) Privately Placed/Unlisted</t>
  </si>
  <si>
    <t>c) Securitised Debt Instruments</t>
  </si>
  <si>
    <t>d) Central Government Securities</t>
  </si>
  <si>
    <t>900154</t>
  </si>
  <si>
    <t>8.51% Government of India 22-Sep-2033</t>
  </si>
  <si>
    <t>IN0020200120</t>
  </si>
  <si>
    <t>Sovereign</t>
  </si>
  <si>
    <t>e) State Government Securities</t>
  </si>
  <si>
    <t>1900490</t>
  </si>
  <si>
    <t>9.37% State Government of Gujarat 04-Dec-2023</t>
  </si>
  <si>
    <t>IN1520130130</t>
  </si>
  <si>
    <t>MONEY MARKET INSTRUMENTS</t>
  </si>
  <si>
    <t>a) Commercial Paper</t>
  </si>
  <si>
    <t>1008660</t>
  </si>
  <si>
    <t>LIC Housing Finance Ltd. 12-Dec-2023</t>
  </si>
  <si>
    <t>INE115A14EB1</t>
  </si>
  <si>
    <t>CRISIL A1+</t>
  </si>
  <si>
    <t>1008570</t>
  </si>
  <si>
    <t>Housing Development Finance Corporation Ltd. 25-Jul-2023</t>
  </si>
  <si>
    <t>INE001A14ZE2</t>
  </si>
  <si>
    <t>1008735</t>
  </si>
  <si>
    <t>Tata Capital Financial Services Ltd. 20-Feb-2024</t>
  </si>
  <si>
    <t>INE306N14VR9</t>
  </si>
  <si>
    <t>1008641</t>
  </si>
  <si>
    <t>Kotak Mahindra Investments Ltd. 24-Jul-2023</t>
  </si>
  <si>
    <t>INE975F14XW3</t>
  </si>
  <si>
    <t>b) Certificate of Deposits</t>
  </si>
  <si>
    <t>1102042</t>
  </si>
  <si>
    <t>State Bank of India 12-Sep-2023</t>
  </si>
  <si>
    <t>INE062A16465</t>
  </si>
  <si>
    <t>IND A1+</t>
  </si>
  <si>
    <t>1102031</t>
  </si>
  <si>
    <t>Canara Bank 23-Aug-2023</t>
  </si>
  <si>
    <t>INE476A16TW6</t>
  </si>
  <si>
    <t>1102044</t>
  </si>
  <si>
    <t>Small Industries Development Bank of India 29-Aug-2023</t>
  </si>
  <si>
    <t>INE556F16986</t>
  </si>
  <si>
    <t>1102092</t>
  </si>
  <si>
    <t>ICICI Bank Ltd. 29-Sep-2023</t>
  </si>
  <si>
    <t>INE090A162Y1</t>
  </si>
  <si>
    <t>[ICRA]A1+</t>
  </si>
  <si>
    <t>1102049</t>
  </si>
  <si>
    <t>Kotak Mahindra Bank Ltd. 18-Aug-2023</t>
  </si>
  <si>
    <t>INE237A160Q5</t>
  </si>
  <si>
    <t>1102216</t>
  </si>
  <si>
    <t>IndusInd Bank Ltd. 09-Oct-2023</t>
  </si>
  <si>
    <t>INE095A16Q84</t>
  </si>
  <si>
    <t>1102018</t>
  </si>
  <si>
    <t>Export-Import Bank of India 17-Aug-2023</t>
  </si>
  <si>
    <t>INE514E16CC4</t>
  </si>
  <si>
    <t>1102117</t>
  </si>
  <si>
    <t>Axis Bank Ltd. 06-Dec-2023</t>
  </si>
  <si>
    <t>INE238AD6215</t>
  </si>
  <si>
    <t>1102228</t>
  </si>
  <si>
    <t>HDFC Bank Ltd. 20-Mar-2024</t>
  </si>
  <si>
    <t>INE040A16DU8</t>
  </si>
  <si>
    <t>1102211</t>
  </si>
  <si>
    <t>Indian Bank 05-Mar-2024</t>
  </si>
  <si>
    <t>INE562A16LN9</t>
  </si>
  <si>
    <t>1102214</t>
  </si>
  <si>
    <t>National Bank for Agriculture and Rural Development 08-Mar-2024</t>
  </si>
  <si>
    <t>INE261F16702</t>
  </si>
  <si>
    <t>1102142</t>
  </si>
  <si>
    <t>Canara Bank 04-Dec-2023</t>
  </si>
  <si>
    <t>INE476A16UN3</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</si>
  <si>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</si>
  <si>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</si>
  <si>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</si>
  <si>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</si>
  <si>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</si>
  <si>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</si>
  <si>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</si>
  <si>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</si>
  <si>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</si>
  <si>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</si>
  <si>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</si>
  <si>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</si>
  <si>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</si>
  <si>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</si>
  <si>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</si>
  <si>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</si>
  <si>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</si>
  <si>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</si>
  <si>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</si>
  <si>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</si>
  <si>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</si>
  <si>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</si>
  <si>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</si>
  <si>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</si>
  <si>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</si>
  <si>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</si>
  <si>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</si>
  <si>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</si>
  <si>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</si>
  <si>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</si>
  <si>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</si>
  <si>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</si>
  <si>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</si>
  <si>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</si>
  <si>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</si>
  <si>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</si>
  <si>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</si>
  <si>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296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</si>
  <si>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</si>
  <si>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</si>
  <si>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</si>
  <si>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</si>
  <si>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</si>
  <si>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</si>
  <si>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</si>
  <si>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</si>
  <si>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</si>
  <si>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180 days.</t>
  </si>
  <si>
    <t>(18) Annualised Portfolio YTM has been 7.2538.</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</si>
  <si>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</si>
  <si>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</si>
  <si>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</si>
  <si>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</si>
  <si>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</si>
  <si>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</si>
  <si>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</si>
  <si>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</si>
  <si>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</si>
  <si>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</si>
  <si>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</si>
  <si>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</si>
  <si>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</si>
  <si>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</si>
  <si>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</si>
  <si>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ULTRA SHORT DURATION FUND 
(An open-ended ultra short term debt scheme investing in instruments such that the Macaulay duration † of the portfolio is between 3 months and 6 months.A Relatively Low Interest Rate Risk and Moderate Credit Risk)</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</si>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</sst>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4"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9" fillId="0" borderId="0" xfId="0" applyFont="1"/>
    <xf numFmtId="0" fontId="18" fillId="0" borderId="0" xfId="0" applyFont="1"/>
    <xf numFmtId="0" fontId="18" fillId="0" borderId="23" xfId="0" applyFont="1" applyBorder="1" applyAlignment="1">
      <alignment vertical="center" wrapText="1"/>
    </xf>
    <xf numFmtId="0" fontId="18" fillId="0" borderId="22" xfId="0" applyFont="1" applyBorder="1" applyAlignment="1">
      <alignment vertical="center" wrapText="1"/>
    </xf>
    <xf numFmtId="0" fontId="3" fillId="0" borderId="0" xfId="0" applyFont="1" applyAlignment="1">
      <alignment vertical="top" wrapText="1"/>
    </xf>
    <xf numFmtId="0" fontId="0" fillId="0" borderId="0" xfId="0" applyAlignment="1">
      <alignment vertical="top"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20" fillId="6" borderId="26" xfId="0" applyFont="1" applyFill="1" applyBorder="1" applyAlignment="1">
      <alignment horizontal="center" wrapText="1"/>
    </xf>
    <xf numFmtId="0" fontId="20" fillId="6" borderId="27" xfId="0" applyFont="1" applyFill="1" applyBorder="1" applyAlignment="1">
      <alignment horizontal="center" wrapText="1"/>
    </xf>
    <xf numFmtId="0" fontId="20" fillId="6" borderId="28" xfId="0" applyFont="1" applyFill="1" applyBorder="1" applyAlignment="1">
      <alignment horizontal="center" wrapText="1"/>
    </xf>
    <xf numFmtId="0" fontId="20" fillId="6" borderId="29" xfId="0" applyFont="1" applyFill="1" applyBorder="1" applyAlignment="1">
      <alignment horizontal="center" wrapText="1"/>
    </xf>
    <xf numFmtId="0" fontId="20" fillId="6" borderId="30" xfId="0" applyFont="1" applyFill="1" applyBorder="1" applyAlignment="1">
      <alignment horizontal="center" wrapText="1"/>
    </xf>
    <xf numFmtId="0" fontId="20" fillId="6" borderId="31" xfId="0" applyFont="1" applyFill="1" applyBorder="1" applyAlignment="1">
      <alignment horizontal="center" wrapText="1"/>
    </xf>
    <xf numFmtId="0" fontId="20" fillId="7" borderId="32" xfId="0" applyFont="1" applyFill="1" applyBorder="1" applyAlignment="1">
      <alignment horizontal="center" wrapText="1"/>
    </xf>
    <xf numFmtId="0" fontId="20" fillId="7" borderId="33" xfId="0" applyFont="1" applyFill="1" applyBorder="1" applyAlignment="1">
      <alignment horizontal="center" wrapText="1"/>
    </xf>
    <xf numFmtId="0" fontId="20" fillId="7" borderId="34" xfId="0" applyFont="1" applyFill="1" applyBorder="1" applyAlignment="1">
      <alignment horizontal="center" wrapText="1"/>
    </xf>
    <xf numFmtId="0" fontId="12"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5</xdr:col>
      <xdr:colOff>703241</xdr:colOff>
      <xdr:row>144</xdr:row>
      <xdr:rowOff>76877</xdr:rowOff>
    </xdr:to>
    <xdr:pic>
      <xdr:nvPicPr>
        <xdr:cNvPr id="2" name="Picture 1" descr="Ultra Short Duration Fund.jpg"/>
        <xdr:cNvPicPr>
          <a:picLocks noChangeAspect="1"/>
        </xdr:cNvPicPr>
      </xdr:nvPicPr>
      <xdr:blipFill>
        <a:blip xmlns:r="http://schemas.openxmlformats.org/officeDocument/2006/relationships" r:embed="rId1"/>
        <a:stretch>
          <a:fillRect/>
        </a:stretch>
      </xdr:blipFill>
      <xdr:spPr>
        <a:xfrm>
          <a:off x="169333" y="20933833"/>
          <a:ext cx="7455408" cy="43525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5</xdr:col>
      <xdr:colOff>703241</xdr:colOff>
      <xdr:row>147</xdr:row>
      <xdr:rowOff>76877</xdr:rowOff>
    </xdr:to>
    <xdr:pic>
      <xdr:nvPicPr>
        <xdr:cNvPr id="2" name="Picture 1" descr="Ultra Short Duration Fund.jpg"/>
        <xdr:cNvPicPr>
          <a:picLocks noChangeAspect="1"/>
        </xdr:cNvPicPr>
      </xdr:nvPicPr>
      <xdr:blipFill>
        <a:blip xmlns:r="http://schemas.openxmlformats.org/officeDocument/2006/relationships" r:embed="rId1"/>
        <a:stretch>
          <a:fillRect/>
        </a:stretch>
      </xdr:blipFill>
      <xdr:spPr>
        <a:xfrm>
          <a:off x="175260" y="21572220"/>
          <a:ext cx="7652681" cy="44736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55"/>
  <sheetViews>
    <sheetView showGridLines="0" tabSelected="1" zoomScale="90" zoomScaleNormal="90" workbookViewId="0">
      <pane ySplit="6" topLeftCell="A7" activePane="bottomLeft" state="frozen"/>
      <selection activeCell="I2" sqref="I2"/>
      <selection pane="bottomLeft" activeCell="C14" sqref="C14"/>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140</v>
      </c>
      <c r="G18" s="32">
        <v>1382.83</v>
      </c>
      <c r="H18" s="32">
        <v>4.3499999999999996</v>
      </c>
      <c r="I18" s="33">
        <v>8.4138000000000002</v>
      </c>
      <c r="J18" s="33"/>
      <c r="K18" s="34" t="s">
        <v>25</v>
      </c>
    </row>
    <row r="19" spans="2:11">
      <c r="B19" s="1" t="s">
        <v>26</v>
      </c>
      <c r="C19" s="21" t="s">
        <v>27</v>
      </c>
      <c r="D19" s="29" t="s">
        <v>28</v>
      </c>
      <c r="E19" s="30" t="s">
        <v>29</v>
      </c>
      <c r="F19" s="31">
        <v>130</v>
      </c>
      <c r="G19" s="32">
        <v>1299.5999999999999</v>
      </c>
      <c r="H19" s="32">
        <v>4.08</v>
      </c>
      <c r="I19" s="33">
        <v>8.3628999999999998</v>
      </c>
      <c r="J19" s="33"/>
      <c r="K19" s="34" t="s">
        <v>25</v>
      </c>
    </row>
    <row r="20" spans="2:11">
      <c r="C20" s="28" t="s">
        <v>30</v>
      </c>
      <c r="D20" s="29"/>
      <c r="E20" s="30"/>
      <c r="F20" s="31"/>
      <c r="G20" s="38">
        <v>2682.43</v>
      </c>
      <c r="H20" s="38">
        <v>8.43</v>
      </c>
      <c r="I20" s="33"/>
      <c r="J20" s="33"/>
      <c r="K20" s="34"/>
    </row>
    <row r="21" spans="2:11">
      <c r="C21" s="21"/>
      <c r="D21" s="29"/>
      <c r="E21" s="30"/>
      <c r="F21" s="31"/>
      <c r="G21" s="32"/>
      <c r="H21" s="32"/>
      <c r="I21" s="33"/>
      <c r="J21" s="33"/>
      <c r="K21" s="34"/>
    </row>
    <row r="22" spans="2:11">
      <c r="C22" s="28" t="s">
        <v>31</v>
      </c>
      <c r="D22" s="29"/>
      <c r="E22" s="30"/>
      <c r="F22" s="31"/>
      <c r="G22" s="32" t="s">
        <v>16</v>
      </c>
      <c r="H22" s="32" t="s">
        <v>16</v>
      </c>
      <c r="I22" s="33"/>
      <c r="J22" s="33"/>
      <c r="K22" s="34"/>
    </row>
    <row r="23" spans="2:11">
      <c r="C23" s="21"/>
      <c r="D23" s="29"/>
      <c r="E23" s="30"/>
      <c r="F23" s="31"/>
      <c r="G23" s="32"/>
      <c r="H23" s="32"/>
      <c r="I23" s="33"/>
      <c r="J23" s="33"/>
      <c r="K23" s="34"/>
    </row>
    <row r="24" spans="2:11">
      <c r="C24" s="28" t="s">
        <v>32</v>
      </c>
      <c r="D24" s="29"/>
      <c r="E24" s="30"/>
      <c r="F24" s="31"/>
      <c r="G24" s="32" t="s">
        <v>16</v>
      </c>
      <c r="H24" s="32" t="s">
        <v>16</v>
      </c>
      <c r="I24" s="33"/>
      <c r="J24" s="33"/>
      <c r="K24" s="34"/>
    </row>
    <row r="25" spans="2:11">
      <c r="C25" s="21"/>
      <c r="D25" s="29"/>
      <c r="E25" s="30"/>
      <c r="F25" s="31"/>
      <c r="G25" s="32"/>
      <c r="H25" s="32"/>
      <c r="I25" s="33"/>
      <c r="J25" s="33"/>
      <c r="K25" s="34"/>
    </row>
    <row r="26" spans="2:11">
      <c r="C26" s="37" t="s">
        <v>33</v>
      </c>
      <c r="D26" s="29"/>
      <c r="E26" s="30"/>
      <c r="F26" s="31"/>
      <c r="G26" s="32"/>
      <c r="H26" s="32"/>
      <c r="I26" s="33"/>
      <c r="J26" s="33"/>
      <c r="K26" s="34"/>
    </row>
    <row r="27" spans="2:11">
      <c r="B27" s="1" t="s">
        <v>34</v>
      </c>
      <c r="C27" s="21" t="s">
        <v>35</v>
      </c>
      <c r="D27" s="29" t="s">
        <v>36</v>
      </c>
      <c r="E27" s="30" t="s">
        <v>37</v>
      </c>
      <c r="F27" s="31">
        <v>1000000</v>
      </c>
      <c r="G27" s="32">
        <v>999</v>
      </c>
      <c r="H27" s="32">
        <v>3.14</v>
      </c>
      <c r="I27" s="33">
        <v>0</v>
      </c>
      <c r="J27" s="33"/>
      <c r="K27" s="34"/>
    </row>
    <row r="28" spans="2:11">
      <c r="C28" s="28" t="s">
        <v>30</v>
      </c>
      <c r="D28" s="29"/>
      <c r="E28" s="30"/>
      <c r="F28" s="31"/>
      <c r="G28" s="38">
        <v>999</v>
      </c>
      <c r="H28" s="38">
        <v>3.14</v>
      </c>
      <c r="I28" s="33"/>
      <c r="J28" s="33"/>
      <c r="K28" s="34"/>
    </row>
    <row r="29" spans="2:11">
      <c r="C29" s="21"/>
      <c r="D29" s="29"/>
      <c r="E29" s="30"/>
      <c r="F29" s="31"/>
      <c r="G29" s="32"/>
      <c r="H29" s="32"/>
      <c r="I29" s="33"/>
      <c r="J29" s="33"/>
      <c r="K29" s="34"/>
    </row>
    <row r="30" spans="2:11">
      <c r="C30" s="37" t="s">
        <v>38</v>
      </c>
      <c r="D30" s="29"/>
      <c r="E30" s="30"/>
      <c r="F30" s="31"/>
      <c r="G30" s="32"/>
      <c r="H30" s="32"/>
      <c r="I30" s="33"/>
      <c r="J30" s="33"/>
      <c r="K30" s="34"/>
    </row>
    <row r="31" spans="2:11">
      <c r="B31" s="1" t="s">
        <v>39</v>
      </c>
      <c r="C31" s="21" t="s">
        <v>40</v>
      </c>
      <c r="D31" s="29" t="s">
        <v>41</v>
      </c>
      <c r="E31" s="30" t="s">
        <v>37</v>
      </c>
      <c r="F31" s="31">
        <v>100000</v>
      </c>
      <c r="G31" s="32">
        <v>101.34</v>
      </c>
      <c r="H31" s="32">
        <v>0.32</v>
      </c>
      <c r="I31" s="33">
        <v>7.4020893000000001</v>
      </c>
      <c r="J31" s="33"/>
      <c r="K31" s="34"/>
    </row>
    <row r="32" spans="2:11">
      <c r="C32" s="28" t="s">
        <v>30</v>
      </c>
      <c r="D32" s="29"/>
      <c r="E32" s="30"/>
      <c r="F32" s="31"/>
      <c r="G32" s="38">
        <v>101.34</v>
      </c>
      <c r="H32" s="38">
        <v>0.32</v>
      </c>
      <c r="I32" s="33"/>
      <c r="J32" s="33"/>
      <c r="K32" s="34"/>
    </row>
    <row r="33" spans="1:11">
      <c r="C33" s="21"/>
      <c r="D33" s="29"/>
      <c r="E33" s="30"/>
      <c r="F33" s="31"/>
      <c r="G33" s="32"/>
      <c r="H33" s="32"/>
      <c r="I33" s="33"/>
      <c r="J33" s="33"/>
      <c r="K33" s="34"/>
    </row>
    <row r="34" spans="1:11">
      <c r="A34" s="35"/>
      <c r="B34" s="36"/>
      <c r="C34" s="28" t="s">
        <v>42</v>
      </c>
      <c r="D34" s="29"/>
      <c r="E34" s="30"/>
      <c r="F34" s="31"/>
      <c r="G34" s="32"/>
      <c r="H34" s="32"/>
      <c r="I34" s="33"/>
      <c r="J34" s="33"/>
      <c r="K34" s="34"/>
    </row>
    <row r="35" spans="1:11">
      <c r="C35" s="37" t="s">
        <v>43</v>
      </c>
      <c r="D35" s="29"/>
      <c r="E35" s="30"/>
      <c r="F35" s="31"/>
      <c r="G35" s="32"/>
      <c r="H35" s="32"/>
      <c r="I35" s="33"/>
      <c r="J35" s="33"/>
      <c r="K35" s="34"/>
    </row>
    <row r="36" spans="1:11">
      <c r="B36" s="1" t="s">
        <v>44</v>
      </c>
      <c r="C36" s="21" t="s">
        <v>45</v>
      </c>
      <c r="D36" s="29" t="s">
        <v>46</v>
      </c>
      <c r="E36" s="30" t="s">
        <v>47</v>
      </c>
      <c r="F36" s="31">
        <v>340</v>
      </c>
      <c r="G36" s="32">
        <v>1613.57</v>
      </c>
      <c r="H36" s="32">
        <v>5.07</v>
      </c>
      <c r="I36" s="33">
        <v>7.6675000000000004</v>
      </c>
      <c r="J36" s="33"/>
      <c r="K36" s="34" t="s">
        <v>25</v>
      </c>
    </row>
    <row r="37" spans="1:11">
      <c r="B37" s="1" t="s">
        <v>48</v>
      </c>
      <c r="C37" s="21" t="s">
        <v>49</v>
      </c>
      <c r="D37" s="29" t="s">
        <v>50</v>
      </c>
      <c r="E37" s="30" t="s">
        <v>47</v>
      </c>
      <c r="F37" s="31">
        <v>300</v>
      </c>
      <c r="G37" s="32">
        <v>1465.68</v>
      </c>
      <c r="H37" s="32">
        <v>4.6100000000000003</v>
      </c>
      <c r="I37" s="33">
        <v>7.4325000000000001</v>
      </c>
      <c r="J37" s="33"/>
      <c r="K37" s="34" t="s">
        <v>25</v>
      </c>
    </row>
    <row r="38" spans="1:11">
      <c r="B38" s="1" t="s">
        <v>51</v>
      </c>
      <c r="C38" s="21" t="s">
        <v>52</v>
      </c>
      <c r="D38" s="29" t="s">
        <v>53</v>
      </c>
      <c r="E38" s="30" t="s">
        <v>47</v>
      </c>
      <c r="F38" s="31">
        <v>300</v>
      </c>
      <c r="G38" s="32">
        <v>1401.42</v>
      </c>
      <c r="H38" s="32">
        <v>4.4000000000000004</v>
      </c>
      <c r="I38" s="33">
        <v>7.9001000000000001</v>
      </c>
      <c r="J38" s="33"/>
      <c r="K38" s="34" t="s">
        <v>25</v>
      </c>
    </row>
    <row r="39" spans="1:11">
      <c r="B39" s="1" t="s">
        <v>54</v>
      </c>
      <c r="C39" s="21" t="s">
        <v>55</v>
      </c>
      <c r="D39" s="29" t="s">
        <v>56</v>
      </c>
      <c r="E39" s="30" t="s">
        <v>47</v>
      </c>
      <c r="F39" s="31">
        <v>100</v>
      </c>
      <c r="G39" s="32">
        <v>488.51</v>
      </c>
      <c r="H39" s="32">
        <v>1.54</v>
      </c>
      <c r="I39" s="33">
        <v>7.5327000000000002</v>
      </c>
      <c r="J39" s="33"/>
      <c r="K39" s="34" t="s">
        <v>25</v>
      </c>
    </row>
    <row r="40" spans="1:11">
      <c r="C40" s="28" t="s">
        <v>30</v>
      </c>
      <c r="D40" s="29"/>
      <c r="E40" s="30"/>
      <c r="F40" s="31"/>
      <c r="G40" s="38">
        <v>4969.18</v>
      </c>
      <c r="H40" s="38">
        <v>15.62</v>
      </c>
      <c r="I40" s="33"/>
      <c r="J40" s="33"/>
      <c r="K40" s="34"/>
    </row>
    <row r="41" spans="1:11">
      <c r="C41" s="21"/>
      <c r="D41" s="29"/>
      <c r="E41" s="30"/>
      <c r="F41" s="31"/>
      <c r="G41" s="32"/>
      <c r="H41" s="32"/>
      <c r="I41" s="33"/>
      <c r="J41" s="33"/>
      <c r="K41" s="34"/>
    </row>
    <row r="42" spans="1:11">
      <c r="C42" s="37" t="s">
        <v>57</v>
      </c>
      <c r="D42" s="29"/>
      <c r="E42" s="30"/>
      <c r="F42" s="31"/>
      <c r="G42" s="32"/>
      <c r="H42" s="32"/>
      <c r="I42" s="33"/>
      <c r="J42" s="33"/>
      <c r="K42" s="34"/>
    </row>
    <row r="43" spans="1:11">
      <c r="B43" s="1" t="s">
        <v>58</v>
      </c>
      <c r="C43" s="21" t="s">
        <v>59</v>
      </c>
      <c r="D43" s="29" t="s">
        <v>60</v>
      </c>
      <c r="E43" s="30" t="s">
        <v>61</v>
      </c>
      <c r="F43" s="31">
        <v>520</v>
      </c>
      <c r="G43" s="32">
        <v>2517.98</v>
      </c>
      <c r="H43" s="32">
        <v>7.91</v>
      </c>
      <c r="I43" s="33">
        <v>7.2500999999999998</v>
      </c>
      <c r="J43" s="33"/>
      <c r="K43" s="34"/>
    </row>
    <row r="44" spans="1:11">
      <c r="B44" s="1" t="s">
        <v>62</v>
      </c>
      <c r="C44" s="21" t="s">
        <v>63</v>
      </c>
      <c r="D44" s="29" t="s">
        <v>64</v>
      </c>
      <c r="E44" s="30" t="s">
        <v>47</v>
      </c>
      <c r="F44" s="31">
        <v>500</v>
      </c>
      <c r="G44" s="32">
        <v>2429.1999999999998</v>
      </c>
      <c r="H44" s="32">
        <v>7.63</v>
      </c>
      <c r="I44" s="33">
        <v>7.3879999999999999</v>
      </c>
      <c r="J44" s="33"/>
      <c r="K44" s="34" t="s">
        <v>25</v>
      </c>
    </row>
    <row r="45" spans="1:11">
      <c r="B45" s="1" t="s">
        <v>65</v>
      </c>
      <c r="C45" s="21" t="s">
        <v>66</v>
      </c>
      <c r="D45" s="29" t="s">
        <v>67</v>
      </c>
      <c r="E45" s="30" t="s">
        <v>47</v>
      </c>
      <c r="F45" s="31">
        <v>500</v>
      </c>
      <c r="G45" s="32">
        <v>2427.09</v>
      </c>
      <c r="H45" s="32">
        <v>7.63</v>
      </c>
      <c r="I45" s="33">
        <v>7.31</v>
      </c>
      <c r="J45" s="33"/>
      <c r="K45" s="34" t="s">
        <v>25</v>
      </c>
    </row>
    <row r="46" spans="1:11">
      <c r="B46" s="1" t="s">
        <v>68</v>
      </c>
      <c r="C46" s="21" t="s">
        <v>69</v>
      </c>
      <c r="D46" s="29" t="s">
        <v>70</v>
      </c>
      <c r="E46" s="30" t="s">
        <v>71</v>
      </c>
      <c r="F46" s="31">
        <v>500</v>
      </c>
      <c r="G46" s="32">
        <v>2412.3200000000002</v>
      </c>
      <c r="H46" s="32">
        <v>7.58</v>
      </c>
      <c r="I46" s="33">
        <v>7.33</v>
      </c>
      <c r="J46" s="33"/>
      <c r="K46" s="34" t="s">
        <v>25</v>
      </c>
    </row>
    <row r="47" spans="1:11">
      <c r="B47" s="1" t="s">
        <v>72</v>
      </c>
      <c r="C47" s="21" t="s">
        <v>73</v>
      </c>
      <c r="D47" s="29" t="s">
        <v>74</v>
      </c>
      <c r="E47" s="30" t="s">
        <v>47</v>
      </c>
      <c r="F47" s="31">
        <v>400</v>
      </c>
      <c r="G47" s="32">
        <v>1945.83</v>
      </c>
      <c r="H47" s="32">
        <v>6.12</v>
      </c>
      <c r="I47" s="33">
        <v>7.31</v>
      </c>
      <c r="J47" s="33"/>
      <c r="K47" s="34" t="s">
        <v>25</v>
      </c>
    </row>
    <row r="48" spans="1:11">
      <c r="B48" s="1" t="s">
        <v>75</v>
      </c>
      <c r="C48" s="21" t="s">
        <v>76</v>
      </c>
      <c r="D48" s="29" t="s">
        <v>77</v>
      </c>
      <c r="E48" s="30" t="s">
        <v>47</v>
      </c>
      <c r="F48" s="31">
        <v>340</v>
      </c>
      <c r="G48" s="32">
        <v>1635.43</v>
      </c>
      <c r="H48" s="32">
        <v>5.14</v>
      </c>
      <c r="I48" s="33">
        <v>7.5449000000000002</v>
      </c>
      <c r="J48" s="33"/>
      <c r="K48" s="34" t="s">
        <v>25</v>
      </c>
    </row>
    <row r="49" spans="1:11">
      <c r="B49" s="1" t="s">
        <v>78</v>
      </c>
      <c r="C49" s="21" t="s">
        <v>79</v>
      </c>
      <c r="D49" s="29" t="s">
        <v>80</v>
      </c>
      <c r="E49" s="30" t="s">
        <v>47</v>
      </c>
      <c r="F49" s="31">
        <v>300</v>
      </c>
      <c r="G49" s="32">
        <v>1459.87</v>
      </c>
      <c r="H49" s="32">
        <v>4.59</v>
      </c>
      <c r="I49" s="33">
        <v>7.2701000000000002</v>
      </c>
      <c r="J49" s="33"/>
      <c r="K49" s="34" t="s">
        <v>25</v>
      </c>
    </row>
    <row r="50" spans="1:11">
      <c r="B50" s="1" t="s">
        <v>81</v>
      </c>
      <c r="C50" s="21" t="s">
        <v>82</v>
      </c>
      <c r="D50" s="29" t="s">
        <v>83</v>
      </c>
      <c r="E50" s="30" t="s">
        <v>47</v>
      </c>
      <c r="F50" s="31">
        <v>300</v>
      </c>
      <c r="G50" s="32">
        <v>1427.27</v>
      </c>
      <c r="H50" s="32">
        <v>4.49</v>
      </c>
      <c r="I50" s="33">
        <v>7.47</v>
      </c>
      <c r="J50" s="33"/>
      <c r="K50" s="34" t="s">
        <v>25</v>
      </c>
    </row>
    <row r="51" spans="1:11">
      <c r="B51" s="1" t="s">
        <v>84</v>
      </c>
      <c r="C51" s="21" t="s">
        <v>85</v>
      </c>
      <c r="D51" s="29" t="s">
        <v>86</v>
      </c>
      <c r="E51" s="30" t="s">
        <v>61</v>
      </c>
      <c r="F51" s="31">
        <v>220</v>
      </c>
      <c r="G51" s="32">
        <v>1024.58</v>
      </c>
      <c r="H51" s="32">
        <v>3.22</v>
      </c>
      <c r="I51" s="33">
        <v>7.59</v>
      </c>
      <c r="J51" s="33"/>
      <c r="K51" s="34" t="s">
        <v>25</v>
      </c>
    </row>
    <row r="52" spans="1:11">
      <c r="B52" s="1" t="s">
        <v>87</v>
      </c>
      <c r="C52" s="21" t="s">
        <v>88</v>
      </c>
      <c r="D52" s="29" t="s">
        <v>89</v>
      </c>
      <c r="E52" s="30" t="s">
        <v>47</v>
      </c>
      <c r="F52" s="31">
        <v>200</v>
      </c>
      <c r="G52" s="32">
        <v>934.23</v>
      </c>
      <c r="H52" s="32">
        <v>2.94</v>
      </c>
      <c r="I52" s="33">
        <v>7.58</v>
      </c>
      <c r="J52" s="33"/>
      <c r="K52" s="34" t="s">
        <v>25</v>
      </c>
    </row>
    <row r="53" spans="1:11">
      <c r="B53" s="1" t="s">
        <v>90</v>
      </c>
      <c r="C53" s="21" t="s">
        <v>91</v>
      </c>
      <c r="D53" s="29" t="s">
        <v>92</v>
      </c>
      <c r="E53" s="30" t="s">
        <v>47</v>
      </c>
      <c r="F53" s="31">
        <v>200</v>
      </c>
      <c r="G53" s="32">
        <v>933.16</v>
      </c>
      <c r="H53" s="32">
        <v>2.93</v>
      </c>
      <c r="I53" s="33">
        <v>7.6449999999999996</v>
      </c>
      <c r="J53" s="33"/>
      <c r="K53" s="34" t="s">
        <v>25</v>
      </c>
    </row>
    <row r="54" spans="1:11">
      <c r="B54" s="1" t="s">
        <v>93</v>
      </c>
      <c r="C54" s="21" t="s">
        <v>94</v>
      </c>
      <c r="D54" s="29" t="s">
        <v>95</v>
      </c>
      <c r="E54" s="30" t="s">
        <v>47</v>
      </c>
      <c r="F54" s="31">
        <v>100</v>
      </c>
      <c r="G54" s="32">
        <v>476.19</v>
      </c>
      <c r="H54" s="32">
        <v>1.5</v>
      </c>
      <c r="I54" s="33">
        <v>7.39</v>
      </c>
      <c r="J54" s="33"/>
      <c r="K54" s="34"/>
    </row>
    <row r="55" spans="1:11">
      <c r="C55" s="28" t="s">
        <v>30</v>
      </c>
      <c r="D55" s="29"/>
      <c r="E55" s="30"/>
      <c r="F55" s="31"/>
      <c r="G55" s="38">
        <v>19623.150000000001</v>
      </c>
      <c r="H55" s="38">
        <v>61.68</v>
      </c>
      <c r="I55" s="33"/>
      <c r="J55" s="33"/>
      <c r="K55" s="34"/>
    </row>
    <row r="56" spans="1:11">
      <c r="C56" s="21"/>
      <c r="D56" s="29"/>
      <c r="E56" s="30"/>
      <c r="F56" s="31"/>
      <c r="G56" s="32"/>
      <c r="H56" s="32"/>
      <c r="I56" s="33"/>
      <c r="J56" s="33"/>
      <c r="K56" s="34"/>
    </row>
    <row r="57" spans="1:11">
      <c r="C57" s="28" t="s">
        <v>96</v>
      </c>
      <c r="D57" s="29"/>
      <c r="E57" s="30"/>
      <c r="F57" s="31"/>
      <c r="G57" s="32" t="s">
        <v>16</v>
      </c>
      <c r="H57" s="32" t="s">
        <v>16</v>
      </c>
      <c r="I57" s="33"/>
      <c r="J57" s="33"/>
      <c r="K57" s="34"/>
    </row>
    <row r="58" spans="1:11">
      <c r="C58" s="21"/>
      <c r="D58" s="29"/>
      <c r="E58" s="30"/>
      <c r="F58" s="31"/>
      <c r="G58" s="32"/>
      <c r="H58" s="32"/>
      <c r="I58" s="33"/>
      <c r="J58" s="33"/>
      <c r="K58" s="34"/>
    </row>
    <row r="59" spans="1:11">
      <c r="C59" s="28" t="s">
        <v>97</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98</v>
      </c>
      <c r="D61" s="29"/>
      <c r="E61" s="30"/>
      <c r="F61" s="31"/>
      <c r="G61" s="32"/>
      <c r="H61" s="32"/>
      <c r="I61" s="33"/>
      <c r="J61" s="33"/>
      <c r="K61" s="34"/>
    </row>
    <row r="62" spans="1:11">
      <c r="A62" s="36"/>
      <c r="B62" s="36"/>
      <c r="C62" s="28" t="s">
        <v>99</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100</v>
      </c>
      <c r="D64" s="29"/>
      <c r="E64" s="30"/>
      <c r="F64" s="31"/>
      <c r="G64" s="32" t="s">
        <v>16</v>
      </c>
      <c r="H64" s="32" t="s">
        <v>16</v>
      </c>
      <c r="I64" s="33"/>
      <c r="J64" s="33"/>
      <c r="K64" s="34"/>
    </row>
    <row r="65" spans="1:11">
      <c r="A65" s="36"/>
      <c r="B65" s="36"/>
      <c r="C65" s="28"/>
      <c r="D65" s="29"/>
      <c r="E65" s="30"/>
      <c r="F65" s="31"/>
      <c r="G65" s="32"/>
      <c r="H65" s="32"/>
      <c r="I65" s="33"/>
      <c r="J65" s="33"/>
      <c r="K65" s="34"/>
    </row>
    <row r="66" spans="1:11">
      <c r="A66" s="36"/>
      <c r="B66" s="36"/>
      <c r="C66" s="28" t="s">
        <v>101</v>
      </c>
      <c r="D66" s="29"/>
      <c r="E66" s="30"/>
      <c r="F66" s="31"/>
      <c r="G66" s="32" t="s">
        <v>16</v>
      </c>
      <c r="H66" s="32" t="s">
        <v>16</v>
      </c>
      <c r="I66" s="33"/>
      <c r="J66" s="33"/>
      <c r="K66" s="34"/>
    </row>
    <row r="67" spans="1:11">
      <c r="A67" s="36"/>
      <c r="B67" s="36"/>
      <c r="C67" s="28"/>
      <c r="D67" s="29"/>
      <c r="E67" s="30"/>
      <c r="F67" s="31"/>
      <c r="G67" s="32"/>
      <c r="H67" s="32"/>
      <c r="I67" s="33"/>
      <c r="J67" s="33"/>
      <c r="K67" s="34"/>
    </row>
    <row r="68" spans="1:11">
      <c r="A68" s="36"/>
      <c r="B68" s="36"/>
      <c r="C68" s="28" t="s">
        <v>102</v>
      </c>
      <c r="D68" s="29"/>
      <c r="E68" s="30"/>
      <c r="F68" s="31"/>
      <c r="G68" s="32" t="s">
        <v>16</v>
      </c>
      <c r="H68" s="32" t="s">
        <v>16</v>
      </c>
      <c r="I68" s="33"/>
      <c r="J68" s="33"/>
      <c r="K68" s="34"/>
    </row>
    <row r="69" spans="1:11">
      <c r="A69" s="36"/>
      <c r="B69" s="36"/>
      <c r="C69" s="28"/>
      <c r="D69" s="29"/>
      <c r="E69" s="30"/>
      <c r="F69" s="31"/>
      <c r="G69" s="32"/>
      <c r="H69" s="32"/>
      <c r="I69" s="33"/>
      <c r="J69" s="33"/>
      <c r="K69" s="34"/>
    </row>
    <row r="70" spans="1:11">
      <c r="C70" s="37" t="s">
        <v>103</v>
      </c>
      <c r="D70" s="29"/>
      <c r="E70" s="30"/>
      <c r="F70" s="31"/>
      <c r="G70" s="32"/>
      <c r="H70" s="32"/>
      <c r="I70" s="33"/>
      <c r="J70" s="33"/>
      <c r="K70" s="34"/>
    </row>
    <row r="71" spans="1:11">
      <c r="B71" s="1" t="s">
        <v>104</v>
      </c>
      <c r="C71" s="21" t="s">
        <v>105</v>
      </c>
      <c r="D71" s="29"/>
      <c r="E71" s="30"/>
      <c r="F71" s="31"/>
      <c r="G71" s="32">
        <v>3257.1</v>
      </c>
      <c r="H71" s="32">
        <v>10.24</v>
      </c>
      <c r="I71" s="33">
        <v>7.14</v>
      </c>
      <c r="J71" s="33"/>
      <c r="K71" s="34"/>
    </row>
    <row r="72" spans="1:11">
      <c r="C72" s="28" t="s">
        <v>30</v>
      </c>
      <c r="D72" s="29"/>
      <c r="E72" s="30"/>
      <c r="F72" s="31"/>
      <c r="G72" s="38">
        <v>3257.1</v>
      </c>
      <c r="H72" s="38">
        <v>10.24</v>
      </c>
      <c r="I72" s="33"/>
      <c r="J72" s="33"/>
      <c r="K72" s="34"/>
    </row>
    <row r="73" spans="1:11">
      <c r="C73" s="21"/>
      <c r="D73" s="29"/>
      <c r="E73" s="30"/>
      <c r="F73" s="31"/>
      <c r="G73" s="32"/>
      <c r="H73" s="32"/>
      <c r="I73" s="33"/>
      <c r="J73" s="33"/>
      <c r="K73" s="34"/>
    </row>
    <row r="74" spans="1:11">
      <c r="A74" s="35"/>
      <c r="B74" s="36"/>
      <c r="C74" s="28" t="s">
        <v>106</v>
      </c>
      <c r="D74" s="29"/>
      <c r="E74" s="30"/>
      <c r="F74" s="31"/>
      <c r="G74" s="32"/>
      <c r="H74" s="32"/>
      <c r="I74" s="33"/>
      <c r="J74" s="33"/>
      <c r="K74" s="34"/>
    </row>
    <row r="75" spans="1:11">
      <c r="B75" s="1"/>
      <c r="C75" s="21" t="s">
        <v>107</v>
      </c>
      <c r="D75" s="29"/>
      <c r="E75" s="30"/>
      <c r="F75" s="31"/>
      <c r="G75" s="32">
        <v>187.54</v>
      </c>
      <c r="H75" s="32">
        <v>0.56999999999999995</v>
      </c>
      <c r="I75" s="33"/>
      <c r="J75" s="33"/>
      <c r="K75" s="34"/>
    </row>
    <row r="76" spans="1:11">
      <c r="C76" s="28" t="s">
        <v>30</v>
      </c>
      <c r="D76" s="29"/>
      <c r="E76" s="30"/>
      <c r="F76" s="31"/>
      <c r="G76" s="38">
        <v>187.54</v>
      </c>
      <c r="H76" s="38">
        <v>0.56999999999999995</v>
      </c>
      <c r="I76" s="33"/>
      <c r="J76" s="33"/>
      <c r="K76" s="34"/>
    </row>
    <row r="77" spans="1:11">
      <c r="C77" s="21"/>
      <c r="D77" s="29"/>
      <c r="E77" s="30"/>
      <c r="F77" s="31"/>
      <c r="G77" s="32"/>
      <c r="H77" s="32"/>
      <c r="I77" s="33"/>
      <c r="J77" s="33"/>
      <c r="K77" s="34"/>
    </row>
    <row r="78" spans="1:11" ht="14.4" thickBot="1">
      <c r="C78" s="39" t="s">
        <v>108</v>
      </c>
      <c r="D78" s="40"/>
      <c r="E78" s="41"/>
      <c r="F78" s="42"/>
      <c r="G78" s="43">
        <v>31819.74</v>
      </c>
      <c r="H78" s="43">
        <f>SUMIFS(H:H,C:C,"Total")</f>
        <v>99.999999999999986</v>
      </c>
      <c r="I78" s="44"/>
      <c r="J78" s="44"/>
      <c r="K78" s="45"/>
    </row>
    <row r="81" spans="3:54">
      <c r="C81" s="11" t="s">
        <v>109</v>
      </c>
    </row>
    <row r="82" spans="3:54">
      <c r="C82" s="2" t="s">
        <v>110</v>
      </c>
    </row>
    <row r="83" spans="3:54">
      <c r="C83" s="46" t="s">
        <v>111</v>
      </c>
    </row>
    <row r="84" spans="3:54">
      <c r="C84" s="2" t="s">
        <v>112</v>
      </c>
    </row>
    <row r="85" spans="3:54">
      <c r="C85" s="2" t="s">
        <v>113</v>
      </c>
    </row>
    <row r="86" spans="3:54">
      <c r="C86" s="2" t="s">
        <v>114</v>
      </c>
      <c r="D86" s="47"/>
      <c r="E86" s="47"/>
      <c r="F86" s="47"/>
      <c r="G86" s="48"/>
      <c r="H86" s="48"/>
    </row>
    <row r="87" spans="3:54">
      <c r="C87" s="2" t="s">
        <v>115</v>
      </c>
    </row>
    <row r="88" spans="3:54">
      <c r="C88" s="2" t="s">
        <v>116</v>
      </c>
    </row>
    <row r="89" spans="3:54">
      <c r="C89" s="2" t="s">
        <v>117</v>
      </c>
    </row>
    <row r="90" spans="3:54">
      <c r="C90" s="2" t="s">
        <v>118</v>
      </c>
    </row>
    <row r="91" spans="3:54" s="11" customFormat="1">
      <c r="C91" s="11" t="s">
        <v>119</v>
      </c>
      <c r="E91" s="11" t="s">
        <v>120</v>
      </c>
      <c r="F91" s="49" t="s">
        <v>121</v>
      </c>
      <c r="G91" s="50"/>
      <c r="H91" s="50"/>
      <c r="I91" s="50"/>
      <c r="J91" s="50"/>
      <c r="K91" s="51"/>
      <c r="L91" s="51"/>
      <c r="AI91" s="51"/>
      <c r="AV91" s="51"/>
      <c r="AX91" s="51"/>
      <c r="BB91" s="51"/>
    </row>
    <row r="92" spans="3:54">
      <c r="C92" s="2" t="s">
        <v>122</v>
      </c>
      <c r="E92" s="52">
        <v>1006.2583</v>
      </c>
      <c r="F92" s="53">
        <v>1006.2583</v>
      </c>
    </row>
    <row r="93" spans="3:54">
      <c r="C93" s="2" t="s">
        <v>123</v>
      </c>
      <c r="E93" s="52">
        <v>1302.604</v>
      </c>
      <c r="F93" s="53">
        <v>1312.4737</v>
      </c>
    </row>
    <row r="94" spans="3:54">
      <c r="C94" s="2" t="s">
        <v>124</v>
      </c>
      <c r="E94" s="52">
        <v>1000</v>
      </c>
      <c r="F94" s="53">
        <v>1002.002</v>
      </c>
    </row>
    <row r="95" spans="3:54">
      <c r="C95" s="2" t="s">
        <v>125</v>
      </c>
      <c r="E95" s="52">
        <v>1007.0751</v>
      </c>
      <c r="F95" s="53">
        <v>1007.0751</v>
      </c>
    </row>
    <row r="96" spans="3:54">
      <c r="C96" s="2" t="s">
        <v>126</v>
      </c>
      <c r="E96" s="52">
        <v>1313.8208</v>
      </c>
      <c r="F96" s="53">
        <v>1323.9104</v>
      </c>
    </row>
    <row r="97" spans="3:6">
      <c r="C97" s="2" t="s">
        <v>127</v>
      </c>
      <c r="E97" s="54">
        <v>1000</v>
      </c>
      <c r="F97" s="55">
        <v>1000</v>
      </c>
    </row>
    <row r="99" spans="3:6">
      <c r="C99" s="2" t="s">
        <v>128</v>
      </c>
      <c r="E99" s="11" t="s">
        <v>129</v>
      </c>
      <c r="F99" s="49" t="s">
        <v>130</v>
      </c>
    </row>
    <row r="100" spans="3:6">
      <c r="C100" s="2" t="s">
        <v>122</v>
      </c>
      <c r="E100" s="52">
        <v>7.5979680199999997</v>
      </c>
      <c r="F100" s="53">
        <v>7.5979680199999997</v>
      </c>
    </row>
    <row r="101" spans="3:6">
      <c r="C101" s="2" t="s">
        <v>124</v>
      </c>
      <c r="E101" s="52">
        <v>4.4018878099999998</v>
      </c>
      <c r="F101" s="53">
        <v>4.4018878099999998</v>
      </c>
    </row>
    <row r="102" spans="3:6">
      <c r="C102" s="2" t="s">
        <v>125</v>
      </c>
      <c r="E102" s="52">
        <v>7.7067962200000002</v>
      </c>
      <c r="F102" s="53">
        <v>7.7067962200000002</v>
      </c>
    </row>
    <row r="104" spans="3:6">
      <c r="C104" s="2" t="s">
        <v>131</v>
      </c>
    </row>
    <row r="105" spans="3:6">
      <c r="C105" s="2" t="s">
        <v>132</v>
      </c>
    </row>
    <row r="106" spans="3:6">
      <c r="C106" s="2" t="s">
        <v>133</v>
      </c>
    </row>
    <row r="107" spans="3:6">
      <c r="C107" s="2" t="s">
        <v>134</v>
      </c>
    </row>
    <row r="108" spans="3:6">
      <c r="C108" s="2" t="s">
        <v>135</v>
      </c>
    </row>
    <row r="109" spans="3:6">
      <c r="C109" s="2" t="s">
        <v>136</v>
      </c>
    </row>
    <row r="110" spans="3:6">
      <c r="C110" s="2" t="s">
        <v>137</v>
      </c>
    </row>
    <row r="111" spans="3:6">
      <c r="C111" s="2" t="s">
        <v>138</v>
      </c>
    </row>
    <row r="112" spans="3:6">
      <c r="C112" s="2" t="s">
        <v>139</v>
      </c>
    </row>
    <row r="113" spans="3:11">
      <c r="C113" s="2" t="s">
        <v>140</v>
      </c>
    </row>
    <row r="114" spans="3:11">
      <c r="C114" s="2" t="s">
        <v>141</v>
      </c>
    </row>
    <row r="115" spans="3:11">
      <c r="C115" s="2" t="s">
        <v>142</v>
      </c>
    </row>
    <row r="116" spans="3:11">
      <c r="C116" s="2" t="s">
        <v>143</v>
      </c>
    </row>
    <row r="117" spans="3:11">
      <c r="C117" s="2" t="s">
        <v>144</v>
      </c>
    </row>
    <row r="118" spans="3:11" ht="46.5" customHeight="1">
      <c r="C118" s="67" t="s">
        <v>145</v>
      </c>
      <c r="D118" s="68"/>
      <c r="E118" s="68"/>
      <c r="F118" s="68"/>
      <c r="G118" s="68"/>
      <c r="H118" s="68"/>
      <c r="I118" s="68"/>
      <c r="J118" s="68"/>
      <c r="K118" s="68"/>
    </row>
    <row r="119" spans="3:11" ht="14.4">
      <c r="C119" s="56"/>
      <c r="D119" s="56"/>
      <c r="E119" s="57"/>
      <c r="F119" s="57"/>
      <c r="G119" s="57"/>
      <c r="H119" s="57"/>
      <c r="I119" s="57"/>
      <c r="J119" s="57"/>
      <c r="K119" s="57"/>
    </row>
    <row r="120" spans="3:11" ht="14.4">
      <c r="C120" s="57"/>
      <c r="D120" s="57"/>
      <c r="E120" s="57"/>
      <c r="F120" s="57"/>
      <c r="G120" s="57"/>
      <c r="H120" s="57"/>
      <c r="I120" s="57"/>
      <c r="J120" s="57"/>
      <c r="K120" s="57"/>
    </row>
    <row r="121" spans="3:11" ht="14.4">
      <c r="C121" s="57"/>
      <c r="D121" s="57"/>
      <c r="E121" s="57"/>
      <c r="F121" s="57"/>
      <c r="G121" s="57"/>
      <c r="H121" s="57"/>
      <c r="I121" s="57"/>
      <c r="J121" s="57"/>
      <c r="K121" s="57"/>
    </row>
    <row r="145" spans="3:54" ht="14.4" thickBot="1"/>
    <row r="146" spans="3:54" ht="14.4" thickBot="1">
      <c r="C146" s="69" t="s">
        <v>146</v>
      </c>
      <c r="D146" s="70"/>
      <c r="E146" s="70"/>
      <c r="F146" s="71"/>
      <c r="L146" s="2"/>
      <c r="AH146" s="10"/>
      <c r="AI146" s="2"/>
      <c r="AU146" s="10"/>
      <c r="AV146" s="2"/>
      <c r="AW146" s="10"/>
      <c r="AX146" s="2"/>
      <c r="BA146" s="10"/>
      <c r="BB146" s="2"/>
    </row>
    <row r="147" spans="3:54" ht="14.4" thickBot="1">
      <c r="C147" s="58" t="s">
        <v>147</v>
      </c>
      <c r="D147" s="72" t="s">
        <v>148</v>
      </c>
      <c r="E147" s="72" t="s">
        <v>149</v>
      </c>
      <c r="F147" s="72" t="s">
        <v>150</v>
      </c>
      <c r="L147" s="2"/>
      <c r="AH147" s="10"/>
      <c r="AI147" s="2"/>
      <c r="AU147" s="10"/>
      <c r="AV147" s="2"/>
      <c r="AW147" s="10"/>
      <c r="AX147" s="2"/>
      <c r="BA147" s="10"/>
      <c r="BB147" s="2"/>
    </row>
    <row r="148" spans="3:54" ht="14.4" thickBot="1">
      <c r="C148" s="58" t="s">
        <v>151</v>
      </c>
      <c r="D148" s="73"/>
      <c r="E148" s="73"/>
      <c r="F148" s="73"/>
      <c r="L148" s="2"/>
      <c r="AH148" s="10"/>
      <c r="AI148" s="2"/>
      <c r="AU148" s="10"/>
      <c r="AV148" s="2"/>
      <c r="AW148" s="10"/>
      <c r="AX148" s="2"/>
      <c r="BA148" s="10"/>
      <c r="BB148" s="2"/>
    </row>
    <row r="149" spans="3:54" ht="14.4" thickBot="1">
      <c r="C149" s="59" t="s">
        <v>152</v>
      </c>
      <c r="E149" s="60" t="s">
        <v>153</v>
      </c>
      <c r="F149" s="61"/>
      <c r="L149" s="2"/>
      <c r="AH149" s="10"/>
      <c r="AI149" s="2"/>
      <c r="AU149" s="10"/>
      <c r="AV149" s="2"/>
      <c r="AW149" s="10"/>
      <c r="AX149" s="2"/>
      <c r="BA149" s="10"/>
      <c r="BB149" s="2"/>
    </row>
    <row r="150" spans="3:54">
      <c r="C150" s="62" t="s">
        <v>154</v>
      </c>
      <c r="D150" s="65"/>
      <c r="E150" s="65"/>
      <c r="F150" s="65"/>
      <c r="L150" s="2"/>
      <c r="AH150" s="10"/>
      <c r="AI150" s="2"/>
      <c r="AU150" s="10"/>
      <c r="AV150" s="2"/>
      <c r="AW150" s="10"/>
      <c r="AX150" s="2"/>
      <c r="BA150" s="10"/>
      <c r="BB150" s="2"/>
    </row>
    <row r="151" spans="3:54" ht="14.4" thickBot="1">
      <c r="C151" s="59" t="s">
        <v>155</v>
      </c>
      <c r="D151" s="66"/>
      <c r="E151" s="66"/>
      <c r="F151" s="66"/>
      <c r="L151" s="2"/>
      <c r="AH151" s="10"/>
      <c r="AI151" s="2"/>
      <c r="AU151" s="10"/>
      <c r="AV151" s="2"/>
      <c r="AW151" s="10"/>
      <c r="AX151" s="2"/>
      <c r="BA151" s="10"/>
      <c r="BB151" s="2"/>
    </row>
    <row r="152" spans="3:54">
      <c r="C152" s="62" t="s">
        <v>156</v>
      </c>
      <c r="D152" s="65"/>
      <c r="E152" s="65"/>
      <c r="F152" s="65"/>
      <c r="L152" s="2"/>
      <c r="AH152" s="10"/>
      <c r="AI152" s="2"/>
      <c r="AU152" s="10"/>
      <c r="AV152" s="2"/>
      <c r="AW152" s="10"/>
      <c r="AX152" s="2"/>
      <c r="BA152" s="10"/>
      <c r="BB152" s="2"/>
    </row>
    <row r="153" spans="3:54" ht="14.4" thickBot="1">
      <c r="C153" s="59" t="s">
        <v>157</v>
      </c>
      <c r="D153" s="66"/>
      <c r="E153" s="66"/>
      <c r="F153" s="66"/>
      <c r="L153" s="2"/>
      <c r="AH153" s="10"/>
      <c r="AI153" s="2"/>
      <c r="AU153" s="10"/>
      <c r="AV153" s="2"/>
      <c r="AW153" s="10"/>
      <c r="AX153" s="2"/>
      <c r="BA153" s="10"/>
      <c r="BB153" s="2"/>
    </row>
    <row r="154" spans="3:54">
      <c r="C154" s="63" t="s">
        <v>158</v>
      </c>
      <c r="D154" s="64"/>
      <c r="E154" s="64"/>
      <c r="F154" s="64"/>
      <c r="L154" s="2"/>
      <c r="AH154" s="10"/>
      <c r="AI154" s="2"/>
      <c r="AU154" s="10"/>
      <c r="AV154" s="2"/>
      <c r="AW154" s="10"/>
      <c r="AX154" s="2"/>
      <c r="BA154" s="10"/>
      <c r="BB154" s="2"/>
    </row>
    <row r="155" spans="3:54">
      <c r="C155" s="2" t="s">
        <v>159</v>
      </c>
      <c r="L155" s="2"/>
      <c r="AH155" s="10"/>
      <c r="AI155" s="2"/>
      <c r="AU155" s="10"/>
      <c r="AV155" s="2"/>
      <c r="AW155" s="10"/>
      <c r="AX155" s="2"/>
      <c r="BA155" s="10"/>
      <c r="BB155" s="2"/>
    </row>
  </sheetData>
  <mergeCells count="11">
    <mergeCell ref="C118:K118"/>
    <mergeCell ref="C146:F146"/>
    <mergeCell ref="D147:D148"/>
    <mergeCell ref="E147:E148"/>
    <mergeCell ref="F147:F148"/>
    <mergeCell ref="D150:D151"/>
    <mergeCell ref="E150:E151"/>
    <mergeCell ref="F150:F151"/>
    <mergeCell ref="D152:D153"/>
    <mergeCell ref="E152:E153"/>
    <mergeCell ref="F152:F153"/>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58"/>
  <sheetViews>
    <sheetView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4" t="s">
        <v>160</v>
      </c>
      <c r="D2" s="75"/>
      <c r="E2" s="75"/>
      <c r="F2" s="75"/>
      <c r="G2" s="75"/>
      <c r="H2" s="75"/>
      <c r="I2" s="75"/>
      <c r="J2" s="75"/>
      <c r="K2" s="76"/>
      <c r="L2" s="2"/>
      <c r="M2" s="9"/>
      <c r="AH2" s="10"/>
      <c r="AI2" s="2"/>
      <c r="AU2" s="10"/>
      <c r="AV2" s="2"/>
      <c r="AW2" s="10"/>
      <c r="AX2" s="2"/>
      <c r="BA2" s="10"/>
      <c r="BB2" s="2"/>
    </row>
    <row r="3" spans="1:54" ht="14.4" thickBot="1">
      <c r="C3" s="77"/>
      <c r="D3" s="78"/>
      <c r="E3" s="78"/>
      <c r="F3" s="78"/>
      <c r="G3" s="78"/>
      <c r="H3" s="78"/>
      <c r="I3" s="78"/>
      <c r="J3" s="78"/>
      <c r="K3" s="79"/>
      <c r="L3" s="2"/>
      <c r="AH3" s="10"/>
      <c r="AI3" s="2"/>
      <c r="AU3" s="10"/>
      <c r="AV3" s="2"/>
      <c r="AW3" s="10"/>
      <c r="AX3" s="2"/>
      <c r="BA3" s="10"/>
      <c r="BB3" s="2"/>
    </row>
    <row r="4" spans="1:54" ht="14.4" thickBot="1">
      <c r="A4" s="1"/>
      <c r="C4" s="1"/>
      <c r="D4" s="1"/>
      <c r="E4" s="1"/>
      <c r="F4" s="3"/>
      <c r="G4" s="4"/>
      <c r="H4" s="4"/>
      <c r="I4" s="4"/>
      <c r="J4" s="4"/>
      <c r="K4" s="5"/>
      <c r="L4" s="2"/>
      <c r="AH4" s="5"/>
      <c r="AI4" s="2"/>
      <c r="AU4" s="5"/>
      <c r="AV4" s="2"/>
      <c r="AW4" s="5"/>
      <c r="AX4" s="2"/>
      <c r="BA4" s="5"/>
      <c r="BB4" s="2"/>
    </row>
    <row r="5" spans="1:54" ht="22.2" thickBot="1">
      <c r="C5" s="80" t="s">
        <v>161</v>
      </c>
      <c r="D5" s="81"/>
      <c r="E5" s="81"/>
      <c r="F5" s="81"/>
      <c r="G5" s="81"/>
      <c r="H5" s="81"/>
      <c r="I5" s="81"/>
      <c r="J5" s="81"/>
      <c r="K5" s="82"/>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140</v>
      </c>
      <c r="G19" s="32">
        <v>1382.83</v>
      </c>
      <c r="H19" s="32">
        <v>4.3499999999999996</v>
      </c>
      <c r="I19" s="33">
        <v>8.4138000000000002</v>
      </c>
      <c r="J19" s="33"/>
      <c r="K19" s="34" t="s">
        <v>25</v>
      </c>
    </row>
    <row r="20" spans="1:11">
      <c r="B20" s="1" t="s">
        <v>26</v>
      </c>
      <c r="C20" s="21" t="s">
        <v>27</v>
      </c>
      <c r="D20" s="29" t="s">
        <v>28</v>
      </c>
      <c r="E20" s="30" t="s">
        <v>29</v>
      </c>
      <c r="F20" s="31">
        <v>130</v>
      </c>
      <c r="G20" s="32">
        <v>1299.5999999999999</v>
      </c>
      <c r="H20" s="32">
        <v>4.08</v>
      </c>
      <c r="I20" s="33">
        <v>8.3628999999999998</v>
      </c>
      <c r="J20" s="33"/>
      <c r="K20" s="34" t="s">
        <v>25</v>
      </c>
    </row>
    <row r="21" spans="1:11">
      <c r="C21" s="28" t="s">
        <v>30</v>
      </c>
      <c r="D21" s="29"/>
      <c r="E21" s="30"/>
      <c r="F21" s="31"/>
      <c r="G21" s="38">
        <v>2682.43</v>
      </c>
      <c r="H21" s="38">
        <v>8.43</v>
      </c>
      <c r="I21" s="33"/>
      <c r="J21" s="33"/>
      <c r="K21" s="34"/>
    </row>
    <row r="22" spans="1:11">
      <c r="C22" s="21"/>
      <c r="D22" s="29"/>
      <c r="E22" s="30"/>
      <c r="F22" s="31"/>
      <c r="G22" s="32"/>
      <c r="H22" s="32"/>
      <c r="I22" s="33"/>
      <c r="J22" s="33"/>
      <c r="K22" s="34"/>
    </row>
    <row r="23" spans="1:11">
      <c r="C23" s="28" t="s">
        <v>31</v>
      </c>
      <c r="D23" s="29"/>
      <c r="E23" s="30"/>
      <c r="F23" s="31"/>
      <c r="G23" s="32" t="s">
        <v>16</v>
      </c>
      <c r="H23" s="32" t="s">
        <v>16</v>
      </c>
      <c r="I23" s="33"/>
      <c r="J23" s="33"/>
      <c r="K23" s="34"/>
    </row>
    <row r="24" spans="1:11">
      <c r="C24" s="21"/>
      <c r="D24" s="29"/>
      <c r="E24" s="30"/>
      <c r="F24" s="31"/>
      <c r="G24" s="32"/>
      <c r="H24" s="32"/>
      <c r="I24" s="33"/>
      <c r="J24" s="33"/>
      <c r="K24" s="34"/>
    </row>
    <row r="25" spans="1:11">
      <c r="C25" s="28" t="s">
        <v>32</v>
      </c>
      <c r="D25" s="29"/>
      <c r="E25" s="30"/>
      <c r="F25" s="31"/>
      <c r="G25" s="32" t="s">
        <v>16</v>
      </c>
      <c r="H25" s="32" t="s">
        <v>16</v>
      </c>
      <c r="I25" s="33"/>
      <c r="J25" s="33"/>
      <c r="K25" s="34"/>
    </row>
    <row r="26" spans="1:11">
      <c r="C26" s="21"/>
      <c r="D26" s="29"/>
      <c r="E26" s="30"/>
      <c r="F26" s="31"/>
      <c r="G26" s="32"/>
      <c r="H26" s="32"/>
      <c r="I26" s="33"/>
      <c r="J26" s="33"/>
      <c r="K26" s="34"/>
    </row>
    <row r="27" spans="1:11">
      <c r="C27" s="37" t="s">
        <v>33</v>
      </c>
      <c r="D27" s="29"/>
      <c r="E27" s="30"/>
      <c r="F27" s="31"/>
      <c r="G27" s="32"/>
      <c r="H27" s="32"/>
      <c r="I27" s="33"/>
      <c r="J27" s="33"/>
      <c r="K27" s="34"/>
    </row>
    <row r="28" spans="1:11">
      <c r="B28" s="1" t="s">
        <v>34</v>
      </c>
      <c r="C28" s="21" t="s">
        <v>35</v>
      </c>
      <c r="D28" s="29" t="s">
        <v>36</v>
      </c>
      <c r="E28" s="30" t="s">
        <v>37</v>
      </c>
      <c r="F28" s="31">
        <v>1000000</v>
      </c>
      <c r="G28" s="32">
        <v>999</v>
      </c>
      <c r="H28" s="32">
        <v>3.14</v>
      </c>
      <c r="I28" s="33">
        <v>0</v>
      </c>
      <c r="J28" s="33"/>
      <c r="K28" s="34"/>
    </row>
    <row r="29" spans="1:11">
      <c r="C29" s="28" t="s">
        <v>30</v>
      </c>
      <c r="D29" s="29"/>
      <c r="E29" s="30"/>
      <c r="F29" s="31"/>
      <c r="G29" s="38">
        <v>999</v>
      </c>
      <c r="H29" s="38">
        <v>3.14</v>
      </c>
      <c r="I29" s="33"/>
      <c r="J29" s="33"/>
      <c r="K29" s="34"/>
    </row>
    <row r="30" spans="1:11">
      <c r="C30" s="21"/>
      <c r="D30" s="29"/>
      <c r="E30" s="30"/>
      <c r="F30" s="31"/>
      <c r="G30" s="32"/>
      <c r="H30" s="32"/>
      <c r="I30" s="33"/>
      <c r="J30" s="33"/>
      <c r="K30" s="34"/>
    </row>
    <row r="31" spans="1:11">
      <c r="C31" s="37" t="s">
        <v>38</v>
      </c>
      <c r="D31" s="29"/>
      <c r="E31" s="30"/>
      <c r="F31" s="31"/>
      <c r="G31" s="32"/>
      <c r="H31" s="32"/>
      <c r="I31" s="33"/>
      <c r="J31" s="33"/>
      <c r="K31" s="34"/>
    </row>
    <row r="32" spans="1:11">
      <c r="B32" s="1" t="s">
        <v>39</v>
      </c>
      <c r="C32" s="21" t="s">
        <v>40</v>
      </c>
      <c r="D32" s="29" t="s">
        <v>41</v>
      </c>
      <c r="E32" s="30" t="s">
        <v>37</v>
      </c>
      <c r="F32" s="31">
        <v>100000</v>
      </c>
      <c r="G32" s="32">
        <v>101.34</v>
      </c>
      <c r="H32" s="32">
        <v>0.32</v>
      </c>
      <c r="I32" s="33">
        <v>7.4020893000000001</v>
      </c>
      <c r="J32" s="33"/>
      <c r="K32" s="34"/>
    </row>
    <row r="33" spans="1:11">
      <c r="C33" s="28" t="s">
        <v>30</v>
      </c>
      <c r="D33" s="29"/>
      <c r="E33" s="30"/>
      <c r="F33" s="31"/>
      <c r="G33" s="38">
        <v>101.34</v>
      </c>
      <c r="H33" s="38">
        <v>0.32</v>
      </c>
      <c r="I33" s="33"/>
      <c r="J33" s="33"/>
      <c r="K33" s="34"/>
    </row>
    <row r="34" spans="1:11">
      <c r="C34" s="21"/>
      <c r="D34" s="29"/>
      <c r="E34" s="30"/>
      <c r="F34" s="31"/>
      <c r="G34" s="32"/>
      <c r="H34" s="32"/>
      <c r="I34" s="33"/>
      <c r="J34" s="33"/>
      <c r="K34" s="34"/>
    </row>
    <row r="35" spans="1:11">
      <c r="A35" s="35"/>
      <c r="B35" s="36"/>
      <c r="C35" s="28" t="s">
        <v>42</v>
      </c>
      <c r="D35" s="29"/>
      <c r="E35" s="30"/>
      <c r="F35" s="31"/>
      <c r="G35" s="32"/>
      <c r="H35" s="32"/>
      <c r="I35" s="33"/>
      <c r="J35" s="33"/>
      <c r="K35" s="34"/>
    </row>
    <row r="36" spans="1:11">
      <c r="C36" s="37" t="s">
        <v>43</v>
      </c>
      <c r="D36" s="29"/>
      <c r="E36" s="30"/>
      <c r="F36" s="31"/>
      <c r="G36" s="32"/>
      <c r="H36" s="32"/>
      <c r="I36" s="33"/>
      <c r="J36" s="33"/>
      <c r="K36" s="34"/>
    </row>
    <row r="37" spans="1:11">
      <c r="B37" s="1" t="s">
        <v>44</v>
      </c>
      <c r="C37" s="21" t="s">
        <v>45</v>
      </c>
      <c r="D37" s="29" t="s">
        <v>46</v>
      </c>
      <c r="E37" s="30" t="s">
        <v>47</v>
      </c>
      <c r="F37" s="31">
        <v>340</v>
      </c>
      <c r="G37" s="32">
        <v>1613.57</v>
      </c>
      <c r="H37" s="32">
        <v>5.07</v>
      </c>
      <c r="I37" s="33">
        <v>7.6675000000000004</v>
      </c>
      <c r="J37" s="33"/>
      <c r="K37" s="34" t="s">
        <v>25</v>
      </c>
    </row>
    <row r="38" spans="1:11">
      <c r="B38" s="1" t="s">
        <v>48</v>
      </c>
      <c r="C38" s="21" t="s">
        <v>49</v>
      </c>
      <c r="D38" s="29" t="s">
        <v>50</v>
      </c>
      <c r="E38" s="30" t="s">
        <v>47</v>
      </c>
      <c r="F38" s="31">
        <v>300</v>
      </c>
      <c r="G38" s="32">
        <v>1465.68</v>
      </c>
      <c r="H38" s="32">
        <v>4.6100000000000003</v>
      </c>
      <c r="I38" s="33">
        <v>7.4325000000000001</v>
      </c>
      <c r="J38" s="33"/>
      <c r="K38" s="34" t="s">
        <v>25</v>
      </c>
    </row>
    <row r="39" spans="1:11">
      <c r="B39" s="1" t="s">
        <v>51</v>
      </c>
      <c r="C39" s="21" t="s">
        <v>52</v>
      </c>
      <c r="D39" s="29" t="s">
        <v>53</v>
      </c>
      <c r="E39" s="30" t="s">
        <v>47</v>
      </c>
      <c r="F39" s="31">
        <v>300</v>
      </c>
      <c r="G39" s="32">
        <v>1401.42</v>
      </c>
      <c r="H39" s="32">
        <v>4.4000000000000004</v>
      </c>
      <c r="I39" s="33">
        <v>7.9001000000000001</v>
      </c>
      <c r="J39" s="33"/>
      <c r="K39" s="34" t="s">
        <v>25</v>
      </c>
    </row>
    <row r="40" spans="1:11">
      <c r="B40" s="1" t="s">
        <v>54</v>
      </c>
      <c r="C40" s="21" t="s">
        <v>55</v>
      </c>
      <c r="D40" s="29" t="s">
        <v>56</v>
      </c>
      <c r="E40" s="30" t="s">
        <v>47</v>
      </c>
      <c r="F40" s="31">
        <v>100</v>
      </c>
      <c r="G40" s="32">
        <v>488.51</v>
      </c>
      <c r="H40" s="32">
        <v>1.54</v>
      </c>
      <c r="I40" s="33">
        <v>7.5327000000000002</v>
      </c>
      <c r="J40" s="33"/>
      <c r="K40" s="34" t="s">
        <v>25</v>
      </c>
    </row>
    <row r="41" spans="1:11">
      <c r="C41" s="28" t="s">
        <v>30</v>
      </c>
      <c r="D41" s="29"/>
      <c r="E41" s="30"/>
      <c r="F41" s="31"/>
      <c r="G41" s="38">
        <v>4969.18</v>
      </c>
      <c r="H41" s="38">
        <v>15.62</v>
      </c>
      <c r="I41" s="33"/>
      <c r="J41" s="33"/>
      <c r="K41" s="34"/>
    </row>
    <row r="42" spans="1:11">
      <c r="C42" s="21"/>
      <c r="D42" s="29"/>
      <c r="E42" s="30"/>
      <c r="F42" s="31"/>
      <c r="G42" s="32"/>
      <c r="H42" s="32"/>
      <c r="I42" s="33"/>
      <c r="J42" s="33"/>
      <c r="K42" s="34"/>
    </row>
    <row r="43" spans="1:11">
      <c r="C43" s="37" t="s">
        <v>57</v>
      </c>
      <c r="D43" s="29"/>
      <c r="E43" s="30"/>
      <c r="F43" s="31"/>
      <c r="G43" s="32"/>
      <c r="H43" s="32"/>
      <c r="I43" s="33"/>
      <c r="J43" s="33"/>
      <c r="K43" s="34"/>
    </row>
    <row r="44" spans="1:11">
      <c r="B44" s="1" t="s">
        <v>58</v>
      </c>
      <c r="C44" s="21" t="s">
        <v>59</v>
      </c>
      <c r="D44" s="29" t="s">
        <v>60</v>
      </c>
      <c r="E44" s="30" t="s">
        <v>61</v>
      </c>
      <c r="F44" s="31">
        <v>520</v>
      </c>
      <c r="G44" s="32">
        <v>2517.98</v>
      </c>
      <c r="H44" s="32">
        <v>7.91</v>
      </c>
      <c r="I44" s="33">
        <v>7.2500999999999998</v>
      </c>
      <c r="J44" s="33"/>
      <c r="K44" s="34"/>
    </row>
    <row r="45" spans="1:11">
      <c r="B45" s="1" t="s">
        <v>62</v>
      </c>
      <c r="C45" s="21" t="s">
        <v>63</v>
      </c>
      <c r="D45" s="29" t="s">
        <v>64</v>
      </c>
      <c r="E45" s="30" t="s">
        <v>47</v>
      </c>
      <c r="F45" s="31">
        <v>500</v>
      </c>
      <c r="G45" s="32">
        <v>2429.1999999999998</v>
      </c>
      <c r="H45" s="32">
        <v>7.63</v>
      </c>
      <c r="I45" s="33">
        <v>7.3879999999999999</v>
      </c>
      <c r="J45" s="33"/>
      <c r="K45" s="34" t="s">
        <v>25</v>
      </c>
    </row>
    <row r="46" spans="1:11">
      <c r="B46" s="1" t="s">
        <v>65</v>
      </c>
      <c r="C46" s="21" t="s">
        <v>66</v>
      </c>
      <c r="D46" s="29" t="s">
        <v>67</v>
      </c>
      <c r="E46" s="30" t="s">
        <v>47</v>
      </c>
      <c r="F46" s="31">
        <v>500</v>
      </c>
      <c r="G46" s="32">
        <v>2427.09</v>
      </c>
      <c r="H46" s="32">
        <v>7.63</v>
      </c>
      <c r="I46" s="33">
        <v>7.31</v>
      </c>
      <c r="J46" s="33"/>
      <c r="K46" s="34" t="s">
        <v>25</v>
      </c>
    </row>
    <row r="47" spans="1:11">
      <c r="B47" s="1" t="s">
        <v>68</v>
      </c>
      <c r="C47" s="21" t="s">
        <v>69</v>
      </c>
      <c r="D47" s="29" t="s">
        <v>70</v>
      </c>
      <c r="E47" s="30" t="s">
        <v>71</v>
      </c>
      <c r="F47" s="31">
        <v>500</v>
      </c>
      <c r="G47" s="32">
        <v>2412.3200000000002</v>
      </c>
      <c r="H47" s="32">
        <v>7.58</v>
      </c>
      <c r="I47" s="33">
        <v>7.33</v>
      </c>
      <c r="J47" s="33"/>
      <c r="K47" s="34" t="s">
        <v>25</v>
      </c>
    </row>
    <row r="48" spans="1:11">
      <c r="B48" s="1" t="s">
        <v>72</v>
      </c>
      <c r="C48" s="21" t="s">
        <v>73</v>
      </c>
      <c r="D48" s="29" t="s">
        <v>74</v>
      </c>
      <c r="E48" s="30" t="s">
        <v>47</v>
      </c>
      <c r="F48" s="31">
        <v>400</v>
      </c>
      <c r="G48" s="32">
        <v>1945.83</v>
      </c>
      <c r="H48" s="32">
        <v>6.12</v>
      </c>
      <c r="I48" s="33">
        <v>7.31</v>
      </c>
      <c r="J48" s="33"/>
      <c r="K48" s="34" t="s">
        <v>25</v>
      </c>
    </row>
    <row r="49" spans="1:11">
      <c r="B49" s="1" t="s">
        <v>75</v>
      </c>
      <c r="C49" s="21" t="s">
        <v>76</v>
      </c>
      <c r="D49" s="29" t="s">
        <v>77</v>
      </c>
      <c r="E49" s="30" t="s">
        <v>47</v>
      </c>
      <c r="F49" s="31">
        <v>340</v>
      </c>
      <c r="G49" s="32">
        <v>1635.43</v>
      </c>
      <c r="H49" s="32">
        <v>5.14</v>
      </c>
      <c r="I49" s="33">
        <v>7.5449000000000002</v>
      </c>
      <c r="J49" s="33"/>
      <c r="K49" s="34" t="s">
        <v>25</v>
      </c>
    </row>
    <row r="50" spans="1:11">
      <c r="B50" s="1" t="s">
        <v>78</v>
      </c>
      <c r="C50" s="21" t="s">
        <v>79</v>
      </c>
      <c r="D50" s="29" t="s">
        <v>80</v>
      </c>
      <c r="E50" s="30" t="s">
        <v>47</v>
      </c>
      <c r="F50" s="31">
        <v>300</v>
      </c>
      <c r="G50" s="32">
        <v>1459.87</v>
      </c>
      <c r="H50" s="32">
        <v>4.59</v>
      </c>
      <c r="I50" s="33">
        <v>7.2701000000000002</v>
      </c>
      <c r="J50" s="33"/>
      <c r="K50" s="34" t="s">
        <v>25</v>
      </c>
    </row>
    <row r="51" spans="1:11">
      <c r="B51" s="1" t="s">
        <v>81</v>
      </c>
      <c r="C51" s="21" t="s">
        <v>82</v>
      </c>
      <c r="D51" s="29" t="s">
        <v>83</v>
      </c>
      <c r="E51" s="30" t="s">
        <v>47</v>
      </c>
      <c r="F51" s="31">
        <v>300</v>
      </c>
      <c r="G51" s="32">
        <v>1427.27</v>
      </c>
      <c r="H51" s="32">
        <v>4.49</v>
      </c>
      <c r="I51" s="33">
        <v>7.47</v>
      </c>
      <c r="J51" s="33"/>
      <c r="K51" s="34" t="s">
        <v>25</v>
      </c>
    </row>
    <row r="52" spans="1:11">
      <c r="B52" s="1" t="s">
        <v>84</v>
      </c>
      <c r="C52" s="21" t="s">
        <v>85</v>
      </c>
      <c r="D52" s="29" t="s">
        <v>86</v>
      </c>
      <c r="E52" s="30" t="s">
        <v>61</v>
      </c>
      <c r="F52" s="31">
        <v>220</v>
      </c>
      <c r="G52" s="32">
        <v>1024.58</v>
      </c>
      <c r="H52" s="32">
        <v>3.22</v>
      </c>
      <c r="I52" s="33">
        <v>7.59</v>
      </c>
      <c r="J52" s="33"/>
      <c r="K52" s="34" t="s">
        <v>25</v>
      </c>
    </row>
    <row r="53" spans="1:11">
      <c r="B53" s="1" t="s">
        <v>87</v>
      </c>
      <c r="C53" s="21" t="s">
        <v>88</v>
      </c>
      <c r="D53" s="29" t="s">
        <v>89</v>
      </c>
      <c r="E53" s="30" t="s">
        <v>47</v>
      </c>
      <c r="F53" s="31">
        <v>200</v>
      </c>
      <c r="G53" s="32">
        <v>934.23</v>
      </c>
      <c r="H53" s="32">
        <v>2.94</v>
      </c>
      <c r="I53" s="33">
        <v>7.58</v>
      </c>
      <c r="J53" s="33"/>
      <c r="K53" s="34" t="s">
        <v>25</v>
      </c>
    </row>
    <row r="54" spans="1:11">
      <c r="B54" s="1" t="s">
        <v>90</v>
      </c>
      <c r="C54" s="21" t="s">
        <v>91</v>
      </c>
      <c r="D54" s="29" t="s">
        <v>92</v>
      </c>
      <c r="E54" s="30" t="s">
        <v>47</v>
      </c>
      <c r="F54" s="31">
        <v>200</v>
      </c>
      <c r="G54" s="32">
        <v>933.16</v>
      </c>
      <c r="H54" s="32">
        <v>2.93</v>
      </c>
      <c r="I54" s="33">
        <v>7.6449999999999996</v>
      </c>
      <c r="J54" s="33"/>
      <c r="K54" s="34" t="s">
        <v>25</v>
      </c>
    </row>
    <row r="55" spans="1:11">
      <c r="B55" s="1" t="s">
        <v>93</v>
      </c>
      <c r="C55" s="21" t="s">
        <v>94</v>
      </c>
      <c r="D55" s="29" t="s">
        <v>95</v>
      </c>
      <c r="E55" s="30" t="s">
        <v>47</v>
      </c>
      <c r="F55" s="31">
        <v>100</v>
      </c>
      <c r="G55" s="32">
        <v>476.19</v>
      </c>
      <c r="H55" s="32">
        <v>1.5</v>
      </c>
      <c r="I55" s="33">
        <v>7.39</v>
      </c>
      <c r="J55" s="33"/>
      <c r="K55" s="34"/>
    </row>
    <row r="56" spans="1:11">
      <c r="C56" s="28" t="s">
        <v>30</v>
      </c>
      <c r="D56" s="29"/>
      <c r="E56" s="30"/>
      <c r="F56" s="31"/>
      <c r="G56" s="38">
        <v>19623.150000000001</v>
      </c>
      <c r="H56" s="38">
        <v>61.68</v>
      </c>
      <c r="I56" s="33"/>
      <c r="J56" s="33"/>
      <c r="K56" s="34"/>
    </row>
    <row r="57" spans="1:11">
      <c r="C57" s="21"/>
      <c r="D57" s="29"/>
      <c r="E57" s="30"/>
      <c r="F57" s="31"/>
      <c r="G57" s="32"/>
      <c r="H57" s="32"/>
      <c r="I57" s="33"/>
      <c r="J57" s="33"/>
      <c r="K57" s="34"/>
    </row>
    <row r="58" spans="1:11">
      <c r="C58" s="28" t="s">
        <v>96</v>
      </c>
      <c r="D58" s="29"/>
      <c r="E58" s="30"/>
      <c r="F58" s="31"/>
      <c r="G58" s="32" t="s">
        <v>16</v>
      </c>
      <c r="H58" s="32" t="s">
        <v>16</v>
      </c>
      <c r="I58" s="33"/>
      <c r="J58" s="33"/>
      <c r="K58" s="34"/>
    </row>
    <row r="59" spans="1:11">
      <c r="C59" s="21"/>
      <c r="D59" s="29"/>
      <c r="E59" s="30"/>
      <c r="F59" s="31"/>
      <c r="G59" s="32"/>
      <c r="H59" s="32"/>
      <c r="I59" s="33"/>
      <c r="J59" s="33"/>
      <c r="K59" s="34"/>
    </row>
    <row r="60" spans="1:11">
      <c r="C60" s="28" t="s">
        <v>97</v>
      </c>
      <c r="D60" s="29"/>
      <c r="E60" s="30"/>
      <c r="F60" s="31"/>
      <c r="G60" s="32" t="s">
        <v>16</v>
      </c>
      <c r="H60" s="32" t="s">
        <v>16</v>
      </c>
      <c r="I60" s="33"/>
      <c r="J60" s="33"/>
      <c r="K60" s="34"/>
    </row>
    <row r="61" spans="1:11">
      <c r="C61" s="21"/>
      <c r="D61" s="29"/>
      <c r="E61" s="30"/>
      <c r="F61" s="31"/>
      <c r="G61" s="32"/>
      <c r="H61" s="32"/>
      <c r="I61" s="33"/>
      <c r="J61" s="33"/>
      <c r="K61" s="34"/>
    </row>
    <row r="62" spans="1:11">
      <c r="A62" s="35"/>
      <c r="B62" s="36"/>
      <c r="C62" s="28" t="s">
        <v>98</v>
      </c>
      <c r="D62" s="29"/>
      <c r="E62" s="30"/>
      <c r="F62" s="31"/>
      <c r="G62" s="32"/>
      <c r="H62" s="32"/>
      <c r="I62" s="33"/>
      <c r="J62" s="33"/>
      <c r="K62" s="34"/>
    </row>
    <row r="63" spans="1:11">
      <c r="A63" s="36"/>
      <c r="B63" s="36"/>
      <c r="C63" s="28" t="s">
        <v>99</v>
      </c>
      <c r="D63" s="29"/>
      <c r="E63" s="30"/>
      <c r="F63" s="31"/>
      <c r="G63" s="32" t="s">
        <v>16</v>
      </c>
      <c r="H63" s="32" t="s">
        <v>16</v>
      </c>
      <c r="I63" s="33"/>
      <c r="J63" s="33"/>
      <c r="K63" s="34"/>
    </row>
    <row r="64" spans="1:11">
      <c r="A64" s="36"/>
      <c r="B64" s="36"/>
      <c r="C64" s="28"/>
      <c r="D64" s="29"/>
      <c r="E64" s="30"/>
      <c r="F64" s="31"/>
      <c r="G64" s="32"/>
      <c r="H64" s="32"/>
      <c r="I64" s="33"/>
      <c r="J64" s="33"/>
      <c r="K64" s="34"/>
    </row>
    <row r="65" spans="1:11">
      <c r="A65" s="36"/>
      <c r="B65" s="36"/>
      <c r="C65" s="28" t="s">
        <v>100</v>
      </c>
      <c r="D65" s="29"/>
      <c r="E65" s="30"/>
      <c r="F65" s="31"/>
      <c r="G65" s="32" t="s">
        <v>16</v>
      </c>
      <c r="H65" s="32" t="s">
        <v>16</v>
      </c>
      <c r="I65" s="33"/>
      <c r="J65" s="33"/>
      <c r="K65" s="34"/>
    </row>
    <row r="66" spans="1:11">
      <c r="A66" s="36"/>
      <c r="B66" s="36"/>
      <c r="C66" s="28"/>
      <c r="D66" s="29"/>
      <c r="E66" s="30"/>
      <c r="F66" s="31"/>
      <c r="G66" s="32"/>
      <c r="H66" s="32"/>
      <c r="I66" s="33"/>
      <c r="J66" s="33"/>
      <c r="K66" s="34"/>
    </row>
    <row r="67" spans="1:11">
      <c r="A67" s="36"/>
      <c r="B67" s="36"/>
      <c r="C67" s="28" t="s">
        <v>101</v>
      </c>
      <c r="D67" s="29"/>
      <c r="E67" s="30"/>
      <c r="F67" s="31"/>
      <c r="G67" s="32" t="s">
        <v>16</v>
      </c>
      <c r="H67" s="32" t="s">
        <v>16</v>
      </c>
      <c r="I67" s="33"/>
      <c r="J67" s="33"/>
      <c r="K67" s="34"/>
    </row>
    <row r="68" spans="1:11">
      <c r="A68" s="36"/>
      <c r="B68" s="36"/>
      <c r="C68" s="28"/>
      <c r="D68" s="29"/>
      <c r="E68" s="30"/>
      <c r="F68" s="31"/>
      <c r="G68" s="32"/>
      <c r="H68" s="32"/>
      <c r="I68" s="33"/>
      <c r="J68" s="33"/>
      <c r="K68" s="34"/>
    </row>
    <row r="69" spans="1:11">
      <c r="A69" s="36"/>
      <c r="B69" s="36"/>
      <c r="C69" s="28" t="s">
        <v>102</v>
      </c>
      <c r="D69" s="29"/>
      <c r="E69" s="30"/>
      <c r="F69" s="31"/>
      <c r="G69" s="32" t="s">
        <v>16</v>
      </c>
      <c r="H69" s="32" t="s">
        <v>16</v>
      </c>
      <c r="I69" s="33"/>
      <c r="J69" s="33"/>
      <c r="K69" s="34"/>
    </row>
    <row r="70" spans="1:11">
      <c r="A70" s="36"/>
      <c r="B70" s="36"/>
      <c r="C70" s="28"/>
      <c r="D70" s="29"/>
      <c r="E70" s="30"/>
      <c r="F70" s="31"/>
      <c r="G70" s="32"/>
      <c r="H70" s="32"/>
      <c r="I70" s="33"/>
      <c r="J70" s="33"/>
      <c r="K70" s="34"/>
    </row>
    <row r="71" spans="1:11">
      <c r="C71" s="37" t="s">
        <v>103</v>
      </c>
      <c r="D71" s="29"/>
      <c r="E71" s="30"/>
      <c r="F71" s="31"/>
      <c r="G71" s="32"/>
      <c r="H71" s="32"/>
      <c r="I71" s="33"/>
      <c r="J71" s="33"/>
      <c r="K71" s="34"/>
    </row>
    <row r="72" spans="1:11">
      <c r="B72" s="1" t="s">
        <v>104</v>
      </c>
      <c r="C72" s="21" t="s">
        <v>105</v>
      </c>
      <c r="D72" s="29"/>
      <c r="E72" s="30"/>
      <c r="F72" s="31"/>
      <c r="G72" s="32">
        <v>3257.1</v>
      </c>
      <c r="H72" s="32">
        <v>10.24</v>
      </c>
      <c r="I72" s="33">
        <v>7.14</v>
      </c>
      <c r="J72" s="33"/>
      <c r="K72" s="34"/>
    </row>
    <row r="73" spans="1:11">
      <c r="C73" s="28" t="s">
        <v>30</v>
      </c>
      <c r="D73" s="29"/>
      <c r="E73" s="30"/>
      <c r="F73" s="31"/>
      <c r="G73" s="38">
        <v>3257.1</v>
      </c>
      <c r="H73" s="38">
        <v>10.24</v>
      </c>
      <c r="I73" s="33"/>
      <c r="J73" s="33"/>
      <c r="K73" s="34"/>
    </row>
    <row r="74" spans="1:11">
      <c r="C74" s="21"/>
      <c r="D74" s="29"/>
      <c r="E74" s="30"/>
      <c r="F74" s="31"/>
      <c r="G74" s="32"/>
      <c r="H74" s="32"/>
      <c r="I74" s="33"/>
      <c r="J74" s="33"/>
      <c r="K74" s="34"/>
    </row>
    <row r="75" spans="1:11">
      <c r="A75" s="35"/>
      <c r="B75" s="36"/>
      <c r="C75" s="28" t="s">
        <v>106</v>
      </c>
      <c r="D75" s="29"/>
      <c r="E75" s="30"/>
      <c r="F75" s="31"/>
      <c r="G75" s="32"/>
      <c r="H75" s="32"/>
      <c r="I75" s="33"/>
      <c r="J75" s="33"/>
      <c r="K75" s="34"/>
    </row>
    <row r="76" spans="1:11">
      <c r="B76" s="1"/>
      <c r="C76" s="21" t="s">
        <v>107</v>
      </c>
      <c r="D76" s="29"/>
      <c r="E76" s="30"/>
      <c r="F76" s="31"/>
      <c r="G76" s="32">
        <v>187.54</v>
      </c>
      <c r="H76" s="32">
        <v>0.56999999999999995</v>
      </c>
      <c r="I76" s="33"/>
      <c r="J76" s="33"/>
      <c r="K76" s="34"/>
    </row>
    <row r="77" spans="1:11">
      <c r="C77" s="28" t="s">
        <v>30</v>
      </c>
      <c r="D77" s="29"/>
      <c r="E77" s="30"/>
      <c r="F77" s="31"/>
      <c r="G77" s="38">
        <v>187.54</v>
      </c>
      <c r="H77" s="38">
        <v>0.56999999999999995</v>
      </c>
      <c r="I77" s="33"/>
      <c r="J77" s="33"/>
      <c r="K77" s="34"/>
    </row>
    <row r="78" spans="1:11">
      <c r="C78" s="21"/>
      <c r="D78" s="29"/>
      <c r="E78" s="30"/>
      <c r="F78" s="31"/>
      <c r="G78" s="32"/>
      <c r="H78" s="32"/>
      <c r="I78" s="33"/>
      <c r="J78" s="33"/>
      <c r="K78" s="34"/>
    </row>
    <row r="79" spans="1:11" ht="14.4" thickBot="1">
      <c r="C79" s="39" t="s">
        <v>108</v>
      </c>
      <c r="D79" s="40"/>
      <c r="E79" s="41"/>
      <c r="F79" s="42"/>
      <c r="G79" s="43">
        <v>31819.74</v>
      </c>
      <c r="H79" s="43">
        <f>SUMIFS(H:H,C:C,"Total")</f>
        <v>99.999999999999986</v>
      </c>
      <c r="I79" s="44"/>
      <c r="J79" s="44"/>
      <c r="K79" s="45"/>
    </row>
    <row r="82" spans="3:55">
      <c r="C82" s="11" t="s">
        <v>109</v>
      </c>
    </row>
    <row r="83" spans="3:55">
      <c r="C83" s="2" t="s">
        <v>110</v>
      </c>
    </row>
    <row r="84" spans="3:55">
      <c r="C84" s="46" t="s">
        <v>111</v>
      </c>
    </row>
    <row r="85" spans="3:55">
      <c r="C85" s="2" t="s">
        <v>112</v>
      </c>
    </row>
    <row r="86" spans="3:55">
      <c r="C86" s="2" t="s">
        <v>113</v>
      </c>
    </row>
    <row r="87" spans="3:55">
      <c r="C87" s="2" t="s">
        <v>114</v>
      </c>
      <c r="D87" s="47"/>
      <c r="E87" s="47"/>
      <c r="F87" s="47"/>
      <c r="G87" s="48"/>
      <c r="H87" s="48"/>
    </row>
    <row r="88" spans="3:55">
      <c r="C88" s="2" t="s">
        <v>115</v>
      </c>
    </row>
    <row r="89" spans="3:55">
      <c r="C89" s="2" t="s">
        <v>116</v>
      </c>
    </row>
    <row r="90" spans="3:55">
      <c r="C90" s="2" t="s">
        <v>117</v>
      </c>
    </row>
    <row r="91" spans="3:55">
      <c r="C91" s="2" t="s">
        <v>118</v>
      </c>
    </row>
    <row r="92" spans="3:55" s="11" customFormat="1">
      <c r="C92" s="11" t="s">
        <v>119</v>
      </c>
      <c r="E92" s="11" t="s">
        <v>162</v>
      </c>
      <c r="F92" s="49" t="s">
        <v>121</v>
      </c>
      <c r="G92" s="50"/>
      <c r="H92" s="50"/>
      <c r="I92" s="50"/>
      <c r="J92" s="50"/>
      <c r="K92" s="51"/>
      <c r="L92" s="51"/>
      <c r="M92" s="51"/>
      <c r="AJ92" s="51"/>
      <c r="AW92" s="51"/>
      <c r="AY92" s="51"/>
      <c r="BC92" s="51"/>
    </row>
    <row r="93" spans="3:55">
      <c r="C93" s="2" t="s">
        <v>122</v>
      </c>
      <c r="E93" s="52">
        <v>1006.2583</v>
      </c>
      <c r="F93" s="53">
        <v>1006.2583</v>
      </c>
      <c r="M93" s="10"/>
      <c r="AI93" s="2"/>
      <c r="AJ93" s="10"/>
      <c r="AV93" s="2"/>
      <c r="AW93" s="10"/>
      <c r="AX93" s="2"/>
      <c r="AY93" s="10"/>
      <c r="BB93" s="2"/>
      <c r="BC93" s="10"/>
    </row>
    <row r="94" spans="3:55">
      <c r="C94" s="2" t="s">
        <v>123</v>
      </c>
      <c r="E94" s="52">
        <v>1268.4495999999999</v>
      </c>
      <c r="F94" s="53">
        <v>1312.4737</v>
      </c>
      <c r="M94" s="10"/>
      <c r="AI94" s="2"/>
      <c r="AJ94" s="10"/>
      <c r="AV94" s="2"/>
      <c r="AW94" s="10"/>
      <c r="AX94" s="2"/>
      <c r="AY94" s="10"/>
      <c r="BB94" s="2"/>
      <c r="BC94" s="10"/>
    </row>
    <row r="95" spans="3:55">
      <c r="C95" s="2" t="s">
        <v>124</v>
      </c>
      <c r="E95" s="52">
        <v>1001.2865</v>
      </c>
      <c r="F95" s="53">
        <v>1002.002</v>
      </c>
      <c r="M95" s="10"/>
      <c r="AI95" s="2"/>
      <c r="AJ95" s="10"/>
      <c r="AV95" s="2"/>
      <c r="AW95" s="10"/>
      <c r="AX95" s="2"/>
      <c r="AY95" s="10"/>
      <c r="BB95" s="2"/>
      <c r="BC95" s="10"/>
    </row>
    <row r="96" spans="3:55">
      <c r="C96" s="2" t="s">
        <v>125</v>
      </c>
      <c r="E96" s="52">
        <v>1007.0751</v>
      </c>
      <c r="F96" s="53">
        <v>1007.0751</v>
      </c>
      <c r="M96" s="10"/>
      <c r="AI96" s="2"/>
      <c r="AJ96" s="10"/>
      <c r="AV96" s="2"/>
      <c r="AW96" s="10"/>
      <c r="AX96" s="2"/>
      <c r="AY96" s="10"/>
      <c r="BB96" s="2"/>
      <c r="BC96" s="10"/>
    </row>
    <row r="97" spans="3:55">
      <c r="C97" s="2" t="s">
        <v>126</v>
      </c>
      <c r="E97" s="52">
        <v>1278.7374</v>
      </c>
      <c r="F97" s="53">
        <v>1323.9104</v>
      </c>
      <c r="M97" s="10"/>
      <c r="AI97" s="2"/>
      <c r="AJ97" s="10"/>
      <c r="AV97" s="2"/>
      <c r="AW97" s="10"/>
      <c r="AX97" s="2"/>
      <c r="AY97" s="10"/>
      <c r="BB97" s="2"/>
      <c r="BC97" s="10"/>
    </row>
    <row r="98" spans="3:55">
      <c r="C98" s="2" t="s">
        <v>127</v>
      </c>
      <c r="E98" s="54">
        <v>1000</v>
      </c>
      <c r="F98" s="55">
        <v>1000</v>
      </c>
      <c r="M98" s="10"/>
      <c r="AI98" s="2"/>
      <c r="AJ98" s="10"/>
      <c r="AV98" s="2"/>
      <c r="AW98" s="10"/>
      <c r="AX98" s="2"/>
      <c r="AY98" s="10"/>
      <c r="BB98" s="2"/>
      <c r="BC98" s="10"/>
    </row>
    <row r="99" spans="3:55">
      <c r="M99" s="10"/>
      <c r="AI99" s="2"/>
      <c r="AJ99" s="10"/>
      <c r="AV99" s="2"/>
      <c r="AW99" s="10"/>
      <c r="AX99" s="2"/>
      <c r="AY99" s="10"/>
      <c r="BB99" s="2"/>
      <c r="BC99" s="10"/>
    </row>
    <row r="100" spans="3:55">
      <c r="C100" s="2" t="s">
        <v>163</v>
      </c>
      <c r="E100" s="11" t="s">
        <v>129</v>
      </c>
      <c r="F100" s="49" t="s">
        <v>130</v>
      </c>
      <c r="M100" s="10"/>
      <c r="AI100" s="2"/>
      <c r="AJ100" s="10"/>
      <c r="AV100" s="2"/>
      <c r="AW100" s="10"/>
      <c r="AX100" s="2"/>
      <c r="AY100" s="10"/>
      <c r="BB100" s="2"/>
      <c r="BC100" s="10"/>
    </row>
    <row r="101" spans="3:55">
      <c r="C101" s="2" t="s">
        <v>122</v>
      </c>
      <c r="E101" s="52">
        <v>34.339338799999993</v>
      </c>
      <c r="F101" s="53">
        <v>34.339338799999993</v>
      </c>
      <c r="M101" s="10"/>
      <c r="AI101" s="2"/>
      <c r="AJ101" s="10"/>
      <c r="AV101" s="2"/>
      <c r="AW101" s="10"/>
      <c r="AX101" s="2"/>
      <c r="AY101" s="10"/>
      <c r="BB101" s="2"/>
      <c r="BC101" s="10"/>
    </row>
    <row r="102" spans="3:55">
      <c r="C102" s="2" t="s">
        <v>124</v>
      </c>
      <c r="E102" s="52">
        <v>31.301974759999993</v>
      </c>
      <c r="F102" s="53">
        <v>31.301974759999993</v>
      </c>
      <c r="M102" s="10"/>
      <c r="AI102" s="2"/>
      <c r="AJ102" s="10"/>
      <c r="AV102" s="2"/>
      <c r="AW102" s="10"/>
      <c r="AX102" s="2"/>
      <c r="AY102" s="10"/>
      <c r="BB102" s="2"/>
      <c r="BC102" s="10"/>
    </row>
    <row r="103" spans="3:55">
      <c r="C103" s="2" t="s">
        <v>125</v>
      </c>
      <c r="E103" s="52">
        <v>34.969877969999992</v>
      </c>
      <c r="F103" s="53">
        <v>34.969877969999992</v>
      </c>
      <c r="M103" s="10"/>
      <c r="AI103" s="2"/>
      <c r="AJ103" s="10"/>
      <c r="AV103" s="2"/>
      <c r="AW103" s="10"/>
      <c r="AX103" s="2"/>
      <c r="AY103" s="10"/>
      <c r="BB103" s="2"/>
      <c r="BC103" s="10"/>
    </row>
    <row r="105" spans="3:55">
      <c r="C105" s="2" t="s">
        <v>164</v>
      </c>
    </row>
    <row r="106" spans="3:55">
      <c r="C106" s="2" t="s">
        <v>132</v>
      </c>
    </row>
    <row r="107" spans="3:55">
      <c r="C107" s="2" t="s">
        <v>133</v>
      </c>
    </row>
    <row r="108" spans="3:55">
      <c r="C108" s="2" t="s">
        <v>165</v>
      </c>
    </row>
    <row r="109" spans="3:55">
      <c r="C109" s="2" t="s">
        <v>135</v>
      </c>
    </row>
    <row r="110" spans="3:55">
      <c r="C110" s="2" t="s">
        <v>166</v>
      </c>
    </row>
    <row r="111" spans="3:55">
      <c r="C111" s="2" t="s">
        <v>137</v>
      </c>
    </row>
    <row r="112" spans="3:55">
      <c r="C112" s="2" t="s">
        <v>138</v>
      </c>
    </row>
    <row r="113" spans="3:54">
      <c r="C113" s="2" t="s">
        <v>167</v>
      </c>
    </row>
    <row r="114" spans="3:54">
      <c r="C114" s="2" t="s">
        <v>140</v>
      </c>
    </row>
    <row r="115" spans="3:54">
      <c r="C115" s="2" t="s">
        <v>141</v>
      </c>
    </row>
    <row r="116" spans="3:54">
      <c r="C116" s="2" t="s">
        <v>168</v>
      </c>
    </row>
    <row r="117" spans="3:54">
      <c r="C117" s="2" t="s">
        <v>143</v>
      </c>
    </row>
    <row r="118" spans="3:54">
      <c r="C118" s="2" t="s">
        <v>144</v>
      </c>
    </row>
    <row r="119" spans="3:54" ht="14.4">
      <c r="C119" s="67" t="s">
        <v>145</v>
      </c>
      <c r="D119" s="68"/>
      <c r="E119" s="68"/>
      <c r="F119" s="68"/>
      <c r="G119" s="68"/>
      <c r="H119" s="68"/>
      <c r="I119" s="68"/>
      <c r="J119" s="68"/>
      <c r="K119" s="68"/>
    </row>
    <row r="120" spans="3:54">
      <c r="C120" s="83" t="s">
        <v>169</v>
      </c>
      <c r="D120" s="83"/>
      <c r="E120" s="83"/>
      <c r="F120" s="83"/>
      <c r="G120" s="83"/>
      <c r="H120" s="83"/>
      <c r="I120" s="83"/>
      <c r="J120" s="83"/>
      <c r="K120" s="83"/>
      <c r="L120" s="2"/>
      <c r="AH120" s="10"/>
      <c r="AI120" s="2"/>
      <c r="AU120" s="10"/>
      <c r="AV120" s="2"/>
      <c r="AW120" s="10"/>
      <c r="AX120" s="2"/>
      <c r="BA120" s="10"/>
      <c r="BB120" s="2"/>
    </row>
    <row r="121" spans="3:54" ht="14.4">
      <c r="C121" s="57"/>
      <c r="D121" s="57"/>
      <c r="E121" s="57"/>
      <c r="F121" s="57"/>
      <c r="G121" s="57"/>
      <c r="H121" s="57"/>
      <c r="I121" s="57"/>
      <c r="J121" s="57"/>
      <c r="K121" s="57"/>
    </row>
    <row r="122" spans="3:54" ht="14.4">
      <c r="C122" s="56"/>
      <c r="D122" s="56"/>
      <c r="E122" s="57"/>
      <c r="F122" s="57"/>
      <c r="G122" s="57"/>
      <c r="H122" s="57"/>
      <c r="I122" s="57"/>
      <c r="J122" s="57"/>
      <c r="K122" s="57"/>
    </row>
    <row r="123" spans="3:54" ht="14.4">
      <c r="C123" s="57"/>
      <c r="D123" s="57"/>
      <c r="E123" s="57"/>
      <c r="F123" s="57"/>
      <c r="G123" s="57"/>
      <c r="H123" s="57"/>
      <c r="I123" s="57"/>
      <c r="J123" s="57"/>
      <c r="K123" s="57"/>
    </row>
    <row r="124" spans="3:54" ht="14.4">
      <c r="C124" s="57"/>
      <c r="D124" s="57"/>
      <c r="E124" s="57"/>
      <c r="F124" s="57"/>
      <c r="G124" s="57"/>
      <c r="H124" s="57"/>
      <c r="I124" s="57"/>
      <c r="J124" s="57"/>
      <c r="K124" s="57"/>
    </row>
    <row r="148" spans="3:54" ht="14.4" thickBot="1"/>
    <row r="149" spans="3:54" ht="14.4" thickBot="1">
      <c r="C149" s="69" t="s">
        <v>146</v>
      </c>
      <c r="D149" s="70"/>
      <c r="E149" s="70"/>
      <c r="F149" s="71"/>
      <c r="L149" s="2"/>
      <c r="AH149" s="10"/>
      <c r="AI149" s="2"/>
      <c r="AU149" s="10"/>
      <c r="AV149" s="2"/>
      <c r="AW149" s="10"/>
      <c r="AX149" s="2"/>
      <c r="BA149" s="10"/>
      <c r="BB149" s="2"/>
    </row>
    <row r="150" spans="3:54" ht="14.4" thickBot="1">
      <c r="C150" s="58" t="s">
        <v>147</v>
      </c>
      <c r="D150" s="72" t="s">
        <v>148</v>
      </c>
      <c r="E150" s="72" t="s">
        <v>149</v>
      </c>
      <c r="F150" s="72" t="s">
        <v>150</v>
      </c>
      <c r="L150" s="2"/>
      <c r="AH150" s="10"/>
      <c r="AI150" s="2"/>
      <c r="AU150" s="10"/>
      <c r="AV150" s="2"/>
      <c r="AW150" s="10"/>
      <c r="AX150" s="2"/>
      <c r="BA150" s="10"/>
      <c r="BB150" s="2"/>
    </row>
    <row r="151" spans="3:54" ht="14.4" thickBot="1">
      <c r="C151" s="58" t="s">
        <v>151</v>
      </c>
      <c r="D151" s="73"/>
      <c r="E151" s="73"/>
      <c r="F151" s="73"/>
      <c r="L151" s="2"/>
      <c r="AH151" s="10"/>
      <c r="AI151" s="2"/>
      <c r="AU151" s="10"/>
      <c r="AV151" s="2"/>
      <c r="AW151" s="10"/>
      <c r="AX151" s="2"/>
      <c r="BA151" s="10"/>
      <c r="BB151" s="2"/>
    </row>
    <row r="152" spans="3:54" ht="14.4" thickBot="1">
      <c r="C152" s="59" t="s">
        <v>152</v>
      </c>
      <c r="E152" s="60" t="s">
        <v>153</v>
      </c>
      <c r="F152" s="61"/>
      <c r="L152" s="2"/>
      <c r="AH152" s="10"/>
      <c r="AI152" s="2"/>
      <c r="AU152" s="10"/>
      <c r="AV152" s="2"/>
      <c r="AW152" s="10"/>
      <c r="AX152" s="2"/>
      <c r="BA152" s="10"/>
      <c r="BB152" s="2"/>
    </row>
    <row r="153" spans="3:54">
      <c r="C153" s="62" t="s">
        <v>154</v>
      </c>
      <c r="D153" s="65"/>
      <c r="E153" s="65"/>
      <c r="F153" s="65"/>
      <c r="L153" s="2"/>
      <c r="AH153" s="10"/>
      <c r="AI153" s="2"/>
      <c r="AU153" s="10"/>
      <c r="AV153" s="2"/>
      <c r="AW153" s="10"/>
      <c r="AX153" s="2"/>
      <c r="BA153" s="10"/>
      <c r="BB153" s="2"/>
    </row>
    <row r="154" spans="3:54" ht="14.4" thickBot="1">
      <c r="C154" s="59" t="s">
        <v>155</v>
      </c>
      <c r="D154" s="66"/>
      <c r="E154" s="66"/>
      <c r="F154" s="66"/>
      <c r="L154" s="2"/>
      <c r="AH154" s="10"/>
      <c r="AI154" s="2"/>
      <c r="AU154" s="10"/>
      <c r="AV154" s="2"/>
      <c r="AW154" s="10"/>
      <c r="AX154" s="2"/>
      <c r="BA154" s="10"/>
      <c r="BB154" s="2"/>
    </row>
    <row r="155" spans="3:54">
      <c r="C155" s="62" t="s">
        <v>156</v>
      </c>
      <c r="D155" s="65"/>
      <c r="E155" s="65"/>
      <c r="F155" s="65"/>
      <c r="L155" s="2"/>
      <c r="AH155" s="10"/>
      <c r="AI155" s="2"/>
      <c r="AU155" s="10"/>
      <c r="AV155" s="2"/>
      <c r="AW155" s="10"/>
      <c r="AX155" s="2"/>
      <c r="BA155" s="10"/>
      <c r="BB155" s="2"/>
    </row>
    <row r="156" spans="3:54" ht="14.4" thickBot="1">
      <c r="C156" s="59" t="s">
        <v>157</v>
      </c>
      <c r="D156" s="66"/>
      <c r="E156" s="66"/>
      <c r="F156" s="66"/>
      <c r="L156" s="2"/>
      <c r="AH156" s="10"/>
      <c r="AI156" s="2"/>
      <c r="AU156" s="10"/>
      <c r="AV156" s="2"/>
      <c r="AW156" s="10"/>
      <c r="AX156" s="2"/>
      <c r="BA156" s="10"/>
      <c r="BB156" s="2"/>
    </row>
    <row r="157" spans="3:54">
      <c r="C157" s="63" t="s">
        <v>158</v>
      </c>
      <c r="D157" s="64"/>
      <c r="E157" s="64"/>
      <c r="F157" s="64"/>
      <c r="L157" s="2"/>
      <c r="AH157" s="10"/>
      <c r="AI157" s="2"/>
      <c r="AU157" s="10"/>
      <c r="AV157" s="2"/>
      <c r="AW157" s="10"/>
      <c r="AX157" s="2"/>
      <c r="BA157" s="10"/>
      <c r="BB157" s="2"/>
    </row>
    <row r="158" spans="3:54">
      <c r="C158" s="2" t="s">
        <v>159</v>
      </c>
      <c r="L158" s="2"/>
      <c r="AH158" s="10"/>
      <c r="AI158" s="2"/>
      <c r="AU158" s="10"/>
      <c r="AV158" s="2"/>
      <c r="AW158" s="10"/>
      <c r="AX158" s="2"/>
      <c r="BA158" s="10"/>
      <c r="BB158" s="2"/>
    </row>
  </sheetData>
  <mergeCells count="14">
    <mergeCell ref="D153:D154"/>
    <mergeCell ref="E153:E154"/>
    <mergeCell ref="F153:F154"/>
    <mergeCell ref="D155:D156"/>
    <mergeCell ref="E155:E156"/>
    <mergeCell ref="F155:F156"/>
    <mergeCell ref="C2:K3"/>
    <mergeCell ref="C5:K5"/>
    <mergeCell ref="C119:K119"/>
    <mergeCell ref="C120:K120"/>
    <mergeCell ref="C149:F149"/>
    <mergeCell ref="D150:D151"/>
    <mergeCell ref="E150:E151"/>
    <mergeCell ref="F150:F1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 Portfolio</vt:lpstr>
      <vt:lpstr>Half Yearly Portfolio</vt:lpstr>
      <vt:lpstr>XDO_?CLASS_3?23?</vt:lpstr>
      <vt:lpstr>XDO_?FINAL_ISIN?100?</vt:lpstr>
      <vt:lpstr>XDO_?FINAL_ISIN?101?</vt:lpstr>
      <vt:lpstr>XDO_?FINAL_ISIN?102?</vt:lpstr>
      <vt:lpstr>XDO_?FINAL_ISIN?103?</vt:lpstr>
      <vt:lpstr>XDO_?FINAL_ISIN?104?</vt:lpstr>
      <vt:lpstr>XDO_?FINAL_ISIN?105?</vt:lpstr>
      <vt:lpstr>XDO_?FINAL_ISIN?106?</vt:lpstr>
      <vt:lpstr>XDO_?FINAL_MV?100?</vt:lpstr>
      <vt:lpstr>XDO_?FINAL_MV?101?</vt:lpstr>
      <vt:lpstr>XDO_?FINAL_MV?102?</vt:lpstr>
      <vt:lpstr>XDO_?FINAL_MV?103?</vt:lpstr>
      <vt:lpstr>XDO_?FINAL_MV?104?</vt:lpstr>
      <vt:lpstr>XDO_?FINAL_MV?105?</vt:lpstr>
      <vt:lpstr>XDO_?FINAL_MV?106?</vt:lpstr>
      <vt:lpstr>XDO_?FINAL_NAME?100?</vt:lpstr>
      <vt:lpstr>XDO_?FINAL_NAME?101?</vt:lpstr>
      <vt:lpstr>XDO_?FINAL_NAME?102?</vt:lpstr>
      <vt:lpstr>XDO_?FINAL_NAME?103?</vt:lpstr>
      <vt:lpstr>XDO_?FINAL_NAME?104?</vt:lpstr>
      <vt:lpstr>XDO_?FINAL_NAME?105?</vt:lpstr>
      <vt:lpstr>XDO_?FINAL_NAME?106?</vt:lpstr>
      <vt:lpstr>XDO_?FINAL_PER_NET?100?</vt:lpstr>
      <vt:lpstr>XDO_?FINAL_PER_NET?101?</vt:lpstr>
      <vt:lpstr>XDO_?FINAL_PER_NET?102?</vt:lpstr>
      <vt:lpstr>XDO_?FINAL_PER_NET?103?</vt:lpstr>
      <vt:lpstr>XDO_?FINAL_PER_NET?104?</vt:lpstr>
      <vt:lpstr>XDO_?FINAL_PER_NET?105?</vt:lpstr>
      <vt:lpstr>XDO_?FINAL_PER_NET?106?</vt:lpstr>
      <vt:lpstr>XDO_?FINAL_QUANTITE?100?</vt:lpstr>
      <vt:lpstr>XDO_?FINAL_QUANTITE?101?</vt:lpstr>
      <vt:lpstr>XDO_?FINAL_QUANTITE?102?</vt:lpstr>
      <vt:lpstr>XDO_?FINAL_QUANTITE?103?</vt:lpstr>
      <vt:lpstr>XDO_?FINAL_QUANTITE?104?</vt:lpstr>
      <vt:lpstr>XDO_?FINAL_QUANTITE?105?</vt:lpstr>
      <vt:lpstr>XDO_?FINAL_QUANTITE?106?</vt:lpstr>
      <vt:lpstr>XDO_?NAMCNAME?23?</vt:lpstr>
      <vt:lpstr>XDO_?NOVAL?100?</vt:lpstr>
      <vt:lpstr>XDO_?NOVAL?101?</vt:lpstr>
      <vt:lpstr>XDO_?NOVAL?102?</vt:lpstr>
      <vt:lpstr>XDO_?NOVAL?103?</vt:lpstr>
      <vt:lpstr>XDO_?NOVAL?104?</vt:lpstr>
      <vt:lpstr>XDO_?NOVAL?105?</vt:lpstr>
      <vt:lpstr>XDO_?NOVAL?106?</vt:lpstr>
      <vt:lpstr>XDO_?NPTF?23?</vt:lpstr>
      <vt:lpstr>XDO_?RATING?100?</vt:lpstr>
      <vt:lpstr>XDO_?RATING?101?</vt:lpstr>
      <vt:lpstr>XDO_?RATING?102?</vt:lpstr>
      <vt:lpstr>XDO_?RATING?103?</vt:lpstr>
      <vt:lpstr>XDO_?RATING?104?</vt:lpstr>
      <vt:lpstr>XDO_?RATING?105?</vt:lpstr>
      <vt:lpstr>XDO_?RATING?106?</vt:lpstr>
      <vt:lpstr>XDO_?REMARKS?100?</vt:lpstr>
      <vt:lpstr>XDO_?REMARKS?101?</vt:lpstr>
      <vt:lpstr>XDO_?REMARKS?102?</vt:lpstr>
      <vt:lpstr>XDO_?REMARKS?103?</vt:lpstr>
      <vt:lpstr>XDO_?REMARKS?104?</vt:lpstr>
      <vt:lpstr>XDO_?REMARKS?105?</vt:lpstr>
      <vt:lpstr>XDO_?REMARKS?106?</vt:lpstr>
      <vt:lpstr>XDO_?TITL?23?</vt:lpstr>
      <vt:lpstr>XDO_?YTM?100?</vt:lpstr>
      <vt:lpstr>XDO_?YTM?101?</vt:lpstr>
      <vt:lpstr>XDO_?YTM?102?</vt:lpstr>
      <vt:lpstr>XDO_?YTM?103?</vt:lpstr>
      <vt:lpstr>XDO_?YTM?104?</vt:lpstr>
      <vt:lpstr>XDO_?YTM?105?</vt:lpstr>
      <vt:lpstr>XDO_?YTM?106?</vt:lpstr>
      <vt:lpstr>XDO_GROUP_?G_2?23?</vt:lpstr>
      <vt:lpstr>XDO_GROUP_?G_3?23?</vt:lpstr>
      <vt:lpstr>XDO_GROUP_?G_4?100?</vt:lpstr>
      <vt:lpstr>XDO_GROUP_?G_4?101?</vt:lpstr>
      <vt:lpstr>XDO_GROUP_?G_4?102?</vt:lpstr>
      <vt:lpstr>XDO_GROUP_?G_4?103?</vt:lpstr>
      <vt:lpstr>XDO_GROUP_?G_4?104?</vt:lpstr>
      <vt:lpstr>XDO_GROUP_?G_4?105?</vt:lpstr>
      <vt:lpstr>XDO_GROUP_?G_4?106?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2023-04-05T12:36:24Z</dcterms:created>
  <dcterms:modified xsi:type="dcterms:W3CDTF">2023-04-08T12:51:30Z</dcterms:modified>
</cp:coreProperties>
</file>