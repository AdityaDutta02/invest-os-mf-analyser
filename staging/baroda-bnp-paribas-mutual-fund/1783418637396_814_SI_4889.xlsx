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F12DE352-ECB8-4EF3-8E78-28CC62B3581B}" xr6:coauthVersionLast="47" xr6:coauthVersionMax="47" xr10:uidLastSave="{00000000-0000-0000-0000-000000000000}"/>
  <bookViews>
    <workbookView xWindow="-108" yWindow="-108" windowWidth="23256" windowHeight="12456" xr2:uid="{D87767F2-DB9E-40CB-8BDE-580CB6A21362}"/>
  </bookViews>
  <sheets>
    <sheet name="SI" sheetId="1" r:id="rId1"/>
  </sheets>
  <externalReferences>
    <externalReference r:id="rId2"/>
  </externalReferences>
  <definedNames>
    <definedName name="XDO_?CLASS_3?23?">SI!$C$16:$C$36</definedName>
    <definedName name="XDO_?FINAL_ISIN?120?">SI!$D$18:$D$36</definedName>
    <definedName name="XDO_?FINAL_ISIN?121?">SI!$D$18:$D$45</definedName>
    <definedName name="XDO_?FINAL_ISIN?122?">SI!$D$18:$D$50</definedName>
    <definedName name="XDO_?FINAL_ISIN?123?">SI!$D$18:$D$67</definedName>
    <definedName name="XDO_?FINAL_ISIN?124?">SI!$D$18:$D$77</definedName>
    <definedName name="XDO_?FINAL_ISIN?125?">SI!$D$18:$D$81</definedName>
    <definedName name="XDO_?FINAL_MV?120?">SI!$G$18:$G$36</definedName>
    <definedName name="XDO_?FINAL_MV?121?">SI!$G$18:$G$45</definedName>
    <definedName name="XDO_?FINAL_MV?122?">SI!$G$18:$G$50</definedName>
    <definedName name="XDO_?FINAL_MV?123?">SI!$G$18:$G$67</definedName>
    <definedName name="XDO_?FINAL_MV?124?">SI!$G$18:$G$77</definedName>
    <definedName name="XDO_?FINAL_MV?125?">SI!$G$18:$G$81</definedName>
    <definedName name="XDO_?FINAL_NAME?120?">SI!$C$18:$C$36</definedName>
    <definedName name="XDO_?FINAL_NAME?121?">SI!$C$18:$C$45</definedName>
    <definedName name="XDO_?FINAL_NAME?122?">SI!$C$18:$C$50</definedName>
    <definedName name="XDO_?FINAL_NAME?123?">SI!$C$18:$C$67</definedName>
    <definedName name="XDO_?FINAL_NAME?124?">SI!$C$18:$C$77</definedName>
    <definedName name="XDO_?FINAL_NAME?125?">SI!$C$18:$C$81</definedName>
    <definedName name="XDO_?FINAL_PER_NET?120?">SI!$H$18:$H$36</definedName>
    <definedName name="XDO_?FINAL_PER_NET?121?">SI!$H$18:$H$45</definedName>
    <definedName name="XDO_?FINAL_PER_NET?122?">SI!$H$18:$H$50</definedName>
    <definedName name="XDO_?FINAL_PER_NET?123?">SI!$H$18:$H$67</definedName>
    <definedName name="XDO_?FINAL_PER_NET?124?">SI!$H$18:$H$77</definedName>
    <definedName name="XDO_?FINAL_PER_NET?125?">SI!$H$18:$H$81</definedName>
    <definedName name="XDO_?FINAL_QUANTITE?120?">SI!$F$18:$F$36</definedName>
    <definedName name="XDO_?FINAL_QUANTITE?121?">SI!$F$18:$F$45</definedName>
    <definedName name="XDO_?FINAL_QUANTITE?122?">SI!$F$18:$F$50</definedName>
    <definedName name="XDO_?FINAL_QUANTITE?123?">SI!$F$18:$F$67</definedName>
    <definedName name="XDO_?FINAL_QUANTITE?124?">SI!$F$18:$F$77</definedName>
    <definedName name="XDO_?FINAL_QUANTITE?125?">SI!$F$18:$F$81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3?">SI!$C$2:$C$36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0?">SI!$B$18:$B$36</definedName>
    <definedName name="XDO_?NOVAL?121?">SI!$B$18:$B$45</definedName>
    <definedName name="XDO_?NOVAL?122?">SI!$B$18:$B$50</definedName>
    <definedName name="XDO_?NOVAL?123?">SI!$B$18:$B$67</definedName>
    <definedName name="XDO_?NOVAL?124?">SI!$B$18:$B$77</definedName>
    <definedName name="XDO_?NOVAL?125?">SI!$B$18:$B$81</definedName>
    <definedName name="XDO_?NPTF?23?">SI!$D$2:$D$36</definedName>
    <definedName name="XDO_?RATING?120?">SI!$E$18:$E$36</definedName>
    <definedName name="XDO_?RATING?121?">SI!$E$18:$E$45</definedName>
    <definedName name="XDO_?RATING?122?">SI!$E$18:$E$50</definedName>
    <definedName name="XDO_?RATING?123?">SI!$E$18:$E$67</definedName>
    <definedName name="XDO_?RATING?124?">SI!$E$18:$E$77</definedName>
    <definedName name="XDO_?RATING?125?">SI!$E$18:$E$81</definedName>
    <definedName name="XDO_?REMARKS?120?">SI!$K$18:$K$36</definedName>
    <definedName name="XDO_?REMARKS?121?">SI!$K$18:$K$45</definedName>
    <definedName name="XDO_?REMARKS?122?">SI!$K$18:$K$50</definedName>
    <definedName name="XDO_?REMARKS?123?">SI!$K$18:$K$67</definedName>
    <definedName name="XDO_?REMARKS?124?">SI!$K$18:$K$77</definedName>
    <definedName name="XDO_?REMARKS?125?">SI!$K$18:$K$81</definedName>
    <definedName name="XDO_?TITL?23?">SI!$A$16:$A$36</definedName>
    <definedName name="XDO_?YTM?120?">SI!$I$18:$I$36</definedName>
    <definedName name="XDO_?YTM?121?">SI!$I$18:$I$45</definedName>
    <definedName name="XDO_?YTM?122?">SI!$I$18:$I$50</definedName>
    <definedName name="XDO_?YTM?123?">SI!$I$18:$I$67</definedName>
    <definedName name="XDO_?YTM?124?">SI!$I$18:$I$77</definedName>
    <definedName name="XDO_?YTM?125?">SI!$I$18:$I$81</definedName>
    <definedName name="XDO_GROUP_?G_2?23?">SI!$2:$51</definedName>
    <definedName name="XDO_GROUP_?G_3?23?">SI!$8:$50</definedName>
    <definedName name="XDO_GROUP_?G_4?103?">[1]SC!#REF!</definedName>
    <definedName name="XDO_GROUP_?G_4?120?">SI!$B$10:$IV$24</definedName>
    <definedName name="XDO_GROUP_?G_4?121?">SI!$B$28:$IV$29</definedName>
    <definedName name="XDO_GROUP_?G_4?122?">SI!$B$33:$IV$34</definedName>
    <definedName name="XDO_GROUP_?G_4?123?">SI!$B$39:$IV$39</definedName>
    <definedName name="XDO_GROUP_?G_4?124?">SI!$B$43:$IV$43</definedName>
    <definedName name="XDO_GROUP_?G_4?125?">SI!$B$48:$IV$48</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4" i="1" l="1"/>
</calcChain>
</file>

<file path=xl/sharedStrings.xml><?xml version="1.0" encoding="utf-8"?>
<sst xmlns="http://schemas.openxmlformats.org/spreadsheetml/2006/main" count="237" uniqueCount="173">
  <si>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</si>
  <si>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</si>
  <si>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</si>
  <si>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</si>
  <si>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</si>
  <si>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</si>
  <si>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</si>
  <si>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</si>
  <si>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</si>
  <si>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</si>
  <si>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</si>
  <si>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</si>
  <si>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</si>
  <si>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</si>
  <si>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</si>
  <si>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</si>
  <si>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</si>
  <si>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</si>
  <si>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</si>
  <si>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</si>
  <si>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</si>
  <si>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703030</t>
  </si>
  <si>
    <t>7.62% Export-Import Bank of India 01-Sep-2026</t>
  </si>
  <si>
    <t>INE514E08FG5</t>
  </si>
  <si>
    <t>CRISIL AAA</t>
  </si>
  <si>
    <t>N**</t>
  </si>
  <si>
    <t>703012</t>
  </si>
  <si>
    <t>6.40% Jamnagar Utilities &amp; Power Pvt. Ltd. 29-Sep-2026</t>
  </si>
  <si>
    <t>INE936D07174</t>
  </si>
  <si>
    <t>704525</t>
  </si>
  <si>
    <t>7.79% Small Industries Development Bank of India 19-Apr-2027</t>
  </si>
  <si>
    <t>INE556F08KK5</t>
  </si>
  <si>
    <t>704138</t>
  </si>
  <si>
    <t>7.68% Housing and Urban Development Corporation Ltd. 16-May-2026</t>
  </si>
  <si>
    <t>INE031A08871</t>
  </si>
  <si>
    <t>[ICRA]AAA</t>
  </si>
  <si>
    <t>704532</t>
  </si>
  <si>
    <t>7.77% REC Ltd. 30-Sep-2026</t>
  </si>
  <si>
    <t>INE020B08EP3</t>
  </si>
  <si>
    <t>704535</t>
  </si>
  <si>
    <t>8.50% Nomura Capital (I) Pvt. Ltd. 21-Oct-2026</t>
  </si>
  <si>
    <t>INE357L07457</t>
  </si>
  <si>
    <t>IND AAA</t>
  </si>
  <si>
    <t>703778</t>
  </si>
  <si>
    <t>7.58% NTPC Ltd. 21-Aug-2026</t>
  </si>
  <si>
    <t>INE733E07KE8</t>
  </si>
  <si>
    <t>704190</t>
  </si>
  <si>
    <t>7.70% Power Finance Corporation Ltd. 15-Sep-2026</t>
  </si>
  <si>
    <t>INE134E08MK0</t>
  </si>
  <si>
    <t>704543</t>
  </si>
  <si>
    <t>7.63% Grasim Industries Ltd. 01-Dec-2027</t>
  </si>
  <si>
    <t>INE047A08208</t>
  </si>
  <si>
    <t>704384</t>
  </si>
  <si>
    <t>7.81% Sundaram Home Finance Ltd. 25-Aug-2026</t>
  </si>
  <si>
    <t>INE667F07IN0</t>
  </si>
  <si>
    <t>702251</t>
  </si>
  <si>
    <t>7.78% HDFC Bank Ltd. 27-Mar-2027</t>
  </si>
  <si>
    <t>INE040A08567</t>
  </si>
  <si>
    <t>704286</t>
  </si>
  <si>
    <t>7.50% National Bank for Agriculture and Rural Development 31-Aug-2026</t>
  </si>
  <si>
    <t>INE261F08EA6</t>
  </si>
  <si>
    <t>703915</t>
  </si>
  <si>
    <t>8.50% JM Financial Products Ltd. 16-May-2025</t>
  </si>
  <si>
    <t>INE523H07BV9</t>
  </si>
  <si>
    <t>[ICRA]AA</t>
  </si>
  <si>
    <t>704298</t>
  </si>
  <si>
    <t>7.23% Indian Railway Finance Corporation Ltd. 15-Oct-2026</t>
  </si>
  <si>
    <t>INE053F08304</t>
  </si>
  <si>
    <t>704121</t>
  </si>
  <si>
    <t>6.50% Tata Capital Housing Finance Ltd. 15-Jun-2026</t>
  </si>
  <si>
    <t>INE033L07HF1</t>
  </si>
  <si>
    <t>702601</t>
  </si>
  <si>
    <t>6.79% Bharat Sanchar Nigam Ltd. 23-Sep-2030</t>
  </si>
  <si>
    <t>INE103D08021</t>
  </si>
  <si>
    <t>CRISIL AAA(CE)</t>
  </si>
  <si>
    <t>704318</t>
  </si>
  <si>
    <t>6.75% Sikka Ports &amp; Terminals Ltd. 22-Apr-2026</t>
  </si>
  <si>
    <t>INE941D07208</t>
  </si>
  <si>
    <t>704277</t>
  </si>
  <si>
    <t>8.43% Muthoot Finance Ltd. 31-Jul-2026</t>
  </si>
  <si>
    <t>INE414G07IG9</t>
  </si>
  <si>
    <t>CRISIL AA+</t>
  </si>
  <si>
    <t>701284</t>
  </si>
  <si>
    <t>8.41% Housing and Urban Development Corporation Ltd. 15-Mar-2029</t>
  </si>
  <si>
    <t>INE031A08699</t>
  </si>
  <si>
    <t>Total</t>
  </si>
  <si>
    <t>b) Privately Placed/Unlisted</t>
  </si>
  <si>
    <t>c) Securitised Debt Instruments</t>
  </si>
  <si>
    <t>d) Central Government Securities</t>
  </si>
  <si>
    <t>900301</t>
  </si>
  <si>
    <t>7.37% Government of India 23-Oct-2028</t>
  </si>
  <si>
    <t>IN0020230101</t>
  </si>
  <si>
    <t>Sovereign</t>
  </si>
  <si>
    <t>900145</t>
  </si>
  <si>
    <t>5.22% Government of India 15-Jun-2025</t>
  </si>
  <si>
    <t>IN0020200112</t>
  </si>
  <si>
    <t>e) State Government Securities</t>
  </si>
  <si>
    <t>1904044</t>
  </si>
  <si>
    <t>6.99% State Government of Maharashtra 09-Feb-2029</t>
  </si>
  <si>
    <t>IN2220210289</t>
  </si>
  <si>
    <t>1900796</t>
  </si>
  <si>
    <t>7.08% State Government of Karnataka 14-Dec-2026</t>
  </si>
  <si>
    <t>IN1920160059</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</si>
  <si>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</si>
  <si>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</si>
  <si>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</si>
  <si>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</si>
  <si>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</si>
  <si>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</si>
  <si>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</si>
  <si>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</si>
  <si>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</si>
  <si>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</si>
  <si>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</si>
  <si>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</si>
  <si>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</si>
  <si>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</si>
  <si>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</si>
  <si>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</si>
  <si>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</si>
  <si>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</si>
  <si>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</si>
  <si>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</si>
  <si>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</si>
  <si>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</si>
  <si>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</si>
  <si>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</si>
  <si>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</si>
  <si>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</si>
  <si>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</si>
  <si>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</si>
  <si>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</si>
  <si>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</si>
  <si>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</si>
  <si>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</si>
  <si>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</si>
  <si>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</si>
  <si>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</si>
  <si>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</si>
  <si>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</si>
  <si>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</si>
  <si>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</si>
  <si>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</si>
  <si>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</si>
  <si>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</si>
  <si>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</si>
  <si>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</si>
  <si>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1130 days.</t>
  </si>
  <si>
    <t>(12)  Details of repo transaction in corporate debt securities for the Month ended November 30, 2023 is Nil.</t>
  </si>
  <si>
    <t>(13)  Investments in debt instruments having structured obligations or credit enhancement features as at November 30, 2023 is Rs. 957.12 Lacs.</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</si>
  <si>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</si>
  <si>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</si>
  <si>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</si>
  <si>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</si>
  <si>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</si>
  <si>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</si>
  <si>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</si>
  <si>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998 days.</t>
  </si>
  <si>
    <t>(18) Annualised Portfolio YTM has been 7.8569.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</si>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</sst>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8835D1E3-4F23-44A7-959C-7A4881B31E85}"/>
    <cellStyle name="Hyperlink" xfId="2" builtinId="8"/>
    <cellStyle name="Normal" xfId="0" builtinId="0"/>
    <cellStyle name="Normal 2" xfId="4" xr:uid="{8F498198-502A-449C-9572-E20E61E195BB}"/>
    <cellStyle name="Style 1" xfId="3" xr:uid="{8B1AA5B5-0165-4D0E-A10F-27EC7FDB00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510371</xdr:colOff>
      <xdr:row>147</xdr:row>
      <xdr:rowOff>80772</xdr:rowOff>
    </xdr:to>
    <xdr:pic>
      <xdr:nvPicPr>
        <xdr:cNvPr id="2" name="Picture 1">
          <a:extLst>
            <a:ext uri="{FF2B5EF4-FFF2-40B4-BE49-F238E27FC236}">
              <a16:creationId xmlns:a16="http://schemas.microsoft.com/office/drawing/2014/main" id="{2AD9EB9F-1A57-476D-BBB1-89B0804464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861780"/>
          <a:ext cx="7459811" cy="42870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05DB-23FC-4DF5-97CE-7005A56413A6}">
  <sheetPr codeName="Sheet123"/>
  <dimension ref="A1:BC159"/>
  <sheetViews>
    <sheetView showGridLines="0" tabSelected="1" zoomScale="90" zoomScaleNormal="90" workbookViewId="0">
      <pane ySplit="6" topLeftCell="A116" activePane="bottomLeft" state="frozen"/>
      <selection activeCell="G17" sqref="G17"/>
      <selection pane="bottomLeft" activeCell="F128" sqref="F12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150</v>
      </c>
      <c r="G18" s="32">
        <v>1496.34</v>
      </c>
      <c r="H18" s="32">
        <v>6.39</v>
      </c>
      <c r="I18" s="33">
        <v>7.7</v>
      </c>
      <c r="J18" s="33"/>
      <c r="K18" s="34" t="s">
        <v>25</v>
      </c>
    </row>
    <row r="19" spans="2:11" x14ac:dyDescent="0.3">
      <c r="B19" s="1" t="s">
        <v>26</v>
      </c>
      <c r="C19" s="21" t="s">
        <v>27</v>
      </c>
      <c r="D19" s="29" t="s">
        <v>28</v>
      </c>
      <c r="E19" s="30" t="s">
        <v>24</v>
      </c>
      <c r="F19" s="31">
        <v>110</v>
      </c>
      <c r="G19" s="32">
        <v>1056.07</v>
      </c>
      <c r="H19" s="32">
        <v>4.51</v>
      </c>
      <c r="I19" s="33">
        <v>8.02</v>
      </c>
      <c r="J19" s="33"/>
      <c r="K19" s="34" t="s">
        <v>25</v>
      </c>
    </row>
    <row r="20" spans="2:11" x14ac:dyDescent="0.3">
      <c r="B20" s="1" t="s">
        <v>29</v>
      </c>
      <c r="C20" s="21" t="s">
        <v>30</v>
      </c>
      <c r="D20" s="29" t="s">
        <v>31</v>
      </c>
      <c r="E20" s="30" t="s">
        <v>24</v>
      </c>
      <c r="F20" s="31">
        <v>1000</v>
      </c>
      <c r="G20" s="32">
        <v>999.69</v>
      </c>
      <c r="H20" s="32">
        <v>4.2699999999999996</v>
      </c>
      <c r="I20" s="33">
        <v>7.81</v>
      </c>
      <c r="J20" s="33"/>
      <c r="K20" s="34"/>
    </row>
    <row r="21" spans="2:11" x14ac:dyDescent="0.3">
      <c r="B21" s="1" t="s">
        <v>32</v>
      </c>
      <c r="C21" s="21" t="s">
        <v>33</v>
      </c>
      <c r="D21" s="29" t="s">
        <v>34</v>
      </c>
      <c r="E21" s="30" t="s">
        <v>35</v>
      </c>
      <c r="F21" s="31">
        <v>1000</v>
      </c>
      <c r="G21" s="32">
        <v>998.21</v>
      </c>
      <c r="H21" s="32">
        <v>4.26</v>
      </c>
      <c r="I21" s="33">
        <v>7.73</v>
      </c>
      <c r="J21" s="33"/>
      <c r="K21" s="34" t="s">
        <v>25</v>
      </c>
    </row>
    <row r="22" spans="2:11" x14ac:dyDescent="0.3">
      <c r="B22" s="1" t="s">
        <v>36</v>
      </c>
      <c r="C22" s="21" t="s">
        <v>37</v>
      </c>
      <c r="D22" s="29" t="s">
        <v>38</v>
      </c>
      <c r="E22" s="30" t="s">
        <v>24</v>
      </c>
      <c r="F22" s="31">
        <v>1000</v>
      </c>
      <c r="G22" s="32">
        <v>998.05</v>
      </c>
      <c r="H22" s="32">
        <v>4.26</v>
      </c>
      <c r="I22" s="33">
        <v>7.8540000000000001</v>
      </c>
      <c r="J22" s="33"/>
      <c r="K22" s="34" t="s">
        <v>25</v>
      </c>
    </row>
    <row r="23" spans="2:11" x14ac:dyDescent="0.3">
      <c r="B23" s="1" t="s">
        <v>39</v>
      </c>
      <c r="C23" s="21" t="s">
        <v>40</v>
      </c>
      <c r="D23" s="29" t="s">
        <v>41</v>
      </c>
      <c r="E23" s="30" t="s">
        <v>42</v>
      </c>
      <c r="F23" s="31">
        <v>1000</v>
      </c>
      <c r="G23" s="32">
        <v>997.41</v>
      </c>
      <c r="H23" s="32">
        <v>4.26</v>
      </c>
      <c r="I23" s="33">
        <v>8.61</v>
      </c>
      <c r="J23" s="33"/>
      <c r="K23" s="34" t="s">
        <v>25</v>
      </c>
    </row>
    <row r="24" spans="2:11" x14ac:dyDescent="0.3">
      <c r="B24" s="1" t="s">
        <v>43</v>
      </c>
      <c r="C24" s="21" t="s">
        <v>44</v>
      </c>
      <c r="D24" s="29" t="s">
        <v>45</v>
      </c>
      <c r="E24" s="30" t="s">
        <v>24</v>
      </c>
      <c r="F24" s="31">
        <v>100</v>
      </c>
      <c r="G24" s="32">
        <v>997.3</v>
      </c>
      <c r="H24" s="32">
        <v>4.26</v>
      </c>
      <c r="I24" s="33">
        <v>7.6707999999999998</v>
      </c>
      <c r="J24" s="33"/>
      <c r="K24" s="34" t="s">
        <v>25</v>
      </c>
    </row>
    <row r="25" spans="2:11" x14ac:dyDescent="0.3">
      <c r="B25" s="1" t="s">
        <v>46</v>
      </c>
      <c r="C25" s="21" t="s">
        <v>47</v>
      </c>
      <c r="D25" s="29" t="s">
        <v>48</v>
      </c>
      <c r="E25" s="30" t="s">
        <v>24</v>
      </c>
      <c r="F25" s="31">
        <v>1000</v>
      </c>
      <c r="G25" s="32">
        <v>995.82</v>
      </c>
      <c r="H25" s="32">
        <v>4.25</v>
      </c>
      <c r="I25" s="33">
        <v>7.87</v>
      </c>
      <c r="J25" s="33"/>
      <c r="K25" s="34" t="s">
        <v>25</v>
      </c>
    </row>
    <row r="26" spans="2:11" x14ac:dyDescent="0.3">
      <c r="B26" s="1" t="s">
        <v>49</v>
      </c>
      <c r="C26" s="21" t="s">
        <v>50</v>
      </c>
      <c r="D26" s="29" t="s">
        <v>51</v>
      </c>
      <c r="E26" s="30" t="s">
        <v>24</v>
      </c>
      <c r="F26" s="31">
        <v>100</v>
      </c>
      <c r="G26" s="32">
        <v>995.17</v>
      </c>
      <c r="H26" s="32">
        <v>4.25</v>
      </c>
      <c r="I26" s="33">
        <v>7.7750000000000004</v>
      </c>
      <c r="J26" s="33"/>
      <c r="K26" s="34" t="s">
        <v>25</v>
      </c>
    </row>
    <row r="27" spans="2:11" x14ac:dyDescent="0.3">
      <c r="B27" s="1" t="s">
        <v>52</v>
      </c>
      <c r="C27" s="21" t="s">
        <v>53</v>
      </c>
      <c r="D27" s="29" t="s">
        <v>54</v>
      </c>
      <c r="E27" s="30" t="s">
        <v>24</v>
      </c>
      <c r="F27" s="31">
        <v>1000</v>
      </c>
      <c r="G27" s="32">
        <v>994.2</v>
      </c>
      <c r="H27" s="32">
        <v>4.24</v>
      </c>
      <c r="I27" s="33">
        <v>8.0298999999999996</v>
      </c>
      <c r="J27" s="33"/>
      <c r="K27" s="34" t="s">
        <v>25</v>
      </c>
    </row>
    <row r="28" spans="2:11" x14ac:dyDescent="0.3">
      <c r="B28" s="1" t="s">
        <v>55</v>
      </c>
      <c r="C28" s="21" t="s">
        <v>56</v>
      </c>
      <c r="D28" s="29" t="s">
        <v>57</v>
      </c>
      <c r="E28" s="30" t="s">
        <v>24</v>
      </c>
      <c r="F28" s="31">
        <v>10</v>
      </c>
      <c r="G28" s="32">
        <v>992.16</v>
      </c>
      <c r="H28" s="32">
        <v>4.2300000000000004</v>
      </c>
      <c r="I28" s="33">
        <v>8.0350000000000001</v>
      </c>
      <c r="J28" s="33"/>
      <c r="K28" s="34" t="s">
        <v>25</v>
      </c>
    </row>
    <row r="29" spans="2:11" x14ac:dyDescent="0.3">
      <c r="B29" s="1" t="s">
        <v>58</v>
      </c>
      <c r="C29" s="21" t="s">
        <v>59</v>
      </c>
      <c r="D29" s="29" t="s">
        <v>60</v>
      </c>
      <c r="E29" s="30" t="s">
        <v>24</v>
      </c>
      <c r="F29" s="31">
        <v>1000</v>
      </c>
      <c r="G29" s="32">
        <v>991.35</v>
      </c>
      <c r="H29" s="32">
        <v>4.2300000000000004</v>
      </c>
      <c r="I29" s="33">
        <v>7.84</v>
      </c>
      <c r="J29" s="33"/>
      <c r="K29" s="34" t="s">
        <v>25</v>
      </c>
    </row>
    <row r="30" spans="2:11" x14ac:dyDescent="0.3">
      <c r="B30" s="1" t="s">
        <v>61</v>
      </c>
      <c r="C30" s="21" t="s">
        <v>62</v>
      </c>
      <c r="D30" s="29" t="s">
        <v>63</v>
      </c>
      <c r="E30" s="30" t="s">
        <v>64</v>
      </c>
      <c r="F30" s="31">
        <v>100</v>
      </c>
      <c r="G30" s="32">
        <v>990.5</v>
      </c>
      <c r="H30" s="32">
        <v>4.2300000000000004</v>
      </c>
      <c r="I30" s="33">
        <v>9.2799999999999994</v>
      </c>
      <c r="J30" s="33"/>
      <c r="K30" s="34" t="s">
        <v>25</v>
      </c>
    </row>
    <row r="31" spans="2:11" x14ac:dyDescent="0.3">
      <c r="B31" s="1" t="s">
        <v>65</v>
      </c>
      <c r="C31" s="21" t="s">
        <v>66</v>
      </c>
      <c r="D31" s="29" t="s">
        <v>67</v>
      </c>
      <c r="E31" s="30" t="s">
        <v>24</v>
      </c>
      <c r="F31" s="31">
        <v>1000</v>
      </c>
      <c r="G31" s="32">
        <v>988.48</v>
      </c>
      <c r="H31" s="32">
        <v>4.22</v>
      </c>
      <c r="I31" s="33">
        <v>7.6974999999999998</v>
      </c>
      <c r="J31" s="33"/>
      <c r="K31" s="34" t="s">
        <v>25</v>
      </c>
    </row>
    <row r="32" spans="2:11" x14ac:dyDescent="0.3">
      <c r="B32" s="1" t="s">
        <v>68</v>
      </c>
      <c r="C32" s="21" t="s">
        <v>69</v>
      </c>
      <c r="D32" s="29" t="s">
        <v>70</v>
      </c>
      <c r="E32" s="30" t="s">
        <v>24</v>
      </c>
      <c r="F32" s="31">
        <v>100</v>
      </c>
      <c r="G32" s="32">
        <v>963.51</v>
      </c>
      <c r="H32" s="32">
        <v>4.1100000000000003</v>
      </c>
      <c r="I32" s="33">
        <v>8.1199999999999992</v>
      </c>
      <c r="J32" s="33"/>
      <c r="K32" s="34" t="s">
        <v>25</v>
      </c>
    </row>
    <row r="33" spans="2:11" x14ac:dyDescent="0.3">
      <c r="B33" s="1" t="s">
        <v>71</v>
      </c>
      <c r="C33" s="21" t="s">
        <v>72</v>
      </c>
      <c r="D33" s="29" t="s">
        <v>73</v>
      </c>
      <c r="E33" s="30" t="s">
        <v>74</v>
      </c>
      <c r="F33" s="31">
        <v>100</v>
      </c>
      <c r="G33" s="32">
        <v>957.12</v>
      </c>
      <c r="H33" s="32">
        <v>4.08</v>
      </c>
      <c r="I33" s="33">
        <v>7.75</v>
      </c>
      <c r="J33" s="33"/>
      <c r="K33" s="34"/>
    </row>
    <row r="34" spans="2:11" x14ac:dyDescent="0.3">
      <c r="B34" s="1" t="s">
        <v>75</v>
      </c>
      <c r="C34" s="21" t="s">
        <v>76</v>
      </c>
      <c r="D34" s="29" t="s">
        <v>77</v>
      </c>
      <c r="E34" s="30" t="s">
        <v>24</v>
      </c>
      <c r="F34" s="31">
        <v>70</v>
      </c>
      <c r="G34" s="32">
        <v>680.68</v>
      </c>
      <c r="H34" s="32">
        <v>2.9</v>
      </c>
      <c r="I34" s="33">
        <v>8.0350000000000001</v>
      </c>
      <c r="J34" s="33"/>
      <c r="K34" s="34" t="s">
        <v>25</v>
      </c>
    </row>
    <row r="35" spans="2:11" x14ac:dyDescent="0.3">
      <c r="B35" s="1" t="s">
        <v>78</v>
      </c>
      <c r="C35" s="21" t="s">
        <v>79</v>
      </c>
      <c r="D35" s="29" t="s">
        <v>80</v>
      </c>
      <c r="E35" s="30" t="s">
        <v>81</v>
      </c>
      <c r="F35" s="31">
        <v>500</v>
      </c>
      <c r="G35" s="32">
        <v>495.09</v>
      </c>
      <c r="H35" s="32">
        <v>2.11</v>
      </c>
      <c r="I35" s="33">
        <v>8.8249999999999993</v>
      </c>
      <c r="J35" s="33"/>
      <c r="K35" s="34" t="s">
        <v>25</v>
      </c>
    </row>
    <row r="36" spans="2:11" x14ac:dyDescent="0.3">
      <c r="B36" s="1" t="s">
        <v>82</v>
      </c>
      <c r="C36" s="21" t="s">
        <v>83</v>
      </c>
      <c r="D36" s="29" t="s">
        <v>84</v>
      </c>
      <c r="E36" s="30" t="s">
        <v>35</v>
      </c>
      <c r="F36" s="31">
        <v>10</v>
      </c>
      <c r="G36" s="32">
        <v>103.79</v>
      </c>
      <c r="H36" s="32">
        <v>0.44</v>
      </c>
      <c r="I36" s="33">
        <v>7.665</v>
      </c>
      <c r="J36" s="33"/>
      <c r="K36" s="34" t="s">
        <v>25</v>
      </c>
    </row>
    <row r="37" spans="2:11" x14ac:dyDescent="0.3">
      <c r="C37" s="28" t="s">
        <v>85</v>
      </c>
      <c r="D37" s="29"/>
      <c r="E37" s="30"/>
      <c r="F37" s="31"/>
      <c r="G37" s="38">
        <v>17690.939999999999</v>
      </c>
      <c r="H37" s="38">
        <v>75.5</v>
      </c>
      <c r="I37" s="33"/>
      <c r="J37" s="33"/>
      <c r="K37" s="34"/>
    </row>
    <row r="38" spans="2:11" x14ac:dyDescent="0.3">
      <c r="C38" s="21"/>
      <c r="D38" s="29"/>
      <c r="E38" s="30"/>
      <c r="F38" s="31"/>
      <c r="G38" s="32"/>
      <c r="H38" s="32"/>
      <c r="I38" s="33"/>
      <c r="J38" s="33"/>
      <c r="K38" s="34"/>
    </row>
    <row r="39" spans="2:11" x14ac:dyDescent="0.3">
      <c r="C39" s="28" t="s">
        <v>86</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28" t="s">
        <v>87</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37" t="s">
        <v>88</v>
      </c>
      <c r="D43" s="29"/>
      <c r="E43" s="30"/>
      <c r="F43" s="31"/>
      <c r="G43" s="32"/>
      <c r="H43" s="32"/>
      <c r="I43" s="33"/>
      <c r="J43" s="33"/>
      <c r="K43" s="34"/>
    </row>
    <row r="44" spans="2:11" x14ac:dyDescent="0.3">
      <c r="B44" s="1" t="s">
        <v>89</v>
      </c>
      <c r="C44" s="21" t="s">
        <v>90</v>
      </c>
      <c r="D44" s="29" t="s">
        <v>91</v>
      </c>
      <c r="E44" s="30" t="s">
        <v>92</v>
      </c>
      <c r="F44" s="31">
        <v>1000000</v>
      </c>
      <c r="G44" s="32">
        <v>1004.64</v>
      </c>
      <c r="H44" s="32">
        <v>4.29</v>
      </c>
      <c r="I44" s="33">
        <v>7.3844057000000003</v>
      </c>
      <c r="J44" s="33"/>
      <c r="K44" s="34"/>
    </row>
    <row r="45" spans="2:11" x14ac:dyDescent="0.3">
      <c r="B45" s="1" t="s">
        <v>93</v>
      </c>
      <c r="C45" s="21" t="s">
        <v>94</v>
      </c>
      <c r="D45" s="29" t="s">
        <v>95</v>
      </c>
      <c r="E45" s="30" t="s">
        <v>92</v>
      </c>
      <c r="F45" s="31">
        <v>401000</v>
      </c>
      <c r="G45" s="32">
        <v>389.46</v>
      </c>
      <c r="H45" s="32">
        <v>1.66</v>
      </c>
      <c r="I45" s="33">
        <v>7.3575869000000003</v>
      </c>
      <c r="J45" s="33"/>
      <c r="K45" s="34"/>
    </row>
    <row r="46" spans="2:11" x14ac:dyDescent="0.3">
      <c r="C46" s="28" t="s">
        <v>85</v>
      </c>
      <c r="D46" s="29"/>
      <c r="E46" s="30"/>
      <c r="F46" s="31"/>
      <c r="G46" s="38">
        <v>1394.1</v>
      </c>
      <c r="H46" s="38">
        <v>5.95</v>
      </c>
      <c r="I46" s="33"/>
      <c r="J46" s="33"/>
      <c r="K46" s="34"/>
    </row>
    <row r="47" spans="2:11" x14ac:dyDescent="0.3">
      <c r="C47" s="21"/>
      <c r="D47" s="29"/>
      <c r="E47" s="30"/>
      <c r="F47" s="31"/>
      <c r="G47" s="32"/>
      <c r="H47" s="32"/>
      <c r="I47" s="33"/>
      <c r="J47" s="33"/>
      <c r="K47" s="34"/>
    </row>
    <row r="48" spans="2:11" x14ac:dyDescent="0.3">
      <c r="C48" s="37" t="s">
        <v>96</v>
      </c>
      <c r="D48" s="29"/>
      <c r="E48" s="30"/>
      <c r="F48" s="31"/>
      <c r="G48" s="32"/>
      <c r="H48" s="32"/>
      <c r="I48" s="33"/>
      <c r="J48" s="33"/>
      <c r="K48" s="34"/>
    </row>
    <row r="49" spans="1:11" x14ac:dyDescent="0.3">
      <c r="B49" s="1" t="s">
        <v>97</v>
      </c>
      <c r="C49" s="21" t="s">
        <v>98</v>
      </c>
      <c r="D49" s="29" t="s">
        <v>99</v>
      </c>
      <c r="E49" s="30" t="s">
        <v>92</v>
      </c>
      <c r="F49" s="31">
        <v>2000000</v>
      </c>
      <c r="G49" s="32">
        <v>1949.05</v>
      </c>
      <c r="H49" s="32">
        <v>8.32</v>
      </c>
      <c r="I49" s="33">
        <v>7.7335634000000004</v>
      </c>
      <c r="J49" s="33"/>
      <c r="K49" s="34"/>
    </row>
    <row r="50" spans="1:11" x14ac:dyDescent="0.3">
      <c r="B50" s="1" t="s">
        <v>100</v>
      </c>
      <c r="C50" s="21" t="s">
        <v>101</v>
      </c>
      <c r="D50" s="29" t="s">
        <v>102</v>
      </c>
      <c r="E50" s="30" t="s">
        <v>92</v>
      </c>
      <c r="F50" s="31">
        <v>1000000</v>
      </c>
      <c r="G50" s="32">
        <v>988.02</v>
      </c>
      <c r="H50" s="32">
        <v>4.22</v>
      </c>
      <c r="I50" s="33">
        <v>7.6689226000000001</v>
      </c>
      <c r="J50" s="33"/>
      <c r="K50" s="34"/>
    </row>
    <row r="51" spans="1:11" x14ac:dyDescent="0.3">
      <c r="C51" s="28" t="s">
        <v>85</v>
      </c>
      <c r="D51" s="29"/>
      <c r="E51" s="30"/>
      <c r="F51" s="31"/>
      <c r="G51" s="38">
        <v>2937.07</v>
      </c>
      <c r="H51" s="38">
        <v>12.54</v>
      </c>
      <c r="I51" s="33"/>
      <c r="J51" s="33"/>
      <c r="K51" s="34"/>
    </row>
    <row r="52" spans="1:11" x14ac:dyDescent="0.3">
      <c r="C52" s="21"/>
      <c r="D52" s="29"/>
      <c r="E52" s="30"/>
      <c r="F52" s="31"/>
      <c r="G52" s="32"/>
      <c r="H52" s="32"/>
      <c r="I52" s="33"/>
      <c r="J52" s="33"/>
      <c r="K52" s="34"/>
    </row>
    <row r="53" spans="1:11" x14ac:dyDescent="0.3">
      <c r="C53" s="28" t="s">
        <v>103</v>
      </c>
      <c r="D53" s="29"/>
      <c r="E53" s="30"/>
      <c r="F53" s="31"/>
      <c r="G53" s="32"/>
      <c r="H53" s="32"/>
      <c r="I53" s="33"/>
      <c r="J53" s="33"/>
      <c r="K53" s="34"/>
    </row>
    <row r="54" spans="1:11" x14ac:dyDescent="0.3">
      <c r="C54" s="21"/>
      <c r="D54" s="29"/>
      <c r="E54" s="30"/>
      <c r="F54" s="31"/>
      <c r="G54" s="32"/>
      <c r="H54" s="32"/>
      <c r="I54" s="33"/>
      <c r="J54" s="33"/>
      <c r="K54" s="34"/>
    </row>
    <row r="55" spans="1:11" x14ac:dyDescent="0.3">
      <c r="C55" s="28" t="s">
        <v>104</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C57" s="28" t="s">
        <v>105</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106</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107</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A63" s="35"/>
      <c r="B63" s="36"/>
      <c r="C63" s="28" t="s">
        <v>108</v>
      </c>
      <c r="D63" s="29"/>
      <c r="E63" s="30"/>
      <c r="F63" s="31"/>
      <c r="G63" s="32"/>
      <c r="H63" s="32"/>
      <c r="I63" s="33"/>
      <c r="J63" s="33"/>
      <c r="K63" s="34"/>
    </row>
    <row r="64" spans="1:11" x14ac:dyDescent="0.3">
      <c r="C64" s="37" t="s">
        <v>109</v>
      </c>
      <c r="D64" s="29"/>
      <c r="E64" s="30"/>
      <c r="F64" s="31"/>
      <c r="G64" s="32" t="s">
        <v>16</v>
      </c>
      <c r="H64" s="32" t="s">
        <v>16</v>
      </c>
      <c r="I64" s="33"/>
      <c r="J64" s="33"/>
      <c r="K64" s="34"/>
    </row>
    <row r="65" spans="1:11" x14ac:dyDescent="0.3">
      <c r="C65" s="37"/>
      <c r="D65" s="29"/>
      <c r="E65" s="30"/>
      <c r="F65" s="31"/>
      <c r="G65" s="32"/>
      <c r="H65" s="32"/>
      <c r="I65" s="33"/>
      <c r="J65" s="33"/>
      <c r="K65" s="34"/>
    </row>
    <row r="66" spans="1:11" x14ac:dyDescent="0.3">
      <c r="C66" s="37" t="s">
        <v>110</v>
      </c>
      <c r="D66" s="29"/>
      <c r="E66" s="30"/>
      <c r="F66" s="31"/>
      <c r="G66" s="32"/>
      <c r="H66" s="32"/>
      <c r="I66" s="33"/>
      <c r="J66" s="33"/>
      <c r="K66" s="34"/>
    </row>
    <row r="67" spans="1:11" x14ac:dyDescent="0.3">
      <c r="B67" s="1" t="s">
        <v>111</v>
      </c>
      <c r="C67" s="21" t="s">
        <v>112</v>
      </c>
      <c r="D67" s="29" t="s">
        <v>113</v>
      </c>
      <c r="E67" s="30"/>
      <c r="F67" s="31">
        <v>630.46900000000005</v>
      </c>
      <c r="G67" s="32">
        <v>63.31</v>
      </c>
      <c r="H67" s="32">
        <v>0.27</v>
      </c>
      <c r="I67" s="33">
        <v>7.26</v>
      </c>
      <c r="J67" s="33"/>
      <c r="K67" s="34"/>
    </row>
    <row r="68" spans="1:11" x14ac:dyDescent="0.3">
      <c r="C68" s="28" t="s">
        <v>85</v>
      </c>
      <c r="D68" s="29"/>
      <c r="E68" s="30"/>
      <c r="F68" s="31"/>
      <c r="G68" s="38">
        <v>63.31</v>
      </c>
      <c r="H68" s="38">
        <v>0.27</v>
      </c>
      <c r="I68" s="33"/>
      <c r="J68" s="33"/>
      <c r="K68" s="34"/>
    </row>
    <row r="69" spans="1:11" x14ac:dyDescent="0.3">
      <c r="C69" s="21"/>
      <c r="D69" s="29"/>
      <c r="E69" s="30"/>
      <c r="F69" s="31"/>
      <c r="G69" s="32"/>
      <c r="H69" s="32"/>
      <c r="I69" s="33"/>
      <c r="J69" s="33"/>
      <c r="K69" s="34"/>
    </row>
    <row r="70" spans="1:11" x14ac:dyDescent="0.3">
      <c r="C70" s="28" t="s">
        <v>114</v>
      </c>
      <c r="D70" s="29"/>
      <c r="E70" s="30"/>
      <c r="F70" s="31"/>
      <c r="G70" s="32" t="s">
        <v>16</v>
      </c>
      <c r="H70" s="32" t="s">
        <v>16</v>
      </c>
      <c r="I70" s="33"/>
      <c r="J70" s="33"/>
      <c r="K70" s="34"/>
    </row>
    <row r="71" spans="1:11" x14ac:dyDescent="0.3">
      <c r="C71" s="21"/>
      <c r="D71" s="29"/>
      <c r="E71" s="30"/>
      <c r="F71" s="31"/>
      <c r="G71" s="32"/>
      <c r="H71" s="32"/>
      <c r="I71" s="33"/>
      <c r="J71" s="33"/>
      <c r="K71" s="34"/>
    </row>
    <row r="72" spans="1:11" x14ac:dyDescent="0.3">
      <c r="C72" s="28" t="s">
        <v>115</v>
      </c>
      <c r="D72" s="29"/>
      <c r="E72" s="30"/>
      <c r="F72" s="31"/>
      <c r="G72" s="32" t="s">
        <v>16</v>
      </c>
      <c r="H72" s="32" t="s">
        <v>16</v>
      </c>
      <c r="I72" s="33"/>
      <c r="J72" s="33"/>
      <c r="K72" s="34"/>
    </row>
    <row r="73" spans="1:11" x14ac:dyDescent="0.3">
      <c r="C73" s="21"/>
      <c r="D73" s="29"/>
      <c r="E73" s="30"/>
      <c r="F73" s="31"/>
      <c r="G73" s="32"/>
      <c r="H73" s="32"/>
      <c r="I73" s="33"/>
      <c r="J73" s="33"/>
      <c r="K73" s="34"/>
    </row>
    <row r="74" spans="1:11" x14ac:dyDescent="0.3">
      <c r="C74" s="28" t="s">
        <v>116</v>
      </c>
      <c r="D74" s="29"/>
      <c r="E74" s="30"/>
      <c r="F74" s="31"/>
      <c r="G74" s="32" t="s">
        <v>16</v>
      </c>
      <c r="H74" s="32" t="s">
        <v>16</v>
      </c>
      <c r="I74" s="33"/>
      <c r="J74" s="33"/>
      <c r="K74" s="34"/>
    </row>
    <row r="75" spans="1:11" x14ac:dyDescent="0.3">
      <c r="C75" s="21"/>
      <c r="D75" s="29"/>
      <c r="E75" s="30"/>
      <c r="F75" s="31"/>
      <c r="G75" s="32"/>
      <c r="H75" s="32"/>
      <c r="I75" s="33"/>
      <c r="J75" s="33"/>
      <c r="K75" s="34"/>
    </row>
    <row r="76" spans="1:11" x14ac:dyDescent="0.3">
      <c r="C76" s="37" t="s">
        <v>117</v>
      </c>
      <c r="D76" s="29"/>
      <c r="E76" s="30"/>
      <c r="F76" s="31"/>
      <c r="G76" s="32"/>
      <c r="H76" s="32"/>
      <c r="I76" s="33"/>
      <c r="J76" s="33"/>
      <c r="K76" s="34"/>
    </row>
    <row r="77" spans="1:11" x14ac:dyDescent="0.3">
      <c r="B77" s="1" t="s">
        <v>118</v>
      </c>
      <c r="C77" s="21" t="s">
        <v>119</v>
      </c>
      <c r="D77" s="29"/>
      <c r="E77" s="30"/>
      <c r="F77" s="31"/>
      <c r="G77" s="32">
        <v>320.14</v>
      </c>
      <c r="H77" s="32">
        <v>1.37</v>
      </c>
      <c r="I77" s="33">
        <v>6.76</v>
      </c>
      <c r="J77" s="33"/>
      <c r="K77" s="34"/>
    </row>
    <row r="78" spans="1:11" x14ac:dyDescent="0.3">
      <c r="C78" s="28" t="s">
        <v>85</v>
      </c>
      <c r="D78" s="29"/>
      <c r="E78" s="30"/>
      <c r="F78" s="31"/>
      <c r="G78" s="38">
        <v>320.14</v>
      </c>
      <c r="H78" s="38">
        <v>1.37</v>
      </c>
      <c r="I78" s="33"/>
      <c r="J78" s="33"/>
      <c r="K78" s="34"/>
    </row>
    <row r="79" spans="1:11" x14ac:dyDescent="0.3">
      <c r="C79" s="21"/>
      <c r="D79" s="29"/>
      <c r="E79" s="30"/>
      <c r="F79" s="31"/>
      <c r="G79" s="32"/>
      <c r="H79" s="32"/>
      <c r="I79" s="33"/>
      <c r="J79" s="33"/>
      <c r="K79" s="34"/>
    </row>
    <row r="80" spans="1:11" x14ac:dyDescent="0.3">
      <c r="A80" s="35"/>
      <c r="B80" s="36"/>
      <c r="C80" s="28" t="s">
        <v>120</v>
      </c>
      <c r="D80" s="29"/>
      <c r="E80" s="30"/>
      <c r="F80" s="31"/>
      <c r="G80" s="32"/>
      <c r="H80" s="32"/>
      <c r="I80" s="33"/>
      <c r="J80" s="33"/>
      <c r="K80" s="34"/>
    </row>
    <row r="81" spans="2:11" x14ac:dyDescent="0.3">
      <c r="B81" s="1"/>
      <c r="C81" s="21" t="s">
        <v>121</v>
      </c>
      <c r="D81" s="29"/>
      <c r="E81" s="30"/>
      <c r="F81" s="31"/>
      <c r="G81" s="32">
        <v>1027</v>
      </c>
      <c r="H81" s="32">
        <v>4.37</v>
      </c>
      <c r="I81" s="33"/>
      <c r="J81" s="33"/>
      <c r="K81" s="34"/>
    </row>
    <row r="82" spans="2:11" x14ac:dyDescent="0.3">
      <c r="C82" s="28" t="s">
        <v>85</v>
      </c>
      <c r="D82" s="29"/>
      <c r="E82" s="30"/>
      <c r="F82" s="31"/>
      <c r="G82" s="38">
        <v>1027</v>
      </c>
      <c r="H82" s="38">
        <v>4.37</v>
      </c>
      <c r="I82" s="33"/>
      <c r="J82" s="33"/>
      <c r="K82" s="34"/>
    </row>
    <row r="83" spans="2:11" x14ac:dyDescent="0.3">
      <c r="C83" s="21"/>
      <c r="D83" s="29"/>
      <c r="E83" s="30"/>
      <c r="F83" s="31"/>
      <c r="G83" s="32"/>
      <c r="H83" s="32"/>
      <c r="I83" s="33"/>
      <c r="J83" s="33"/>
      <c r="K83" s="34"/>
    </row>
    <row r="84" spans="2:11" ht="14.4" thickBot="1" x14ac:dyDescent="0.35">
      <c r="C84" s="39" t="s">
        <v>122</v>
      </c>
      <c r="D84" s="40"/>
      <c r="E84" s="41"/>
      <c r="F84" s="42"/>
      <c r="G84" s="43">
        <v>23432.560000000001</v>
      </c>
      <c r="H84" s="43">
        <f>SUMIFS(H:H,C:C,"Total")</f>
        <v>100.00000000000001</v>
      </c>
      <c r="I84" s="44"/>
      <c r="J84" s="44"/>
      <c r="K84" s="45"/>
    </row>
    <row r="87" spans="2:11" x14ac:dyDescent="0.3">
      <c r="C87" s="11" t="s">
        <v>123</v>
      </c>
    </row>
    <row r="88" spans="2:11" x14ac:dyDescent="0.3">
      <c r="C88" s="2" t="s">
        <v>124</v>
      </c>
    </row>
    <row r="89" spans="2:11" x14ac:dyDescent="0.3">
      <c r="C89" s="46" t="s">
        <v>125</v>
      </c>
    </row>
    <row r="90" spans="2:11" x14ac:dyDescent="0.3">
      <c r="C90" s="2" t="s">
        <v>126</v>
      </c>
    </row>
    <row r="91" spans="2:11" x14ac:dyDescent="0.3">
      <c r="C91" s="2" t="s">
        <v>127</v>
      </c>
    </row>
    <row r="92" spans="2:11" x14ac:dyDescent="0.3">
      <c r="C92" s="2" t="s">
        <v>128</v>
      </c>
      <c r="D92" s="47"/>
      <c r="E92" s="47"/>
      <c r="F92" s="47"/>
      <c r="G92" s="48"/>
      <c r="H92" s="48"/>
    </row>
    <row r="93" spans="2:11" x14ac:dyDescent="0.3">
      <c r="C93" s="2" t="s">
        <v>129</v>
      </c>
    </row>
    <row r="94" spans="2:11" x14ac:dyDescent="0.3">
      <c r="C94" s="2" t="s">
        <v>130</v>
      </c>
    </row>
    <row r="95" spans="2:11" x14ac:dyDescent="0.3">
      <c r="C95" s="2" t="s">
        <v>131</v>
      </c>
    </row>
    <row r="96" spans="2:11" x14ac:dyDescent="0.3">
      <c r="C96" s="2" t="s">
        <v>132</v>
      </c>
    </row>
    <row r="97" spans="3:55" s="11" customFormat="1" x14ac:dyDescent="0.3">
      <c r="C97" s="11" t="s">
        <v>133</v>
      </c>
      <c r="E97" s="11" t="s">
        <v>134</v>
      </c>
      <c r="F97" s="49" t="s">
        <v>135</v>
      </c>
      <c r="G97" s="50"/>
      <c r="H97" s="50"/>
      <c r="I97" s="50"/>
      <c r="J97" s="50"/>
      <c r="K97" s="51"/>
      <c r="L97" s="51"/>
      <c r="M97" s="51"/>
      <c r="AJ97" s="51"/>
      <c r="AW97" s="51"/>
      <c r="AY97" s="51"/>
      <c r="BC97" s="51"/>
    </row>
    <row r="98" spans="3:55" x14ac:dyDescent="0.3">
      <c r="C98" s="2" t="s">
        <v>136</v>
      </c>
      <c r="E98" s="52">
        <v>10.134399999999999</v>
      </c>
      <c r="F98" s="53">
        <v>10.141500000000001</v>
      </c>
    </row>
    <row r="99" spans="3:55" x14ac:dyDescent="0.3">
      <c r="C99" s="2" t="s">
        <v>137</v>
      </c>
      <c r="E99" s="52">
        <v>25.641999999999999</v>
      </c>
      <c r="F99" s="53">
        <v>25.7864</v>
      </c>
    </row>
    <row r="100" spans="3:55" x14ac:dyDescent="0.3">
      <c r="C100" s="2" t="s">
        <v>138</v>
      </c>
      <c r="E100" s="52">
        <v>10.571099999999999</v>
      </c>
      <c r="F100" s="53">
        <v>10.630599999999999</v>
      </c>
    </row>
    <row r="101" spans="3:55" x14ac:dyDescent="0.3">
      <c r="C101" s="2" t="s">
        <v>139</v>
      </c>
      <c r="E101" s="52">
        <v>10.2081</v>
      </c>
      <c r="F101" s="53">
        <v>10.221299999999999</v>
      </c>
    </row>
    <row r="102" spans="3:55" x14ac:dyDescent="0.3">
      <c r="C102" s="2" t="s">
        <v>140</v>
      </c>
      <c r="E102" s="52">
        <v>27.522200000000002</v>
      </c>
      <c r="F102" s="53">
        <v>27.692499999999999</v>
      </c>
    </row>
    <row r="103" spans="3:55" x14ac:dyDescent="0.3">
      <c r="C103" s="2" t="s">
        <v>141</v>
      </c>
      <c r="E103" s="52">
        <v>11.014200000000001</v>
      </c>
      <c r="F103" s="53">
        <v>11.0823</v>
      </c>
    </row>
    <row r="105" spans="3:55" x14ac:dyDescent="0.3">
      <c r="C105" s="2" t="s">
        <v>142</v>
      </c>
      <c r="E105" s="11" t="s">
        <v>143</v>
      </c>
      <c r="F105" s="49" t="s">
        <v>144</v>
      </c>
    </row>
    <row r="106" spans="3:55" x14ac:dyDescent="0.3">
      <c r="C106" s="2" t="s">
        <v>136</v>
      </c>
      <c r="E106" s="52">
        <v>0.05</v>
      </c>
      <c r="F106" s="53">
        <v>0.05</v>
      </c>
    </row>
    <row r="107" spans="3:55" x14ac:dyDescent="0.3">
      <c r="C107" s="2" t="s">
        <v>139</v>
      </c>
      <c r="E107" s="52">
        <v>0.05</v>
      </c>
      <c r="F107" s="53">
        <v>0.05</v>
      </c>
    </row>
    <row r="109" spans="3:55" x14ac:dyDescent="0.3">
      <c r="C109" s="2" t="s">
        <v>145</v>
      </c>
    </row>
    <row r="110" spans="3:55" x14ac:dyDescent="0.3">
      <c r="C110" s="2" t="s">
        <v>146</v>
      </c>
    </row>
    <row r="111" spans="3:55" x14ac:dyDescent="0.3">
      <c r="C111" s="2" t="s">
        <v>147</v>
      </c>
    </row>
    <row r="112" spans="3:55" x14ac:dyDescent="0.3">
      <c r="C112" s="2" t="s">
        <v>148</v>
      </c>
    </row>
    <row r="113" spans="3:11" x14ac:dyDescent="0.3">
      <c r="C113" s="2" t="s">
        <v>149</v>
      </c>
    </row>
    <row r="114" spans="3:11" x14ac:dyDescent="0.3">
      <c r="C114" s="2" t="s">
        <v>150</v>
      </c>
    </row>
    <row r="115" spans="3:11" x14ac:dyDescent="0.3">
      <c r="C115" s="2" t="s">
        <v>151</v>
      </c>
    </row>
    <row r="116" spans="3:11" x14ac:dyDescent="0.3">
      <c r="C116" s="2" t="s">
        <v>152</v>
      </c>
    </row>
    <row r="117" spans="3:11" x14ac:dyDescent="0.3">
      <c r="C117" s="2" t="s">
        <v>153</v>
      </c>
    </row>
    <row r="118" spans="3:11" x14ac:dyDescent="0.3">
      <c r="C118" s="2" t="s">
        <v>154</v>
      </c>
    </row>
    <row r="119" spans="3:11" x14ac:dyDescent="0.3">
      <c r="C119" s="2" t="s">
        <v>155</v>
      </c>
    </row>
    <row r="120" spans="3:11" x14ac:dyDescent="0.3">
      <c r="C120" s="2" t="s">
        <v>156</v>
      </c>
    </row>
    <row r="121" spans="3:11" ht="14.4" x14ac:dyDescent="0.3">
      <c r="C121" s="2" t="s">
        <v>157</v>
      </c>
      <c r="E121" s="54"/>
      <c r="F121" s="54"/>
      <c r="G121" s="54"/>
      <c r="H121" s="54"/>
      <c r="I121" s="54"/>
      <c r="J121" s="54"/>
      <c r="K121" s="54"/>
    </row>
    <row r="122" spans="3:11" ht="14.4" x14ac:dyDescent="0.3">
      <c r="C122" s="2" t="s">
        <v>158</v>
      </c>
      <c r="D122" s="54"/>
      <c r="E122" s="54"/>
      <c r="F122" s="54"/>
      <c r="G122" s="54"/>
      <c r="H122" s="54"/>
      <c r="I122" s="54"/>
      <c r="J122" s="54"/>
      <c r="K122" s="54"/>
    </row>
    <row r="123" spans="3:11" ht="14.4" x14ac:dyDescent="0.3">
      <c r="C123" s="54"/>
      <c r="D123" s="54"/>
      <c r="E123" s="54"/>
      <c r="F123" s="54"/>
      <c r="G123" s="54"/>
      <c r="H123" s="54"/>
      <c r="I123" s="54"/>
      <c r="J123" s="54"/>
      <c r="K123" s="54"/>
    </row>
    <row r="149" spans="3:6" ht="14.4" thickBot="1" x14ac:dyDescent="0.35"/>
    <row r="150" spans="3:6" ht="15" thickBot="1" x14ac:dyDescent="0.35">
      <c r="C150" s="55" t="s">
        <v>159</v>
      </c>
      <c r="D150" s="56"/>
      <c r="E150" s="56"/>
      <c r="F150" s="57"/>
    </row>
    <row r="151" spans="3:6" ht="15" thickBot="1" x14ac:dyDescent="0.35">
      <c r="C151" s="58" t="s">
        <v>160</v>
      </c>
      <c r="D151" s="59" t="s">
        <v>161</v>
      </c>
      <c r="E151" s="59" t="s">
        <v>162</v>
      </c>
      <c r="F151" s="59" t="s">
        <v>163</v>
      </c>
    </row>
    <row r="152" spans="3:6" ht="15" thickBot="1" x14ac:dyDescent="0.35">
      <c r="C152" s="58" t="s">
        <v>164</v>
      </c>
      <c r="D152" s="60"/>
      <c r="E152" s="60"/>
      <c r="F152" s="60"/>
    </row>
    <row r="153" spans="3:6" ht="15" thickBot="1" x14ac:dyDescent="0.35">
      <c r="C153" s="61" t="s">
        <v>165</v>
      </c>
      <c r="D153" s="62"/>
      <c r="E153" s="63"/>
      <c r="F153" s="63"/>
    </row>
    <row r="154" spans="3:6" ht="14.4" x14ac:dyDescent="0.3">
      <c r="C154" s="64" t="s">
        <v>166</v>
      </c>
      <c r="D154"/>
      <c r="E154" s="65" t="s">
        <v>167</v>
      </c>
      <c r="F154" s="66"/>
    </row>
    <row r="155" spans="3:6" ht="15" thickBot="1" x14ac:dyDescent="0.35">
      <c r="C155" s="61" t="s">
        <v>168</v>
      </c>
      <c r="D155"/>
      <c r="E155" s="67"/>
      <c r="F155" s="68"/>
    </row>
    <row r="156" spans="3:6" ht="14.4" x14ac:dyDescent="0.3">
      <c r="C156" s="64" t="s">
        <v>169</v>
      </c>
      <c r="D156" s="66"/>
      <c r="E156" s="66"/>
      <c r="F156" s="66"/>
    </row>
    <row r="157" spans="3:6" ht="15" thickBot="1" x14ac:dyDescent="0.35">
      <c r="C157" s="61" t="s">
        <v>170</v>
      </c>
      <c r="D157" s="68"/>
      <c r="E157" s="68"/>
      <c r="F157" s="68"/>
    </row>
    <row r="158" spans="3:6" ht="14.4" x14ac:dyDescent="0.35">
      <c r="C158" s="69" t="s">
        <v>171</v>
      </c>
      <c r="D158" s="70"/>
      <c r="E158" s="70"/>
      <c r="F158" s="70"/>
    </row>
    <row r="159" spans="3:6" ht="14.4" x14ac:dyDescent="0.3">
      <c r="C159" s="2" t="s">
        <v>172</v>
      </c>
      <c r="D159"/>
      <c r="E159"/>
      <c r="F159"/>
    </row>
  </sheetData>
  <mergeCells count="9">
    <mergeCell ref="D156:D157"/>
    <mergeCell ref="E156:E157"/>
    <mergeCell ref="F156:F157"/>
    <mergeCell ref="C150:F150"/>
    <mergeCell ref="D151:D152"/>
    <mergeCell ref="E151:E152"/>
    <mergeCell ref="F151:F152"/>
    <mergeCell ref="E154:E155"/>
    <mergeCell ref="F154:F1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XDO_?CLASS_3?23?</vt:lpstr>
      <vt:lpstr>XDO_?FINAL_ISIN?120?</vt:lpstr>
      <vt:lpstr>XDO_?FINAL_ISIN?121?</vt:lpstr>
      <vt:lpstr>XDO_?FINAL_ISIN?122?</vt:lpstr>
      <vt:lpstr>XDO_?FINAL_ISIN?123?</vt:lpstr>
      <vt:lpstr>XDO_?FINAL_ISIN?124?</vt:lpstr>
      <vt:lpstr>XDO_?FINAL_ISIN?125?</vt:lpstr>
      <vt:lpstr>XDO_?FINAL_MV?120?</vt:lpstr>
      <vt:lpstr>XDO_?FINAL_MV?121?</vt:lpstr>
      <vt:lpstr>XDO_?FINAL_MV?122?</vt:lpstr>
      <vt:lpstr>XDO_?FINAL_MV?123?</vt:lpstr>
      <vt:lpstr>XDO_?FINAL_MV?124?</vt:lpstr>
      <vt:lpstr>XDO_?FINAL_MV?125?</vt:lpstr>
      <vt:lpstr>XDO_?FINAL_NAME?120?</vt:lpstr>
      <vt:lpstr>XDO_?FINAL_NAME?121?</vt:lpstr>
      <vt:lpstr>XDO_?FINAL_NAME?122?</vt:lpstr>
      <vt:lpstr>XDO_?FINAL_NAME?123?</vt:lpstr>
      <vt:lpstr>XDO_?FINAL_NAME?124?</vt:lpstr>
      <vt:lpstr>XDO_?FINAL_NAME?125?</vt:lpstr>
      <vt:lpstr>XDO_?FINAL_PER_NET?120?</vt:lpstr>
      <vt:lpstr>XDO_?FINAL_PER_NET?121?</vt:lpstr>
      <vt:lpstr>XDO_?FINAL_PER_NET?122?</vt:lpstr>
      <vt:lpstr>XDO_?FINAL_PER_NET?123?</vt:lpstr>
      <vt:lpstr>XDO_?FINAL_PER_NET?124?</vt:lpstr>
      <vt:lpstr>XDO_?FINAL_PER_NET?125?</vt:lpstr>
      <vt:lpstr>XDO_?FINAL_QUANTITE?120?</vt:lpstr>
      <vt:lpstr>XDO_?FINAL_QUANTITE?121?</vt:lpstr>
      <vt:lpstr>XDO_?FINAL_QUANTITE?122?</vt:lpstr>
      <vt:lpstr>XDO_?FINAL_QUANTITE?123?</vt:lpstr>
      <vt:lpstr>XDO_?FINAL_QUANTITE?124?</vt:lpstr>
      <vt:lpstr>XDO_?FINAL_QUANTITE?125?</vt:lpstr>
      <vt:lpstr>XDO_?NAMCNAME?23?</vt:lpstr>
      <vt:lpstr>XDO_?NOVAL?120?</vt:lpstr>
      <vt:lpstr>XDO_?NOVAL?121?</vt:lpstr>
      <vt:lpstr>XDO_?NOVAL?122?</vt:lpstr>
      <vt:lpstr>XDO_?NOVAL?123?</vt:lpstr>
      <vt:lpstr>XDO_?NOVAL?124?</vt:lpstr>
      <vt:lpstr>XDO_?NOVAL?125?</vt:lpstr>
      <vt:lpstr>XDO_?NPTF?23?</vt:lpstr>
      <vt:lpstr>XDO_?RATING?120?</vt:lpstr>
      <vt:lpstr>XDO_?RATING?121?</vt:lpstr>
      <vt:lpstr>XDO_?RATING?122?</vt:lpstr>
      <vt:lpstr>XDO_?RATING?123?</vt:lpstr>
      <vt:lpstr>XDO_?RATING?124?</vt:lpstr>
      <vt:lpstr>XDO_?RATING?125?</vt:lpstr>
      <vt:lpstr>XDO_?REMARKS?120?</vt:lpstr>
      <vt:lpstr>XDO_?REMARKS?121?</vt:lpstr>
      <vt:lpstr>XDO_?REMARKS?122?</vt:lpstr>
      <vt:lpstr>XDO_?REMARKS?123?</vt:lpstr>
      <vt:lpstr>XDO_?REMARKS?124?</vt:lpstr>
      <vt:lpstr>XDO_?REMARKS?125?</vt:lpstr>
      <vt:lpstr>XDO_?TITL?23?</vt:lpstr>
      <vt:lpstr>XDO_?YTM?120?</vt:lpstr>
      <vt:lpstr>XDO_?YTM?121?</vt:lpstr>
      <vt:lpstr>XDO_?YTM?122?</vt:lpstr>
      <vt:lpstr>XDO_?YTM?123?</vt:lpstr>
      <vt:lpstr>XDO_?YTM?124?</vt:lpstr>
      <vt:lpstr>XDO_?YTM?125?</vt:lpstr>
      <vt:lpstr>XDO_GROUP_?G_2?23?</vt:lpstr>
      <vt:lpstr>XDO_GROUP_?G_3?23?</vt:lpstr>
      <vt:lpstr>XDO_GROUP_?G_4?120?</vt:lpstr>
      <vt:lpstr>XDO_GROUP_?G_4?121?</vt:lpstr>
      <vt:lpstr>XDO_GROUP_?G_4?122?</vt:lpstr>
      <vt:lpstr>XDO_GROUP_?G_4?123?</vt:lpstr>
      <vt:lpstr>XDO_GROUP_?G_4?124?</vt:lpstr>
      <vt:lpstr>XDO_GROUP_?G_4?125?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2023-12-07T09:49:01Z</dcterms:created>
  <dcterms:modified xsi:type="dcterms:W3CDTF">2023-12-07T13:51:20Z</dcterms:modified>
</cp:coreProperties>
</file>