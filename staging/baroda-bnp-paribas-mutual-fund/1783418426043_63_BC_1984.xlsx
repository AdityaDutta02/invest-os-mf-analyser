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FC2C3EFA-84EC-4081-9151-010663C1B081}" xr6:coauthVersionLast="47" xr6:coauthVersionMax="47" xr10:uidLastSave="{00000000-0000-0000-0000-000000000000}"/>
  <bookViews>
    <workbookView xWindow="-108" yWindow="-108" windowWidth="23256" windowHeight="12576" xr2:uid="{9075E094-9FD0-4E3C-936D-1F63E3F75DC4}"/>
  </bookViews>
  <sheets>
    <sheet name="BC" sheetId="1" r:id="rId1"/>
  </sheets>
  <externalReferences>
    <externalReference r:id="rId2"/>
  </externalReferences>
  <definedNames>
    <definedName name="XDO_?CLASS_3?29?">BC!$C$8:$C$44</definedName>
    <definedName name="XDO_?FINAL_ISIN?134?">BC!$D$10:$D$44</definedName>
    <definedName name="XDO_?FINAL_ISIN?135?">BC!$D$10:$D$83</definedName>
    <definedName name="XDO_?FINAL_ISIN?136?">BC!$D$10:$D$87</definedName>
    <definedName name="XDO_?FINAL_MV?134?">BC!$G$10:$G$44</definedName>
    <definedName name="XDO_?FINAL_MV?135?">BC!$G$10:$G$83</definedName>
    <definedName name="XDO_?FINAL_MV?136?">BC!$G$10:$G$87</definedName>
    <definedName name="XDO_?FINAL_NAME?134?">BC!$C$10:$C$44</definedName>
    <definedName name="XDO_?FINAL_NAME?135?">BC!$C$10:$C$83</definedName>
    <definedName name="XDO_?FINAL_NAME?136?">BC!$C$10:$C$87</definedName>
    <definedName name="XDO_?FINAL_PER_NET?134?">BC!$H$10:$H$44</definedName>
    <definedName name="XDO_?FINAL_PER_NET?135?">BC!$H$10:$H$83</definedName>
    <definedName name="XDO_?FINAL_PER_NET?136?">BC!$H$10:$H$87</definedName>
    <definedName name="XDO_?FINAL_QUANTITE?134?">BC!$F$10:$F$44</definedName>
    <definedName name="XDO_?FINAL_QUANTITE?135?">BC!$F$10:$F$83</definedName>
    <definedName name="XDO_?FINAL_QUANTITE?136?">BC!$F$10:$F$87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9?">BC!$C$2:$C$44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34?">BC!$B$10:$B$44</definedName>
    <definedName name="XDO_?NOVAL?135?">BC!$B$10:$B$83</definedName>
    <definedName name="XDO_?NOVAL?136?">BC!$B$10:$B$87</definedName>
    <definedName name="XDO_?NPTF?29?">BC!$D$2:$D$44</definedName>
    <definedName name="XDO_?RATING?134?">BC!$E$10:$E$44</definedName>
    <definedName name="XDO_?RATING?135?">BC!$E$10:$E$83</definedName>
    <definedName name="XDO_?RATING?136?">BC!$E$10:$E$87</definedName>
    <definedName name="XDO_?REMARKS?134?">BC!$K$10:$K$44</definedName>
    <definedName name="XDO_?REMARKS?135?">BC!$K$10:$K$83</definedName>
    <definedName name="XDO_?REMARKS?136?">BC!$K$10:$K$87</definedName>
    <definedName name="XDO_?TITL?29?">BC!$A$8:$A$44</definedName>
    <definedName name="XDO_?YTM?134?">BC!$I$10:$I$44</definedName>
    <definedName name="XDO_?YTM?135?">BC!$I$10:$I$83</definedName>
    <definedName name="XDO_?YTM?136?">BC!$I$10:$I$87</definedName>
    <definedName name="XDO_GROUP_?G_2?29?">BC!$2:$55</definedName>
    <definedName name="XDO_GROUP_?G_3?29?">BC!$8:$54</definedName>
    <definedName name="XDO_GROUP_?G_4?134?">BC!$B$10:$IV$44</definedName>
    <definedName name="XDO_GROUP_?G_4?135?">BC!$B$49:$IV$49</definedName>
    <definedName name="XDO_GROUP_?G_4?136?">BC!$B$52:$IV$52</definedName>
    <definedName name="XDO_GROUP_?G_4?28?">[1]TA!#REF!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1" l="1"/>
</calcChain>
</file>

<file path=xl/sharedStrings.xml><?xml version="1.0" encoding="utf-8"?>
<sst xmlns="http://schemas.openxmlformats.org/spreadsheetml/2006/main" count="243" uniqueCount="198">
  <si>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</si>
  <si>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</si>
  <si>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</si>
  <si>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</si>
  <si>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</si>
  <si>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</si>
  <si>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</si>
  <si>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</si>
  <si>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</si>
  <si>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</si>
  <si>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</si>
  <si>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</si>
  <si>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</si>
  <si>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</si>
  <si>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</si>
  <si>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</si>
  <si>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</si>
  <si>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</si>
  <si>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</si>
  <si>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</si>
  <si>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</si>
  <si>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</si>
  <si>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</si>
  <si>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</si>
  <si>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</si>
  <si>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</si>
  <si>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</si>
  <si>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</si>
  <si>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100006</t>
  </si>
  <si>
    <t>HDFC Bank Ltd.</t>
  </si>
  <si>
    <t>INE040A01034</t>
  </si>
  <si>
    <t>Banks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</si>
  <si>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</si>
  <si>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</si>
  <si>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</si>
  <si>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</si>
  <si>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</si>
  <si>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</si>
  <si>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</si>
  <si>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100003</t>
  </si>
  <si>
    <t>Infosys Ltd.</t>
  </si>
  <si>
    <t>INE009A01021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</si>
  <si>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</si>
  <si>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</si>
  <si>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</si>
  <si>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</si>
  <si>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</si>
  <si>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</si>
  <si>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</si>
  <si>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100843</t>
  </si>
  <si>
    <t>Dalmia Bharat Ltd.</t>
  </si>
  <si>
    <t>INE00R701025</t>
  </si>
  <si>
    <t>Cement &amp; Cement Products</t>
  </si>
  <si>
    <t>101080</t>
  </si>
  <si>
    <t>JB Chemicals &amp; Pharmaceuticals Ltd.</t>
  </si>
  <si>
    <t>INE572A01028</t>
  </si>
  <si>
    <t>Pharmaceuticals &amp; Biotechnology</t>
  </si>
  <si>
    <t>100382</t>
  </si>
  <si>
    <t>Fortis Healthcare Ltd.</t>
  </si>
  <si>
    <t>INE061F01013</t>
  </si>
  <si>
    <t>Healthcare Services</t>
  </si>
  <si>
    <t>100099</t>
  </si>
  <si>
    <t>Hindustan Unilever Ltd.</t>
  </si>
  <si>
    <t>INE030A01027</t>
  </si>
  <si>
    <t>100286</t>
  </si>
  <si>
    <t>NHPC Ltd.</t>
  </si>
  <si>
    <t>INE848E01016</t>
  </si>
  <si>
    <t>Power</t>
  </si>
  <si>
    <t>100830</t>
  </si>
  <si>
    <t>Varun Beverages Ltd.</t>
  </si>
  <si>
    <t>INE200M01013</t>
  </si>
  <si>
    <t>Beverages</t>
  </si>
  <si>
    <t>100050</t>
  </si>
  <si>
    <t>Trent Ltd.</t>
  </si>
  <si>
    <t>INE849A01020</t>
  </si>
  <si>
    <t>Retailing</t>
  </si>
  <si>
    <t>100191</t>
  </si>
  <si>
    <t>Canara Bank</t>
  </si>
  <si>
    <t>INE476A01014</t>
  </si>
  <si>
    <t>100037</t>
  </si>
  <si>
    <t>HCL Technologies Ltd.</t>
  </si>
  <si>
    <t>INE860A01027</t>
  </si>
  <si>
    <t>100089</t>
  </si>
  <si>
    <t>Bharat Electronics Ltd.</t>
  </si>
  <si>
    <t>INE263A01024</t>
  </si>
  <si>
    <t>Aerospace &amp; Defense</t>
  </si>
  <si>
    <t>100025</t>
  </si>
  <si>
    <t>Nestle India Ltd.</t>
  </si>
  <si>
    <t>INE239A01016</t>
  </si>
  <si>
    <t>Food Products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</si>
  <si>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</si>
  <si>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</si>
  <si>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</si>
  <si>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</si>
  <si>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</si>
  <si>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</si>
  <si>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</si>
  <si>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</si>
  <si>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</si>
  <si>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</si>
  <si>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</si>
  <si>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</si>
  <si>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</si>
  <si>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100533</t>
  </si>
  <si>
    <t>Radico Khaitan Ltd.</t>
  </si>
  <si>
    <t>INE944F01028</t>
  </si>
  <si>
    <t>100095</t>
  </si>
  <si>
    <t>Bharti Airtel Ltd.</t>
  </si>
  <si>
    <t>INE397D01024</t>
  </si>
  <si>
    <t>Telecom - Services</t>
  </si>
  <si>
    <t>100157</t>
  </si>
  <si>
    <t>Godrej Consumer Products Ltd.</t>
  </si>
  <si>
    <t>INE102D01028</t>
  </si>
  <si>
    <t>Personal Products</t>
  </si>
  <si>
    <t>100097</t>
  </si>
  <si>
    <t>Coal India Ltd.</t>
  </si>
  <si>
    <t>INE522F01014</t>
  </si>
  <si>
    <t>Consumable Fuels</t>
  </si>
  <si>
    <t>100100</t>
  </si>
  <si>
    <t>Hindustan Petroleum Corporation Ltd.</t>
  </si>
  <si>
    <t>INE094A01015</t>
  </si>
  <si>
    <t>100453</t>
  </si>
  <si>
    <t>RBL Bank Ltd.</t>
  </si>
  <si>
    <t>INE976G01028</t>
  </si>
  <si>
    <t>100942</t>
  </si>
  <si>
    <t>Brigade Enterprises Ltd.</t>
  </si>
  <si>
    <t>INE791I01019</t>
  </si>
  <si>
    <t>Realty</t>
  </si>
  <si>
    <t>100180</t>
  </si>
  <si>
    <t>Hindalco Industries Ltd.</t>
  </si>
  <si>
    <t>INE038A01020</t>
  </si>
  <si>
    <t>Non - Ferrous Metals</t>
  </si>
  <si>
    <t>100505</t>
  </si>
  <si>
    <t>ICICI Prudential Life Insurance Company Ltd.</t>
  </si>
  <si>
    <t>INE726G01019</t>
  </si>
  <si>
    <t>Insurance</t>
  </si>
  <si>
    <t>100768</t>
  </si>
  <si>
    <t>V-Mart Retail Ltd.</t>
  </si>
  <si>
    <t>INE665J01013</t>
  </si>
  <si>
    <t>100318</t>
  </si>
  <si>
    <t>Tata Motors Ltd - DVR</t>
  </si>
  <si>
    <t>IN9155A01020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</si>
  <si>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</si>
  <si>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</si>
  <si>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</si>
  <si>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</si>
  <si>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</si>
  <si>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</si>
  <si>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</si>
  <si>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</si>
  <si>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</si>
  <si>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</si>
  <si>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</si>
  <si>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</si>
  <si>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</si>
  <si>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</si>
  <si>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</si>
  <si>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</si>
  <si>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</si>
  <si>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</si>
  <si>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</si>
  <si>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</si>
  <si>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</si>
  <si>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</si>
  <si>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</si>
  <si>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</si>
  <si>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</si>
  <si>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</si>
  <si>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</si>
  <si>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</si>
  <si>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</si>
  <si>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</si>
  <si>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</si>
  <si>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</si>
  <si>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</si>
  <si>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</si>
  <si>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</si>
  <si>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</si>
  <si>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</si>
  <si>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</si>
  <si>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</si>
  <si>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</si>
  <si>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</si>
  <si>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</si>
  <si>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</si>
  <si>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</si>
  <si>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</si>
  <si>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</si>
  <si>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0.03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</si>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</sst>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F02AEB6A-96EF-4A89-92DD-D0258D257896}"/>
    <cellStyle name="Hyperlink" xfId="2" builtinId="8"/>
    <cellStyle name="Normal" xfId="0" builtinId="0"/>
    <cellStyle name="Normal 2" xfId="4" xr:uid="{E31693F1-F9A2-404D-A5F7-42E1B2C8067F}"/>
    <cellStyle name="Style 1" xfId="3" xr:uid="{F6D69803-E4EC-4542-B1F9-D399D1C44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5</xdr:col>
      <xdr:colOff>504275</xdr:colOff>
      <xdr:row>141</xdr:row>
      <xdr:rowOff>86698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7FEC0-EEA2-7597-2DC9-7B4760A97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165733"/>
          <a:ext cx="7455408" cy="33040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F6FA-C2A3-4155-9651-9FBA8B219920}">
  <dimension ref="A1:BC125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6" sqref="C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178000</v>
      </c>
      <c r="G10" s="34">
        <v>4644.82</v>
      </c>
      <c r="H10" s="34">
        <v>9.5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184000</v>
      </c>
      <c r="G11" s="34">
        <v>4273.49</v>
      </c>
      <c r="H11" s="34">
        <v>8.74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80000</v>
      </c>
      <c r="G12" s="34">
        <v>2650.28</v>
      </c>
      <c r="H12" s="34">
        <v>5.42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150000</v>
      </c>
      <c r="G13" s="34">
        <v>2399.4</v>
      </c>
      <c r="H13" s="34">
        <v>4.91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112000</v>
      </c>
      <c r="G14" s="34">
        <v>2362.25</v>
      </c>
      <c r="H14" s="34">
        <v>4.83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31</v>
      </c>
      <c r="F15" s="33">
        <v>270000</v>
      </c>
      <c r="G15" s="34">
        <v>2308.1</v>
      </c>
      <c r="H15" s="34">
        <v>4.72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27</v>
      </c>
      <c r="F16" s="33">
        <v>150000</v>
      </c>
      <c r="G16" s="34">
        <v>2231.33</v>
      </c>
      <c r="H16" s="34">
        <v>4.5599999999999996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31</v>
      </c>
      <c r="F17" s="33">
        <v>370000</v>
      </c>
      <c r="G17" s="34">
        <v>1934.36</v>
      </c>
      <c r="H17" s="34">
        <v>3.95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500000</v>
      </c>
      <c r="G18" s="34">
        <v>1883.5</v>
      </c>
      <c r="H18" s="34">
        <v>3.85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90000</v>
      </c>
      <c r="G19" s="34">
        <v>1650.51</v>
      </c>
      <c r="H19" s="34">
        <v>3.37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76000</v>
      </c>
      <c r="G20" s="34">
        <v>1473.41</v>
      </c>
      <c r="H20" s="34">
        <v>3.01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500000</v>
      </c>
      <c r="G21" s="34">
        <v>1336.25</v>
      </c>
      <c r="H21" s="34">
        <v>2.73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48</v>
      </c>
      <c r="F22" s="33">
        <v>50000</v>
      </c>
      <c r="G22" s="34">
        <v>1230.33</v>
      </c>
      <c r="H22" s="34">
        <v>2.52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3000000</v>
      </c>
      <c r="G23" s="34">
        <v>1174.5</v>
      </c>
      <c r="H23" s="34">
        <v>2.4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90000</v>
      </c>
      <c r="G24" s="34">
        <v>1170.68</v>
      </c>
      <c r="H24" s="34">
        <v>2.39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90518</v>
      </c>
      <c r="G25" s="34">
        <v>1156.96</v>
      </c>
      <c r="H25" s="34">
        <v>2.37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31</v>
      </c>
      <c r="F26" s="33">
        <v>350000</v>
      </c>
      <c r="G26" s="34">
        <v>978.43</v>
      </c>
      <c r="H26" s="34">
        <v>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27</v>
      </c>
      <c r="F27" s="33">
        <v>90000</v>
      </c>
      <c r="G27" s="34">
        <v>969.84</v>
      </c>
      <c r="H27" s="34">
        <v>1.98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1000000</v>
      </c>
      <c r="G28" s="34">
        <v>946</v>
      </c>
      <c r="H28" s="34">
        <v>1.93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5000</v>
      </c>
      <c r="G29" s="34">
        <v>933.5</v>
      </c>
      <c r="H29" s="34">
        <v>1.91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31</v>
      </c>
      <c r="F30" s="33">
        <v>50000</v>
      </c>
      <c r="G30" s="34">
        <v>864.63</v>
      </c>
      <c r="H30" s="34">
        <v>1.77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68000</v>
      </c>
      <c r="G31" s="34">
        <v>863.33</v>
      </c>
      <c r="H31" s="34">
        <v>1.76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96</v>
      </c>
      <c r="F32" s="33">
        <v>10000</v>
      </c>
      <c r="G32" s="34">
        <v>862.44</v>
      </c>
      <c r="H32" s="34">
        <v>1.76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56</v>
      </c>
      <c r="F33" s="33">
        <v>90000</v>
      </c>
      <c r="G33" s="34">
        <v>860.94</v>
      </c>
      <c r="H33" s="34">
        <v>1.76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71</v>
      </c>
      <c r="F34" s="33">
        <v>70000</v>
      </c>
      <c r="G34" s="34">
        <v>812.77</v>
      </c>
      <c r="H34" s="34">
        <v>1.66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100000</v>
      </c>
      <c r="G35" s="34">
        <v>742.25</v>
      </c>
      <c r="H35" s="34">
        <v>1.52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60000</v>
      </c>
      <c r="G36" s="34">
        <v>553.98</v>
      </c>
      <c r="H36" s="34">
        <v>1.1299999999999999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250000</v>
      </c>
      <c r="G37" s="34">
        <v>538.5</v>
      </c>
      <c r="H37" s="34">
        <v>1.1000000000000001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23</v>
      </c>
      <c r="F38" s="33">
        <v>230000</v>
      </c>
      <c r="G38" s="34">
        <v>495.08</v>
      </c>
      <c r="H38" s="34">
        <v>1.01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31</v>
      </c>
      <c r="F39" s="33">
        <v>315000</v>
      </c>
      <c r="G39" s="34">
        <v>490.93</v>
      </c>
      <c r="H39" s="34">
        <v>1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100000</v>
      </c>
      <c r="G40" s="34">
        <v>487.65</v>
      </c>
      <c r="H40" s="34">
        <v>1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120000</v>
      </c>
      <c r="G41" s="34">
        <v>479.04</v>
      </c>
      <c r="H41" s="34">
        <v>0.98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115000</v>
      </c>
      <c r="G42" s="34">
        <v>470.24</v>
      </c>
      <c r="H42" s="34">
        <v>0.96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75</v>
      </c>
      <c r="F43" s="33">
        <v>17575</v>
      </c>
      <c r="G43" s="34">
        <v>423.33</v>
      </c>
      <c r="H43" s="34">
        <v>0.87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96</v>
      </c>
      <c r="F44" s="33">
        <v>125000</v>
      </c>
      <c r="G44" s="34">
        <v>274.81</v>
      </c>
      <c r="H44" s="34">
        <v>0.56000000000000005</v>
      </c>
      <c r="I44" s="35"/>
      <c r="J44" s="35"/>
      <c r="K44" s="36"/>
    </row>
    <row r="45" spans="2:11" x14ac:dyDescent="0.3">
      <c r="C45" s="30" t="s">
        <v>142</v>
      </c>
      <c r="D45" s="31"/>
      <c r="E45" s="32"/>
      <c r="F45" s="33"/>
      <c r="G45" s="38">
        <v>46927.86</v>
      </c>
      <c r="H45" s="38">
        <v>95.93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143</v>
      </c>
      <c r="D47" s="31"/>
      <c r="E47" s="32"/>
      <c r="F47" s="33"/>
      <c r="G47" s="34" t="s">
        <v>144</v>
      </c>
      <c r="H47" s="34" t="s">
        <v>144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3:11" x14ac:dyDescent="0.3">
      <c r="C49" s="30" t="s">
        <v>145</v>
      </c>
      <c r="D49" s="31"/>
      <c r="E49" s="32"/>
      <c r="F49" s="33"/>
      <c r="G49" s="34" t="s">
        <v>144</v>
      </c>
      <c r="H49" s="34" t="s">
        <v>144</v>
      </c>
      <c r="I49" s="35"/>
      <c r="J49" s="35"/>
      <c r="K49" s="36"/>
    </row>
    <row r="50" spans="3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">
      <c r="C51" s="30" t="s">
        <v>146</v>
      </c>
      <c r="D51" s="31"/>
      <c r="E51" s="32"/>
      <c r="F51" s="33"/>
      <c r="G51" s="34"/>
      <c r="H51" s="34"/>
      <c r="I51" s="35"/>
      <c r="J51" s="35"/>
      <c r="K51" s="36"/>
    </row>
    <row r="52" spans="3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">
      <c r="C53" s="30" t="s">
        <v>147</v>
      </c>
      <c r="D53" s="31"/>
      <c r="E53" s="32"/>
      <c r="F53" s="33"/>
      <c r="G53" s="34" t="s">
        <v>144</v>
      </c>
      <c r="H53" s="34" t="s">
        <v>144</v>
      </c>
      <c r="I53" s="35"/>
      <c r="J53" s="35"/>
      <c r="K53" s="36"/>
    </row>
    <row r="54" spans="3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30" t="s">
        <v>148</v>
      </c>
      <c r="D55" s="31"/>
      <c r="E55" s="32"/>
      <c r="F55" s="33"/>
      <c r="G55" s="34" t="s">
        <v>144</v>
      </c>
      <c r="H55" s="34" t="s">
        <v>144</v>
      </c>
      <c r="I55" s="35"/>
      <c r="J55" s="35"/>
      <c r="K55" s="36"/>
    </row>
    <row r="56" spans="3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30" t="s">
        <v>149</v>
      </c>
      <c r="D57" s="31"/>
      <c r="E57" s="32"/>
      <c r="F57" s="33"/>
      <c r="G57" s="34" t="s">
        <v>144</v>
      </c>
      <c r="H57" s="34" t="s">
        <v>144</v>
      </c>
      <c r="I57" s="35"/>
      <c r="J57" s="35"/>
      <c r="K57" s="36"/>
    </row>
    <row r="58" spans="3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">
      <c r="C59" s="30" t="s">
        <v>150</v>
      </c>
      <c r="D59" s="31"/>
      <c r="E59" s="32"/>
      <c r="F59" s="33"/>
      <c r="G59" s="34" t="s">
        <v>144</v>
      </c>
      <c r="H59" s="34" t="s">
        <v>144</v>
      </c>
      <c r="I59" s="35"/>
      <c r="J59" s="35"/>
      <c r="K59" s="36"/>
    </row>
    <row r="60" spans="3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">
      <c r="C61" s="30" t="s">
        <v>151</v>
      </c>
      <c r="D61" s="31"/>
      <c r="E61" s="32"/>
      <c r="F61" s="33"/>
      <c r="G61" s="34" t="s">
        <v>144</v>
      </c>
      <c r="H61" s="34" t="s">
        <v>144</v>
      </c>
      <c r="I61" s="35"/>
      <c r="J61" s="35"/>
      <c r="K61" s="36"/>
    </row>
    <row r="62" spans="3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">
      <c r="C63" s="30" t="s">
        <v>152</v>
      </c>
      <c r="D63" s="31"/>
      <c r="E63" s="32"/>
      <c r="F63" s="33"/>
      <c r="G63" s="34"/>
      <c r="H63" s="34"/>
      <c r="I63" s="35"/>
      <c r="J63" s="35"/>
      <c r="K63" s="36"/>
    </row>
    <row r="64" spans="3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153</v>
      </c>
      <c r="D65" s="31"/>
      <c r="E65" s="32"/>
      <c r="F65" s="33"/>
      <c r="G65" s="34" t="s">
        <v>144</v>
      </c>
      <c r="H65" s="34" t="s">
        <v>144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154</v>
      </c>
      <c r="D67" s="31"/>
      <c r="E67" s="32"/>
      <c r="F67" s="33"/>
      <c r="G67" s="34" t="s">
        <v>144</v>
      </c>
      <c r="H67" s="34" t="s">
        <v>144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155</v>
      </c>
      <c r="D69" s="31"/>
      <c r="E69" s="32"/>
      <c r="F69" s="33"/>
      <c r="G69" s="34" t="s">
        <v>144</v>
      </c>
      <c r="H69" s="34" t="s">
        <v>144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156</v>
      </c>
      <c r="D71" s="31"/>
      <c r="E71" s="32"/>
      <c r="F71" s="33"/>
      <c r="G71" s="34" t="s">
        <v>144</v>
      </c>
      <c r="H71" s="34" t="s">
        <v>144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8"/>
      <c r="B73" s="29"/>
      <c r="C73" s="30" t="s">
        <v>157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158</v>
      </c>
      <c r="D74" s="31"/>
      <c r="E74" s="32"/>
      <c r="F74" s="33"/>
      <c r="G74" s="34" t="s">
        <v>144</v>
      </c>
      <c r="H74" s="34" t="s">
        <v>144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159</v>
      </c>
      <c r="D76" s="31"/>
      <c r="E76" s="32"/>
      <c r="F76" s="33"/>
      <c r="G76" s="34" t="s">
        <v>144</v>
      </c>
      <c r="H76" s="34" t="s">
        <v>144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160</v>
      </c>
      <c r="D78" s="31"/>
      <c r="E78" s="32"/>
      <c r="F78" s="33"/>
      <c r="G78" s="34" t="s">
        <v>144</v>
      </c>
      <c r="H78" s="34" t="s">
        <v>144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161</v>
      </c>
      <c r="D80" s="31"/>
      <c r="E80" s="32"/>
      <c r="F80" s="33"/>
      <c r="G80" s="34" t="s">
        <v>144</v>
      </c>
      <c r="H80" s="34" t="s">
        <v>144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7" t="s">
        <v>162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 t="s">
        <v>163</v>
      </c>
      <c r="C83" s="21" t="s">
        <v>164</v>
      </c>
      <c r="D83" s="31"/>
      <c r="E83" s="32"/>
      <c r="F83" s="33"/>
      <c r="G83" s="34">
        <v>1633.99</v>
      </c>
      <c r="H83" s="34">
        <v>3.34</v>
      </c>
      <c r="I83" s="35">
        <v>6.51</v>
      </c>
      <c r="J83" s="35"/>
      <c r="K83" s="36"/>
    </row>
    <row r="84" spans="1:11" x14ac:dyDescent="0.3">
      <c r="C84" s="30" t="s">
        <v>142</v>
      </c>
      <c r="D84" s="31"/>
      <c r="E84" s="32"/>
      <c r="F84" s="33"/>
      <c r="G84" s="38">
        <v>1633.99</v>
      </c>
      <c r="H84" s="38">
        <v>3.34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165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/>
      <c r="C87" s="21" t="s">
        <v>166</v>
      </c>
      <c r="D87" s="31"/>
      <c r="E87" s="32"/>
      <c r="F87" s="33"/>
      <c r="G87" s="34">
        <v>354.33</v>
      </c>
      <c r="H87" s="34">
        <v>0.73</v>
      </c>
      <c r="I87" s="35"/>
      <c r="J87" s="35"/>
      <c r="K87" s="36"/>
    </row>
    <row r="88" spans="1:11" x14ac:dyDescent="0.3">
      <c r="C88" s="30" t="s">
        <v>142</v>
      </c>
      <c r="D88" s="31"/>
      <c r="E88" s="32"/>
      <c r="F88" s="33"/>
      <c r="G88" s="38">
        <v>354.33</v>
      </c>
      <c r="H88" s="38">
        <v>0.73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ht="14.4" thickBot="1" x14ac:dyDescent="0.35">
      <c r="C90" s="39" t="s">
        <v>167</v>
      </c>
      <c r="D90" s="40"/>
      <c r="E90" s="41"/>
      <c r="F90" s="42"/>
      <c r="G90" s="43">
        <v>48916.18</v>
      </c>
      <c r="H90" s="43">
        <f>SUMIFS(H:H,C:C,"Total")</f>
        <v>100.00000000000001</v>
      </c>
      <c r="I90" s="44"/>
      <c r="J90" s="44"/>
      <c r="K90" s="45"/>
    </row>
    <row r="93" spans="1:11" x14ac:dyDescent="0.3">
      <c r="C93" s="11" t="s">
        <v>168</v>
      </c>
    </row>
    <row r="94" spans="1:11" x14ac:dyDescent="0.3">
      <c r="C94" s="2" t="s">
        <v>169</v>
      </c>
    </row>
    <row r="95" spans="1:11" x14ac:dyDescent="0.3">
      <c r="C95" s="46" t="s">
        <v>170</v>
      </c>
    </row>
    <row r="96" spans="1:11" x14ac:dyDescent="0.3">
      <c r="C96" s="2" t="s">
        <v>171</v>
      </c>
    </row>
    <row r="97" spans="3:55" x14ac:dyDescent="0.3">
      <c r="C97" s="2" t="s">
        <v>172</v>
      </c>
    </row>
    <row r="98" spans="3:55" x14ac:dyDescent="0.3">
      <c r="C98" s="2" t="s">
        <v>173</v>
      </c>
      <c r="D98" s="47"/>
      <c r="E98" s="47"/>
      <c r="F98" s="47"/>
      <c r="G98" s="48"/>
      <c r="H98" s="48"/>
    </row>
    <row r="99" spans="3:55" x14ac:dyDescent="0.3">
      <c r="C99" s="2" t="s">
        <v>174</v>
      </c>
    </row>
    <row r="100" spans="3:55" x14ac:dyDescent="0.3">
      <c r="C100" s="2" t="s">
        <v>175</v>
      </c>
    </row>
    <row r="101" spans="3:55" x14ac:dyDescent="0.3">
      <c r="C101" s="2" t="s">
        <v>176</v>
      </c>
    </row>
    <row r="102" spans="3:55" x14ac:dyDescent="0.3">
      <c r="C102" s="2" t="s">
        <v>177</v>
      </c>
    </row>
    <row r="103" spans="3:55" s="11" customFormat="1" x14ac:dyDescent="0.3">
      <c r="C103" s="11" t="s">
        <v>178</v>
      </c>
      <c r="E103" s="11" t="s">
        <v>179</v>
      </c>
      <c r="F103" s="49" t="s">
        <v>180</v>
      </c>
      <c r="G103" s="50"/>
      <c r="H103" s="50"/>
      <c r="I103" s="50"/>
      <c r="J103" s="50"/>
      <c r="K103" s="51"/>
      <c r="L103" s="51"/>
      <c r="M103" s="51"/>
      <c r="AJ103" s="51"/>
      <c r="AW103" s="51"/>
      <c r="AY103" s="51"/>
      <c r="BC103" s="51"/>
    </row>
    <row r="104" spans="3:55" x14ac:dyDescent="0.3">
      <c r="C104" s="2" t="s">
        <v>181</v>
      </c>
      <c r="E104" s="52">
        <v>9.9274000000000004</v>
      </c>
      <c r="F104" s="53">
        <v>9.7690000000000001</v>
      </c>
    </row>
    <row r="105" spans="3:55" x14ac:dyDescent="0.3">
      <c r="C105" s="2" t="s">
        <v>182</v>
      </c>
      <c r="E105" s="52">
        <v>9.9274000000000004</v>
      </c>
      <c r="F105" s="53">
        <v>9.7690000000000001</v>
      </c>
    </row>
    <row r="106" spans="3:55" x14ac:dyDescent="0.3">
      <c r="C106" s="2" t="s">
        <v>183</v>
      </c>
      <c r="E106" s="52">
        <v>10.157999999999999</v>
      </c>
      <c r="F106" s="53">
        <v>10.0059</v>
      </c>
    </row>
    <row r="107" spans="3:55" x14ac:dyDescent="0.3">
      <c r="C107" s="2" t="s">
        <v>184</v>
      </c>
      <c r="E107" s="52">
        <v>10.157999999999999</v>
      </c>
      <c r="F107" s="53">
        <v>10.0059</v>
      </c>
    </row>
    <row r="109" spans="3:55" x14ac:dyDescent="0.3">
      <c r="C109" s="2" t="s">
        <v>185</v>
      </c>
    </row>
    <row r="111" spans="3:55" x14ac:dyDescent="0.3">
      <c r="C111" s="2" t="s">
        <v>186</v>
      </c>
    </row>
    <row r="112" spans="3:55" x14ac:dyDescent="0.3">
      <c r="C112" s="2" t="s">
        <v>187</v>
      </c>
    </row>
    <row r="113" spans="3:11" x14ac:dyDescent="0.3">
      <c r="C113" s="2" t="s">
        <v>188</v>
      </c>
    </row>
    <row r="114" spans="3:11" x14ac:dyDescent="0.3">
      <c r="C114" s="2" t="s">
        <v>189</v>
      </c>
    </row>
    <row r="115" spans="3:11" x14ac:dyDescent="0.3">
      <c r="C115" s="2" t="s">
        <v>190</v>
      </c>
    </row>
    <row r="116" spans="3:11" x14ac:dyDescent="0.3">
      <c r="C116" s="2" t="s">
        <v>191</v>
      </c>
    </row>
    <row r="117" spans="3:11" x14ac:dyDescent="0.3">
      <c r="C117" s="2" t="s">
        <v>192</v>
      </c>
    </row>
    <row r="118" spans="3:11" x14ac:dyDescent="0.3">
      <c r="C118" s="2" t="s">
        <v>193</v>
      </c>
    </row>
    <row r="119" spans="3:11" x14ac:dyDescent="0.3">
      <c r="C119" s="2" t="s">
        <v>194</v>
      </c>
    </row>
    <row r="120" spans="3:11" x14ac:dyDescent="0.3">
      <c r="C120" s="2" t="s">
        <v>195</v>
      </c>
    </row>
    <row r="121" spans="3:11" x14ac:dyDescent="0.3">
      <c r="C121" s="2" t="s">
        <v>196</v>
      </c>
    </row>
    <row r="122" spans="3:11" x14ac:dyDescent="0.3">
      <c r="C122" s="2" t="s">
        <v>197</v>
      </c>
    </row>
    <row r="123" spans="3:11" ht="14.4" x14ac:dyDescent="0.3">
      <c r="C123" s="54"/>
      <c r="D123" s="54"/>
      <c r="E123" s="55"/>
      <c r="F123" s="55"/>
      <c r="G123" s="55"/>
      <c r="H123" s="55"/>
      <c r="I123" s="55"/>
      <c r="J123" s="55"/>
      <c r="K123" s="55"/>
    </row>
    <row r="124" spans="3:11" ht="14.4" x14ac:dyDescent="0.3">
      <c r="C124" s="55"/>
      <c r="D124" s="55"/>
      <c r="E124" s="55"/>
      <c r="F124" s="55"/>
      <c r="G124" s="55"/>
      <c r="H124" s="55"/>
      <c r="I124" s="55"/>
      <c r="J124" s="55"/>
      <c r="K124" s="55"/>
    </row>
    <row r="125" spans="3:11" ht="14.4" x14ac:dyDescent="0.3">
      <c r="C125" s="55"/>
      <c r="D125" s="55"/>
      <c r="E125" s="55"/>
      <c r="F125" s="55"/>
      <c r="G125" s="55"/>
      <c r="H125" s="55"/>
      <c r="I125" s="55"/>
      <c r="J125" s="55"/>
      <c r="K125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BC</vt:lpstr>
      <vt:lpstr>XDO_?CLASS_3?29?</vt:lpstr>
      <vt:lpstr>XDO_?FINAL_ISIN?134?</vt:lpstr>
      <vt:lpstr>XDO_?FINAL_ISIN?135?</vt:lpstr>
      <vt:lpstr>XDO_?FINAL_ISIN?136?</vt:lpstr>
      <vt:lpstr>XDO_?FINAL_MV?134?</vt:lpstr>
      <vt:lpstr>XDO_?FINAL_MV?135?</vt:lpstr>
      <vt:lpstr>XDO_?FINAL_MV?136?</vt:lpstr>
      <vt:lpstr>XDO_?FINAL_NAME?134?</vt:lpstr>
      <vt:lpstr>XDO_?FINAL_NAME?135?</vt:lpstr>
      <vt:lpstr>XDO_?FINAL_NAME?136?</vt:lpstr>
      <vt:lpstr>XDO_?FINAL_PER_NET?134?</vt:lpstr>
      <vt:lpstr>XDO_?FINAL_PER_NET?135?</vt:lpstr>
      <vt:lpstr>XDO_?FINAL_PER_NET?136?</vt:lpstr>
      <vt:lpstr>XDO_?FINAL_QUANTITE?134?</vt:lpstr>
      <vt:lpstr>XDO_?FINAL_QUANTITE?135?</vt:lpstr>
      <vt:lpstr>XDO_?FINAL_QUANTITE?136?</vt:lpstr>
      <vt:lpstr>XDO_?NAMCNAME?29?</vt:lpstr>
      <vt:lpstr>XDO_?NOVAL?134?</vt:lpstr>
      <vt:lpstr>XDO_?NOVAL?135?</vt:lpstr>
      <vt:lpstr>XDO_?NOVAL?136?</vt:lpstr>
      <vt:lpstr>XDO_?NPTF?29?</vt:lpstr>
      <vt:lpstr>XDO_?RATING?134?</vt:lpstr>
      <vt:lpstr>XDO_?RATING?135?</vt:lpstr>
      <vt:lpstr>XDO_?RATING?136?</vt:lpstr>
      <vt:lpstr>XDO_?REMARKS?134?</vt:lpstr>
      <vt:lpstr>XDO_?REMARKS?135?</vt:lpstr>
      <vt:lpstr>XDO_?REMARKS?136?</vt:lpstr>
      <vt:lpstr>XDO_?TITL?29?</vt:lpstr>
      <vt:lpstr>XDO_?YTM?134?</vt:lpstr>
      <vt:lpstr>XDO_?YTM?135?</vt:lpstr>
      <vt:lpstr>XDO_?YTM?136?</vt:lpstr>
      <vt:lpstr>XDO_GROUP_?G_2?29?</vt:lpstr>
      <vt:lpstr>XDO_GROUP_?G_3?29?</vt:lpstr>
      <vt:lpstr>XDO_GROUP_?G_4?134?</vt:lpstr>
      <vt:lpstr>XDO_GROUP_?G_4?135?</vt:lpstr>
      <vt:lpstr>XDO_GROUP_?G_4?136?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2023-03-06T13:25:44Z</dcterms:created>
  <dcterms:modified xsi:type="dcterms:W3CDTF">2023-03-09T09:46:55Z</dcterms:modified>
</cp:coreProperties>
</file>