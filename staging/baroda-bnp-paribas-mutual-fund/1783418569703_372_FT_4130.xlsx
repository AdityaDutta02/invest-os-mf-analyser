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6?">'Monthly Portfolio'!$C$18:$C$21</definedName>
    <definedName name="XDO_?FINAL_ISIN?23?">'Monthly Portfolio'!$D$20:$D$21</definedName>
    <definedName name="XDO_?FINAL_ISIN?24?">'Monthly Portfolio'!$D$20:$D$31</definedName>
    <definedName name="XDO_?FINAL_ISIN?25?">'Monthly Portfolio'!$D$20:$D$56</definedName>
    <definedName name="XDO_?FINAL_ISIN?26?">'Monthly Portfolio'!$D$20:$D$60</definedName>
    <definedName name="XDO_?FINAL_MV?23?">'Monthly Portfolio'!$G$20:$G$21</definedName>
    <definedName name="XDO_?FINAL_MV?24?">'Monthly Portfolio'!$G$20:$G$31</definedName>
    <definedName name="XDO_?FINAL_MV?25?">'Monthly Portfolio'!$G$20:$G$56</definedName>
    <definedName name="XDO_?FINAL_MV?26?">'Monthly Portfolio'!$G$20:$G$60</definedName>
    <definedName name="XDO_?FINAL_NAME?23?">'Monthly Portfolio'!$C$20:$C$21</definedName>
    <definedName name="XDO_?FINAL_NAME?24?">'Monthly Portfolio'!$C$20:$C$31</definedName>
    <definedName name="XDO_?FINAL_NAME?25?">'Monthly Portfolio'!$C$20:$C$56</definedName>
    <definedName name="XDO_?FINAL_NAME?26?">'Monthly Portfolio'!$C$20:$C$60</definedName>
    <definedName name="XDO_?FINAL_PER_NET?23?">'Monthly Portfolio'!$H$20:$H$21</definedName>
    <definedName name="XDO_?FINAL_PER_NET?24?">'Monthly Portfolio'!$H$20:$H$31</definedName>
    <definedName name="XDO_?FINAL_PER_NET?25?">'Monthly Portfolio'!$H$20:$H$56</definedName>
    <definedName name="XDO_?FINAL_PER_NET?26?">'Monthly Portfolio'!$H$20:$H$60</definedName>
    <definedName name="XDO_?FINAL_QUANTITE?23?">'Monthly Portfolio'!$F$20:$F$21</definedName>
    <definedName name="XDO_?FINAL_QUANTITE?24?">'Monthly Portfolio'!$F$20:$F$31</definedName>
    <definedName name="XDO_?FINAL_QUANTITE?25?">'Monthly Portfolio'!$F$20:$F$56</definedName>
    <definedName name="XDO_?FINAL_QUANTITE?26?">'Monthly Portfolio'!$F$20:$F$60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'Monthly Portfolio'!#REF!</definedName>
    <definedName name="XDO_?NAMC?7?">[1]MC!#REF!</definedName>
    <definedName name="XDO_?NAMC?8?">[1]LC!#REF!</definedName>
    <definedName name="XDO_?NAMC?9?">[1]TA!#REF!</definedName>
    <definedName name="XDO_?NAMCNAME?6?">'Monthly Portfolio'!$C$2:$C$21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'Monthly Portfolio'!#REF!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'Monthly Portfolio'!#REF!</definedName>
    <definedName name="XDO_?NNPTF?7?">[1]MC!#REF!</definedName>
    <definedName name="XDO_?NNPTF?8?">[1]LC!#REF!</definedName>
    <definedName name="XDO_?NNPTF?9?">[1]TA!#REF!</definedName>
    <definedName name="XDO_?NOVAL?23?">'Monthly Portfolio'!$B$20:$B$21</definedName>
    <definedName name="XDO_?NOVAL?24?">'Monthly Portfolio'!$B$20:$B$31</definedName>
    <definedName name="XDO_?NOVAL?25?">'Monthly Portfolio'!$B$20:$B$56</definedName>
    <definedName name="XDO_?NOVAL?26?">'Monthly Portfolio'!$B$20:$B$60</definedName>
    <definedName name="XDO_?NPTF?6?">'Monthly Portfolio'!$D$2:$D$21</definedName>
    <definedName name="XDO_?RATING?23?">'Monthly Portfolio'!$E$20:$E$21</definedName>
    <definedName name="XDO_?RATING?24?">'Monthly Portfolio'!$E$20:$E$31</definedName>
    <definedName name="XDO_?RATING?25?">'Monthly Portfolio'!$E$20:$E$56</definedName>
    <definedName name="XDO_?RATING?26?">'Monthly Portfolio'!$E$20:$E$60</definedName>
    <definedName name="XDO_?REMARKS?23?">'Monthly Portfolio'!$K$20:$K$21</definedName>
    <definedName name="XDO_?REMARKS?24?">'Monthly Portfolio'!$K$20:$K$31</definedName>
    <definedName name="XDO_?REMARKS?25?">'Monthly Portfolio'!$K$20:$K$56</definedName>
    <definedName name="XDO_?REMARKS?26?">'Monthly Portfolio'!$K$20:$K$60</definedName>
    <definedName name="XDO_?TITL?6?">'Monthly Portfolio'!$A$18:$A$21</definedName>
    <definedName name="XDO_?YTM?23?">'Monthly Portfolio'!$I$20:$I$21</definedName>
    <definedName name="XDO_?YTM?24?">'Monthly Portfolio'!$I$20:$I$31</definedName>
    <definedName name="XDO_?YTM?25?">'Monthly Portfolio'!$I$20:$I$56</definedName>
    <definedName name="XDO_?YTM?26?">'Monthly Portfolio'!$I$20:$I$60</definedName>
    <definedName name="XDO_GROUP_?G_2?6?">'Monthly Portfolio'!$2:$28</definedName>
    <definedName name="XDO_GROUP_?G_3?6?">'Monthly Portfolio'!$8:$27</definedName>
    <definedName name="XDO_GROUP_?G_4?140?">[1]BM!#REF!</definedName>
    <definedName name="XDO_GROUP_?G_4?23?">'Monthly Portfolio'!$B$10:$IV$11</definedName>
    <definedName name="XDO_GROUP_?G_4?24?">'Monthly Portfolio'!$B$15:$IV$15</definedName>
    <definedName name="XDO_GROUP_?G_4?25?">'Monthly Portfolio'!$B$20:$IV$20</definedName>
    <definedName name="XDO_GROUP_?G_4?26?">'Monthly Portfolio'!$B$25:$IV$25</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2" l="1"/>
  <c r="H63" i="1" l="1"/>
</calcChain>
</file>

<file path=xl/sharedStrings.xml><?xml version="1.0" encoding="utf-8"?>
<sst xmlns="http://schemas.openxmlformats.org/spreadsheetml/2006/main" count="293" uniqueCount="120">
  <si>
    <t>Baroda BNP Paribas Mutual Fund</t>
  </si>
  <si>
    <t>T0MD29</t>
  </si>
  <si>
    <t>SCHEME NAME :</t>
  </si>
  <si>
    <t xml:space="preserve">Baroda BNP Paribas Floater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</si>
  <si>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</si>
  <si>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</si>
  <si>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</si>
  <si>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</si>
  <si>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</si>
  <si>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</si>
  <si>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</si>
  <si>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</si>
  <si>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</si>
  <si>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</si>
  <si>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</si>
  <si>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</si>
  <si>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</si>
  <si>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</si>
  <si>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</si>
  <si>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</si>
  <si>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</si>
  <si>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</si>
  <si>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704258</t>
  </si>
  <si>
    <t>7.79% HDFC Bank Ltd. 04-Mar-2025</t>
  </si>
  <si>
    <t>INE040A08948</t>
  </si>
  <si>
    <t>CRISIL AAA</t>
  </si>
  <si>
    <t>704164</t>
  </si>
  <si>
    <t>8.30% Tata Capital Financial Services Ltd. 13-Mar-2026</t>
  </si>
  <si>
    <t>INE306N07NL3</t>
  </si>
  <si>
    <t>[ICRA]AAA</t>
  </si>
  <si>
    <t>N**</t>
  </si>
  <si>
    <t>Total</t>
  </si>
  <si>
    <t>b) Privately Placed/Unlisted</t>
  </si>
  <si>
    <t>c) Securitised Debt Instruments</t>
  </si>
  <si>
    <t>d) Central Government Securities</t>
  </si>
  <si>
    <t>900137</t>
  </si>
  <si>
    <t>6.97% Government of India 07-Nov-2024</t>
  </si>
  <si>
    <t>IN0020160084</t>
  </si>
  <si>
    <t>Sovereign</t>
  </si>
  <si>
    <t>900162</t>
  </si>
  <si>
    <t>7.88% Government of India 04-Oct-2028</t>
  </si>
  <si>
    <t>IN0020210160</t>
  </si>
  <si>
    <t>900154</t>
  </si>
  <si>
    <t>8.25%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</si>
  <si>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</si>
  <si>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</si>
  <si>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</si>
  <si>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</si>
  <si>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</si>
  <si>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</si>
  <si>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</si>
  <si>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</si>
  <si>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</si>
  <si>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</si>
  <si>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</si>
  <si>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</si>
  <si>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</si>
  <si>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</si>
  <si>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</si>
  <si>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</si>
  <si>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</si>
  <si>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</si>
  <si>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</si>
  <si>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</si>
  <si>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</si>
  <si>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</si>
  <si>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</si>
  <si>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</si>
  <si>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</si>
  <si>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</si>
  <si>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</si>
  <si>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</si>
  <si>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</si>
  <si>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</si>
  <si>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</si>
  <si>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Weekly - IDCW Option</t>
  </si>
  <si>
    <t>Regular Plan - Growth Option</t>
  </si>
  <si>
    <t>Direct Weekly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</si>
  <si>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</si>
  <si>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</si>
  <si>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</si>
  <si>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</si>
  <si>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</si>
  <si>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</si>
  <si>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988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</si>
  <si>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</si>
  <si>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</si>
  <si>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</si>
  <si>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</si>
  <si>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</si>
  <si>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</si>
  <si>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</si>
  <si>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</si>
  <si>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</si>
  <si>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138 days.</t>
  </si>
  <si>
    <t>(18) Annualised Portfolio YTM has been 2.2452.</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</si>
  <si>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</si>
  <si>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</si>
  <si>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Baroda BNP Paribas Floater Fund</t>
  </si>
  <si>
    <t>Credit Risk (Max)</t>
  </si>
  <si>
    <t>Relatively low: Class A (CRV&gt;= 12)</t>
  </si>
  <si>
    <t>Moderate: Class B (CRV&gt;= 10)</t>
  </si>
  <si>
    <t>Relatively High: Class C (CRV&lt; 10)</t>
  </si>
  <si>
    <t>Interest Rate Risk (Max)</t>
  </si>
  <si>
    <t>Relatively low Class I (MD&lt;=1 year)</t>
  </si>
  <si>
    <t>Moderate Class II (MD&lt;=3 year)</t>
  </si>
  <si>
    <t>Relatively High Class III (Any MD)</t>
  </si>
  <si>
    <t>B-III</t>
  </si>
  <si>
    <t>MD=Macaulay Duration, CRV=Credit Risk Value</t>
  </si>
  <si>
    <t>*The PRC matrix denotes the maximum risk that the respective Scheme can take i.e., maximum interest rate risk (measured by MD of the Scheme) and maximum credit risk (measured by CRV of the Scheme)</t>
  </si>
  <si>
    <t>BARODA BNP PARIBAS FLOATER FUND
(An open ended debt scheme predominantly investing in floating rate instruments. A relatively High Interest Rate Risk 
and Moderate Credit Risk.)</t>
  </si>
  <si>
    <t>HALF YEARLY PORTFOLIO STATEMENT AS ON SEPTEMBER 30, 2023
(Pursuant to the provisions of Regulation 59A of the Securities and Exchange Board of India (Mutual Funds) Regulations, 1996)</t>
  </si>
  <si>
    <t>As on March 31, 2023</t>
  </si>
  <si>
    <t>N.A.</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</si>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</sst>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21F1F"/>
      <name val="BNPP Sans"/>
    </font>
    <font>
      <sz val="12"/>
      <color rgb="FF222222"/>
      <name val="Arial"/>
      <family val="2"/>
    </font>
    <font>
      <sz val="10"/>
      <color rgb="FF000000"/>
      <name val="Arial"/>
      <family val="2"/>
    </font>
    <font>
      <b/>
      <sz val="10"/>
      <color rgb="FF211F1F"/>
      <name val="BNPP Sans"/>
    </font>
    <font>
      <sz val="10"/>
      <color rgb="FF211F1F"/>
      <name val="BNPP Sans"/>
    </font>
    <font>
      <sz val="10"/>
      <color rgb="FF000000"/>
      <name val="BNPP Sans Light"/>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FF"/>
        <bgColor indexed="64"/>
      </patternFill>
    </fill>
    <fill>
      <patternFill patternType="solid">
        <fgColor rgb="FFB3B3B3"/>
        <bgColor indexed="64"/>
      </patternFill>
    </fill>
    <fill>
      <patternFill patternType="solid">
        <fgColor rgb="FFCCFFFF"/>
        <bgColor indexed="64"/>
      </patternFill>
    </fill>
    <fill>
      <patternFill patternType="solid">
        <fgColor rgb="FFCCFFCC"/>
        <bgColor indexed="64"/>
      </patternFill>
    </fill>
  </fills>
  <borders count="3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11F1F"/>
      </left>
      <right style="medium">
        <color rgb="FF211F1F"/>
      </right>
      <top style="medium">
        <color rgb="FF211F1F"/>
      </top>
      <bottom style="medium">
        <color rgb="FF211F1F"/>
      </bottom>
      <diagonal/>
    </border>
    <border>
      <left style="medium">
        <color rgb="FF211F1F"/>
      </left>
      <right/>
      <top style="medium">
        <color rgb="FF211F1F"/>
      </top>
      <bottom style="medium">
        <color rgb="FF211F1F"/>
      </bottom>
      <diagonal/>
    </border>
    <border>
      <left/>
      <right/>
      <top style="medium">
        <color rgb="FF211F1F"/>
      </top>
      <bottom style="medium">
        <color rgb="FF211F1F"/>
      </bottom>
      <diagonal/>
    </border>
    <border>
      <left/>
      <right style="medium">
        <color rgb="FF211F1F"/>
      </right>
      <top style="medium">
        <color rgb="FF211F1F"/>
      </top>
      <bottom style="medium">
        <color rgb="FF211F1F"/>
      </bottom>
      <diagonal/>
    </border>
    <border>
      <left style="medium">
        <color rgb="FF211F1F"/>
      </left>
      <right style="medium">
        <color rgb="FF211F1F"/>
      </right>
      <top/>
      <bottom style="medium">
        <color rgb="FF211F1F"/>
      </bottom>
      <diagonal/>
    </border>
    <border>
      <left style="medium">
        <color rgb="FF211F1F"/>
      </left>
      <right style="medium">
        <color rgb="FF211F1F"/>
      </right>
      <top style="medium">
        <color rgb="FF211F1F"/>
      </top>
      <bottom/>
      <diagonal/>
    </border>
    <border>
      <left/>
      <right style="medium">
        <color rgb="FF211F1F"/>
      </right>
      <top/>
      <bottom style="medium">
        <color rgb="FF211F1F"/>
      </bottom>
      <diagonal/>
    </border>
    <border>
      <left/>
      <right/>
      <top style="medium">
        <color rgb="FF211F1F"/>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4" borderId="0" xfId="0" applyFont="1" applyFill="1" applyAlignment="1">
      <alignment vertical="center"/>
    </xf>
    <xf numFmtId="0" fontId="13" fillId="4" borderId="0" xfId="0" applyFont="1" applyFill="1"/>
    <xf numFmtId="0" fontId="14" fillId="4" borderId="19" xfId="0" applyFont="1" applyFill="1" applyBorder="1" applyAlignment="1">
      <alignment vertical="center"/>
    </xf>
    <xf numFmtId="0" fontId="15" fillId="4" borderId="23" xfId="0" applyFont="1" applyFill="1" applyBorder="1" applyAlignment="1">
      <alignment vertical="center"/>
    </xf>
    <xf numFmtId="0" fontId="16" fillId="4" borderId="23" xfId="0" applyFont="1" applyFill="1" applyBorder="1" applyAlignment="1">
      <alignment vertical="center"/>
    </xf>
    <xf numFmtId="0" fontId="14" fillId="4" borderId="25" xfId="0" applyFont="1" applyFill="1" applyBorder="1" applyAlignment="1">
      <alignment vertical="center"/>
    </xf>
    <xf numFmtId="0" fontId="16" fillId="5" borderId="25" xfId="0" applyFont="1" applyFill="1" applyBorder="1" applyAlignment="1">
      <alignment horizontal="center" vertical="center"/>
    </xf>
    <xf numFmtId="0" fontId="0" fillId="4" borderId="0" xfId="0" applyFill="1"/>
    <xf numFmtId="0" fontId="17" fillId="0" borderId="0" xfId="0" applyFont="1"/>
    <xf numFmtId="168" fontId="3" fillId="0" borderId="0" xfId="0" applyNumberFormat="1" applyFont="1" applyAlignment="1">
      <alignment horizontal="center"/>
    </xf>
    <xf numFmtId="0" fontId="17" fillId="4" borderId="26" xfId="0" applyFont="1" applyFill="1" applyBorder="1" applyAlignment="1">
      <alignment vertical="center"/>
    </xf>
    <xf numFmtId="0" fontId="3" fillId="0" borderId="0" xfId="0" applyFont="1" applyAlignment="1">
      <alignment vertical="top" wrapText="1"/>
    </xf>
    <xf numFmtId="0" fontId="0" fillId="0" borderId="0" xfId="0" applyAlignment="1">
      <alignment vertical="top" wrapText="1"/>
    </xf>
    <xf numFmtId="0" fontId="15" fillId="5" borderId="20"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6" fillId="4" borderId="24" xfId="0" applyFont="1" applyFill="1" applyBorder="1" applyAlignment="1">
      <alignment vertical="center"/>
    </xf>
    <xf numFmtId="0" fontId="16" fillId="4" borderId="23" xfId="0" applyFont="1" applyFill="1" applyBorder="1" applyAlignment="1">
      <alignment vertical="center"/>
    </xf>
    <xf numFmtId="0" fontId="18" fillId="6" borderId="27" xfId="0" applyFont="1" applyFill="1" applyBorder="1" applyAlignment="1">
      <alignment horizontal="center" wrapText="1"/>
    </xf>
    <xf numFmtId="0" fontId="18" fillId="6" borderId="28" xfId="0" applyFont="1" applyFill="1" applyBorder="1" applyAlignment="1">
      <alignment horizontal="center" wrapText="1"/>
    </xf>
    <xf numFmtId="0" fontId="18" fillId="6" borderId="29" xfId="0" applyFont="1" applyFill="1" applyBorder="1" applyAlignment="1">
      <alignment horizontal="center" wrapText="1"/>
    </xf>
    <xf numFmtId="0" fontId="18" fillId="6" borderId="30" xfId="0" applyFont="1" applyFill="1" applyBorder="1" applyAlignment="1">
      <alignment horizontal="center" wrapText="1"/>
    </xf>
    <xf numFmtId="0" fontId="18" fillId="6" borderId="31" xfId="0" applyFont="1" applyFill="1" applyBorder="1" applyAlignment="1">
      <alignment horizontal="center" wrapText="1"/>
    </xf>
    <xf numFmtId="0" fontId="18" fillId="6" borderId="32" xfId="0" applyFont="1" applyFill="1" applyBorder="1" applyAlignment="1">
      <alignment horizontal="center" wrapText="1"/>
    </xf>
    <xf numFmtId="0" fontId="18" fillId="7" borderId="33" xfId="0" applyFont="1" applyFill="1" applyBorder="1" applyAlignment="1">
      <alignment horizontal="center" wrapText="1"/>
    </xf>
    <xf numFmtId="0" fontId="18" fillId="7" borderId="34" xfId="0" applyFont="1" applyFill="1" applyBorder="1" applyAlignment="1">
      <alignment horizontal="center" wrapText="1"/>
    </xf>
    <xf numFmtId="0" fontId="18" fillId="7" borderId="35"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5</xdr:col>
      <xdr:colOff>504275</xdr:colOff>
      <xdr:row>120</xdr:row>
      <xdr:rowOff>133096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652067"/>
          <a:ext cx="7455408" cy="3511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122</xdr:row>
      <xdr:rowOff>133096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409920"/>
          <a:ext cx="7453715" cy="3463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1"/>
  <sheetViews>
    <sheetView showGridLines="0" tabSelected="1" zoomScale="90" zoomScaleNormal="90" workbookViewId="0">
      <pane ySplit="6" topLeftCell="A98" activePane="bottomLeft" state="frozen"/>
      <selection activeCell="I2" sqref="I2"/>
      <selection pane="bottomLeft" activeCell="G107" sqref="G10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500</v>
      </c>
      <c r="G20" s="32">
        <v>499</v>
      </c>
      <c r="H20" s="32">
        <v>11.73</v>
      </c>
      <c r="I20" s="33">
        <v>7.915</v>
      </c>
      <c r="J20" s="33"/>
      <c r="K20" s="34"/>
    </row>
    <row r="21" spans="1:11" x14ac:dyDescent="0.3">
      <c r="B21" s="1" t="s">
        <v>26</v>
      </c>
      <c r="C21" s="21" t="s">
        <v>27</v>
      </c>
      <c r="D21" s="29" t="s">
        <v>28</v>
      </c>
      <c r="E21" s="30" t="s">
        <v>29</v>
      </c>
      <c r="F21" s="31">
        <v>300</v>
      </c>
      <c r="G21" s="32">
        <v>301.31</v>
      </c>
      <c r="H21" s="32">
        <v>7.08</v>
      </c>
      <c r="I21" s="33">
        <v>8.06</v>
      </c>
      <c r="J21" s="33"/>
      <c r="K21" s="34" t="s">
        <v>30</v>
      </c>
    </row>
    <row r="22" spans="1:11" x14ac:dyDescent="0.3">
      <c r="C22" s="28" t="s">
        <v>31</v>
      </c>
      <c r="D22" s="29"/>
      <c r="E22" s="30"/>
      <c r="F22" s="31"/>
      <c r="G22" s="38">
        <v>800.31</v>
      </c>
      <c r="H22" s="38">
        <v>18.809999999999999</v>
      </c>
      <c r="I22" s="33"/>
      <c r="J22" s="33"/>
      <c r="K22" s="34"/>
    </row>
    <row r="23" spans="1:11" x14ac:dyDescent="0.3">
      <c r="C23" s="21"/>
      <c r="D23" s="29"/>
      <c r="E23" s="30"/>
      <c r="F23" s="31"/>
      <c r="G23" s="32"/>
      <c r="H23" s="32"/>
      <c r="I23" s="33"/>
      <c r="J23" s="33"/>
      <c r="K23" s="34"/>
    </row>
    <row r="24" spans="1:11" x14ac:dyDescent="0.3">
      <c r="C24" s="28" t="s">
        <v>32</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33</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37" t="s">
        <v>34</v>
      </c>
      <c r="D28" s="29"/>
      <c r="E28" s="30"/>
      <c r="F28" s="31"/>
      <c r="G28" s="32"/>
      <c r="H28" s="32"/>
      <c r="I28" s="33"/>
      <c r="J28" s="33"/>
      <c r="K28" s="34"/>
    </row>
    <row r="29" spans="1:11" x14ac:dyDescent="0.3">
      <c r="B29" s="1" t="s">
        <v>35</v>
      </c>
      <c r="C29" s="21" t="s">
        <v>36</v>
      </c>
      <c r="D29" s="29" t="s">
        <v>37</v>
      </c>
      <c r="E29" s="30" t="s">
        <v>38</v>
      </c>
      <c r="F29" s="31">
        <v>1500000</v>
      </c>
      <c r="G29" s="32">
        <v>1498.56</v>
      </c>
      <c r="H29" s="32">
        <v>35.24</v>
      </c>
      <c r="I29" s="33">
        <v>0</v>
      </c>
      <c r="J29" s="33"/>
      <c r="K29" s="34"/>
    </row>
    <row r="30" spans="1:11" x14ac:dyDescent="0.3">
      <c r="B30" s="1" t="s">
        <v>39</v>
      </c>
      <c r="C30" s="21" t="s">
        <v>40</v>
      </c>
      <c r="D30" s="29" t="s">
        <v>41</v>
      </c>
      <c r="E30" s="30" t="s">
        <v>38</v>
      </c>
      <c r="F30" s="31">
        <v>1300000</v>
      </c>
      <c r="G30" s="32">
        <v>1298.33</v>
      </c>
      <c r="H30" s="32">
        <v>30.53</v>
      </c>
      <c r="I30" s="33">
        <v>0</v>
      </c>
      <c r="J30" s="33"/>
      <c r="K30" s="34"/>
    </row>
    <row r="31" spans="1:11" x14ac:dyDescent="0.3">
      <c r="B31" s="1" t="s">
        <v>42</v>
      </c>
      <c r="C31" s="21" t="s">
        <v>43</v>
      </c>
      <c r="D31" s="29" t="s">
        <v>44</v>
      </c>
      <c r="E31" s="30" t="s">
        <v>38</v>
      </c>
      <c r="F31" s="31">
        <v>185000</v>
      </c>
      <c r="G31" s="32">
        <v>188.63</v>
      </c>
      <c r="H31" s="32">
        <v>4.4400000000000004</v>
      </c>
      <c r="I31" s="33">
        <v>0</v>
      </c>
      <c r="J31" s="33"/>
      <c r="K31" s="34"/>
    </row>
    <row r="32" spans="1:11" x14ac:dyDescent="0.3">
      <c r="C32" s="28" t="s">
        <v>31</v>
      </c>
      <c r="D32" s="29"/>
      <c r="E32" s="30"/>
      <c r="F32" s="31"/>
      <c r="G32" s="38">
        <v>2985.52</v>
      </c>
      <c r="H32" s="38">
        <v>70.209999999999994</v>
      </c>
      <c r="I32" s="33"/>
      <c r="J32" s="33"/>
      <c r="K32" s="34"/>
    </row>
    <row r="33" spans="1:11" x14ac:dyDescent="0.3">
      <c r="C33" s="21"/>
      <c r="D33" s="29"/>
      <c r="E33" s="30"/>
      <c r="F33" s="31"/>
      <c r="G33" s="32"/>
      <c r="H33" s="32"/>
      <c r="I33" s="33"/>
      <c r="J33" s="33"/>
      <c r="K33" s="34"/>
    </row>
    <row r="34" spans="1:11" x14ac:dyDescent="0.3">
      <c r="C34" s="28" t="s">
        <v>45</v>
      </c>
      <c r="D34" s="29"/>
      <c r="E34" s="30"/>
      <c r="F34" s="31"/>
      <c r="G34" s="32" t="s">
        <v>16</v>
      </c>
      <c r="H34" s="32" t="s">
        <v>16</v>
      </c>
      <c r="I34" s="33"/>
      <c r="J34" s="33"/>
      <c r="K34" s="34"/>
    </row>
    <row r="35" spans="1:11" x14ac:dyDescent="0.3">
      <c r="C35" s="21"/>
      <c r="D35" s="29"/>
      <c r="E35" s="30"/>
      <c r="F35" s="31"/>
      <c r="G35" s="32"/>
      <c r="H35" s="32"/>
      <c r="I35" s="33"/>
      <c r="J35" s="33"/>
      <c r="K35" s="34"/>
    </row>
    <row r="36" spans="1:11" x14ac:dyDescent="0.3">
      <c r="C36" s="28" t="s">
        <v>46</v>
      </c>
      <c r="D36" s="29"/>
      <c r="E36" s="30"/>
      <c r="F36" s="31"/>
      <c r="G36" s="32"/>
      <c r="H36" s="32"/>
      <c r="I36" s="33"/>
      <c r="J36" s="33"/>
      <c r="K36" s="34"/>
    </row>
    <row r="37" spans="1:11" x14ac:dyDescent="0.3">
      <c r="C37" s="21"/>
      <c r="D37" s="29"/>
      <c r="E37" s="30"/>
      <c r="F37" s="31"/>
      <c r="G37" s="32"/>
      <c r="H37" s="32"/>
      <c r="I37" s="33"/>
      <c r="J37" s="33"/>
      <c r="K37" s="34"/>
    </row>
    <row r="38" spans="1:11" x14ac:dyDescent="0.3">
      <c r="C38" s="28" t="s">
        <v>47</v>
      </c>
      <c r="D38" s="29"/>
      <c r="E38" s="30"/>
      <c r="F38" s="31"/>
      <c r="G38" s="32" t="s">
        <v>16</v>
      </c>
      <c r="H38" s="32" t="s">
        <v>16</v>
      </c>
      <c r="I38" s="33"/>
      <c r="J38" s="33"/>
      <c r="K38" s="34"/>
    </row>
    <row r="39" spans="1:11" x14ac:dyDescent="0.3">
      <c r="C39" s="21"/>
      <c r="D39" s="29"/>
      <c r="E39" s="30"/>
      <c r="F39" s="31"/>
      <c r="G39" s="32"/>
      <c r="H39" s="32"/>
      <c r="I39" s="33"/>
      <c r="J39" s="33"/>
      <c r="K39" s="34"/>
    </row>
    <row r="40" spans="1:11" x14ac:dyDescent="0.3">
      <c r="C40" s="28" t="s">
        <v>48</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C42" s="28" t="s">
        <v>49</v>
      </c>
      <c r="D42" s="29"/>
      <c r="E42" s="30"/>
      <c r="F42" s="31"/>
      <c r="G42" s="32" t="s">
        <v>16</v>
      </c>
      <c r="H42" s="32" t="s">
        <v>16</v>
      </c>
      <c r="I42" s="33"/>
      <c r="J42" s="33"/>
      <c r="K42" s="34"/>
    </row>
    <row r="43" spans="1:11" x14ac:dyDescent="0.3">
      <c r="C43" s="21"/>
      <c r="D43" s="29"/>
      <c r="E43" s="30"/>
      <c r="F43" s="31"/>
      <c r="G43" s="32"/>
      <c r="H43" s="32"/>
      <c r="I43" s="33"/>
      <c r="J43" s="33"/>
      <c r="K43" s="34"/>
    </row>
    <row r="44" spans="1:11" x14ac:dyDescent="0.3">
      <c r="C44" s="28" t="s">
        <v>50</v>
      </c>
      <c r="D44" s="29"/>
      <c r="E44" s="30"/>
      <c r="F44" s="31"/>
      <c r="G44" s="32" t="s">
        <v>16</v>
      </c>
      <c r="H44" s="32" t="s">
        <v>16</v>
      </c>
      <c r="I44" s="33"/>
      <c r="J44" s="33"/>
      <c r="K44" s="34"/>
    </row>
    <row r="45" spans="1:11" x14ac:dyDescent="0.3">
      <c r="C45" s="21"/>
      <c r="D45" s="29"/>
      <c r="E45" s="30"/>
      <c r="F45" s="31"/>
      <c r="G45" s="32"/>
      <c r="H45" s="32"/>
      <c r="I45" s="33"/>
      <c r="J45" s="33"/>
      <c r="K45" s="34"/>
    </row>
    <row r="46" spans="1:11" x14ac:dyDescent="0.3">
      <c r="A46" s="35"/>
      <c r="B46" s="36"/>
      <c r="C46" s="28" t="s">
        <v>51</v>
      </c>
      <c r="D46" s="29"/>
      <c r="E46" s="30"/>
      <c r="F46" s="31"/>
      <c r="G46" s="32"/>
      <c r="H46" s="32"/>
      <c r="I46" s="33"/>
      <c r="J46" s="33"/>
      <c r="K46" s="34"/>
    </row>
    <row r="47" spans="1:11" x14ac:dyDescent="0.3">
      <c r="A47" s="36"/>
      <c r="B47" s="36"/>
      <c r="C47" s="28" t="s">
        <v>52</v>
      </c>
      <c r="D47" s="29"/>
      <c r="E47" s="30"/>
      <c r="F47" s="31"/>
      <c r="G47" s="32" t="s">
        <v>16</v>
      </c>
      <c r="H47" s="32" t="s">
        <v>16</v>
      </c>
      <c r="I47" s="33"/>
      <c r="J47" s="33"/>
      <c r="K47" s="34"/>
    </row>
    <row r="48" spans="1:11" x14ac:dyDescent="0.3">
      <c r="A48" s="36"/>
      <c r="B48" s="36"/>
      <c r="C48" s="28"/>
      <c r="D48" s="29"/>
      <c r="E48" s="30"/>
      <c r="F48" s="31"/>
      <c r="G48" s="32"/>
      <c r="H48" s="32"/>
      <c r="I48" s="33"/>
      <c r="J48" s="33"/>
      <c r="K48" s="34"/>
    </row>
    <row r="49" spans="1:11" x14ac:dyDescent="0.3">
      <c r="A49" s="36"/>
      <c r="B49" s="36"/>
      <c r="C49" s="28" t="s">
        <v>53</v>
      </c>
      <c r="D49" s="29"/>
      <c r="E49" s="30"/>
      <c r="F49" s="31"/>
      <c r="G49" s="32" t="s">
        <v>16</v>
      </c>
      <c r="H49" s="32" t="s">
        <v>16</v>
      </c>
      <c r="I49" s="33"/>
      <c r="J49" s="33"/>
      <c r="K49" s="34"/>
    </row>
    <row r="50" spans="1:11" x14ac:dyDescent="0.3">
      <c r="A50" s="36"/>
      <c r="B50" s="36"/>
      <c r="C50" s="28"/>
      <c r="D50" s="29"/>
      <c r="E50" s="30"/>
      <c r="F50" s="31"/>
      <c r="G50" s="32"/>
      <c r="H50" s="32"/>
      <c r="I50" s="33"/>
      <c r="J50" s="33"/>
      <c r="K50" s="34"/>
    </row>
    <row r="51" spans="1:11" x14ac:dyDescent="0.3">
      <c r="A51" s="36"/>
      <c r="B51" s="36"/>
      <c r="C51" s="28" t="s">
        <v>54</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55</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C55" s="37" t="s">
        <v>56</v>
      </c>
      <c r="D55" s="29"/>
      <c r="E55" s="30"/>
      <c r="F55" s="31"/>
      <c r="G55" s="32"/>
      <c r="H55" s="32"/>
      <c r="I55" s="33"/>
      <c r="J55" s="33"/>
      <c r="K55" s="34"/>
    </row>
    <row r="56" spans="1:11" x14ac:dyDescent="0.3">
      <c r="B56" s="1" t="s">
        <v>57</v>
      </c>
      <c r="C56" s="21" t="s">
        <v>58</v>
      </c>
      <c r="D56" s="29"/>
      <c r="E56" s="30"/>
      <c r="F56" s="31"/>
      <c r="G56" s="32">
        <v>331.71</v>
      </c>
      <c r="H56" s="32">
        <v>7.8</v>
      </c>
      <c r="I56" s="33">
        <v>6.79</v>
      </c>
      <c r="J56" s="33"/>
      <c r="K56" s="34"/>
    </row>
    <row r="57" spans="1:11" x14ac:dyDescent="0.3">
      <c r="C57" s="28" t="s">
        <v>31</v>
      </c>
      <c r="D57" s="29"/>
      <c r="E57" s="30"/>
      <c r="F57" s="31"/>
      <c r="G57" s="38">
        <v>331.71</v>
      </c>
      <c r="H57" s="38">
        <v>7.8</v>
      </c>
      <c r="I57" s="33"/>
      <c r="J57" s="33"/>
      <c r="K57" s="34"/>
    </row>
    <row r="58" spans="1:11" x14ac:dyDescent="0.3">
      <c r="C58" s="21"/>
      <c r="D58" s="29"/>
      <c r="E58" s="30"/>
      <c r="F58" s="31"/>
      <c r="G58" s="32"/>
      <c r="H58" s="32"/>
      <c r="I58" s="33"/>
      <c r="J58" s="33"/>
      <c r="K58" s="34"/>
    </row>
    <row r="59" spans="1:11" x14ac:dyDescent="0.3">
      <c r="A59" s="35"/>
      <c r="B59" s="36"/>
      <c r="C59" s="28" t="s">
        <v>59</v>
      </c>
      <c r="D59" s="29"/>
      <c r="E59" s="30"/>
      <c r="F59" s="31"/>
      <c r="G59" s="32"/>
      <c r="H59" s="32"/>
      <c r="I59" s="33"/>
      <c r="J59" s="33"/>
      <c r="K59" s="34"/>
    </row>
    <row r="60" spans="1:11" x14ac:dyDescent="0.3">
      <c r="B60" s="1"/>
      <c r="C60" s="21" t="s">
        <v>60</v>
      </c>
      <c r="D60" s="29"/>
      <c r="E60" s="30"/>
      <c r="F60" s="31"/>
      <c r="G60" s="32">
        <v>135.44999999999999</v>
      </c>
      <c r="H60" s="32">
        <v>3.18</v>
      </c>
      <c r="I60" s="33"/>
      <c r="J60" s="33"/>
      <c r="K60" s="34"/>
    </row>
    <row r="61" spans="1:11" x14ac:dyDescent="0.3">
      <c r="C61" s="28" t="s">
        <v>31</v>
      </c>
      <c r="D61" s="29"/>
      <c r="E61" s="30"/>
      <c r="F61" s="31"/>
      <c r="G61" s="38">
        <v>135.44999999999999</v>
      </c>
      <c r="H61" s="38">
        <v>3.18</v>
      </c>
      <c r="I61" s="33"/>
      <c r="J61" s="33"/>
      <c r="K61" s="34"/>
    </row>
    <row r="62" spans="1:11" x14ac:dyDescent="0.3">
      <c r="C62" s="21"/>
      <c r="D62" s="29"/>
      <c r="E62" s="30"/>
      <c r="F62" s="31"/>
      <c r="G62" s="32"/>
      <c r="H62" s="32"/>
      <c r="I62" s="33"/>
      <c r="J62" s="33"/>
      <c r="K62" s="34"/>
    </row>
    <row r="63" spans="1:11" ht="14.4" thickBot="1" x14ac:dyDescent="0.35">
      <c r="C63" s="39" t="s">
        <v>61</v>
      </c>
      <c r="D63" s="40"/>
      <c r="E63" s="41"/>
      <c r="F63" s="42"/>
      <c r="G63" s="43">
        <v>4252.99</v>
      </c>
      <c r="H63" s="43">
        <f>SUMIFS(H:H,C:C,"Total")</f>
        <v>100</v>
      </c>
      <c r="I63" s="44"/>
      <c r="J63" s="44"/>
      <c r="K63" s="45"/>
    </row>
    <row r="66" spans="3:55" x14ac:dyDescent="0.3">
      <c r="C66" s="11" t="s">
        <v>62</v>
      </c>
    </row>
    <row r="67" spans="3:55" x14ac:dyDescent="0.3">
      <c r="C67" s="2" t="s">
        <v>63</v>
      </c>
    </row>
    <row r="68" spans="3:55" x14ac:dyDescent="0.3">
      <c r="C68" s="46" t="s">
        <v>64</v>
      </c>
    </row>
    <row r="69" spans="3:55" x14ac:dyDescent="0.3">
      <c r="C69" s="2" t="s">
        <v>65</v>
      </c>
    </row>
    <row r="70" spans="3:55" x14ac:dyDescent="0.3">
      <c r="C70" s="2" t="s">
        <v>66</v>
      </c>
    </row>
    <row r="71" spans="3:55" x14ac:dyDescent="0.3">
      <c r="C71" s="2" t="s">
        <v>67</v>
      </c>
      <c r="D71" s="47"/>
      <c r="E71" s="47"/>
      <c r="F71" s="47"/>
      <c r="G71" s="48"/>
      <c r="H71" s="48"/>
    </row>
    <row r="72" spans="3:55" x14ac:dyDescent="0.3">
      <c r="C72" s="2" t="s">
        <v>68</v>
      </c>
    </row>
    <row r="73" spans="3:55" x14ac:dyDescent="0.3">
      <c r="C73" s="2" t="s">
        <v>69</v>
      </c>
    </row>
    <row r="74" spans="3:55" x14ac:dyDescent="0.3">
      <c r="C74" s="2" t="s">
        <v>70</v>
      </c>
    </row>
    <row r="75" spans="3:55" x14ac:dyDescent="0.3">
      <c r="C75" s="2" t="s">
        <v>71</v>
      </c>
    </row>
    <row r="76" spans="3:55" s="11" customFormat="1" x14ac:dyDescent="0.3">
      <c r="C76" s="11" t="s">
        <v>72</v>
      </c>
      <c r="E76" s="11" t="s">
        <v>73</v>
      </c>
      <c r="F76" s="49" t="s">
        <v>74</v>
      </c>
      <c r="G76" s="50"/>
      <c r="H76" s="50"/>
      <c r="I76" s="50"/>
      <c r="J76" s="50"/>
      <c r="K76" s="51"/>
      <c r="L76" s="51"/>
      <c r="M76" s="51"/>
      <c r="AJ76" s="51"/>
      <c r="AW76" s="51"/>
      <c r="AY76" s="51"/>
      <c r="BC76" s="51"/>
    </row>
    <row r="77" spans="3:55" x14ac:dyDescent="0.3">
      <c r="C77" s="2" t="s">
        <v>75</v>
      </c>
      <c r="E77" s="52">
        <v>10.025700000000001</v>
      </c>
      <c r="F77" s="53">
        <v>10.029299999999999</v>
      </c>
    </row>
    <row r="78" spans="3:55" x14ac:dyDescent="0.3">
      <c r="C78" s="2" t="s">
        <v>76</v>
      </c>
      <c r="E78" s="52">
        <v>10.296099999999999</v>
      </c>
      <c r="F78" s="53">
        <v>10.3584</v>
      </c>
    </row>
    <row r="79" spans="3:55" x14ac:dyDescent="0.3">
      <c r="C79" s="2" t="s">
        <v>77</v>
      </c>
      <c r="E79" s="52">
        <v>10.0238</v>
      </c>
      <c r="F79" s="53">
        <v>10.0246</v>
      </c>
    </row>
    <row r="80" spans="3:55" x14ac:dyDescent="0.3">
      <c r="C80" s="2" t="s">
        <v>78</v>
      </c>
      <c r="E80" s="52">
        <v>10.310600000000001</v>
      </c>
      <c r="F80" s="53">
        <v>10.376200000000001</v>
      </c>
    </row>
    <row r="82" spans="3:6" x14ac:dyDescent="0.3">
      <c r="C82" s="2" t="s">
        <v>79</v>
      </c>
      <c r="E82" s="11" t="s">
        <v>80</v>
      </c>
      <c r="F82" s="49" t="s">
        <v>81</v>
      </c>
    </row>
    <row r="83" spans="3:6" x14ac:dyDescent="0.3">
      <c r="C83" s="2" t="s">
        <v>75</v>
      </c>
      <c r="E83" s="52">
        <v>5.6953079999999996E-2</v>
      </c>
      <c r="F83" s="53">
        <v>5.6953079999999996E-2</v>
      </c>
    </row>
    <row r="84" spans="3:6" x14ac:dyDescent="0.3">
      <c r="C84" s="2" t="s">
        <v>77</v>
      </c>
      <c r="E84" s="52">
        <v>6.2963430000000001E-2</v>
      </c>
      <c r="F84" s="53">
        <v>6.2963430000000001E-2</v>
      </c>
    </row>
    <row r="86" spans="3:6" x14ac:dyDescent="0.3">
      <c r="C86" s="2" t="s">
        <v>82</v>
      </c>
    </row>
    <row r="87" spans="3:6" x14ac:dyDescent="0.3">
      <c r="C87" s="2" t="s">
        <v>83</v>
      </c>
    </row>
    <row r="88" spans="3:6" x14ac:dyDescent="0.3">
      <c r="C88" s="2" t="s">
        <v>84</v>
      </c>
    </row>
    <row r="89" spans="3:6" x14ac:dyDescent="0.3">
      <c r="C89" s="2" t="s">
        <v>85</v>
      </c>
    </row>
    <row r="90" spans="3:6" x14ac:dyDescent="0.3">
      <c r="C90" s="2" t="s">
        <v>86</v>
      </c>
    </row>
    <row r="91" spans="3:6" x14ac:dyDescent="0.3">
      <c r="C91" s="2" t="s">
        <v>87</v>
      </c>
    </row>
    <row r="92" spans="3:6" x14ac:dyDescent="0.3">
      <c r="C92" s="2" t="s">
        <v>88</v>
      </c>
    </row>
    <row r="93" spans="3:6" x14ac:dyDescent="0.3">
      <c r="C93" s="2" t="s">
        <v>89</v>
      </c>
    </row>
    <row r="94" spans="3:6" x14ac:dyDescent="0.3">
      <c r="C94" s="2" t="s">
        <v>90</v>
      </c>
    </row>
    <row r="95" spans="3:6" x14ac:dyDescent="0.3">
      <c r="C95" s="2" t="s">
        <v>91</v>
      </c>
    </row>
    <row r="96" spans="3:6" x14ac:dyDescent="0.3">
      <c r="C96" s="2" t="s">
        <v>92</v>
      </c>
    </row>
    <row r="97" spans="3:11" x14ac:dyDescent="0.3">
      <c r="C97" s="2" t="s">
        <v>93</v>
      </c>
    </row>
    <row r="98" spans="3:11" x14ac:dyDescent="0.3">
      <c r="C98" s="2" t="s">
        <v>94</v>
      </c>
    </row>
    <row r="99" spans="3:11" x14ac:dyDescent="0.3">
      <c r="C99" s="2" t="s">
        <v>95</v>
      </c>
    </row>
    <row r="100" spans="3:11" ht="46.5" customHeight="1" x14ac:dyDescent="0.3">
      <c r="C100" s="65" t="s">
        <v>96</v>
      </c>
      <c r="D100" s="66"/>
      <c r="E100" s="66"/>
      <c r="F100" s="66"/>
      <c r="G100" s="66"/>
      <c r="H100" s="66"/>
      <c r="I100" s="66"/>
      <c r="J100" s="66"/>
      <c r="K100" s="66"/>
    </row>
    <row r="123" spans="3:6" ht="16.2" thickBot="1" x14ac:dyDescent="0.35">
      <c r="C123" s="54" t="s">
        <v>97</v>
      </c>
      <c r="D123" s="55"/>
      <c r="E123" s="55"/>
      <c r="F123" s="55"/>
    </row>
    <row r="124" spans="3:6" ht="15" thickBot="1" x14ac:dyDescent="0.35">
      <c r="C124" s="56"/>
      <c r="D124" s="67" t="s">
        <v>98</v>
      </c>
      <c r="E124" s="68"/>
      <c r="F124" s="69"/>
    </row>
    <row r="125" spans="3:6" ht="15" thickBot="1" x14ac:dyDescent="0.35">
      <c r="C125" s="57" t="s">
        <v>99</v>
      </c>
      <c r="D125" s="70" t="s">
        <v>100</v>
      </c>
      <c r="E125" s="70" t="s">
        <v>101</v>
      </c>
      <c r="F125" s="70" t="s">
        <v>102</v>
      </c>
    </row>
    <row r="126" spans="3:6" ht="15" thickBot="1" x14ac:dyDescent="0.35">
      <c r="C126" s="57" t="s">
        <v>103</v>
      </c>
      <c r="D126" s="71"/>
      <c r="E126" s="71"/>
      <c r="F126" s="71"/>
    </row>
    <row r="127" spans="3:6" ht="15" thickBot="1" x14ac:dyDescent="0.35">
      <c r="C127" s="58" t="s">
        <v>104</v>
      </c>
      <c r="D127" s="59"/>
      <c r="E127" s="59"/>
      <c r="F127" s="59"/>
    </row>
    <row r="128" spans="3:6" ht="15" thickBot="1" x14ac:dyDescent="0.35">
      <c r="C128" s="58" t="s">
        <v>105</v>
      </c>
      <c r="D128" s="59"/>
      <c r="E128" s="59"/>
      <c r="F128" s="59"/>
    </row>
    <row r="129" spans="3:6" ht="15" thickBot="1" x14ac:dyDescent="0.35">
      <c r="C129" s="58" t="s">
        <v>106</v>
      </c>
      <c r="D129" s="59"/>
      <c r="E129" s="60" t="s">
        <v>107</v>
      </c>
      <c r="F129" s="59"/>
    </row>
    <row r="130" spans="3:6" ht="14.4" x14ac:dyDescent="0.3">
      <c r="C130" s="64" t="s">
        <v>108</v>
      </c>
      <c r="D130" s="64"/>
      <c r="E130" s="61"/>
      <c r="F130" s="61"/>
    </row>
    <row r="131" spans="3:6" ht="14.4" x14ac:dyDescent="0.35">
      <c r="C131" s="62" t="s">
        <v>109</v>
      </c>
    </row>
  </sheetData>
  <mergeCells count="6">
    <mergeCell ref="C130:D130"/>
    <mergeCell ref="C100:K100"/>
    <mergeCell ref="D124:F124"/>
    <mergeCell ref="D125:D126"/>
    <mergeCell ref="E125:E126"/>
    <mergeCell ref="F125:F126"/>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3"/>
  <sheetViews>
    <sheetView topLeftCell="A106" workbookViewId="0">
      <selection activeCell="H107" sqref="H10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2" t="s">
        <v>110</v>
      </c>
      <c r="D3" s="73"/>
      <c r="E3" s="73"/>
      <c r="F3" s="73"/>
      <c r="G3" s="73"/>
      <c r="H3" s="73"/>
      <c r="I3" s="73"/>
      <c r="J3" s="73"/>
      <c r="K3" s="74"/>
      <c r="M3" s="9"/>
    </row>
    <row r="4" spans="1:55" ht="39" customHeight="1" thickBot="1" x14ac:dyDescent="0.35">
      <c r="C4" s="75"/>
      <c r="D4" s="76"/>
      <c r="E4" s="76"/>
      <c r="F4" s="76"/>
      <c r="G4" s="76"/>
      <c r="H4" s="76"/>
      <c r="I4" s="76"/>
      <c r="J4" s="76"/>
      <c r="K4" s="77"/>
    </row>
    <row r="5" spans="1:55" ht="14.4" thickBot="1" x14ac:dyDescent="0.35">
      <c r="C5" s="11"/>
    </row>
    <row r="6" spans="1:55" ht="57" customHeight="1" thickBot="1" x14ac:dyDescent="0.5">
      <c r="C6" s="78" t="s">
        <v>111</v>
      </c>
      <c r="D6" s="79"/>
      <c r="E6" s="79"/>
      <c r="F6" s="79"/>
      <c r="G6" s="79"/>
      <c r="H6" s="79"/>
      <c r="I6" s="79"/>
      <c r="J6" s="79"/>
      <c r="K6" s="80"/>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500</v>
      </c>
      <c r="G22" s="32">
        <v>499</v>
      </c>
      <c r="H22" s="32">
        <v>11.73</v>
      </c>
      <c r="I22" s="33">
        <v>7.915</v>
      </c>
      <c r="J22" s="33"/>
      <c r="K22" s="34"/>
    </row>
    <row r="23" spans="1:11" x14ac:dyDescent="0.3">
      <c r="B23" s="1" t="s">
        <v>26</v>
      </c>
      <c r="C23" s="21" t="s">
        <v>27</v>
      </c>
      <c r="D23" s="29" t="s">
        <v>28</v>
      </c>
      <c r="E23" s="30" t="s">
        <v>29</v>
      </c>
      <c r="F23" s="31">
        <v>300</v>
      </c>
      <c r="G23" s="32">
        <v>301.31</v>
      </c>
      <c r="H23" s="32">
        <v>7.08</v>
      </c>
      <c r="I23" s="33">
        <v>8.06</v>
      </c>
      <c r="J23" s="33"/>
      <c r="K23" s="34" t="s">
        <v>30</v>
      </c>
    </row>
    <row r="24" spans="1:11" x14ac:dyDescent="0.3">
      <c r="C24" s="28" t="s">
        <v>31</v>
      </c>
      <c r="D24" s="29"/>
      <c r="E24" s="30"/>
      <c r="F24" s="31"/>
      <c r="G24" s="38">
        <v>800.31</v>
      </c>
      <c r="H24" s="38">
        <v>18.809999999999999</v>
      </c>
      <c r="I24" s="33"/>
      <c r="J24" s="33"/>
      <c r="K24" s="34"/>
    </row>
    <row r="25" spans="1:11" x14ac:dyDescent="0.3">
      <c r="C25" s="21"/>
      <c r="D25" s="29"/>
      <c r="E25" s="30"/>
      <c r="F25" s="31"/>
      <c r="G25" s="32"/>
      <c r="H25" s="32"/>
      <c r="I25" s="33"/>
      <c r="J25" s="33"/>
      <c r="K25" s="34"/>
    </row>
    <row r="26" spans="1:11" x14ac:dyDescent="0.3">
      <c r="C26" s="28" t="s">
        <v>32</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33</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37" t="s">
        <v>34</v>
      </c>
      <c r="D30" s="29"/>
      <c r="E30" s="30"/>
      <c r="F30" s="31"/>
      <c r="G30" s="32"/>
      <c r="H30" s="32"/>
      <c r="I30" s="33"/>
      <c r="J30" s="33"/>
      <c r="K30" s="34"/>
    </row>
    <row r="31" spans="1:11" x14ac:dyDescent="0.3">
      <c r="B31" s="1" t="s">
        <v>35</v>
      </c>
      <c r="C31" s="21" t="s">
        <v>36</v>
      </c>
      <c r="D31" s="29" t="s">
        <v>37</v>
      </c>
      <c r="E31" s="30" t="s">
        <v>38</v>
      </c>
      <c r="F31" s="31">
        <v>1500000</v>
      </c>
      <c r="G31" s="32">
        <v>1498.56</v>
      </c>
      <c r="H31" s="32">
        <v>35.24</v>
      </c>
      <c r="I31" s="33">
        <v>0</v>
      </c>
      <c r="J31" s="33"/>
      <c r="K31" s="34"/>
    </row>
    <row r="32" spans="1:11" x14ac:dyDescent="0.3">
      <c r="B32" s="1" t="s">
        <v>39</v>
      </c>
      <c r="C32" s="21" t="s">
        <v>40</v>
      </c>
      <c r="D32" s="29" t="s">
        <v>41</v>
      </c>
      <c r="E32" s="30" t="s">
        <v>38</v>
      </c>
      <c r="F32" s="31">
        <v>1300000</v>
      </c>
      <c r="G32" s="32">
        <v>1298.33</v>
      </c>
      <c r="H32" s="32">
        <v>30.53</v>
      </c>
      <c r="I32" s="33">
        <v>0</v>
      </c>
      <c r="J32" s="33"/>
      <c r="K32" s="34"/>
    </row>
    <row r="33" spans="1:11" x14ac:dyDescent="0.3">
      <c r="B33" s="1" t="s">
        <v>42</v>
      </c>
      <c r="C33" s="21" t="s">
        <v>43</v>
      </c>
      <c r="D33" s="29" t="s">
        <v>44</v>
      </c>
      <c r="E33" s="30" t="s">
        <v>38</v>
      </c>
      <c r="F33" s="31">
        <v>185000</v>
      </c>
      <c r="G33" s="32">
        <v>188.63</v>
      </c>
      <c r="H33" s="32">
        <v>4.4400000000000004</v>
      </c>
      <c r="I33" s="33">
        <v>0</v>
      </c>
      <c r="J33" s="33"/>
      <c r="K33" s="34"/>
    </row>
    <row r="34" spans="1:11" x14ac:dyDescent="0.3">
      <c r="C34" s="28" t="s">
        <v>31</v>
      </c>
      <c r="D34" s="29"/>
      <c r="E34" s="30"/>
      <c r="F34" s="31"/>
      <c r="G34" s="38">
        <v>2985.52</v>
      </c>
      <c r="H34" s="38">
        <v>70.209999999999994</v>
      </c>
      <c r="I34" s="33"/>
      <c r="J34" s="33"/>
      <c r="K34" s="34"/>
    </row>
    <row r="35" spans="1:11" x14ac:dyDescent="0.3">
      <c r="C35" s="21"/>
      <c r="D35" s="29"/>
      <c r="E35" s="30"/>
      <c r="F35" s="31"/>
      <c r="G35" s="32"/>
      <c r="H35" s="32"/>
      <c r="I35" s="33"/>
      <c r="J35" s="33"/>
      <c r="K35" s="34"/>
    </row>
    <row r="36" spans="1:11" x14ac:dyDescent="0.3">
      <c r="C36" s="28" t="s">
        <v>45</v>
      </c>
      <c r="D36" s="29"/>
      <c r="E36" s="30"/>
      <c r="F36" s="31"/>
      <c r="G36" s="32" t="s">
        <v>16</v>
      </c>
      <c r="H36" s="32" t="s">
        <v>16</v>
      </c>
      <c r="I36" s="33"/>
      <c r="J36" s="33"/>
      <c r="K36" s="34"/>
    </row>
    <row r="37" spans="1:11" x14ac:dyDescent="0.3">
      <c r="C37" s="21"/>
      <c r="D37" s="29"/>
      <c r="E37" s="30"/>
      <c r="F37" s="31"/>
      <c r="G37" s="32"/>
      <c r="H37" s="32"/>
      <c r="I37" s="33"/>
      <c r="J37" s="33"/>
      <c r="K37" s="34"/>
    </row>
    <row r="38" spans="1:11" x14ac:dyDescent="0.3">
      <c r="C38" s="28" t="s">
        <v>46</v>
      </c>
      <c r="D38" s="29"/>
      <c r="E38" s="30"/>
      <c r="F38" s="31"/>
      <c r="G38" s="32"/>
      <c r="H38" s="32"/>
      <c r="I38" s="33"/>
      <c r="J38" s="33"/>
      <c r="K38" s="34"/>
    </row>
    <row r="39" spans="1:11" x14ac:dyDescent="0.3">
      <c r="C39" s="21"/>
      <c r="D39" s="29"/>
      <c r="E39" s="30"/>
      <c r="F39" s="31"/>
      <c r="G39" s="32"/>
      <c r="H39" s="32"/>
      <c r="I39" s="33"/>
      <c r="J39" s="33"/>
      <c r="K39" s="34"/>
    </row>
    <row r="40" spans="1:11" x14ac:dyDescent="0.3">
      <c r="C40" s="28" t="s">
        <v>47</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C42" s="28" t="s">
        <v>48</v>
      </c>
      <c r="D42" s="29"/>
      <c r="E42" s="30"/>
      <c r="F42" s="31"/>
      <c r="G42" s="32" t="s">
        <v>16</v>
      </c>
      <c r="H42" s="32" t="s">
        <v>16</v>
      </c>
      <c r="I42" s="33"/>
      <c r="J42" s="33"/>
      <c r="K42" s="34"/>
    </row>
    <row r="43" spans="1:11" x14ac:dyDescent="0.3">
      <c r="C43" s="21"/>
      <c r="D43" s="29"/>
      <c r="E43" s="30"/>
      <c r="F43" s="31"/>
      <c r="G43" s="32"/>
      <c r="H43" s="32"/>
      <c r="I43" s="33"/>
      <c r="J43" s="33"/>
      <c r="K43" s="34"/>
    </row>
    <row r="44" spans="1:11" x14ac:dyDescent="0.3">
      <c r="C44" s="28" t="s">
        <v>49</v>
      </c>
      <c r="D44" s="29"/>
      <c r="E44" s="30"/>
      <c r="F44" s="31"/>
      <c r="G44" s="32" t="s">
        <v>16</v>
      </c>
      <c r="H44" s="32" t="s">
        <v>16</v>
      </c>
      <c r="I44" s="33"/>
      <c r="J44" s="33"/>
      <c r="K44" s="34"/>
    </row>
    <row r="45" spans="1:11" x14ac:dyDescent="0.3">
      <c r="C45" s="21"/>
      <c r="D45" s="29"/>
      <c r="E45" s="30"/>
      <c r="F45" s="31"/>
      <c r="G45" s="32"/>
      <c r="H45" s="32"/>
      <c r="I45" s="33"/>
      <c r="J45" s="33"/>
      <c r="K45" s="34"/>
    </row>
    <row r="46" spans="1:11" x14ac:dyDescent="0.3">
      <c r="C46" s="28" t="s">
        <v>50</v>
      </c>
      <c r="D46" s="29"/>
      <c r="E46" s="30"/>
      <c r="F46" s="31"/>
      <c r="G46" s="32" t="s">
        <v>16</v>
      </c>
      <c r="H46" s="32" t="s">
        <v>16</v>
      </c>
      <c r="I46" s="33"/>
      <c r="J46" s="33"/>
      <c r="K46" s="34"/>
    </row>
    <row r="47" spans="1:11" x14ac:dyDescent="0.3">
      <c r="C47" s="21"/>
      <c r="D47" s="29"/>
      <c r="E47" s="30"/>
      <c r="F47" s="31"/>
      <c r="G47" s="32"/>
      <c r="H47" s="32"/>
      <c r="I47" s="33"/>
      <c r="J47" s="33"/>
      <c r="K47" s="34"/>
    </row>
    <row r="48" spans="1:11" x14ac:dyDescent="0.3">
      <c r="A48" s="35"/>
      <c r="B48" s="36"/>
      <c r="C48" s="28" t="s">
        <v>51</v>
      </c>
      <c r="D48" s="29"/>
      <c r="E48" s="30"/>
      <c r="F48" s="31"/>
      <c r="G48" s="32"/>
      <c r="H48" s="32"/>
      <c r="I48" s="33"/>
      <c r="J48" s="33"/>
      <c r="K48" s="34"/>
    </row>
    <row r="49" spans="1:11" x14ac:dyDescent="0.3">
      <c r="A49" s="36"/>
      <c r="B49" s="36"/>
      <c r="C49" s="28" t="s">
        <v>52</v>
      </c>
      <c r="D49" s="29"/>
      <c r="E49" s="30"/>
      <c r="F49" s="31"/>
      <c r="G49" s="32" t="s">
        <v>16</v>
      </c>
      <c r="H49" s="32" t="s">
        <v>16</v>
      </c>
      <c r="I49" s="33"/>
      <c r="J49" s="33"/>
      <c r="K49" s="34"/>
    </row>
    <row r="50" spans="1:11" x14ac:dyDescent="0.3">
      <c r="A50" s="36"/>
      <c r="B50" s="36"/>
      <c r="C50" s="28"/>
      <c r="D50" s="29"/>
      <c r="E50" s="30"/>
      <c r="F50" s="31"/>
      <c r="G50" s="32"/>
      <c r="H50" s="32"/>
      <c r="I50" s="33"/>
      <c r="J50" s="33"/>
      <c r="K50" s="34"/>
    </row>
    <row r="51" spans="1:11" x14ac:dyDescent="0.3">
      <c r="A51" s="36"/>
      <c r="B51" s="36"/>
      <c r="C51" s="28" t="s">
        <v>53</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54</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A55" s="36"/>
      <c r="B55" s="36"/>
      <c r="C55" s="28" t="s">
        <v>55</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C57" s="37" t="s">
        <v>56</v>
      </c>
      <c r="D57" s="29"/>
      <c r="E57" s="30"/>
      <c r="F57" s="31"/>
      <c r="G57" s="32"/>
      <c r="H57" s="32"/>
      <c r="I57" s="33"/>
      <c r="J57" s="33"/>
      <c r="K57" s="34"/>
    </row>
    <row r="58" spans="1:11" x14ac:dyDescent="0.3">
      <c r="B58" s="1" t="s">
        <v>57</v>
      </c>
      <c r="C58" s="21" t="s">
        <v>58</v>
      </c>
      <c r="D58" s="29"/>
      <c r="E58" s="30"/>
      <c r="F58" s="31"/>
      <c r="G58" s="32">
        <v>331.71</v>
      </c>
      <c r="H58" s="32">
        <v>7.8</v>
      </c>
      <c r="I58" s="33">
        <v>6.79</v>
      </c>
      <c r="J58" s="33"/>
      <c r="K58" s="34"/>
    </row>
    <row r="59" spans="1:11" x14ac:dyDescent="0.3">
      <c r="C59" s="28" t="s">
        <v>31</v>
      </c>
      <c r="D59" s="29"/>
      <c r="E59" s="30"/>
      <c r="F59" s="31"/>
      <c r="G59" s="38">
        <v>331.71</v>
      </c>
      <c r="H59" s="38">
        <v>7.8</v>
      </c>
      <c r="I59" s="33"/>
      <c r="J59" s="33"/>
      <c r="K59" s="34"/>
    </row>
    <row r="60" spans="1:11" x14ac:dyDescent="0.3">
      <c r="C60" s="21"/>
      <c r="D60" s="29"/>
      <c r="E60" s="30"/>
      <c r="F60" s="31"/>
      <c r="G60" s="32"/>
      <c r="H60" s="32"/>
      <c r="I60" s="33"/>
      <c r="J60" s="33"/>
      <c r="K60" s="34"/>
    </row>
    <row r="61" spans="1:11" x14ac:dyDescent="0.3">
      <c r="A61" s="35"/>
      <c r="B61" s="36"/>
      <c r="C61" s="28" t="s">
        <v>59</v>
      </c>
      <c r="D61" s="29"/>
      <c r="E61" s="30"/>
      <c r="F61" s="31"/>
      <c r="G61" s="32"/>
      <c r="H61" s="32"/>
      <c r="I61" s="33"/>
      <c r="J61" s="33"/>
      <c r="K61" s="34"/>
    </row>
    <row r="62" spans="1:11" x14ac:dyDescent="0.3">
      <c r="B62" s="1"/>
      <c r="C62" s="21" t="s">
        <v>60</v>
      </c>
      <c r="D62" s="29"/>
      <c r="E62" s="30"/>
      <c r="F62" s="31"/>
      <c r="G62" s="32">
        <v>135.44999999999999</v>
      </c>
      <c r="H62" s="32">
        <v>3.18</v>
      </c>
      <c r="I62" s="33"/>
      <c r="J62" s="33"/>
      <c r="K62" s="34"/>
    </row>
    <row r="63" spans="1:11" x14ac:dyDescent="0.3">
      <c r="C63" s="28" t="s">
        <v>31</v>
      </c>
      <c r="D63" s="29"/>
      <c r="E63" s="30"/>
      <c r="F63" s="31"/>
      <c r="G63" s="38">
        <v>135.44999999999999</v>
      </c>
      <c r="H63" s="38">
        <v>3.18</v>
      </c>
      <c r="I63" s="33"/>
      <c r="J63" s="33"/>
      <c r="K63" s="34"/>
    </row>
    <row r="64" spans="1:11" x14ac:dyDescent="0.3">
      <c r="C64" s="21"/>
      <c r="D64" s="29"/>
      <c r="E64" s="30"/>
      <c r="F64" s="31"/>
      <c r="G64" s="32"/>
      <c r="H64" s="32"/>
      <c r="I64" s="33"/>
      <c r="J64" s="33"/>
      <c r="K64" s="34"/>
    </row>
    <row r="65" spans="3:55" ht="14.4" thickBot="1" x14ac:dyDescent="0.35">
      <c r="C65" s="39" t="s">
        <v>61</v>
      </c>
      <c r="D65" s="40"/>
      <c r="E65" s="41"/>
      <c r="F65" s="42"/>
      <c r="G65" s="43">
        <v>4252.99</v>
      </c>
      <c r="H65" s="43">
        <f>SUMIFS(H:H,C:C,"Total")</f>
        <v>100</v>
      </c>
      <c r="I65" s="44"/>
      <c r="J65" s="44"/>
      <c r="K65" s="45"/>
    </row>
    <row r="68" spans="3:55" x14ac:dyDescent="0.3">
      <c r="C68" s="11" t="s">
        <v>62</v>
      </c>
    </row>
    <row r="69" spans="3:55" x14ac:dyDescent="0.3">
      <c r="C69" s="2" t="s">
        <v>63</v>
      </c>
    </row>
    <row r="70" spans="3:55" x14ac:dyDescent="0.3">
      <c r="C70" s="46" t="s">
        <v>64</v>
      </c>
    </row>
    <row r="71" spans="3:55" x14ac:dyDescent="0.3">
      <c r="C71" s="2" t="s">
        <v>65</v>
      </c>
    </row>
    <row r="72" spans="3:55" x14ac:dyDescent="0.3">
      <c r="C72" s="2" t="s">
        <v>66</v>
      </c>
    </row>
    <row r="73" spans="3:55" x14ac:dyDescent="0.3">
      <c r="C73" s="2" t="s">
        <v>67</v>
      </c>
      <c r="D73" s="47"/>
      <c r="E73" s="47"/>
      <c r="F73" s="47"/>
      <c r="G73" s="48"/>
      <c r="H73" s="48"/>
    </row>
    <row r="74" spans="3:55" x14ac:dyDescent="0.3">
      <c r="C74" s="2" t="s">
        <v>68</v>
      </c>
    </row>
    <row r="75" spans="3:55" x14ac:dyDescent="0.3">
      <c r="C75" s="2" t="s">
        <v>69</v>
      </c>
    </row>
    <row r="76" spans="3:55" x14ac:dyDescent="0.3">
      <c r="C76" s="2" t="s">
        <v>70</v>
      </c>
    </row>
    <row r="77" spans="3:55" x14ac:dyDescent="0.3">
      <c r="C77" s="2" t="s">
        <v>71</v>
      </c>
    </row>
    <row r="78" spans="3:55" s="11" customFormat="1" x14ac:dyDescent="0.3">
      <c r="C78" s="11" t="s">
        <v>72</v>
      </c>
      <c r="E78" s="11" t="s">
        <v>112</v>
      </c>
      <c r="F78" s="49" t="s">
        <v>74</v>
      </c>
      <c r="G78" s="50"/>
      <c r="H78" s="50"/>
      <c r="I78" s="50"/>
      <c r="J78" s="50"/>
      <c r="K78" s="51"/>
      <c r="L78" s="51"/>
      <c r="M78" s="51"/>
      <c r="AJ78" s="51"/>
      <c r="AW78" s="51"/>
      <c r="AY78" s="51"/>
      <c r="BC78" s="51"/>
    </row>
    <row r="79" spans="3:55" x14ac:dyDescent="0.3">
      <c r="C79" s="2" t="s">
        <v>75</v>
      </c>
      <c r="E79" s="63" t="s">
        <v>113</v>
      </c>
      <c r="F79" s="53">
        <v>10.029299999999999</v>
      </c>
    </row>
    <row r="80" spans="3:55" x14ac:dyDescent="0.3">
      <c r="C80" s="2" t="s">
        <v>76</v>
      </c>
      <c r="E80" s="63" t="s">
        <v>113</v>
      </c>
      <c r="F80" s="53">
        <v>10.3584</v>
      </c>
    </row>
    <row r="81" spans="3:6" x14ac:dyDescent="0.3">
      <c r="C81" s="2" t="s">
        <v>77</v>
      </c>
      <c r="E81" s="63" t="s">
        <v>113</v>
      </c>
      <c r="F81" s="53">
        <v>10.0246</v>
      </c>
    </row>
    <row r="82" spans="3:6" x14ac:dyDescent="0.3">
      <c r="C82" s="2" t="s">
        <v>78</v>
      </c>
      <c r="E82" s="63" t="s">
        <v>113</v>
      </c>
      <c r="F82" s="53">
        <v>10.376200000000001</v>
      </c>
    </row>
    <row r="84" spans="3:6" x14ac:dyDescent="0.3">
      <c r="C84" s="2" t="s">
        <v>114</v>
      </c>
      <c r="E84" s="11" t="s">
        <v>80</v>
      </c>
      <c r="F84" s="49" t="s">
        <v>81</v>
      </c>
    </row>
    <row r="85" spans="3:6" x14ac:dyDescent="0.3">
      <c r="C85" s="2" t="s">
        <v>75</v>
      </c>
      <c r="E85" s="52">
        <v>0.32377432</v>
      </c>
      <c r="F85" s="53">
        <v>0.32377432</v>
      </c>
    </row>
    <row r="86" spans="3:6" x14ac:dyDescent="0.3">
      <c r="C86" s="2" t="s">
        <v>77</v>
      </c>
      <c r="E86" s="52">
        <v>0.34595778999999999</v>
      </c>
      <c r="F86" s="53">
        <v>0.34595778999999999</v>
      </c>
    </row>
    <row r="88" spans="3:6" x14ac:dyDescent="0.3">
      <c r="C88" s="2" t="s">
        <v>115</v>
      </c>
    </row>
    <row r="89" spans="3:6" x14ac:dyDescent="0.3">
      <c r="C89" s="2" t="s">
        <v>83</v>
      </c>
    </row>
    <row r="90" spans="3:6" x14ac:dyDescent="0.3">
      <c r="C90" s="2" t="s">
        <v>84</v>
      </c>
    </row>
    <row r="91" spans="3:6" x14ac:dyDescent="0.3">
      <c r="C91" s="2" t="s">
        <v>116</v>
      </c>
    </row>
    <row r="92" spans="3:6" x14ac:dyDescent="0.3">
      <c r="C92" s="2" t="s">
        <v>86</v>
      </c>
    </row>
    <row r="93" spans="3:6" x14ac:dyDescent="0.3">
      <c r="C93" s="2" t="s">
        <v>117</v>
      </c>
    </row>
    <row r="94" spans="3:6" x14ac:dyDescent="0.3">
      <c r="C94" s="2" t="s">
        <v>88</v>
      </c>
    </row>
    <row r="95" spans="3:6" x14ac:dyDescent="0.3">
      <c r="C95" s="2" t="s">
        <v>89</v>
      </c>
    </row>
    <row r="96" spans="3:6" x14ac:dyDescent="0.3">
      <c r="C96" s="2" t="s">
        <v>118</v>
      </c>
    </row>
    <row r="97" spans="3:11" x14ac:dyDescent="0.3">
      <c r="C97" s="2" t="s">
        <v>91</v>
      </c>
    </row>
    <row r="98" spans="3:11" x14ac:dyDescent="0.3">
      <c r="C98" s="2" t="s">
        <v>92</v>
      </c>
    </row>
    <row r="99" spans="3:11" x14ac:dyDescent="0.3">
      <c r="C99" s="2" t="s">
        <v>119</v>
      </c>
    </row>
    <row r="100" spans="3:11" x14ac:dyDescent="0.3">
      <c r="C100" s="2" t="s">
        <v>94</v>
      </c>
    </row>
    <row r="101" spans="3:11" x14ac:dyDescent="0.3">
      <c r="C101" s="2" t="s">
        <v>95</v>
      </c>
    </row>
    <row r="102" spans="3:11" ht="46.5" customHeight="1" x14ac:dyDescent="0.3">
      <c r="C102" s="65" t="s">
        <v>96</v>
      </c>
      <c r="D102" s="66"/>
      <c r="E102" s="66"/>
      <c r="F102" s="66"/>
      <c r="G102" s="66"/>
      <c r="H102" s="66"/>
      <c r="I102" s="66"/>
      <c r="J102" s="66"/>
      <c r="K102" s="66"/>
    </row>
    <row r="125" spans="3:6" ht="16.2" thickBot="1" x14ac:dyDescent="0.35">
      <c r="C125" s="54" t="s">
        <v>97</v>
      </c>
      <c r="D125" s="55"/>
      <c r="E125" s="55"/>
      <c r="F125" s="55"/>
    </row>
    <row r="126" spans="3:6" ht="15" thickBot="1" x14ac:dyDescent="0.35">
      <c r="C126" s="56"/>
      <c r="D126" s="67" t="s">
        <v>98</v>
      </c>
      <c r="E126" s="68"/>
      <c r="F126" s="69"/>
    </row>
    <row r="127" spans="3:6" ht="15" thickBot="1" x14ac:dyDescent="0.35">
      <c r="C127" s="57" t="s">
        <v>99</v>
      </c>
      <c r="D127" s="70" t="s">
        <v>100</v>
      </c>
      <c r="E127" s="70" t="s">
        <v>101</v>
      </c>
      <c r="F127" s="70" t="s">
        <v>102</v>
      </c>
    </row>
    <row r="128" spans="3:6" ht="15" thickBot="1" x14ac:dyDescent="0.35">
      <c r="C128" s="57" t="s">
        <v>103</v>
      </c>
      <c r="D128" s="71"/>
      <c r="E128" s="71"/>
      <c r="F128" s="71"/>
    </row>
    <row r="129" spans="3:6" ht="15" thickBot="1" x14ac:dyDescent="0.35">
      <c r="C129" s="58" t="s">
        <v>104</v>
      </c>
      <c r="D129" s="59"/>
      <c r="E129" s="59"/>
      <c r="F129" s="59"/>
    </row>
    <row r="130" spans="3:6" ht="15" thickBot="1" x14ac:dyDescent="0.35">
      <c r="C130" s="58" t="s">
        <v>105</v>
      </c>
      <c r="D130" s="59"/>
      <c r="E130" s="59"/>
      <c r="F130" s="59"/>
    </row>
    <row r="131" spans="3:6" ht="15" thickBot="1" x14ac:dyDescent="0.35">
      <c r="C131" s="58" t="s">
        <v>106</v>
      </c>
      <c r="D131" s="59"/>
      <c r="E131" s="60" t="s">
        <v>107</v>
      </c>
      <c r="F131" s="59"/>
    </row>
    <row r="132" spans="3:6" ht="14.4" x14ac:dyDescent="0.3">
      <c r="C132" s="64" t="s">
        <v>108</v>
      </c>
      <c r="D132" s="64"/>
      <c r="E132" s="61"/>
      <c r="F132" s="61"/>
    </row>
    <row r="133" spans="3:6" ht="14.4" x14ac:dyDescent="0.35">
      <c r="C133" s="62" t="s">
        <v>109</v>
      </c>
    </row>
  </sheetData>
  <mergeCells count="8">
    <mergeCell ref="C132:D132"/>
    <mergeCell ref="C3:K4"/>
    <mergeCell ref="C6:K6"/>
    <mergeCell ref="C102:K102"/>
    <mergeCell ref="D126:F126"/>
    <mergeCell ref="D127:D128"/>
    <mergeCell ref="E127:E128"/>
    <mergeCell ref="F127:F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XDO_?CLASS_3?6?</vt:lpstr>
      <vt:lpstr>XDO_?FINAL_ISIN?23?</vt:lpstr>
      <vt:lpstr>XDO_?FINAL_ISIN?24?</vt:lpstr>
      <vt:lpstr>XDO_?FINAL_ISIN?25?</vt:lpstr>
      <vt:lpstr>XDO_?FINAL_ISIN?26?</vt:lpstr>
      <vt:lpstr>XDO_?FINAL_MV?23?</vt:lpstr>
      <vt:lpstr>XDO_?FINAL_MV?24?</vt:lpstr>
      <vt:lpstr>XDO_?FINAL_MV?25?</vt:lpstr>
      <vt:lpstr>XDO_?FINAL_MV?26?</vt:lpstr>
      <vt:lpstr>XDO_?FINAL_NAME?23?</vt:lpstr>
      <vt:lpstr>XDO_?FINAL_NAME?24?</vt:lpstr>
      <vt:lpstr>XDO_?FINAL_NAME?25?</vt:lpstr>
      <vt:lpstr>XDO_?FINAL_NAME?26?</vt:lpstr>
      <vt:lpstr>XDO_?FINAL_PER_NET?23?</vt:lpstr>
      <vt:lpstr>XDO_?FINAL_PER_NET?24?</vt:lpstr>
      <vt:lpstr>XDO_?FINAL_PER_NET?25?</vt:lpstr>
      <vt:lpstr>XDO_?FINAL_PER_NET?26?</vt:lpstr>
      <vt:lpstr>XDO_?FINAL_QUANTITE?23?</vt:lpstr>
      <vt:lpstr>XDO_?FINAL_QUANTITE?24?</vt:lpstr>
      <vt:lpstr>XDO_?FINAL_QUANTITE?25?</vt:lpstr>
      <vt:lpstr>XDO_?FINAL_QUANTITE?26?</vt:lpstr>
      <vt:lpstr>XDO_?NAMCNAME?6?</vt:lpstr>
      <vt:lpstr>XDO_?NOVAL?23?</vt:lpstr>
      <vt:lpstr>XDO_?NOVAL?24?</vt:lpstr>
      <vt:lpstr>XDO_?NOVAL?25?</vt:lpstr>
      <vt:lpstr>XDO_?NOVAL?26?</vt:lpstr>
      <vt:lpstr>XDO_?NPTF?6?</vt:lpstr>
      <vt:lpstr>XDO_?RATING?23?</vt:lpstr>
      <vt:lpstr>XDO_?RATING?24?</vt:lpstr>
      <vt:lpstr>XDO_?RATING?25?</vt:lpstr>
      <vt:lpstr>XDO_?RATING?26?</vt:lpstr>
      <vt:lpstr>XDO_?REMARKS?23?</vt:lpstr>
      <vt:lpstr>XDO_?REMARKS?24?</vt:lpstr>
      <vt:lpstr>XDO_?REMARKS?25?</vt:lpstr>
      <vt:lpstr>XDO_?REMARKS?26?</vt:lpstr>
      <vt:lpstr>XDO_?TITL?6?</vt:lpstr>
      <vt:lpstr>XDO_?YTM?23?</vt:lpstr>
      <vt:lpstr>XDO_?YTM?24?</vt:lpstr>
      <vt:lpstr>XDO_?YTM?25?</vt:lpstr>
      <vt:lpstr>XDO_?YTM?26?</vt:lpstr>
      <vt:lpstr>XDO_GROUP_?G_2?6?</vt:lpstr>
      <vt:lpstr>XDO_GROUP_?G_3?6?</vt:lpstr>
      <vt:lpstr>XDO_GROUP_?G_4?23?</vt:lpstr>
      <vt:lpstr>XDO_GROUP_?G_4?24?</vt:lpstr>
      <vt:lpstr>XDO_GROUP_?G_4?25?</vt:lpstr>
      <vt:lpstr>XDO_GROUP_?G_4?26?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2023-10-05T12:54:06Z</dcterms:created>
  <dcterms:modified xsi:type="dcterms:W3CDTF">2023-10-09T10:14:40Z</dcterms:modified>
</cp:coreProperties>
</file>