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Baroda-uploading\Monthly-and-half-yearly-portfolio\Monthly_portfolio-30-Sept-2023\BOBBNPMF_Monthly portfolio_split Portfolio_30-09-2023\"/>
    </mc:Choice>
  </mc:AlternateContent>
  <bookViews>
    <workbookView xWindow="0" yWindow="0" windowWidth="23040" windowHeight="9072"/>
  </bookViews>
  <sheets>
    <sheet name="Monthly portfolio" sheetId="1" r:id="rId1"/>
    <sheet name="Half Yearly Portfolio" sheetId="2" r:id="rId2"/>
  </sheets>
  <externalReferences>
    <externalReference r:id="rId3"/>
  </externalReferences>
  <definedNames>
    <definedName name="XDO_?CLASS_3?21?">'Monthly portfolio'!$C$18:$C$37</definedName>
    <definedName name="XDO_?FINAL_ISIN?105?">'Monthly portfolio'!$D$20:$D$37</definedName>
    <definedName name="XDO_?FINAL_ISIN?106?">'Monthly portfolio'!$D$20:$D$46</definedName>
    <definedName name="XDO_?FINAL_ISIN?107?">'Monthly portfolio'!$D$20:$D$51</definedName>
    <definedName name="XDO_?FINAL_ISIN?108?">'Monthly portfolio'!$D$20:$D$74</definedName>
    <definedName name="XDO_?FINAL_ISIN?109?">'Monthly portfolio'!$D$20:$D$78</definedName>
    <definedName name="XDO_?FINAL_MV?105?">'Monthly portfolio'!$G$20:$G$37</definedName>
    <definedName name="XDO_?FINAL_MV?106?">'Monthly portfolio'!$G$20:$G$46</definedName>
    <definedName name="XDO_?FINAL_MV?107?">'Monthly portfolio'!$G$20:$G$51</definedName>
    <definedName name="XDO_?FINAL_MV?108?">'Monthly portfolio'!$G$20:$G$74</definedName>
    <definedName name="XDO_?FINAL_MV?109?">'Monthly portfolio'!$G$20:$G$78</definedName>
    <definedName name="XDO_?FINAL_NAME?105?">'Monthly portfolio'!$C$20:$C$37</definedName>
    <definedName name="XDO_?FINAL_NAME?106?">'Monthly portfolio'!$C$20:$C$46</definedName>
    <definedName name="XDO_?FINAL_NAME?107?">'Monthly portfolio'!$C$20:$C$51</definedName>
    <definedName name="XDO_?FINAL_NAME?108?">'Monthly portfolio'!$C$20:$C$74</definedName>
    <definedName name="XDO_?FINAL_NAME?109?">'Monthly portfolio'!$C$20:$C$78</definedName>
    <definedName name="XDO_?FINAL_PER_NET?105?">'Monthly portfolio'!$H$20:$H$37</definedName>
    <definedName name="XDO_?FINAL_PER_NET?106?">'Monthly portfolio'!$H$20:$H$46</definedName>
    <definedName name="XDO_?FINAL_PER_NET?107?">'Monthly portfolio'!$H$20:$H$51</definedName>
    <definedName name="XDO_?FINAL_PER_NET?108?">'Monthly portfolio'!$H$20:$H$74</definedName>
    <definedName name="XDO_?FINAL_PER_NET?109?">'Monthly portfolio'!$H$20:$H$78</definedName>
    <definedName name="XDO_?FINAL_QUANTITE?105?">'Monthly portfolio'!$F$20:$F$37</definedName>
    <definedName name="XDO_?FINAL_QUANTITE?106?">'Monthly portfolio'!$F$20:$F$46</definedName>
    <definedName name="XDO_?FINAL_QUANTITE?107?">'Monthly portfolio'!$F$20:$F$51</definedName>
    <definedName name="XDO_?FINAL_QUANTITE?108?">'Monthly portfolio'!$F$20:$F$74</definedName>
    <definedName name="XDO_?FINAL_QUANTITE?109?">'Monthly portfolio'!$F$20:$F$78</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[1]FX!#REF!</definedName>
    <definedName name="XDO_?NAMC?16?">[1]MA!#REF!</definedName>
    <definedName name="XDO_?NAMC?17?">[1]VF!#REF!</definedName>
    <definedName name="XDO_?NAMC?18?">[1]GR!#REF!</definedName>
    <definedName name="XDO_?NAMC?19?">[1]GF!#REF!</definedName>
    <definedName name="XDO_?NAMC?2?">[1]FL!#REF!</definedName>
    <definedName name="XDO_?NAMC?20?">[1]LQ!#REF!</definedName>
    <definedName name="XDO_?NAMC?21?">'Monthly portfolio'!#REF!</definedName>
    <definedName name="XDO_?NAMC?22?">[1]BS!#REF!</definedName>
    <definedName name="XDO_?NAMC?23?">[1]CO!#REF!</definedName>
    <definedName name="XDO_?NAMC?24?">[1]US!#REF!</definedName>
    <definedName name="XDO_?NAMC?25?">[1]DE!#REF!</definedName>
    <definedName name="XDO_?NAMC?26?">[1]ON!#REF!</definedName>
    <definedName name="XDO_?NAMC?27?">[1]BM!#REF!</definedName>
    <definedName name="XDO_?NAMC?28?">[1]ES!#REF!</definedName>
    <definedName name="XDO_?NAMC?29?">[1]LM!#REF!</definedName>
    <definedName name="XDO_?NAMC?3?">[1]CB!#REF!</definedName>
    <definedName name="XDO_?NAMC?30?">[1]BP!#REF!</definedName>
    <definedName name="XDO_?NAMC?31?">[1]BC!#REF!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1?">'Monthly portfolio'!$C$2:$C$37</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[1]FX!#REF!</definedName>
    <definedName name="XDO_?NDATE?16?">[1]MA!#REF!</definedName>
    <definedName name="XDO_?NDATE?17?">[1]VF!#REF!</definedName>
    <definedName name="XDO_?NDATE?18?">[1]GR!#REF!</definedName>
    <definedName name="XDO_?NDATE?19?">[1]GF!#REF!</definedName>
    <definedName name="XDO_?NDATE?2?">[1]FL!#REF!</definedName>
    <definedName name="XDO_?NDATE?20?">[1]LQ!#REF!</definedName>
    <definedName name="XDO_?NDATE?21?">'Monthly portfolio'!#REF!</definedName>
    <definedName name="XDO_?NDATE?22?">[1]BS!#REF!</definedName>
    <definedName name="XDO_?NDATE?23?">[1]CO!#REF!</definedName>
    <definedName name="XDO_?NDATE?24?">[1]US!#REF!</definedName>
    <definedName name="XDO_?NDATE?25?">[1]DE!#REF!</definedName>
    <definedName name="XDO_?NDATE?26?">[1]ON!#REF!</definedName>
    <definedName name="XDO_?NDATE?27?">[1]BM!#REF!</definedName>
    <definedName name="XDO_?NDATE?28?">[1]ES!#REF!</definedName>
    <definedName name="XDO_?NDATE?29?">[1]LM!#REF!</definedName>
    <definedName name="XDO_?NDATE?3?">[1]CB!#REF!</definedName>
    <definedName name="XDO_?NDATE?30?">[1]BP!#REF!</definedName>
    <definedName name="XDO_?NDATE?31?">[1]BC!#REF!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[1]FX!#REF!</definedName>
    <definedName name="XDO_?NNPTF?16?">[1]MA!#REF!</definedName>
    <definedName name="XDO_?NNPTF?17?">[1]VF!#REF!</definedName>
    <definedName name="XDO_?NNPTF?18?">[1]GR!#REF!</definedName>
    <definedName name="XDO_?NNPTF?19?">[1]GF!#REF!</definedName>
    <definedName name="XDO_?NNPTF?2?">[1]FL!#REF!</definedName>
    <definedName name="XDO_?NNPTF?20?">[1]LQ!#REF!</definedName>
    <definedName name="XDO_?NNPTF?21?">'Monthly portfolio'!#REF!</definedName>
    <definedName name="XDO_?NNPTF?22?">[1]BS!#REF!</definedName>
    <definedName name="XDO_?NNPTF?23?">[1]CO!#REF!</definedName>
    <definedName name="XDO_?NNPTF?24?">[1]US!#REF!</definedName>
    <definedName name="XDO_?NNPTF?25?">[1]DE!#REF!</definedName>
    <definedName name="XDO_?NNPTF?26?">[1]ON!#REF!</definedName>
    <definedName name="XDO_?NNPTF?27?">[1]BM!#REF!</definedName>
    <definedName name="XDO_?NNPTF?28?">[1]ES!#REF!</definedName>
    <definedName name="XDO_?NNPTF?29?">[1]LM!#REF!</definedName>
    <definedName name="XDO_?NNPTF?3?">[1]CB!#REF!</definedName>
    <definedName name="XDO_?NNPTF?30?">[1]BP!#REF!</definedName>
    <definedName name="XDO_?NNPTF?31?">[1]BC!#REF!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05?">'Monthly portfolio'!$B$20:$B$37</definedName>
    <definedName name="XDO_?NOVAL?106?">'Monthly portfolio'!$B$20:$B$46</definedName>
    <definedName name="XDO_?NOVAL?107?">'Monthly portfolio'!$B$20:$B$51</definedName>
    <definedName name="XDO_?NOVAL?108?">'Monthly portfolio'!$B$20:$B$74</definedName>
    <definedName name="XDO_?NOVAL?109?">'Monthly portfolio'!$B$20:$B$78</definedName>
    <definedName name="XDO_?NPTF?21?">'Monthly portfolio'!$D$2:$D$37</definedName>
    <definedName name="XDO_?RATING?105?">'Monthly portfolio'!$E$20:$E$37</definedName>
    <definedName name="XDO_?RATING?106?">'Monthly portfolio'!$E$20:$E$46</definedName>
    <definedName name="XDO_?RATING?107?">'Monthly portfolio'!$E$20:$E$51</definedName>
    <definedName name="XDO_?RATING?108?">'Monthly portfolio'!$E$20:$E$74</definedName>
    <definedName name="XDO_?RATING?109?">'Monthly portfolio'!$E$20:$E$78</definedName>
    <definedName name="XDO_?REMARKS?105?">'Monthly portfolio'!$K$20:$K$37</definedName>
    <definedName name="XDO_?REMARKS?106?">'Monthly portfolio'!$K$20:$K$46</definedName>
    <definedName name="XDO_?REMARKS?107?">'Monthly portfolio'!$K$20:$K$51</definedName>
    <definedName name="XDO_?REMARKS?108?">'Monthly portfolio'!$K$20:$K$74</definedName>
    <definedName name="XDO_?REMARKS?109?">'Monthly portfolio'!$K$20:$K$78</definedName>
    <definedName name="XDO_?TITL?21?">'Monthly portfolio'!$A$18:$A$37</definedName>
    <definedName name="XDO_?YTM?105?">'Monthly portfolio'!$I$20:$I$37</definedName>
    <definedName name="XDO_?YTM?106?">'Monthly portfolio'!$I$20:$I$46</definedName>
    <definedName name="XDO_?YTM?107?">'Monthly portfolio'!$I$20:$I$51</definedName>
    <definedName name="XDO_?YTM?108?">'Monthly portfolio'!$I$20:$I$74</definedName>
    <definedName name="XDO_?YTM?109?">'Monthly portfolio'!$I$20:$I$78</definedName>
    <definedName name="XDO_GROUP_?G_2?21?">'Monthly portfolio'!$2:$48</definedName>
    <definedName name="XDO_GROUP_?G_3?21?">'Monthly portfolio'!$8:$47</definedName>
    <definedName name="XDO_GROUP_?G_4?105?">'Monthly portfolio'!$B$10:$IV$25</definedName>
    <definedName name="XDO_GROUP_?G_4?106?">'Monthly portfolio'!$B$29:$IV$30</definedName>
    <definedName name="XDO_GROUP_?G_4?107?">'Monthly portfolio'!$B$34:$IV$35</definedName>
    <definedName name="XDO_GROUP_?G_4?108?">'Monthly portfolio'!$B$40:$IV$40</definedName>
    <definedName name="XDO_GROUP_?G_4?109?">'Monthly portfolio'!$B$45:$IV$45</definedName>
    <definedName name="XDO_GROUP_?G_4?140?">[1]BM!#REF!</definedName>
    <definedName name="XDO_GROUP_?G_4?40?">[1]TA!#REF!</definedName>
    <definedName name="XDO_GROUP_?G_4?93?">[1]GR!#REF!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3" i="2" l="1"/>
  <c r="H81" i="1" l="1"/>
</calcChain>
</file>

<file path=xl/sharedStrings.xml><?xml version="1.0" encoding="utf-8"?>
<sst xmlns="http://schemas.openxmlformats.org/spreadsheetml/2006/main" count="462" uniqueCount="176">
  <si>
    <t>Baroda BNP Paribas Mutual Fund</t>
  </si>
  <si>
    <t>YR15</t>
  </si>
  <si>
    <t>SCHEME NAME :</t>
  </si>
  <si>
    <t xml:space="preserve">Baroda BNP Paribas Short Duration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</si>
  <si>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</si>
  <si>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</si>
  <si>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</si>
  <si>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</si>
  <si>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</si>
  <si>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</si>
  <si>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</si>
  <si>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</si>
  <si>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</si>
  <si>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</si>
  <si>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</si>
  <si>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</si>
  <si>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</si>
  <si>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</si>
  <si>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</si>
  <si>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e) Index Futures</t>
  </si>
  <si>
    <t>DEBT INSTRUMENTS</t>
  </si>
  <si>
    <t>a) Listed/awaiting listing on the stock exchanges</t>
  </si>
  <si>
    <t>703892</t>
  </si>
  <si>
    <t>7.75% Small Industries Development Bank of India 27-Oct-2025</t>
  </si>
  <si>
    <t>INE556F08KD0</t>
  </si>
  <si>
    <t>[ICRA]AAA</t>
  </si>
  <si>
    <t>N**</t>
  </si>
  <si>
    <t>702448</t>
  </si>
  <si>
    <t>7.40% Reliance Industries Ltd. 25-Apr-2025</t>
  </si>
  <si>
    <t>INE002A08617</t>
  </si>
  <si>
    <t>CRISIL AAA</t>
  </si>
  <si>
    <t>704318</t>
  </si>
  <si>
    <t>6.75% Sikka Ports &amp; Terminals Ltd. 22-Apr-2026</t>
  </si>
  <si>
    <t>INE941D07208</t>
  </si>
  <si>
    <t>702693</t>
  </si>
  <si>
    <t>5.94% REC Ltd. 31-Jan-2026</t>
  </si>
  <si>
    <t>INE020B08DK6</t>
  </si>
  <si>
    <t>703929</t>
  </si>
  <si>
    <t>7.70% HDFC Bank Ltd. 18-Nov-2025</t>
  </si>
  <si>
    <t>INE040A08641</t>
  </si>
  <si>
    <t>704331</t>
  </si>
  <si>
    <t>7.86% Nexus Select Trust 16-Jun-2026</t>
  </si>
  <si>
    <t>INE0NDH07019</t>
  </si>
  <si>
    <t>704138</t>
  </si>
  <si>
    <t>7.68% Housing and Urban Development Corporation Ltd. 16-May-2026</t>
  </si>
  <si>
    <t>INE031A08871</t>
  </si>
  <si>
    <t>703030</t>
  </si>
  <si>
    <t>7.62% Export-Import Bank of India 01-Sep-2026</t>
  </si>
  <si>
    <t>INE514E08FG5</t>
  </si>
  <si>
    <t>704352</t>
  </si>
  <si>
    <t>8.80% Piramal Capital &amp; Housing Finance Ltd. 30-Dec-2024</t>
  </si>
  <si>
    <t>INE516Y07477</t>
  </si>
  <si>
    <t>CARE AA</t>
  </si>
  <si>
    <t>703778</t>
  </si>
  <si>
    <t>7.58% NTPC Ltd. 21-Aug-2026</t>
  </si>
  <si>
    <t>INE733E07KE8</t>
  </si>
  <si>
    <t>704277</t>
  </si>
  <si>
    <t>8.43% Muthoot Finance Ltd. 31-Jul-2026</t>
  </si>
  <si>
    <t>INE414G07IG9</t>
  </si>
  <si>
    <t>CRISIL AA+</t>
  </si>
  <si>
    <t>704384</t>
  </si>
  <si>
    <t>7.81% Sundaram Home Finance Ltd. 25-Aug-2026</t>
  </si>
  <si>
    <t>INE667F07IN0</t>
  </si>
  <si>
    <t>704286</t>
  </si>
  <si>
    <t>7.50% National Bank for Agriculture and Rural Development 31-Aug-2026</t>
  </si>
  <si>
    <t>INE261F08EA6</t>
  </si>
  <si>
    <t>704298</t>
  </si>
  <si>
    <t>7.23% Indian Railway Finance Corporation Ltd. 15-Oct-2026</t>
  </si>
  <si>
    <t>INE053F08304</t>
  </si>
  <si>
    <t>703784</t>
  </si>
  <si>
    <t>7.13% Power Finance Corporation Ltd. 08-Aug-2025</t>
  </si>
  <si>
    <t>INE134E08LO4</t>
  </si>
  <si>
    <t>703915</t>
  </si>
  <si>
    <t>8.50% JM Financial Products Ltd. 16-May-2025</t>
  </si>
  <si>
    <t>INE523H07BV9</t>
  </si>
  <si>
    <t>[ICRA]AA</t>
  </si>
  <si>
    <t>703028</t>
  </si>
  <si>
    <t>6.23% Embassy Office Parks Reit 18-Oct-2024</t>
  </si>
  <si>
    <t>INE041007076</t>
  </si>
  <si>
    <t>701284</t>
  </si>
  <si>
    <t>8.41% Housing and Urban Development Corporation Ltd. 15-Mar-2029</t>
  </si>
  <si>
    <t>INE031A08699</t>
  </si>
  <si>
    <t>Total</t>
  </si>
  <si>
    <t>b) Privately Placed/Unlisted</t>
  </si>
  <si>
    <t>c) Securitised Debt Instruments</t>
  </si>
  <si>
    <t>d) Central Government Securities</t>
  </si>
  <si>
    <t>900291</t>
  </si>
  <si>
    <t>7.17% Government of India 17-Apr-2030</t>
  </si>
  <si>
    <t>IN0020230036</t>
  </si>
  <si>
    <t>Sovereign</t>
  </si>
  <si>
    <t>900145</t>
  </si>
  <si>
    <t>5.22% Government of India 15-Jun-2025</t>
  </si>
  <si>
    <t>IN0020200112</t>
  </si>
  <si>
    <t>e) State Government Securities</t>
  </si>
  <si>
    <t>1904044</t>
  </si>
  <si>
    <t>6.99% State Government of Maharashtra 09-Feb-2029</t>
  </si>
  <si>
    <t>IN2220210289</t>
  </si>
  <si>
    <t>1903462</t>
  </si>
  <si>
    <t>7.61% State Government of Maharashtra 11-May-2029</t>
  </si>
  <si>
    <t>IN2220220031</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</si>
  <si>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</si>
  <si>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</si>
  <si>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</si>
  <si>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</si>
  <si>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</si>
  <si>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</si>
  <si>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</si>
  <si>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</si>
  <si>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</si>
  <si>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</si>
  <si>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</si>
  <si>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310230100</t>
  </si>
  <si>
    <t>TREPS 03-Oct-2023</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</si>
  <si>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</si>
  <si>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</si>
  <si>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</si>
  <si>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</si>
  <si>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</si>
  <si>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</si>
  <si>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</si>
  <si>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</si>
  <si>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</si>
  <si>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</si>
  <si>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September 30,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</si>
  <si>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</si>
  <si>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</si>
  <si>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</si>
  <si>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August 31, 2023</t>
  </si>
  <si>
    <t>As on September 29, 2023</t>
  </si>
  <si>
    <t>Regular Plan - Monthly IDCW Option</t>
  </si>
  <si>
    <t>Regular Plan - Growth Option</t>
  </si>
  <si>
    <t>Regular Plan - Quarterly IDCW Option</t>
  </si>
  <si>
    <t>Direct Plan - Monthly IDCW Option</t>
  </si>
  <si>
    <t>Direct Plan - Growth Option</t>
  </si>
  <si>
    <t>Direct Plan - Quarterly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</si>
  <si>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</si>
  <si>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</si>
  <si>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</si>
  <si>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September 30, 2023. Further there are no investments in derivative instruments as on September 30, 2023.</t>
  </si>
  <si>
    <t>(10) Total Market value of investments in Foreign Securities/American Depositary Receipts/Global Depositary Receipts as at  September 30, 2023 is Rs. Nil.</t>
  </si>
  <si>
    <t>(11)  The Average Maturity period of the portfolio has been 960 days.</t>
  </si>
  <si>
    <t>(12)  Details of repo transaction in corporate debt securities for the Month ended September 30, 2023 is Nil.</t>
  </si>
  <si>
    <t>(13)  Investments in debt instruments having structured obligations or credit enhancement features as at September 30, 2023 is Rs. Nil.</t>
  </si>
  <si>
    <t>(14) Investment in Partly paid Debentures during the Month ended  September 30, 2023 and as on  September 30,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</si>
  <si>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</si>
  <si>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</si>
  <si>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</si>
  <si>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</si>
  <si>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</si>
  <si>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September 30, 2023 : Rs. Nil</t>
  </si>
  <si>
    <t>(17) Macaulay Duration of the portfolio has been 857 days.</t>
  </si>
  <si>
    <t>(18) Annualised Portfolio YTM has been 7.8086.</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</si>
  <si>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</si>
  <si>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</si>
  <si>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</si>
  <si>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</si>
  <si>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</si>
  <si>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</si>
  <si>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</si>
  <si>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</si>
  <si>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B-II</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</si>
  <si>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</si>
  <si>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</si>
  <si>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</si>
  <si>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</si>
  <si>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</si>
  <si>
    <t>BARODA BNP PARIBAS SHORT DURATION FUND 
(An open-ended short term debt scheme investing in instruments such that the Macaulay duration † of the portfolio is between 
1 year and 3 years . A Moderate Interest Rate Risk and Moderate Credit Risk.)</t>
  </si>
  <si>
    <t>HALF YEARLY PORTFOLIO STATEMENT AS ON SEPTEMBER 30, 2023
(Pursuant to the provisions of Regulation 59A of the Securities and Exchange Board of India (Mutual Funds) Regulations, 1996)</t>
  </si>
  <si>
    <t>As on March 31, 2023</t>
  </si>
  <si>
    <t>(8) Details of Dividend declared per unit (In Rupees) during the Half Year are as follows</t>
  </si>
  <si>
    <t>(9) There were no investments made in derivative instruments and no such derivative instrument was squared off/ expired /exercised during the Half Year ended September 30, 2023. Further there are no investments in derivative instruments as on September 30, 2023.</t>
  </si>
  <si>
    <t>(12)  Details of repo transaction in corporate debt securities for the Half Year ended September 30, 2023 is Nil.</t>
  </si>
  <si>
    <t>(14) Investment in Partly paid Debentures during the Half Year ended  September 30, 2023 and as on  September 30, 2023 is Rs. Nil.</t>
  </si>
  <si>
    <t>during the Half Year there were no cases of deviation from valuation agency price</t>
  </si>
  <si>
    <t>(16) Transactions in Credit Default Swaps during the Half Year ended  September 30, 2023 : Rs. Nil</t>
  </si>
  <si>
    <t>†Concept of Macaulay duration: The Macaulay Duration is a measure of a bond’s sensitivity to interest rate changes. It is expressed in annual terms. It is the weighted average term to maturity of the cash flows from a bond. The weight of each cash flow is determined by dividing the present value of the cash flow by the price. Factors like a bond’s price, maturity, coupon, yield to maturity among others impact the calculation of Macaulay duration.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</si>
</sst>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21"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0"/>
      <color theme="1"/>
      <name val="Franklin Gothic Medium"/>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
      <b/>
      <sz val="16"/>
      <color theme="1"/>
      <name val="Franklin Gothic Book"/>
      <family val="2"/>
    </font>
  </fonts>
  <fills count="8">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theme="0" tint="-0.249977111117893"/>
        <bgColor indexed="64"/>
      </patternFill>
    </fill>
    <fill>
      <patternFill patternType="solid">
        <fgColor rgb="FFCCFFFF"/>
        <bgColor indexed="64"/>
      </patternFill>
    </fill>
    <fill>
      <patternFill patternType="solid">
        <fgColor rgb="FFCCFFCC"/>
        <bgColor indexed="64"/>
      </patternFill>
    </fill>
  </fills>
  <borders count="35">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82">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12" fillId="0" borderId="0" xfId="0" applyFont="1" applyAlignment="1">
      <alignment vertical="top"/>
    </xf>
    <xf numFmtId="0" fontId="0" fillId="0" borderId="0" xfId="0" applyAlignment="1">
      <alignment vertical="top"/>
    </xf>
    <xf numFmtId="0" fontId="14" fillId="4" borderId="22"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18" fillId="0" borderId="24" xfId="0" applyFont="1" applyBorder="1" applyAlignment="1">
      <alignment horizontal="center" vertical="center" wrapText="1"/>
    </xf>
    <xf numFmtId="0" fontId="18" fillId="0" borderId="24" xfId="0" applyFont="1" applyBorder="1" applyAlignment="1">
      <alignment vertical="center" wrapText="1"/>
    </xf>
    <xf numFmtId="0" fontId="15" fillId="4" borderId="25" xfId="0" applyFont="1" applyFill="1" applyBorder="1" applyAlignment="1">
      <alignment horizontal="center" vertical="center" wrapText="1"/>
    </xf>
    <xf numFmtId="0" fontId="19" fillId="0" borderId="0" xfId="0" applyFont="1"/>
    <xf numFmtId="0" fontId="18" fillId="0" borderId="0" xfId="0" applyFont="1"/>
    <xf numFmtId="0" fontId="18" fillId="0" borderId="23" xfId="0" applyFont="1" applyBorder="1" applyAlignment="1">
      <alignment vertical="center" wrapText="1"/>
    </xf>
    <xf numFmtId="0" fontId="18" fillId="0" borderId="22" xfId="0" applyFont="1" applyBorder="1" applyAlignment="1">
      <alignment vertical="center" wrapText="1"/>
    </xf>
    <xf numFmtId="0" fontId="13" fillId="0" borderId="19"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21" xfId="0" applyFont="1" applyBorder="1" applyAlignment="1">
      <alignment horizontal="center" vertical="center" wrapText="1"/>
    </xf>
    <xf numFmtId="0" fontId="15" fillId="4" borderId="23"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18" fillId="5" borderId="23" xfId="0" applyFont="1" applyFill="1" applyBorder="1" applyAlignment="1">
      <alignment horizontal="center" vertical="center" wrapText="1"/>
    </xf>
    <xf numFmtId="0" fontId="18" fillId="5" borderId="22" xfId="0" applyFont="1" applyFill="1" applyBorder="1" applyAlignment="1">
      <alignment horizontal="center" vertical="center" wrapText="1"/>
    </xf>
    <xf numFmtId="0" fontId="20" fillId="6" borderId="26" xfId="0" applyFont="1" applyFill="1" applyBorder="1" applyAlignment="1">
      <alignment horizontal="center" wrapText="1"/>
    </xf>
    <xf numFmtId="0" fontId="20" fillId="6" borderId="27" xfId="0" applyFont="1" applyFill="1" applyBorder="1" applyAlignment="1">
      <alignment horizontal="center" wrapText="1"/>
    </xf>
    <xf numFmtId="0" fontId="20" fillId="6" borderId="28" xfId="0" applyFont="1" applyFill="1" applyBorder="1" applyAlignment="1">
      <alignment horizontal="center" wrapText="1"/>
    </xf>
    <xf numFmtId="0" fontId="20" fillId="6" borderId="29" xfId="0" applyFont="1" applyFill="1" applyBorder="1" applyAlignment="1">
      <alignment horizontal="center" wrapText="1"/>
    </xf>
    <xf numFmtId="0" fontId="20" fillId="6" borderId="30" xfId="0" applyFont="1" applyFill="1" applyBorder="1" applyAlignment="1">
      <alignment horizontal="center" wrapText="1"/>
    </xf>
    <xf numFmtId="0" fontId="20" fillId="6" borderId="31" xfId="0" applyFont="1" applyFill="1" applyBorder="1" applyAlignment="1">
      <alignment horizontal="center" wrapText="1"/>
    </xf>
    <xf numFmtId="0" fontId="20" fillId="7" borderId="32" xfId="0" applyFont="1" applyFill="1" applyBorder="1" applyAlignment="1">
      <alignment horizontal="center" wrapText="1"/>
    </xf>
    <xf numFmtId="0" fontId="20" fillId="7" borderId="33" xfId="0" applyFont="1" applyFill="1" applyBorder="1" applyAlignment="1">
      <alignment horizontal="center" wrapText="1"/>
    </xf>
    <xf numFmtId="0" fontId="20" fillId="7" borderId="34" xfId="0" applyFont="1" applyFill="1" applyBorder="1" applyAlignment="1">
      <alignment horizontal="center" wrapText="1"/>
    </xf>
    <xf numFmtId="0" fontId="12" fillId="0" borderId="0" xfId="0" applyFont="1" applyAlignment="1">
      <alignment horizontal="left" wrapText="1"/>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122</xdr:row>
      <xdr:rowOff>0</xdr:rowOff>
    </xdr:from>
    <xdr:to>
      <xdr:col>5</xdr:col>
      <xdr:colOff>504275</xdr:colOff>
      <xdr:row>146</xdr:row>
      <xdr:rowOff>73152</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2004867"/>
          <a:ext cx="7455408" cy="43403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125</xdr:row>
      <xdr:rowOff>0</xdr:rowOff>
    </xdr:from>
    <xdr:to>
      <xdr:col>5</xdr:col>
      <xdr:colOff>504275</xdr:colOff>
      <xdr:row>149</xdr:row>
      <xdr:rowOff>73152</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21701760"/>
          <a:ext cx="7453715" cy="427939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September%202023\Month%20end%2030%20September%202023\Split%20Portfolio\BOBBNPMF_Monthly%20portfolio%2030-09-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57"/>
  <sheetViews>
    <sheetView showGridLines="0" tabSelected="1" zoomScale="90" zoomScaleNormal="90" workbookViewId="0">
      <pane ySplit="6" topLeftCell="A123" activePane="bottomLeft" state="frozen"/>
      <selection activeCell="I2" sqref="I2"/>
      <selection pane="bottomLeft" activeCell="H134" sqref="H134"/>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45199</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C8" s="28" t="s">
        <v>14</v>
      </c>
      <c r="D8" s="29"/>
      <c r="E8" s="30"/>
      <c r="F8" s="31"/>
      <c r="G8" s="32"/>
      <c r="H8" s="32"/>
      <c r="I8" s="33"/>
      <c r="J8" s="33"/>
      <c r="K8" s="34"/>
    </row>
    <row r="9" spans="1:55" x14ac:dyDescent="0.3">
      <c r="C9" s="21"/>
      <c r="D9" s="29"/>
      <c r="E9" s="30"/>
      <c r="F9" s="31"/>
      <c r="G9" s="32"/>
      <c r="H9" s="32"/>
      <c r="I9" s="33"/>
      <c r="J9" s="33"/>
      <c r="K9" s="34"/>
    </row>
    <row r="10" spans="1:55" x14ac:dyDescent="0.3">
      <c r="C10" s="28" t="s">
        <v>15</v>
      </c>
      <c r="D10" s="29"/>
      <c r="E10" s="30"/>
      <c r="F10" s="31"/>
      <c r="G10" s="32" t="s">
        <v>16</v>
      </c>
      <c r="H10" s="32" t="s">
        <v>16</v>
      </c>
      <c r="I10" s="33"/>
      <c r="J10" s="33"/>
      <c r="K10" s="34"/>
    </row>
    <row r="11" spans="1:55" x14ac:dyDescent="0.3">
      <c r="C11" s="21"/>
      <c r="D11" s="29"/>
      <c r="E11" s="30"/>
      <c r="F11" s="31"/>
      <c r="G11" s="32"/>
      <c r="H11" s="32"/>
      <c r="I11" s="33"/>
      <c r="J11" s="33"/>
      <c r="K11" s="34"/>
    </row>
    <row r="12" spans="1:55" x14ac:dyDescent="0.3">
      <c r="C12" s="28" t="s">
        <v>17</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18</v>
      </c>
      <c r="D14" s="29"/>
      <c r="E14" s="30"/>
      <c r="F14" s="31"/>
      <c r="G14" s="32" t="s">
        <v>16</v>
      </c>
      <c r="H14" s="32" t="s">
        <v>16</v>
      </c>
      <c r="I14" s="33"/>
      <c r="J14" s="33"/>
      <c r="K14" s="34"/>
    </row>
    <row r="15" spans="1:55" x14ac:dyDescent="0.3">
      <c r="C15" s="21"/>
      <c r="D15" s="29"/>
      <c r="E15" s="30"/>
      <c r="F15" s="31"/>
      <c r="G15" s="32"/>
      <c r="H15" s="32"/>
      <c r="I15" s="33"/>
      <c r="J15" s="33"/>
      <c r="K15" s="34"/>
    </row>
    <row r="16" spans="1:55" x14ac:dyDescent="0.3">
      <c r="C16" s="28" t="s">
        <v>19</v>
      </c>
      <c r="D16" s="29"/>
      <c r="E16" s="30"/>
      <c r="F16" s="31"/>
      <c r="G16" s="32" t="s">
        <v>16</v>
      </c>
      <c r="H16" s="32" t="s">
        <v>16</v>
      </c>
      <c r="I16" s="33"/>
      <c r="J16" s="33"/>
      <c r="K16" s="34"/>
    </row>
    <row r="17" spans="1:11" x14ac:dyDescent="0.3">
      <c r="C17" s="21"/>
      <c r="D17" s="29"/>
      <c r="E17" s="30"/>
      <c r="F17" s="31"/>
      <c r="G17" s="32"/>
      <c r="H17" s="32"/>
      <c r="I17" s="33"/>
      <c r="J17" s="33"/>
      <c r="K17" s="34"/>
    </row>
    <row r="18" spans="1:11" x14ac:dyDescent="0.3">
      <c r="A18" s="35"/>
      <c r="B18" s="36"/>
      <c r="C18" s="28" t="s">
        <v>20</v>
      </c>
      <c r="D18" s="29"/>
      <c r="E18" s="30"/>
      <c r="F18" s="31"/>
      <c r="G18" s="32"/>
      <c r="H18" s="32"/>
      <c r="I18" s="33"/>
      <c r="J18" s="33"/>
      <c r="K18" s="34"/>
    </row>
    <row r="19" spans="1:11" x14ac:dyDescent="0.3">
      <c r="C19" s="37" t="s">
        <v>21</v>
      </c>
      <c r="D19" s="29"/>
      <c r="E19" s="30"/>
      <c r="F19" s="31"/>
      <c r="G19" s="32"/>
      <c r="H19" s="32"/>
      <c r="I19" s="33"/>
      <c r="J19" s="33"/>
      <c r="K19" s="34"/>
    </row>
    <row r="20" spans="1:11" x14ac:dyDescent="0.3">
      <c r="B20" s="1" t="s">
        <v>22</v>
      </c>
      <c r="C20" s="21" t="s">
        <v>23</v>
      </c>
      <c r="D20" s="29" t="s">
        <v>24</v>
      </c>
      <c r="E20" s="30" t="s">
        <v>25</v>
      </c>
      <c r="F20" s="31">
        <v>150</v>
      </c>
      <c r="G20" s="32">
        <v>1501.19</v>
      </c>
      <c r="H20" s="32">
        <v>6.65</v>
      </c>
      <c r="I20" s="33">
        <v>7.7061999999999999</v>
      </c>
      <c r="J20" s="33"/>
      <c r="K20" s="34" t="s">
        <v>26</v>
      </c>
    </row>
    <row r="21" spans="1:11" x14ac:dyDescent="0.3">
      <c r="B21" s="1" t="s">
        <v>27</v>
      </c>
      <c r="C21" s="21" t="s">
        <v>28</v>
      </c>
      <c r="D21" s="29" t="s">
        <v>29</v>
      </c>
      <c r="E21" s="30" t="s">
        <v>30</v>
      </c>
      <c r="F21" s="31">
        <v>150</v>
      </c>
      <c r="G21" s="32">
        <v>1494.11</v>
      </c>
      <c r="H21" s="32">
        <v>6.62</v>
      </c>
      <c r="I21" s="33">
        <v>7.63</v>
      </c>
      <c r="J21" s="33"/>
      <c r="K21" s="34" t="s">
        <v>26</v>
      </c>
    </row>
    <row r="22" spans="1:11" x14ac:dyDescent="0.3">
      <c r="B22" s="1" t="s">
        <v>31</v>
      </c>
      <c r="C22" s="21" t="s">
        <v>32</v>
      </c>
      <c r="D22" s="29" t="s">
        <v>33</v>
      </c>
      <c r="E22" s="30" t="s">
        <v>30</v>
      </c>
      <c r="F22" s="31">
        <v>120</v>
      </c>
      <c r="G22" s="32">
        <v>1170.6199999999999</v>
      </c>
      <c r="H22" s="32">
        <v>5.19</v>
      </c>
      <c r="I22" s="33">
        <v>7.8150000000000004</v>
      </c>
      <c r="J22" s="33"/>
      <c r="K22" s="34" t="s">
        <v>26</v>
      </c>
    </row>
    <row r="23" spans="1:11" x14ac:dyDescent="0.3">
      <c r="B23" s="1" t="s">
        <v>34</v>
      </c>
      <c r="C23" s="21" t="s">
        <v>35</v>
      </c>
      <c r="D23" s="29" t="s">
        <v>36</v>
      </c>
      <c r="E23" s="30" t="s">
        <v>30</v>
      </c>
      <c r="F23" s="31">
        <v>120</v>
      </c>
      <c r="G23" s="32">
        <v>1157.74</v>
      </c>
      <c r="H23" s="32">
        <v>5.13</v>
      </c>
      <c r="I23" s="33">
        <v>7.62</v>
      </c>
      <c r="J23" s="33"/>
      <c r="K23" s="34" t="s">
        <v>26</v>
      </c>
    </row>
    <row r="24" spans="1:11" x14ac:dyDescent="0.3">
      <c r="B24" s="1" t="s">
        <v>37</v>
      </c>
      <c r="C24" s="21" t="s">
        <v>38</v>
      </c>
      <c r="D24" s="29" t="s">
        <v>39</v>
      </c>
      <c r="E24" s="30" t="s">
        <v>30</v>
      </c>
      <c r="F24" s="31">
        <v>110</v>
      </c>
      <c r="G24" s="32">
        <v>1095.05</v>
      </c>
      <c r="H24" s="32">
        <v>4.8499999999999996</v>
      </c>
      <c r="I24" s="33">
        <v>7.92</v>
      </c>
      <c r="J24" s="33"/>
      <c r="K24" s="34" t="s">
        <v>26</v>
      </c>
    </row>
    <row r="25" spans="1:11" x14ac:dyDescent="0.3">
      <c r="B25" s="1" t="s">
        <v>40</v>
      </c>
      <c r="C25" s="21" t="s">
        <v>41</v>
      </c>
      <c r="D25" s="29" t="s">
        <v>42</v>
      </c>
      <c r="E25" s="30" t="s">
        <v>30</v>
      </c>
      <c r="F25" s="31">
        <v>1100</v>
      </c>
      <c r="G25" s="32">
        <v>1094.27</v>
      </c>
      <c r="H25" s="32">
        <v>4.8499999999999996</v>
      </c>
      <c r="I25" s="33">
        <v>8.3247999999999998</v>
      </c>
      <c r="J25" s="33"/>
      <c r="K25" s="34" t="s">
        <v>26</v>
      </c>
    </row>
    <row r="26" spans="1:11" x14ac:dyDescent="0.3">
      <c r="B26" s="1" t="s">
        <v>43</v>
      </c>
      <c r="C26" s="21" t="s">
        <v>44</v>
      </c>
      <c r="D26" s="29" t="s">
        <v>45</v>
      </c>
      <c r="E26" s="30" t="s">
        <v>25</v>
      </c>
      <c r="F26" s="31">
        <v>1000</v>
      </c>
      <c r="G26" s="32">
        <v>1002.57</v>
      </c>
      <c r="H26" s="32">
        <v>4.4400000000000004</v>
      </c>
      <c r="I26" s="33">
        <v>7.54</v>
      </c>
      <c r="J26" s="33"/>
      <c r="K26" s="34" t="s">
        <v>26</v>
      </c>
    </row>
    <row r="27" spans="1:11" x14ac:dyDescent="0.3">
      <c r="B27" s="1" t="s">
        <v>46</v>
      </c>
      <c r="C27" s="21" t="s">
        <v>47</v>
      </c>
      <c r="D27" s="29" t="s">
        <v>48</v>
      </c>
      <c r="E27" s="30" t="s">
        <v>30</v>
      </c>
      <c r="F27" s="31">
        <v>100</v>
      </c>
      <c r="G27" s="32">
        <v>1002.14</v>
      </c>
      <c r="H27" s="32">
        <v>4.4400000000000004</v>
      </c>
      <c r="I27" s="33">
        <v>7.5274999999999999</v>
      </c>
      <c r="J27" s="33"/>
      <c r="K27" s="34" t="s">
        <v>26</v>
      </c>
    </row>
    <row r="28" spans="1:11" x14ac:dyDescent="0.3">
      <c r="B28" s="1" t="s">
        <v>49</v>
      </c>
      <c r="C28" s="21" t="s">
        <v>50</v>
      </c>
      <c r="D28" s="29" t="s">
        <v>51</v>
      </c>
      <c r="E28" s="30" t="s">
        <v>52</v>
      </c>
      <c r="F28" s="31">
        <v>1000</v>
      </c>
      <c r="G28" s="32">
        <v>1001.79</v>
      </c>
      <c r="H28" s="32">
        <v>4.4400000000000004</v>
      </c>
      <c r="I28" s="33">
        <v>8.66</v>
      </c>
      <c r="J28" s="33"/>
      <c r="K28" s="34" t="s">
        <v>26</v>
      </c>
    </row>
    <row r="29" spans="1:11" x14ac:dyDescent="0.3">
      <c r="B29" s="1" t="s">
        <v>53</v>
      </c>
      <c r="C29" s="21" t="s">
        <v>54</v>
      </c>
      <c r="D29" s="29" t="s">
        <v>55</v>
      </c>
      <c r="E29" s="30" t="s">
        <v>30</v>
      </c>
      <c r="F29" s="31">
        <v>100</v>
      </c>
      <c r="G29" s="32">
        <v>1001.64</v>
      </c>
      <c r="H29" s="32">
        <v>4.4400000000000004</v>
      </c>
      <c r="I29" s="33">
        <v>7.5049999999999999</v>
      </c>
      <c r="J29" s="33"/>
      <c r="K29" s="34" t="s">
        <v>26</v>
      </c>
    </row>
    <row r="30" spans="1:11" x14ac:dyDescent="0.3">
      <c r="B30" s="1" t="s">
        <v>56</v>
      </c>
      <c r="C30" s="21" t="s">
        <v>57</v>
      </c>
      <c r="D30" s="29" t="s">
        <v>58</v>
      </c>
      <c r="E30" s="30" t="s">
        <v>59</v>
      </c>
      <c r="F30" s="31">
        <v>1000</v>
      </c>
      <c r="G30" s="32">
        <v>1001.11</v>
      </c>
      <c r="H30" s="32">
        <v>4.4400000000000004</v>
      </c>
      <c r="I30" s="33">
        <v>8.3650000000000002</v>
      </c>
      <c r="J30" s="33"/>
      <c r="K30" s="34" t="s">
        <v>26</v>
      </c>
    </row>
    <row r="31" spans="1:11" x14ac:dyDescent="0.3">
      <c r="B31" s="1" t="s">
        <v>60</v>
      </c>
      <c r="C31" s="21" t="s">
        <v>61</v>
      </c>
      <c r="D31" s="29" t="s">
        <v>62</v>
      </c>
      <c r="E31" s="30" t="s">
        <v>30</v>
      </c>
      <c r="F31" s="31">
        <v>1000</v>
      </c>
      <c r="G31" s="32">
        <v>999.7</v>
      </c>
      <c r="H31" s="32">
        <v>4.43</v>
      </c>
      <c r="I31" s="33">
        <v>7.8116000000000003</v>
      </c>
      <c r="J31" s="33"/>
      <c r="K31" s="34" t="s">
        <v>26</v>
      </c>
    </row>
    <row r="32" spans="1:11" x14ac:dyDescent="0.3">
      <c r="B32" s="1" t="s">
        <v>63</v>
      </c>
      <c r="C32" s="21" t="s">
        <v>64</v>
      </c>
      <c r="D32" s="29" t="s">
        <v>65</v>
      </c>
      <c r="E32" s="30" t="s">
        <v>30</v>
      </c>
      <c r="F32" s="31">
        <v>1000</v>
      </c>
      <c r="G32" s="32">
        <v>994.74</v>
      </c>
      <c r="H32" s="32">
        <v>4.41</v>
      </c>
      <c r="I32" s="33">
        <v>7.7</v>
      </c>
      <c r="J32" s="33"/>
      <c r="K32" s="34" t="s">
        <v>26</v>
      </c>
    </row>
    <row r="33" spans="2:11" x14ac:dyDescent="0.3">
      <c r="B33" s="1" t="s">
        <v>66</v>
      </c>
      <c r="C33" s="21" t="s">
        <v>67</v>
      </c>
      <c r="D33" s="29" t="s">
        <v>68</v>
      </c>
      <c r="E33" s="30" t="s">
        <v>30</v>
      </c>
      <c r="F33" s="31">
        <v>1000</v>
      </c>
      <c r="G33" s="32">
        <v>992.03</v>
      </c>
      <c r="H33" s="32">
        <v>4.4000000000000004</v>
      </c>
      <c r="I33" s="33">
        <v>7.54</v>
      </c>
      <c r="J33" s="33"/>
      <c r="K33" s="34"/>
    </row>
    <row r="34" spans="2:11" x14ac:dyDescent="0.3">
      <c r="B34" s="1" t="s">
        <v>69</v>
      </c>
      <c r="C34" s="21" t="s">
        <v>70</v>
      </c>
      <c r="D34" s="29" t="s">
        <v>71</v>
      </c>
      <c r="E34" s="30" t="s">
        <v>30</v>
      </c>
      <c r="F34" s="31">
        <v>100</v>
      </c>
      <c r="G34" s="32">
        <v>991.52</v>
      </c>
      <c r="H34" s="32">
        <v>4.3899999999999997</v>
      </c>
      <c r="I34" s="33">
        <v>7.62</v>
      </c>
      <c r="J34" s="33"/>
      <c r="K34" s="34"/>
    </row>
    <row r="35" spans="2:11" x14ac:dyDescent="0.3">
      <c r="B35" s="1" t="s">
        <v>72</v>
      </c>
      <c r="C35" s="21" t="s">
        <v>73</v>
      </c>
      <c r="D35" s="29" t="s">
        <v>74</v>
      </c>
      <c r="E35" s="30" t="s">
        <v>75</v>
      </c>
      <c r="F35" s="31">
        <v>100</v>
      </c>
      <c r="G35" s="32">
        <v>987.49</v>
      </c>
      <c r="H35" s="32">
        <v>4.38</v>
      </c>
      <c r="I35" s="33">
        <v>9.3948</v>
      </c>
      <c r="J35" s="33"/>
      <c r="K35" s="34" t="s">
        <v>26</v>
      </c>
    </row>
    <row r="36" spans="2:11" x14ac:dyDescent="0.3">
      <c r="B36" s="1" t="s">
        <v>76</v>
      </c>
      <c r="C36" s="21" t="s">
        <v>77</v>
      </c>
      <c r="D36" s="29" t="s">
        <v>78</v>
      </c>
      <c r="E36" s="30" t="s">
        <v>30</v>
      </c>
      <c r="F36" s="31">
        <v>100</v>
      </c>
      <c r="G36" s="32">
        <v>983.67</v>
      </c>
      <c r="H36" s="32">
        <v>4.3600000000000003</v>
      </c>
      <c r="I36" s="33">
        <v>8.1259999999999994</v>
      </c>
      <c r="J36" s="33"/>
      <c r="K36" s="34" t="s">
        <v>26</v>
      </c>
    </row>
    <row r="37" spans="2:11" x14ac:dyDescent="0.3">
      <c r="B37" s="1" t="s">
        <v>79</v>
      </c>
      <c r="C37" s="21" t="s">
        <v>80</v>
      </c>
      <c r="D37" s="29" t="s">
        <v>81</v>
      </c>
      <c r="E37" s="30" t="s">
        <v>25</v>
      </c>
      <c r="F37" s="31">
        <v>10</v>
      </c>
      <c r="G37" s="32">
        <v>104.45</v>
      </c>
      <c r="H37" s="32">
        <v>0.46</v>
      </c>
      <c r="I37" s="33">
        <v>7.54</v>
      </c>
      <c r="J37" s="33"/>
      <c r="K37" s="34" t="s">
        <v>26</v>
      </c>
    </row>
    <row r="38" spans="2:11" x14ac:dyDescent="0.3">
      <c r="C38" s="28" t="s">
        <v>82</v>
      </c>
      <c r="D38" s="29"/>
      <c r="E38" s="30"/>
      <c r="F38" s="31"/>
      <c r="G38" s="38">
        <v>18575.830000000002</v>
      </c>
      <c r="H38" s="38">
        <v>82.32</v>
      </c>
      <c r="I38" s="33"/>
      <c r="J38" s="33"/>
      <c r="K38" s="34"/>
    </row>
    <row r="39" spans="2:11" x14ac:dyDescent="0.3">
      <c r="C39" s="21"/>
      <c r="D39" s="29"/>
      <c r="E39" s="30"/>
      <c r="F39" s="31"/>
      <c r="G39" s="32"/>
      <c r="H39" s="32"/>
      <c r="I39" s="33"/>
      <c r="J39" s="33"/>
      <c r="K39" s="34"/>
    </row>
    <row r="40" spans="2:11" x14ac:dyDescent="0.3">
      <c r="C40" s="28" t="s">
        <v>83</v>
      </c>
      <c r="D40" s="29"/>
      <c r="E40" s="30"/>
      <c r="F40" s="31"/>
      <c r="G40" s="32" t="s">
        <v>16</v>
      </c>
      <c r="H40" s="32" t="s">
        <v>16</v>
      </c>
      <c r="I40" s="33"/>
      <c r="J40" s="33"/>
      <c r="K40" s="34"/>
    </row>
    <row r="41" spans="2:11" x14ac:dyDescent="0.3">
      <c r="C41" s="21"/>
      <c r="D41" s="29"/>
      <c r="E41" s="30"/>
      <c r="F41" s="31"/>
      <c r="G41" s="32"/>
      <c r="H41" s="32"/>
      <c r="I41" s="33"/>
      <c r="J41" s="33"/>
      <c r="K41" s="34"/>
    </row>
    <row r="42" spans="2:11" x14ac:dyDescent="0.3">
      <c r="C42" s="28" t="s">
        <v>84</v>
      </c>
      <c r="D42" s="29"/>
      <c r="E42" s="30"/>
      <c r="F42" s="31"/>
      <c r="G42" s="32" t="s">
        <v>16</v>
      </c>
      <c r="H42" s="32" t="s">
        <v>16</v>
      </c>
      <c r="I42" s="33"/>
      <c r="J42" s="33"/>
      <c r="K42" s="34"/>
    </row>
    <row r="43" spans="2:11" x14ac:dyDescent="0.3">
      <c r="C43" s="21"/>
      <c r="D43" s="29"/>
      <c r="E43" s="30"/>
      <c r="F43" s="31"/>
      <c r="G43" s="32"/>
      <c r="H43" s="32"/>
      <c r="I43" s="33"/>
      <c r="J43" s="33"/>
      <c r="K43" s="34"/>
    </row>
    <row r="44" spans="2:11" x14ac:dyDescent="0.3">
      <c r="C44" s="37" t="s">
        <v>85</v>
      </c>
      <c r="D44" s="29"/>
      <c r="E44" s="30"/>
      <c r="F44" s="31"/>
      <c r="G44" s="32"/>
      <c r="H44" s="32"/>
      <c r="I44" s="33"/>
      <c r="J44" s="33"/>
      <c r="K44" s="34"/>
    </row>
    <row r="45" spans="2:11" x14ac:dyDescent="0.3">
      <c r="B45" s="1" t="s">
        <v>86</v>
      </c>
      <c r="C45" s="21" t="s">
        <v>87</v>
      </c>
      <c r="D45" s="29" t="s">
        <v>88</v>
      </c>
      <c r="E45" s="30" t="s">
        <v>89</v>
      </c>
      <c r="F45" s="31">
        <v>1000000</v>
      </c>
      <c r="G45" s="32">
        <v>996.01</v>
      </c>
      <c r="H45" s="32">
        <v>4.41</v>
      </c>
      <c r="I45" s="33">
        <v>7.3778914999999996</v>
      </c>
      <c r="J45" s="33"/>
      <c r="K45" s="34"/>
    </row>
    <row r="46" spans="2:11" x14ac:dyDescent="0.3">
      <c r="B46" s="1" t="s">
        <v>90</v>
      </c>
      <c r="C46" s="21" t="s">
        <v>91</v>
      </c>
      <c r="D46" s="29" t="s">
        <v>92</v>
      </c>
      <c r="E46" s="30" t="s">
        <v>89</v>
      </c>
      <c r="F46" s="31">
        <v>401000</v>
      </c>
      <c r="G46" s="32">
        <v>388.41</v>
      </c>
      <c r="H46" s="32">
        <v>1.72</v>
      </c>
      <c r="I46" s="33">
        <v>7.3317877999999999</v>
      </c>
      <c r="J46" s="33"/>
      <c r="K46" s="34"/>
    </row>
    <row r="47" spans="2:11" x14ac:dyDescent="0.3">
      <c r="C47" s="28" t="s">
        <v>82</v>
      </c>
      <c r="D47" s="29"/>
      <c r="E47" s="30"/>
      <c r="F47" s="31"/>
      <c r="G47" s="38">
        <v>1384.42</v>
      </c>
      <c r="H47" s="38">
        <v>6.13</v>
      </c>
      <c r="I47" s="33"/>
      <c r="J47" s="33"/>
      <c r="K47" s="34"/>
    </row>
    <row r="48" spans="2:11" x14ac:dyDescent="0.3">
      <c r="C48" s="21"/>
      <c r="D48" s="29"/>
      <c r="E48" s="30"/>
      <c r="F48" s="31"/>
      <c r="G48" s="32"/>
      <c r="H48" s="32"/>
      <c r="I48" s="33"/>
      <c r="J48" s="33"/>
      <c r="K48" s="34"/>
    </row>
    <row r="49" spans="1:11" x14ac:dyDescent="0.3">
      <c r="C49" s="37" t="s">
        <v>93</v>
      </c>
      <c r="D49" s="29"/>
      <c r="E49" s="30"/>
      <c r="F49" s="31"/>
      <c r="G49" s="32"/>
      <c r="H49" s="32"/>
      <c r="I49" s="33"/>
      <c r="J49" s="33"/>
      <c r="K49" s="34"/>
    </row>
    <row r="50" spans="1:11" x14ac:dyDescent="0.3">
      <c r="B50" s="1" t="s">
        <v>94</v>
      </c>
      <c r="C50" s="21" t="s">
        <v>95</v>
      </c>
      <c r="D50" s="29" t="s">
        <v>96</v>
      </c>
      <c r="E50" s="30" t="s">
        <v>89</v>
      </c>
      <c r="F50" s="31">
        <v>1000000</v>
      </c>
      <c r="G50" s="32">
        <v>979.72</v>
      </c>
      <c r="H50" s="32">
        <v>4.34</v>
      </c>
      <c r="I50" s="33">
        <v>7.5921875999999999</v>
      </c>
      <c r="J50" s="33"/>
      <c r="K50" s="34"/>
    </row>
    <row r="51" spans="1:11" x14ac:dyDescent="0.3">
      <c r="B51" s="1" t="s">
        <v>97</v>
      </c>
      <c r="C51" s="21" t="s">
        <v>98</v>
      </c>
      <c r="D51" s="29" t="s">
        <v>99</v>
      </c>
      <c r="E51" s="30" t="s">
        <v>89</v>
      </c>
      <c r="F51" s="31">
        <v>700000</v>
      </c>
      <c r="G51" s="32">
        <v>704.24</v>
      </c>
      <c r="H51" s="32">
        <v>3.12</v>
      </c>
      <c r="I51" s="33">
        <v>7.6129376000000004</v>
      </c>
      <c r="J51" s="33"/>
      <c r="K51" s="34"/>
    </row>
    <row r="52" spans="1:11" x14ac:dyDescent="0.3">
      <c r="C52" s="28" t="s">
        <v>82</v>
      </c>
      <c r="D52" s="29"/>
      <c r="E52" s="30"/>
      <c r="F52" s="31"/>
      <c r="G52" s="38">
        <v>1683.96</v>
      </c>
      <c r="H52" s="38">
        <v>7.46</v>
      </c>
      <c r="I52" s="33"/>
      <c r="J52" s="33"/>
      <c r="K52" s="34"/>
    </row>
    <row r="53" spans="1:11" x14ac:dyDescent="0.3">
      <c r="C53" s="21"/>
      <c r="D53" s="29"/>
      <c r="E53" s="30"/>
      <c r="F53" s="31"/>
      <c r="G53" s="32"/>
      <c r="H53" s="32"/>
      <c r="I53" s="33"/>
      <c r="J53" s="33"/>
      <c r="K53" s="34"/>
    </row>
    <row r="54" spans="1:11" x14ac:dyDescent="0.3">
      <c r="C54" s="28" t="s">
        <v>100</v>
      </c>
      <c r="D54" s="29"/>
      <c r="E54" s="30"/>
      <c r="F54" s="31"/>
      <c r="G54" s="32"/>
      <c r="H54" s="32"/>
      <c r="I54" s="33"/>
      <c r="J54" s="33"/>
      <c r="K54" s="34"/>
    </row>
    <row r="55" spans="1:11" x14ac:dyDescent="0.3">
      <c r="C55" s="21"/>
      <c r="D55" s="29"/>
      <c r="E55" s="30"/>
      <c r="F55" s="31"/>
      <c r="G55" s="32"/>
      <c r="H55" s="32"/>
      <c r="I55" s="33"/>
      <c r="J55" s="33"/>
      <c r="K55" s="34"/>
    </row>
    <row r="56" spans="1:11" x14ac:dyDescent="0.3">
      <c r="C56" s="28" t="s">
        <v>101</v>
      </c>
      <c r="D56" s="29"/>
      <c r="E56" s="30"/>
      <c r="F56" s="31"/>
      <c r="G56" s="32" t="s">
        <v>16</v>
      </c>
      <c r="H56" s="32" t="s">
        <v>16</v>
      </c>
      <c r="I56" s="33"/>
      <c r="J56" s="33"/>
      <c r="K56" s="34"/>
    </row>
    <row r="57" spans="1:11" x14ac:dyDescent="0.3">
      <c r="C57" s="21"/>
      <c r="D57" s="29"/>
      <c r="E57" s="30"/>
      <c r="F57" s="31"/>
      <c r="G57" s="32"/>
      <c r="H57" s="32"/>
      <c r="I57" s="33"/>
      <c r="J57" s="33"/>
      <c r="K57" s="34"/>
    </row>
    <row r="58" spans="1:11" x14ac:dyDescent="0.3">
      <c r="C58" s="28" t="s">
        <v>102</v>
      </c>
      <c r="D58" s="29"/>
      <c r="E58" s="30"/>
      <c r="F58" s="31"/>
      <c r="G58" s="32" t="s">
        <v>16</v>
      </c>
      <c r="H58" s="32" t="s">
        <v>16</v>
      </c>
      <c r="I58" s="33"/>
      <c r="J58" s="33"/>
      <c r="K58" s="34"/>
    </row>
    <row r="59" spans="1:11" x14ac:dyDescent="0.3">
      <c r="C59" s="21"/>
      <c r="D59" s="29"/>
      <c r="E59" s="30"/>
      <c r="F59" s="31"/>
      <c r="G59" s="32"/>
      <c r="H59" s="32"/>
      <c r="I59" s="33"/>
      <c r="J59" s="33"/>
      <c r="K59" s="34"/>
    </row>
    <row r="60" spans="1:11" x14ac:dyDescent="0.3">
      <c r="C60" s="28" t="s">
        <v>103</v>
      </c>
      <c r="D60" s="29"/>
      <c r="E60" s="30"/>
      <c r="F60" s="31"/>
      <c r="G60" s="32" t="s">
        <v>16</v>
      </c>
      <c r="H60" s="32" t="s">
        <v>16</v>
      </c>
      <c r="I60" s="33"/>
      <c r="J60" s="33"/>
      <c r="K60" s="34"/>
    </row>
    <row r="61" spans="1:11" x14ac:dyDescent="0.3">
      <c r="C61" s="21"/>
      <c r="D61" s="29"/>
      <c r="E61" s="30"/>
      <c r="F61" s="31"/>
      <c r="G61" s="32"/>
      <c r="H61" s="32"/>
      <c r="I61" s="33"/>
      <c r="J61" s="33"/>
      <c r="K61" s="34"/>
    </row>
    <row r="62" spans="1:11" x14ac:dyDescent="0.3">
      <c r="C62" s="28" t="s">
        <v>104</v>
      </c>
      <c r="D62" s="29"/>
      <c r="E62" s="30"/>
      <c r="F62" s="31"/>
      <c r="G62" s="32" t="s">
        <v>16</v>
      </c>
      <c r="H62" s="32" t="s">
        <v>16</v>
      </c>
      <c r="I62" s="33"/>
      <c r="J62" s="33"/>
      <c r="K62" s="34"/>
    </row>
    <row r="63" spans="1:11" x14ac:dyDescent="0.3">
      <c r="C63" s="21"/>
      <c r="D63" s="29"/>
      <c r="E63" s="30"/>
      <c r="F63" s="31"/>
      <c r="G63" s="32"/>
      <c r="H63" s="32"/>
      <c r="I63" s="33"/>
      <c r="J63" s="33"/>
      <c r="K63" s="34"/>
    </row>
    <row r="64" spans="1:11" x14ac:dyDescent="0.3">
      <c r="A64" s="35"/>
      <c r="B64" s="36"/>
      <c r="C64" s="28" t="s">
        <v>105</v>
      </c>
      <c r="D64" s="29"/>
      <c r="E64" s="30"/>
      <c r="F64" s="31"/>
      <c r="G64" s="32"/>
      <c r="H64" s="32"/>
      <c r="I64" s="33"/>
      <c r="J64" s="33"/>
      <c r="K64" s="34"/>
    </row>
    <row r="65" spans="1:11" x14ac:dyDescent="0.3">
      <c r="A65" s="36"/>
      <c r="B65" s="36"/>
      <c r="C65" s="28" t="s">
        <v>106</v>
      </c>
      <c r="D65" s="29"/>
      <c r="E65" s="30"/>
      <c r="F65" s="31"/>
      <c r="G65" s="32" t="s">
        <v>16</v>
      </c>
      <c r="H65" s="32" t="s">
        <v>16</v>
      </c>
      <c r="I65" s="33"/>
      <c r="J65" s="33"/>
      <c r="K65" s="34"/>
    </row>
    <row r="66" spans="1:11" x14ac:dyDescent="0.3">
      <c r="A66" s="36"/>
      <c r="B66" s="36"/>
      <c r="C66" s="28"/>
      <c r="D66" s="29"/>
      <c r="E66" s="30"/>
      <c r="F66" s="31"/>
      <c r="G66" s="32"/>
      <c r="H66" s="32"/>
      <c r="I66" s="33"/>
      <c r="J66" s="33"/>
      <c r="K66" s="34"/>
    </row>
    <row r="67" spans="1:11" x14ac:dyDescent="0.3">
      <c r="A67" s="36"/>
      <c r="B67" s="36"/>
      <c r="C67" s="28" t="s">
        <v>107</v>
      </c>
      <c r="D67" s="29"/>
      <c r="E67" s="30"/>
      <c r="F67" s="31"/>
      <c r="G67" s="32" t="s">
        <v>16</v>
      </c>
      <c r="H67" s="32" t="s">
        <v>16</v>
      </c>
      <c r="I67" s="33"/>
      <c r="J67" s="33"/>
      <c r="K67" s="34"/>
    </row>
    <row r="68" spans="1:11" x14ac:dyDescent="0.3">
      <c r="A68" s="36"/>
      <c r="B68" s="36"/>
      <c r="C68" s="28"/>
      <c r="D68" s="29"/>
      <c r="E68" s="30"/>
      <c r="F68" s="31"/>
      <c r="G68" s="32"/>
      <c r="H68" s="32"/>
      <c r="I68" s="33"/>
      <c r="J68" s="33"/>
      <c r="K68" s="34"/>
    </row>
    <row r="69" spans="1:11" x14ac:dyDescent="0.3">
      <c r="A69" s="36"/>
      <c r="B69" s="36"/>
      <c r="C69" s="28" t="s">
        <v>108</v>
      </c>
      <c r="D69" s="29"/>
      <c r="E69" s="30"/>
      <c r="F69" s="31"/>
      <c r="G69" s="32" t="s">
        <v>16</v>
      </c>
      <c r="H69" s="32" t="s">
        <v>16</v>
      </c>
      <c r="I69" s="33"/>
      <c r="J69" s="33"/>
      <c r="K69" s="34"/>
    </row>
    <row r="70" spans="1:11" x14ac:dyDescent="0.3">
      <c r="A70" s="36"/>
      <c r="B70" s="36"/>
      <c r="C70" s="28"/>
      <c r="D70" s="29"/>
      <c r="E70" s="30"/>
      <c r="F70" s="31"/>
      <c r="G70" s="32"/>
      <c r="H70" s="32"/>
      <c r="I70" s="33"/>
      <c r="J70" s="33"/>
      <c r="K70" s="34"/>
    </row>
    <row r="71" spans="1:11" x14ac:dyDescent="0.3">
      <c r="A71" s="36"/>
      <c r="B71" s="36"/>
      <c r="C71" s="28" t="s">
        <v>109</v>
      </c>
      <c r="D71" s="29"/>
      <c r="E71" s="30"/>
      <c r="F71" s="31"/>
      <c r="G71" s="32" t="s">
        <v>16</v>
      </c>
      <c r="H71" s="32" t="s">
        <v>16</v>
      </c>
      <c r="I71" s="33"/>
      <c r="J71" s="33"/>
      <c r="K71" s="34"/>
    </row>
    <row r="72" spans="1:11" x14ac:dyDescent="0.3">
      <c r="A72" s="36"/>
      <c r="B72" s="36"/>
      <c r="C72" s="28"/>
      <c r="D72" s="29"/>
      <c r="E72" s="30"/>
      <c r="F72" s="31"/>
      <c r="G72" s="32"/>
      <c r="H72" s="32"/>
      <c r="I72" s="33"/>
      <c r="J72" s="33"/>
      <c r="K72" s="34"/>
    </row>
    <row r="73" spans="1:11" x14ac:dyDescent="0.3">
      <c r="C73" s="37" t="s">
        <v>110</v>
      </c>
      <c r="D73" s="29"/>
      <c r="E73" s="30"/>
      <c r="F73" s="31"/>
      <c r="G73" s="32"/>
      <c r="H73" s="32"/>
      <c r="I73" s="33"/>
      <c r="J73" s="33"/>
      <c r="K73" s="34"/>
    </row>
    <row r="74" spans="1:11" x14ac:dyDescent="0.3">
      <c r="B74" s="1" t="s">
        <v>111</v>
      </c>
      <c r="C74" s="21" t="s">
        <v>112</v>
      </c>
      <c r="D74" s="29"/>
      <c r="E74" s="30"/>
      <c r="F74" s="31"/>
      <c r="G74" s="32">
        <v>2294.12</v>
      </c>
      <c r="H74" s="32">
        <v>10.17</v>
      </c>
      <c r="I74" s="33">
        <v>6.79</v>
      </c>
      <c r="J74" s="33"/>
      <c r="K74" s="34"/>
    </row>
    <row r="75" spans="1:11" x14ac:dyDescent="0.3">
      <c r="C75" s="28" t="s">
        <v>82</v>
      </c>
      <c r="D75" s="29"/>
      <c r="E75" s="30"/>
      <c r="F75" s="31"/>
      <c r="G75" s="38">
        <v>2294.12</v>
      </c>
      <c r="H75" s="38">
        <v>10.17</v>
      </c>
      <c r="I75" s="33"/>
      <c r="J75" s="33"/>
      <c r="K75" s="34"/>
    </row>
    <row r="76" spans="1:11" x14ac:dyDescent="0.3">
      <c r="C76" s="21"/>
      <c r="D76" s="29"/>
      <c r="E76" s="30"/>
      <c r="F76" s="31"/>
      <c r="G76" s="32"/>
      <c r="H76" s="32"/>
      <c r="I76" s="33"/>
      <c r="J76" s="33"/>
      <c r="K76" s="34"/>
    </row>
    <row r="77" spans="1:11" x14ac:dyDescent="0.3">
      <c r="A77" s="35"/>
      <c r="B77" s="36"/>
      <c r="C77" s="28" t="s">
        <v>113</v>
      </c>
      <c r="D77" s="29"/>
      <c r="E77" s="30"/>
      <c r="F77" s="31"/>
      <c r="G77" s="32"/>
      <c r="H77" s="32"/>
      <c r="I77" s="33"/>
      <c r="J77" s="33"/>
      <c r="K77" s="34"/>
    </row>
    <row r="78" spans="1:11" x14ac:dyDescent="0.3">
      <c r="B78" s="1"/>
      <c r="C78" s="21" t="s">
        <v>114</v>
      </c>
      <c r="D78" s="29"/>
      <c r="E78" s="30"/>
      <c r="F78" s="31"/>
      <c r="G78" s="32">
        <v>-1374.98</v>
      </c>
      <c r="H78" s="32">
        <v>-6.08</v>
      </c>
      <c r="I78" s="33"/>
      <c r="J78" s="33"/>
      <c r="K78" s="34"/>
    </row>
    <row r="79" spans="1:11" x14ac:dyDescent="0.3">
      <c r="C79" s="28" t="s">
        <v>82</v>
      </c>
      <c r="D79" s="29"/>
      <c r="E79" s="30"/>
      <c r="F79" s="31"/>
      <c r="G79" s="38">
        <v>-1374.98</v>
      </c>
      <c r="H79" s="38">
        <v>-6.08</v>
      </c>
      <c r="I79" s="33"/>
      <c r="J79" s="33"/>
      <c r="K79" s="34"/>
    </row>
    <row r="80" spans="1:11" x14ac:dyDescent="0.3">
      <c r="C80" s="21"/>
      <c r="D80" s="29"/>
      <c r="E80" s="30"/>
      <c r="F80" s="31"/>
      <c r="G80" s="32"/>
      <c r="H80" s="32"/>
      <c r="I80" s="33"/>
      <c r="J80" s="33"/>
      <c r="K80" s="34"/>
    </row>
    <row r="81" spans="3:55" ht="14.4" thickBot="1" x14ac:dyDescent="0.35">
      <c r="C81" s="39" t="s">
        <v>115</v>
      </c>
      <c r="D81" s="40"/>
      <c r="E81" s="41"/>
      <c r="F81" s="42"/>
      <c r="G81" s="43">
        <v>22563.35</v>
      </c>
      <c r="H81" s="43">
        <f>SUMIFS(H:H,C:C,"Total")</f>
        <v>99.999999999999986</v>
      </c>
      <c r="I81" s="44"/>
      <c r="J81" s="44"/>
      <c r="K81" s="45"/>
    </row>
    <row r="84" spans="3:55" x14ac:dyDescent="0.3">
      <c r="C84" s="11" t="s">
        <v>116</v>
      </c>
    </row>
    <row r="85" spans="3:55" x14ac:dyDescent="0.3">
      <c r="C85" s="2" t="s">
        <v>117</v>
      </c>
    </row>
    <row r="86" spans="3:55" x14ac:dyDescent="0.3">
      <c r="C86" s="46" t="s">
        <v>118</v>
      </c>
    </row>
    <row r="87" spans="3:55" x14ac:dyDescent="0.3">
      <c r="C87" s="2" t="s">
        <v>119</v>
      </c>
    </row>
    <row r="88" spans="3:55" x14ac:dyDescent="0.3">
      <c r="C88" s="2" t="s">
        <v>120</v>
      </c>
    </row>
    <row r="89" spans="3:55" x14ac:dyDescent="0.3">
      <c r="C89" s="2" t="s">
        <v>121</v>
      </c>
      <c r="D89" s="47"/>
      <c r="E89" s="47"/>
      <c r="F89" s="47"/>
      <c r="G89" s="48"/>
      <c r="H89" s="48"/>
    </row>
    <row r="90" spans="3:55" x14ac:dyDescent="0.3">
      <c r="C90" s="2" t="s">
        <v>122</v>
      </c>
    </row>
    <row r="91" spans="3:55" x14ac:dyDescent="0.3">
      <c r="C91" s="2" t="s">
        <v>123</v>
      </c>
    </row>
    <row r="92" spans="3:55" x14ac:dyDescent="0.3">
      <c r="C92" s="2" t="s">
        <v>124</v>
      </c>
    </row>
    <row r="93" spans="3:55" x14ac:dyDescent="0.3">
      <c r="C93" s="2" t="s">
        <v>125</v>
      </c>
    </row>
    <row r="94" spans="3:55" s="11" customFormat="1" x14ac:dyDescent="0.3">
      <c r="C94" s="11" t="s">
        <v>126</v>
      </c>
      <c r="E94" s="11" t="s">
        <v>127</v>
      </c>
      <c r="F94" s="49" t="s">
        <v>128</v>
      </c>
      <c r="G94" s="50"/>
      <c r="H94" s="50"/>
      <c r="I94" s="50"/>
      <c r="J94" s="50"/>
      <c r="K94" s="51"/>
      <c r="L94" s="51"/>
      <c r="M94" s="51"/>
      <c r="AJ94" s="51"/>
      <c r="AW94" s="51"/>
      <c r="AY94" s="51"/>
      <c r="BC94" s="51"/>
    </row>
    <row r="95" spans="3:55" x14ac:dyDescent="0.3">
      <c r="C95" s="2" t="s">
        <v>129</v>
      </c>
      <c r="E95" s="52">
        <v>10.164</v>
      </c>
      <c r="F95" s="53">
        <v>10.1625</v>
      </c>
    </row>
    <row r="96" spans="3:55" x14ac:dyDescent="0.3">
      <c r="C96" s="2" t="s">
        <v>130</v>
      </c>
      <c r="E96" s="52">
        <v>25.440200000000001</v>
      </c>
      <c r="F96" s="53">
        <v>25.561599999999999</v>
      </c>
    </row>
    <row r="97" spans="3:6" x14ac:dyDescent="0.3">
      <c r="C97" s="2" t="s">
        <v>131</v>
      </c>
      <c r="E97" s="52">
        <v>10.646699999999999</v>
      </c>
      <c r="F97" s="53">
        <v>10.538</v>
      </c>
    </row>
    <row r="98" spans="3:6" x14ac:dyDescent="0.3">
      <c r="C98" s="2" t="s">
        <v>132</v>
      </c>
      <c r="E98" s="52">
        <v>10.2257</v>
      </c>
      <c r="F98" s="53">
        <v>10.229900000000001</v>
      </c>
    </row>
    <row r="99" spans="3:6" x14ac:dyDescent="0.3">
      <c r="C99" s="2" t="s">
        <v>133</v>
      </c>
      <c r="E99" s="52">
        <v>27.274899999999999</v>
      </c>
      <c r="F99" s="53">
        <v>27.419699999999999</v>
      </c>
    </row>
    <row r="100" spans="3:6" x14ac:dyDescent="0.3">
      <c r="C100" s="2" t="s">
        <v>134</v>
      </c>
      <c r="E100" s="52">
        <v>11.0844</v>
      </c>
      <c r="F100" s="53">
        <v>10.9732</v>
      </c>
    </row>
    <row r="102" spans="3:6" x14ac:dyDescent="0.3">
      <c r="C102" s="2" t="s">
        <v>135</v>
      </c>
      <c r="E102" s="11" t="s">
        <v>136</v>
      </c>
      <c r="F102" s="49" t="s">
        <v>137</v>
      </c>
    </row>
    <row r="103" spans="3:6" x14ac:dyDescent="0.3">
      <c r="C103" s="2" t="s">
        <v>129</v>
      </c>
      <c r="E103" s="52">
        <v>0.05</v>
      </c>
      <c r="F103" s="53">
        <v>0.05</v>
      </c>
    </row>
    <row r="104" spans="3:6" x14ac:dyDescent="0.3">
      <c r="C104" s="2" t="s">
        <v>131</v>
      </c>
      <c r="E104" s="52">
        <v>0.16</v>
      </c>
      <c r="F104" s="53">
        <v>0.16</v>
      </c>
    </row>
    <row r="105" spans="3:6" x14ac:dyDescent="0.3">
      <c r="C105" s="2" t="s">
        <v>132</v>
      </c>
      <c r="E105" s="52">
        <v>0.05</v>
      </c>
      <c r="F105" s="53">
        <v>0.05</v>
      </c>
    </row>
    <row r="106" spans="3:6" x14ac:dyDescent="0.3">
      <c r="C106" s="2" t="s">
        <v>134</v>
      </c>
      <c r="E106" s="52">
        <v>0.17</v>
      </c>
      <c r="F106" s="53">
        <v>0.17</v>
      </c>
    </row>
    <row r="108" spans="3:6" x14ac:dyDescent="0.3">
      <c r="C108" s="2" t="s">
        <v>138</v>
      </c>
    </row>
    <row r="109" spans="3:6" x14ac:dyDescent="0.3">
      <c r="C109" s="2" t="s">
        <v>139</v>
      </c>
    </row>
    <row r="110" spans="3:6" x14ac:dyDescent="0.3">
      <c r="C110" s="2" t="s">
        <v>140</v>
      </c>
    </row>
    <row r="111" spans="3:6" x14ac:dyDescent="0.3">
      <c r="C111" s="2" t="s">
        <v>141</v>
      </c>
    </row>
    <row r="112" spans="3:6" x14ac:dyDescent="0.3">
      <c r="C112" s="2" t="s">
        <v>142</v>
      </c>
    </row>
    <row r="113" spans="3:11" x14ac:dyDescent="0.3">
      <c r="C113" s="2" t="s">
        <v>143</v>
      </c>
    </row>
    <row r="114" spans="3:11" x14ac:dyDescent="0.3">
      <c r="C114" s="2" t="s">
        <v>144</v>
      </c>
    </row>
    <row r="115" spans="3:11" x14ac:dyDescent="0.3">
      <c r="C115" s="2" t="s">
        <v>145</v>
      </c>
    </row>
    <row r="116" spans="3:11" x14ac:dyDescent="0.3">
      <c r="C116" s="2" t="s">
        <v>146</v>
      </c>
    </row>
    <row r="117" spans="3:11" x14ac:dyDescent="0.3">
      <c r="C117" s="2" t="s">
        <v>147</v>
      </c>
    </row>
    <row r="118" spans="3:11" x14ac:dyDescent="0.3">
      <c r="C118" s="2" t="s">
        <v>148</v>
      </c>
    </row>
    <row r="119" spans="3:11" x14ac:dyDescent="0.3">
      <c r="C119" s="2" t="s">
        <v>149</v>
      </c>
    </row>
    <row r="120" spans="3:11" ht="14.4" x14ac:dyDescent="0.3">
      <c r="C120" s="2" t="s">
        <v>150</v>
      </c>
      <c r="D120" s="54"/>
      <c r="E120" s="55"/>
      <c r="F120" s="55"/>
      <c r="G120" s="55"/>
      <c r="H120" s="55"/>
      <c r="I120" s="55"/>
      <c r="J120" s="55"/>
      <c r="K120" s="55"/>
    </row>
    <row r="121" spans="3:11" ht="14.4" x14ac:dyDescent="0.3">
      <c r="C121" s="2" t="s">
        <v>151</v>
      </c>
      <c r="D121" s="55"/>
      <c r="E121" s="55"/>
      <c r="F121" s="55"/>
      <c r="G121" s="55"/>
      <c r="H121" s="55"/>
      <c r="I121" s="55"/>
      <c r="J121" s="55"/>
      <c r="K121" s="55"/>
    </row>
    <row r="122" spans="3:11" ht="14.4" x14ac:dyDescent="0.3">
      <c r="C122" s="55"/>
      <c r="D122" s="55"/>
      <c r="E122" s="55"/>
      <c r="F122" s="55"/>
      <c r="G122" s="55"/>
      <c r="H122" s="55"/>
      <c r="I122" s="55"/>
      <c r="J122" s="55"/>
      <c r="K122" s="55"/>
    </row>
    <row r="147" spans="3:6" ht="14.4" thickBot="1" x14ac:dyDescent="0.35"/>
    <row r="148" spans="3:6" ht="15" thickBot="1" x14ac:dyDescent="0.35">
      <c r="C148" s="65" t="s">
        <v>152</v>
      </c>
      <c r="D148" s="66"/>
      <c r="E148" s="66"/>
      <c r="F148" s="67"/>
    </row>
    <row r="149" spans="3:6" ht="15" thickBot="1" x14ac:dyDescent="0.35">
      <c r="C149" s="56" t="s">
        <v>153</v>
      </c>
      <c r="D149" s="68" t="s">
        <v>154</v>
      </c>
      <c r="E149" s="68" t="s">
        <v>155</v>
      </c>
      <c r="F149" s="68" t="s">
        <v>156</v>
      </c>
    </row>
    <row r="150" spans="3:6" ht="15" thickBot="1" x14ac:dyDescent="0.35">
      <c r="C150" s="56" t="s">
        <v>157</v>
      </c>
      <c r="D150" s="69"/>
      <c r="E150" s="69"/>
      <c r="F150" s="69"/>
    </row>
    <row r="151" spans="3:6" ht="15" thickBot="1" x14ac:dyDescent="0.35">
      <c r="C151" s="57" t="s">
        <v>158</v>
      </c>
      <c r="D151" s="58"/>
      <c r="E151" s="59"/>
      <c r="F151" s="59"/>
    </row>
    <row r="152" spans="3:6" ht="14.4" x14ac:dyDescent="0.3">
      <c r="C152" s="60" t="s">
        <v>159</v>
      </c>
      <c r="D152"/>
      <c r="E152" s="70" t="s">
        <v>160</v>
      </c>
      <c r="F152" s="63"/>
    </row>
    <row r="153" spans="3:6" ht="15" thickBot="1" x14ac:dyDescent="0.35">
      <c r="C153" s="57" t="s">
        <v>161</v>
      </c>
      <c r="D153"/>
      <c r="E153" s="71"/>
      <c r="F153" s="64"/>
    </row>
    <row r="154" spans="3:6" ht="14.4" x14ac:dyDescent="0.3">
      <c r="C154" s="60" t="s">
        <v>162</v>
      </c>
      <c r="D154" s="63"/>
      <c r="E154" s="63"/>
      <c r="F154" s="63"/>
    </row>
    <row r="155" spans="3:6" ht="15" thickBot="1" x14ac:dyDescent="0.35">
      <c r="C155" s="57" t="s">
        <v>163</v>
      </c>
      <c r="D155" s="64"/>
      <c r="E155" s="64"/>
      <c r="F155" s="64"/>
    </row>
    <row r="156" spans="3:6" ht="14.4" x14ac:dyDescent="0.35">
      <c r="C156" s="61" t="s">
        <v>164</v>
      </c>
      <c r="D156" s="62"/>
      <c r="E156" s="62"/>
      <c r="F156" s="62"/>
    </row>
    <row r="157" spans="3:6" ht="14.4" x14ac:dyDescent="0.3">
      <c r="C157" s="2" t="s">
        <v>165</v>
      </c>
      <c r="D157"/>
      <c r="E157"/>
      <c r="F157"/>
    </row>
  </sheetData>
  <mergeCells count="9">
    <mergeCell ref="D154:D155"/>
    <mergeCell ref="E154:E155"/>
    <mergeCell ref="F154:F155"/>
    <mergeCell ref="C148:F148"/>
    <mergeCell ref="D149:D150"/>
    <mergeCell ref="E149:E150"/>
    <mergeCell ref="F149:F150"/>
    <mergeCell ref="E152:E153"/>
    <mergeCell ref="F152:F153"/>
  </mergeCells>
  <pageMargins left="0.7" right="0.7" top="0.75" bottom="0.75" header="0.3" footer="0.3"/>
  <pageSetup orientation="portrait" horizont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60"/>
  <sheetViews>
    <sheetView topLeftCell="A118" workbookViewId="0">
      <selection activeCell="H134" sqref="H134"/>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5.6" thickBot="1" x14ac:dyDescent="0.4">
      <c r="C2" s="11"/>
      <c r="D2" s="13"/>
    </row>
    <row r="3" spans="1:55" ht="39" customHeight="1" x14ac:dyDescent="0.3">
      <c r="C3" s="72" t="s">
        <v>166</v>
      </c>
      <c r="D3" s="73"/>
      <c r="E3" s="73"/>
      <c r="F3" s="73"/>
      <c r="G3" s="73"/>
      <c r="H3" s="73"/>
      <c r="I3" s="73"/>
      <c r="J3" s="73"/>
      <c r="K3" s="74"/>
      <c r="M3" s="9"/>
    </row>
    <row r="4" spans="1:55" ht="39" customHeight="1" thickBot="1" x14ac:dyDescent="0.35">
      <c r="C4" s="75"/>
      <c r="D4" s="76"/>
      <c r="E4" s="76"/>
      <c r="F4" s="76"/>
      <c r="G4" s="76"/>
      <c r="H4" s="76"/>
      <c r="I4" s="76"/>
      <c r="J4" s="76"/>
      <c r="K4" s="77"/>
    </row>
    <row r="5" spans="1:55" ht="14.4" thickBot="1" x14ac:dyDescent="0.35">
      <c r="C5" s="11"/>
    </row>
    <row r="6" spans="1:55" ht="57" customHeight="1" thickBot="1" x14ac:dyDescent="0.5">
      <c r="C6" s="78" t="s">
        <v>167</v>
      </c>
      <c r="D6" s="79"/>
      <c r="E6" s="79"/>
      <c r="F6" s="79"/>
      <c r="G6" s="79"/>
      <c r="H6" s="79"/>
      <c r="I6" s="79"/>
      <c r="J6" s="79"/>
      <c r="K6" s="80"/>
      <c r="L6" s="2"/>
      <c r="M6" s="2"/>
      <c r="AH6" s="10"/>
      <c r="AJ6" s="2"/>
      <c r="AU6" s="10"/>
      <c r="AY6" s="2"/>
      <c r="BA6" s="10"/>
      <c r="BC6" s="2"/>
    </row>
    <row r="7" spans="1:55" ht="14.4" customHeight="1" thickBot="1" x14ac:dyDescent="0.35">
      <c r="C7" s="11"/>
    </row>
    <row r="8" spans="1:55" ht="27.6" x14ac:dyDescent="0.3">
      <c r="C8" s="14" t="s">
        <v>5</v>
      </c>
      <c r="D8" s="15" t="s">
        <v>6</v>
      </c>
      <c r="E8" s="16" t="s">
        <v>7</v>
      </c>
      <c r="F8" s="17" t="s">
        <v>8</v>
      </c>
      <c r="G8" s="18" t="s">
        <v>9</v>
      </c>
      <c r="H8" s="18" t="s">
        <v>10</v>
      </c>
      <c r="I8" s="19" t="s">
        <v>11</v>
      </c>
      <c r="J8" s="19" t="s">
        <v>12</v>
      </c>
      <c r="K8" s="20" t="s">
        <v>13</v>
      </c>
    </row>
    <row r="9" spans="1:55" x14ac:dyDescent="0.3">
      <c r="C9" s="21"/>
      <c r="D9" s="22"/>
      <c r="E9" s="23"/>
      <c r="F9" s="24"/>
      <c r="G9" s="25"/>
      <c r="H9" s="25"/>
      <c r="I9" s="26"/>
      <c r="J9" s="26"/>
      <c r="K9" s="27"/>
    </row>
    <row r="10" spans="1:55" x14ac:dyDescent="0.3">
      <c r="C10" s="28" t="s">
        <v>14</v>
      </c>
      <c r="D10" s="29"/>
      <c r="E10" s="30"/>
      <c r="F10" s="31"/>
      <c r="G10" s="32"/>
      <c r="H10" s="32"/>
      <c r="I10" s="33"/>
      <c r="J10" s="33"/>
      <c r="K10" s="34"/>
    </row>
    <row r="11" spans="1:55" x14ac:dyDescent="0.3">
      <c r="C11" s="21"/>
      <c r="D11" s="29"/>
      <c r="E11" s="30"/>
      <c r="F11" s="31"/>
      <c r="G11" s="32"/>
      <c r="H11" s="32"/>
      <c r="I11" s="33"/>
      <c r="J11" s="33"/>
      <c r="K11" s="34"/>
    </row>
    <row r="12" spans="1:55" x14ac:dyDescent="0.3">
      <c r="C12" s="28" t="s">
        <v>15</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17</v>
      </c>
      <c r="D14" s="29"/>
      <c r="E14" s="30"/>
      <c r="F14" s="31"/>
      <c r="G14" s="32" t="s">
        <v>16</v>
      </c>
      <c r="H14" s="32" t="s">
        <v>16</v>
      </c>
      <c r="I14" s="33"/>
      <c r="J14" s="33"/>
      <c r="K14" s="34"/>
    </row>
    <row r="15" spans="1:55" x14ac:dyDescent="0.3">
      <c r="C15" s="21"/>
      <c r="D15" s="29"/>
      <c r="E15" s="30"/>
      <c r="F15" s="31"/>
      <c r="G15" s="32"/>
      <c r="H15" s="32"/>
      <c r="I15" s="33"/>
      <c r="J15" s="33"/>
      <c r="K15" s="34"/>
    </row>
    <row r="16" spans="1:55" x14ac:dyDescent="0.3">
      <c r="C16" s="28" t="s">
        <v>18</v>
      </c>
      <c r="D16" s="29"/>
      <c r="E16" s="30"/>
      <c r="F16" s="31"/>
      <c r="G16" s="32" t="s">
        <v>16</v>
      </c>
      <c r="H16" s="32" t="s">
        <v>16</v>
      </c>
      <c r="I16" s="33"/>
      <c r="J16" s="33"/>
      <c r="K16" s="34"/>
    </row>
    <row r="17" spans="1:11" x14ac:dyDescent="0.3">
      <c r="C17" s="21"/>
      <c r="D17" s="29"/>
      <c r="E17" s="30"/>
      <c r="F17" s="31"/>
      <c r="G17" s="32"/>
      <c r="H17" s="32"/>
      <c r="I17" s="33"/>
      <c r="J17" s="33"/>
      <c r="K17" s="34"/>
    </row>
    <row r="18" spans="1:11" x14ac:dyDescent="0.3">
      <c r="C18" s="28" t="s">
        <v>19</v>
      </c>
      <c r="D18" s="29"/>
      <c r="E18" s="30"/>
      <c r="F18" s="31"/>
      <c r="G18" s="32" t="s">
        <v>16</v>
      </c>
      <c r="H18" s="32" t="s">
        <v>16</v>
      </c>
      <c r="I18" s="33"/>
      <c r="J18" s="33"/>
      <c r="K18" s="34"/>
    </row>
    <row r="19" spans="1:11" x14ac:dyDescent="0.3">
      <c r="C19" s="21"/>
      <c r="D19" s="29"/>
      <c r="E19" s="30"/>
      <c r="F19" s="31"/>
      <c r="G19" s="32"/>
      <c r="H19" s="32"/>
      <c r="I19" s="33"/>
      <c r="J19" s="33"/>
      <c r="K19" s="34"/>
    </row>
    <row r="20" spans="1:11" x14ac:dyDescent="0.3">
      <c r="A20" s="35"/>
      <c r="B20" s="36"/>
      <c r="C20" s="28" t="s">
        <v>20</v>
      </c>
      <c r="D20" s="29"/>
      <c r="E20" s="30"/>
      <c r="F20" s="31"/>
      <c r="G20" s="32"/>
      <c r="H20" s="32"/>
      <c r="I20" s="33"/>
      <c r="J20" s="33"/>
      <c r="K20" s="34"/>
    </row>
    <row r="21" spans="1:11" x14ac:dyDescent="0.3">
      <c r="C21" s="37" t="s">
        <v>21</v>
      </c>
      <c r="D21" s="29"/>
      <c r="E21" s="30"/>
      <c r="F21" s="31"/>
      <c r="G21" s="32"/>
      <c r="H21" s="32"/>
      <c r="I21" s="33"/>
      <c r="J21" s="33"/>
      <c r="K21" s="34"/>
    </row>
    <row r="22" spans="1:11" x14ac:dyDescent="0.3">
      <c r="B22" s="1" t="s">
        <v>22</v>
      </c>
      <c r="C22" s="21" t="s">
        <v>23</v>
      </c>
      <c r="D22" s="29" t="s">
        <v>24</v>
      </c>
      <c r="E22" s="30" t="s">
        <v>25</v>
      </c>
      <c r="F22" s="31">
        <v>150</v>
      </c>
      <c r="G22" s="32">
        <v>1501.19</v>
      </c>
      <c r="H22" s="32">
        <v>6.65</v>
      </c>
      <c r="I22" s="33">
        <v>7.7061999999999999</v>
      </c>
      <c r="J22" s="33"/>
      <c r="K22" s="34" t="s">
        <v>26</v>
      </c>
    </row>
    <row r="23" spans="1:11" x14ac:dyDescent="0.3">
      <c r="B23" s="1" t="s">
        <v>27</v>
      </c>
      <c r="C23" s="21" t="s">
        <v>28</v>
      </c>
      <c r="D23" s="29" t="s">
        <v>29</v>
      </c>
      <c r="E23" s="30" t="s">
        <v>30</v>
      </c>
      <c r="F23" s="31">
        <v>150</v>
      </c>
      <c r="G23" s="32">
        <v>1494.11</v>
      </c>
      <c r="H23" s="32">
        <v>6.62</v>
      </c>
      <c r="I23" s="33">
        <v>7.63</v>
      </c>
      <c r="J23" s="33"/>
      <c r="K23" s="34" t="s">
        <v>26</v>
      </c>
    </row>
    <row r="24" spans="1:11" x14ac:dyDescent="0.3">
      <c r="B24" s="1" t="s">
        <v>31</v>
      </c>
      <c r="C24" s="21" t="s">
        <v>32</v>
      </c>
      <c r="D24" s="29" t="s">
        <v>33</v>
      </c>
      <c r="E24" s="30" t="s">
        <v>30</v>
      </c>
      <c r="F24" s="31">
        <v>120</v>
      </c>
      <c r="G24" s="32">
        <v>1170.6199999999999</v>
      </c>
      <c r="H24" s="32">
        <v>5.19</v>
      </c>
      <c r="I24" s="33">
        <v>7.8150000000000004</v>
      </c>
      <c r="J24" s="33"/>
      <c r="K24" s="34" t="s">
        <v>26</v>
      </c>
    </row>
    <row r="25" spans="1:11" x14ac:dyDescent="0.3">
      <c r="B25" s="1" t="s">
        <v>34</v>
      </c>
      <c r="C25" s="21" t="s">
        <v>35</v>
      </c>
      <c r="D25" s="29" t="s">
        <v>36</v>
      </c>
      <c r="E25" s="30" t="s">
        <v>30</v>
      </c>
      <c r="F25" s="31">
        <v>120</v>
      </c>
      <c r="G25" s="32">
        <v>1157.74</v>
      </c>
      <c r="H25" s="32">
        <v>5.13</v>
      </c>
      <c r="I25" s="33">
        <v>7.62</v>
      </c>
      <c r="J25" s="33"/>
      <c r="K25" s="34" t="s">
        <v>26</v>
      </c>
    </row>
    <row r="26" spans="1:11" x14ac:dyDescent="0.3">
      <c r="B26" s="1" t="s">
        <v>37</v>
      </c>
      <c r="C26" s="21" t="s">
        <v>38</v>
      </c>
      <c r="D26" s="29" t="s">
        <v>39</v>
      </c>
      <c r="E26" s="30" t="s">
        <v>30</v>
      </c>
      <c r="F26" s="31">
        <v>110</v>
      </c>
      <c r="G26" s="32">
        <v>1095.05</v>
      </c>
      <c r="H26" s="32">
        <v>4.8499999999999996</v>
      </c>
      <c r="I26" s="33">
        <v>7.92</v>
      </c>
      <c r="J26" s="33"/>
      <c r="K26" s="34" t="s">
        <v>26</v>
      </c>
    </row>
    <row r="27" spans="1:11" x14ac:dyDescent="0.3">
      <c r="B27" s="1" t="s">
        <v>40</v>
      </c>
      <c r="C27" s="21" t="s">
        <v>41</v>
      </c>
      <c r="D27" s="29" t="s">
        <v>42</v>
      </c>
      <c r="E27" s="30" t="s">
        <v>30</v>
      </c>
      <c r="F27" s="31">
        <v>1100</v>
      </c>
      <c r="G27" s="32">
        <v>1094.27</v>
      </c>
      <c r="H27" s="32">
        <v>4.8499999999999996</v>
      </c>
      <c r="I27" s="33">
        <v>8.3247999999999998</v>
      </c>
      <c r="J27" s="33"/>
      <c r="K27" s="34" t="s">
        <v>26</v>
      </c>
    </row>
    <row r="28" spans="1:11" x14ac:dyDescent="0.3">
      <c r="B28" s="1" t="s">
        <v>43</v>
      </c>
      <c r="C28" s="21" t="s">
        <v>44</v>
      </c>
      <c r="D28" s="29" t="s">
        <v>45</v>
      </c>
      <c r="E28" s="30" t="s">
        <v>25</v>
      </c>
      <c r="F28" s="31">
        <v>1000</v>
      </c>
      <c r="G28" s="32">
        <v>1002.57</v>
      </c>
      <c r="H28" s="32">
        <v>4.4400000000000004</v>
      </c>
      <c r="I28" s="33">
        <v>7.54</v>
      </c>
      <c r="J28" s="33"/>
      <c r="K28" s="34" t="s">
        <v>26</v>
      </c>
    </row>
    <row r="29" spans="1:11" x14ac:dyDescent="0.3">
      <c r="B29" s="1" t="s">
        <v>46</v>
      </c>
      <c r="C29" s="21" t="s">
        <v>47</v>
      </c>
      <c r="D29" s="29" t="s">
        <v>48</v>
      </c>
      <c r="E29" s="30" t="s">
        <v>30</v>
      </c>
      <c r="F29" s="31">
        <v>100</v>
      </c>
      <c r="G29" s="32">
        <v>1002.14</v>
      </c>
      <c r="H29" s="32">
        <v>4.4400000000000004</v>
      </c>
      <c r="I29" s="33">
        <v>7.5274999999999999</v>
      </c>
      <c r="J29" s="33"/>
      <c r="K29" s="34" t="s">
        <v>26</v>
      </c>
    </row>
    <row r="30" spans="1:11" x14ac:dyDescent="0.3">
      <c r="B30" s="1" t="s">
        <v>49</v>
      </c>
      <c r="C30" s="21" t="s">
        <v>50</v>
      </c>
      <c r="D30" s="29" t="s">
        <v>51</v>
      </c>
      <c r="E30" s="30" t="s">
        <v>52</v>
      </c>
      <c r="F30" s="31">
        <v>1000</v>
      </c>
      <c r="G30" s="32">
        <v>1001.79</v>
      </c>
      <c r="H30" s="32">
        <v>4.4400000000000004</v>
      </c>
      <c r="I30" s="33">
        <v>8.66</v>
      </c>
      <c r="J30" s="33"/>
      <c r="K30" s="34" t="s">
        <v>26</v>
      </c>
    </row>
    <row r="31" spans="1:11" x14ac:dyDescent="0.3">
      <c r="B31" s="1" t="s">
        <v>53</v>
      </c>
      <c r="C31" s="21" t="s">
        <v>54</v>
      </c>
      <c r="D31" s="29" t="s">
        <v>55</v>
      </c>
      <c r="E31" s="30" t="s">
        <v>30</v>
      </c>
      <c r="F31" s="31">
        <v>100</v>
      </c>
      <c r="G31" s="32">
        <v>1001.64</v>
      </c>
      <c r="H31" s="32">
        <v>4.4400000000000004</v>
      </c>
      <c r="I31" s="33">
        <v>7.5049999999999999</v>
      </c>
      <c r="J31" s="33"/>
      <c r="K31" s="34" t="s">
        <v>26</v>
      </c>
    </row>
    <row r="32" spans="1:11" x14ac:dyDescent="0.3">
      <c r="B32" s="1" t="s">
        <v>56</v>
      </c>
      <c r="C32" s="21" t="s">
        <v>57</v>
      </c>
      <c r="D32" s="29" t="s">
        <v>58</v>
      </c>
      <c r="E32" s="30" t="s">
        <v>59</v>
      </c>
      <c r="F32" s="31">
        <v>1000</v>
      </c>
      <c r="G32" s="32">
        <v>1001.11</v>
      </c>
      <c r="H32" s="32">
        <v>4.4400000000000004</v>
      </c>
      <c r="I32" s="33">
        <v>8.3650000000000002</v>
      </c>
      <c r="J32" s="33"/>
      <c r="K32" s="34" t="s">
        <v>26</v>
      </c>
    </row>
    <row r="33" spans="2:11" x14ac:dyDescent="0.3">
      <c r="B33" s="1" t="s">
        <v>60</v>
      </c>
      <c r="C33" s="21" t="s">
        <v>61</v>
      </c>
      <c r="D33" s="29" t="s">
        <v>62</v>
      </c>
      <c r="E33" s="30" t="s">
        <v>30</v>
      </c>
      <c r="F33" s="31">
        <v>1000</v>
      </c>
      <c r="G33" s="32">
        <v>999.7</v>
      </c>
      <c r="H33" s="32">
        <v>4.43</v>
      </c>
      <c r="I33" s="33">
        <v>7.8116000000000003</v>
      </c>
      <c r="J33" s="33"/>
      <c r="K33" s="34" t="s">
        <v>26</v>
      </c>
    </row>
    <row r="34" spans="2:11" x14ac:dyDescent="0.3">
      <c r="B34" s="1" t="s">
        <v>63</v>
      </c>
      <c r="C34" s="21" t="s">
        <v>64</v>
      </c>
      <c r="D34" s="29" t="s">
        <v>65</v>
      </c>
      <c r="E34" s="30" t="s">
        <v>30</v>
      </c>
      <c r="F34" s="31">
        <v>1000</v>
      </c>
      <c r="G34" s="32">
        <v>994.74</v>
      </c>
      <c r="H34" s="32">
        <v>4.41</v>
      </c>
      <c r="I34" s="33">
        <v>7.7</v>
      </c>
      <c r="J34" s="33"/>
      <c r="K34" s="34" t="s">
        <v>26</v>
      </c>
    </row>
    <row r="35" spans="2:11" x14ac:dyDescent="0.3">
      <c r="B35" s="1" t="s">
        <v>66</v>
      </c>
      <c r="C35" s="21" t="s">
        <v>67</v>
      </c>
      <c r="D35" s="29" t="s">
        <v>68</v>
      </c>
      <c r="E35" s="30" t="s">
        <v>30</v>
      </c>
      <c r="F35" s="31">
        <v>1000</v>
      </c>
      <c r="G35" s="32">
        <v>992.03</v>
      </c>
      <c r="H35" s="32">
        <v>4.4000000000000004</v>
      </c>
      <c r="I35" s="33">
        <v>7.54</v>
      </c>
      <c r="J35" s="33"/>
      <c r="K35" s="34"/>
    </row>
    <row r="36" spans="2:11" x14ac:dyDescent="0.3">
      <c r="B36" s="1" t="s">
        <v>69</v>
      </c>
      <c r="C36" s="21" t="s">
        <v>70</v>
      </c>
      <c r="D36" s="29" t="s">
        <v>71</v>
      </c>
      <c r="E36" s="30" t="s">
        <v>30</v>
      </c>
      <c r="F36" s="31">
        <v>100</v>
      </c>
      <c r="G36" s="32">
        <v>991.52</v>
      </c>
      <c r="H36" s="32">
        <v>4.3899999999999997</v>
      </c>
      <c r="I36" s="33">
        <v>7.62</v>
      </c>
      <c r="J36" s="33"/>
      <c r="K36" s="34"/>
    </row>
    <row r="37" spans="2:11" x14ac:dyDescent="0.3">
      <c r="B37" s="1" t="s">
        <v>72</v>
      </c>
      <c r="C37" s="21" t="s">
        <v>73</v>
      </c>
      <c r="D37" s="29" t="s">
        <v>74</v>
      </c>
      <c r="E37" s="30" t="s">
        <v>75</v>
      </c>
      <c r="F37" s="31">
        <v>100</v>
      </c>
      <c r="G37" s="32">
        <v>987.49</v>
      </c>
      <c r="H37" s="32">
        <v>4.38</v>
      </c>
      <c r="I37" s="33">
        <v>9.3948</v>
      </c>
      <c r="J37" s="33"/>
      <c r="K37" s="34" t="s">
        <v>26</v>
      </c>
    </row>
    <row r="38" spans="2:11" x14ac:dyDescent="0.3">
      <c r="B38" s="1" t="s">
        <v>76</v>
      </c>
      <c r="C38" s="21" t="s">
        <v>77</v>
      </c>
      <c r="D38" s="29" t="s">
        <v>78</v>
      </c>
      <c r="E38" s="30" t="s">
        <v>30</v>
      </c>
      <c r="F38" s="31">
        <v>100</v>
      </c>
      <c r="G38" s="32">
        <v>983.67</v>
      </c>
      <c r="H38" s="32">
        <v>4.3600000000000003</v>
      </c>
      <c r="I38" s="33">
        <v>8.1259999999999994</v>
      </c>
      <c r="J38" s="33"/>
      <c r="K38" s="34" t="s">
        <v>26</v>
      </c>
    </row>
    <row r="39" spans="2:11" x14ac:dyDescent="0.3">
      <c r="B39" s="1" t="s">
        <v>79</v>
      </c>
      <c r="C39" s="21" t="s">
        <v>80</v>
      </c>
      <c r="D39" s="29" t="s">
        <v>81</v>
      </c>
      <c r="E39" s="30" t="s">
        <v>25</v>
      </c>
      <c r="F39" s="31">
        <v>10</v>
      </c>
      <c r="G39" s="32">
        <v>104.45</v>
      </c>
      <c r="H39" s="32">
        <v>0.46</v>
      </c>
      <c r="I39" s="33">
        <v>7.54</v>
      </c>
      <c r="J39" s="33"/>
      <c r="K39" s="34" t="s">
        <v>26</v>
      </c>
    </row>
    <row r="40" spans="2:11" x14ac:dyDescent="0.3">
      <c r="C40" s="28" t="s">
        <v>82</v>
      </c>
      <c r="D40" s="29"/>
      <c r="E40" s="30"/>
      <c r="F40" s="31"/>
      <c r="G40" s="38">
        <v>18575.830000000002</v>
      </c>
      <c r="H40" s="38">
        <v>82.32</v>
      </c>
      <c r="I40" s="33"/>
      <c r="J40" s="33"/>
      <c r="K40" s="34"/>
    </row>
    <row r="41" spans="2:11" x14ac:dyDescent="0.3">
      <c r="C41" s="21"/>
      <c r="D41" s="29"/>
      <c r="E41" s="30"/>
      <c r="F41" s="31"/>
      <c r="G41" s="32"/>
      <c r="H41" s="32"/>
      <c r="I41" s="33"/>
      <c r="J41" s="33"/>
      <c r="K41" s="34"/>
    </row>
    <row r="42" spans="2:11" x14ac:dyDescent="0.3">
      <c r="C42" s="28" t="s">
        <v>83</v>
      </c>
      <c r="D42" s="29"/>
      <c r="E42" s="30"/>
      <c r="F42" s="31"/>
      <c r="G42" s="32" t="s">
        <v>16</v>
      </c>
      <c r="H42" s="32" t="s">
        <v>16</v>
      </c>
      <c r="I42" s="33"/>
      <c r="J42" s="33"/>
      <c r="K42" s="34"/>
    </row>
    <row r="43" spans="2:11" x14ac:dyDescent="0.3">
      <c r="C43" s="21"/>
      <c r="D43" s="29"/>
      <c r="E43" s="30"/>
      <c r="F43" s="31"/>
      <c r="G43" s="32"/>
      <c r="H43" s="32"/>
      <c r="I43" s="33"/>
      <c r="J43" s="33"/>
      <c r="K43" s="34"/>
    </row>
    <row r="44" spans="2:11" x14ac:dyDescent="0.3">
      <c r="C44" s="28" t="s">
        <v>84</v>
      </c>
      <c r="D44" s="29"/>
      <c r="E44" s="30"/>
      <c r="F44" s="31"/>
      <c r="G44" s="32" t="s">
        <v>16</v>
      </c>
      <c r="H44" s="32" t="s">
        <v>16</v>
      </c>
      <c r="I44" s="33"/>
      <c r="J44" s="33"/>
      <c r="K44" s="34"/>
    </row>
    <row r="45" spans="2:11" x14ac:dyDescent="0.3">
      <c r="C45" s="21"/>
      <c r="D45" s="29"/>
      <c r="E45" s="30"/>
      <c r="F45" s="31"/>
      <c r="G45" s="32"/>
      <c r="H45" s="32"/>
      <c r="I45" s="33"/>
      <c r="J45" s="33"/>
      <c r="K45" s="34"/>
    </row>
    <row r="46" spans="2:11" x14ac:dyDescent="0.3">
      <c r="C46" s="37" t="s">
        <v>85</v>
      </c>
      <c r="D46" s="29"/>
      <c r="E46" s="30"/>
      <c r="F46" s="31"/>
      <c r="G46" s="32"/>
      <c r="H46" s="32"/>
      <c r="I46" s="33"/>
      <c r="J46" s="33"/>
      <c r="K46" s="34"/>
    </row>
    <row r="47" spans="2:11" x14ac:dyDescent="0.3">
      <c r="B47" s="1" t="s">
        <v>86</v>
      </c>
      <c r="C47" s="21" t="s">
        <v>87</v>
      </c>
      <c r="D47" s="29" t="s">
        <v>88</v>
      </c>
      <c r="E47" s="30" t="s">
        <v>89</v>
      </c>
      <c r="F47" s="31">
        <v>1000000</v>
      </c>
      <c r="G47" s="32">
        <v>996.01</v>
      </c>
      <c r="H47" s="32">
        <v>4.41</v>
      </c>
      <c r="I47" s="33">
        <v>7.3778914999999996</v>
      </c>
      <c r="J47" s="33"/>
      <c r="K47" s="34"/>
    </row>
    <row r="48" spans="2:11" x14ac:dyDescent="0.3">
      <c r="B48" s="1" t="s">
        <v>90</v>
      </c>
      <c r="C48" s="21" t="s">
        <v>91</v>
      </c>
      <c r="D48" s="29" t="s">
        <v>92</v>
      </c>
      <c r="E48" s="30" t="s">
        <v>89</v>
      </c>
      <c r="F48" s="31">
        <v>401000</v>
      </c>
      <c r="G48" s="32">
        <v>388.41</v>
      </c>
      <c r="H48" s="32">
        <v>1.72</v>
      </c>
      <c r="I48" s="33">
        <v>7.3317877999999999</v>
      </c>
      <c r="J48" s="33"/>
      <c r="K48" s="34"/>
    </row>
    <row r="49" spans="2:11" x14ac:dyDescent="0.3">
      <c r="C49" s="28" t="s">
        <v>82</v>
      </c>
      <c r="D49" s="29"/>
      <c r="E49" s="30"/>
      <c r="F49" s="31"/>
      <c r="G49" s="38">
        <v>1384.42</v>
      </c>
      <c r="H49" s="38">
        <v>6.13</v>
      </c>
      <c r="I49" s="33"/>
      <c r="J49" s="33"/>
      <c r="K49" s="34"/>
    </row>
    <row r="50" spans="2:11" x14ac:dyDescent="0.3">
      <c r="C50" s="21"/>
      <c r="D50" s="29"/>
      <c r="E50" s="30"/>
      <c r="F50" s="31"/>
      <c r="G50" s="32"/>
      <c r="H50" s="32"/>
      <c r="I50" s="33"/>
      <c r="J50" s="33"/>
      <c r="K50" s="34"/>
    </row>
    <row r="51" spans="2:11" x14ac:dyDescent="0.3">
      <c r="C51" s="37" t="s">
        <v>93</v>
      </c>
      <c r="D51" s="29"/>
      <c r="E51" s="30"/>
      <c r="F51" s="31"/>
      <c r="G51" s="32"/>
      <c r="H51" s="32"/>
      <c r="I51" s="33"/>
      <c r="J51" s="33"/>
      <c r="K51" s="34"/>
    </row>
    <row r="52" spans="2:11" x14ac:dyDescent="0.3">
      <c r="B52" s="1" t="s">
        <v>94</v>
      </c>
      <c r="C52" s="21" t="s">
        <v>95</v>
      </c>
      <c r="D52" s="29" t="s">
        <v>96</v>
      </c>
      <c r="E52" s="30" t="s">
        <v>89</v>
      </c>
      <c r="F52" s="31">
        <v>1000000</v>
      </c>
      <c r="G52" s="32">
        <v>979.72</v>
      </c>
      <c r="H52" s="32">
        <v>4.34</v>
      </c>
      <c r="I52" s="33">
        <v>7.5921875999999999</v>
      </c>
      <c r="J52" s="33"/>
      <c r="K52" s="34"/>
    </row>
    <row r="53" spans="2:11" x14ac:dyDescent="0.3">
      <c r="B53" s="1" t="s">
        <v>97</v>
      </c>
      <c r="C53" s="21" t="s">
        <v>98</v>
      </c>
      <c r="D53" s="29" t="s">
        <v>99</v>
      </c>
      <c r="E53" s="30" t="s">
        <v>89</v>
      </c>
      <c r="F53" s="31">
        <v>700000</v>
      </c>
      <c r="G53" s="32">
        <v>704.24</v>
      </c>
      <c r="H53" s="32">
        <v>3.12</v>
      </c>
      <c r="I53" s="33">
        <v>7.6129376000000004</v>
      </c>
      <c r="J53" s="33"/>
      <c r="K53" s="34"/>
    </row>
    <row r="54" spans="2:11" x14ac:dyDescent="0.3">
      <c r="C54" s="28" t="s">
        <v>82</v>
      </c>
      <c r="D54" s="29"/>
      <c r="E54" s="30"/>
      <c r="F54" s="31"/>
      <c r="G54" s="38">
        <v>1683.96</v>
      </c>
      <c r="H54" s="38">
        <v>7.46</v>
      </c>
      <c r="I54" s="33"/>
      <c r="J54" s="33"/>
      <c r="K54" s="34"/>
    </row>
    <row r="55" spans="2:11" x14ac:dyDescent="0.3">
      <c r="C55" s="21"/>
      <c r="D55" s="29"/>
      <c r="E55" s="30"/>
      <c r="F55" s="31"/>
      <c r="G55" s="32"/>
      <c r="H55" s="32"/>
      <c r="I55" s="33"/>
      <c r="J55" s="33"/>
      <c r="K55" s="34"/>
    </row>
    <row r="56" spans="2:11" x14ac:dyDescent="0.3">
      <c r="C56" s="28" t="s">
        <v>100</v>
      </c>
      <c r="D56" s="29"/>
      <c r="E56" s="30"/>
      <c r="F56" s="31"/>
      <c r="G56" s="32"/>
      <c r="H56" s="32"/>
      <c r="I56" s="33"/>
      <c r="J56" s="33"/>
      <c r="K56" s="34"/>
    </row>
    <row r="57" spans="2:11" x14ac:dyDescent="0.3">
      <c r="C57" s="21"/>
      <c r="D57" s="29"/>
      <c r="E57" s="30"/>
      <c r="F57" s="31"/>
      <c r="G57" s="32"/>
      <c r="H57" s="32"/>
      <c r="I57" s="33"/>
      <c r="J57" s="33"/>
      <c r="K57" s="34"/>
    </row>
    <row r="58" spans="2:11" x14ac:dyDescent="0.3">
      <c r="C58" s="28" t="s">
        <v>101</v>
      </c>
      <c r="D58" s="29"/>
      <c r="E58" s="30"/>
      <c r="F58" s="31"/>
      <c r="G58" s="32" t="s">
        <v>16</v>
      </c>
      <c r="H58" s="32" t="s">
        <v>16</v>
      </c>
      <c r="I58" s="33"/>
      <c r="J58" s="33"/>
      <c r="K58" s="34"/>
    </row>
    <row r="59" spans="2:11" x14ac:dyDescent="0.3">
      <c r="C59" s="21"/>
      <c r="D59" s="29"/>
      <c r="E59" s="30"/>
      <c r="F59" s="31"/>
      <c r="G59" s="32"/>
      <c r="H59" s="32"/>
      <c r="I59" s="33"/>
      <c r="J59" s="33"/>
      <c r="K59" s="34"/>
    </row>
    <row r="60" spans="2:11" x14ac:dyDescent="0.3">
      <c r="C60" s="28" t="s">
        <v>102</v>
      </c>
      <c r="D60" s="29"/>
      <c r="E60" s="30"/>
      <c r="F60" s="31"/>
      <c r="G60" s="32" t="s">
        <v>16</v>
      </c>
      <c r="H60" s="32" t="s">
        <v>16</v>
      </c>
      <c r="I60" s="33"/>
      <c r="J60" s="33"/>
      <c r="K60" s="34"/>
    </row>
    <row r="61" spans="2:11" x14ac:dyDescent="0.3">
      <c r="C61" s="21"/>
      <c r="D61" s="29"/>
      <c r="E61" s="30"/>
      <c r="F61" s="31"/>
      <c r="G61" s="32"/>
      <c r="H61" s="32"/>
      <c r="I61" s="33"/>
      <c r="J61" s="33"/>
      <c r="K61" s="34"/>
    </row>
    <row r="62" spans="2:11" x14ac:dyDescent="0.3">
      <c r="C62" s="28" t="s">
        <v>103</v>
      </c>
      <c r="D62" s="29"/>
      <c r="E62" s="30"/>
      <c r="F62" s="31"/>
      <c r="G62" s="32" t="s">
        <v>16</v>
      </c>
      <c r="H62" s="32" t="s">
        <v>16</v>
      </c>
      <c r="I62" s="33"/>
      <c r="J62" s="33"/>
      <c r="K62" s="34"/>
    </row>
    <row r="63" spans="2:11" x14ac:dyDescent="0.3">
      <c r="C63" s="21"/>
      <c r="D63" s="29"/>
      <c r="E63" s="30"/>
      <c r="F63" s="31"/>
      <c r="G63" s="32"/>
      <c r="H63" s="32"/>
      <c r="I63" s="33"/>
      <c r="J63" s="33"/>
      <c r="K63" s="34"/>
    </row>
    <row r="64" spans="2:11" x14ac:dyDescent="0.3">
      <c r="C64" s="28" t="s">
        <v>104</v>
      </c>
      <c r="D64" s="29"/>
      <c r="E64" s="30"/>
      <c r="F64" s="31"/>
      <c r="G64" s="32" t="s">
        <v>16</v>
      </c>
      <c r="H64" s="32" t="s">
        <v>16</v>
      </c>
      <c r="I64" s="33"/>
      <c r="J64" s="33"/>
      <c r="K64" s="34"/>
    </row>
    <row r="65" spans="1:11" x14ac:dyDescent="0.3">
      <c r="C65" s="21"/>
      <c r="D65" s="29"/>
      <c r="E65" s="30"/>
      <c r="F65" s="31"/>
      <c r="G65" s="32"/>
      <c r="H65" s="32"/>
      <c r="I65" s="33"/>
      <c r="J65" s="33"/>
      <c r="K65" s="34"/>
    </row>
    <row r="66" spans="1:11" x14ac:dyDescent="0.3">
      <c r="A66" s="35"/>
      <c r="B66" s="36"/>
      <c r="C66" s="28" t="s">
        <v>105</v>
      </c>
      <c r="D66" s="29"/>
      <c r="E66" s="30"/>
      <c r="F66" s="31"/>
      <c r="G66" s="32"/>
      <c r="H66" s="32"/>
      <c r="I66" s="33"/>
      <c r="J66" s="33"/>
      <c r="K66" s="34"/>
    </row>
    <row r="67" spans="1:11" x14ac:dyDescent="0.3">
      <c r="A67" s="36"/>
      <c r="B67" s="36"/>
      <c r="C67" s="28" t="s">
        <v>106</v>
      </c>
      <c r="D67" s="29"/>
      <c r="E67" s="30"/>
      <c r="F67" s="31"/>
      <c r="G67" s="32" t="s">
        <v>16</v>
      </c>
      <c r="H67" s="32" t="s">
        <v>16</v>
      </c>
      <c r="I67" s="33"/>
      <c r="J67" s="33"/>
      <c r="K67" s="34"/>
    </row>
    <row r="68" spans="1:11" x14ac:dyDescent="0.3">
      <c r="A68" s="36"/>
      <c r="B68" s="36"/>
      <c r="C68" s="28"/>
      <c r="D68" s="29"/>
      <c r="E68" s="30"/>
      <c r="F68" s="31"/>
      <c r="G68" s="32"/>
      <c r="H68" s="32"/>
      <c r="I68" s="33"/>
      <c r="J68" s="33"/>
      <c r="K68" s="34"/>
    </row>
    <row r="69" spans="1:11" x14ac:dyDescent="0.3">
      <c r="A69" s="36"/>
      <c r="B69" s="36"/>
      <c r="C69" s="28" t="s">
        <v>107</v>
      </c>
      <c r="D69" s="29"/>
      <c r="E69" s="30"/>
      <c r="F69" s="31"/>
      <c r="G69" s="32" t="s">
        <v>16</v>
      </c>
      <c r="H69" s="32" t="s">
        <v>16</v>
      </c>
      <c r="I69" s="33"/>
      <c r="J69" s="33"/>
      <c r="K69" s="34"/>
    </row>
    <row r="70" spans="1:11" x14ac:dyDescent="0.3">
      <c r="A70" s="36"/>
      <c r="B70" s="36"/>
      <c r="C70" s="28"/>
      <c r="D70" s="29"/>
      <c r="E70" s="30"/>
      <c r="F70" s="31"/>
      <c r="G70" s="32"/>
      <c r="H70" s="32"/>
      <c r="I70" s="33"/>
      <c r="J70" s="33"/>
      <c r="K70" s="34"/>
    </row>
    <row r="71" spans="1:11" x14ac:dyDescent="0.3">
      <c r="A71" s="36"/>
      <c r="B71" s="36"/>
      <c r="C71" s="28" t="s">
        <v>108</v>
      </c>
      <c r="D71" s="29"/>
      <c r="E71" s="30"/>
      <c r="F71" s="31"/>
      <c r="G71" s="32" t="s">
        <v>16</v>
      </c>
      <c r="H71" s="32" t="s">
        <v>16</v>
      </c>
      <c r="I71" s="33"/>
      <c r="J71" s="33"/>
      <c r="K71" s="34"/>
    </row>
    <row r="72" spans="1:11" x14ac:dyDescent="0.3">
      <c r="A72" s="36"/>
      <c r="B72" s="36"/>
      <c r="C72" s="28"/>
      <c r="D72" s="29"/>
      <c r="E72" s="30"/>
      <c r="F72" s="31"/>
      <c r="G72" s="32"/>
      <c r="H72" s="32"/>
      <c r="I72" s="33"/>
      <c r="J72" s="33"/>
      <c r="K72" s="34"/>
    </row>
    <row r="73" spans="1:11" x14ac:dyDescent="0.3">
      <c r="A73" s="36"/>
      <c r="B73" s="36"/>
      <c r="C73" s="28" t="s">
        <v>109</v>
      </c>
      <c r="D73" s="29"/>
      <c r="E73" s="30"/>
      <c r="F73" s="31"/>
      <c r="G73" s="32" t="s">
        <v>16</v>
      </c>
      <c r="H73" s="32" t="s">
        <v>16</v>
      </c>
      <c r="I73" s="33"/>
      <c r="J73" s="33"/>
      <c r="K73" s="34"/>
    </row>
    <row r="74" spans="1:11" x14ac:dyDescent="0.3">
      <c r="A74" s="36"/>
      <c r="B74" s="36"/>
      <c r="C74" s="28"/>
      <c r="D74" s="29"/>
      <c r="E74" s="30"/>
      <c r="F74" s="31"/>
      <c r="G74" s="32"/>
      <c r="H74" s="32"/>
      <c r="I74" s="33"/>
      <c r="J74" s="33"/>
      <c r="K74" s="34"/>
    </row>
    <row r="75" spans="1:11" x14ac:dyDescent="0.3">
      <c r="C75" s="37" t="s">
        <v>110</v>
      </c>
      <c r="D75" s="29"/>
      <c r="E75" s="30"/>
      <c r="F75" s="31"/>
      <c r="G75" s="32"/>
      <c r="H75" s="32"/>
      <c r="I75" s="33"/>
      <c r="J75" s="33"/>
      <c r="K75" s="34"/>
    </row>
    <row r="76" spans="1:11" x14ac:dyDescent="0.3">
      <c r="B76" s="1" t="s">
        <v>111</v>
      </c>
      <c r="C76" s="21" t="s">
        <v>112</v>
      </c>
      <c r="D76" s="29"/>
      <c r="E76" s="30"/>
      <c r="F76" s="31"/>
      <c r="G76" s="32">
        <v>2294.12</v>
      </c>
      <c r="H76" s="32">
        <v>10.17</v>
      </c>
      <c r="I76" s="33">
        <v>6.79</v>
      </c>
      <c r="J76" s="33"/>
      <c r="K76" s="34"/>
    </row>
    <row r="77" spans="1:11" x14ac:dyDescent="0.3">
      <c r="C77" s="28" t="s">
        <v>82</v>
      </c>
      <c r="D77" s="29"/>
      <c r="E77" s="30"/>
      <c r="F77" s="31"/>
      <c r="G77" s="38">
        <v>2294.12</v>
      </c>
      <c r="H77" s="38">
        <v>10.17</v>
      </c>
      <c r="I77" s="33"/>
      <c r="J77" s="33"/>
      <c r="K77" s="34"/>
    </row>
    <row r="78" spans="1:11" x14ac:dyDescent="0.3">
      <c r="C78" s="21"/>
      <c r="D78" s="29"/>
      <c r="E78" s="30"/>
      <c r="F78" s="31"/>
      <c r="G78" s="32"/>
      <c r="H78" s="32"/>
      <c r="I78" s="33"/>
      <c r="J78" s="33"/>
      <c r="K78" s="34"/>
    </row>
    <row r="79" spans="1:11" x14ac:dyDescent="0.3">
      <c r="A79" s="35"/>
      <c r="B79" s="36"/>
      <c r="C79" s="28" t="s">
        <v>113</v>
      </c>
      <c r="D79" s="29"/>
      <c r="E79" s="30"/>
      <c r="F79" s="31"/>
      <c r="G79" s="32"/>
      <c r="H79" s="32"/>
      <c r="I79" s="33"/>
      <c r="J79" s="33"/>
      <c r="K79" s="34"/>
    </row>
    <row r="80" spans="1:11" x14ac:dyDescent="0.3">
      <c r="B80" s="1"/>
      <c r="C80" s="21" t="s">
        <v>114</v>
      </c>
      <c r="D80" s="29"/>
      <c r="E80" s="30"/>
      <c r="F80" s="31"/>
      <c r="G80" s="32">
        <v>-1374.98</v>
      </c>
      <c r="H80" s="32">
        <v>-6.08</v>
      </c>
      <c r="I80" s="33"/>
      <c r="J80" s="33"/>
      <c r="K80" s="34"/>
    </row>
    <row r="81" spans="3:55" x14ac:dyDescent="0.3">
      <c r="C81" s="28" t="s">
        <v>82</v>
      </c>
      <c r="D81" s="29"/>
      <c r="E81" s="30"/>
      <c r="F81" s="31"/>
      <c r="G81" s="38">
        <v>-1374.98</v>
      </c>
      <c r="H81" s="38">
        <v>-6.08</v>
      </c>
      <c r="I81" s="33"/>
      <c r="J81" s="33"/>
      <c r="K81" s="34"/>
    </row>
    <row r="82" spans="3:55" x14ac:dyDescent="0.3">
      <c r="C82" s="21"/>
      <c r="D82" s="29"/>
      <c r="E82" s="30"/>
      <c r="F82" s="31"/>
      <c r="G82" s="32"/>
      <c r="H82" s="32"/>
      <c r="I82" s="33"/>
      <c r="J82" s="33"/>
      <c r="K82" s="34"/>
    </row>
    <row r="83" spans="3:55" ht="14.4" thickBot="1" x14ac:dyDescent="0.35">
      <c r="C83" s="39" t="s">
        <v>115</v>
      </c>
      <c r="D83" s="40"/>
      <c r="E83" s="41"/>
      <c r="F83" s="42"/>
      <c r="G83" s="43">
        <v>22563.35</v>
      </c>
      <c r="H83" s="43">
        <f>SUMIFS(H:H,C:C,"Total")</f>
        <v>99.999999999999986</v>
      </c>
      <c r="I83" s="44"/>
      <c r="J83" s="44"/>
      <c r="K83" s="45"/>
    </row>
    <row r="86" spans="3:55" x14ac:dyDescent="0.3">
      <c r="C86" s="11" t="s">
        <v>116</v>
      </c>
    </row>
    <row r="87" spans="3:55" x14ac:dyDescent="0.3">
      <c r="C87" s="2" t="s">
        <v>117</v>
      </c>
    </row>
    <row r="88" spans="3:55" x14ac:dyDescent="0.3">
      <c r="C88" s="46" t="s">
        <v>118</v>
      </c>
    </row>
    <row r="89" spans="3:55" x14ac:dyDescent="0.3">
      <c r="C89" s="2" t="s">
        <v>119</v>
      </c>
    </row>
    <row r="90" spans="3:55" x14ac:dyDescent="0.3">
      <c r="C90" s="2" t="s">
        <v>120</v>
      </c>
    </row>
    <row r="91" spans="3:55" x14ac:dyDescent="0.3">
      <c r="C91" s="2" t="s">
        <v>121</v>
      </c>
      <c r="D91" s="47"/>
      <c r="E91" s="47"/>
      <c r="F91" s="47"/>
      <c r="G91" s="48"/>
      <c r="H91" s="48"/>
    </row>
    <row r="92" spans="3:55" x14ac:dyDescent="0.3">
      <c r="C92" s="2" t="s">
        <v>122</v>
      </c>
    </row>
    <row r="93" spans="3:55" x14ac:dyDescent="0.3">
      <c r="C93" s="2" t="s">
        <v>123</v>
      </c>
    </row>
    <row r="94" spans="3:55" x14ac:dyDescent="0.3">
      <c r="C94" s="2" t="s">
        <v>124</v>
      </c>
    </row>
    <row r="95" spans="3:55" x14ac:dyDescent="0.3">
      <c r="C95" s="2" t="s">
        <v>125</v>
      </c>
    </row>
    <row r="96" spans="3:55" s="11" customFormat="1" x14ac:dyDescent="0.3">
      <c r="C96" s="11" t="s">
        <v>126</v>
      </c>
      <c r="E96" s="11" t="s">
        <v>168</v>
      </c>
      <c r="F96" s="49" t="s">
        <v>128</v>
      </c>
      <c r="G96" s="50"/>
      <c r="H96" s="50"/>
      <c r="I96" s="50"/>
      <c r="J96" s="50"/>
      <c r="K96" s="51"/>
      <c r="L96" s="51"/>
      <c r="M96" s="51"/>
      <c r="AJ96" s="51"/>
      <c r="AW96" s="51"/>
      <c r="AY96" s="51"/>
      <c r="BC96" s="51"/>
    </row>
    <row r="97" spans="3:6" x14ac:dyDescent="0.3">
      <c r="C97" s="2" t="s">
        <v>129</v>
      </c>
      <c r="E97" s="52">
        <v>10.105499999999999</v>
      </c>
      <c r="F97" s="53">
        <v>10.1625</v>
      </c>
    </row>
    <row r="98" spans="3:6" x14ac:dyDescent="0.3">
      <c r="C98" s="2" t="s">
        <v>130</v>
      </c>
      <c r="E98" s="52">
        <v>24.681000000000001</v>
      </c>
      <c r="F98" s="53">
        <v>25.561599999999999</v>
      </c>
    </row>
    <row r="99" spans="3:6" x14ac:dyDescent="0.3">
      <c r="C99" s="2" t="s">
        <v>131</v>
      </c>
      <c r="E99" s="52">
        <v>10.4849</v>
      </c>
      <c r="F99" s="53">
        <v>10.538</v>
      </c>
    </row>
    <row r="100" spans="3:6" x14ac:dyDescent="0.3">
      <c r="C100" s="2" t="s">
        <v>132</v>
      </c>
      <c r="E100" s="52">
        <v>10.136699999999999</v>
      </c>
      <c r="F100" s="53">
        <v>10.229900000000001</v>
      </c>
    </row>
    <row r="101" spans="3:6" x14ac:dyDescent="0.3">
      <c r="C101" s="2" t="s">
        <v>133</v>
      </c>
      <c r="E101" s="52">
        <v>26.385300000000001</v>
      </c>
      <c r="F101" s="53">
        <v>27.419699999999999</v>
      </c>
    </row>
    <row r="102" spans="3:6" x14ac:dyDescent="0.3">
      <c r="C102" s="2" t="s">
        <v>134</v>
      </c>
      <c r="E102" s="52">
        <v>10.889200000000001</v>
      </c>
      <c r="F102" s="53">
        <v>10.9732</v>
      </c>
    </row>
    <row r="104" spans="3:6" x14ac:dyDescent="0.3">
      <c r="C104" s="2" t="s">
        <v>169</v>
      </c>
      <c r="E104" s="11" t="s">
        <v>136</v>
      </c>
      <c r="F104" s="49" t="s">
        <v>137</v>
      </c>
    </row>
    <row r="105" spans="3:6" x14ac:dyDescent="0.3">
      <c r="C105" s="2" t="s">
        <v>129</v>
      </c>
      <c r="E105" s="52">
        <v>0.3</v>
      </c>
      <c r="F105" s="53">
        <v>0.3</v>
      </c>
    </row>
    <row r="106" spans="3:6" x14ac:dyDescent="0.3">
      <c r="C106" s="2" t="s">
        <v>131</v>
      </c>
      <c r="E106" s="52">
        <v>0.32</v>
      </c>
      <c r="F106" s="53">
        <v>0.32</v>
      </c>
    </row>
    <row r="107" spans="3:6" x14ac:dyDescent="0.3">
      <c r="C107" s="2" t="s">
        <v>132</v>
      </c>
      <c r="E107" s="52">
        <v>0.3</v>
      </c>
      <c r="F107" s="53">
        <v>0.3</v>
      </c>
    </row>
    <row r="108" spans="3:6" x14ac:dyDescent="0.3">
      <c r="C108" s="2" t="s">
        <v>134</v>
      </c>
      <c r="E108" s="52">
        <v>0.34</v>
      </c>
      <c r="F108" s="53">
        <v>0.34</v>
      </c>
    </row>
    <row r="110" spans="3:6" x14ac:dyDescent="0.3">
      <c r="C110" s="2" t="s">
        <v>170</v>
      </c>
    </row>
    <row r="111" spans="3:6" x14ac:dyDescent="0.3">
      <c r="C111" s="2" t="s">
        <v>139</v>
      </c>
    </row>
    <row r="112" spans="3:6" x14ac:dyDescent="0.3">
      <c r="C112" s="2" t="s">
        <v>140</v>
      </c>
    </row>
    <row r="113" spans="3:55" x14ac:dyDescent="0.3">
      <c r="C113" s="2" t="s">
        <v>171</v>
      </c>
    </row>
    <row r="114" spans="3:55" x14ac:dyDescent="0.3">
      <c r="C114" s="2" t="s">
        <v>142</v>
      </c>
    </row>
    <row r="115" spans="3:55" x14ac:dyDescent="0.3">
      <c r="C115" s="2" t="s">
        <v>172</v>
      </c>
    </row>
    <row r="116" spans="3:55" x14ac:dyDescent="0.3">
      <c r="C116" s="2" t="s">
        <v>144</v>
      </c>
    </row>
    <row r="117" spans="3:55" x14ac:dyDescent="0.3">
      <c r="C117" s="2" t="s">
        <v>145</v>
      </c>
    </row>
    <row r="118" spans="3:55" x14ac:dyDescent="0.3">
      <c r="C118" s="2" t="s">
        <v>173</v>
      </c>
    </row>
    <row r="119" spans="3:55" x14ac:dyDescent="0.3">
      <c r="C119" s="2" t="s">
        <v>147</v>
      </c>
    </row>
    <row r="120" spans="3:55" x14ac:dyDescent="0.3">
      <c r="C120" s="2" t="s">
        <v>148</v>
      </c>
    </row>
    <row r="121" spans="3:55" x14ac:dyDescent="0.3">
      <c r="C121" s="2" t="s">
        <v>174</v>
      </c>
    </row>
    <row r="122" spans="3:55" ht="14.4" x14ac:dyDescent="0.3">
      <c r="C122" s="2" t="s">
        <v>150</v>
      </c>
      <c r="D122" s="54"/>
      <c r="E122" s="55"/>
      <c r="F122" s="55"/>
      <c r="G122" s="55"/>
      <c r="H122" s="55"/>
      <c r="I122" s="55"/>
      <c r="J122" s="55"/>
      <c r="K122" s="55"/>
    </row>
    <row r="123" spans="3:55" ht="14.4" x14ac:dyDescent="0.3">
      <c r="C123" s="2" t="s">
        <v>151</v>
      </c>
      <c r="D123" s="55"/>
      <c r="E123" s="55"/>
      <c r="F123" s="55"/>
      <c r="G123" s="55"/>
      <c r="H123" s="55"/>
      <c r="I123" s="55"/>
      <c r="J123" s="55"/>
      <c r="K123" s="55"/>
    </row>
    <row r="124" spans="3:55" ht="31.5" customHeight="1" x14ac:dyDescent="0.3">
      <c r="C124" s="81" t="s">
        <v>175</v>
      </c>
      <c r="D124" s="81"/>
      <c r="E124" s="81"/>
      <c r="F124" s="81"/>
      <c r="G124" s="81"/>
      <c r="H124" s="81"/>
      <c r="I124" s="81"/>
      <c r="J124" s="81"/>
      <c r="K124" s="81"/>
      <c r="L124" s="2"/>
      <c r="M124" s="2"/>
      <c r="AD124" s="10"/>
      <c r="AJ124" s="2"/>
      <c r="AQ124" s="10"/>
      <c r="AS124" s="10"/>
      <c r="AY124" s="2"/>
      <c r="BC124" s="2"/>
    </row>
    <row r="150" spans="3:6" ht="14.4" thickBot="1" x14ac:dyDescent="0.35"/>
    <row r="151" spans="3:6" ht="15" thickBot="1" x14ac:dyDescent="0.35">
      <c r="C151" s="65" t="s">
        <v>152</v>
      </c>
      <c r="D151" s="66"/>
      <c r="E151" s="66"/>
      <c r="F151" s="67"/>
    </row>
    <row r="152" spans="3:6" ht="15" thickBot="1" x14ac:dyDescent="0.35">
      <c r="C152" s="56" t="s">
        <v>153</v>
      </c>
      <c r="D152" s="68" t="s">
        <v>154</v>
      </c>
      <c r="E152" s="68" t="s">
        <v>155</v>
      </c>
      <c r="F152" s="68" t="s">
        <v>156</v>
      </c>
    </row>
    <row r="153" spans="3:6" ht="15" thickBot="1" x14ac:dyDescent="0.35">
      <c r="C153" s="56" t="s">
        <v>157</v>
      </c>
      <c r="D153" s="69"/>
      <c r="E153" s="69"/>
      <c r="F153" s="69"/>
    </row>
    <row r="154" spans="3:6" ht="15" thickBot="1" x14ac:dyDescent="0.35">
      <c r="C154" s="57" t="s">
        <v>158</v>
      </c>
      <c r="D154" s="58"/>
      <c r="E154" s="59"/>
      <c r="F154" s="59"/>
    </row>
    <row r="155" spans="3:6" ht="14.4" x14ac:dyDescent="0.3">
      <c r="C155" s="60" t="s">
        <v>159</v>
      </c>
      <c r="D155"/>
      <c r="E155" s="70" t="s">
        <v>160</v>
      </c>
      <c r="F155" s="63"/>
    </row>
    <row r="156" spans="3:6" ht="15" thickBot="1" x14ac:dyDescent="0.35">
      <c r="C156" s="57" t="s">
        <v>161</v>
      </c>
      <c r="D156"/>
      <c r="E156" s="71"/>
      <c r="F156" s="64"/>
    </row>
    <row r="157" spans="3:6" ht="14.4" x14ac:dyDescent="0.3">
      <c r="C157" s="60" t="s">
        <v>162</v>
      </c>
      <c r="D157" s="63"/>
      <c r="E157" s="63"/>
      <c r="F157" s="63"/>
    </row>
    <row r="158" spans="3:6" ht="15" thickBot="1" x14ac:dyDescent="0.35">
      <c r="C158" s="57" t="s">
        <v>163</v>
      </c>
      <c r="D158" s="64"/>
      <c r="E158" s="64"/>
      <c r="F158" s="64"/>
    </row>
    <row r="159" spans="3:6" ht="14.4" x14ac:dyDescent="0.35">
      <c r="C159" s="61" t="s">
        <v>164</v>
      </c>
      <c r="D159" s="62"/>
      <c r="E159" s="62"/>
      <c r="F159" s="62"/>
    </row>
    <row r="160" spans="3:6" ht="14.4" x14ac:dyDescent="0.3">
      <c r="C160" s="2" t="s">
        <v>165</v>
      </c>
      <c r="D160"/>
      <c r="E160"/>
      <c r="F160"/>
    </row>
  </sheetData>
  <mergeCells count="12">
    <mergeCell ref="C3:K4"/>
    <mergeCell ref="C6:K6"/>
    <mergeCell ref="C124:K124"/>
    <mergeCell ref="C151:F151"/>
    <mergeCell ref="D152:D153"/>
    <mergeCell ref="E152:E153"/>
    <mergeCell ref="F152:F153"/>
    <mergeCell ref="E155:E156"/>
    <mergeCell ref="F155:F156"/>
    <mergeCell ref="D157:D158"/>
    <mergeCell ref="E157:E158"/>
    <mergeCell ref="F157:F15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56</vt:i4>
      </vt:variant>
    </vt:vector>
  </HeadingPairs>
  <TitlesOfParts>
    <vt:vector size="58" baseType="lpstr">
      <vt:lpstr>Monthly portfolio</vt:lpstr>
      <vt:lpstr>Half Yearly Portfolio</vt:lpstr>
      <vt:lpstr>XDO_?CLASS_3?21?</vt:lpstr>
      <vt:lpstr>XDO_?FINAL_ISIN?105?</vt:lpstr>
      <vt:lpstr>XDO_?FINAL_ISIN?106?</vt:lpstr>
      <vt:lpstr>XDO_?FINAL_ISIN?107?</vt:lpstr>
      <vt:lpstr>XDO_?FINAL_ISIN?108?</vt:lpstr>
      <vt:lpstr>XDO_?FINAL_ISIN?109?</vt:lpstr>
      <vt:lpstr>XDO_?FINAL_MV?105?</vt:lpstr>
      <vt:lpstr>XDO_?FINAL_MV?106?</vt:lpstr>
      <vt:lpstr>XDO_?FINAL_MV?107?</vt:lpstr>
      <vt:lpstr>XDO_?FINAL_MV?108?</vt:lpstr>
      <vt:lpstr>XDO_?FINAL_MV?109?</vt:lpstr>
      <vt:lpstr>XDO_?FINAL_NAME?105?</vt:lpstr>
      <vt:lpstr>XDO_?FINAL_NAME?106?</vt:lpstr>
      <vt:lpstr>XDO_?FINAL_NAME?107?</vt:lpstr>
      <vt:lpstr>XDO_?FINAL_NAME?108?</vt:lpstr>
      <vt:lpstr>XDO_?FINAL_NAME?109?</vt:lpstr>
      <vt:lpstr>XDO_?FINAL_PER_NET?105?</vt:lpstr>
      <vt:lpstr>XDO_?FINAL_PER_NET?106?</vt:lpstr>
      <vt:lpstr>XDO_?FINAL_PER_NET?107?</vt:lpstr>
      <vt:lpstr>XDO_?FINAL_PER_NET?108?</vt:lpstr>
      <vt:lpstr>XDO_?FINAL_PER_NET?109?</vt:lpstr>
      <vt:lpstr>XDO_?FINAL_QUANTITE?105?</vt:lpstr>
      <vt:lpstr>XDO_?FINAL_QUANTITE?106?</vt:lpstr>
      <vt:lpstr>XDO_?FINAL_QUANTITE?107?</vt:lpstr>
      <vt:lpstr>XDO_?FINAL_QUANTITE?108?</vt:lpstr>
      <vt:lpstr>XDO_?FINAL_QUANTITE?109?</vt:lpstr>
      <vt:lpstr>XDO_?NAMCNAME?21?</vt:lpstr>
      <vt:lpstr>XDO_?NOVAL?105?</vt:lpstr>
      <vt:lpstr>XDO_?NOVAL?106?</vt:lpstr>
      <vt:lpstr>XDO_?NOVAL?107?</vt:lpstr>
      <vt:lpstr>XDO_?NOVAL?108?</vt:lpstr>
      <vt:lpstr>XDO_?NOVAL?109?</vt:lpstr>
      <vt:lpstr>XDO_?NPTF?21?</vt:lpstr>
      <vt:lpstr>XDO_?RATING?105?</vt:lpstr>
      <vt:lpstr>XDO_?RATING?106?</vt:lpstr>
      <vt:lpstr>XDO_?RATING?107?</vt:lpstr>
      <vt:lpstr>XDO_?RATING?108?</vt:lpstr>
      <vt:lpstr>XDO_?RATING?109?</vt:lpstr>
      <vt:lpstr>XDO_?REMARKS?105?</vt:lpstr>
      <vt:lpstr>XDO_?REMARKS?106?</vt:lpstr>
      <vt:lpstr>XDO_?REMARKS?107?</vt:lpstr>
      <vt:lpstr>XDO_?REMARKS?108?</vt:lpstr>
      <vt:lpstr>XDO_?REMARKS?109?</vt:lpstr>
      <vt:lpstr>XDO_?TITL?21?</vt:lpstr>
      <vt:lpstr>XDO_?YTM?105?</vt:lpstr>
      <vt:lpstr>XDO_?YTM?106?</vt:lpstr>
      <vt:lpstr>XDO_?YTM?107?</vt:lpstr>
      <vt:lpstr>XDO_?YTM?108?</vt:lpstr>
      <vt:lpstr>XDO_?YTM?109?</vt:lpstr>
      <vt:lpstr>XDO_GROUP_?G_2?21?</vt:lpstr>
      <vt:lpstr>XDO_GROUP_?G_3?21?</vt:lpstr>
      <vt:lpstr>XDO_GROUP_?G_4?105?</vt:lpstr>
      <vt:lpstr>XDO_GROUP_?G_4?106?</vt:lpstr>
      <vt:lpstr>XDO_GROUP_?G_4?107?</vt:lpstr>
      <vt:lpstr>XDO_GROUP_?G_4?108?</vt:lpstr>
      <vt:lpstr>XDO_GROUP_?G_4?109?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2023-10-05T12:54:19Z</dcterms:created>
  <dcterms:modified xsi:type="dcterms:W3CDTF">2023-10-09T10:28:02Z</dcterms:modified>
</cp:coreProperties>
</file>