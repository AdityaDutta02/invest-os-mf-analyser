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7DFD4F31-7FAE-4285-A29B-C150A6C7A232}" xr6:coauthVersionLast="47" xr6:coauthVersionMax="47" xr10:uidLastSave="{00000000-0000-0000-0000-000000000000}"/>
  <bookViews>
    <workbookView xWindow="-108" yWindow="-108" windowWidth="23256" windowHeight="12456" xr2:uid="{E46F90AB-B558-4ACC-B9BC-6F824050301D}"/>
  </bookViews>
  <sheets>
    <sheet name="T0MD28" sheetId="1" r:id="rId1"/>
  </sheets>
  <definedNames>
    <definedName name="JR_PAGE_ANCHOR_0_36">#REF!</definedName>
    <definedName name="JR_PAGE_ANCHOR_0_40">#REF!</definedName>
    <definedName name="JR_PAGE_ANCHOR_0_44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E29" i="1"/>
  <c r="E28" i="1"/>
  <c r="E27" i="1"/>
  <c r="E30" i="1" s="1"/>
</calcChain>
</file>

<file path=xl/sharedStrings.xml><?xml version="1.0" encoding="utf-8"?>
<sst xmlns="http://schemas.openxmlformats.org/spreadsheetml/2006/main" count="64" uniqueCount="44">
  <si>
    <t>Baroda BNP Paribas NIFTY SDL December 2028 Index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</si>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</sst>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BB049B78-15A4-42B7-AA91-D9B911C1DE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2708148</xdr:colOff>
      <xdr:row>50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A6951-6095-4F57-8C3F-38AF971CB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426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3855720</xdr:colOff>
      <xdr:row>65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126A77-E996-459A-82BA-7232A7B50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34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CE89-BD79-4160-A9D0-79D7A34C0BA2}">
  <sheetPr codeName="Sheet6">
    <outlinePr summaryBelow="0"/>
  </sheetPr>
  <dimension ref="A1:J69"/>
  <sheetViews>
    <sheetView tabSelected="1" workbookViewId="0">
      <selection activeCell="D42" sqref="D4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1162700</v>
      </c>
      <c r="F7" s="16">
        <v>1211.78</v>
      </c>
      <c r="G7" s="17">
        <v>0.41310000000000002</v>
      </c>
      <c r="H7" s="18">
        <v>6.5166000000000002E-2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810000</v>
      </c>
      <c r="F8" s="16">
        <v>844.19</v>
      </c>
      <c r="G8" s="17">
        <v>0.2878</v>
      </c>
      <c r="H8" s="18">
        <v>6.5166000000000002E-2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425000</v>
      </c>
      <c r="F9" s="16">
        <v>442.94</v>
      </c>
      <c r="G9" s="17">
        <v>0.151</v>
      </c>
      <c r="H9" s="18">
        <v>6.5166000000000002E-2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255000</v>
      </c>
      <c r="F10" s="16">
        <v>265.76</v>
      </c>
      <c r="G10" s="17">
        <v>9.06E-2</v>
      </c>
      <c r="H10" s="18">
        <v>6.5166000000000002E-2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2764.67</v>
      </c>
      <c r="G11" s="23">
        <v>0.9425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2764.67</v>
      </c>
      <c r="G14" s="23">
        <v>0.9425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130.32</v>
      </c>
      <c r="G16" s="17">
        <v>4.4400000000000002E-2</v>
      </c>
      <c r="H16" s="18">
        <v>4.9305190929481137E-2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130.32</v>
      </c>
      <c r="G17" s="23">
        <v>4.4400000000000002E-2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130.32</v>
      </c>
      <c r="G20" s="23">
        <v>4.4400000000000002E-2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38.21</v>
      </c>
      <c r="G21" s="23">
        <v>1.3100000000000001E-2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2933.2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41"/>
      <c r="C24" s="41"/>
      <c r="D24" s="41"/>
      <c r="E24" s="41"/>
      <c r="F24" s="41"/>
      <c r="G24" s="41"/>
      <c r="H24" s="41"/>
      <c r="I24" s="1"/>
      <c r="J24" s="1"/>
    </row>
    <row r="25" spans="1:10" ht="13.05" customHeight="1" thickBot="1">
      <c r="A25" s="1"/>
      <c r="B25" s="41"/>
      <c r="C25" s="41"/>
      <c r="D25" s="41"/>
      <c r="E25" s="41"/>
      <c r="F25" s="41"/>
      <c r="G25" s="41"/>
      <c r="H25" s="41"/>
      <c r="I25" s="1"/>
      <c r="J25" s="1"/>
    </row>
    <row r="26" spans="1:10" ht="13.05" customHeight="1">
      <c r="A26" s="1"/>
      <c r="B26" s="32" t="s">
        <v>34</v>
      </c>
      <c r="C26" s="33" t="s">
        <v>35</v>
      </c>
      <c r="D26" s="33" t="s">
        <v>36</v>
      </c>
      <c r="E26" s="34" t="s">
        <v>37</v>
      </c>
      <c r="F26" s="2"/>
      <c r="G26" s="2"/>
      <c r="H26" s="2"/>
      <c r="I26" s="1"/>
      <c r="J26" s="1"/>
    </row>
    <row r="27" spans="1:10" ht="13.05" customHeight="1">
      <c r="A27" s="1"/>
      <c r="B27" s="35" t="s">
        <v>38</v>
      </c>
      <c r="C27" s="36">
        <v>0</v>
      </c>
      <c r="D27" s="36">
        <v>0</v>
      </c>
      <c r="E27" s="37">
        <f>MIN(C27:D27)</f>
        <v>0</v>
      </c>
      <c r="F27" s="2"/>
      <c r="G27" s="2"/>
      <c r="H27" s="2"/>
      <c r="I27" s="1"/>
      <c r="J27" s="1"/>
    </row>
    <row r="28" spans="1:10" ht="13.05" customHeight="1">
      <c r="A28" s="1"/>
      <c r="B28" s="35" t="s">
        <v>39</v>
      </c>
      <c r="C28" s="36">
        <v>1</v>
      </c>
      <c r="D28" s="36">
        <v>0.9425</v>
      </c>
      <c r="E28" s="37">
        <f t="shared" ref="E28:E29" si="0">MIN(C28:D28)</f>
        <v>0.9425</v>
      </c>
      <c r="F28" s="2"/>
      <c r="G28" s="2"/>
      <c r="H28" s="2"/>
      <c r="I28" s="1"/>
      <c r="J28" s="1"/>
    </row>
    <row r="29" spans="1:10" ht="13.05" customHeight="1">
      <c r="A29" s="1"/>
      <c r="B29" s="35" t="s">
        <v>40</v>
      </c>
      <c r="C29" s="36">
        <v>0</v>
      </c>
      <c r="D29" s="36">
        <v>5.7500000000000002E-2</v>
      </c>
      <c r="E29" s="37">
        <f t="shared" si="0"/>
        <v>0</v>
      </c>
      <c r="F29" s="2"/>
      <c r="G29" s="2"/>
      <c r="H29" s="2"/>
      <c r="I29" s="1"/>
      <c r="J29" s="1"/>
    </row>
    <row r="30" spans="1:10" ht="13.05" customHeight="1" thickBot="1">
      <c r="A30" s="1"/>
      <c r="B30" s="38" t="s">
        <v>27</v>
      </c>
      <c r="C30" s="39">
        <f t="shared" ref="C30" si="1">SUM(C27:C29)</f>
        <v>1</v>
      </c>
      <c r="D30" s="39">
        <f>SUM(D27:D29)</f>
        <v>1</v>
      </c>
      <c r="E30" s="40">
        <f t="shared" ref="E30" si="2">SUM(E27:E29)</f>
        <v>0.9425</v>
      </c>
      <c r="F30" s="2"/>
      <c r="G30" s="2"/>
      <c r="H30" s="2"/>
      <c r="I30" s="1"/>
      <c r="J30" s="1"/>
    </row>
    <row r="31" spans="1:10" ht="13.05" customHeight="1">
      <c r="A31" s="1"/>
      <c r="B31" s="2" t="s">
        <v>31</v>
      </c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</row>
    <row r="33" spans="1:10" ht="25.95" customHeight="1">
      <c r="A33" s="1"/>
      <c r="B33" s="41" t="s">
        <v>42</v>
      </c>
      <c r="C33" s="41"/>
      <c r="D33" s="41"/>
      <c r="E33" s="41"/>
      <c r="F33" s="41"/>
      <c r="G33" s="41"/>
      <c r="H33" s="41"/>
      <c r="I33" s="1"/>
      <c r="J33" s="1"/>
    </row>
    <row r="69" spans="2:2">
      <c r="B69" t="s">
        <v>43</v>
      </c>
    </row>
  </sheetData>
  <mergeCells count="3">
    <mergeCell ref="B24:H24"/>
    <mergeCell ref="B25:H25"/>
    <mergeCell ref="B33:H3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2026-03-07T06:39:46Z</dcterms:created>
  <dcterms:modified xsi:type="dcterms:W3CDTF">2026-03-09T09:29:54Z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2026-03-07T06:39:47Z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120f5c8d-1f64-4d32-b91e-f141ea75e844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