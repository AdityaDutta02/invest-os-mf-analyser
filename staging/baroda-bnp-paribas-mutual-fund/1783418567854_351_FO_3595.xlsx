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FO" sheetId="1" r:id="rId1"/>
  </sheets>
  <externalReferences>
    <externalReference r:id="rId2"/>
  </externalReferences>
  <definedNames>
    <definedName name="XDO_?CLASS_3?13?">FO!$C$8:$C$34</definedName>
    <definedName name="XDO_?FINAL_ISIN?63?">FO!$D$10:$D$34</definedName>
    <definedName name="XDO_?FINAL_ISIN?64?">FO!$D$10:$D$73</definedName>
    <definedName name="XDO_?FINAL_ISIN?65?">FO!$D$10:$D$77</definedName>
    <definedName name="XDO_?FINAL_MV?63?">FO!$G$10:$G$34</definedName>
    <definedName name="XDO_?FINAL_MV?64?">FO!$G$10:$G$73</definedName>
    <definedName name="XDO_?FINAL_MV?65?">FO!$G$10:$G$77</definedName>
    <definedName name="XDO_?FINAL_NAME?63?">FO!$C$10:$C$34</definedName>
    <definedName name="XDO_?FINAL_NAME?64?">FO!$C$10:$C$73</definedName>
    <definedName name="XDO_?FINAL_NAME?65?">FO!$C$10:$C$77</definedName>
    <definedName name="XDO_?FINAL_PER_NET?63?">FO!$H$10:$H$34</definedName>
    <definedName name="XDO_?FINAL_PER_NET?64?">FO!$H$10:$H$73</definedName>
    <definedName name="XDO_?FINAL_PER_NET?65?">FO!$H$10:$H$77</definedName>
    <definedName name="XDO_?FINAL_QUANTITE?63?">FO!$F$10:$F$34</definedName>
    <definedName name="XDO_?FINAL_QUANTITE?64?">FO!$F$10:$F$73</definedName>
    <definedName name="XDO_?FINAL_QUANTITE?65?">FO!$F$10:$F$77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3?">FO!$C$2:$C$34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3?">FO!$B$10:$B$34</definedName>
    <definedName name="XDO_?NOVAL?64?">FO!$B$10:$B$73</definedName>
    <definedName name="XDO_?NOVAL?65?">FO!$B$10:$B$77</definedName>
    <definedName name="XDO_?NPTF?13?">FO!$D$2:$D$34</definedName>
    <definedName name="XDO_?RATING?63?">FO!$E$10:$E$34</definedName>
    <definedName name="XDO_?RATING?64?">FO!$E$10:$E$73</definedName>
    <definedName name="XDO_?RATING?65?">FO!$E$10:$E$77</definedName>
    <definedName name="XDO_?REMARKS?63?">FO!$K$10:$K$34</definedName>
    <definedName name="XDO_?REMARKS?64?">FO!$K$10:$K$73</definedName>
    <definedName name="XDO_?REMARKS?65?">FO!$K$10:$K$77</definedName>
    <definedName name="XDO_?TITL?13?">FO!$A$8:$A$34</definedName>
    <definedName name="XDO_?YTM?63?">FO!$I$10:$I$34</definedName>
    <definedName name="XDO_?YTM?64?">FO!$I$10:$I$73</definedName>
    <definedName name="XDO_?YTM?65?">FO!$I$10:$I$77</definedName>
    <definedName name="XDO_GROUP_?G_2?13?">FO!$2:$45</definedName>
    <definedName name="XDO_GROUP_?G_3?13?">FO!$8:$44</definedName>
    <definedName name="XDO_GROUP_?G_4?41?">[1]TA!#REF!</definedName>
    <definedName name="XDO_GROUP_?G_4?63?">FO!$B$10:$IV$34</definedName>
    <definedName name="XDO_GROUP_?G_4?64?">FO!$B$39:$IV$39</definedName>
    <definedName name="XDO_GROUP_?G_4?65?">FO!$B$42:$IV$42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" l="1"/>
</calcChain>
</file>

<file path=xl/sharedStrings.xml><?xml version="1.0" encoding="utf-8"?>
<sst xmlns="http://schemas.openxmlformats.org/spreadsheetml/2006/main" count="236" uniqueCount="191">
  <si>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</si>
  <si>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</si>
  <si>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</si>
  <si>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</si>
  <si>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</si>
  <si>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</si>
  <si>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</si>
  <si>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</si>
  <si>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</si>
  <si>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</si>
  <si>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</si>
  <si>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</si>
  <si>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</si>
  <si>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</si>
  <si>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</si>
  <si>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</si>
  <si>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</si>
  <si>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</si>
  <si>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</si>
  <si>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</si>
  <si>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</si>
  <si>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</si>
  <si>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</si>
  <si>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</si>
  <si>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</si>
  <si>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</si>
  <si>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</si>
  <si>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</si>
  <si>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100843</t>
  </si>
  <si>
    <t>Dalmia Bharat Ltd.</t>
  </si>
  <si>
    <t>INE00R701025</t>
  </si>
  <si>
    <t>Cement &amp; Cement Products</t>
  </si>
  <si>
    <t>100013</t>
  </si>
  <si>
    <t>IndusInd Bank Ltd.</t>
  </si>
  <si>
    <t>INE095A01012</t>
  </si>
  <si>
    <t>101313</t>
  </si>
  <si>
    <t>Zomato Ltd.</t>
  </si>
  <si>
    <t>INE758T01015</t>
  </si>
  <si>
    <t>Retailing</t>
  </si>
  <si>
    <t>100164</t>
  </si>
  <si>
    <t>Petronet LNG Ltd.</t>
  </si>
  <si>
    <t>INE347G01014</t>
  </si>
  <si>
    <t>Gas</t>
  </si>
  <si>
    <t>100004</t>
  </si>
  <si>
    <t>Zydus Lifesciences Ltd.</t>
  </si>
  <si>
    <t>INE010B01027</t>
  </si>
  <si>
    <t>Pharmaceuticals &amp; Biotechnology</t>
  </si>
  <si>
    <t>100012</t>
  </si>
  <si>
    <t>ICICI Bank Ltd.</t>
  </si>
  <si>
    <t>INE090A01021</t>
  </si>
  <si>
    <t>100036</t>
  </si>
  <si>
    <t>Mahindra &amp; Mahindra Financial Services Ltd.</t>
  </si>
  <si>
    <t>INE774D01024</t>
  </si>
  <si>
    <t>Finance</t>
  </si>
  <si>
    <t>101457</t>
  </si>
  <si>
    <t>Motherson Sumi Wiring India Ltd.</t>
  </si>
  <si>
    <t>INE0FS801015</t>
  </si>
  <si>
    <t>Auto Components</t>
  </si>
  <si>
    <t>100024</t>
  </si>
  <si>
    <t>Axis Bank Ltd.</t>
  </si>
  <si>
    <t>INE238A01034</t>
  </si>
  <si>
    <t>100665</t>
  </si>
  <si>
    <t>Aditya Birla Capital Ltd.</t>
  </si>
  <si>
    <t>INE674K01013</t>
  </si>
  <si>
    <t>100032</t>
  </si>
  <si>
    <t>Tata Consultancy Services Ltd.</t>
  </si>
  <si>
    <t>INE467B01029</t>
  </si>
  <si>
    <t>IT - Software</t>
  </si>
  <si>
    <t>100089</t>
  </si>
  <si>
    <t>Bharat Electronics Ltd.</t>
  </si>
  <si>
    <t>INE263A01024</t>
  </si>
  <si>
    <t>Aerospace &amp; Defense</t>
  </si>
  <si>
    <t>100002</t>
  </si>
  <si>
    <t>Reliance Industries Ltd.</t>
  </si>
  <si>
    <t>INE002A01018</t>
  </si>
  <si>
    <t>Petroleum Products</t>
  </si>
  <si>
    <t>101433</t>
  </si>
  <si>
    <t>Metro Brands Ltd.</t>
  </si>
  <si>
    <t>INE317I01021</t>
  </si>
  <si>
    <t>Consumer Durables</t>
  </si>
  <si>
    <t>100242</t>
  </si>
  <si>
    <t>Schaeffler India Ltd.</t>
  </si>
  <si>
    <t>INE513A01022</t>
  </si>
  <si>
    <t>100014</t>
  </si>
  <si>
    <t>Mahindra &amp; Mahindra Ltd.</t>
  </si>
  <si>
    <t>INE101A01026</t>
  </si>
  <si>
    <t>Automobiles</t>
  </si>
  <si>
    <t>100477</t>
  </si>
  <si>
    <t>PNB Housing Finance Ltd.</t>
  </si>
  <si>
    <t>INE572E01012</t>
  </si>
  <si>
    <t>100586</t>
  </si>
  <si>
    <t>Ratnamani Metals &amp; Tubes Ltd.</t>
  </si>
  <si>
    <t>INE703B01027</t>
  </si>
  <si>
    <t>Industrial Products</t>
  </si>
  <si>
    <t>100147</t>
  </si>
  <si>
    <t>Tech Mahindra Ltd.</t>
  </si>
  <si>
    <t>INE669C01036</t>
  </si>
  <si>
    <t>100115</t>
  </si>
  <si>
    <t>Siemens Ltd.</t>
  </si>
  <si>
    <t>INE003A01024</t>
  </si>
  <si>
    <t>Electrical Equipment</t>
  </si>
  <si>
    <t>100268</t>
  </si>
  <si>
    <t>NLC India Ltd.</t>
  </si>
  <si>
    <t>INE589A01014</t>
  </si>
  <si>
    <t>Power</t>
  </si>
  <si>
    <t>101889</t>
  </si>
  <si>
    <t>Jio Financial Services Ltd.</t>
  </si>
  <si>
    <t>INE758E01017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</si>
  <si>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</si>
  <si>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</si>
  <si>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</si>
  <si>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</si>
  <si>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</si>
  <si>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</si>
  <si>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</si>
  <si>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</si>
  <si>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</si>
  <si>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</si>
  <si>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</si>
  <si>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</si>
  <si>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</si>
  <si>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</si>
  <si>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</si>
  <si>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</si>
  <si>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</si>
  <si>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</si>
  <si>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</si>
  <si>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</si>
  <si>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</si>
  <si>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</si>
  <si>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</si>
  <si>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</si>
  <si>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</si>
  <si>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</si>
  <si>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</si>
  <si>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</si>
  <si>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</si>
  <si>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</si>
  <si>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</si>
  <si>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</si>
  <si>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</si>
  <si>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</si>
  <si>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</si>
  <si>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</si>
  <si>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</si>
  <si>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July 31, 2023 with regard to hedging transactions through futures which have already been squared off/expired specify:</t>
  </si>
  <si>
    <t>Total Number of contracts where futures were bought : 250</t>
  </si>
  <si>
    <t>Total Number of contracts where futures were sold : 250</t>
  </si>
  <si>
    <t>Gross Notional Value of contracts where futures were bought : 1,784.90 lacs</t>
  </si>
  <si>
    <t>Gross Notional Value of contracts where futures were sold: 1,783.67 lacs</t>
  </si>
  <si>
    <t>Net Profit/Loss on all contracts combined : -1.24 lacs</t>
  </si>
  <si>
    <t>Other than Hedging Positions through futures as on July 31, 2023:</t>
  </si>
  <si>
    <t>Number of Contracts</t>
  </si>
  <si>
    <t>Total Exposure through Futures(other than hedging positions) is 0.00% age of net assets</t>
  </si>
  <si>
    <t>For the month ended July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</si>
  <si>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</si>
  <si>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</si>
  <si>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</si>
  <si>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</si>
  <si>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</si>
  <si>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</si>
  <si>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</si>
  <si>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</si>
  <si>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</si>
  <si>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</si>
  <si>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</si>
  <si>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</si>
  <si>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</si>
  <si>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</si>
  <si>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</si>
  <si>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</si>
  <si>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</si>
  <si>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</si>
  <si>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</si>
  <si>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</si>
  <si>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</si>
  <si>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</si>
  <si>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</si>
  <si>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</si>
  <si>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There were no investments in derivative instruments as on July,31 2023.</t>
  </si>
  <si>
    <t>(10) Total Market value of investments in Foreign Securities/American Depositary Receipts/Global Depositary Receipts as at  July 31, 2023 is Rs. Nil.</t>
  </si>
  <si>
    <t>(11)  During the period, the portfolio turnover ratio is  0.15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</si>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</sst>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1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0" fontId="13" fillId="4" borderId="0" xfId="0" applyFont="1" applyFill="1"/>
    <xf numFmtId="0" fontId="11" fillId="3" borderId="13" xfId="0" applyFont="1" applyFill="1" applyBorder="1"/>
    <xf numFmtId="0" fontId="11" fillId="0" borderId="13" xfId="0" applyFont="1" applyBorder="1"/>
    <xf numFmtId="0" fontId="11" fillId="0" borderId="13" xfId="0" applyFont="1" applyBorder="1" applyAlignment="1">
      <alignment horizontal="right"/>
    </xf>
    <xf numFmtId="0" fontId="11" fillId="3" borderId="13" xfId="0" applyFont="1" applyFill="1" applyBorder="1" applyAlignment="1">
      <alignment horizontal="right"/>
    </xf>
    <xf numFmtId="0" fontId="14" fillId="4" borderId="0" xfId="0" applyFont="1" applyFill="1"/>
    <xf numFmtId="1" fontId="12" fillId="4" borderId="0" xfId="0" applyNumberFormat="1" applyFont="1" applyFill="1"/>
    <xf numFmtId="0" fontId="15" fillId="3" borderId="0" xfId="0" applyFont="1" applyFill="1"/>
    <xf numFmtId="164" fontId="12" fillId="4" borderId="0" xfId="1" applyFont="1" applyFill="1"/>
    <xf numFmtId="0" fontId="15" fillId="0" borderId="0" xfId="0" applyFont="1"/>
    <xf numFmtId="0" fontId="16" fillId="3" borderId="0" xfId="0" applyFont="1" applyFill="1"/>
    <xf numFmtId="4" fontId="11" fillId="3" borderId="0" xfId="0" applyNumberFormat="1" applyFont="1" applyFill="1"/>
    <xf numFmtId="0" fontId="11" fillId="3" borderId="0" xfId="0" applyFont="1" applyFill="1" applyAlignment="1">
      <alignment horizontal="center"/>
    </xf>
    <xf numFmtId="164" fontId="12" fillId="4" borderId="0" xfId="0" applyNumberFormat="1" applyFont="1" applyFill="1"/>
    <xf numFmtId="0" fontId="11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5</xdr:col>
      <xdr:colOff>502920</xdr:colOff>
      <xdr:row>158</xdr:row>
      <xdr:rowOff>129540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0093940"/>
          <a:ext cx="745236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"/>
  <sheetViews>
    <sheetView showGridLines="0" tabSelected="1" zoomScale="90" zoomScaleNormal="90" workbookViewId="0">
      <pane ySplit="6" topLeftCell="A131" activePane="bottomLeft" state="frozen"/>
      <selection activeCell="I2" sqref="I2"/>
      <selection pane="bottomLeft" activeCell="H145" sqref="H14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185000</v>
      </c>
      <c r="G10" s="34">
        <v>3054.72</v>
      </c>
      <c r="H10" s="34">
        <v>7.83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100000</v>
      </c>
      <c r="G11" s="34">
        <v>2681.35</v>
      </c>
      <c r="H11" s="34">
        <v>6.87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550000</v>
      </c>
      <c r="G12" s="34">
        <v>2561.35</v>
      </c>
      <c r="H12" s="34">
        <v>6.57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90000</v>
      </c>
      <c r="G13" s="34">
        <v>1758.42</v>
      </c>
      <c r="H13" s="34">
        <v>4.51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120000</v>
      </c>
      <c r="G14" s="34">
        <v>1701.3</v>
      </c>
      <c r="H14" s="34">
        <v>4.3600000000000003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2000000</v>
      </c>
      <c r="G15" s="34">
        <v>1682</v>
      </c>
      <c r="H15" s="34">
        <v>4.3099999999999996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700000</v>
      </c>
      <c r="G16" s="34">
        <v>1634.85</v>
      </c>
      <c r="H16" s="34">
        <v>4.1900000000000004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250000</v>
      </c>
      <c r="G17" s="34">
        <v>1580.63</v>
      </c>
      <c r="H17" s="34">
        <v>4.05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19</v>
      </c>
      <c r="F18" s="33">
        <v>150000</v>
      </c>
      <c r="G18" s="34">
        <v>1497.45</v>
      </c>
      <c r="H18" s="34">
        <v>3.84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500000</v>
      </c>
      <c r="G19" s="34">
        <v>1487.25</v>
      </c>
      <c r="H19" s="34">
        <v>3.81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2500000</v>
      </c>
      <c r="G20" s="34">
        <v>1463.75</v>
      </c>
      <c r="H20" s="34">
        <v>3.75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19</v>
      </c>
      <c r="F21" s="33">
        <v>150000</v>
      </c>
      <c r="G21" s="34">
        <v>1430.85</v>
      </c>
      <c r="H21" s="34">
        <v>3.67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53</v>
      </c>
      <c r="F22" s="33">
        <v>700000</v>
      </c>
      <c r="G22" s="34">
        <v>1370.6</v>
      </c>
      <c r="H22" s="34">
        <v>3.51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40000</v>
      </c>
      <c r="G23" s="34">
        <v>1368.58</v>
      </c>
      <c r="H23" s="34">
        <v>3.51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1000000</v>
      </c>
      <c r="G24" s="34">
        <v>1307</v>
      </c>
      <c r="H24" s="34">
        <v>3.35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50000</v>
      </c>
      <c r="G25" s="34">
        <v>1274.6300000000001</v>
      </c>
      <c r="H25" s="34">
        <v>3.27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123000</v>
      </c>
      <c r="G26" s="34">
        <v>1271.82</v>
      </c>
      <c r="H26" s="34">
        <v>3.26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57</v>
      </c>
      <c r="F27" s="33">
        <v>40000</v>
      </c>
      <c r="G27" s="34">
        <v>1248.32</v>
      </c>
      <c r="H27" s="34">
        <v>3.2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80000</v>
      </c>
      <c r="G28" s="34">
        <v>1180.1600000000001</v>
      </c>
      <c r="H28" s="34">
        <v>3.03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53</v>
      </c>
      <c r="F29" s="33">
        <v>182080</v>
      </c>
      <c r="G29" s="34">
        <v>1155.8399999999999</v>
      </c>
      <c r="H29" s="34">
        <v>2.96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42000</v>
      </c>
      <c r="G30" s="34">
        <v>1122.95</v>
      </c>
      <c r="H30" s="34">
        <v>2.88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67</v>
      </c>
      <c r="F31" s="33">
        <v>100000</v>
      </c>
      <c r="G31" s="34">
        <v>1115.5</v>
      </c>
      <c r="H31" s="34">
        <v>2.86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27500</v>
      </c>
      <c r="G32" s="34">
        <v>1095.33</v>
      </c>
      <c r="H32" s="34">
        <v>2.81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625000</v>
      </c>
      <c r="G33" s="34">
        <v>730.63</v>
      </c>
      <c r="H33" s="34">
        <v>1.87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53</v>
      </c>
      <c r="F34" s="33">
        <v>60000</v>
      </c>
      <c r="G34" s="34">
        <v>157.11000000000001</v>
      </c>
      <c r="H34" s="34">
        <v>0.4</v>
      </c>
      <c r="I34" s="35"/>
      <c r="J34" s="35"/>
      <c r="K34" s="36" t="s">
        <v>108</v>
      </c>
    </row>
    <row r="35" spans="2:11" x14ac:dyDescent="0.3">
      <c r="C35" s="30" t="s">
        <v>109</v>
      </c>
      <c r="D35" s="31"/>
      <c r="E35" s="32"/>
      <c r="F35" s="33"/>
      <c r="G35" s="38">
        <v>36932.39</v>
      </c>
      <c r="H35" s="38">
        <v>94.67</v>
      </c>
      <c r="I35" s="35"/>
      <c r="J35" s="35"/>
      <c r="K35" s="36"/>
    </row>
    <row r="36" spans="2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2:11" x14ac:dyDescent="0.3">
      <c r="C37" s="30" t="s">
        <v>110</v>
      </c>
      <c r="D37" s="31"/>
      <c r="E37" s="32"/>
      <c r="F37" s="33"/>
      <c r="G37" s="34" t="s">
        <v>111</v>
      </c>
      <c r="H37" s="34" t="s">
        <v>111</v>
      </c>
      <c r="I37" s="35"/>
      <c r="J37" s="35"/>
      <c r="K37" s="36"/>
    </row>
    <row r="38" spans="2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2:11" x14ac:dyDescent="0.3">
      <c r="C39" s="30" t="s">
        <v>112</v>
      </c>
      <c r="D39" s="31"/>
      <c r="E39" s="32"/>
      <c r="F39" s="33"/>
      <c r="G39" s="34" t="s">
        <v>111</v>
      </c>
      <c r="H39" s="34" t="s">
        <v>111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113</v>
      </c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114</v>
      </c>
      <c r="D43" s="31"/>
      <c r="E43" s="32"/>
      <c r="F43" s="33"/>
      <c r="G43" s="34" t="s">
        <v>111</v>
      </c>
      <c r="H43" s="34" t="s">
        <v>111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0" t="s">
        <v>115</v>
      </c>
      <c r="D45" s="31"/>
      <c r="E45" s="32"/>
      <c r="F45" s="33"/>
      <c r="G45" s="34" t="s">
        <v>111</v>
      </c>
      <c r="H45" s="34" t="s">
        <v>111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116</v>
      </c>
      <c r="D47" s="31"/>
      <c r="E47" s="32"/>
      <c r="F47" s="33"/>
      <c r="G47" s="34" t="s">
        <v>111</v>
      </c>
      <c r="H47" s="34" t="s">
        <v>111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117</v>
      </c>
      <c r="D49" s="31"/>
      <c r="E49" s="32"/>
      <c r="F49" s="33"/>
      <c r="G49" s="34" t="s">
        <v>111</v>
      </c>
      <c r="H49" s="34" t="s">
        <v>111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118</v>
      </c>
      <c r="D51" s="31"/>
      <c r="E51" s="32"/>
      <c r="F51" s="33"/>
      <c r="G51" s="34" t="s">
        <v>111</v>
      </c>
      <c r="H51" s="34" t="s">
        <v>111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119</v>
      </c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120</v>
      </c>
      <c r="D55" s="31"/>
      <c r="E55" s="32"/>
      <c r="F55" s="33"/>
      <c r="G55" s="34" t="s">
        <v>111</v>
      </c>
      <c r="H55" s="34" t="s">
        <v>111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121</v>
      </c>
      <c r="D57" s="31"/>
      <c r="E57" s="32"/>
      <c r="F57" s="33"/>
      <c r="G57" s="34" t="s">
        <v>111</v>
      </c>
      <c r="H57" s="34" t="s">
        <v>111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122</v>
      </c>
      <c r="D59" s="31"/>
      <c r="E59" s="32"/>
      <c r="F59" s="33"/>
      <c r="G59" s="34" t="s">
        <v>111</v>
      </c>
      <c r="H59" s="34" t="s">
        <v>111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C61" s="30" t="s">
        <v>123</v>
      </c>
      <c r="D61" s="31"/>
      <c r="E61" s="32"/>
      <c r="F61" s="33"/>
      <c r="G61" s="34" t="s">
        <v>111</v>
      </c>
      <c r="H61" s="34" t="s">
        <v>111</v>
      </c>
      <c r="I61" s="35"/>
      <c r="J61" s="35"/>
      <c r="K61" s="36"/>
    </row>
    <row r="62" spans="1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8"/>
      <c r="B63" s="29"/>
      <c r="C63" s="30" t="s">
        <v>124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A64" s="29"/>
      <c r="B64" s="29"/>
      <c r="C64" s="30" t="s">
        <v>125</v>
      </c>
      <c r="D64" s="31"/>
      <c r="E64" s="32"/>
      <c r="F64" s="33"/>
      <c r="G64" s="34" t="s">
        <v>111</v>
      </c>
      <c r="H64" s="34" t="s">
        <v>111</v>
      </c>
      <c r="I64" s="35"/>
      <c r="J64" s="35"/>
      <c r="K64" s="36"/>
    </row>
    <row r="65" spans="1:1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9"/>
      <c r="B66" s="29"/>
      <c r="C66" s="30" t="s">
        <v>126</v>
      </c>
      <c r="D66" s="31"/>
      <c r="E66" s="32"/>
      <c r="F66" s="33"/>
      <c r="G66" s="34" t="s">
        <v>111</v>
      </c>
      <c r="H66" s="34" t="s">
        <v>111</v>
      </c>
      <c r="I66" s="35"/>
      <c r="J66" s="35"/>
      <c r="K66" s="36"/>
    </row>
    <row r="67" spans="1:11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127</v>
      </c>
      <c r="D68" s="31"/>
      <c r="E68" s="32"/>
      <c r="F68" s="33"/>
      <c r="G68" s="34" t="s">
        <v>111</v>
      </c>
      <c r="H68" s="34" t="s">
        <v>111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128</v>
      </c>
      <c r="D70" s="31"/>
      <c r="E70" s="32"/>
      <c r="F70" s="33"/>
      <c r="G70" s="34" t="s">
        <v>111</v>
      </c>
      <c r="H70" s="34" t="s">
        <v>111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7" t="s">
        <v>129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B73" s="1" t="s">
        <v>130</v>
      </c>
      <c r="C73" s="21" t="s">
        <v>131</v>
      </c>
      <c r="D73" s="31"/>
      <c r="E73" s="32"/>
      <c r="F73" s="33"/>
      <c r="G73" s="34">
        <v>1645.47</v>
      </c>
      <c r="H73" s="34">
        <v>4.22</v>
      </c>
      <c r="I73" s="35">
        <v>6.37</v>
      </c>
      <c r="J73" s="35"/>
      <c r="K73" s="36"/>
    </row>
    <row r="74" spans="1:11" x14ac:dyDescent="0.3">
      <c r="C74" s="30" t="s">
        <v>109</v>
      </c>
      <c r="D74" s="31"/>
      <c r="E74" s="32"/>
      <c r="F74" s="33"/>
      <c r="G74" s="38">
        <v>1645.47</v>
      </c>
      <c r="H74" s="38">
        <v>4.22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8"/>
      <c r="B76" s="29"/>
      <c r="C76" s="30" t="s">
        <v>132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B77" s="1"/>
      <c r="C77" s="21" t="s">
        <v>133</v>
      </c>
      <c r="D77" s="31"/>
      <c r="E77" s="32"/>
      <c r="F77" s="33"/>
      <c r="G77" s="34">
        <v>427.71</v>
      </c>
      <c r="H77" s="34">
        <v>1.1100000000000001</v>
      </c>
      <c r="I77" s="35"/>
      <c r="J77" s="35"/>
      <c r="K77" s="36"/>
    </row>
    <row r="78" spans="1:11" x14ac:dyDescent="0.3">
      <c r="C78" s="30" t="s">
        <v>109</v>
      </c>
      <c r="D78" s="31"/>
      <c r="E78" s="32"/>
      <c r="F78" s="33"/>
      <c r="G78" s="38">
        <v>427.71</v>
      </c>
      <c r="H78" s="38">
        <v>1.1100000000000001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ht="14.4" thickBot="1" x14ac:dyDescent="0.35">
      <c r="C80" s="39" t="s">
        <v>134</v>
      </c>
      <c r="D80" s="40"/>
      <c r="E80" s="41"/>
      <c r="F80" s="42"/>
      <c r="G80" s="43">
        <v>39005.57</v>
      </c>
      <c r="H80" s="43">
        <f>SUMIFS(H:H,C:C,"Total")</f>
        <v>100</v>
      </c>
      <c r="I80" s="44"/>
      <c r="J80" s="44"/>
      <c r="K80" s="45"/>
    </row>
    <row r="82" spans="3:8" x14ac:dyDescent="0.3">
      <c r="C82" s="46" t="s">
        <v>135</v>
      </c>
      <c r="D82" s="47"/>
      <c r="E82" s="47"/>
      <c r="F82" s="47"/>
      <c r="G82" s="48"/>
      <c r="H82" s="48"/>
    </row>
    <row r="83" spans="3:8" x14ac:dyDescent="0.3">
      <c r="C83" s="49" t="s">
        <v>136</v>
      </c>
      <c r="D83" s="47"/>
      <c r="E83" s="47"/>
      <c r="F83" s="47"/>
      <c r="G83" s="48"/>
      <c r="H83" s="48"/>
    </row>
    <row r="84" spans="3:8" x14ac:dyDescent="0.3">
      <c r="C84" s="50" t="s">
        <v>137</v>
      </c>
      <c r="D84" s="51" t="s">
        <v>138</v>
      </c>
      <c r="E84" s="52" t="s">
        <v>139</v>
      </c>
      <c r="F84" s="53" t="s">
        <v>140</v>
      </c>
      <c r="G84" s="53" t="s">
        <v>141</v>
      </c>
      <c r="H84" s="53" t="s">
        <v>142</v>
      </c>
    </row>
    <row r="85" spans="3:8" x14ac:dyDescent="0.3">
      <c r="C85" s="74" t="s">
        <v>143</v>
      </c>
      <c r="D85" s="75"/>
      <c r="E85" s="75"/>
      <c r="F85" s="75"/>
      <c r="G85" s="75"/>
      <c r="H85" s="76"/>
    </row>
    <row r="86" spans="3:8" x14ac:dyDescent="0.3">
      <c r="C86" s="54"/>
      <c r="D86" s="47"/>
      <c r="E86" s="55"/>
      <c r="F86" s="48"/>
      <c r="G86" s="48"/>
      <c r="H86" s="48"/>
    </row>
    <row r="87" spans="3:8" x14ac:dyDescent="0.3">
      <c r="C87" s="49"/>
      <c r="D87" s="47"/>
      <c r="E87" s="47"/>
      <c r="F87" s="47"/>
      <c r="G87" s="48"/>
      <c r="H87" s="48"/>
    </row>
    <row r="88" spans="3:8" x14ac:dyDescent="0.3">
      <c r="C88" s="56" t="s">
        <v>144</v>
      </c>
      <c r="D88" s="47"/>
      <c r="E88" s="47"/>
      <c r="F88" s="47"/>
      <c r="G88" s="48"/>
      <c r="H88" s="48"/>
    </row>
    <row r="89" spans="3:8" x14ac:dyDescent="0.3">
      <c r="C89" s="49"/>
      <c r="D89" s="47"/>
      <c r="E89" s="47"/>
      <c r="F89" s="47"/>
      <c r="G89" s="48"/>
      <c r="H89" s="48"/>
    </row>
    <row r="90" spans="3:8" x14ac:dyDescent="0.3">
      <c r="C90" s="46" t="s">
        <v>145</v>
      </c>
      <c r="D90" s="47"/>
      <c r="E90" s="47"/>
      <c r="F90" s="47"/>
      <c r="G90" s="48"/>
      <c r="H90" s="48"/>
    </row>
    <row r="91" spans="3:8" x14ac:dyDescent="0.3">
      <c r="C91" s="56" t="s">
        <v>146</v>
      </c>
      <c r="D91" s="47"/>
      <c r="E91" s="47"/>
      <c r="F91" s="47"/>
      <c r="G91" s="48"/>
      <c r="H91" s="48"/>
    </row>
    <row r="92" spans="3:8" x14ac:dyDescent="0.3">
      <c r="C92" s="56" t="s">
        <v>147</v>
      </c>
      <c r="D92" s="47"/>
      <c r="E92" s="47"/>
      <c r="F92" s="47"/>
      <c r="G92" s="48"/>
      <c r="H92" s="48"/>
    </row>
    <row r="93" spans="3:8" x14ac:dyDescent="0.3">
      <c r="C93" s="56" t="s">
        <v>148</v>
      </c>
      <c r="D93" s="57"/>
      <c r="E93" s="57"/>
      <c r="F93" s="47"/>
      <c r="G93" s="48"/>
      <c r="H93" s="48"/>
    </row>
    <row r="94" spans="3:8" x14ac:dyDescent="0.3">
      <c r="C94" s="56" t="s">
        <v>149</v>
      </c>
      <c r="D94" s="57"/>
      <c r="E94" s="57"/>
      <c r="F94" s="57"/>
      <c r="G94" s="48"/>
      <c r="H94" s="48"/>
    </row>
    <row r="95" spans="3:8" x14ac:dyDescent="0.3">
      <c r="C95" s="58" t="s">
        <v>150</v>
      </c>
      <c r="D95" s="57"/>
      <c r="E95" s="57"/>
      <c r="F95" s="57"/>
      <c r="G95" s="48"/>
      <c r="H95" s="48"/>
    </row>
    <row r="96" spans="3:8" x14ac:dyDescent="0.3">
      <c r="C96" s="58"/>
      <c r="D96" s="47"/>
      <c r="E96" s="47"/>
      <c r="F96" s="57"/>
      <c r="G96" s="48"/>
      <c r="H96" s="48"/>
    </row>
    <row r="97" spans="3:8" x14ac:dyDescent="0.3">
      <c r="C97" s="49"/>
      <c r="D97" s="47"/>
      <c r="E97" s="47"/>
      <c r="F97" s="57"/>
      <c r="G97" s="48"/>
      <c r="H97" s="48"/>
    </row>
    <row r="98" spans="3:8" ht="15" x14ac:dyDescent="0.35">
      <c r="C98" s="46" t="s">
        <v>151</v>
      </c>
      <c r="D98" s="56"/>
      <c r="E98" s="59"/>
      <c r="F98" s="56"/>
      <c r="G98" s="56"/>
      <c r="H98" s="60"/>
    </row>
    <row r="99" spans="3:8" x14ac:dyDescent="0.3">
      <c r="C99" s="50" t="s">
        <v>137</v>
      </c>
      <c r="D99" s="50" t="s">
        <v>138</v>
      </c>
      <c r="E99" s="53" t="s">
        <v>152</v>
      </c>
      <c r="F99" s="53" t="s">
        <v>140</v>
      </c>
      <c r="G99" s="53" t="s">
        <v>141</v>
      </c>
      <c r="H99" s="53" t="s">
        <v>142</v>
      </c>
    </row>
    <row r="100" spans="3:8" x14ac:dyDescent="0.3">
      <c r="C100" s="74" t="s">
        <v>143</v>
      </c>
      <c r="D100" s="75"/>
      <c r="E100" s="75"/>
      <c r="F100" s="75"/>
      <c r="G100" s="75"/>
      <c r="H100" s="76"/>
    </row>
    <row r="101" spans="3:8" x14ac:dyDescent="0.3">
      <c r="C101" s="61"/>
      <c r="D101" s="61"/>
      <c r="E101" s="61"/>
      <c r="F101" s="61"/>
      <c r="G101" s="61"/>
      <c r="H101" s="61"/>
    </row>
    <row r="102" spans="3:8" x14ac:dyDescent="0.3">
      <c r="C102" s="56" t="s">
        <v>153</v>
      </c>
      <c r="D102" s="61"/>
      <c r="E102" s="61"/>
      <c r="F102" s="61"/>
      <c r="G102" s="61"/>
      <c r="H102" s="61"/>
    </row>
    <row r="103" spans="3:8" x14ac:dyDescent="0.3">
      <c r="C103" s="61"/>
      <c r="D103" s="61"/>
      <c r="E103" s="61"/>
      <c r="F103" s="61"/>
      <c r="G103" s="61"/>
      <c r="H103" s="61"/>
    </row>
    <row r="104" spans="3:8" x14ac:dyDescent="0.3">
      <c r="C104" s="46" t="s">
        <v>154</v>
      </c>
      <c r="D104" s="61"/>
      <c r="E104" s="61"/>
      <c r="F104" s="61"/>
      <c r="G104" s="61"/>
      <c r="H104" s="61"/>
    </row>
    <row r="105" spans="3:8" x14ac:dyDescent="0.3">
      <c r="C105" s="56" t="s">
        <v>155</v>
      </c>
      <c r="D105" s="61"/>
      <c r="E105" s="61"/>
      <c r="F105" s="61"/>
      <c r="G105" s="61"/>
      <c r="H105" s="61"/>
    </row>
    <row r="106" spans="3:8" x14ac:dyDescent="0.3">
      <c r="C106" s="56" t="s">
        <v>156</v>
      </c>
      <c r="D106" s="61"/>
      <c r="E106" s="61"/>
      <c r="F106" s="61"/>
      <c r="G106" s="61"/>
      <c r="H106" s="61"/>
    </row>
    <row r="107" spans="3:8" x14ac:dyDescent="0.3">
      <c r="C107" s="56" t="s">
        <v>157</v>
      </c>
      <c r="D107" s="61"/>
      <c r="E107" s="61"/>
      <c r="F107" s="61"/>
      <c r="G107" s="61"/>
      <c r="H107" s="61"/>
    </row>
    <row r="108" spans="3:8" x14ac:dyDescent="0.3">
      <c r="C108" s="56" t="s">
        <v>158</v>
      </c>
      <c r="D108" s="61"/>
      <c r="E108" s="61"/>
      <c r="F108" s="61"/>
      <c r="G108" s="61"/>
      <c r="H108" s="61"/>
    </row>
    <row r="109" spans="3:8" x14ac:dyDescent="0.3">
      <c r="C109" s="58" t="s">
        <v>159</v>
      </c>
      <c r="D109" s="61"/>
      <c r="E109" s="61"/>
      <c r="F109" s="61"/>
      <c r="G109" s="61"/>
      <c r="H109" s="61"/>
    </row>
    <row r="110" spans="3:8" x14ac:dyDescent="0.3">
      <c r="C110" s="47"/>
      <c r="D110" s="62"/>
      <c r="E110" s="62"/>
      <c r="F110" s="47"/>
      <c r="G110" s="48"/>
      <c r="H110" s="48"/>
    </row>
    <row r="111" spans="3:8" x14ac:dyDescent="0.3">
      <c r="C111" s="63" t="s">
        <v>160</v>
      </c>
      <c r="D111" s="57"/>
      <c r="E111" s="62"/>
      <c r="F111" s="47"/>
      <c r="G111" s="48"/>
      <c r="H111" s="48"/>
    </row>
    <row r="113" spans="3:55" x14ac:dyDescent="0.3">
      <c r="C113" s="11" t="s">
        <v>161</v>
      </c>
    </row>
    <row r="114" spans="3:55" x14ac:dyDescent="0.3">
      <c r="C114" s="2" t="s">
        <v>162</v>
      </c>
    </row>
    <row r="115" spans="3:55" x14ac:dyDescent="0.3">
      <c r="C115" s="64" t="s">
        <v>163</v>
      </c>
    </row>
    <row r="116" spans="3:55" x14ac:dyDescent="0.3">
      <c r="C116" s="2" t="s">
        <v>164</v>
      </c>
    </row>
    <row r="117" spans="3:55" x14ac:dyDescent="0.3">
      <c r="C117" s="2" t="s">
        <v>165</v>
      </c>
    </row>
    <row r="118" spans="3:55" x14ac:dyDescent="0.3">
      <c r="C118" s="2" t="s">
        <v>166</v>
      </c>
      <c r="D118" s="65"/>
      <c r="E118" s="65"/>
      <c r="F118" s="65"/>
      <c r="G118" s="66"/>
      <c r="H118" s="66"/>
    </row>
    <row r="119" spans="3:55" x14ac:dyDescent="0.3">
      <c r="C119" s="2" t="s">
        <v>167</v>
      </c>
    </row>
    <row r="120" spans="3:55" x14ac:dyDescent="0.3">
      <c r="C120" s="2" t="s">
        <v>168</v>
      </c>
    </row>
    <row r="121" spans="3:55" x14ac:dyDescent="0.3">
      <c r="C121" s="2" t="s">
        <v>169</v>
      </c>
    </row>
    <row r="122" spans="3:55" x14ac:dyDescent="0.3">
      <c r="C122" s="2" t="s">
        <v>170</v>
      </c>
    </row>
    <row r="123" spans="3:55" s="11" customFormat="1" x14ac:dyDescent="0.3">
      <c r="C123" s="11" t="s">
        <v>171</v>
      </c>
      <c r="E123" s="11" t="s">
        <v>172</v>
      </c>
      <c r="F123" s="67" t="s">
        <v>173</v>
      </c>
      <c r="G123" s="68"/>
      <c r="H123" s="68"/>
      <c r="I123" s="68"/>
      <c r="J123" s="68"/>
      <c r="K123" s="69"/>
      <c r="L123" s="69"/>
      <c r="M123" s="69"/>
      <c r="AJ123" s="69"/>
      <c r="AW123" s="69"/>
      <c r="AY123" s="69"/>
      <c r="BC123" s="69"/>
    </row>
    <row r="124" spans="3:55" x14ac:dyDescent="0.3">
      <c r="C124" s="2" t="s">
        <v>174</v>
      </c>
      <c r="E124" s="70">
        <v>13.8645</v>
      </c>
      <c r="F124" s="71">
        <v>14.2729</v>
      </c>
    </row>
    <row r="125" spans="3:55" x14ac:dyDescent="0.3">
      <c r="C125" s="2" t="s">
        <v>175</v>
      </c>
      <c r="E125" s="70">
        <v>16.057099999999998</v>
      </c>
      <c r="F125" s="71">
        <v>16.530100000000001</v>
      </c>
    </row>
    <row r="126" spans="3:55" x14ac:dyDescent="0.3">
      <c r="C126" s="2" t="s">
        <v>176</v>
      </c>
      <c r="E126" s="70">
        <v>15.081300000000001</v>
      </c>
      <c r="F126" s="71">
        <v>15.5487</v>
      </c>
    </row>
    <row r="127" spans="3:55" x14ac:dyDescent="0.3">
      <c r="C127" s="2" t="s">
        <v>177</v>
      </c>
      <c r="E127" s="70">
        <v>17.515000000000001</v>
      </c>
      <c r="F127" s="71">
        <v>18.0579</v>
      </c>
    </row>
    <row r="129" spans="3:11" x14ac:dyDescent="0.3">
      <c r="C129" s="2" t="s">
        <v>178</v>
      </c>
    </row>
    <row r="131" spans="3:11" x14ac:dyDescent="0.3">
      <c r="C131" s="2" t="s">
        <v>179</v>
      </c>
    </row>
    <row r="132" spans="3:11" x14ac:dyDescent="0.3">
      <c r="C132" s="2" t="s">
        <v>180</v>
      </c>
    </row>
    <row r="133" spans="3:11" x14ac:dyDescent="0.3">
      <c r="C133" s="2" t="s">
        <v>181</v>
      </c>
    </row>
    <row r="134" spans="3:11" x14ac:dyDescent="0.3">
      <c r="C134" s="2" t="s">
        <v>182</v>
      </c>
    </row>
    <row r="135" spans="3:11" x14ac:dyDescent="0.3">
      <c r="C135" s="2" t="s">
        <v>183</v>
      </c>
    </row>
    <row r="136" spans="3:11" x14ac:dyDescent="0.3">
      <c r="C136" s="2" t="s">
        <v>184</v>
      </c>
    </row>
    <row r="137" spans="3:11" x14ac:dyDescent="0.3">
      <c r="C137" s="2" t="s">
        <v>185</v>
      </c>
    </row>
    <row r="138" spans="3:11" x14ac:dyDescent="0.3">
      <c r="C138" s="2" t="s">
        <v>186</v>
      </c>
    </row>
    <row r="139" spans="3:11" x14ac:dyDescent="0.3">
      <c r="C139" s="2" t="s">
        <v>187</v>
      </c>
    </row>
    <row r="140" spans="3:11" x14ac:dyDescent="0.3">
      <c r="C140" s="2" t="s">
        <v>188</v>
      </c>
    </row>
    <row r="141" spans="3:11" x14ac:dyDescent="0.3">
      <c r="C141" s="2" t="s">
        <v>189</v>
      </c>
    </row>
    <row r="142" spans="3:11" x14ac:dyDescent="0.3">
      <c r="C142" s="2" t="s">
        <v>190</v>
      </c>
    </row>
    <row r="143" spans="3:11" ht="14.4" x14ac:dyDescent="0.3">
      <c r="C143" s="72"/>
      <c r="D143" s="72"/>
      <c r="E143" s="73"/>
      <c r="F143" s="73"/>
      <c r="G143" s="73"/>
      <c r="H143" s="73"/>
      <c r="I143" s="73"/>
      <c r="J143" s="73"/>
      <c r="K143" s="73"/>
    </row>
  </sheetData>
  <mergeCells count="2">
    <mergeCell ref="C85:H85"/>
    <mergeCell ref="C100:H10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XDO_?CLASS_3?13?</vt:lpstr>
      <vt:lpstr>XDO_?FINAL_ISIN?63?</vt:lpstr>
      <vt:lpstr>XDO_?FINAL_ISIN?64?</vt:lpstr>
      <vt:lpstr>XDO_?FINAL_ISIN?65?</vt:lpstr>
      <vt:lpstr>XDO_?FINAL_MV?63?</vt:lpstr>
      <vt:lpstr>XDO_?FINAL_MV?64?</vt:lpstr>
      <vt:lpstr>XDO_?FINAL_MV?65?</vt:lpstr>
      <vt:lpstr>XDO_?FINAL_NAME?63?</vt:lpstr>
      <vt:lpstr>XDO_?FINAL_NAME?64?</vt:lpstr>
      <vt:lpstr>XDO_?FINAL_NAME?65?</vt:lpstr>
      <vt:lpstr>XDO_?FINAL_PER_NET?63?</vt:lpstr>
      <vt:lpstr>XDO_?FINAL_PER_NET?64?</vt:lpstr>
      <vt:lpstr>XDO_?FINAL_PER_NET?65?</vt:lpstr>
      <vt:lpstr>XDO_?FINAL_QUANTITE?63?</vt:lpstr>
      <vt:lpstr>XDO_?FINAL_QUANTITE?64?</vt:lpstr>
      <vt:lpstr>XDO_?FINAL_QUANTITE?65?</vt:lpstr>
      <vt:lpstr>XDO_?NAMCNAME?13?</vt:lpstr>
      <vt:lpstr>XDO_?NOVAL?63?</vt:lpstr>
      <vt:lpstr>XDO_?NOVAL?64?</vt:lpstr>
      <vt:lpstr>XDO_?NOVAL?65?</vt:lpstr>
      <vt:lpstr>XDO_?NPTF?13?</vt:lpstr>
      <vt:lpstr>XDO_?RATING?63?</vt:lpstr>
      <vt:lpstr>XDO_?RATING?64?</vt:lpstr>
      <vt:lpstr>XDO_?RATING?65?</vt:lpstr>
      <vt:lpstr>XDO_?REMARKS?63?</vt:lpstr>
      <vt:lpstr>XDO_?REMARKS?64?</vt:lpstr>
      <vt:lpstr>XDO_?REMARKS?65?</vt:lpstr>
      <vt:lpstr>XDO_?TITL?13?</vt:lpstr>
      <vt:lpstr>XDO_?YTM?63?</vt:lpstr>
      <vt:lpstr>XDO_?YTM?64?</vt:lpstr>
      <vt:lpstr>XDO_?YTM?65?</vt:lpstr>
      <vt:lpstr>XDO_GROUP_?G_2?13?</vt:lpstr>
      <vt:lpstr>XDO_GROUP_?G_3?13?</vt:lpstr>
      <vt:lpstr>XDO_GROUP_?G_4?63?</vt:lpstr>
      <vt:lpstr>XDO_GROUP_?G_4?64?</vt:lpstr>
      <vt:lpstr>XDO_GROUP_?G_4?65?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2023-08-07T09:10:28Z</dcterms:created>
  <dcterms:modified xsi:type="dcterms:W3CDTF">2023-08-07T10:48:03Z</dcterms:modified>
</cp:coreProperties>
</file>