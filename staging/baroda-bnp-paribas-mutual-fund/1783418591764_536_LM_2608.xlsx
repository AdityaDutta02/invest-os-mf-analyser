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LM" sheetId="1" r:id="rId1"/>
  </sheets>
  <externalReferences>
    <externalReference r:id="rId2"/>
  </externalReferences>
  <definedNames>
    <definedName name="XDO_?CLASS_3?29?">LM!$C$8:$C$52</definedName>
    <definedName name="XDO_?FINAL_ISIN?138?">LM!$D$10:$D$52</definedName>
    <definedName name="XDO_?FINAL_ISIN?139?">LM!$D$10:$D$91</definedName>
    <definedName name="XDO_?FINAL_ISIN?140?">LM!$D$10:$D$95</definedName>
    <definedName name="XDO_?FINAL_MV?138?">LM!$G$10:$G$52</definedName>
    <definedName name="XDO_?FINAL_MV?139?">LM!$G$10:$G$91</definedName>
    <definedName name="XDO_?FINAL_MV?140?">LM!$G$10:$G$95</definedName>
    <definedName name="XDO_?FINAL_NAME?138?">LM!$C$10:$C$52</definedName>
    <definedName name="XDO_?FINAL_NAME?139?">LM!$C$10:$C$91</definedName>
    <definedName name="XDO_?FINAL_NAME?140?">LM!$C$10:$C$95</definedName>
    <definedName name="XDO_?FINAL_PER_NET?138?">LM!$H$10:$H$52</definedName>
    <definedName name="XDO_?FINAL_PER_NET?139?">LM!$H$10:$H$91</definedName>
    <definedName name="XDO_?FINAL_PER_NET?140?">LM!$H$10:$H$95</definedName>
    <definedName name="XDO_?FINAL_QUANTITE?138?">LM!$F$10:$F$52</definedName>
    <definedName name="XDO_?FINAL_QUANTITE?139?">LM!$F$10:$F$91</definedName>
    <definedName name="XDO_?FINAL_QUANTITE?140?">LM!$F$10:$F$95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LM!$C$2:$C$52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38?">LM!$B$10:$B$52</definedName>
    <definedName name="XDO_?NOVAL?139?">LM!$B$10:$B$91</definedName>
    <definedName name="XDO_?NOVAL?140?">LM!$B$10:$B$95</definedName>
    <definedName name="XDO_?NPTF?29?">LM!$D$2:$D$52</definedName>
    <definedName name="XDO_?RATING?138?">LM!$E$10:$E$52</definedName>
    <definedName name="XDO_?RATING?139?">LM!$E$10:$E$91</definedName>
    <definedName name="XDO_?RATING?140?">LM!$E$10:$E$95</definedName>
    <definedName name="XDO_?REMARKS?138?">LM!$K$10:$K$52</definedName>
    <definedName name="XDO_?REMARKS?139?">LM!$K$10:$K$91</definedName>
    <definedName name="XDO_?REMARKS?140?">LM!$K$10:$K$95</definedName>
    <definedName name="XDO_?TITL?29?">LM!$A$8:$A$52</definedName>
    <definedName name="XDO_?YTM?138?">LM!$I$10:$I$52</definedName>
    <definedName name="XDO_?YTM?139?">LM!$I$10:$I$91</definedName>
    <definedName name="XDO_?YTM?140?">LM!$I$10:$I$95</definedName>
    <definedName name="XDO_GROUP_?G_2?29?">LM!$2:$63</definedName>
    <definedName name="XDO_GROUP_?G_3?29?">LM!$8:$62</definedName>
    <definedName name="XDO_GROUP_?G_4?110?">[1]US!#REF!</definedName>
    <definedName name="XDO_GROUP_?G_4?138?">LM!$B$10:$IV$52</definedName>
    <definedName name="XDO_GROUP_?G_4?139?">LM!$B$57:$IV$57</definedName>
    <definedName name="XDO_GROUP_?G_4?140?">LM!$B$60:$IV$60</definedName>
    <definedName name="XDO_GROUP_?G_4?2?">[1]LW!#REF!</definedName>
    <definedName name="XDO_GROUP_?G_4?37?">[1]TA!#REF!</definedName>
    <definedName name="XDO_GROUP_?G_4?49?">[1]AR!#REF!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"/>
</calcChain>
</file>

<file path=xl/sharedStrings.xml><?xml version="1.0" encoding="utf-8"?>
<sst xmlns="http://schemas.openxmlformats.org/spreadsheetml/2006/main" count="275" uniqueCount="224">
  <si>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</si>
  <si>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</si>
  <si>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</si>
  <si>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</si>
  <si>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</si>
  <si>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</si>
  <si>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</si>
  <si>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</si>
  <si>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</si>
  <si>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</si>
  <si>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</si>
  <si>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</si>
  <si>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</si>
  <si>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</si>
  <si>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</si>
  <si>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</si>
  <si>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</si>
  <si>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</si>
  <si>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</si>
  <si>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</si>
  <si>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</si>
  <si>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</si>
  <si>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</si>
  <si>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</si>
  <si>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</si>
  <si>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</si>
  <si>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</si>
  <si>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</si>
  <si>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</si>
  <si>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</si>
  <si>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</si>
  <si>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</si>
  <si>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</si>
  <si>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</si>
  <si>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</si>
  <si>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</si>
  <si>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</si>
  <si>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</si>
  <si>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</si>
  <si>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</si>
  <si>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</si>
  <si>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</si>
  <si>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</si>
  <si>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</si>
  <si>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</si>
  <si>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</si>
  <si>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</si>
  <si>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100816</t>
  </si>
  <si>
    <t>APL Apollo Tubes Ltd.</t>
  </si>
  <si>
    <t>INE702C01027</t>
  </si>
  <si>
    <t>Industrial Products</t>
  </si>
  <si>
    <t>100036</t>
  </si>
  <si>
    <t>Mahindra &amp; Mahindra Financial Services Ltd.</t>
  </si>
  <si>
    <t>INE774D01024</t>
  </si>
  <si>
    <t>Finance</t>
  </si>
  <si>
    <t>100022</t>
  </si>
  <si>
    <t>The Phoenix Mills Ltd.</t>
  </si>
  <si>
    <t>INE211B01039</t>
  </si>
  <si>
    <t>Realty</t>
  </si>
  <si>
    <t>100242</t>
  </si>
  <si>
    <t>Schaeffler India Ltd.</t>
  </si>
  <si>
    <t>INE513A01022</t>
  </si>
  <si>
    <t>Auto Components</t>
  </si>
  <si>
    <t>100095</t>
  </si>
  <si>
    <t>Bharti Airtel Ltd.</t>
  </si>
  <si>
    <t>INE397D01024</t>
  </si>
  <si>
    <t>Telecom - Services</t>
  </si>
  <si>
    <t>100398</t>
  </si>
  <si>
    <t>Aditya Birla Fashion and Retail Ltd.</t>
  </si>
  <si>
    <t>INE647O01011</t>
  </si>
  <si>
    <t>Retailing</t>
  </si>
  <si>
    <t>100200</t>
  </si>
  <si>
    <t>Page Industries Ltd.</t>
  </si>
  <si>
    <t>INE761H01022</t>
  </si>
  <si>
    <t>Textiles &amp; Apparels</t>
  </si>
  <si>
    <t>100013</t>
  </si>
  <si>
    <t>IndusInd Bank Ltd.</t>
  </si>
  <si>
    <t>INE095A01012</t>
  </si>
  <si>
    <t>100008</t>
  </si>
  <si>
    <t>Sun Pharmaceutical Industries Ltd.</t>
  </si>
  <si>
    <t>INE044A01036</t>
  </si>
  <si>
    <t>Pharmaceuticals &amp; Biotechnology</t>
  </si>
  <si>
    <t>100024</t>
  </si>
  <si>
    <t>Axis Bank Ltd.</t>
  </si>
  <si>
    <t>INE238A01034</t>
  </si>
  <si>
    <t>100222</t>
  </si>
  <si>
    <t>The Indian Hotels Company Ltd.</t>
  </si>
  <si>
    <t>INE053A01029</t>
  </si>
  <si>
    <t>Leisure Services</t>
  </si>
  <si>
    <t>100234</t>
  </si>
  <si>
    <t>Coforge Ltd.</t>
  </si>
  <si>
    <t>INE591G01017</t>
  </si>
  <si>
    <t>100056</t>
  </si>
  <si>
    <t>Supreme Industries Ltd.</t>
  </si>
  <si>
    <t>INE195A01028</t>
  </si>
  <si>
    <t>100268</t>
  </si>
  <si>
    <t>NLC India Ltd.</t>
  </si>
  <si>
    <t>INE589A01014</t>
  </si>
  <si>
    <t>100035</t>
  </si>
  <si>
    <t>NMDC Ltd.</t>
  </si>
  <si>
    <t>INE584A01023</t>
  </si>
  <si>
    <t>Minerals &amp; Mining</t>
  </si>
  <si>
    <t>100161</t>
  </si>
  <si>
    <t>Cummins India Ltd.</t>
  </si>
  <si>
    <t>INE298A01020</t>
  </si>
  <si>
    <t>100004</t>
  </si>
  <si>
    <t>Zydus Lifesciences Ltd.</t>
  </si>
  <si>
    <t>INE010B01027</t>
  </si>
  <si>
    <t>100164</t>
  </si>
  <si>
    <t>Petronet LNG Ltd.</t>
  </si>
  <si>
    <t>INE347G01014</t>
  </si>
  <si>
    <t>Gas</t>
  </si>
  <si>
    <t>100386</t>
  </si>
  <si>
    <t>Carborundum Universal Ltd.</t>
  </si>
  <si>
    <t>INE120A01034</t>
  </si>
  <si>
    <t>100014</t>
  </si>
  <si>
    <t>Mahindra &amp; Mahindra Ltd.</t>
  </si>
  <si>
    <t>INE101A01026</t>
  </si>
  <si>
    <t>Automobiles</t>
  </si>
  <si>
    <t>101390</t>
  </si>
  <si>
    <t>PB Fintech Ltd.</t>
  </si>
  <si>
    <t>INE417T01026</t>
  </si>
  <si>
    <t>Financial Technology (Fintech)</t>
  </si>
  <si>
    <t>100081</t>
  </si>
  <si>
    <t>Titan Company Ltd.</t>
  </si>
  <si>
    <t>INE280A01028</t>
  </si>
  <si>
    <t>Consumer Durables</t>
  </si>
  <si>
    <t>100069</t>
  </si>
  <si>
    <t>Mahindra CIE Automotive Ltd.</t>
  </si>
  <si>
    <t>INE536H01010</t>
  </si>
  <si>
    <t>100453</t>
  </si>
  <si>
    <t>RBL Bank Ltd.</t>
  </si>
  <si>
    <t>INE976G01028</t>
  </si>
  <si>
    <t>100003</t>
  </si>
  <si>
    <t>Infosys Ltd.</t>
  </si>
  <si>
    <t>INE009A01021</t>
  </si>
  <si>
    <t>100106</t>
  </si>
  <si>
    <t>Maruti Suzuki India Ltd.</t>
  </si>
  <si>
    <t>INE585B01010</t>
  </si>
  <si>
    <t>100235</t>
  </si>
  <si>
    <t>CRISIL Ltd.</t>
  </si>
  <si>
    <t>INE007A01025</t>
  </si>
  <si>
    <t>101080</t>
  </si>
  <si>
    <t>JB Chemicals &amp; Pharmaceuticals Ltd.</t>
  </si>
  <si>
    <t>INE572A01028</t>
  </si>
  <si>
    <t>100084</t>
  </si>
  <si>
    <t>ABB India Ltd.</t>
  </si>
  <si>
    <t>INE117A01022</t>
  </si>
  <si>
    <t>Electrical Equipment</t>
  </si>
  <si>
    <t>100942</t>
  </si>
  <si>
    <t>Brigade Enterprises Ltd.</t>
  </si>
  <si>
    <t>INE791I01019</t>
  </si>
  <si>
    <t>100830</t>
  </si>
  <si>
    <t>Varun Beverages Ltd.</t>
  </si>
  <si>
    <t>INE200M01013</t>
  </si>
  <si>
    <t>Beverages</t>
  </si>
  <si>
    <t>100306</t>
  </si>
  <si>
    <t>Abbott India Ltd.</t>
  </si>
  <si>
    <t>INE358A01014</t>
  </si>
  <si>
    <t>100055</t>
  </si>
  <si>
    <t>The Federal Bank Ltd.</t>
  </si>
  <si>
    <t>INE171A01029</t>
  </si>
  <si>
    <t>100477</t>
  </si>
  <si>
    <t>PNB Housing Finance Ltd.</t>
  </si>
  <si>
    <t>INE572E01012</t>
  </si>
  <si>
    <t>100739</t>
  </si>
  <si>
    <t>UNO Minda Ltd.</t>
  </si>
  <si>
    <t>INE405E01023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</si>
  <si>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</si>
  <si>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</si>
  <si>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</si>
  <si>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</si>
  <si>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</si>
  <si>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</si>
  <si>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</si>
  <si>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</si>
  <si>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</si>
  <si>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</si>
  <si>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</si>
  <si>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</si>
  <si>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</si>
  <si>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</si>
  <si>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</si>
  <si>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</si>
  <si>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</si>
  <si>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</si>
  <si>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</si>
  <si>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</si>
  <si>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</si>
  <si>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</si>
  <si>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</si>
  <si>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</si>
  <si>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</si>
  <si>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</si>
  <si>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</si>
  <si>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</si>
  <si>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</si>
  <si>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</si>
  <si>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</si>
  <si>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</si>
  <si>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</si>
  <si>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</si>
  <si>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</si>
  <si>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</si>
  <si>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</si>
  <si>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</si>
  <si>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</si>
  <si>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</si>
  <si>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</si>
  <si>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</si>
  <si>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</si>
  <si>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</si>
  <si>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</si>
  <si>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</si>
  <si>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0.04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</si>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</sst>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5</xdr:col>
      <xdr:colOff>487341</xdr:colOff>
      <xdr:row>146</xdr:row>
      <xdr:rowOff>126322</xdr:rowOff>
    </xdr:to>
    <xdr:pic>
      <xdr:nvPicPr>
        <xdr:cNvPr id="2" name="Picture 1" descr="Baroda BNP Paribas Large and 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35881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33"/>
  <sheetViews>
    <sheetView showGridLines="0" tabSelected="1" zoomScale="90" zoomScaleNormal="90" workbookViewId="0">
      <pane ySplit="6" topLeftCell="A141" activePane="bottomLeft" state="frozen"/>
      <selection activeCell="I2" sqref="I2"/>
      <selection pane="bottomLeft" activeCell="C148" sqref="C148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5737.84</v>
      </c>
      <c r="H10" s="34">
        <v>7.7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115000</v>
      </c>
      <c r="G11" s="34">
        <v>3702.14</v>
      </c>
      <c r="H11" s="34">
        <v>4.97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27</v>
      </c>
      <c r="F12" s="33">
        <v>7400000</v>
      </c>
      <c r="G12" s="34">
        <v>3274.5</v>
      </c>
      <c r="H12" s="34">
        <v>4.3899999999999997</v>
      </c>
      <c r="I12" s="35"/>
      <c r="J12" s="35"/>
      <c r="K12" s="36"/>
    </row>
    <row r="13" spans="1:55">
      <c r="B13" s="1" t="s">
        <v>28</v>
      </c>
      <c r="C13" s="21" t="s">
        <v>29</v>
      </c>
      <c r="D13" s="31" t="s">
        <v>30</v>
      </c>
      <c r="E13" s="32" t="s">
        <v>31</v>
      </c>
      <c r="F13" s="33">
        <v>700000</v>
      </c>
      <c r="G13" s="34">
        <v>2978.85</v>
      </c>
      <c r="H13" s="34">
        <v>4</v>
      </c>
      <c r="I13" s="35"/>
      <c r="J13" s="35"/>
      <c r="K13" s="36"/>
    </row>
    <row r="14" spans="1:5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100000</v>
      </c>
      <c r="G14" s="34">
        <v>2420.5</v>
      </c>
      <c r="H14" s="34">
        <v>3.25</v>
      </c>
      <c r="I14" s="35"/>
      <c r="J14" s="35"/>
      <c r="K14" s="36"/>
    </row>
    <row r="15" spans="1:5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115000</v>
      </c>
      <c r="G15" s="34">
        <v>2295.63</v>
      </c>
      <c r="H15" s="34">
        <v>3.08</v>
      </c>
      <c r="I15" s="35"/>
      <c r="J15" s="35"/>
      <c r="K15" s="36"/>
    </row>
    <row r="16" spans="1:55">
      <c r="B16" s="1" t="s">
        <v>40</v>
      </c>
      <c r="C16" s="21" t="s">
        <v>41</v>
      </c>
      <c r="D16" s="31" t="s">
        <v>42</v>
      </c>
      <c r="E16" s="32" t="s">
        <v>43</v>
      </c>
      <c r="F16" s="33">
        <v>95000</v>
      </c>
      <c r="G16" s="34">
        <v>2246.1799999999998</v>
      </c>
      <c r="H16" s="34">
        <v>3.01</v>
      </c>
      <c r="I16" s="35"/>
      <c r="J16" s="35"/>
      <c r="K16" s="36"/>
    </row>
    <row r="17" spans="2:11">
      <c r="B17" s="1" t="s">
        <v>44</v>
      </c>
      <c r="C17" s="21" t="s">
        <v>45</v>
      </c>
      <c r="D17" s="31" t="s">
        <v>46</v>
      </c>
      <c r="E17" s="32" t="s">
        <v>19</v>
      </c>
      <c r="F17" s="33">
        <v>235000</v>
      </c>
      <c r="G17" s="34">
        <v>2156.48</v>
      </c>
      <c r="H17" s="34">
        <v>2.89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175000</v>
      </c>
      <c r="G18" s="34">
        <v>2091.34</v>
      </c>
      <c r="H18" s="34">
        <v>2.81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54</v>
      </c>
      <c r="F19" s="33">
        <v>800000</v>
      </c>
      <c r="G19" s="34">
        <v>2072</v>
      </c>
      <c r="H19" s="34">
        <v>2.78</v>
      </c>
      <c r="I19" s="35"/>
      <c r="J19" s="35"/>
      <c r="K19" s="36"/>
    </row>
    <row r="20" spans="2:11">
      <c r="B20" s="1" t="s">
        <v>55</v>
      </c>
      <c r="C20" s="21" t="s">
        <v>56</v>
      </c>
      <c r="D20" s="31" t="s">
        <v>57</v>
      </c>
      <c r="E20" s="32" t="s">
        <v>58</v>
      </c>
      <c r="F20" s="33">
        <v>135000</v>
      </c>
      <c r="G20" s="34">
        <v>1951.7</v>
      </c>
      <c r="H20" s="34">
        <v>2.62</v>
      </c>
      <c r="I20" s="35"/>
      <c r="J20" s="35"/>
      <c r="K20" s="36"/>
    </row>
    <row r="21" spans="2:11">
      <c r="B21" s="1" t="s">
        <v>59</v>
      </c>
      <c r="C21" s="21" t="s">
        <v>60</v>
      </c>
      <c r="D21" s="31" t="s">
        <v>61</v>
      </c>
      <c r="E21" s="32" t="s">
        <v>62</v>
      </c>
      <c r="F21" s="33">
        <v>70000</v>
      </c>
      <c r="G21" s="34">
        <v>1942.26</v>
      </c>
      <c r="H21" s="34">
        <v>2.61</v>
      </c>
      <c r="I21" s="35"/>
      <c r="J21" s="35"/>
      <c r="K21" s="36"/>
    </row>
    <row r="22" spans="2:11">
      <c r="B22" s="1" t="s">
        <v>63</v>
      </c>
      <c r="C22" s="21" t="s">
        <v>64</v>
      </c>
      <c r="D22" s="31" t="s">
        <v>65</v>
      </c>
      <c r="E22" s="32" t="s">
        <v>66</v>
      </c>
      <c r="F22" s="33">
        <v>225000</v>
      </c>
      <c r="G22" s="34">
        <v>1798.43</v>
      </c>
      <c r="H22" s="34">
        <v>2.41</v>
      </c>
      <c r="I22" s="35"/>
      <c r="J22" s="35"/>
      <c r="K22" s="36"/>
    </row>
    <row r="23" spans="2:11">
      <c r="B23" s="1" t="s">
        <v>67</v>
      </c>
      <c r="C23" s="21" t="s">
        <v>68</v>
      </c>
      <c r="D23" s="31" t="s">
        <v>69</v>
      </c>
      <c r="E23" s="32" t="s">
        <v>70</v>
      </c>
      <c r="F23" s="33">
        <v>800000</v>
      </c>
      <c r="G23" s="34">
        <v>1781.2</v>
      </c>
      <c r="H23" s="34">
        <v>2.39</v>
      </c>
      <c r="I23" s="35"/>
      <c r="J23" s="35"/>
      <c r="K23" s="36"/>
    </row>
    <row r="24" spans="2:11">
      <c r="B24" s="1" t="s">
        <v>71</v>
      </c>
      <c r="C24" s="21" t="s">
        <v>72</v>
      </c>
      <c r="D24" s="31" t="s">
        <v>73</v>
      </c>
      <c r="E24" s="32" t="s">
        <v>74</v>
      </c>
      <c r="F24" s="33">
        <v>4300</v>
      </c>
      <c r="G24" s="34">
        <v>1733.79</v>
      </c>
      <c r="H24" s="34">
        <v>2.33</v>
      </c>
      <c r="I24" s="35"/>
      <c r="J24" s="35"/>
      <c r="K24" s="36"/>
    </row>
    <row r="25" spans="2:11">
      <c r="B25" s="1" t="s">
        <v>75</v>
      </c>
      <c r="C25" s="21" t="s">
        <v>76</v>
      </c>
      <c r="D25" s="31" t="s">
        <v>77</v>
      </c>
      <c r="E25" s="32" t="s">
        <v>19</v>
      </c>
      <c r="F25" s="33">
        <v>150000</v>
      </c>
      <c r="G25" s="34">
        <v>1729.2</v>
      </c>
      <c r="H25" s="34">
        <v>2.3199999999999998</v>
      </c>
      <c r="I25" s="35"/>
      <c r="J25" s="35"/>
      <c r="K25" s="36"/>
    </row>
    <row r="26" spans="2:11">
      <c r="B26" s="1" t="s">
        <v>78</v>
      </c>
      <c r="C26" s="21" t="s">
        <v>79</v>
      </c>
      <c r="D26" s="31" t="s">
        <v>80</v>
      </c>
      <c r="E26" s="32" t="s">
        <v>81</v>
      </c>
      <c r="F26" s="33">
        <v>175000</v>
      </c>
      <c r="G26" s="34">
        <v>1728.39</v>
      </c>
      <c r="H26" s="34">
        <v>2.3199999999999998</v>
      </c>
      <c r="I26" s="35"/>
      <c r="J26" s="35"/>
      <c r="K26" s="36"/>
    </row>
    <row r="27" spans="2:11">
      <c r="B27" s="1" t="s">
        <v>82</v>
      </c>
      <c r="C27" s="21" t="s">
        <v>83</v>
      </c>
      <c r="D27" s="31" t="s">
        <v>84</v>
      </c>
      <c r="E27" s="32" t="s">
        <v>19</v>
      </c>
      <c r="F27" s="33">
        <v>200000</v>
      </c>
      <c r="G27" s="34">
        <v>1720</v>
      </c>
      <c r="H27" s="34">
        <v>2.31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88</v>
      </c>
      <c r="F28" s="33">
        <v>500000</v>
      </c>
      <c r="G28" s="34">
        <v>1695.5</v>
      </c>
      <c r="H28" s="34">
        <v>2.27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23</v>
      </c>
      <c r="F29" s="33">
        <v>40000</v>
      </c>
      <c r="G29" s="34">
        <v>1673.8</v>
      </c>
      <c r="H29" s="34">
        <v>2.25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50</v>
      </c>
      <c r="F30" s="33">
        <v>60000</v>
      </c>
      <c r="G30" s="34">
        <v>1633.08</v>
      </c>
      <c r="H30" s="34">
        <v>2.19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27</v>
      </c>
      <c r="F31" s="33">
        <v>2000000</v>
      </c>
      <c r="G31" s="34">
        <v>1629</v>
      </c>
      <c r="H31" s="34">
        <v>2.19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1500000</v>
      </c>
      <c r="G32" s="34">
        <v>1627.5</v>
      </c>
      <c r="H32" s="34">
        <v>2.1800000000000002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50</v>
      </c>
      <c r="F33" s="33">
        <v>100000</v>
      </c>
      <c r="G33" s="34">
        <v>1575.65</v>
      </c>
      <c r="H33" s="34">
        <v>2.11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81</v>
      </c>
      <c r="F34" s="33">
        <v>300000</v>
      </c>
      <c r="G34" s="34">
        <v>1559.7</v>
      </c>
      <c r="H34" s="34">
        <v>2.09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650000</v>
      </c>
      <c r="G35" s="34">
        <v>1539.85</v>
      </c>
      <c r="H35" s="34">
        <v>2.0699999999999998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50</v>
      </c>
      <c r="F36" s="33">
        <v>115000</v>
      </c>
      <c r="G36" s="34">
        <v>1238.9000000000001</v>
      </c>
      <c r="H36" s="34">
        <v>1.66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100000</v>
      </c>
      <c r="G37" s="34">
        <v>1226.9000000000001</v>
      </c>
      <c r="H37" s="34">
        <v>1.65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200000</v>
      </c>
      <c r="G38" s="34">
        <v>1200.2</v>
      </c>
      <c r="H38" s="34">
        <v>1.61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45000</v>
      </c>
      <c r="G39" s="34">
        <v>1188.83</v>
      </c>
      <c r="H39" s="34">
        <v>1.59</v>
      </c>
      <c r="I39" s="35"/>
      <c r="J39" s="35"/>
      <c r="K39" s="36"/>
    </row>
    <row r="40" spans="2:11">
      <c r="B40" s="1" t="s">
        <v>127</v>
      </c>
      <c r="C40" s="21" t="s">
        <v>128</v>
      </c>
      <c r="D40" s="31" t="s">
        <v>129</v>
      </c>
      <c r="E40" s="32" t="s">
        <v>62</v>
      </c>
      <c r="F40" s="33">
        <v>294118</v>
      </c>
      <c r="G40" s="34">
        <v>1172.94</v>
      </c>
      <c r="H40" s="34">
        <v>1.57</v>
      </c>
      <c r="I40" s="35"/>
      <c r="J40" s="35"/>
      <c r="K40" s="36"/>
    </row>
    <row r="41" spans="2:11">
      <c r="B41" s="1" t="s">
        <v>130</v>
      </c>
      <c r="C41" s="21" t="s">
        <v>131</v>
      </c>
      <c r="D41" s="31" t="s">
        <v>132</v>
      </c>
      <c r="E41" s="32" t="s">
        <v>19</v>
      </c>
      <c r="F41" s="33">
        <v>700000</v>
      </c>
      <c r="G41" s="34">
        <v>1132.5999999999999</v>
      </c>
      <c r="H41" s="34">
        <v>1.52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23</v>
      </c>
      <c r="F42" s="33">
        <v>90000</v>
      </c>
      <c r="G42" s="34">
        <v>1127.48</v>
      </c>
      <c r="H42" s="34">
        <v>1.51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118</v>
      </c>
      <c r="F43" s="33">
        <v>13000</v>
      </c>
      <c r="G43" s="34">
        <v>1116.6400000000001</v>
      </c>
      <c r="H43" s="34">
        <v>1.5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54</v>
      </c>
      <c r="F44" s="33">
        <v>30000</v>
      </c>
      <c r="G44" s="34">
        <v>1079.76</v>
      </c>
      <c r="H44" s="34">
        <v>1.45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81</v>
      </c>
      <c r="F45" s="33">
        <v>50000</v>
      </c>
      <c r="G45" s="34">
        <v>1064.93</v>
      </c>
      <c r="H45" s="34">
        <v>1.43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30000</v>
      </c>
      <c r="G46" s="34">
        <v>1025.3900000000001</v>
      </c>
      <c r="H46" s="34">
        <v>1.38</v>
      </c>
      <c r="I46" s="35"/>
      <c r="J46" s="35"/>
      <c r="K46" s="36"/>
    </row>
    <row r="47" spans="2:11">
      <c r="B47" s="1" t="s">
        <v>149</v>
      </c>
      <c r="C47" s="21" t="s">
        <v>150</v>
      </c>
      <c r="D47" s="31" t="s">
        <v>151</v>
      </c>
      <c r="E47" s="32" t="s">
        <v>58</v>
      </c>
      <c r="F47" s="33">
        <v>197469</v>
      </c>
      <c r="G47" s="34">
        <v>991.1</v>
      </c>
      <c r="H47" s="34">
        <v>1.33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60000</v>
      </c>
      <c r="G48" s="34">
        <v>867.12</v>
      </c>
      <c r="H48" s="34">
        <v>1.1599999999999999</v>
      </c>
      <c r="I48" s="35"/>
      <c r="J48" s="35"/>
      <c r="K48" s="36"/>
    </row>
    <row r="49" spans="2:11">
      <c r="B49" s="1" t="s">
        <v>156</v>
      </c>
      <c r="C49" s="21" t="s">
        <v>157</v>
      </c>
      <c r="D49" s="31" t="s">
        <v>158</v>
      </c>
      <c r="E49" s="32" t="s">
        <v>81</v>
      </c>
      <c r="F49" s="33">
        <v>3250</v>
      </c>
      <c r="G49" s="34">
        <v>724.66</v>
      </c>
      <c r="H49" s="34">
        <v>0.97</v>
      </c>
      <c r="I49" s="35"/>
      <c r="J49" s="35"/>
      <c r="K49" s="36"/>
    </row>
    <row r="50" spans="2:11">
      <c r="B50" s="1" t="s">
        <v>159</v>
      </c>
      <c r="C50" s="21" t="s">
        <v>160</v>
      </c>
      <c r="D50" s="31" t="s">
        <v>161</v>
      </c>
      <c r="E50" s="32" t="s">
        <v>19</v>
      </c>
      <c r="F50" s="33">
        <v>500000</v>
      </c>
      <c r="G50" s="34">
        <v>674.75</v>
      </c>
      <c r="H50" s="34">
        <v>0.91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54</v>
      </c>
      <c r="F51" s="33">
        <v>150000</v>
      </c>
      <c r="G51" s="34">
        <v>668.85</v>
      </c>
      <c r="H51" s="34">
        <v>0.9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62</v>
      </c>
      <c r="F52" s="33">
        <v>77400</v>
      </c>
      <c r="G52" s="34">
        <v>403.41</v>
      </c>
      <c r="H52" s="34">
        <v>0.54</v>
      </c>
      <c r="I52" s="35"/>
      <c r="J52" s="35"/>
      <c r="K52" s="36"/>
    </row>
    <row r="53" spans="2:11">
      <c r="C53" s="30" t="s">
        <v>168</v>
      </c>
      <c r="D53" s="31"/>
      <c r="E53" s="32"/>
      <c r="F53" s="33"/>
      <c r="G53" s="38">
        <v>73198.97</v>
      </c>
      <c r="H53" s="38">
        <v>98.22</v>
      </c>
      <c r="I53" s="35"/>
      <c r="J53" s="35"/>
      <c r="K53" s="36"/>
    </row>
    <row r="54" spans="2:11">
      <c r="C54" s="21"/>
      <c r="D54" s="31"/>
      <c r="E54" s="32"/>
      <c r="F54" s="33"/>
      <c r="G54" s="34"/>
      <c r="H54" s="34"/>
      <c r="I54" s="35"/>
      <c r="J54" s="35"/>
      <c r="K54" s="36"/>
    </row>
    <row r="55" spans="2:11">
      <c r="C55" s="30" t="s">
        <v>169</v>
      </c>
      <c r="D55" s="31"/>
      <c r="E55" s="32"/>
      <c r="F55" s="33"/>
      <c r="G55" s="34" t="s">
        <v>170</v>
      </c>
      <c r="H55" s="34" t="s">
        <v>170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171</v>
      </c>
      <c r="D57" s="31"/>
      <c r="E57" s="32"/>
      <c r="F57" s="33"/>
      <c r="G57" s="34" t="s">
        <v>170</v>
      </c>
      <c r="H57" s="34" t="s">
        <v>170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172</v>
      </c>
      <c r="D59" s="31"/>
      <c r="E59" s="32"/>
      <c r="F59" s="33"/>
      <c r="G59" s="34"/>
      <c r="H59" s="34"/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173</v>
      </c>
      <c r="D61" s="31"/>
      <c r="E61" s="32"/>
      <c r="F61" s="33"/>
      <c r="G61" s="34" t="s">
        <v>170</v>
      </c>
      <c r="H61" s="34" t="s">
        <v>170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0" t="s">
        <v>174</v>
      </c>
      <c r="D63" s="31"/>
      <c r="E63" s="32"/>
      <c r="F63" s="33"/>
      <c r="G63" s="34" t="s">
        <v>170</v>
      </c>
      <c r="H63" s="34" t="s">
        <v>170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3:11">
      <c r="C65" s="30" t="s">
        <v>175</v>
      </c>
      <c r="D65" s="31"/>
      <c r="E65" s="32"/>
      <c r="F65" s="33"/>
      <c r="G65" s="34" t="s">
        <v>170</v>
      </c>
      <c r="H65" s="34" t="s">
        <v>170</v>
      </c>
      <c r="I65" s="35"/>
      <c r="J65" s="35"/>
      <c r="K65" s="36"/>
    </row>
    <row r="66" spans="3:11">
      <c r="C66" s="21"/>
      <c r="D66" s="31"/>
      <c r="E66" s="32"/>
      <c r="F66" s="33"/>
      <c r="G66" s="34"/>
      <c r="H66" s="34"/>
      <c r="I66" s="35"/>
      <c r="J66" s="35"/>
      <c r="K66" s="36"/>
    </row>
    <row r="67" spans="3:11">
      <c r="C67" s="30" t="s">
        <v>176</v>
      </c>
      <c r="D67" s="31"/>
      <c r="E67" s="32"/>
      <c r="F67" s="33"/>
      <c r="G67" s="34" t="s">
        <v>170</v>
      </c>
      <c r="H67" s="34" t="s">
        <v>170</v>
      </c>
      <c r="I67" s="35"/>
      <c r="J67" s="35"/>
      <c r="K67" s="36"/>
    </row>
    <row r="68" spans="3:11">
      <c r="C68" s="21"/>
      <c r="D68" s="31"/>
      <c r="E68" s="32"/>
      <c r="F68" s="33"/>
      <c r="G68" s="34"/>
      <c r="H68" s="34"/>
      <c r="I68" s="35"/>
      <c r="J68" s="35"/>
      <c r="K68" s="36"/>
    </row>
    <row r="69" spans="3:11">
      <c r="C69" s="30" t="s">
        <v>177</v>
      </c>
      <c r="D69" s="31"/>
      <c r="E69" s="32"/>
      <c r="F69" s="33"/>
      <c r="G69" s="34" t="s">
        <v>170</v>
      </c>
      <c r="H69" s="34" t="s">
        <v>170</v>
      </c>
      <c r="I69" s="35"/>
      <c r="J69" s="35"/>
      <c r="K69" s="36"/>
    </row>
    <row r="70" spans="3:11">
      <c r="C70" s="21"/>
      <c r="D70" s="31"/>
      <c r="E70" s="32"/>
      <c r="F70" s="33"/>
      <c r="G70" s="34"/>
      <c r="H70" s="34"/>
      <c r="I70" s="35"/>
      <c r="J70" s="35"/>
      <c r="K70" s="36"/>
    </row>
    <row r="71" spans="3:11">
      <c r="C71" s="30" t="s">
        <v>178</v>
      </c>
      <c r="D71" s="31"/>
      <c r="E71" s="32"/>
      <c r="F71" s="33"/>
      <c r="G71" s="34"/>
      <c r="H71" s="34"/>
      <c r="I71" s="35"/>
      <c r="J71" s="35"/>
      <c r="K71" s="36"/>
    </row>
    <row r="72" spans="3:11">
      <c r="C72" s="21"/>
      <c r="D72" s="31"/>
      <c r="E72" s="32"/>
      <c r="F72" s="33"/>
      <c r="G72" s="34"/>
      <c r="H72" s="34"/>
      <c r="I72" s="35"/>
      <c r="J72" s="35"/>
      <c r="K72" s="36"/>
    </row>
    <row r="73" spans="3:11">
      <c r="C73" s="30" t="s">
        <v>179</v>
      </c>
      <c r="D73" s="31"/>
      <c r="E73" s="32"/>
      <c r="F73" s="33"/>
      <c r="G73" s="34" t="s">
        <v>170</v>
      </c>
      <c r="H73" s="34" t="s">
        <v>170</v>
      </c>
      <c r="I73" s="35"/>
      <c r="J73" s="35"/>
      <c r="K73" s="36"/>
    </row>
    <row r="74" spans="3:11">
      <c r="C74" s="21"/>
      <c r="D74" s="31"/>
      <c r="E74" s="32"/>
      <c r="F74" s="33"/>
      <c r="G74" s="34"/>
      <c r="H74" s="34"/>
      <c r="I74" s="35"/>
      <c r="J74" s="35"/>
      <c r="K74" s="36"/>
    </row>
    <row r="75" spans="3:11">
      <c r="C75" s="30" t="s">
        <v>180</v>
      </c>
      <c r="D75" s="31"/>
      <c r="E75" s="32"/>
      <c r="F75" s="33"/>
      <c r="G75" s="34" t="s">
        <v>170</v>
      </c>
      <c r="H75" s="34" t="s">
        <v>170</v>
      </c>
      <c r="I75" s="35"/>
      <c r="J75" s="35"/>
      <c r="K75" s="36"/>
    </row>
    <row r="76" spans="3:11">
      <c r="C76" s="21"/>
      <c r="D76" s="31"/>
      <c r="E76" s="32"/>
      <c r="F76" s="33"/>
      <c r="G76" s="34"/>
      <c r="H76" s="34"/>
      <c r="I76" s="35"/>
      <c r="J76" s="35"/>
      <c r="K76" s="36"/>
    </row>
    <row r="77" spans="3:11">
      <c r="C77" s="30" t="s">
        <v>181</v>
      </c>
      <c r="D77" s="31"/>
      <c r="E77" s="32"/>
      <c r="F77" s="33"/>
      <c r="G77" s="34" t="s">
        <v>170</v>
      </c>
      <c r="H77" s="34" t="s">
        <v>170</v>
      </c>
      <c r="I77" s="35"/>
      <c r="J77" s="35"/>
      <c r="K77" s="36"/>
    </row>
    <row r="78" spans="3:11">
      <c r="C78" s="21"/>
      <c r="D78" s="31"/>
      <c r="E78" s="32"/>
      <c r="F78" s="33"/>
      <c r="G78" s="34"/>
      <c r="H78" s="34"/>
      <c r="I78" s="35"/>
      <c r="J78" s="35"/>
      <c r="K78" s="36"/>
    </row>
    <row r="79" spans="3:11">
      <c r="C79" s="30" t="s">
        <v>182</v>
      </c>
      <c r="D79" s="31"/>
      <c r="E79" s="32"/>
      <c r="F79" s="33"/>
      <c r="G79" s="34" t="s">
        <v>170</v>
      </c>
      <c r="H79" s="34" t="s">
        <v>170</v>
      </c>
      <c r="I79" s="35"/>
      <c r="J79" s="35"/>
      <c r="K79" s="36"/>
    </row>
    <row r="80" spans="3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A81" s="28"/>
      <c r="B81" s="29"/>
      <c r="C81" s="30" t="s">
        <v>183</v>
      </c>
      <c r="D81" s="31"/>
      <c r="E81" s="32"/>
      <c r="F81" s="33"/>
      <c r="G81" s="34"/>
      <c r="H81" s="34"/>
      <c r="I81" s="35"/>
      <c r="J81" s="35"/>
      <c r="K81" s="36"/>
    </row>
    <row r="82" spans="1:11">
      <c r="A82" s="29"/>
      <c r="B82" s="29"/>
      <c r="C82" s="30" t="s">
        <v>184</v>
      </c>
      <c r="D82" s="31"/>
      <c r="E82" s="32"/>
      <c r="F82" s="33"/>
      <c r="G82" s="34" t="s">
        <v>170</v>
      </c>
      <c r="H82" s="34" t="s">
        <v>170</v>
      </c>
      <c r="I82" s="35"/>
      <c r="J82" s="35"/>
      <c r="K82" s="36"/>
    </row>
    <row r="83" spans="1:11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185</v>
      </c>
      <c r="D84" s="31"/>
      <c r="E84" s="32"/>
      <c r="F84" s="33"/>
      <c r="G84" s="34" t="s">
        <v>170</v>
      </c>
      <c r="H84" s="34" t="s">
        <v>170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186</v>
      </c>
      <c r="D86" s="31"/>
      <c r="E86" s="32"/>
      <c r="F86" s="33"/>
      <c r="G86" s="34" t="s">
        <v>170</v>
      </c>
      <c r="H86" s="34" t="s">
        <v>170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A88" s="29"/>
      <c r="B88" s="29"/>
      <c r="C88" s="30" t="s">
        <v>187</v>
      </c>
      <c r="D88" s="31"/>
      <c r="E88" s="32"/>
      <c r="F88" s="33"/>
      <c r="G88" s="34" t="s">
        <v>170</v>
      </c>
      <c r="H88" s="34" t="s">
        <v>170</v>
      </c>
      <c r="I88" s="35"/>
      <c r="J88" s="35"/>
      <c r="K88" s="36"/>
    </row>
    <row r="89" spans="1:11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>
      <c r="C90" s="37" t="s">
        <v>188</v>
      </c>
      <c r="D90" s="31"/>
      <c r="E90" s="32"/>
      <c r="F90" s="33"/>
      <c r="G90" s="34"/>
      <c r="H90" s="34"/>
      <c r="I90" s="35"/>
      <c r="J90" s="35"/>
      <c r="K90" s="36"/>
    </row>
    <row r="91" spans="1:11">
      <c r="B91" s="1" t="s">
        <v>189</v>
      </c>
      <c r="C91" s="21" t="s">
        <v>190</v>
      </c>
      <c r="D91" s="31"/>
      <c r="E91" s="32"/>
      <c r="F91" s="33"/>
      <c r="G91" s="34">
        <v>1538.01</v>
      </c>
      <c r="H91" s="34">
        <v>2.06</v>
      </c>
      <c r="I91" s="35">
        <v>6.76</v>
      </c>
      <c r="J91" s="35"/>
      <c r="K91" s="36"/>
    </row>
    <row r="92" spans="1:11">
      <c r="C92" s="30" t="s">
        <v>168</v>
      </c>
      <c r="D92" s="31"/>
      <c r="E92" s="32"/>
      <c r="F92" s="33"/>
      <c r="G92" s="38">
        <v>1538.01</v>
      </c>
      <c r="H92" s="38">
        <v>2.06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>
      <c r="A94" s="28"/>
      <c r="B94" s="29"/>
      <c r="C94" s="30" t="s">
        <v>191</v>
      </c>
      <c r="D94" s="31"/>
      <c r="E94" s="32"/>
      <c r="F94" s="33"/>
      <c r="G94" s="34"/>
      <c r="H94" s="34"/>
      <c r="I94" s="35"/>
      <c r="J94" s="35"/>
      <c r="K94" s="36"/>
    </row>
    <row r="95" spans="1:11">
      <c r="B95" s="1"/>
      <c r="C95" s="21" t="s">
        <v>192</v>
      </c>
      <c r="D95" s="31"/>
      <c r="E95" s="32"/>
      <c r="F95" s="33"/>
      <c r="G95" s="34">
        <v>-184.75</v>
      </c>
      <c r="H95" s="34">
        <v>-0.28000000000000003</v>
      </c>
      <c r="I95" s="35"/>
      <c r="J95" s="35"/>
      <c r="K95" s="36"/>
    </row>
    <row r="96" spans="1:11">
      <c r="C96" s="30" t="s">
        <v>168</v>
      </c>
      <c r="D96" s="31"/>
      <c r="E96" s="32"/>
      <c r="F96" s="33"/>
      <c r="G96" s="38">
        <v>-184.75</v>
      </c>
      <c r="H96" s="38">
        <v>-0.28000000000000003</v>
      </c>
      <c r="I96" s="35"/>
      <c r="J96" s="35"/>
      <c r="K96" s="36"/>
    </row>
    <row r="97" spans="3:55">
      <c r="C97" s="21"/>
      <c r="D97" s="31"/>
      <c r="E97" s="32"/>
      <c r="F97" s="33"/>
      <c r="G97" s="34"/>
      <c r="H97" s="34"/>
      <c r="I97" s="35"/>
      <c r="J97" s="35"/>
      <c r="K97" s="36"/>
    </row>
    <row r="98" spans="3:55" ht="14.4" thickBot="1">
      <c r="C98" s="39" t="s">
        <v>193</v>
      </c>
      <c r="D98" s="40"/>
      <c r="E98" s="41"/>
      <c r="F98" s="42"/>
      <c r="G98" s="43">
        <v>74552.23</v>
      </c>
      <c r="H98" s="43">
        <f>SUMIFS(H:H,C:C,"Total")</f>
        <v>100</v>
      </c>
      <c r="I98" s="44"/>
      <c r="J98" s="44"/>
      <c r="K98" s="45"/>
    </row>
    <row r="101" spans="3:55">
      <c r="C101" s="11" t="s">
        <v>194</v>
      </c>
    </row>
    <row r="102" spans="3:55">
      <c r="C102" s="2" t="s">
        <v>195</v>
      </c>
    </row>
    <row r="103" spans="3:55">
      <c r="C103" s="46" t="s">
        <v>196</v>
      </c>
    </row>
    <row r="104" spans="3:55">
      <c r="C104" s="2" t="s">
        <v>197</v>
      </c>
    </row>
    <row r="105" spans="3:55">
      <c r="C105" s="2" t="s">
        <v>198</v>
      </c>
    </row>
    <row r="106" spans="3:55">
      <c r="C106" s="2" t="s">
        <v>199</v>
      </c>
      <c r="D106" s="47"/>
      <c r="E106" s="47"/>
      <c r="F106" s="47"/>
      <c r="G106" s="48"/>
      <c r="H106" s="48"/>
    </row>
    <row r="107" spans="3:55">
      <c r="C107" s="2" t="s">
        <v>200</v>
      </c>
    </row>
    <row r="108" spans="3:55">
      <c r="C108" s="2" t="s">
        <v>201</v>
      </c>
    </row>
    <row r="109" spans="3:55">
      <c r="C109" s="2" t="s">
        <v>202</v>
      </c>
    </row>
    <row r="110" spans="3:55">
      <c r="C110" s="2" t="s">
        <v>203</v>
      </c>
    </row>
    <row r="111" spans="3:55" s="11" customFormat="1">
      <c r="C111" s="11" t="s">
        <v>204</v>
      </c>
      <c r="E111" s="11" t="s">
        <v>205</v>
      </c>
      <c r="F111" s="49" t="s">
        <v>206</v>
      </c>
      <c r="G111" s="50"/>
      <c r="H111" s="50"/>
      <c r="I111" s="50"/>
      <c r="J111" s="50"/>
      <c r="K111" s="51"/>
      <c r="L111" s="51"/>
      <c r="M111" s="51"/>
      <c r="AJ111" s="51"/>
      <c r="AW111" s="51"/>
      <c r="AY111" s="51"/>
      <c r="BC111" s="51"/>
    </row>
    <row r="112" spans="3:55">
      <c r="C112" s="2" t="s">
        <v>207</v>
      </c>
      <c r="E112" s="52">
        <v>13.8567</v>
      </c>
      <c r="F112" s="53">
        <v>14.4435</v>
      </c>
    </row>
    <row r="113" spans="3:6">
      <c r="C113" s="2" t="s">
        <v>208</v>
      </c>
      <c r="E113" s="52">
        <v>16.025400000000001</v>
      </c>
      <c r="F113" s="53">
        <v>16.704000000000001</v>
      </c>
    </row>
    <row r="114" spans="3:6">
      <c r="C114" s="2" t="s">
        <v>209</v>
      </c>
      <c r="E114" s="52">
        <v>15.376899999999999</v>
      </c>
      <c r="F114" s="53">
        <v>16.041499999999999</v>
      </c>
    </row>
    <row r="115" spans="3:6">
      <c r="C115" s="2" t="s">
        <v>210</v>
      </c>
      <c r="E115" s="52">
        <v>16.720700000000001</v>
      </c>
      <c r="F115" s="53">
        <v>17.4434</v>
      </c>
    </row>
    <row r="117" spans="3:6">
      <c r="C117" s="2" t="s">
        <v>211</v>
      </c>
    </row>
    <row r="119" spans="3:6">
      <c r="C119" s="2" t="s">
        <v>212</v>
      </c>
    </row>
    <row r="120" spans="3:6">
      <c r="C120" s="2" t="s">
        <v>213</v>
      </c>
    </row>
    <row r="121" spans="3:6">
      <c r="C121" s="2" t="s">
        <v>214</v>
      </c>
    </row>
    <row r="122" spans="3:6">
      <c r="C122" s="2" t="s">
        <v>215</v>
      </c>
    </row>
    <row r="123" spans="3:6">
      <c r="C123" s="2" t="s">
        <v>216</v>
      </c>
    </row>
    <row r="124" spans="3:6">
      <c r="C124" s="2" t="s">
        <v>217</v>
      </c>
    </row>
    <row r="125" spans="3:6">
      <c r="C125" s="2" t="s">
        <v>218</v>
      </c>
    </row>
    <row r="126" spans="3:6">
      <c r="C126" s="2" t="s">
        <v>219</v>
      </c>
    </row>
    <row r="127" spans="3:6">
      <c r="C127" s="2" t="s">
        <v>220</v>
      </c>
    </row>
    <row r="128" spans="3:6">
      <c r="C128" s="2" t="s">
        <v>221</v>
      </c>
    </row>
    <row r="129" spans="3:11">
      <c r="C129" s="2" t="s">
        <v>222</v>
      </c>
    </row>
    <row r="130" spans="3:11">
      <c r="C130" s="2" t="s">
        <v>223</v>
      </c>
    </row>
    <row r="131" spans="3:11" ht="14.4">
      <c r="C131" s="54"/>
      <c r="D131" s="54"/>
      <c r="E131" s="55"/>
      <c r="F131" s="55"/>
      <c r="G131" s="55"/>
      <c r="H131" s="55"/>
      <c r="I131" s="55"/>
      <c r="J131" s="55"/>
      <c r="K131" s="55"/>
    </row>
    <row r="132" spans="3:11" ht="14.4">
      <c r="C132" s="55"/>
      <c r="D132" s="55"/>
      <c r="E132" s="55"/>
      <c r="F132" s="55"/>
      <c r="G132" s="55"/>
      <c r="H132" s="55"/>
      <c r="I132" s="55"/>
      <c r="J132" s="55"/>
      <c r="K132" s="55"/>
    </row>
    <row r="133" spans="3:11" ht="14.4">
      <c r="C133" s="55"/>
      <c r="D133" s="55"/>
      <c r="E133" s="55"/>
      <c r="F133" s="55"/>
      <c r="G133" s="55"/>
      <c r="H133" s="55"/>
      <c r="I133" s="55"/>
      <c r="J133" s="55"/>
      <c r="K133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XDO_?CLASS_3?29?</vt:lpstr>
      <vt:lpstr>XDO_?FINAL_ISIN?138?</vt:lpstr>
      <vt:lpstr>XDO_?FINAL_ISIN?139?</vt:lpstr>
      <vt:lpstr>XDO_?FINAL_ISIN?140?</vt:lpstr>
      <vt:lpstr>XDO_?FINAL_MV?138?</vt:lpstr>
      <vt:lpstr>XDO_?FINAL_MV?139?</vt:lpstr>
      <vt:lpstr>XDO_?FINAL_MV?140?</vt:lpstr>
      <vt:lpstr>XDO_?FINAL_NAME?138?</vt:lpstr>
      <vt:lpstr>XDO_?FINAL_NAME?139?</vt:lpstr>
      <vt:lpstr>XDO_?FINAL_NAME?140?</vt:lpstr>
      <vt:lpstr>XDO_?FINAL_PER_NET?138?</vt:lpstr>
      <vt:lpstr>XDO_?FINAL_PER_NET?139?</vt:lpstr>
      <vt:lpstr>XDO_?FINAL_PER_NET?140?</vt:lpstr>
      <vt:lpstr>XDO_?FINAL_QUANTITE?138?</vt:lpstr>
      <vt:lpstr>XDO_?FINAL_QUANTITE?139?</vt:lpstr>
      <vt:lpstr>XDO_?FINAL_QUANTITE?140?</vt:lpstr>
      <vt:lpstr>XDO_?NAMCNAME?29?</vt:lpstr>
      <vt:lpstr>XDO_?NOVAL?138?</vt:lpstr>
      <vt:lpstr>XDO_?NOVAL?139?</vt:lpstr>
      <vt:lpstr>XDO_?NOVAL?140?</vt:lpstr>
      <vt:lpstr>XDO_?NPTF?29?</vt:lpstr>
      <vt:lpstr>XDO_?RATING?138?</vt:lpstr>
      <vt:lpstr>XDO_?RATING?139?</vt:lpstr>
      <vt:lpstr>XDO_?RATING?140?</vt:lpstr>
      <vt:lpstr>XDO_?REMARKS?138?</vt:lpstr>
      <vt:lpstr>XDO_?REMARKS?139?</vt:lpstr>
      <vt:lpstr>XDO_?REMARKS?140?</vt:lpstr>
      <vt:lpstr>XDO_?TITL?29?</vt:lpstr>
      <vt:lpstr>XDO_?YTM?138?</vt:lpstr>
      <vt:lpstr>XDO_?YTM?139?</vt:lpstr>
      <vt:lpstr>XDO_?YTM?140?</vt:lpstr>
      <vt:lpstr>XDO_GROUP_?G_2?29?</vt:lpstr>
      <vt:lpstr>XDO_GROUP_?G_3?29?</vt:lpstr>
      <vt:lpstr>XDO_GROUP_?G_4?138?</vt:lpstr>
      <vt:lpstr>XDO_GROUP_?G_4?139?</vt:lpstr>
      <vt:lpstr>XDO_GROUP_?G_4?140?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2023-05-05T11:12:36Z</dcterms:created>
  <dcterms:modified xsi:type="dcterms:W3CDTF">2023-05-06T08:22:40Z</dcterms:modified>
</cp:coreProperties>
</file>