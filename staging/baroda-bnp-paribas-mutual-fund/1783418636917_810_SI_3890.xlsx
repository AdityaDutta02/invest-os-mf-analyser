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SI" sheetId="1" r:id="rId1"/>
  </sheets>
  <externalReferences>
    <externalReference r:id="rId2"/>
  </externalReferences>
  <definedNames>
    <definedName name="XDO_?CLASS_3?22?">SI!$C$20:$C$41</definedName>
    <definedName name="XDO_?FINAL_ISIN?107?">SI!$D$22:$D$41</definedName>
    <definedName name="XDO_?FINAL_ISIN?108?">SI!$D$22:$D$50</definedName>
    <definedName name="XDO_?FINAL_ISIN?109?">SI!$D$22:$D$55</definedName>
    <definedName name="XDO_?FINAL_ISIN?110?">SI!$D$22:$D$78</definedName>
    <definedName name="XDO_?FINAL_ISIN?111?">SI!$D$22:$D$82</definedName>
    <definedName name="XDO_?FINAL_MV?107?">SI!$G$22:$G$41</definedName>
    <definedName name="XDO_?FINAL_MV?108?">SI!$G$22:$G$50</definedName>
    <definedName name="XDO_?FINAL_MV?109?">SI!$G$22:$G$55</definedName>
    <definedName name="XDO_?FINAL_MV?110?">SI!$G$22:$G$78</definedName>
    <definedName name="XDO_?FINAL_MV?111?">SI!$G$22:$G$82</definedName>
    <definedName name="XDO_?FINAL_NAME?107?">SI!$C$22:$C$41</definedName>
    <definedName name="XDO_?FINAL_NAME?108?">SI!$C$22:$C$50</definedName>
    <definedName name="XDO_?FINAL_NAME?109?">SI!$C$22:$C$55</definedName>
    <definedName name="XDO_?FINAL_NAME?110?">SI!$C$22:$C$78</definedName>
    <definedName name="XDO_?FINAL_NAME?111?">SI!$C$22:$C$82</definedName>
    <definedName name="XDO_?FINAL_PER_NET?107?">SI!$H$22:$H$41</definedName>
    <definedName name="XDO_?FINAL_PER_NET?108?">SI!$H$22:$H$50</definedName>
    <definedName name="XDO_?FINAL_PER_NET?109?">SI!$H$22:$H$55</definedName>
    <definedName name="XDO_?FINAL_PER_NET?110?">SI!$H$22:$H$78</definedName>
    <definedName name="XDO_?FINAL_PER_NET?111?">SI!$H$22:$H$82</definedName>
    <definedName name="XDO_?FINAL_QUANTITE?107?">SI!$F$22:$F$41</definedName>
    <definedName name="XDO_?FINAL_QUANTITE?108?">SI!$F$22:$F$50</definedName>
    <definedName name="XDO_?FINAL_QUANTITE?109?">SI!$F$22:$F$55</definedName>
    <definedName name="XDO_?FINAL_QUANTITE?110?">SI!$F$22:$F$78</definedName>
    <definedName name="XDO_?FINAL_QUANTITE?111?">SI!$F$22:$F$82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2?">SI!$C$2:$C$41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7?">SI!$B$22:$B$41</definedName>
    <definedName name="XDO_?NOVAL?108?">SI!$B$22:$B$50</definedName>
    <definedName name="XDO_?NOVAL?109?">SI!$B$22:$B$55</definedName>
    <definedName name="XDO_?NOVAL?110?">SI!$B$22:$B$78</definedName>
    <definedName name="XDO_?NOVAL?111?">SI!$B$22:$B$82</definedName>
    <definedName name="XDO_?NPTF?22?">SI!$D$2:$D$41</definedName>
    <definedName name="XDO_?RATING?107?">SI!$E$22:$E$41</definedName>
    <definedName name="XDO_?RATING?108?">SI!$E$22:$E$50</definedName>
    <definedName name="XDO_?RATING?109?">SI!$E$22:$E$55</definedName>
    <definedName name="XDO_?RATING?110?">SI!$E$22:$E$78</definedName>
    <definedName name="XDO_?RATING?111?">SI!$E$22:$E$82</definedName>
    <definedName name="XDO_?REMARKS?107?">SI!$K$22:$K$41</definedName>
    <definedName name="XDO_?REMARKS?108?">SI!$K$22:$K$50</definedName>
    <definedName name="XDO_?REMARKS?109?">SI!$K$22:$K$55</definedName>
    <definedName name="XDO_?REMARKS?110?">SI!$K$22:$K$78</definedName>
    <definedName name="XDO_?REMARKS?111?">SI!$K$22:$K$82</definedName>
    <definedName name="XDO_?TITL?22?">SI!$A$20:$A$41</definedName>
    <definedName name="XDO_?YTM?107?">SI!$I$22:$I$41</definedName>
    <definedName name="XDO_?YTM?108?">SI!$I$22:$I$50</definedName>
    <definedName name="XDO_?YTM?109?">SI!$I$22:$I$55</definedName>
    <definedName name="XDO_?YTM?110?">SI!$I$22:$I$78</definedName>
    <definedName name="XDO_?YTM?111?">SI!$I$22:$I$82</definedName>
    <definedName name="XDO_GROUP_?G_2?22?">SI!$2:$52</definedName>
    <definedName name="XDO_GROUP_?G_3?22?">SI!$8:$51</definedName>
    <definedName name="XDO_GROUP_?G_4?107?">SI!$B$10:$IV$29</definedName>
    <definedName name="XDO_GROUP_?G_4?108?">SI!$B$33:$IV$34</definedName>
    <definedName name="XDO_GROUP_?G_4?109?">SI!$B$38:$IV$39</definedName>
    <definedName name="XDO_GROUP_?G_4?110?">SI!$B$44:$IV$44</definedName>
    <definedName name="XDO_GROUP_?G_4?111?">SI!$B$49:$IV$49</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5" i="1" l="1"/>
</calcChain>
</file>

<file path=xl/sharedStrings.xml><?xml version="1.0" encoding="utf-8"?>
<sst xmlns="http://schemas.openxmlformats.org/spreadsheetml/2006/main" count="243" uniqueCount="173">
  <si>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</si>
  <si>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</si>
  <si>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</si>
  <si>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</si>
  <si>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</si>
  <si>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</si>
  <si>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</si>
  <si>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</si>
  <si>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</si>
  <si>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</si>
  <si>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</si>
  <si>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</si>
  <si>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</si>
  <si>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</si>
  <si>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</si>
  <si>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</si>
  <si>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</si>
  <si>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</si>
  <si>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</si>
  <si>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</si>
  <si>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</si>
  <si>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</si>
  <si>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</si>
  <si>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703892</t>
  </si>
  <si>
    <t>7.75% Small Industries Development Bank of India 27-Oct-2025</t>
  </si>
  <si>
    <t>INE556F08KD0</t>
  </si>
  <si>
    <t>[ICRA]AAA</t>
  </si>
  <si>
    <t>N**</t>
  </si>
  <si>
    <t>702448</t>
  </si>
  <si>
    <t>7.40% Reliance Industries Ltd. 25-Apr-2025</t>
  </si>
  <si>
    <t>INE002A08617</t>
  </si>
  <si>
    <t>CRISIL AAA</t>
  </si>
  <si>
    <t>704286</t>
  </si>
  <si>
    <t>7.50% National Bank for Agriculture and Rural Development 31-Aug-2026</t>
  </si>
  <si>
    <t>INE261F08EA6</t>
  </si>
  <si>
    <t>704318</t>
  </si>
  <si>
    <t>6.75% Sikka Ports &amp; Terminals Ltd. 22-Apr-2026</t>
  </si>
  <si>
    <t>INE941D07208</t>
  </si>
  <si>
    <t>702693</t>
  </si>
  <si>
    <t>5.94% REC Ltd. 31-Jan-2026</t>
  </si>
  <si>
    <t>INE020B08DK6</t>
  </si>
  <si>
    <t>703929</t>
  </si>
  <si>
    <t>7.70% HDFC Bank Ltd. 18-Nov-2025</t>
  </si>
  <si>
    <t>INE040A08641</t>
  </si>
  <si>
    <t>704331</t>
  </si>
  <si>
    <t>7.86% Nexus Select Trust 16-Jun-2026</t>
  </si>
  <si>
    <t>INE0NDH07019</t>
  </si>
  <si>
    <t>703030</t>
  </si>
  <si>
    <t>7.62% Export-Import Bank of India 01-Sep-2026</t>
  </si>
  <si>
    <t>INE514E08FG5</t>
  </si>
  <si>
    <t>703778</t>
  </si>
  <si>
    <t>7.58% NTPC Ltd. 21-Aug-2026</t>
  </si>
  <si>
    <t>INE733E07KE8</t>
  </si>
  <si>
    <t>704138</t>
  </si>
  <si>
    <t>7.68% Housing and Urban Development Corporation Ltd. 16-May-2026</t>
  </si>
  <si>
    <t>INE031A08871</t>
  </si>
  <si>
    <t>704277</t>
  </si>
  <si>
    <t>8.43% Muthoot Finance Ltd. 31-Jul-2026</t>
  </si>
  <si>
    <t>INE414G07IG9</t>
  </si>
  <si>
    <t>CRISIL AA+</t>
  </si>
  <si>
    <t>704384</t>
  </si>
  <si>
    <t>7.81% Sundaram Home Finance Ltd. 25-Aug-2026</t>
  </si>
  <si>
    <t>INE667F07IN0</t>
  </si>
  <si>
    <t>704352</t>
  </si>
  <si>
    <t>8.80% Piramal Capital &amp; Housing Finance Ltd. 30-Dec-2024</t>
  </si>
  <si>
    <t>INE516Y07477</t>
  </si>
  <si>
    <t>CARE AA</t>
  </si>
  <si>
    <t>703784</t>
  </si>
  <si>
    <t>7.13% Power Finance Corporation Ltd. 08-Aug-2025</t>
  </si>
  <si>
    <t>INE134E08LO4</t>
  </si>
  <si>
    <t>703915</t>
  </si>
  <si>
    <t>8.50% JM Financial Products Ltd. 16-May-2025</t>
  </si>
  <si>
    <t>INE523H07BV9</t>
  </si>
  <si>
    <t>[ICRA]AA</t>
  </si>
  <si>
    <t>703028</t>
  </si>
  <si>
    <t>6.25% Embassy Office Parks Reit 18-Oct-2024</t>
  </si>
  <si>
    <t>INE041007076</t>
  </si>
  <si>
    <t>703012</t>
  </si>
  <si>
    <t>6.40% Jamnagar Utilities &amp; Power Pvt. Ltd. 29-Sep-2026</t>
  </si>
  <si>
    <t>INE936D07174</t>
  </si>
  <si>
    <t>704114</t>
  </si>
  <si>
    <t>8.50% Muthoot Finance Ltd. 29-Jan-2026</t>
  </si>
  <si>
    <t>INE414G07HK3</t>
  </si>
  <si>
    <t>704298</t>
  </si>
  <si>
    <t>7.23% Indian Railway Finance Corporation Ltd. 15-Oct-2026</t>
  </si>
  <si>
    <t>INE053F08304</t>
  </si>
  <si>
    <t>701284</t>
  </si>
  <si>
    <t>8.41% Housing and Urban Development Corporation Ltd. 15-Mar-2029</t>
  </si>
  <si>
    <t>INE031A08699</t>
  </si>
  <si>
    <t>Total</t>
  </si>
  <si>
    <t>b) Privately Placed/Unlisted</t>
  </si>
  <si>
    <t>c) Securitised Debt Instruments</t>
  </si>
  <si>
    <t>d) Central Government Securities</t>
  </si>
  <si>
    <t>900292</t>
  </si>
  <si>
    <t>6.99% Government of India 17-Apr-2026</t>
  </si>
  <si>
    <t>IN0020230028</t>
  </si>
  <si>
    <t>Sovereign</t>
  </si>
  <si>
    <t>900145</t>
  </si>
  <si>
    <t>5.22% Government of India 15-Jun-2025</t>
  </si>
  <si>
    <t>IN0020200112</t>
  </si>
  <si>
    <t>e) State Government Securities</t>
  </si>
  <si>
    <t>1903462</t>
  </si>
  <si>
    <t>7.61% State Government of Maharashtra 11-May-2029</t>
  </si>
  <si>
    <t>IN2220220031</t>
  </si>
  <si>
    <t>1904933</t>
  </si>
  <si>
    <t>7.17% State Government of Karnataka 16-Oct-2027</t>
  </si>
  <si>
    <t>IN1920190072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</si>
  <si>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</si>
  <si>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</si>
  <si>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</si>
  <si>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</si>
  <si>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</si>
  <si>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</si>
  <si>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</si>
  <si>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</si>
  <si>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</si>
  <si>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</si>
  <si>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</si>
  <si>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</si>
  <si>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</si>
  <si>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</si>
  <si>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</si>
  <si>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</si>
  <si>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</si>
  <si>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</si>
  <si>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</si>
  <si>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</si>
  <si>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</si>
  <si>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</si>
  <si>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</si>
  <si>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</si>
  <si>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</si>
  <si>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</si>
  <si>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</si>
  <si>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</si>
  <si>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</si>
  <si>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</si>
  <si>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</si>
  <si>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</si>
  <si>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</si>
  <si>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</si>
  <si>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</si>
  <si>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</si>
  <si>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</si>
  <si>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</si>
  <si>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</si>
  <si>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</si>
  <si>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883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</si>
  <si>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</si>
  <si>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</si>
  <si>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</si>
  <si>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</si>
  <si>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</si>
  <si>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</si>
  <si>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</si>
  <si>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</si>
  <si>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</si>
  <si>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804 days.</t>
  </si>
  <si>
    <t>(18) Annualised Portfolio YTM has been 7.7982.</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</si>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</sst>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0" borderId="23" xfId="0" applyFont="1" applyBorder="1" applyAlignment="1">
      <alignment vertical="center" wrapText="1"/>
    </xf>
    <xf numFmtId="0" fontId="17" fillId="5" borderId="22" xfId="0" applyFont="1" applyFill="1" applyBorder="1" applyAlignment="1">
      <alignment horizontal="center"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5</xdr:col>
      <xdr:colOff>504275</xdr:colOff>
      <xdr:row>148</xdr:row>
      <xdr:rowOff>73152</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2021800"/>
          <a:ext cx="7453715" cy="4279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2"/>
  <dimension ref="A1:BC159"/>
  <sheetViews>
    <sheetView showGridLines="0" tabSelected="1" zoomScale="90" zoomScaleNormal="90" workbookViewId="0">
      <pane ySplit="6" topLeftCell="A112" activePane="bottomLeft" state="frozen"/>
      <selection activeCell="I2" sqref="I2"/>
      <selection pane="bottomLeft" activeCell="K119" sqref="K11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35" t="s">
        <v>19</v>
      </c>
      <c r="D16" s="29"/>
      <c r="E16" s="30"/>
      <c r="F16" s="31"/>
      <c r="G16" s="32" t="s">
        <v>16</v>
      </c>
      <c r="H16" s="32" t="s">
        <v>16</v>
      </c>
      <c r="I16" s="33"/>
      <c r="J16" s="33"/>
      <c r="K16" s="34"/>
    </row>
    <row r="17" spans="1:11">
      <c r="C17" s="35"/>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A20" s="36"/>
      <c r="B20" s="37"/>
      <c r="C20" s="28" t="s">
        <v>21</v>
      </c>
      <c r="D20" s="29"/>
      <c r="E20" s="30"/>
      <c r="F20" s="31"/>
      <c r="G20" s="32"/>
      <c r="H20" s="32"/>
      <c r="I20" s="33"/>
      <c r="J20" s="33"/>
      <c r="K20" s="34"/>
    </row>
    <row r="21" spans="1:11">
      <c r="C21" s="35" t="s">
        <v>22</v>
      </c>
      <c r="D21" s="29"/>
      <c r="E21" s="30"/>
      <c r="F21" s="31"/>
      <c r="G21" s="32"/>
      <c r="H21" s="32"/>
      <c r="I21" s="33"/>
      <c r="J21" s="33"/>
      <c r="K21" s="34"/>
    </row>
    <row r="22" spans="1:11">
      <c r="B22" s="1" t="s">
        <v>23</v>
      </c>
      <c r="C22" s="21" t="s">
        <v>24</v>
      </c>
      <c r="D22" s="29" t="s">
        <v>25</v>
      </c>
      <c r="E22" s="30" t="s">
        <v>26</v>
      </c>
      <c r="F22" s="31">
        <v>150</v>
      </c>
      <c r="G22" s="32">
        <v>1503.42</v>
      </c>
      <c r="H22" s="32">
        <v>6.57</v>
      </c>
      <c r="I22" s="33">
        <v>7.62</v>
      </c>
      <c r="J22" s="33"/>
      <c r="K22" s="34" t="s">
        <v>27</v>
      </c>
    </row>
    <row r="23" spans="1:11">
      <c r="B23" s="1" t="s">
        <v>28</v>
      </c>
      <c r="C23" s="21" t="s">
        <v>29</v>
      </c>
      <c r="D23" s="29" t="s">
        <v>30</v>
      </c>
      <c r="E23" s="30" t="s">
        <v>31</v>
      </c>
      <c r="F23" s="31">
        <v>150</v>
      </c>
      <c r="G23" s="32">
        <v>1495.85</v>
      </c>
      <c r="H23" s="32">
        <v>6.53</v>
      </c>
      <c r="I23" s="33">
        <v>7.5449999999999999</v>
      </c>
      <c r="J23" s="33"/>
      <c r="K23" s="34" t="s">
        <v>27</v>
      </c>
    </row>
    <row r="24" spans="1:11">
      <c r="B24" s="1" t="s">
        <v>32</v>
      </c>
      <c r="C24" s="21" t="s">
        <v>33</v>
      </c>
      <c r="D24" s="29" t="s">
        <v>34</v>
      </c>
      <c r="E24" s="30" t="s">
        <v>31</v>
      </c>
      <c r="F24" s="31">
        <v>1200</v>
      </c>
      <c r="G24" s="32">
        <v>1195.48</v>
      </c>
      <c r="H24" s="32">
        <v>5.22</v>
      </c>
      <c r="I24" s="33">
        <v>7.6449999999999996</v>
      </c>
      <c r="J24" s="33"/>
      <c r="K24" s="34" t="s">
        <v>27</v>
      </c>
    </row>
    <row r="25" spans="1:11">
      <c r="B25" s="1" t="s">
        <v>35</v>
      </c>
      <c r="C25" s="21" t="s">
        <v>36</v>
      </c>
      <c r="D25" s="29" t="s">
        <v>37</v>
      </c>
      <c r="E25" s="30" t="s">
        <v>31</v>
      </c>
      <c r="F25" s="31">
        <v>120</v>
      </c>
      <c r="G25" s="32">
        <v>1172.03</v>
      </c>
      <c r="H25" s="32">
        <v>5.12</v>
      </c>
      <c r="I25" s="33">
        <v>7.7350000000000003</v>
      </c>
      <c r="J25" s="33"/>
      <c r="K25" s="34" t="s">
        <v>27</v>
      </c>
    </row>
    <row r="26" spans="1:11">
      <c r="B26" s="1" t="s">
        <v>38</v>
      </c>
      <c r="C26" s="21" t="s">
        <v>39</v>
      </c>
      <c r="D26" s="29" t="s">
        <v>40</v>
      </c>
      <c r="E26" s="30" t="s">
        <v>31</v>
      </c>
      <c r="F26" s="31">
        <v>120</v>
      </c>
      <c r="G26" s="32">
        <v>1156.97</v>
      </c>
      <c r="H26" s="32">
        <v>5.05</v>
      </c>
      <c r="I26" s="33">
        <v>7.5949999999999998</v>
      </c>
      <c r="J26" s="33"/>
      <c r="K26" s="34" t="s">
        <v>27</v>
      </c>
    </row>
    <row r="27" spans="1:11">
      <c r="B27" s="1" t="s">
        <v>41</v>
      </c>
      <c r="C27" s="21" t="s">
        <v>42</v>
      </c>
      <c r="D27" s="29" t="s">
        <v>43</v>
      </c>
      <c r="E27" s="30" t="s">
        <v>31</v>
      </c>
      <c r="F27" s="31">
        <v>110</v>
      </c>
      <c r="G27" s="32">
        <v>1095.68</v>
      </c>
      <c r="H27" s="32">
        <v>4.79</v>
      </c>
      <c r="I27" s="33">
        <v>7.875</v>
      </c>
      <c r="J27" s="33"/>
      <c r="K27" s="34" t="s">
        <v>27</v>
      </c>
    </row>
    <row r="28" spans="1:11">
      <c r="B28" s="1" t="s">
        <v>44</v>
      </c>
      <c r="C28" s="21" t="s">
        <v>45</v>
      </c>
      <c r="D28" s="29" t="s">
        <v>46</v>
      </c>
      <c r="E28" s="30" t="s">
        <v>31</v>
      </c>
      <c r="F28" s="31">
        <v>1100</v>
      </c>
      <c r="G28" s="32">
        <v>1095.6600000000001</v>
      </c>
      <c r="H28" s="32">
        <v>4.79</v>
      </c>
      <c r="I28" s="33">
        <v>8.27</v>
      </c>
      <c r="J28" s="33"/>
      <c r="K28" s="34" t="s">
        <v>27</v>
      </c>
    </row>
    <row r="29" spans="1:11">
      <c r="B29" s="1" t="s">
        <v>47</v>
      </c>
      <c r="C29" s="21" t="s">
        <v>48</v>
      </c>
      <c r="D29" s="29" t="s">
        <v>49</v>
      </c>
      <c r="E29" s="30" t="s">
        <v>31</v>
      </c>
      <c r="F29" s="31">
        <v>100</v>
      </c>
      <c r="G29" s="32">
        <v>1003.64</v>
      </c>
      <c r="H29" s="32">
        <v>4.38</v>
      </c>
      <c r="I29" s="33">
        <v>7.48</v>
      </c>
      <c r="J29" s="33"/>
      <c r="K29" s="34"/>
    </row>
    <row r="30" spans="1:11">
      <c r="B30" s="1" t="s">
        <v>50</v>
      </c>
      <c r="C30" s="21" t="s">
        <v>51</v>
      </c>
      <c r="D30" s="29" t="s">
        <v>52</v>
      </c>
      <c r="E30" s="30" t="s">
        <v>31</v>
      </c>
      <c r="F30" s="31">
        <v>100</v>
      </c>
      <c r="G30" s="32">
        <v>1003.3</v>
      </c>
      <c r="H30" s="32">
        <v>4.38</v>
      </c>
      <c r="I30" s="33">
        <v>7.45</v>
      </c>
      <c r="J30" s="33"/>
      <c r="K30" s="34" t="s">
        <v>27</v>
      </c>
    </row>
    <row r="31" spans="1:11">
      <c r="B31" s="1" t="s">
        <v>53</v>
      </c>
      <c r="C31" s="21" t="s">
        <v>54</v>
      </c>
      <c r="D31" s="29" t="s">
        <v>55</v>
      </c>
      <c r="E31" s="30" t="s">
        <v>26</v>
      </c>
      <c r="F31" s="31">
        <v>1000</v>
      </c>
      <c r="G31" s="32">
        <v>1002.62</v>
      </c>
      <c r="H31" s="32">
        <v>4.38</v>
      </c>
      <c r="I31" s="33">
        <v>7.5449999999999999</v>
      </c>
      <c r="J31" s="33"/>
      <c r="K31" s="34" t="s">
        <v>27</v>
      </c>
    </row>
    <row r="32" spans="1:11">
      <c r="B32" s="1" t="s">
        <v>56</v>
      </c>
      <c r="C32" s="21" t="s">
        <v>57</v>
      </c>
      <c r="D32" s="29" t="s">
        <v>58</v>
      </c>
      <c r="E32" s="30" t="s">
        <v>59</v>
      </c>
      <c r="F32" s="31">
        <v>1000</v>
      </c>
      <c r="G32" s="32">
        <v>1001.92</v>
      </c>
      <c r="H32" s="32">
        <v>4.38</v>
      </c>
      <c r="I32" s="33">
        <v>8.3423999999999996</v>
      </c>
      <c r="J32" s="33"/>
      <c r="K32" s="34" t="s">
        <v>27</v>
      </c>
    </row>
    <row r="33" spans="2:11">
      <c r="B33" s="1" t="s">
        <v>60</v>
      </c>
      <c r="C33" s="21" t="s">
        <v>61</v>
      </c>
      <c r="D33" s="29" t="s">
        <v>62</v>
      </c>
      <c r="E33" s="30" t="s">
        <v>31</v>
      </c>
      <c r="F33" s="31">
        <v>1000</v>
      </c>
      <c r="G33" s="32">
        <v>998.28</v>
      </c>
      <c r="H33" s="32">
        <v>4.3600000000000003</v>
      </c>
      <c r="I33" s="33">
        <v>7.875</v>
      </c>
      <c r="J33" s="33"/>
      <c r="K33" s="34" t="s">
        <v>27</v>
      </c>
    </row>
    <row r="34" spans="2:11">
      <c r="B34" s="1" t="s">
        <v>63</v>
      </c>
      <c r="C34" s="21" t="s">
        <v>64</v>
      </c>
      <c r="D34" s="29" t="s">
        <v>65</v>
      </c>
      <c r="E34" s="30" t="s">
        <v>66</v>
      </c>
      <c r="F34" s="31">
        <v>1000</v>
      </c>
      <c r="G34" s="32">
        <v>996.13</v>
      </c>
      <c r="H34" s="32">
        <v>4.3499999999999996</v>
      </c>
      <c r="I34" s="33">
        <v>9.1562000000000001</v>
      </c>
      <c r="J34" s="33"/>
      <c r="K34" s="34" t="s">
        <v>27</v>
      </c>
    </row>
    <row r="35" spans="2:11">
      <c r="B35" s="1" t="s">
        <v>67</v>
      </c>
      <c r="C35" s="21" t="s">
        <v>68</v>
      </c>
      <c r="D35" s="29" t="s">
        <v>69</v>
      </c>
      <c r="E35" s="30" t="s">
        <v>31</v>
      </c>
      <c r="F35" s="31">
        <v>100</v>
      </c>
      <c r="G35" s="32">
        <v>992.3</v>
      </c>
      <c r="H35" s="32">
        <v>4.33</v>
      </c>
      <c r="I35" s="33">
        <v>7.5650000000000004</v>
      </c>
      <c r="J35" s="33"/>
      <c r="K35" s="34" t="s">
        <v>27</v>
      </c>
    </row>
    <row r="36" spans="2:11">
      <c r="B36" s="1" t="s">
        <v>70</v>
      </c>
      <c r="C36" s="21" t="s">
        <v>71</v>
      </c>
      <c r="D36" s="29" t="s">
        <v>72</v>
      </c>
      <c r="E36" s="30" t="s">
        <v>73</v>
      </c>
      <c r="F36" s="31">
        <v>100</v>
      </c>
      <c r="G36" s="32">
        <v>986.74</v>
      </c>
      <c r="H36" s="32">
        <v>4.3099999999999996</v>
      </c>
      <c r="I36" s="33">
        <v>9.3896999999999995</v>
      </c>
      <c r="J36" s="33"/>
      <c r="K36" s="34" t="s">
        <v>27</v>
      </c>
    </row>
    <row r="37" spans="2:11">
      <c r="B37" s="1" t="s">
        <v>74</v>
      </c>
      <c r="C37" s="21" t="s">
        <v>75</v>
      </c>
      <c r="D37" s="29" t="s">
        <v>76</v>
      </c>
      <c r="E37" s="30" t="s">
        <v>31</v>
      </c>
      <c r="F37" s="31">
        <v>100</v>
      </c>
      <c r="G37" s="32">
        <v>982.67</v>
      </c>
      <c r="H37" s="32">
        <v>4.29</v>
      </c>
      <c r="I37" s="33">
        <v>8.1008999999999993</v>
      </c>
      <c r="J37" s="33"/>
      <c r="K37" s="34" t="s">
        <v>27</v>
      </c>
    </row>
    <row r="38" spans="2:11">
      <c r="B38" s="1" t="s">
        <v>77</v>
      </c>
      <c r="C38" s="21" t="s">
        <v>78</v>
      </c>
      <c r="D38" s="29" t="s">
        <v>79</v>
      </c>
      <c r="E38" s="30" t="s">
        <v>31</v>
      </c>
      <c r="F38" s="31">
        <v>100</v>
      </c>
      <c r="G38" s="32">
        <v>961.8</v>
      </c>
      <c r="H38" s="32">
        <v>4.2</v>
      </c>
      <c r="I38" s="33">
        <v>7.8384</v>
      </c>
      <c r="J38" s="33"/>
      <c r="K38" s="34" t="s">
        <v>27</v>
      </c>
    </row>
    <row r="39" spans="2:11">
      <c r="B39" s="1" t="s">
        <v>80</v>
      </c>
      <c r="C39" s="21" t="s">
        <v>81</v>
      </c>
      <c r="D39" s="29" t="s">
        <v>82</v>
      </c>
      <c r="E39" s="30" t="s">
        <v>59</v>
      </c>
      <c r="F39" s="31">
        <v>300</v>
      </c>
      <c r="G39" s="32">
        <v>300.62</v>
      </c>
      <c r="H39" s="32">
        <v>1.31</v>
      </c>
      <c r="I39" s="33">
        <v>8.3623999999999992</v>
      </c>
      <c r="J39" s="33"/>
      <c r="K39" s="34" t="s">
        <v>27</v>
      </c>
    </row>
    <row r="40" spans="2:11">
      <c r="B40" s="1" t="s">
        <v>83</v>
      </c>
      <c r="C40" s="21" t="s">
        <v>84</v>
      </c>
      <c r="D40" s="29" t="s">
        <v>85</v>
      </c>
      <c r="E40" s="30" t="s">
        <v>31</v>
      </c>
      <c r="F40" s="31">
        <v>200</v>
      </c>
      <c r="G40" s="32">
        <v>198.7</v>
      </c>
      <c r="H40" s="32">
        <v>0.87</v>
      </c>
      <c r="I40" s="33">
        <v>7.48</v>
      </c>
      <c r="J40" s="33"/>
      <c r="K40" s="34"/>
    </row>
    <row r="41" spans="2:11">
      <c r="B41" s="1" t="s">
        <v>86</v>
      </c>
      <c r="C41" s="21" t="s">
        <v>87</v>
      </c>
      <c r="D41" s="29" t="s">
        <v>88</v>
      </c>
      <c r="E41" s="30" t="s">
        <v>26</v>
      </c>
      <c r="F41" s="31">
        <v>10</v>
      </c>
      <c r="G41" s="32">
        <v>104.54</v>
      </c>
      <c r="H41" s="32">
        <v>0.46</v>
      </c>
      <c r="I41" s="33">
        <v>7.53</v>
      </c>
      <c r="J41" s="33"/>
      <c r="K41" s="34" t="s">
        <v>27</v>
      </c>
    </row>
    <row r="42" spans="2:11">
      <c r="C42" s="28" t="s">
        <v>89</v>
      </c>
      <c r="D42" s="29"/>
      <c r="E42" s="30"/>
      <c r="F42" s="31"/>
      <c r="G42" s="38">
        <v>19248.349999999999</v>
      </c>
      <c r="H42" s="38">
        <v>84.07</v>
      </c>
      <c r="I42" s="33"/>
      <c r="J42" s="33"/>
      <c r="K42" s="34"/>
    </row>
    <row r="43" spans="2:11">
      <c r="C43" s="21"/>
      <c r="D43" s="29"/>
      <c r="E43" s="30"/>
      <c r="F43" s="31"/>
      <c r="G43" s="32"/>
      <c r="H43" s="32"/>
      <c r="I43" s="33"/>
      <c r="J43" s="33"/>
      <c r="K43" s="34"/>
    </row>
    <row r="44" spans="2:11">
      <c r="C44" s="28" t="s">
        <v>90</v>
      </c>
      <c r="D44" s="29"/>
      <c r="E44" s="30"/>
      <c r="F44" s="31"/>
      <c r="G44" s="32" t="s">
        <v>16</v>
      </c>
      <c r="H44" s="32" t="s">
        <v>16</v>
      </c>
      <c r="I44" s="33"/>
      <c r="J44" s="33"/>
      <c r="K44" s="34"/>
    </row>
    <row r="45" spans="2:11">
      <c r="C45" s="21"/>
      <c r="D45" s="29"/>
      <c r="E45" s="30"/>
      <c r="F45" s="31"/>
      <c r="G45" s="32"/>
      <c r="H45" s="32"/>
      <c r="I45" s="33"/>
      <c r="J45" s="33"/>
      <c r="K45" s="34"/>
    </row>
    <row r="46" spans="2:11">
      <c r="C46" s="28" t="s">
        <v>91</v>
      </c>
      <c r="D46" s="29"/>
      <c r="E46" s="30"/>
      <c r="F46" s="31"/>
      <c r="G46" s="32" t="s">
        <v>16</v>
      </c>
      <c r="H46" s="32" t="s">
        <v>16</v>
      </c>
      <c r="I46" s="33"/>
      <c r="J46" s="33"/>
      <c r="K46" s="34"/>
    </row>
    <row r="47" spans="2:11">
      <c r="C47" s="21"/>
      <c r="D47" s="29"/>
      <c r="E47" s="30"/>
      <c r="F47" s="31"/>
      <c r="G47" s="32"/>
      <c r="H47" s="32"/>
      <c r="I47" s="33"/>
      <c r="J47" s="33"/>
      <c r="K47" s="34"/>
    </row>
    <row r="48" spans="2:11">
      <c r="C48" s="35" t="s">
        <v>92</v>
      </c>
      <c r="D48" s="29"/>
      <c r="E48" s="30"/>
      <c r="F48" s="31"/>
      <c r="G48" s="32"/>
      <c r="H48" s="32"/>
      <c r="I48" s="33"/>
      <c r="J48" s="33"/>
      <c r="K48" s="34"/>
    </row>
    <row r="49" spans="2:11">
      <c r="B49" s="1" t="s">
        <v>93</v>
      </c>
      <c r="C49" s="21" t="s">
        <v>94</v>
      </c>
      <c r="D49" s="29" t="s">
        <v>95</v>
      </c>
      <c r="E49" s="30" t="s">
        <v>96</v>
      </c>
      <c r="F49" s="31">
        <v>1000000</v>
      </c>
      <c r="G49" s="32">
        <v>996</v>
      </c>
      <c r="H49" s="32">
        <v>4.3499999999999996</v>
      </c>
      <c r="I49" s="33">
        <v>7.2826871999999998</v>
      </c>
      <c r="J49" s="33"/>
      <c r="K49" s="34"/>
    </row>
    <row r="50" spans="2:11">
      <c r="B50" s="1" t="s">
        <v>97</v>
      </c>
      <c r="C50" s="21" t="s">
        <v>98</v>
      </c>
      <c r="D50" s="29" t="s">
        <v>99</v>
      </c>
      <c r="E50" s="30" t="s">
        <v>96</v>
      </c>
      <c r="F50" s="31">
        <v>401000</v>
      </c>
      <c r="G50" s="32">
        <v>388.46</v>
      </c>
      <c r="H50" s="32">
        <v>1.7</v>
      </c>
      <c r="I50" s="33">
        <v>7.2314048</v>
      </c>
      <c r="J50" s="33"/>
      <c r="K50" s="34"/>
    </row>
    <row r="51" spans="2:11">
      <c r="C51" s="28" t="s">
        <v>89</v>
      </c>
      <c r="D51" s="29"/>
      <c r="E51" s="30"/>
      <c r="F51" s="31"/>
      <c r="G51" s="38">
        <v>1384.46</v>
      </c>
      <c r="H51" s="38">
        <v>6.05</v>
      </c>
      <c r="I51" s="33"/>
      <c r="J51" s="33"/>
      <c r="K51" s="34"/>
    </row>
    <row r="52" spans="2:11">
      <c r="C52" s="21"/>
      <c r="D52" s="29"/>
      <c r="E52" s="30"/>
      <c r="F52" s="31"/>
      <c r="G52" s="32"/>
      <c r="H52" s="32"/>
      <c r="I52" s="33"/>
      <c r="J52" s="33"/>
      <c r="K52" s="34"/>
    </row>
    <row r="53" spans="2:11">
      <c r="C53" s="35" t="s">
        <v>100</v>
      </c>
      <c r="D53" s="29"/>
      <c r="E53" s="30"/>
      <c r="F53" s="31"/>
      <c r="G53" s="32"/>
      <c r="H53" s="32"/>
      <c r="I53" s="33"/>
      <c r="J53" s="33"/>
      <c r="K53" s="34"/>
    </row>
    <row r="54" spans="2:11">
      <c r="B54" s="1" t="s">
        <v>101</v>
      </c>
      <c r="C54" s="21" t="s">
        <v>102</v>
      </c>
      <c r="D54" s="29" t="s">
        <v>103</v>
      </c>
      <c r="E54" s="30" t="s">
        <v>96</v>
      </c>
      <c r="F54" s="31">
        <v>700000</v>
      </c>
      <c r="G54" s="32">
        <v>706.01</v>
      </c>
      <c r="H54" s="32">
        <v>3.08</v>
      </c>
      <c r="I54" s="33">
        <v>7.5563906999999997</v>
      </c>
      <c r="J54" s="33"/>
      <c r="K54" s="34"/>
    </row>
    <row r="55" spans="2:11">
      <c r="B55" s="1" t="s">
        <v>104</v>
      </c>
      <c r="C55" s="21" t="s">
        <v>105</v>
      </c>
      <c r="D55" s="29" t="s">
        <v>106</v>
      </c>
      <c r="E55" s="30" t="s">
        <v>96</v>
      </c>
      <c r="F55" s="31">
        <v>500000</v>
      </c>
      <c r="G55" s="32">
        <v>495.74</v>
      </c>
      <c r="H55" s="32">
        <v>2.17</v>
      </c>
      <c r="I55" s="33">
        <v>7.5473869999999996</v>
      </c>
      <c r="J55" s="33"/>
      <c r="K55" s="34"/>
    </row>
    <row r="56" spans="2:11">
      <c r="C56" s="28" t="s">
        <v>89</v>
      </c>
      <c r="D56" s="29"/>
      <c r="E56" s="30"/>
      <c r="F56" s="31"/>
      <c r="G56" s="38">
        <v>1201.75</v>
      </c>
      <c r="H56" s="38">
        <v>5.25</v>
      </c>
      <c r="I56" s="33"/>
      <c r="J56" s="33"/>
      <c r="K56" s="34"/>
    </row>
    <row r="57" spans="2:11">
      <c r="C57" s="21"/>
      <c r="D57" s="29"/>
      <c r="E57" s="30"/>
      <c r="F57" s="31"/>
      <c r="G57" s="32"/>
      <c r="H57" s="32"/>
      <c r="I57" s="33"/>
      <c r="J57" s="33"/>
      <c r="K57" s="34"/>
    </row>
    <row r="58" spans="2:11">
      <c r="C58" s="28" t="s">
        <v>107</v>
      </c>
      <c r="D58" s="29"/>
      <c r="E58" s="30"/>
      <c r="F58" s="31"/>
      <c r="G58" s="32"/>
      <c r="H58" s="32"/>
      <c r="I58" s="33"/>
      <c r="J58" s="33"/>
      <c r="K58" s="34"/>
    </row>
    <row r="59" spans="2:11">
      <c r="C59" s="21"/>
      <c r="D59" s="29"/>
      <c r="E59" s="30"/>
      <c r="F59" s="31"/>
      <c r="G59" s="32"/>
      <c r="H59" s="32"/>
      <c r="I59" s="33"/>
      <c r="J59" s="33"/>
      <c r="K59" s="34"/>
    </row>
    <row r="60" spans="2:11">
      <c r="C60" s="28" t="s">
        <v>108</v>
      </c>
      <c r="D60" s="29"/>
      <c r="E60" s="30"/>
      <c r="F60" s="31"/>
      <c r="G60" s="32" t="s">
        <v>16</v>
      </c>
      <c r="H60" s="32" t="s">
        <v>16</v>
      </c>
      <c r="I60" s="33"/>
      <c r="J60" s="33"/>
      <c r="K60" s="34"/>
    </row>
    <row r="61" spans="2:11">
      <c r="C61" s="21"/>
      <c r="D61" s="29"/>
      <c r="E61" s="30"/>
      <c r="F61" s="31"/>
      <c r="G61" s="32"/>
      <c r="H61" s="32"/>
      <c r="I61" s="33"/>
      <c r="J61" s="33"/>
      <c r="K61" s="34"/>
    </row>
    <row r="62" spans="2:11">
      <c r="C62" s="28" t="s">
        <v>109</v>
      </c>
      <c r="D62" s="29"/>
      <c r="E62" s="30"/>
      <c r="F62" s="31"/>
      <c r="G62" s="32" t="s">
        <v>16</v>
      </c>
      <c r="H62" s="32" t="s">
        <v>16</v>
      </c>
      <c r="I62" s="33"/>
      <c r="J62" s="33"/>
      <c r="K62" s="34"/>
    </row>
    <row r="63" spans="2:11">
      <c r="C63" s="21"/>
      <c r="D63" s="29"/>
      <c r="E63" s="30"/>
      <c r="F63" s="31"/>
      <c r="G63" s="32"/>
      <c r="H63" s="32"/>
      <c r="I63" s="33"/>
      <c r="J63" s="33"/>
      <c r="K63" s="34"/>
    </row>
    <row r="64" spans="2:11">
      <c r="C64" s="28" t="s">
        <v>110</v>
      </c>
      <c r="D64" s="29"/>
      <c r="E64" s="30"/>
      <c r="F64" s="31"/>
      <c r="G64" s="32" t="s">
        <v>16</v>
      </c>
      <c r="H64" s="32" t="s">
        <v>16</v>
      </c>
      <c r="I64" s="33"/>
      <c r="J64" s="33"/>
      <c r="K64" s="34"/>
    </row>
    <row r="65" spans="1:11">
      <c r="C65" s="21"/>
      <c r="D65" s="29"/>
      <c r="E65" s="30"/>
      <c r="F65" s="31"/>
      <c r="G65" s="32"/>
      <c r="H65" s="32"/>
      <c r="I65" s="33"/>
      <c r="J65" s="33"/>
      <c r="K65" s="34"/>
    </row>
    <row r="66" spans="1:11">
      <c r="C66" s="28" t="s">
        <v>111</v>
      </c>
      <c r="D66" s="29"/>
      <c r="E66" s="30"/>
      <c r="F66" s="31"/>
      <c r="G66" s="32" t="s">
        <v>16</v>
      </c>
      <c r="H66" s="32" t="s">
        <v>16</v>
      </c>
      <c r="I66" s="33"/>
      <c r="J66" s="33"/>
      <c r="K66" s="34"/>
    </row>
    <row r="67" spans="1:11">
      <c r="C67" s="21"/>
      <c r="D67" s="29"/>
      <c r="E67" s="30"/>
      <c r="F67" s="31"/>
      <c r="G67" s="32"/>
      <c r="H67" s="32"/>
      <c r="I67" s="33"/>
      <c r="J67" s="33"/>
      <c r="K67" s="34"/>
    </row>
    <row r="68" spans="1:11">
      <c r="A68" s="36"/>
      <c r="B68" s="37"/>
      <c r="C68" s="28" t="s">
        <v>112</v>
      </c>
      <c r="D68" s="29"/>
      <c r="E68" s="30"/>
      <c r="F68" s="31"/>
      <c r="G68" s="32"/>
      <c r="H68" s="32"/>
      <c r="I68" s="33"/>
      <c r="J68" s="33"/>
      <c r="K68" s="34"/>
    </row>
    <row r="69" spans="1:11">
      <c r="A69" s="37"/>
      <c r="B69" s="37"/>
      <c r="C69" s="28" t="s">
        <v>113</v>
      </c>
      <c r="D69" s="29"/>
      <c r="E69" s="30"/>
      <c r="F69" s="31"/>
      <c r="G69" s="32" t="s">
        <v>16</v>
      </c>
      <c r="H69" s="32" t="s">
        <v>16</v>
      </c>
      <c r="I69" s="33"/>
      <c r="J69" s="33"/>
      <c r="K69" s="34"/>
    </row>
    <row r="70" spans="1:11">
      <c r="A70" s="37"/>
      <c r="B70" s="37"/>
      <c r="C70" s="28"/>
      <c r="D70" s="29"/>
      <c r="E70" s="30"/>
      <c r="F70" s="31"/>
      <c r="G70" s="32"/>
      <c r="H70" s="32"/>
      <c r="I70" s="33"/>
      <c r="J70" s="33"/>
      <c r="K70" s="34"/>
    </row>
    <row r="71" spans="1:11">
      <c r="A71" s="37"/>
      <c r="B71" s="37"/>
      <c r="C71" s="28" t="s">
        <v>114</v>
      </c>
      <c r="D71" s="29"/>
      <c r="E71" s="30"/>
      <c r="F71" s="31"/>
      <c r="G71" s="32" t="s">
        <v>16</v>
      </c>
      <c r="H71" s="32" t="s">
        <v>16</v>
      </c>
      <c r="I71" s="33"/>
      <c r="J71" s="33"/>
      <c r="K71" s="34"/>
    </row>
    <row r="72" spans="1:11">
      <c r="A72" s="37"/>
      <c r="B72" s="37"/>
      <c r="C72" s="28"/>
      <c r="D72" s="29"/>
      <c r="E72" s="30"/>
      <c r="F72" s="31"/>
      <c r="G72" s="32"/>
      <c r="H72" s="32"/>
      <c r="I72" s="33"/>
      <c r="J72" s="33"/>
      <c r="K72" s="34"/>
    </row>
    <row r="73" spans="1:11">
      <c r="A73" s="37"/>
      <c r="B73" s="37"/>
      <c r="C73" s="28" t="s">
        <v>115</v>
      </c>
      <c r="D73" s="29"/>
      <c r="E73" s="30"/>
      <c r="F73" s="31"/>
      <c r="G73" s="32" t="s">
        <v>16</v>
      </c>
      <c r="H73" s="32" t="s">
        <v>16</v>
      </c>
      <c r="I73" s="33"/>
      <c r="J73" s="33"/>
      <c r="K73" s="34"/>
    </row>
    <row r="74" spans="1:11">
      <c r="A74" s="37"/>
      <c r="B74" s="37"/>
      <c r="C74" s="28"/>
      <c r="D74" s="29"/>
      <c r="E74" s="30"/>
      <c r="F74" s="31"/>
      <c r="G74" s="32"/>
      <c r="H74" s="32"/>
      <c r="I74" s="33"/>
      <c r="J74" s="33"/>
      <c r="K74" s="34"/>
    </row>
    <row r="75" spans="1:11">
      <c r="A75" s="37"/>
      <c r="B75" s="37"/>
      <c r="C75" s="28" t="s">
        <v>116</v>
      </c>
      <c r="D75" s="29"/>
      <c r="E75" s="30"/>
      <c r="F75" s="31"/>
      <c r="G75" s="32" t="s">
        <v>16</v>
      </c>
      <c r="H75" s="32" t="s">
        <v>16</v>
      </c>
      <c r="I75" s="33"/>
      <c r="J75" s="33"/>
      <c r="K75" s="34"/>
    </row>
    <row r="76" spans="1:11">
      <c r="A76" s="37"/>
      <c r="B76" s="37"/>
      <c r="C76" s="28"/>
      <c r="D76" s="29"/>
      <c r="E76" s="30"/>
      <c r="F76" s="31"/>
      <c r="G76" s="32"/>
      <c r="H76" s="32"/>
      <c r="I76" s="33"/>
      <c r="J76" s="33"/>
      <c r="K76" s="34"/>
    </row>
    <row r="77" spans="1:11">
      <c r="C77" s="35" t="s">
        <v>117</v>
      </c>
      <c r="D77" s="29"/>
      <c r="E77" s="30"/>
      <c r="F77" s="31"/>
      <c r="G77" s="32"/>
      <c r="H77" s="32"/>
      <c r="I77" s="33"/>
      <c r="J77" s="33"/>
      <c r="K77" s="34"/>
    </row>
    <row r="78" spans="1:11">
      <c r="B78" s="1" t="s">
        <v>118</v>
      </c>
      <c r="C78" s="21" t="s">
        <v>119</v>
      </c>
      <c r="D78" s="29"/>
      <c r="E78" s="30"/>
      <c r="F78" s="31"/>
      <c r="G78" s="32">
        <v>982.84</v>
      </c>
      <c r="H78" s="32">
        <v>4.29</v>
      </c>
      <c r="I78" s="33">
        <v>6.63</v>
      </c>
      <c r="J78" s="33"/>
      <c r="K78" s="34"/>
    </row>
    <row r="79" spans="1:11">
      <c r="C79" s="28" t="s">
        <v>89</v>
      </c>
      <c r="D79" s="29"/>
      <c r="E79" s="30"/>
      <c r="F79" s="31"/>
      <c r="G79" s="38">
        <v>982.84</v>
      </c>
      <c r="H79" s="38">
        <v>4.29</v>
      </c>
      <c r="I79" s="33"/>
      <c r="J79" s="33"/>
      <c r="K79" s="34"/>
    </row>
    <row r="80" spans="1:11">
      <c r="C80" s="21"/>
      <c r="D80" s="29"/>
      <c r="E80" s="30"/>
      <c r="F80" s="31"/>
      <c r="G80" s="32"/>
      <c r="H80" s="32"/>
      <c r="I80" s="33"/>
      <c r="J80" s="33"/>
      <c r="K80" s="34"/>
    </row>
    <row r="81" spans="1:11">
      <c r="A81" s="36"/>
      <c r="B81" s="37"/>
      <c r="C81" s="28" t="s">
        <v>120</v>
      </c>
      <c r="D81" s="29"/>
      <c r="E81" s="30"/>
      <c r="F81" s="31"/>
      <c r="G81" s="32"/>
      <c r="H81" s="32"/>
      <c r="I81" s="33"/>
      <c r="J81" s="33"/>
      <c r="K81" s="34"/>
    </row>
    <row r="82" spans="1:11">
      <c r="B82" s="1"/>
      <c r="C82" s="21" t="s">
        <v>121</v>
      </c>
      <c r="D82" s="29"/>
      <c r="E82" s="30"/>
      <c r="F82" s="31"/>
      <c r="G82" s="32">
        <v>74.66</v>
      </c>
      <c r="H82" s="32">
        <v>0.34</v>
      </c>
      <c r="I82" s="33"/>
      <c r="J82" s="33"/>
      <c r="K82" s="34"/>
    </row>
    <row r="83" spans="1:11">
      <c r="C83" s="28" t="s">
        <v>89</v>
      </c>
      <c r="D83" s="29"/>
      <c r="E83" s="30"/>
      <c r="F83" s="31"/>
      <c r="G83" s="38">
        <v>74.66</v>
      </c>
      <c r="H83" s="38">
        <v>0.34</v>
      </c>
      <c r="I83" s="33"/>
      <c r="J83" s="33"/>
      <c r="K83" s="34"/>
    </row>
    <row r="84" spans="1:11">
      <c r="C84" s="21"/>
      <c r="D84" s="29"/>
      <c r="E84" s="30"/>
      <c r="F84" s="31"/>
      <c r="G84" s="32"/>
      <c r="H84" s="32"/>
      <c r="I84" s="33"/>
      <c r="J84" s="33"/>
      <c r="K84" s="34"/>
    </row>
    <row r="85" spans="1:11" ht="14.4" thickBot="1">
      <c r="C85" s="39" t="s">
        <v>122</v>
      </c>
      <c r="D85" s="40"/>
      <c r="E85" s="41"/>
      <c r="F85" s="42"/>
      <c r="G85" s="43">
        <v>22892.06</v>
      </c>
      <c r="H85" s="43">
        <f>SUMIFS(H:H,C:C,"Total")</f>
        <v>100</v>
      </c>
      <c r="I85" s="44"/>
      <c r="J85" s="44"/>
      <c r="K85" s="45"/>
    </row>
    <row r="88" spans="1:11">
      <c r="C88" s="11" t="s">
        <v>123</v>
      </c>
    </row>
    <row r="89" spans="1:11">
      <c r="C89" s="2" t="s">
        <v>124</v>
      </c>
    </row>
    <row r="90" spans="1:11">
      <c r="C90" s="46" t="s">
        <v>125</v>
      </c>
    </row>
    <row r="91" spans="1:11">
      <c r="C91" s="2" t="s">
        <v>126</v>
      </c>
    </row>
    <row r="92" spans="1:11">
      <c r="C92" s="2" t="s">
        <v>127</v>
      </c>
    </row>
    <row r="93" spans="1:11">
      <c r="C93" s="2" t="s">
        <v>128</v>
      </c>
      <c r="D93" s="47"/>
      <c r="E93" s="47"/>
      <c r="F93" s="47"/>
      <c r="G93" s="48"/>
      <c r="H93" s="48"/>
    </row>
    <row r="94" spans="1:11">
      <c r="C94" s="2" t="s">
        <v>129</v>
      </c>
    </row>
    <row r="95" spans="1:11">
      <c r="C95" s="2" t="s">
        <v>130</v>
      </c>
    </row>
    <row r="96" spans="1:11">
      <c r="C96" s="2" t="s">
        <v>131</v>
      </c>
    </row>
    <row r="97" spans="3:55">
      <c r="C97" s="2" t="s">
        <v>132</v>
      </c>
    </row>
    <row r="98" spans="3:55" s="11" customFormat="1">
      <c r="C98" s="11" t="s">
        <v>133</v>
      </c>
      <c r="E98" s="11" t="s">
        <v>134</v>
      </c>
      <c r="F98" s="49" t="s">
        <v>135</v>
      </c>
      <c r="G98" s="50"/>
      <c r="H98" s="50"/>
      <c r="I98" s="50"/>
      <c r="J98" s="50"/>
      <c r="K98" s="51"/>
      <c r="L98" s="51"/>
      <c r="M98" s="51"/>
      <c r="AJ98" s="51"/>
      <c r="AW98" s="51"/>
      <c r="AY98" s="51"/>
      <c r="BC98" s="51"/>
    </row>
    <row r="99" spans="3:55">
      <c r="C99" s="2" t="s">
        <v>136</v>
      </c>
      <c r="E99" s="52">
        <v>10.1668</v>
      </c>
      <c r="F99" s="53">
        <v>10.164</v>
      </c>
    </row>
    <row r="100" spans="3:55">
      <c r="C100" s="2" t="s">
        <v>137</v>
      </c>
      <c r="E100" s="52">
        <v>25.322700000000001</v>
      </c>
      <c r="F100" s="53">
        <v>25.440200000000001</v>
      </c>
    </row>
    <row r="101" spans="3:55">
      <c r="C101" s="2" t="s">
        <v>138</v>
      </c>
      <c r="E101" s="52">
        <v>10.5975</v>
      </c>
      <c r="F101" s="53">
        <v>10.646699999999999</v>
      </c>
    </row>
    <row r="102" spans="3:55">
      <c r="C102" s="2" t="s">
        <v>139</v>
      </c>
      <c r="E102" s="52">
        <v>10.2219</v>
      </c>
      <c r="F102" s="53">
        <v>10.2257</v>
      </c>
    </row>
    <row r="103" spans="3:55">
      <c r="C103" s="2" t="s">
        <v>140</v>
      </c>
      <c r="E103" s="52">
        <v>27.132200000000001</v>
      </c>
      <c r="F103" s="53">
        <v>27.274899999999999</v>
      </c>
    </row>
    <row r="104" spans="3:55">
      <c r="C104" s="2" t="s">
        <v>141</v>
      </c>
      <c r="E104" s="52">
        <v>11.026400000000001</v>
      </c>
      <c r="F104" s="53">
        <v>11.0844</v>
      </c>
    </row>
    <row r="106" spans="3:55">
      <c r="C106" s="2" t="s">
        <v>142</v>
      </c>
      <c r="E106" s="11" t="s">
        <v>143</v>
      </c>
      <c r="F106" s="49" t="s">
        <v>144</v>
      </c>
    </row>
    <row r="107" spans="3:55">
      <c r="C107" s="2" t="s">
        <v>136</v>
      </c>
      <c r="E107" s="52">
        <v>0.05</v>
      </c>
      <c r="F107" s="53">
        <v>0.05</v>
      </c>
    </row>
    <row r="108" spans="3:55">
      <c r="C108" s="2" t="s">
        <v>139</v>
      </c>
      <c r="E108" s="52">
        <v>0.05</v>
      </c>
      <c r="F108" s="53">
        <v>0.05</v>
      </c>
    </row>
    <row r="110" spans="3:55">
      <c r="C110" s="2" t="s">
        <v>145</v>
      </c>
    </row>
    <row r="111" spans="3:55">
      <c r="C111" s="2" t="s">
        <v>146</v>
      </c>
    </row>
    <row r="112" spans="3:55">
      <c r="C112" s="2" t="s">
        <v>147</v>
      </c>
    </row>
    <row r="113" spans="3:11">
      <c r="C113" s="2" t="s">
        <v>148</v>
      </c>
    </row>
    <row r="114" spans="3:11">
      <c r="C114" s="2" t="s">
        <v>149</v>
      </c>
    </row>
    <row r="115" spans="3:11">
      <c r="C115" s="2" t="s">
        <v>150</v>
      </c>
    </row>
    <row r="116" spans="3:11">
      <c r="C116" s="2" t="s">
        <v>151</v>
      </c>
    </row>
    <row r="117" spans="3:11">
      <c r="C117" s="2" t="s">
        <v>152</v>
      </c>
    </row>
    <row r="118" spans="3:11">
      <c r="C118" s="2" t="s">
        <v>153</v>
      </c>
    </row>
    <row r="119" spans="3:11">
      <c r="C119" s="2" t="s">
        <v>154</v>
      </c>
    </row>
    <row r="120" spans="3:11">
      <c r="C120" s="2" t="s">
        <v>155</v>
      </c>
    </row>
    <row r="121" spans="3:11">
      <c r="C121" s="2" t="s">
        <v>156</v>
      </c>
    </row>
    <row r="122" spans="3:11">
      <c r="C122" s="2" t="s">
        <v>157</v>
      </c>
    </row>
    <row r="123" spans="3:11">
      <c r="C123" s="2" t="s">
        <v>158</v>
      </c>
    </row>
    <row r="124" spans="3:11" ht="14.4">
      <c r="C124" s="54"/>
      <c r="D124" s="54"/>
      <c r="E124" s="54"/>
      <c r="F124" s="54"/>
      <c r="G124" s="54"/>
      <c r="H124" s="54"/>
      <c r="I124" s="54"/>
      <c r="J124" s="54"/>
      <c r="K124" s="54"/>
    </row>
    <row r="149" spans="3:6" ht="14.4" thickBot="1"/>
    <row r="150" spans="3:6" ht="14.4" thickBot="1">
      <c r="C150" s="55" t="s">
        <v>159</v>
      </c>
      <c r="D150" s="56"/>
      <c r="E150" s="56"/>
      <c r="F150" s="57"/>
    </row>
    <row r="151" spans="3:6" ht="14.4" thickBot="1">
      <c r="C151" s="58" t="s">
        <v>160</v>
      </c>
      <c r="D151" s="59" t="s">
        <v>161</v>
      </c>
      <c r="E151" s="59" t="s">
        <v>162</v>
      </c>
      <c r="F151" s="59" t="s">
        <v>163</v>
      </c>
    </row>
    <row r="152" spans="3:6" ht="14.4" thickBot="1">
      <c r="C152" s="58" t="s">
        <v>164</v>
      </c>
      <c r="D152" s="60"/>
      <c r="E152" s="60"/>
      <c r="F152" s="60"/>
    </row>
    <row r="153" spans="3:6" ht="14.4" thickBot="1">
      <c r="C153" s="61" t="s">
        <v>165</v>
      </c>
      <c r="D153" s="62"/>
      <c r="E153" s="63"/>
      <c r="F153" s="63"/>
    </row>
    <row r="154" spans="3:6" ht="14.4">
      <c r="C154" s="64" t="s">
        <v>166</v>
      </c>
      <c r="D154"/>
      <c r="E154" s="65" t="s">
        <v>167</v>
      </c>
      <c r="F154" s="66"/>
    </row>
    <row r="155" spans="3:6" ht="15" thickBot="1">
      <c r="C155" s="61" t="s">
        <v>168</v>
      </c>
      <c r="D155"/>
      <c r="E155" s="67"/>
      <c r="F155" s="68"/>
    </row>
    <row r="156" spans="3:6">
      <c r="C156" s="64" t="s">
        <v>169</v>
      </c>
      <c r="D156" s="66"/>
      <c r="E156" s="66"/>
      <c r="F156" s="66"/>
    </row>
    <row r="157" spans="3:6" ht="14.4" thickBot="1">
      <c r="C157" s="61" t="s">
        <v>170</v>
      </c>
      <c r="D157" s="68"/>
      <c r="E157" s="68"/>
      <c r="F157" s="68"/>
    </row>
    <row r="158" spans="3:6">
      <c r="C158" s="69" t="s">
        <v>171</v>
      </c>
      <c r="D158" s="70"/>
      <c r="E158" s="70"/>
      <c r="F158" s="70"/>
    </row>
    <row r="159" spans="3:6" ht="14.4">
      <c r="C159" s="2" t="s">
        <v>172</v>
      </c>
      <c r="D159"/>
      <c r="E159"/>
      <c r="F159"/>
    </row>
  </sheetData>
  <mergeCells count="9">
    <mergeCell ref="F156:F157"/>
    <mergeCell ref="C150:F150"/>
    <mergeCell ref="D151:D152"/>
    <mergeCell ref="E151:E152"/>
    <mergeCell ref="E154:E155"/>
    <mergeCell ref="F154:F155"/>
    <mergeCell ref="D156:D157"/>
    <mergeCell ref="E156:E157"/>
    <mergeCell ref="F151:F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XDO_?CLASS_3?22?</vt:lpstr>
      <vt:lpstr>XDO_?FINAL_ISIN?107?</vt:lpstr>
      <vt:lpstr>XDO_?FINAL_ISIN?108?</vt:lpstr>
      <vt:lpstr>XDO_?FINAL_ISIN?109?</vt:lpstr>
      <vt:lpstr>XDO_?FINAL_ISIN?110?</vt:lpstr>
      <vt:lpstr>XDO_?FINAL_ISIN?111?</vt:lpstr>
      <vt:lpstr>XDO_?FINAL_MV?107?</vt:lpstr>
      <vt:lpstr>XDO_?FINAL_MV?108?</vt:lpstr>
      <vt:lpstr>XDO_?FINAL_MV?109?</vt:lpstr>
      <vt:lpstr>XDO_?FINAL_MV?110?</vt:lpstr>
      <vt:lpstr>XDO_?FINAL_MV?111?</vt:lpstr>
      <vt:lpstr>XDO_?FINAL_NAME?107?</vt:lpstr>
      <vt:lpstr>XDO_?FINAL_NAME?108?</vt:lpstr>
      <vt:lpstr>XDO_?FINAL_NAME?109?</vt:lpstr>
      <vt:lpstr>XDO_?FINAL_NAME?110?</vt:lpstr>
      <vt:lpstr>XDO_?FINAL_NAME?111?</vt:lpstr>
      <vt:lpstr>XDO_?FINAL_PER_NET?107?</vt:lpstr>
      <vt:lpstr>XDO_?FINAL_PER_NET?108?</vt:lpstr>
      <vt:lpstr>XDO_?FINAL_PER_NET?109?</vt:lpstr>
      <vt:lpstr>XDO_?FINAL_PER_NET?110?</vt:lpstr>
      <vt:lpstr>XDO_?FINAL_PER_NET?111?</vt:lpstr>
      <vt:lpstr>XDO_?FINAL_QUANTITE?107?</vt:lpstr>
      <vt:lpstr>XDO_?FINAL_QUANTITE?108?</vt:lpstr>
      <vt:lpstr>XDO_?FINAL_QUANTITE?109?</vt:lpstr>
      <vt:lpstr>XDO_?FINAL_QUANTITE?110?</vt:lpstr>
      <vt:lpstr>XDO_?FINAL_QUANTITE?111?</vt:lpstr>
      <vt:lpstr>XDO_?NAMCNAME?22?</vt:lpstr>
      <vt:lpstr>XDO_?NOVAL?107?</vt:lpstr>
      <vt:lpstr>XDO_?NOVAL?108?</vt:lpstr>
      <vt:lpstr>XDO_?NOVAL?109?</vt:lpstr>
      <vt:lpstr>XDO_?NOVAL?110?</vt:lpstr>
      <vt:lpstr>XDO_?NOVAL?111?</vt:lpstr>
      <vt:lpstr>XDO_?NPTF?22?</vt:lpstr>
      <vt:lpstr>XDO_?RATING?107?</vt:lpstr>
      <vt:lpstr>XDO_?RATING?108?</vt:lpstr>
      <vt:lpstr>XDO_?RATING?109?</vt:lpstr>
      <vt:lpstr>XDO_?RATING?110?</vt:lpstr>
      <vt:lpstr>XDO_?RATING?111?</vt:lpstr>
      <vt:lpstr>XDO_?REMARKS?107?</vt:lpstr>
      <vt:lpstr>XDO_?REMARKS?108?</vt:lpstr>
      <vt:lpstr>XDO_?REMARKS?109?</vt:lpstr>
      <vt:lpstr>XDO_?REMARKS?110?</vt:lpstr>
      <vt:lpstr>XDO_?REMARKS?111?</vt:lpstr>
      <vt:lpstr>XDO_?TITL?22?</vt:lpstr>
      <vt:lpstr>XDO_?YTM?107?</vt:lpstr>
      <vt:lpstr>XDO_?YTM?108?</vt:lpstr>
      <vt:lpstr>XDO_?YTM?109?</vt:lpstr>
      <vt:lpstr>XDO_?YTM?110?</vt:lpstr>
      <vt:lpstr>XDO_?YTM?111?</vt:lpstr>
      <vt:lpstr>XDO_GROUP_?G_2?22?</vt:lpstr>
      <vt:lpstr>XDO_GROUP_?G_3?22?</vt:lpstr>
      <vt:lpstr>XDO_GROUP_?G_4?107?</vt:lpstr>
      <vt:lpstr>XDO_GROUP_?G_4?108?</vt:lpstr>
      <vt:lpstr>XDO_GROUP_?G_4?109?</vt:lpstr>
      <vt:lpstr>XDO_GROUP_?G_4?110?</vt:lpstr>
      <vt:lpstr>XDO_GROUP_?G_4?111?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2023-09-06T09:47:30Z</dcterms:created>
  <dcterms:modified xsi:type="dcterms:W3CDTF">2023-09-07T08:10:52Z</dcterms:modified>
</cp:coreProperties>
</file>