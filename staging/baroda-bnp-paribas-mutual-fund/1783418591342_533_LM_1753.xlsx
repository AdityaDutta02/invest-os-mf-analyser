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Janaury 2023\Monthly Portfolio\BOBNPMF_ Monthly Portfolio_Report 31st January 2023_split\Equity\"/>
    </mc:Choice>
  </mc:AlternateContent>
  <xr:revisionPtr revIDLastSave="0" documentId="13_ncr:1_{D640BBDD-383A-44A1-AF85-055AF7B611FE}" xr6:coauthVersionLast="47" xr6:coauthVersionMax="47" xr10:uidLastSave="{00000000-0000-0000-0000-000000000000}"/>
  <bookViews>
    <workbookView xWindow="-108" yWindow="-108" windowWidth="23256" windowHeight="12576" xr2:uid="{079F40D4-2008-4BF7-A9B0-6E66C1946DE6}"/>
  </bookViews>
  <sheets>
    <sheet name="LM" sheetId="1" r:id="rId1"/>
  </sheets>
  <externalReferences>
    <externalReference r:id="rId2"/>
  </externalReferences>
  <definedNames>
    <definedName name="XDO_?CLASS_3?27?">LM!$C$8:$C$51</definedName>
    <definedName name="XDO_?FINAL_ISIN?127?">LM!$D$10:$D$51</definedName>
    <definedName name="XDO_?FINAL_ISIN?128?">LM!$D$10:$D$90</definedName>
    <definedName name="XDO_?FINAL_ISIN?129?">LM!$D$10:$D$94</definedName>
    <definedName name="XDO_?FINAL_MV?127?">LM!$G$10:$G$51</definedName>
    <definedName name="XDO_?FINAL_MV?128?">LM!$G$10:$G$90</definedName>
    <definedName name="XDO_?FINAL_MV?129?">LM!$G$10:$G$94</definedName>
    <definedName name="XDO_?FINAL_NAME?127?">LM!$C$10:$C$51</definedName>
    <definedName name="XDO_?FINAL_NAME?128?">LM!$C$10:$C$90</definedName>
    <definedName name="XDO_?FINAL_NAME?129?">LM!$C$10:$C$94</definedName>
    <definedName name="XDO_?FINAL_PER_NET?127?">LM!$H$10:$H$51</definedName>
    <definedName name="XDO_?FINAL_PER_NET?128?">LM!$H$10:$H$90</definedName>
    <definedName name="XDO_?FINAL_PER_NET?129?">LM!$H$10:$H$94</definedName>
    <definedName name="XDO_?FINAL_QUANTITE?127?">LM!$F$10:$F$51</definedName>
    <definedName name="XDO_?FINAL_QUANTITE?128?">LM!$F$10:$F$90</definedName>
    <definedName name="XDO_?FINAL_QUANTITE?129?">LM!$F$10:$F$94</definedName>
    <definedName name="XDO_?NAMC?">[1]MT!#REF!</definedName>
    <definedName name="XDO_?NAMC?1?">[1]LW!#REF!</definedName>
    <definedName name="XDO_?NAMC?10?">[1]SE!#REF!</definedName>
    <definedName name="XDO_?NAMC?11?">[1]FO!#REF!</definedName>
    <definedName name="XDO_?NAMC?12?">[1]IC!#REF!</definedName>
    <definedName name="XDO_?NAMC?13?">[1]AF!#REF!</definedName>
    <definedName name="XDO_?NAMC?14?">[1]FX!#REF!</definedName>
    <definedName name="XDO_?NAMC?15?">[1]MA!#REF!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[1]MC!#REF!</definedName>
    <definedName name="XDO_?NAMC?6?">[1]LC!#REF!</definedName>
    <definedName name="XDO_?NAMC?7?">[1]TA!#REF!</definedName>
    <definedName name="XDO_?NAMC?8?">[1]CH!#REF!</definedName>
    <definedName name="XDO_?NAMC?9?">[1]AR!#REF!</definedName>
    <definedName name="XDO_?NAMCNAME?27?">LM!$C$2:$C$51</definedName>
    <definedName name="XDO_?NDATE?">[1]MT!#REF!</definedName>
    <definedName name="XDO_?NDATE?1?">[1]LW!#REF!</definedName>
    <definedName name="XDO_?NDATE?10?">[1]SE!#REF!</definedName>
    <definedName name="XDO_?NDATE?11?">[1]FO!#REF!</definedName>
    <definedName name="XDO_?NDATE?12?">[1]IC!#REF!</definedName>
    <definedName name="XDO_?NDATE?13?">[1]AF!#REF!</definedName>
    <definedName name="XDO_?NDATE?14?">[1]FX!#REF!</definedName>
    <definedName name="XDO_?NDATE?15?">[1]MA!#REF!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[1]MC!#REF!</definedName>
    <definedName name="XDO_?NDATE?6?">[1]LC!#REF!</definedName>
    <definedName name="XDO_?NDATE?7?">[1]TA!#REF!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[1]SE!#REF!</definedName>
    <definedName name="XDO_?NNPTF?11?">[1]FO!#REF!</definedName>
    <definedName name="XDO_?NNPTF?12?">[1]IC!#REF!</definedName>
    <definedName name="XDO_?NNPTF?13?">[1]AF!#REF!</definedName>
    <definedName name="XDO_?NNPTF?14?">[1]FX!#REF!</definedName>
    <definedName name="XDO_?NNPTF?15?">[1]MA!#REF!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[1]MC!#REF!</definedName>
    <definedName name="XDO_?NNPTF?6?">[1]LC!#REF!</definedName>
    <definedName name="XDO_?NNPTF?7?">[1]TA!#REF!</definedName>
    <definedName name="XDO_?NNPTF?8?">[1]CH!#REF!</definedName>
    <definedName name="XDO_?NNPTF?9?">[1]AR!#REF!</definedName>
    <definedName name="XDO_?NOVAL?127?">LM!$B$10:$B$51</definedName>
    <definedName name="XDO_?NOVAL?128?">LM!$B$10:$B$90</definedName>
    <definedName name="XDO_?NOVAL?129?">LM!$B$10:$B$94</definedName>
    <definedName name="XDO_?NPTF?27?">LM!$D$2:$D$51</definedName>
    <definedName name="XDO_?RATING?127?">LM!$E$10:$E$51</definedName>
    <definedName name="XDO_?RATING?128?">LM!$E$10:$E$90</definedName>
    <definedName name="XDO_?RATING?129?">LM!$E$10:$E$94</definedName>
    <definedName name="XDO_?REMARKS?127?">LM!$K$10:$K$51</definedName>
    <definedName name="XDO_?REMARKS?128?">LM!$K$10:$K$90</definedName>
    <definedName name="XDO_?REMARKS?129?">LM!$K$10:$K$94</definedName>
    <definedName name="XDO_?TITL?27?">LM!$A$8:$A$51</definedName>
    <definedName name="XDO_?YTM?127?">LM!$I$10:$I$51</definedName>
    <definedName name="XDO_?YTM?128?">LM!$I$10:$I$90</definedName>
    <definedName name="XDO_?YTM?129?">LM!$I$10:$I$94</definedName>
    <definedName name="XDO_GROUP_?G_2?27?">LM!$2:$62</definedName>
    <definedName name="XDO_GROUP_?G_3?27?">LM!$8:$61</definedName>
    <definedName name="XDO_GROUP_?G_4?114?">[1]ON!#REF!</definedName>
    <definedName name="XDO_GROUP_?G_4?127?">LM!$B$10:$IV$51</definedName>
    <definedName name="XDO_GROUP_?G_4?128?">LM!$B$56:$IV$56</definedName>
    <definedName name="XDO_GROUP_?G_4?129?">LM!$B$59:$IV$59</definedName>
    <definedName name="XDO_GROUP_?G_4?28?">[1]TA!#REF!</definedName>
    <definedName name="XDO_GROUP_?G_4?71?">[1]GR!#REF!</definedName>
    <definedName name="XDO_GROUP_?G_4?96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7" i="1" l="1"/>
</calcChain>
</file>

<file path=xl/sharedStrings.xml><?xml version="1.0" encoding="utf-8"?>
<sst xmlns="http://schemas.openxmlformats.org/spreadsheetml/2006/main" count="271" uniqueCount="219">
  <si>
    <t>Baroda BNP Paribas Mutual Fund</t>
  </si>
  <si>
    <t>YR54</t>
  </si>
  <si>
    <t>SCHEME NAME :</t>
  </si>
  <si>
    <t xml:space="preserve">Baroda BNP Paribas Large &amp; Mid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</si>
  <si>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</si>
  <si>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</si>
  <si>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</si>
  <si>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</si>
  <si>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</si>
  <si>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</si>
  <si>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</si>
  <si>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</si>
  <si>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</si>
  <si>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</si>
  <si>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</si>
  <si>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</si>
  <si>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</si>
  <si>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</si>
  <si>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</si>
  <si>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</si>
  <si>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</si>
  <si>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</si>
  <si>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</si>
  <si>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100003</t>
  </si>
  <si>
    <t>Infosys Ltd.</t>
  </si>
  <si>
    <t>INE009A01021</t>
  </si>
  <si>
    <t>IT - Software</t>
  </si>
  <si>
    <t>100286</t>
  </si>
  <si>
    <t>NHPC Ltd.</t>
  </si>
  <si>
    <t>INE848E01016</t>
  </si>
  <si>
    <t>Power</t>
  </si>
  <si>
    <t>100002</t>
  </si>
  <si>
    <t>Reliance Industries Ltd.</t>
  </si>
  <si>
    <t>INE002A01018</t>
  </si>
  <si>
    <t>Petroleum Products</t>
  </si>
  <si>
    <t>100234</t>
  </si>
  <si>
    <t>Coforge Ltd.</t>
  </si>
  <si>
    <t>INE591G01017</t>
  </si>
  <si>
    <t>100161</t>
  </si>
  <si>
    <t>Cummins India Ltd.</t>
  </si>
  <si>
    <t>INE298A01020</t>
  </si>
  <si>
    <t>Industrial Products</t>
  </si>
  <si>
    <t>100005</t>
  </si>
  <si>
    <t>Larsen &amp; Toubro Ltd.</t>
  </si>
  <si>
    <t>INE018A01030</t>
  </si>
  <si>
    <t>Construction</t>
  </si>
  <si>
    <t>100816</t>
  </si>
  <si>
    <t>APL Apollo Tubes Ltd.</t>
  </si>
  <si>
    <t>INE702C01027</t>
  </si>
  <si>
    <t>100242</t>
  </si>
  <si>
    <t>Schaeffler India Ltd.</t>
  </si>
  <si>
    <t>INE513A01022</t>
  </si>
  <si>
    <t>Auto Components</t>
  </si>
  <si>
    <t>100008</t>
  </si>
  <si>
    <t>Sun Pharmaceutical Industries Ltd.</t>
  </si>
  <si>
    <t>INE044A01036</t>
  </si>
  <si>
    <t>Pharmaceuticals &amp; Biotechnology</t>
  </si>
  <si>
    <t>100843</t>
  </si>
  <si>
    <t>Dalmia Bharat Ltd.</t>
  </si>
  <si>
    <t>INE00R701025</t>
  </si>
  <si>
    <t>Cement &amp; Cement Products</t>
  </si>
  <si>
    <t>100036</t>
  </si>
  <si>
    <t>Mahindra &amp; Mahindra Financial Services Ltd.</t>
  </si>
  <si>
    <t>INE774D01024</t>
  </si>
  <si>
    <t>Finance</t>
  </si>
  <si>
    <t>100024</t>
  </si>
  <si>
    <t>Axis Bank Ltd.</t>
  </si>
  <si>
    <t>INE238A01034</t>
  </si>
  <si>
    <t>100095</t>
  </si>
  <si>
    <t>Bharti Airtel Ltd.</t>
  </si>
  <si>
    <t>INE397D01024</t>
  </si>
  <si>
    <t>Telecom - Services</t>
  </si>
  <si>
    <t>100453</t>
  </si>
  <si>
    <t>RBL Bank Ltd.</t>
  </si>
  <si>
    <t>INE976G01028</t>
  </si>
  <si>
    <t>100022</t>
  </si>
  <si>
    <t>The Phoenix Mills Ltd.</t>
  </si>
  <si>
    <t>INE211B01039</t>
  </si>
  <si>
    <t>Realty</t>
  </si>
  <si>
    <t>100013</t>
  </si>
  <si>
    <t>IndusInd Bank Ltd.</t>
  </si>
  <si>
    <t>INE095A01012</t>
  </si>
  <si>
    <t>100382</t>
  </si>
  <si>
    <t>Fortis Healthcare Ltd.</t>
  </si>
  <si>
    <t>INE061F01013</t>
  </si>
  <si>
    <t>Healthcare Services</t>
  </si>
  <si>
    <t>100010</t>
  </si>
  <si>
    <t>State Bank of India</t>
  </si>
  <si>
    <t>INE062A01020</t>
  </si>
  <si>
    <t>100222</t>
  </si>
  <si>
    <t>The Indian Hotels Company Ltd.</t>
  </si>
  <si>
    <t>INE053A01029</t>
  </si>
  <si>
    <t>Leisure Services</t>
  </si>
  <si>
    <t>100026</t>
  </si>
  <si>
    <t>Persistent Systems Ltd.</t>
  </si>
  <si>
    <t>INE262H01013</t>
  </si>
  <si>
    <t>100172</t>
  </si>
  <si>
    <t>ACC Ltd.</t>
  </si>
  <si>
    <t>INE012A01025</t>
  </si>
  <si>
    <t>100092</t>
  </si>
  <si>
    <t>Bank of Baroda</t>
  </si>
  <si>
    <t>INE028A01039</t>
  </si>
  <si>
    <t>100739</t>
  </si>
  <si>
    <t>UNO Minda Ltd.</t>
  </si>
  <si>
    <t>INE405E01023</t>
  </si>
  <si>
    <t>100019</t>
  </si>
  <si>
    <t>ITC Ltd.</t>
  </si>
  <si>
    <t>INE154A01025</t>
  </si>
  <si>
    <t>Diversified FMCG</t>
  </si>
  <si>
    <t>100191</t>
  </si>
  <si>
    <t>Canara Bank</t>
  </si>
  <si>
    <t>INE476A01014</t>
  </si>
  <si>
    <t>100106</t>
  </si>
  <si>
    <t>Maruti Suzuki India Ltd.</t>
  </si>
  <si>
    <t>INE585B01010</t>
  </si>
  <si>
    <t>Automobiles</t>
  </si>
  <si>
    <t>100830</t>
  </si>
  <si>
    <t>Varun Beverages Ltd.</t>
  </si>
  <si>
    <t>INE200M01013</t>
  </si>
  <si>
    <t>Beverages</t>
  </si>
  <si>
    <t>100035</t>
  </si>
  <si>
    <t>NMDC Ltd.</t>
  </si>
  <si>
    <t>INE584A01023</t>
  </si>
  <si>
    <t>Minerals &amp; Mining</t>
  </si>
  <si>
    <t>100081</t>
  </si>
  <si>
    <t>Titan Company Ltd.</t>
  </si>
  <si>
    <t>INE280A01028</t>
  </si>
  <si>
    <t>Consumer Durables</t>
  </si>
  <si>
    <t>101080</t>
  </si>
  <si>
    <t>JB Chemicals &amp; Pharmaceuticals Ltd.</t>
  </si>
  <si>
    <t>INE572A01028</t>
  </si>
  <si>
    <t>100056</t>
  </si>
  <si>
    <t>Supreme Industries Ltd.</t>
  </si>
  <si>
    <t>INE195A01028</t>
  </si>
  <si>
    <t>100032</t>
  </si>
  <si>
    <t>Tata Consultancy Services Ltd.</t>
  </si>
  <si>
    <t>INE467B01029</t>
  </si>
  <si>
    <t>100386</t>
  </si>
  <si>
    <t>Carborundum Universal Ltd.</t>
  </si>
  <si>
    <t>INE120A01034</t>
  </si>
  <si>
    <t>100084</t>
  </si>
  <si>
    <t>ABB India Ltd.</t>
  </si>
  <si>
    <t>INE117A01022</t>
  </si>
  <si>
    <t>Electrical Equipment</t>
  </si>
  <si>
    <t>100942</t>
  </si>
  <si>
    <t>Brigade Enterprises Ltd.</t>
  </si>
  <si>
    <t>INE791I01019</t>
  </si>
  <si>
    <t>100042</t>
  </si>
  <si>
    <t>LIC Housing Finance Ltd.</t>
  </si>
  <si>
    <t>INE115A01026</t>
  </si>
  <si>
    <t>100268</t>
  </si>
  <si>
    <t>NLC India Ltd.</t>
  </si>
  <si>
    <t>INE589A01014</t>
  </si>
  <si>
    <t>100100</t>
  </si>
  <si>
    <t>Hindustan Petroleum Corporation Ltd.</t>
  </si>
  <si>
    <t>INE094A01015</t>
  </si>
  <si>
    <t>100281</t>
  </si>
  <si>
    <t>Century Textiles &amp; Industries Ltd.</t>
  </si>
  <si>
    <t>INE055A01016</t>
  </si>
  <si>
    <t>Paper, Forest &amp; Jute Products</t>
  </si>
  <si>
    <t>101767</t>
  </si>
  <si>
    <t>Aarti Pharmalabs Ltd</t>
  </si>
  <si>
    <t>INE0LRU01027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</si>
  <si>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</si>
  <si>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</si>
  <si>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</si>
  <si>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</si>
  <si>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</si>
  <si>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</si>
  <si>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</si>
  <si>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</si>
  <si>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</si>
  <si>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</si>
  <si>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</si>
  <si>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</si>
  <si>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</si>
  <si>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</si>
  <si>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</si>
  <si>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</si>
  <si>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</si>
  <si>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</si>
  <si>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</si>
  <si>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</si>
  <si>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</si>
  <si>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102230100</t>
  </si>
  <si>
    <t>TREPS 01-Feb-2023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</si>
  <si>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</si>
  <si>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</si>
  <si>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</si>
  <si>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</si>
  <si>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</si>
  <si>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</si>
  <si>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</si>
  <si>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</si>
  <si>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</si>
  <si>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</si>
  <si>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January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</si>
  <si>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</si>
  <si>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</si>
  <si>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</si>
  <si>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December 30, 2022</t>
  </si>
  <si>
    <t>As on January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</si>
  <si>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</si>
  <si>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</si>
  <si>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</si>
  <si>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</si>
  <si>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January 31, 2023</t>
  </si>
  <si>
    <t>(9) There were no investments made in derivative instruments and no such derivative instrument was squared off/ expired /exercised during the Month ended January 31, 2023. Further there are no investments in derivative instruments as on January 31, 2023.</t>
  </si>
  <si>
    <t>(10) Total Market value of investments in Foreign Securities/American Depositary Receipts/Global Depositary Receipts as at  January 31, 2023 is Rs. Nil.</t>
  </si>
  <si>
    <t>(11)  During the period, the portfolio turnover ratio is  0.09 times.</t>
  </si>
  <si>
    <t>(12)  Details of repo transaction in corporate debt securities for the Month ended January 31, 2023 is Nil.</t>
  </si>
  <si>
    <t>(13)  Investments in debt instruments having structured obligations or credit enhancement features as at January 31, 2023 is Rs. Nil.</t>
  </si>
  <si>
    <t>(14) Investment in Partly paid Debentures during the Month ended  January 31, 2023 and as on  January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</si>
  <si>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</si>
  <si>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</si>
  <si>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</si>
  <si>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</si>
  <si>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</si>
  <si>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January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</si>
</sst>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FA7E0B78-6FDC-4CCE-8342-D1594EFA41FC}"/>
    <cellStyle name="Hyperlink" xfId="2" builtinId="8"/>
    <cellStyle name="Normal" xfId="0" builtinId="0"/>
    <cellStyle name="Normal 2" xfId="4" xr:uid="{B99DB66C-C4AC-4C00-BAFC-C284579FE093}"/>
    <cellStyle name="Style 1" xfId="3" xr:uid="{5BB66BDB-B07C-4A9C-8F8F-B10F6C08D6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5</xdr:col>
      <xdr:colOff>504275</xdr:colOff>
      <xdr:row>145</xdr:row>
      <xdr:rowOff>126322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3FF8D7-D7D4-46B4-AC2A-F36C04D3A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3410333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January%202023\Month%20End%2031%20January%202023\Split%20portfolio\BOBBNPMF_Monthly%20portfolio%2031-0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F42E0-6928-4370-8DFF-AB03C2D8C723}">
  <dimension ref="A1:BC132"/>
  <sheetViews>
    <sheetView showGridLines="0" tabSelected="1" zoomScale="90" zoomScaleNormal="90" workbookViewId="0">
      <pane ySplit="6" topLeftCell="A125" activePane="bottomLeft" state="frozen"/>
      <selection activeCell="J4" sqref="J4"/>
      <selection pane="bottomLeft" activeCell="C131" sqref="C131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44957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340000</v>
      </c>
      <c r="G10" s="34">
        <v>5451.9</v>
      </c>
      <c r="H10" s="34">
        <v>7.59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600000</v>
      </c>
      <c r="G11" s="34">
        <v>4991.3999999999996</v>
      </c>
      <c r="H11" s="34">
        <v>6.95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250000</v>
      </c>
      <c r="G12" s="34">
        <v>3834.38</v>
      </c>
      <c r="H12" s="34">
        <v>5.34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7400000</v>
      </c>
      <c r="G13" s="34">
        <v>3248.6</v>
      </c>
      <c r="H13" s="34">
        <v>4.5199999999999996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135000</v>
      </c>
      <c r="G14" s="34">
        <v>3177.7</v>
      </c>
      <c r="H14" s="34">
        <v>4.42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26</v>
      </c>
      <c r="F15" s="33">
        <v>50000</v>
      </c>
      <c r="G15" s="34">
        <v>2189.4499999999998</v>
      </c>
      <c r="H15" s="34">
        <v>3.05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150000</v>
      </c>
      <c r="G16" s="34">
        <v>2153.6999999999998</v>
      </c>
      <c r="H16" s="34">
        <v>3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95000</v>
      </c>
      <c r="G17" s="34">
        <v>2018.18</v>
      </c>
      <c r="H17" s="34">
        <v>2.81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41</v>
      </c>
      <c r="F18" s="33">
        <v>175000</v>
      </c>
      <c r="G18" s="34">
        <v>2001.39</v>
      </c>
      <c r="H18" s="34">
        <v>2.78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70000</v>
      </c>
      <c r="G19" s="34">
        <v>1884.33</v>
      </c>
      <c r="H19" s="34">
        <v>2.62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56</v>
      </c>
      <c r="F20" s="33">
        <v>175000</v>
      </c>
      <c r="G20" s="34">
        <v>1810.38</v>
      </c>
      <c r="H20" s="34">
        <v>2.52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60</v>
      </c>
      <c r="F21" s="33">
        <v>100000</v>
      </c>
      <c r="G21" s="34">
        <v>1767.75</v>
      </c>
      <c r="H21" s="34">
        <v>2.46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64</v>
      </c>
      <c r="F22" s="33">
        <v>750000</v>
      </c>
      <c r="G22" s="34">
        <v>1745.63</v>
      </c>
      <c r="H22" s="34">
        <v>2.4300000000000002</v>
      </c>
      <c r="I22" s="35"/>
      <c r="J22" s="35"/>
      <c r="K22" s="36"/>
    </row>
    <row r="23" spans="2:11" x14ac:dyDescent="0.3">
      <c r="B23" s="1" t="s">
        <v>65</v>
      </c>
      <c r="C23" s="21" t="s">
        <v>66</v>
      </c>
      <c r="D23" s="31" t="s">
        <v>67</v>
      </c>
      <c r="E23" s="32" t="s">
        <v>19</v>
      </c>
      <c r="F23" s="33">
        <v>200000</v>
      </c>
      <c r="G23" s="34">
        <v>1743.2</v>
      </c>
      <c r="H23" s="34">
        <v>2.4300000000000002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71</v>
      </c>
      <c r="F24" s="33">
        <v>225000</v>
      </c>
      <c r="G24" s="34">
        <v>1733.18</v>
      </c>
      <c r="H24" s="34">
        <v>2.41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19</v>
      </c>
      <c r="F25" s="33">
        <v>1075000</v>
      </c>
      <c r="G25" s="34">
        <v>1674.31</v>
      </c>
      <c r="H25" s="34">
        <v>2.33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78</v>
      </c>
      <c r="F26" s="33">
        <v>120000</v>
      </c>
      <c r="G26" s="34">
        <v>1642.38</v>
      </c>
      <c r="H26" s="34">
        <v>2.29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19</v>
      </c>
      <c r="F27" s="33">
        <v>150000</v>
      </c>
      <c r="G27" s="34">
        <v>1624.43</v>
      </c>
      <c r="H27" s="34">
        <v>2.2599999999999998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85</v>
      </c>
      <c r="F28" s="33">
        <v>550000</v>
      </c>
      <c r="G28" s="34">
        <v>1549.08</v>
      </c>
      <c r="H28" s="34">
        <v>2.16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19</v>
      </c>
      <c r="F29" s="33">
        <v>275000</v>
      </c>
      <c r="G29" s="34">
        <v>1522.13</v>
      </c>
      <c r="H29" s="34">
        <v>2.12</v>
      </c>
      <c r="I29" s="35"/>
      <c r="J29" s="35"/>
      <c r="K29" s="36"/>
    </row>
    <row r="30" spans="2:11" x14ac:dyDescent="0.3">
      <c r="B30" s="1" t="s">
        <v>89</v>
      </c>
      <c r="C30" s="21" t="s">
        <v>90</v>
      </c>
      <c r="D30" s="31" t="s">
        <v>91</v>
      </c>
      <c r="E30" s="32" t="s">
        <v>92</v>
      </c>
      <c r="F30" s="33">
        <v>500000</v>
      </c>
      <c r="G30" s="34">
        <v>1505</v>
      </c>
      <c r="H30" s="34">
        <v>2.09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26</v>
      </c>
      <c r="F31" s="33">
        <v>31000</v>
      </c>
      <c r="G31" s="34">
        <v>1453.14</v>
      </c>
      <c r="H31" s="34">
        <v>2.02</v>
      </c>
      <c r="I31" s="35"/>
      <c r="J31" s="35"/>
      <c r="K31" s="36"/>
    </row>
    <row r="32" spans="2:11" x14ac:dyDescent="0.3">
      <c r="B32" s="1" t="s">
        <v>96</v>
      </c>
      <c r="C32" s="21" t="s">
        <v>97</v>
      </c>
      <c r="D32" s="31" t="s">
        <v>98</v>
      </c>
      <c r="E32" s="32" t="s">
        <v>60</v>
      </c>
      <c r="F32" s="33">
        <v>70000</v>
      </c>
      <c r="G32" s="34">
        <v>1377.81</v>
      </c>
      <c r="H32" s="34">
        <v>1.92</v>
      </c>
      <c r="I32" s="35"/>
      <c r="J32" s="35"/>
      <c r="K32" s="36"/>
    </row>
    <row r="33" spans="2:11" x14ac:dyDescent="0.3">
      <c r="B33" s="1" t="s">
        <v>99</v>
      </c>
      <c r="C33" s="21" t="s">
        <v>100</v>
      </c>
      <c r="D33" s="31" t="s">
        <v>101</v>
      </c>
      <c r="E33" s="32" t="s">
        <v>19</v>
      </c>
      <c r="F33" s="33">
        <v>800000</v>
      </c>
      <c r="G33" s="34">
        <v>1342.8</v>
      </c>
      <c r="H33" s="34">
        <v>1.87</v>
      </c>
      <c r="I33" s="35"/>
      <c r="J33" s="35"/>
      <c r="K33" s="36"/>
    </row>
    <row r="34" spans="2:11" x14ac:dyDescent="0.3">
      <c r="B34" s="1" t="s">
        <v>102</v>
      </c>
      <c r="C34" s="21" t="s">
        <v>103</v>
      </c>
      <c r="D34" s="31" t="s">
        <v>104</v>
      </c>
      <c r="E34" s="32" t="s">
        <v>52</v>
      </c>
      <c r="F34" s="33">
        <v>271837</v>
      </c>
      <c r="G34" s="34">
        <v>1326.56</v>
      </c>
      <c r="H34" s="34">
        <v>1.85</v>
      </c>
      <c r="I34" s="35"/>
      <c r="J34" s="35"/>
      <c r="K34" s="36"/>
    </row>
    <row r="35" spans="2:11" x14ac:dyDescent="0.3">
      <c r="B35" s="1" t="s">
        <v>105</v>
      </c>
      <c r="C35" s="21" t="s">
        <v>106</v>
      </c>
      <c r="D35" s="31" t="s">
        <v>107</v>
      </c>
      <c r="E35" s="32" t="s">
        <v>108</v>
      </c>
      <c r="F35" s="33">
        <v>350000</v>
      </c>
      <c r="G35" s="34">
        <v>1233.23</v>
      </c>
      <c r="H35" s="34">
        <v>1.72</v>
      </c>
      <c r="I35" s="35"/>
      <c r="J35" s="35"/>
      <c r="K35" s="36"/>
    </row>
    <row r="36" spans="2:11" x14ac:dyDescent="0.3">
      <c r="B36" s="1" t="s">
        <v>109</v>
      </c>
      <c r="C36" s="21" t="s">
        <v>110</v>
      </c>
      <c r="D36" s="31" t="s">
        <v>111</v>
      </c>
      <c r="E36" s="32" t="s">
        <v>19</v>
      </c>
      <c r="F36" s="33">
        <v>400000</v>
      </c>
      <c r="G36" s="34">
        <v>1215.8</v>
      </c>
      <c r="H36" s="34">
        <v>1.69</v>
      </c>
      <c r="I36" s="35"/>
      <c r="J36" s="35"/>
      <c r="K36" s="36"/>
    </row>
    <row r="37" spans="2:11" x14ac:dyDescent="0.3">
      <c r="B37" s="1" t="s">
        <v>112</v>
      </c>
      <c r="C37" s="21" t="s">
        <v>113</v>
      </c>
      <c r="D37" s="31" t="s">
        <v>114</v>
      </c>
      <c r="E37" s="32" t="s">
        <v>115</v>
      </c>
      <c r="F37" s="33">
        <v>13000</v>
      </c>
      <c r="G37" s="34">
        <v>1156.3900000000001</v>
      </c>
      <c r="H37" s="34">
        <v>1.61</v>
      </c>
      <c r="I37" s="35"/>
      <c r="J37" s="35"/>
      <c r="K37" s="36"/>
    </row>
    <row r="38" spans="2:11" x14ac:dyDescent="0.3">
      <c r="B38" s="1" t="s">
        <v>116</v>
      </c>
      <c r="C38" s="21" t="s">
        <v>117</v>
      </c>
      <c r="D38" s="31" t="s">
        <v>118</v>
      </c>
      <c r="E38" s="32" t="s">
        <v>119</v>
      </c>
      <c r="F38" s="33">
        <v>100000</v>
      </c>
      <c r="G38" s="34">
        <v>1146.25</v>
      </c>
      <c r="H38" s="34">
        <v>1.59</v>
      </c>
      <c r="I38" s="35"/>
      <c r="J38" s="35"/>
      <c r="K38" s="36"/>
    </row>
    <row r="39" spans="2:11" x14ac:dyDescent="0.3">
      <c r="B39" s="1" t="s">
        <v>120</v>
      </c>
      <c r="C39" s="21" t="s">
        <v>121</v>
      </c>
      <c r="D39" s="31" t="s">
        <v>122</v>
      </c>
      <c r="E39" s="32" t="s">
        <v>123</v>
      </c>
      <c r="F39" s="33">
        <v>900000</v>
      </c>
      <c r="G39" s="34">
        <v>1108.3499999999999</v>
      </c>
      <c r="H39" s="34">
        <v>1.54</v>
      </c>
      <c r="I39" s="35"/>
      <c r="J39" s="35"/>
      <c r="K39" s="36"/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127</v>
      </c>
      <c r="F40" s="33">
        <v>45000</v>
      </c>
      <c r="G40" s="34">
        <v>1069.72</v>
      </c>
      <c r="H40" s="34">
        <v>1.49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56</v>
      </c>
      <c r="F41" s="33">
        <v>50000</v>
      </c>
      <c r="G41" s="34">
        <v>1021.45</v>
      </c>
      <c r="H41" s="34">
        <v>1.42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41</v>
      </c>
      <c r="F42" s="33">
        <v>40000</v>
      </c>
      <c r="G42" s="34">
        <v>1011.54</v>
      </c>
      <c r="H42" s="34">
        <v>1.41</v>
      </c>
      <c r="I42" s="35"/>
      <c r="J42" s="35"/>
      <c r="K42" s="36"/>
    </row>
    <row r="43" spans="2:11" x14ac:dyDescent="0.3">
      <c r="B43" s="1" t="s">
        <v>134</v>
      </c>
      <c r="C43" s="21" t="s">
        <v>135</v>
      </c>
      <c r="D43" s="31" t="s">
        <v>136</v>
      </c>
      <c r="E43" s="32" t="s">
        <v>26</v>
      </c>
      <c r="F43" s="33">
        <v>30000</v>
      </c>
      <c r="G43" s="34">
        <v>1007.61</v>
      </c>
      <c r="H43" s="34">
        <v>1.4</v>
      </c>
      <c r="I43" s="35"/>
      <c r="J43" s="35"/>
      <c r="K43" s="36"/>
    </row>
    <row r="44" spans="2:11" x14ac:dyDescent="0.3">
      <c r="B44" s="1" t="s">
        <v>137</v>
      </c>
      <c r="C44" s="21" t="s">
        <v>138</v>
      </c>
      <c r="D44" s="31" t="s">
        <v>139</v>
      </c>
      <c r="E44" s="32" t="s">
        <v>41</v>
      </c>
      <c r="F44" s="33">
        <v>100000</v>
      </c>
      <c r="G44" s="34">
        <v>972.9</v>
      </c>
      <c r="H44" s="34">
        <v>1.35</v>
      </c>
      <c r="I44" s="35"/>
      <c r="J44" s="35"/>
      <c r="K44" s="36"/>
    </row>
    <row r="45" spans="2:11" x14ac:dyDescent="0.3">
      <c r="B45" s="1" t="s">
        <v>140</v>
      </c>
      <c r="C45" s="21" t="s">
        <v>141</v>
      </c>
      <c r="D45" s="31" t="s">
        <v>142</v>
      </c>
      <c r="E45" s="32" t="s">
        <v>143</v>
      </c>
      <c r="F45" s="33">
        <v>30000</v>
      </c>
      <c r="G45" s="34">
        <v>851.85</v>
      </c>
      <c r="H45" s="34">
        <v>1.19</v>
      </c>
      <c r="I45" s="35"/>
      <c r="J45" s="35"/>
      <c r="K45" s="36"/>
    </row>
    <row r="46" spans="2:11" x14ac:dyDescent="0.3">
      <c r="B46" s="1" t="s">
        <v>144</v>
      </c>
      <c r="C46" s="21" t="s">
        <v>145</v>
      </c>
      <c r="D46" s="31" t="s">
        <v>146</v>
      </c>
      <c r="E46" s="32" t="s">
        <v>78</v>
      </c>
      <c r="F46" s="33">
        <v>185000</v>
      </c>
      <c r="G46" s="34">
        <v>849.61</v>
      </c>
      <c r="H46" s="34">
        <v>1.18</v>
      </c>
      <c r="I46" s="35"/>
      <c r="J46" s="35"/>
      <c r="K46" s="36"/>
    </row>
    <row r="47" spans="2:11" x14ac:dyDescent="0.3">
      <c r="B47" s="1" t="s">
        <v>147</v>
      </c>
      <c r="C47" s="21" t="s">
        <v>148</v>
      </c>
      <c r="D47" s="31" t="s">
        <v>149</v>
      </c>
      <c r="E47" s="32" t="s">
        <v>64</v>
      </c>
      <c r="F47" s="33">
        <v>200000</v>
      </c>
      <c r="G47" s="34">
        <v>802.4</v>
      </c>
      <c r="H47" s="34">
        <v>1.1200000000000001</v>
      </c>
      <c r="I47" s="35"/>
      <c r="J47" s="35"/>
      <c r="K47" s="36"/>
    </row>
    <row r="48" spans="2:11" x14ac:dyDescent="0.3">
      <c r="B48" s="1" t="s">
        <v>150</v>
      </c>
      <c r="C48" s="21" t="s">
        <v>151</v>
      </c>
      <c r="D48" s="31" t="s">
        <v>152</v>
      </c>
      <c r="E48" s="32" t="s">
        <v>30</v>
      </c>
      <c r="F48" s="33">
        <v>1000000</v>
      </c>
      <c r="G48" s="34">
        <v>780.5</v>
      </c>
      <c r="H48" s="34">
        <v>1.0900000000000001</v>
      </c>
      <c r="I48" s="35"/>
      <c r="J48" s="35"/>
      <c r="K48" s="36"/>
    </row>
    <row r="49" spans="2:11" x14ac:dyDescent="0.3">
      <c r="B49" s="1" t="s">
        <v>153</v>
      </c>
      <c r="C49" s="21" t="s">
        <v>154</v>
      </c>
      <c r="D49" s="31" t="s">
        <v>155</v>
      </c>
      <c r="E49" s="32" t="s">
        <v>34</v>
      </c>
      <c r="F49" s="33">
        <v>250000</v>
      </c>
      <c r="G49" s="34">
        <v>594.75</v>
      </c>
      <c r="H49" s="34">
        <v>0.83</v>
      </c>
      <c r="I49" s="35"/>
      <c r="J49" s="35"/>
      <c r="K49" s="36"/>
    </row>
    <row r="50" spans="2:11" x14ac:dyDescent="0.3">
      <c r="B50" s="1" t="s">
        <v>156</v>
      </c>
      <c r="C50" s="21" t="s">
        <v>157</v>
      </c>
      <c r="D50" s="31" t="s">
        <v>158</v>
      </c>
      <c r="E50" s="32" t="s">
        <v>159</v>
      </c>
      <c r="F50" s="33">
        <v>70445</v>
      </c>
      <c r="G50" s="34">
        <v>494.77</v>
      </c>
      <c r="H50" s="34">
        <v>0.69</v>
      </c>
      <c r="I50" s="35"/>
      <c r="J50" s="35"/>
      <c r="K50" s="36"/>
    </row>
    <row r="51" spans="2:11" x14ac:dyDescent="0.3">
      <c r="B51" s="1" t="s">
        <v>160</v>
      </c>
      <c r="C51" s="21" t="s">
        <v>161</v>
      </c>
      <c r="D51" s="31" t="s">
        <v>162</v>
      </c>
      <c r="E51" s="32" t="s">
        <v>56</v>
      </c>
      <c r="F51" s="33">
        <v>25000</v>
      </c>
      <c r="G51" s="34">
        <v>68.459999999999994</v>
      </c>
      <c r="H51" s="34">
        <v>0.1</v>
      </c>
      <c r="I51" s="35"/>
      <c r="J51" s="35"/>
      <c r="K51" s="36"/>
    </row>
    <row r="52" spans="2:11" x14ac:dyDescent="0.3">
      <c r="C52" s="30" t="s">
        <v>163</v>
      </c>
      <c r="D52" s="31"/>
      <c r="E52" s="32"/>
      <c r="F52" s="33"/>
      <c r="G52" s="38">
        <v>70154.39</v>
      </c>
      <c r="H52" s="38">
        <v>97.66</v>
      </c>
      <c r="I52" s="35"/>
      <c r="J52" s="35"/>
      <c r="K52" s="36"/>
    </row>
    <row r="53" spans="2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2:11" x14ac:dyDescent="0.3">
      <c r="C54" s="30" t="s">
        <v>164</v>
      </c>
      <c r="D54" s="31"/>
      <c r="E54" s="32"/>
      <c r="F54" s="33"/>
      <c r="G54" s="34" t="s">
        <v>165</v>
      </c>
      <c r="H54" s="34" t="s">
        <v>165</v>
      </c>
      <c r="I54" s="35"/>
      <c r="J54" s="35"/>
      <c r="K54" s="36"/>
    </row>
    <row r="55" spans="2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2:11" x14ac:dyDescent="0.3">
      <c r="C56" s="30" t="s">
        <v>166</v>
      </c>
      <c r="D56" s="31"/>
      <c r="E56" s="32"/>
      <c r="F56" s="33"/>
      <c r="G56" s="34" t="s">
        <v>165</v>
      </c>
      <c r="H56" s="34" t="s">
        <v>165</v>
      </c>
      <c r="I56" s="35"/>
      <c r="J56" s="35"/>
      <c r="K56" s="36"/>
    </row>
    <row r="57" spans="2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2:11" x14ac:dyDescent="0.3">
      <c r="C58" s="30" t="s">
        <v>167</v>
      </c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C60" s="30" t="s">
        <v>168</v>
      </c>
      <c r="D60" s="31"/>
      <c r="E60" s="32"/>
      <c r="F60" s="33"/>
      <c r="G60" s="34" t="s">
        <v>165</v>
      </c>
      <c r="H60" s="34" t="s">
        <v>165</v>
      </c>
      <c r="I60" s="35"/>
      <c r="J60" s="35"/>
      <c r="K60" s="36"/>
    </row>
    <row r="61" spans="2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C62" s="30" t="s">
        <v>169</v>
      </c>
      <c r="D62" s="31"/>
      <c r="E62" s="32"/>
      <c r="F62" s="33"/>
      <c r="G62" s="34" t="s">
        <v>165</v>
      </c>
      <c r="H62" s="34" t="s">
        <v>165</v>
      </c>
      <c r="I62" s="35"/>
      <c r="J62" s="35"/>
      <c r="K62" s="36"/>
    </row>
    <row r="63" spans="2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30" t="s">
        <v>170</v>
      </c>
      <c r="D64" s="31"/>
      <c r="E64" s="32"/>
      <c r="F64" s="33"/>
      <c r="G64" s="34" t="s">
        <v>165</v>
      </c>
      <c r="H64" s="34" t="s">
        <v>165</v>
      </c>
      <c r="I64" s="35"/>
      <c r="J64" s="35"/>
      <c r="K64" s="36"/>
    </row>
    <row r="65" spans="1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C66" s="30" t="s">
        <v>171</v>
      </c>
      <c r="D66" s="31"/>
      <c r="E66" s="32"/>
      <c r="F66" s="33"/>
      <c r="G66" s="34" t="s">
        <v>165</v>
      </c>
      <c r="H66" s="34" t="s">
        <v>165</v>
      </c>
      <c r="I66" s="35"/>
      <c r="J66" s="35"/>
      <c r="K66" s="36"/>
    </row>
    <row r="67" spans="1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C68" s="30" t="s">
        <v>172</v>
      </c>
      <c r="D68" s="31"/>
      <c r="E68" s="32"/>
      <c r="F68" s="33"/>
      <c r="G68" s="34" t="s">
        <v>165</v>
      </c>
      <c r="H68" s="34" t="s">
        <v>165</v>
      </c>
      <c r="I68" s="35"/>
      <c r="J68" s="35"/>
      <c r="K68" s="36"/>
    </row>
    <row r="69" spans="1:11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C70" s="30" t="s">
        <v>173</v>
      </c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C72" s="30" t="s">
        <v>174</v>
      </c>
      <c r="D72" s="31"/>
      <c r="E72" s="32"/>
      <c r="F72" s="33"/>
      <c r="G72" s="34" t="s">
        <v>165</v>
      </c>
      <c r="H72" s="34" t="s">
        <v>165</v>
      </c>
      <c r="I72" s="35"/>
      <c r="J72" s="35"/>
      <c r="K72" s="36"/>
    </row>
    <row r="73" spans="1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C74" s="30" t="s">
        <v>175</v>
      </c>
      <c r="D74" s="31"/>
      <c r="E74" s="32"/>
      <c r="F74" s="33"/>
      <c r="G74" s="34" t="s">
        <v>165</v>
      </c>
      <c r="H74" s="34" t="s">
        <v>165</v>
      </c>
      <c r="I74" s="35"/>
      <c r="J74" s="35"/>
      <c r="K74" s="36"/>
    </row>
    <row r="75" spans="1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C76" s="30" t="s">
        <v>176</v>
      </c>
      <c r="D76" s="31"/>
      <c r="E76" s="32"/>
      <c r="F76" s="33"/>
      <c r="G76" s="34" t="s">
        <v>165</v>
      </c>
      <c r="H76" s="34" t="s">
        <v>165</v>
      </c>
      <c r="I76" s="35"/>
      <c r="J76" s="35"/>
      <c r="K76" s="36"/>
    </row>
    <row r="77" spans="1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C78" s="30" t="s">
        <v>177</v>
      </c>
      <c r="D78" s="31"/>
      <c r="E78" s="32"/>
      <c r="F78" s="33"/>
      <c r="G78" s="34" t="s">
        <v>165</v>
      </c>
      <c r="H78" s="34" t="s">
        <v>165</v>
      </c>
      <c r="I78" s="35"/>
      <c r="J78" s="35"/>
      <c r="K78" s="36"/>
    </row>
    <row r="79" spans="1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A80" s="28"/>
      <c r="B80" s="29"/>
      <c r="C80" s="30" t="s">
        <v>178</v>
      </c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A81" s="29"/>
      <c r="B81" s="29"/>
      <c r="C81" s="30" t="s">
        <v>179</v>
      </c>
      <c r="D81" s="31"/>
      <c r="E81" s="32"/>
      <c r="F81" s="33"/>
      <c r="G81" s="34" t="s">
        <v>165</v>
      </c>
      <c r="H81" s="34" t="s">
        <v>165</v>
      </c>
      <c r="I81" s="35"/>
      <c r="J81" s="35"/>
      <c r="K81" s="36"/>
    </row>
    <row r="82" spans="1:11" x14ac:dyDescent="0.3">
      <c r="A82" s="29"/>
      <c r="B82" s="29"/>
      <c r="C82" s="30"/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A83" s="29"/>
      <c r="B83" s="29"/>
      <c r="C83" s="30" t="s">
        <v>180</v>
      </c>
      <c r="D83" s="31"/>
      <c r="E83" s="32"/>
      <c r="F83" s="33"/>
      <c r="G83" s="34" t="s">
        <v>165</v>
      </c>
      <c r="H83" s="34" t="s">
        <v>165</v>
      </c>
      <c r="I83" s="35"/>
      <c r="J83" s="35"/>
      <c r="K83" s="36"/>
    </row>
    <row r="84" spans="1:11" x14ac:dyDescent="0.3">
      <c r="A84" s="29"/>
      <c r="B84" s="29"/>
      <c r="C84" s="30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A85" s="29"/>
      <c r="B85" s="29"/>
      <c r="C85" s="30" t="s">
        <v>181</v>
      </c>
      <c r="D85" s="31"/>
      <c r="E85" s="32"/>
      <c r="F85" s="33"/>
      <c r="G85" s="34" t="s">
        <v>165</v>
      </c>
      <c r="H85" s="34" t="s">
        <v>165</v>
      </c>
      <c r="I85" s="35"/>
      <c r="J85" s="35"/>
      <c r="K85" s="36"/>
    </row>
    <row r="86" spans="1:11" x14ac:dyDescent="0.3">
      <c r="A86" s="29"/>
      <c r="B86" s="29"/>
      <c r="C86" s="30"/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A87" s="29"/>
      <c r="B87" s="29"/>
      <c r="C87" s="30" t="s">
        <v>182</v>
      </c>
      <c r="D87" s="31"/>
      <c r="E87" s="32"/>
      <c r="F87" s="33"/>
      <c r="G87" s="34" t="s">
        <v>165</v>
      </c>
      <c r="H87" s="34" t="s">
        <v>165</v>
      </c>
      <c r="I87" s="35"/>
      <c r="J87" s="35"/>
      <c r="K87" s="36"/>
    </row>
    <row r="88" spans="1:11" x14ac:dyDescent="0.3">
      <c r="A88" s="29"/>
      <c r="B88" s="29"/>
      <c r="C88" s="30"/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C89" s="37" t="s">
        <v>183</v>
      </c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B90" s="1" t="s">
        <v>184</v>
      </c>
      <c r="C90" s="21" t="s">
        <v>185</v>
      </c>
      <c r="D90" s="31"/>
      <c r="E90" s="32"/>
      <c r="F90" s="33"/>
      <c r="G90" s="34">
        <v>2196.5</v>
      </c>
      <c r="H90" s="34">
        <v>3.06</v>
      </c>
      <c r="I90" s="35">
        <v>6.4121865622519998</v>
      </c>
      <c r="J90" s="35"/>
      <c r="K90" s="36"/>
    </row>
    <row r="91" spans="1:11" x14ac:dyDescent="0.3">
      <c r="C91" s="30" t="s">
        <v>163</v>
      </c>
      <c r="D91" s="31"/>
      <c r="E91" s="32"/>
      <c r="F91" s="33"/>
      <c r="G91" s="38">
        <v>2196.5</v>
      </c>
      <c r="H91" s="38">
        <v>3.06</v>
      </c>
      <c r="I91" s="35"/>
      <c r="J91" s="35"/>
      <c r="K91" s="36"/>
    </row>
    <row r="92" spans="1:11" x14ac:dyDescent="0.3">
      <c r="C92" s="21"/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A93" s="28"/>
      <c r="B93" s="29"/>
      <c r="C93" s="30" t="s">
        <v>186</v>
      </c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B94" s="1"/>
      <c r="C94" s="21" t="s">
        <v>187</v>
      </c>
      <c r="D94" s="31"/>
      <c r="E94" s="32"/>
      <c r="F94" s="33"/>
      <c r="G94" s="34">
        <v>-484.95</v>
      </c>
      <c r="H94" s="34">
        <v>-0.72000000000000008</v>
      </c>
      <c r="I94" s="35"/>
      <c r="J94" s="35"/>
      <c r="K94" s="36"/>
    </row>
    <row r="95" spans="1:11" x14ac:dyDescent="0.3">
      <c r="C95" s="30" t="s">
        <v>163</v>
      </c>
      <c r="D95" s="31"/>
      <c r="E95" s="32"/>
      <c r="F95" s="33"/>
      <c r="G95" s="38">
        <v>-484.95</v>
      </c>
      <c r="H95" s="38">
        <v>-0.72000000000000008</v>
      </c>
      <c r="I95" s="35"/>
      <c r="J95" s="35"/>
      <c r="K95" s="36"/>
    </row>
    <row r="96" spans="1:11" x14ac:dyDescent="0.3">
      <c r="C96" s="21"/>
      <c r="D96" s="31"/>
      <c r="E96" s="32"/>
      <c r="F96" s="33"/>
      <c r="G96" s="34"/>
      <c r="H96" s="34"/>
      <c r="I96" s="35"/>
      <c r="J96" s="35"/>
      <c r="K96" s="36"/>
    </row>
    <row r="97" spans="3:55" ht="14.4" thickBot="1" x14ac:dyDescent="0.35">
      <c r="C97" s="39" t="s">
        <v>188</v>
      </c>
      <c r="D97" s="40"/>
      <c r="E97" s="41"/>
      <c r="F97" s="42"/>
      <c r="G97" s="43">
        <v>71865.94</v>
      </c>
      <c r="H97" s="43">
        <f>SUMIFS(H:H,C:C,"Total")</f>
        <v>100</v>
      </c>
      <c r="I97" s="44"/>
      <c r="J97" s="44"/>
      <c r="K97" s="45"/>
    </row>
    <row r="100" spans="3:55" x14ac:dyDescent="0.3">
      <c r="C100" s="11" t="s">
        <v>189</v>
      </c>
    </row>
    <row r="101" spans="3:55" x14ac:dyDescent="0.3">
      <c r="C101" s="2" t="s">
        <v>190</v>
      </c>
    </row>
    <row r="102" spans="3:55" x14ac:dyDescent="0.3">
      <c r="C102" s="46" t="s">
        <v>191</v>
      </c>
    </row>
    <row r="103" spans="3:55" x14ac:dyDescent="0.3">
      <c r="C103" s="2" t="s">
        <v>192</v>
      </c>
    </row>
    <row r="104" spans="3:55" x14ac:dyDescent="0.3">
      <c r="C104" s="2" t="s">
        <v>193</v>
      </c>
    </row>
    <row r="105" spans="3:55" x14ac:dyDescent="0.3">
      <c r="C105" s="2" t="s">
        <v>194</v>
      </c>
      <c r="D105" s="47"/>
      <c r="E105" s="47"/>
      <c r="F105" s="47"/>
      <c r="G105" s="48"/>
      <c r="H105" s="48"/>
    </row>
    <row r="106" spans="3:55" x14ac:dyDescent="0.3">
      <c r="C106" s="2" t="s">
        <v>195</v>
      </c>
    </row>
    <row r="107" spans="3:55" x14ac:dyDescent="0.3">
      <c r="C107" s="2" t="s">
        <v>196</v>
      </c>
    </row>
    <row r="108" spans="3:55" x14ac:dyDescent="0.3">
      <c r="C108" s="2" t="s">
        <v>197</v>
      </c>
    </row>
    <row r="109" spans="3:55" x14ac:dyDescent="0.3">
      <c r="C109" s="2" t="s">
        <v>198</v>
      </c>
    </row>
    <row r="110" spans="3:55" s="11" customFormat="1" x14ac:dyDescent="0.3">
      <c r="C110" s="11" t="s">
        <v>199</v>
      </c>
      <c r="E110" s="11" t="s">
        <v>200</v>
      </c>
      <c r="F110" s="49" t="s">
        <v>201</v>
      </c>
      <c r="G110" s="50"/>
      <c r="H110" s="50"/>
      <c r="I110" s="50"/>
      <c r="J110" s="50"/>
      <c r="K110" s="51"/>
      <c r="L110" s="51"/>
      <c r="M110" s="51"/>
      <c r="AJ110" s="51"/>
      <c r="AW110" s="51"/>
      <c r="AY110" s="51"/>
      <c r="BC110" s="51"/>
    </row>
    <row r="111" spans="3:55" x14ac:dyDescent="0.3">
      <c r="C111" s="2" t="s">
        <v>202</v>
      </c>
      <c r="E111" s="52">
        <v>15.629</v>
      </c>
      <c r="F111" s="53">
        <v>15.228400000000001</v>
      </c>
    </row>
    <row r="112" spans="3:55" x14ac:dyDescent="0.3">
      <c r="C112" s="2" t="s">
        <v>203</v>
      </c>
      <c r="E112" s="52">
        <v>16.623200000000001</v>
      </c>
      <c r="F112" s="53">
        <v>16.197099999999999</v>
      </c>
    </row>
    <row r="113" spans="3:6" x14ac:dyDescent="0.3">
      <c r="C113" s="2" t="s">
        <v>204</v>
      </c>
      <c r="E113" s="52">
        <v>17.280200000000001</v>
      </c>
      <c r="F113" s="53">
        <v>16.858899999999998</v>
      </c>
    </row>
    <row r="114" spans="3:6" x14ac:dyDescent="0.3">
      <c r="C114" s="2" t="s">
        <v>205</v>
      </c>
      <c r="E114" s="52">
        <v>17.280200000000001</v>
      </c>
      <c r="F114" s="53">
        <v>16.858899999999998</v>
      </c>
    </row>
    <row r="116" spans="3:6" x14ac:dyDescent="0.3">
      <c r="C116" s="2" t="s">
        <v>206</v>
      </c>
    </row>
    <row r="118" spans="3:6" x14ac:dyDescent="0.3">
      <c r="C118" s="2" t="s">
        <v>207</v>
      </c>
    </row>
    <row r="119" spans="3:6" x14ac:dyDescent="0.3">
      <c r="C119" s="2" t="s">
        <v>208</v>
      </c>
    </row>
    <row r="120" spans="3:6" x14ac:dyDescent="0.3">
      <c r="C120" s="2" t="s">
        <v>209</v>
      </c>
    </row>
    <row r="121" spans="3:6" x14ac:dyDescent="0.3">
      <c r="C121" s="2" t="s">
        <v>210</v>
      </c>
    </row>
    <row r="122" spans="3:6" x14ac:dyDescent="0.3">
      <c r="C122" s="2" t="s">
        <v>211</v>
      </c>
    </row>
    <row r="123" spans="3:6" x14ac:dyDescent="0.3">
      <c r="C123" s="2" t="s">
        <v>212</v>
      </c>
    </row>
    <row r="124" spans="3:6" x14ac:dyDescent="0.3">
      <c r="C124" s="2" t="s">
        <v>213</v>
      </c>
    </row>
    <row r="125" spans="3:6" x14ac:dyDescent="0.3">
      <c r="C125" s="2" t="s">
        <v>214</v>
      </c>
    </row>
    <row r="126" spans="3:6" x14ac:dyDescent="0.3">
      <c r="C126" s="2" t="s">
        <v>215</v>
      </c>
    </row>
    <row r="127" spans="3:6" x14ac:dyDescent="0.3">
      <c r="C127" s="2" t="s">
        <v>216</v>
      </c>
    </row>
    <row r="128" spans="3:6" x14ac:dyDescent="0.3">
      <c r="C128" s="2" t="s">
        <v>217</v>
      </c>
    </row>
    <row r="129" spans="3:11" x14ac:dyDescent="0.3">
      <c r="C129" s="2" t="s">
        <v>218</v>
      </c>
    </row>
    <row r="130" spans="3:11" ht="14.4" x14ac:dyDescent="0.3">
      <c r="C130" s="54"/>
      <c r="D130" s="54"/>
      <c r="E130" s="55"/>
      <c r="F130" s="55"/>
      <c r="G130" s="55"/>
      <c r="H130" s="55"/>
      <c r="I130" s="55"/>
      <c r="J130" s="55"/>
      <c r="K130" s="55"/>
    </row>
    <row r="131" spans="3:11" ht="14.4" x14ac:dyDescent="0.3">
      <c r="C131" s="55"/>
      <c r="D131" s="55"/>
      <c r="E131" s="55"/>
      <c r="F131" s="55"/>
      <c r="G131" s="55"/>
      <c r="H131" s="55"/>
      <c r="I131" s="55"/>
      <c r="J131" s="55"/>
      <c r="K131" s="55"/>
    </row>
    <row r="132" spans="3:11" ht="14.4" x14ac:dyDescent="0.3">
      <c r="C132" s="55"/>
      <c r="D132" s="55"/>
      <c r="E132" s="55"/>
      <c r="F132" s="55"/>
      <c r="G132" s="55"/>
      <c r="H132" s="55"/>
      <c r="I132" s="55"/>
      <c r="J132" s="55"/>
      <c r="K132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LM</vt:lpstr>
      <vt:lpstr>XDO_?CLASS_3?27?</vt:lpstr>
      <vt:lpstr>XDO_?FINAL_ISIN?127?</vt:lpstr>
      <vt:lpstr>XDO_?FINAL_ISIN?128?</vt:lpstr>
      <vt:lpstr>XDO_?FINAL_ISIN?129?</vt:lpstr>
      <vt:lpstr>XDO_?FINAL_MV?127?</vt:lpstr>
      <vt:lpstr>XDO_?FINAL_MV?128?</vt:lpstr>
      <vt:lpstr>XDO_?FINAL_MV?129?</vt:lpstr>
      <vt:lpstr>XDO_?FINAL_NAME?127?</vt:lpstr>
      <vt:lpstr>XDO_?FINAL_NAME?128?</vt:lpstr>
      <vt:lpstr>XDO_?FINAL_NAME?129?</vt:lpstr>
      <vt:lpstr>XDO_?FINAL_PER_NET?127?</vt:lpstr>
      <vt:lpstr>XDO_?FINAL_PER_NET?128?</vt:lpstr>
      <vt:lpstr>XDO_?FINAL_PER_NET?129?</vt:lpstr>
      <vt:lpstr>XDO_?FINAL_QUANTITE?127?</vt:lpstr>
      <vt:lpstr>XDO_?FINAL_QUANTITE?128?</vt:lpstr>
      <vt:lpstr>XDO_?FINAL_QUANTITE?129?</vt:lpstr>
      <vt:lpstr>XDO_?NAMCNAME?27?</vt:lpstr>
      <vt:lpstr>XDO_?NOVAL?127?</vt:lpstr>
      <vt:lpstr>XDO_?NOVAL?128?</vt:lpstr>
      <vt:lpstr>XDO_?NOVAL?129?</vt:lpstr>
      <vt:lpstr>XDO_?NPTF?27?</vt:lpstr>
      <vt:lpstr>XDO_?RATING?127?</vt:lpstr>
      <vt:lpstr>XDO_?RATING?128?</vt:lpstr>
      <vt:lpstr>XDO_?RATING?129?</vt:lpstr>
      <vt:lpstr>XDO_?REMARKS?127?</vt:lpstr>
      <vt:lpstr>XDO_?REMARKS?128?</vt:lpstr>
      <vt:lpstr>XDO_?REMARKS?129?</vt:lpstr>
      <vt:lpstr>XDO_?TITL?27?</vt:lpstr>
      <vt:lpstr>XDO_?YTM?127?</vt:lpstr>
      <vt:lpstr>XDO_?YTM?128?</vt:lpstr>
      <vt:lpstr>XDO_?YTM?129?</vt:lpstr>
      <vt:lpstr>XDO_GROUP_?G_2?27?</vt:lpstr>
      <vt:lpstr>XDO_GROUP_?G_3?27?</vt:lpstr>
      <vt:lpstr>XDO_GROUP_?G_4?127?</vt:lpstr>
      <vt:lpstr>XDO_GROUP_?G_4?128?</vt:lpstr>
      <vt:lpstr>XDO_GROUP_?G_4?129?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Kshitija DESAI</cp:lastModifiedBy>
  <dcterms:created xsi:type="dcterms:W3CDTF">2023-02-06T13:49:48Z</dcterms:created>
  <dcterms:modified xsi:type="dcterms:W3CDTF">2023-02-09T12:22:01Z</dcterms:modified>
</cp:coreProperties>
</file>