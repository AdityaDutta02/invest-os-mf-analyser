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30?">'Monthly Portfolio'!$C$8:$C$49</definedName>
    <definedName name="XDO_?FINAL_ISIN?137?">'Monthly Portfolio'!$D$10:$D$49</definedName>
    <definedName name="XDO_?FINAL_ISIN?138?">'Monthly Portfolio'!$D$10:$D$74</definedName>
    <definedName name="XDO_?FINAL_ISIN?139?">'Monthly Portfolio'!$D$10:$D$89</definedName>
    <definedName name="XDO_?FINAL_ISIN?140?">'Monthly Portfolio'!$D$10:$D$93</definedName>
    <definedName name="XDO_?FINAL_MV?137?">'Monthly Portfolio'!$G$10:$G$49</definedName>
    <definedName name="XDO_?FINAL_MV?138?">'Monthly Portfolio'!$G$10:$G$74</definedName>
    <definedName name="XDO_?FINAL_MV?139?">'Monthly Portfolio'!$G$10:$G$89</definedName>
    <definedName name="XDO_?FINAL_MV?140?">'Monthly Portfolio'!$G$10:$G$93</definedName>
    <definedName name="XDO_?FINAL_NAME?137?">'Monthly Portfolio'!$C$10:$C$49</definedName>
    <definedName name="XDO_?FINAL_NAME?138?">'Monthly Portfolio'!$C$10:$C$74</definedName>
    <definedName name="XDO_?FINAL_NAME?139?">'Monthly Portfolio'!$C$10:$C$89</definedName>
    <definedName name="XDO_?FINAL_NAME?140?">'Monthly Portfolio'!$C$10:$C$93</definedName>
    <definedName name="XDO_?FINAL_PER_NET?137?">'Monthly Portfolio'!$H$10:$H$49</definedName>
    <definedName name="XDO_?FINAL_PER_NET?138?">'Monthly Portfolio'!$H$10:$H$74</definedName>
    <definedName name="XDO_?FINAL_PER_NET?139?">'Monthly Portfolio'!$H$10:$H$89</definedName>
    <definedName name="XDO_?FINAL_PER_NET?140?">'Monthly Portfolio'!$H$10:$H$93</definedName>
    <definedName name="XDO_?FINAL_QUANTITE?137?">'Monthly Portfolio'!$F$10:$F$49</definedName>
    <definedName name="XDO_?FINAL_QUANTITE?138?">'Monthly Portfolio'!$F$10:$F$74</definedName>
    <definedName name="XDO_?FINAL_QUANTITE?139?">'Monthly Portfolio'!$F$10:$F$89</definedName>
    <definedName name="XDO_?FINAL_QUANTITE?140?">'Monthly Portfolio'!$F$10:$F$93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'Monthly Portfolio'!#REF!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30?">'Monthly Portfolio'!$C$2:$C$49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'Monthly Portfolio'!#REF!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'Monthly Portfolio'!#REF!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137?">'Monthly Portfolio'!$B$10:$B$49</definedName>
    <definedName name="XDO_?NOVAL?138?">'Monthly Portfolio'!$B$10:$B$74</definedName>
    <definedName name="XDO_?NOVAL?139?">'Monthly Portfolio'!$B$10:$B$89</definedName>
    <definedName name="XDO_?NOVAL?140?">'Monthly Portfolio'!$B$10:$B$93</definedName>
    <definedName name="XDO_?NPTF?30?">'Monthly Portfolio'!$D$2:$D$49</definedName>
    <definedName name="XDO_?RATING?137?">'Monthly Portfolio'!$E$10:$E$49</definedName>
    <definedName name="XDO_?RATING?138?">'Monthly Portfolio'!$E$10:$E$74</definedName>
    <definedName name="XDO_?RATING?139?">'Monthly Portfolio'!$E$10:$E$89</definedName>
    <definedName name="XDO_?RATING?140?">'Monthly Portfolio'!$E$10:$E$93</definedName>
    <definedName name="XDO_?REMARKS?137?">'Monthly Portfolio'!$K$10:$K$49</definedName>
    <definedName name="XDO_?REMARKS?138?">'Monthly Portfolio'!$K$10:$K$74</definedName>
    <definedName name="XDO_?REMARKS?139?">'Monthly Portfolio'!$K$10:$K$89</definedName>
    <definedName name="XDO_?REMARKS?140?">'Monthly Portfolio'!$K$10:$K$93</definedName>
    <definedName name="XDO_?TITL?30?">'Monthly Portfolio'!$A$8:$A$49</definedName>
    <definedName name="XDO_?YTM?137?">'Monthly Portfolio'!$I$10:$I$49</definedName>
    <definedName name="XDO_?YTM?138?">'Monthly Portfolio'!$I$10:$I$74</definedName>
    <definedName name="XDO_?YTM?139?">'Monthly Portfolio'!$I$10:$I$89</definedName>
    <definedName name="XDO_?YTM?140?">'Monthly Portfolio'!$I$10:$I$93</definedName>
    <definedName name="XDO_GROUP_?G_2?30?">'Monthly Portfolio'!$2:$65</definedName>
    <definedName name="XDO_GROUP_?G_3?30?">'Monthly Portfolio'!$8:$64</definedName>
    <definedName name="XDO_GROUP_?G_4?117?">[1]ON!#REF!</definedName>
    <definedName name="XDO_GROUP_?G_4?137?">'Monthly Portfolio'!$B$10:$IV$49</definedName>
    <definedName name="XDO_GROUP_?G_4?138?">'Monthly Portfolio'!$B$54:$IV$54</definedName>
    <definedName name="XDO_GROUP_?G_4?139?">'Monthly Portfolio'!$B$57:$IV$57</definedName>
    <definedName name="XDO_GROUP_?G_4?140?">'Monthly Portfolio'!$B$62:$IV$62</definedName>
    <definedName name="XDO_GROUP_?G_4?32?">[1]TA!#REF!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2"/>
  <c r="H96" i="1" l="1"/>
</calcChain>
</file>

<file path=xl/sharedStrings.xml><?xml version="1.0" encoding="utf-8"?>
<sst xmlns="http://schemas.openxmlformats.org/spreadsheetml/2006/main" count="591" uniqueCount="254">
  <si>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</si>
  <si>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</si>
  <si>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</si>
  <si>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</si>
  <si>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</si>
  <si>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</si>
  <si>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</si>
  <si>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</si>
  <si>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</si>
  <si>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</si>
  <si>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</si>
  <si>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</si>
  <si>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</si>
  <si>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</si>
  <si>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</si>
  <si>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</si>
  <si>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</si>
  <si>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</si>
  <si>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</si>
  <si>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</si>
  <si>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</si>
  <si>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</si>
  <si>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</si>
  <si>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</si>
  <si>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</si>
  <si>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</si>
  <si>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</si>
  <si>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IT - Software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</si>
  <si>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</si>
  <si>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</si>
  <si>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</si>
  <si>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</si>
  <si>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</si>
  <si>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</si>
  <si>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</si>
  <si>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100012</t>
  </si>
  <si>
    <t>ICICI Bank Ltd.</t>
  </si>
  <si>
    <t>INE090A01021</t>
  </si>
  <si>
    <t>Banks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</si>
  <si>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</si>
  <si>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</si>
  <si>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</si>
  <si>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</si>
  <si>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</si>
  <si>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</si>
  <si>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</si>
  <si>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100010</t>
  </si>
  <si>
    <t>State Bank of India</t>
  </si>
  <si>
    <t>INE062A01020</t>
  </si>
  <si>
    <t>101080</t>
  </si>
  <si>
    <t>JB Chemicals &amp; Pharmaceuticals Ltd.</t>
  </si>
  <si>
    <t>INE572A01028</t>
  </si>
  <si>
    <t>Pharmaceuticals &amp; Biotechnology</t>
  </si>
  <si>
    <t>100843</t>
  </si>
  <si>
    <t>Dalmia Bharat Ltd.</t>
  </si>
  <si>
    <t>INE00R701025</t>
  </si>
  <si>
    <t>Cement &amp; Cement Products</t>
  </si>
  <si>
    <t>100099</t>
  </si>
  <si>
    <t>Hindustan Unilever Ltd.</t>
  </si>
  <si>
    <t>INE030A01027</t>
  </si>
  <si>
    <t>100050</t>
  </si>
  <si>
    <t>Trent Ltd.</t>
  </si>
  <si>
    <t>INE849A01020</t>
  </si>
  <si>
    <t>Retailing</t>
  </si>
  <si>
    <t>100286</t>
  </si>
  <si>
    <t>NHPC Ltd.</t>
  </si>
  <si>
    <t>INE848E01016</t>
  </si>
  <si>
    <t>Power</t>
  </si>
  <si>
    <t>100025</t>
  </si>
  <si>
    <t>Nestle India Ltd.</t>
  </si>
  <si>
    <t>INE239A01016</t>
  </si>
  <si>
    <t>Food Products</t>
  </si>
  <si>
    <t>100008</t>
  </si>
  <si>
    <t>Sun Pharmaceutical Industries Ltd.</t>
  </si>
  <si>
    <t>INE044A01036</t>
  </si>
  <si>
    <t>100089</t>
  </si>
  <si>
    <t>Bharat Electronics Ltd.</t>
  </si>
  <si>
    <t>INE263A01024</t>
  </si>
  <si>
    <t>Aerospace &amp; Defense</t>
  </si>
  <si>
    <t>100104</t>
  </si>
  <si>
    <t>Kotak Mahindra Bank Ltd.</t>
  </si>
  <si>
    <t>INE237A01028</t>
  </si>
  <si>
    <t>100533</t>
  </si>
  <si>
    <t>Radico Khaitan Ltd.</t>
  </si>
  <si>
    <t>INE944F01028</t>
  </si>
  <si>
    <t>Beverages</t>
  </si>
  <si>
    <t>100014</t>
  </si>
  <si>
    <t>Mahindra &amp; Mahindra Ltd.</t>
  </si>
  <si>
    <t>INE101A01026</t>
  </si>
  <si>
    <t>Automobiles</t>
  </si>
  <si>
    <t>100382</t>
  </si>
  <si>
    <t>Fortis Healthcare Ltd.</t>
  </si>
  <si>
    <t>INE061F01013</t>
  </si>
  <si>
    <t>Healthcare Services</t>
  </si>
  <si>
    <t>100095</t>
  </si>
  <si>
    <t>Bharti Airtel Ltd.</t>
  </si>
  <si>
    <t>INE397D01024</t>
  </si>
  <si>
    <t>Telecom - Services</t>
  </si>
  <si>
    <t>100191</t>
  </si>
  <si>
    <t>Canara Bank</t>
  </si>
  <si>
    <t>INE476A01014</t>
  </si>
  <si>
    <t>100106</t>
  </si>
  <si>
    <t>Maruti Suzuki India Ltd.</t>
  </si>
  <si>
    <t>INE585B01010</t>
  </si>
  <si>
    <t>100830</t>
  </si>
  <si>
    <t>Varun Beverages Ltd.</t>
  </si>
  <si>
    <t>INE200M01013</t>
  </si>
  <si>
    <t>100164</t>
  </si>
  <si>
    <t>Petronet LNG Ltd.</t>
  </si>
  <si>
    <t>INE347G01014</t>
  </si>
  <si>
    <t>Gas</t>
  </si>
  <si>
    <t>100157</t>
  </si>
  <si>
    <t>Godrej Consumer Products Ltd.</t>
  </si>
  <si>
    <t>INE102D01028</t>
  </si>
  <si>
    <t>Personal Products</t>
  </si>
  <si>
    <t>100035</t>
  </si>
  <si>
    <t>NMDC Ltd.</t>
  </si>
  <si>
    <t>INE584A01023</t>
  </si>
  <si>
    <t>Minerals &amp; Mining</t>
  </si>
  <si>
    <t>100100</t>
  </si>
  <si>
    <t>Hindustan Petroleum Corporation Ltd.</t>
  </si>
  <si>
    <t>INE094A01015</t>
  </si>
  <si>
    <t>100120</t>
  </si>
  <si>
    <t>Torrent Pharmaceuticals Ltd.</t>
  </si>
  <si>
    <t>INE685A01028</t>
  </si>
  <si>
    <t>100097</t>
  </si>
  <si>
    <t>Coal India Ltd.</t>
  </si>
  <si>
    <t>INE522F01014</t>
  </si>
  <si>
    <t>Consumable Fuels</t>
  </si>
  <si>
    <t>100140</t>
  </si>
  <si>
    <t>Shree Cement Ltd.</t>
  </si>
  <si>
    <t>INE070A01015</t>
  </si>
  <si>
    <t>100505</t>
  </si>
  <si>
    <t>ICICI Prudential Life Insurance Company Ltd.</t>
  </si>
  <si>
    <t>INE726G01019</t>
  </si>
  <si>
    <t>Insurance</t>
  </si>
  <si>
    <t>100115</t>
  </si>
  <si>
    <t>Siemens Ltd.</t>
  </si>
  <si>
    <t>INE003A01024</t>
  </si>
  <si>
    <t>Electrical Equipment</t>
  </si>
  <si>
    <t>100082</t>
  </si>
  <si>
    <t>Ultratech Cement Ltd.</t>
  </si>
  <si>
    <t>INE481G01011</t>
  </si>
  <si>
    <t>100453</t>
  </si>
  <si>
    <t>RBL Bank Ltd.</t>
  </si>
  <si>
    <t>INE976G01028</t>
  </si>
  <si>
    <t>100004</t>
  </si>
  <si>
    <t>Zydus Lifesciences Ltd.</t>
  </si>
  <si>
    <t>INE010B01027</t>
  </si>
  <si>
    <t>100318</t>
  </si>
  <si>
    <t>Tata Motors Ltd. - DVR</t>
  </si>
  <si>
    <t>IN9155A01020</t>
  </si>
  <si>
    <t>100180</t>
  </si>
  <si>
    <t>Hindalco Industries Ltd.</t>
  </si>
  <si>
    <t>INE038A01020</t>
  </si>
  <si>
    <t>Non - Ferrous Metals</t>
  </si>
  <si>
    <t>100768</t>
  </si>
  <si>
    <t>V-Mart Retail Ltd.</t>
  </si>
  <si>
    <t>INE665J01013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</si>
  <si>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</si>
  <si>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</si>
  <si>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</si>
  <si>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</si>
  <si>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</si>
  <si>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</si>
  <si>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</si>
  <si>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</si>
  <si>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</si>
  <si>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</si>
  <si>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</si>
  <si>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</si>
  <si>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</si>
  <si>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</si>
  <si>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</si>
  <si>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</si>
  <si>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</si>
  <si>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</si>
  <si>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</si>
  <si>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</si>
  <si>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</si>
  <si>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</si>
  <si>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</si>
  <si>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</si>
  <si>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</si>
  <si>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</si>
  <si>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</si>
  <si>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</si>
  <si>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</si>
  <si>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</si>
  <si>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 xml:space="preserve">Hedging Positions through Futures as on March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</si>
  <si>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</si>
  <si>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</si>
  <si>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</si>
  <si>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</si>
  <si>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</si>
  <si>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</si>
  <si>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</si>
  <si>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</si>
  <si>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For the month ended March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</si>
  <si>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</si>
  <si>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</si>
  <si>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:Nil</t>
  </si>
  <si>
    <t>Gross Notional Value of contracts where futures were sold: Nil</t>
  </si>
  <si>
    <t>Net Profit/Loss on all contracts combined : Nil</t>
  </si>
  <si>
    <t>Other than Hedging Positions through futures as on March 31, 2023:</t>
  </si>
  <si>
    <t>Total Exposure through Futures(other than hedging positions) is 0.00% age of net assets</t>
  </si>
  <si>
    <t>For the month ended March 31, 2023 with regard to Other than hedging transactions through futures which have already been squared off/expired specify:</t>
  </si>
  <si>
    <t>Total Number of contracts where futures were bought : 38</t>
  </si>
  <si>
    <t>Total Number of contracts where futures were sold : 38</t>
  </si>
  <si>
    <t>Gross Notional Value of contracts where futures were bought : 255.52 lacs</t>
  </si>
  <si>
    <t>Gross Notional Value of contracts where futures were sold: 247.62 lacs</t>
  </si>
  <si>
    <t>Net Profit/Loss on all contracts combined : -7.90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</si>
  <si>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</si>
  <si>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</si>
  <si>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</si>
  <si>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</si>
  <si>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</si>
  <si>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</si>
  <si>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</si>
  <si>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</si>
  <si>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</si>
  <si>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</si>
  <si>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</si>
  <si>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</si>
  <si>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</si>
  <si>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</si>
  <si>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</si>
  <si>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</si>
  <si>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</si>
  <si>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</si>
  <si>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March 31, 2023</t>
  </si>
  <si>
    <t>(9) There are no investments in derivative instruments as on March,31 2023.</t>
  </si>
  <si>
    <t>(10) Total Market value of investments in Foreign Securities/American Depositary Receipts/Global Depositary Receipts as at  March 31, 2023 is Rs. Nil.</t>
  </si>
  <si>
    <t>(11)  During the period, the portfolio turnover ratio is  0.10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</si>
  <si>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</si>
  <si>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</si>
  <si>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</si>
  <si>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</si>
  <si>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</si>
  <si>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</si>
  <si>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</si>
  <si>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</si>
  <si>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</si>
  <si>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BUSINESS CYCLE FUND
(An open-ended equity scheme following the Business Cycles theme)</t>
  </si>
  <si>
    <t>HALF YEARLY PORTFOLIO STATEMENT AS ON MARCH 31, 2023
(Pursuant to the provisions of Regulation 59A of the Securities and Exchange Board of India (Mutual Funds) Regulations, 1996)</t>
  </si>
  <si>
    <t>For the Half year ended March 31, 2023 with regard to hedging transactions through futures which have already been squared off/expired specify:</t>
  </si>
  <si>
    <t>For the Half year ended March 31, 2023 with regard to Other than hedging transactions through futures which have already been squared off/expired specify:</t>
  </si>
  <si>
    <t>As on September 30, 2022</t>
  </si>
  <si>
    <t>(8) No Dividend declared during the Half Year ended March 31, 2023</t>
  </si>
  <si>
    <t>(11)  During the period, the portfolio turnover ratio is  0.18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</si>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</sst>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1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0" fontId="13" fillId="4" borderId="0" xfId="0" applyFont="1" applyFill="1"/>
    <xf numFmtId="0" fontId="11" fillId="3" borderId="19" xfId="0" applyFont="1" applyFill="1" applyBorder="1"/>
    <xf numFmtId="0" fontId="11" fillId="3" borderId="13" xfId="0" applyFont="1" applyFill="1" applyBorder="1"/>
    <xf numFmtId="0" fontId="11" fillId="0" borderId="19" xfId="0" applyFont="1" applyBorder="1" applyAlignment="1">
      <alignment horizontal="right"/>
    </xf>
    <xf numFmtId="0" fontId="11" fillId="3" borderId="19" xfId="0" applyFont="1" applyFill="1" applyBorder="1" applyAlignment="1">
      <alignment horizontal="right"/>
    </xf>
    <xf numFmtId="0" fontId="11" fillId="3" borderId="0" xfId="0" applyFont="1" applyFill="1" applyAlignment="1">
      <alignment horizontal="center"/>
    </xf>
    <xf numFmtId="0" fontId="14" fillId="3" borderId="0" xfId="0" applyFont="1" applyFill="1"/>
    <xf numFmtId="164" fontId="11" fillId="3" borderId="0" xfId="1" applyFont="1" applyFill="1" applyBorder="1" applyAlignment="1">
      <alignment horizontal="center"/>
    </xf>
    <xf numFmtId="164" fontId="11" fillId="3" borderId="0" xfId="1" applyFont="1" applyFill="1" applyAlignment="1">
      <alignment horizontal="center"/>
    </xf>
    <xf numFmtId="0" fontId="14" fillId="0" borderId="0" xfId="0" applyFont="1"/>
    <xf numFmtId="164" fontId="11" fillId="3" borderId="0" xfId="0" applyNumberFormat="1" applyFont="1" applyFill="1" applyAlignment="1">
      <alignment horizontal="center"/>
    </xf>
    <xf numFmtId="164" fontId="12" fillId="4" borderId="0" xfId="1" applyFont="1" applyFill="1"/>
    <xf numFmtId="4" fontId="11" fillId="3" borderId="0" xfId="0" applyNumberFormat="1" applyFont="1" applyFill="1"/>
    <xf numFmtId="0" fontId="11" fillId="0" borderId="13" xfId="0" applyFont="1" applyBorder="1"/>
    <xf numFmtId="0" fontId="11" fillId="0" borderId="13" xfId="0" applyFont="1" applyBorder="1" applyAlignment="1">
      <alignment horizontal="right"/>
    </xf>
    <xf numFmtId="0" fontId="11" fillId="3" borderId="13" xfId="0" applyFont="1" applyFill="1" applyBorder="1" applyAlignment="1">
      <alignment horizontal="right"/>
    </xf>
    <xf numFmtId="164" fontId="12" fillId="4" borderId="0" xfId="0" applyNumberFormat="1" applyFont="1" applyFill="1"/>
    <xf numFmtId="0" fontId="11" fillId="0" borderId="0" xfId="0" applyFont="1"/>
    <xf numFmtId="0" fontId="3" fillId="0" borderId="0" xfId="0" applyFont="1" applyAlignment="1">
      <alignment horizontal="left"/>
    </xf>
    <xf numFmtId="0" fontId="15" fillId="4" borderId="0" xfId="0" applyFont="1" applyFill="1"/>
    <xf numFmtId="4" fontId="15" fillId="4" borderId="0" xfId="0" applyNumberFormat="1" applyFont="1" applyFill="1"/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right"/>
    </xf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6" fillId="0" borderId="0" xfId="0" applyFont="1" applyAlignment="1">
      <alignment vertical="top"/>
    </xf>
    <xf numFmtId="0" fontId="0" fillId="0" borderId="0" xfId="0" applyAlignment="1">
      <alignment vertical="top"/>
    </xf>
    <xf numFmtId="165" fontId="6" fillId="0" borderId="0" xfId="1" applyNumberFormat="1" applyFont="1"/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7" fillId="5" borderId="23" xfId="0" applyFont="1" applyFill="1" applyBorder="1" applyAlignment="1">
      <alignment horizontal="center" wrapText="1"/>
    </xf>
    <xf numFmtId="0" fontId="17" fillId="5" borderId="24" xfId="0" applyFont="1" applyFill="1" applyBorder="1" applyAlignment="1">
      <alignment horizontal="center" wrapText="1"/>
    </xf>
    <xf numFmtId="0" fontId="17" fillId="5" borderId="25" xfId="0" applyFont="1" applyFill="1" applyBorder="1" applyAlignment="1">
      <alignment horizontal="center" wrapText="1"/>
    </xf>
    <xf numFmtId="0" fontId="17" fillId="5" borderId="26" xfId="0" applyFont="1" applyFill="1" applyBorder="1" applyAlignment="1">
      <alignment horizontal="center" wrapText="1"/>
    </xf>
    <xf numFmtId="0" fontId="17" fillId="5" borderId="27" xfId="0" applyFont="1" applyFill="1" applyBorder="1" applyAlignment="1">
      <alignment horizontal="center" wrapText="1"/>
    </xf>
    <xf numFmtId="0" fontId="17" fillId="5" borderId="28" xfId="0" applyFont="1" applyFill="1" applyBorder="1" applyAlignment="1">
      <alignment horizontal="center" wrapText="1"/>
    </xf>
    <xf numFmtId="0" fontId="17" fillId="6" borderId="29" xfId="0" applyFont="1" applyFill="1" applyBorder="1" applyAlignment="1">
      <alignment horizontal="center" wrapText="1"/>
    </xf>
    <xf numFmtId="0" fontId="17" fillId="6" borderId="30" xfId="0" applyFont="1" applyFill="1" applyBorder="1" applyAlignment="1">
      <alignment horizontal="center" wrapText="1"/>
    </xf>
    <xf numFmtId="0" fontId="17" fillId="6" borderId="31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5</xdr:col>
      <xdr:colOff>353991</xdr:colOff>
      <xdr:row>180</xdr:row>
      <xdr:rowOff>44365</xdr:rowOff>
    </xdr:to>
    <xdr:pic>
      <xdr:nvPicPr>
        <xdr:cNvPr id="2" name="Picture 1" descr="Business Cycle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27622500"/>
          <a:ext cx="7455408" cy="3304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5</xdr:col>
      <xdr:colOff>353991</xdr:colOff>
      <xdr:row>180</xdr:row>
      <xdr:rowOff>36745</xdr:rowOff>
    </xdr:to>
    <xdr:pic>
      <xdr:nvPicPr>
        <xdr:cNvPr id="4" name="Picture 3" descr="Business Cycle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28521660"/>
          <a:ext cx="7661571" cy="33895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63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3" sqref="C3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88671875" style="2" bestFit="1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88671875" style="2" bestFit="1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88671875" style="2" bestFit="1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88671875" style="2" bestFit="1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88671875" style="2" bestFit="1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88671875" style="2" bestFit="1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88671875" style="2" bestFit="1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88671875" style="2" bestFit="1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88671875" style="2" bestFit="1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88671875" style="2" bestFit="1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88671875" style="2" bestFit="1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88671875" style="2" bestFit="1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88671875" style="2" bestFit="1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88671875" style="2" bestFit="1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88671875" style="2" bestFit="1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88671875" style="2" bestFit="1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88671875" style="2" bestFit="1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88671875" style="2" bestFit="1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88671875" style="2" bestFit="1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88671875" style="2" bestFit="1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88671875" style="2" bestFit="1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88671875" style="2" bestFit="1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88671875" style="2" bestFit="1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88671875" style="2" bestFit="1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88671875" style="2" bestFit="1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88671875" style="2" bestFit="1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88671875" style="2" bestFit="1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88671875" style="2" bestFit="1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88671875" style="2" bestFit="1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88671875" style="2" bestFit="1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88671875" style="2" bestFit="1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88671875" style="2" bestFit="1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88671875" style="2" bestFit="1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88671875" style="2" bestFit="1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88671875" style="2" bestFit="1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88671875" style="2" bestFit="1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88671875" style="2" bestFit="1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88671875" style="2" bestFit="1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88671875" style="2" bestFit="1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88671875" style="2" bestFit="1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88671875" style="2" bestFit="1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88671875" style="2" bestFit="1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88671875" style="2" bestFit="1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88671875" style="2" bestFit="1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88671875" style="2" bestFit="1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88671875" style="2" bestFit="1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88671875" style="2" bestFit="1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88671875" style="2" bestFit="1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88671875" style="2" bestFit="1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88671875" style="2" bestFit="1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88671875" style="2" bestFit="1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88671875" style="2" bestFit="1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88671875" style="2" bestFit="1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88671875" style="2" bestFit="1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88671875" style="2" bestFit="1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88671875" style="2" bestFit="1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88671875" style="2" bestFit="1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88671875" style="2" bestFit="1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88671875" style="2" bestFit="1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88671875" style="2" bestFit="1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88671875" style="2" bestFit="1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88671875" style="2" bestFit="1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88671875" style="2" bestFit="1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150000</v>
      </c>
      <c r="G10" s="34">
        <v>3496.58</v>
      </c>
      <c r="H10" s="34">
        <v>7.29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23</v>
      </c>
      <c r="F11" s="33">
        <v>133000</v>
      </c>
      <c r="G11" s="34">
        <v>3491.92</v>
      </c>
      <c r="H11" s="34">
        <v>7.28</v>
      </c>
      <c r="I11" s="35"/>
      <c r="J11" s="35"/>
      <c r="K11" s="36"/>
    </row>
    <row r="12" spans="1:54">
      <c r="B12" s="1" t="s">
        <v>24</v>
      </c>
      <c r="C12" s="21" t="s">
        <v>25</v>
      </c>
      <c r="D12" s="31" t="s">
        <v>26</v>
      </c>
      <c r="E12" s="32" t="s">
        <v>27</v>
      </c>
      <c r="F12" s="33">
        <v>80000</v>
      </c>
      <c r="G12" s="34">
        <v>2564.7199999999998</v>
      </c>
      <c r="H12" s="34">
        <v>5.35</v>
      </c>
      <c r="I12" s="35"/>
      <c r="J12" s="35"/>
      <c r="K12" s="36"/>
    </row>
    <row r="13" spans="1:54">
      <c r="B13" s="1" t="s">
        <v>28</v>
      </c>
      <c r="C13" s="21" t="s">
        <v>29</v>
      </c>
      <c r="D13" s="31" t="s">
        <v>30</v>
      </c>
      <c r="E13" s="32" t="s">
        <v>31</v>
      </c>
      <c r="F13" s="33">
        <v>112000</v>
      </c>
      <c r="G13" s="34">
        <v>2423.9</v>
      </c>
      <c r="H13" s="34">
        <v>5.0599999999999996</v>
      </c>
      <c r="I13" s="35"/>
      <c r="J13" s="35"/>
      <c r="K13" s="36"/>
    </row>
    <row r="14" spans="1:54">
      <c r="B14" s="1" t="s">
        <v>32</v>
      </c>
      <c r="C14" s="21" t="s">
        <v>33</v>
      </c>
      <c r="D14" s="31" t="s">
        <v>34</v>
      </c>
      <c r="E14" s="32" t="s">
        <v>27</v>
      </c>
      <c r="F14" s="33">
        <v>150000</v>
      </c>
      <c r="G14" s="34">
        <v>2141.9299999999998</v>
      </c>
      <c r="H14" s="34">
        <v>4.47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38</v>
      </c>
      <c r="F15" s="33">
        <v>235000</v>
      </c>
      <c r="G15" s="34">
        <v>2061.54</v>
      </c>
      <c r="H15" s="34">
        <v>4.3</v>
      </c>
      <c r="I15" s="35"/>
      <c r="J15" s="35"/>
      <c r="K15" s="36"/>
    </row>
    <row r="16" spans="1:54">
      <c r="B16" s="1" t="s">
        <v>39</v>
      </c>
      <c r="C16" s="21" t="s">
        <v>40</v>
      </c>
      <c r="D16" s="31" t="s">
        <v>41</v>
      </c>
      <c r="E16" s="32" t="s">
        <v>42</v>
      </c>
      <c r="F16" s="33">
        <v>500000</v>
      </c>
      <c r="G16" s="34">
        <v>1917.5</v>
      </c>
      <c r="H16" s="34">
        <v>4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38</v>
      </c>
      <c r="F17" s="33">
        <v>110000</v>
      </c>
      <c r="G17" s="34">
        <v>1770.51</v>
      </c>
      <c r="H17" s="34">
        <v>3.69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38</v>
      </c>
      <c r="F18" s="33">
        <v>320000</v>
      </c>
      <c r="G18" s="34">
        <v>1676</v>
      </c>
      <c r="H18" s="34">
        <v>3.5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52</v>
      </c>
      <c r="F19" s="33">
        <v>76000</v>
      </c>
      <c r="G19" s="34">
        <v>1502.03</v>
      </c>
      <c r="H19" s="34">
        <v>3.13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56</v>
      </c>
      <c r="F20" s="33">
        <v>70000</v>
      </c>
      <c r="G20" s="34">
        <v>1377.78</v>
      </c>
      <c r="H20" s="34">
        <v>2.87</v>
      </c>
      <c r="I20" s="35"/>
      <c r="J20" s="35"/>
      <c r="K20" s="36"/>
    </row>
    <row r="21" spans="2:11">
      <c r="B21" s="1" t="s">
        <v>57</v>
      </c>
      <c r="C21" s="21" t="s">
        <v>58</v>
      </c>
      <c r="D21" s="31" t="s">
        <v>59</v>
      </c>
      <c r="E21" s="32" t="s">
        <v>42</v>
      </c>
      <c r="F21" s="33">
        <v>50000</v>
      </c>
      <c r="G21" s="34">
        <v>1280.18</v>
      </c>
      <c r="H21" s="34">
        <v>2.67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63</v>
      </c>
      <c r="F22" s="33">
        <v>90518</v>
      </c>
      <c r="G22" s="34">
        <v>1244.58</v>
      </c>
      <c r="H22" s="34">
        <v>2.6</v>
      </c>
      <c r="I22" s="35"/>
      <c r="J22" s="35"/>
      <c r="K22" s="36"/>
    </row>
    <row r="23" spans="2:11">
      <c r="B23" s="1" t="s">
        <v>64</v>
      </c>
      <c r="C23" s="21" t="s">
        <v>65</v>
      </c>
      <c r="D23" s="31" t="s">
        <v>66</v>
      </c>
      <c r="E23" s="32" t="s">
        <v>67</v>
      </c>
      <c r="F23" s="33">
        <v>3000000</v>
      </c>
      <c r="G23" s="34">
        <v>1206</v>
      </c>
      <c r="H23" s="34">
        <v>2.52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71</v>
      </c>
      <c r="F24" s="33">
        <v>5000</v>
      </c>
      <c r="G24" s="34">
        <v>985.23</v>
      </c>
      <c r="H24" s="34">
        <v>2.06</v>
      </c>
      <c r="I24" s="35"/>
      <c r="J24" s="35"/>
      <c r="K24" s="36"/>
    </row>
    <row r="25" spans="2:11">
      <c r="B25" s="1" t="s">
        <v>72</v>
      </c>
      <c r="C25" s="21" t="s">
        <v>73</v>
      </c>
      <c r="D25" s="31" t="s">
        <v>74</v>
      </c>
      <c r="E25" s="32" t="s">
        <v>52</v>
      </c>
      <c r="F25" s="33">
        <v>100000</v>
      </c>
      <c r="G25" s="34">
        <v>983.1</v>
      </c>
      <c r="H25" s="34">
        <v>2.0499999999999998</v>
      </c>
      <c r="I25" s="35"/>
      <c r="J25" s="35"/>
      <c r="K25" s="36"/>
    </row>
    <row r="26" spans="2:11">
      <c r="B26" s="1" t="s">
        <v>75</v>
      </c>
      <c r="C26" s="21" t="s">
        <v>76</v>
      </c>
      <c r="D26" s="31" t="s">
        <v>77</v>
      </c>
      <c r="E26" s="32" t="s">
        <v>78</v>
      </c>
      <c r="F26" s="33">
        <v>1000000</v>
      </c>
      <c r="G26" s="34">
        <v>975.5</v>
      </c>
      <c r="H26" s="34">
        <v>2.04</v>
      </c>
      <c r="I26" s="35"/>
      <c r="J26" s="35"/>
      <c r="K26" s="36"/>
    </row>
    <row r="27" spans="2:11">
      <c r="B27" s="1" t="s">
        <v>79</v>
      </c>
      <c r="C27" s="21" t="s">
        <v>80</v>
      </c>
      <c r="D27" s="31" t="s">
        <v>81</v>
      </c>
      <c r="E27" s="32" t="s">
        <v>38</v>
      </c>
      <c r="F27" s="33">
        <v>50000</v>
      </c>
      <c r="G27" s="34">
        <v>866.43</v>
      </c>
      <c r="H27" s="34">
        <v>1.81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85</v>
      </c>
      <c r="F28" s="33">
        <v>70000</v>
      </c>
      <c r="G28" s="34">
        <v>836.22</v>
      </c>
      <c r="H28" s="34">
        <v>1.74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89</v>
      </c>
      <c r="F29" s="33">
        <v>68000</v>
      </c>
      <c r="G29" s="34">
        <v>787.92</v>
      </c>
      <c r="H29" s="34">
        <v>1.64</v>
      </c>
      <c r="I29" s="35"/>
      <c r="J29" s="35"/>
      <c r="K29" s="36"/>
    </row>
    <row r="30" spans="2:11">
      <c r="B30" s="1" t="s">
        <v>90</v>
      </c>
      <c r="C30" s="21" t="s">
        <v>91</v>
      </c>
      <c r="D30" s="31" t="s">
        <v>92</v>
      </c>
      <c r="E30" s="32" t="s">
        <v>93</v>
      </c>
      <c r="F30" s="33">
        <v>300000</v>
      </c>
      <c r="G30" s="34">
        <v>779.7</v>
      </c>
      <c r="H30" s="34">
        <v>1.63</v>
      </c>
      <c r="I30" s="35"/>
      <c r="J30" s="35"/>
      <c r="K30" s="36"/>
    </row>
    <row r="31" spans="2:11">
      <c r="B31" s="1" t="s">
        <v>94</v>
      </c>
      <c r="C31" s="21" t="s">
        <v>95</v>
      </c>
      <c r="D31" s="31" t="s">
        <v>96</v>
      </c>
      <c r="E31" s="32" t="s">
        <v>97</v>
      </c>
      <c r="F31" s="33">
        <v>100000</v>
      </c>
      <c r="G31" s="34">
        <v>749</v>
      </c>
      <c r="H31" s="34">
        <v>1.56</v>
      </c>
      <c r="I31" s="35"/>
      <c r="J31" s="35"/>
      <c r="K31" s="36"/>
    </row>
    <row r="32" spans="2:11">
      <c r="B32" s="1" t="s">
        <v>98</v>
      </c>
      <c r="C32" s="21" t="s">
        <v>99</v>
      </c>
      <c r="D32" s="31" t="s">
        <v>100</v>
      </c>
      <c r="E32" s="32" t="s">
        <v>38</v>
      </c>
      <c r="F32" s="33">
        <v>250000</v>
      </c>
      <c r="G32" s="34">
        <v>711.13</v>
      </c>
      <c r="H32" s="34">
        <v>1.48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89</v>
      </c>
      <c r="F33" s="33">
        <v>8500</v>
      </c>
      <c r="G33" s="34">
        <v>704.83</v>
      </c>
      <c r="H33" s="34">
        <v>1.47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85</v>
      </c>
      <c r="F34" s="33">
        <v>50000</v>
      </c>
      <c r="G34" s="34">
        <v>693.5</v>
      </c>
      <c r="H34" s="34">
        <v>1.45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300000</v>
      </c>
      <c r="G35" s="34">
        <v>686.55</v>
      </c>
      <c r="H35" s="34">
        <v>1.43</v>
      </c>
      <c r="I35" s="35"/>
      <c r="J35" s="35"/>
      <c r="K35" s="36"/>
    </row>
    <row r="36" spans="2:11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60000</v>
      </c>
      <c r="G36" s="34">
        <v>580.89</v>
      </c>
      <c r="H36" s="34">
        <v>1.21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500000</v>
      </c>
      <c r="G37" s="34">
        <v>557.75</v>
      </c>
      <c r="H37" s="34">
        <v>1.1599999999999999</v>
      </c>
      <c r="I37" s="35"/>
      <c r="J37" s="35"/>
      <c r="K37" s="36"/>
    </row>
    <row r="38" spans="2:11">
      <c r="B38" s="1" t="s">
        <v>119</v>
      </c>
      <c r="C38" s="21" t="s">
        <v>120</v>
      </c>
      <c r="D38" s="31" t="s">
        <v>121</v>
      </c>
      <c r="E38" s="32" t="s">
        <v>19</v>
      </c>
      <c r="F38" s="33">
        <v>230000</v>
      </c>
      <c r="G38" s="34">
        <v>544.64</v>
      </c>
      <c r="H38" s="34">
        <v>1.1399999999999999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52</v>
      </c>
      <c r="F39" s="33">
        <v>35000</v>
      </c>
      <c r="G39" s="34">
        <v>538</v>
      </c>
      <c r="H39" s="34">
        <v>1.1200000000000001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250000</v>
      </c>
      <c r="G40" s="34">
        <v>534.13</v>
      </c>
      <c r="H40" s="34">
        <v>1.1100000000000001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56</v>
      </c>
      <c r="F41" s="33">
        <v>2000</v>
      </c>
      <c r="G41" s="34">
        <v>523.74</v>
      </c>
      <c r="H41" s="34">
        <v>1.0900000000000001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115000</v>
      </c>
      <c r="G42" s="34">
        <v>501.06</v>
      </c>
      <c r="H42" s="34">
        <v>1.05</v>
      </c>
      <c r="I42" s="35"/>
      <c r="J42" s="35"/>
      <c r="K42" s="36"/>
    </row>
    <row r="43" spans="2:11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15000</v>
      </c>
      <c r="G43" s="34">
        <v>499.07</v>
      </c>
      <c r="H43" s="34">
        <v>1.04</v>
      </c>
      <c r="I43" s="35"/>
      <c r="J43" s="35"/>
      <c r="K43" s="36"/>
    </row>
    <row r="44" spans="2:11">
      <c r="B44" s="1" t="s">
        <v>140</v>
      </c>
      <c r="C44" s="21" t="s">
        <v>141</v>
      </c>
      <c r="D44" s="31" t="s">
        <v>142</v>
      </c>
      <c r="E44" s="32" t="s">
        <v>56</v>
      </c>
      <c r="F44" s="33">
        <v>6500</v>
      </c>
      <c r="G44" s="34">
        <v>495.44</v>
      </c>
      <c r="H44" s="34">
        <v>1.03</v>
      </c>
      <c r="I44" s="35"/>
      <c r="J44" s="35"/>
      <c r="K44" s="36"/>
    </row>
    <row r="45" spans="2:11">
      <c r="B45" s="1" t="s">
        <v>143</v>
      </c>
      <c r="C45" s="21" t="s">
        <v>144</v>
      </c>
      <c r="D45" s="31" t="s">
        <v>145</v>
      </c>
      <c r="E45" s="32" t="s">
        <v>38</v>
      </c>
      <c r="F45" s="33">
        <v>350000</v>
      </c>
      <c r="G45" s="34">
        <v>493.85</v>
      </c>
      <c r="H45" s="34">
        <v>1.03</v>
      </c>
      <c r="I45" s="35"/>
      <c r="J45" s="35"/>
      <c r="K45" s="36"/>
    </row>
    <row r="46" spans="2:11">
      <c r="B46" s="1" t="s">
        <v>146</v>
      </c>
      <c r="C46" s="21" t="s">
        <v>147</v>
      </c>
      <c r="D46" s="31" t="s">
        <v>148</v>
      </c>
      <c r="E46" s="32" t="s">
        <v>52</v>
      </c>
      <c r="F46" s="33">
        <v>100000</v>
      </c>
      <c r="G46" s="34">
        <v>491.55</v>
      </c>
      <c r="H46" s="34">
        <v>1.03</v>
      </c>
      <c r="I46" s="35"/>
      <c r="J46" s="35"/>
      <c r="K46" s="36"/>
    </row>
    <row r="47" spans="2:11">
      <c r="B47" s="1" t="s">
        <v>149</v>
      </c>
      <c r="C47" s="21" t="s">
        <v>150</v>
      </c>
      <c r="D47" s="31" t="s">
        <v>151</v>
      </c>
      <c r="E47" s="32" t="s">
        <v>89</v>
      </c>
      <c r="F47" s="33">
        <v>235000</v>
      </c>
      <c r="G47" s="34">
        <v>490.56</v>
      </c>
      <c r="H47" s="34">
        <v>1.02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155</v>
      </c>
      <c r="F48" s="33">
        <v>120000</v>
      </c>
      <c r="G48" s="34">
        <v>486.42</v>
      </c>
      <c r="H48" s="34">
        <v>1.01</v>
      </c>
      <c r="I48" s="35"/>
      <c r="J48" s="35"/>
      <c r="K48" s="36"/>
    </row>
    <row r="49" spans="2:11">
      <c r="B49" s="1" t="s">
        <v>156</v>
      </c>
      <c r="C49" s="21" t="s">
        <v>157</v>
      </c>
      <c r="D49" s="31" t="s">
        <v>158</v>
      </c>
      <c r="E49" s="32" t="s">
        <v>63</v>
      </c>
      <c r="F49" s="33">
        <v>17575</v>
      </c>
      <c r="G49" s="34">
        <v>380.02</v>
      </c>
      <c r="H49" s="34">
        <v>0.79</v>
      </c>
      <c r="I49" s="35"/>
      <c r="J49" s="35"/>
      <c r="K49" s="36"/>
    </row>
    <row r="50" spans="2:11">
      <c r="C50" s="30" t="s">
        <v>159</v>
      </c>
      <c r="D50" s="31"/>
      <c r="E50" s="32"/>
      <c r="F50" s="33"/>
      <c r="G50" s="38">
        <v>45031.4</v>
      </c>
      <c r="H50" s="38">
        <v>93.92</v>
      </c>
      <c r="I50" s="35"/>
      <c r="J50" s="35"/>
      <c r="K50" s="36"/>
    </row>
    <row r="51" spans="2:11">
      <c r="C51" s="21"/>
      <c r="D51" s="31"/>
      <c r="E51" s="32"/>
      <c r="F51" s="33"/>
      <c r="G51" s="34"/>
      <c r="H51" s="34"/>
      <c r="I51" s="35"/>
      <c r="J51" s="35"/>
      <c r="K51" s="36"/>
    </row>
    <row r="52" spans="2:11">
      <c r="C52" s="30" t="s">
        <v>160</v>
      </c>
      <c r="D52" s="31"/>
      <c r="E52" s="32"/>
      <c r="F52" s="33"/>
      <c r="G52" s="34" t="s">
        <v>161</v>
      </c>
      <c r="H52" s="34" t="s">
        <v>161</v>
      </c>
      <c r="I52" s="35"/>
      <c r="J52" s="35"/>
      <c r="K52" s="36"/>
    </row>
    <row r="53" spans="2:11">
      <c r="C53" s="21"/>
      <c r="D53" s="31"/>
      <c r="E53" s="32"/>
      <c r="F53" s="33"/>
      <c r="G53" s="34"/>
      <c r="H53" s="34"/>
      <c r="I53" s="35"/>
      <c r="J53" s="35"/>
      <c r="K53" s="36"/>
    </row>
    <row r="54" spans="2:11">
      <c r="C54" s="30" t="s">
        <v>162</v>
      </c>
      <c r="D54" s="31"/>
      <c r="E54" s="32"/>
      <c r="F54" s="33"/>
      <c r="G54" s="34" t="s">
        <v>161</v>
      </c>
      <c r="H54" s="34" t="s">
        <v>161</v>
      </c>
      <c r="I54" s="35"/>
      <c r="J54" s="35"/>
      <c r="K54" s="36"/>
    </row>
    <row r="55" spans="2:11">
      <c r="C55" s="21"/>
      <c r="D55" s="31"/>
      <c r="E55" s="32"/>
      <c r="F55" s="33"/>
      <c r="G55" s="34"/>
      <c r="H55" s="34"/>
      <c r="I55" s="35"/>
      <c r="J55" s="35"/>
      <c r="K55" s="36"/>
    </row>
    <row r="56" spans="2:11">
      <c r="C56" s="30" t="s">
        <v>163</v>
      </c>
      <c r="D56" s="31"/>
      <c r="E56" s="32"/>
      <c r="F56" s="33"/>
      <c r="G56" s="34"/>
      <c r="H56" s="34"/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0" t="s">
        <v>164</v>
      </c>
      <c r="D58" s="31"/>
      <c r="E58" s="32"/>
      <c r="F58" s="33"/>
      <c r="G58" s="34" t="s">
        <v>161</v>
      </c>
      <c r="H58" s="34" t="s">
        <v>161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0" t="s">
        <v>165</v>
      </c>
      <c r="D60" s="31"/>
      <c r="E60" s="32"/>
      <c r="F60" s="33"/>
      <c r="G60" s="34" t="s">
        <v>161</v>
      </c>
      <c r="H60" s="34" t="s">
        <v>161</v>
      </c>
      <c r="I60" s="35"/>
      <c r="J60" s="35"/>
      <c r="K60" s="36"/>
    </row>
    <row r="61" spans="2:11">
      <c r="C61" s="21"/>
      <c r="D61" s="31"/>
      <c r="E61" s="32"/>
      <c r="F61" s="33"/>
      <c r="G61" s="34"/>
      <c r="H61" s="34"/>
      <c r="I61" s="35"/>
      <c r="J61" s="35"/>
      <c r="K61" s="36"/>
    </row>
    <row r="62" spans="2:11">
      <c r="C62" s="30" t="s">
        <v>166</v>
      </c>
      <c r="D62" s="31"/>
      <c r="E62" s="32"/>
      <c r="F62" s="33"/>
      <c r="G62" s="34" t="s">
        <v>161</v>
      </c>
      <c r="H62" s="34" t="s">
        <v>161</v>
      </c>
      <c r="I62" s="35"/>
      <c r="J62" s="35"/>
      <c r="K62" s="36"/>
    </row>
    <row r="63" spans="2:11">
      <c r="C63" s="21"/>
      <c r="D63" s="31"/>
      <c r="E63" s="32"/>
      <c r="F63" s="33"/>
      <c r="G63" s="34"/>
      <c r="H63" s="34"/>
      <c r="I63" s="35"/>
      <c r="J63" s="35"/>
      <c r="K63" s="36"/>
    </row>
    <row r="64" spans="2:11">
      <c r="C64" s="30" t="s">
        <v>167</v>
      </c>
      <c r="D64" s="31"/>
      <c r="E64" s="32"/>
      <c r="F64" s="33"/>
      <c r="G64" s="34" t="s">
        <v>161</v>
      </c>
      <c r="H64" s="34" t="s">
        <v>161</v>
      </c>
      <c r="I64" s="35"/>
      <c r="J64" s="35"/>
      <c r="K64" s="36"/>
    </row>
    <row r="65" spans="1:11">
      <c r="C65" s="21"/>
      <c r="D65" s="31"/>
      <c r="E65" s="32"/>
      <c r="F65" s="33"/>
      <c r="G65" s="34"/>
      <c r="H65" s="34"/>
      <c r="I65" s="35"/>
      <c r="J65" s="35"/>
      <c r="K65" s="36"/>
    </row>
    <row r="66" spans="1:11">
      <c r="C66" s="30" t="s">
        <v>168</v>
      </c>
      <c r="D66" s="31"/>
      <c r="E66" s="32"/>
      <c r="F66" s="33"/>
      <c r="G66" s="34" t="s">
        <v>161</v>
      </c>
      <c r="H66" s="34" t="s">
        <v>161</v>
      </c>
      <c r="I66" s="35"/>
      <c r="J66" s="35"/>
      <c r="K66" s="36"/>
    </row>
    <row r="67" spans="1:11">
      <c r="C67" s="21"/>
      <c r="D67" s="31"/>
      <c r="E67" s="32"/>
      <c r="F67" s="33"/>
      <c r="G67" s="34"/>
      <c r="H67" s="34"/>
      <c r="I67" s="35"/>
      <c r="J67" s="35"/>
      <c r="K67" s="36"/>
    </row>
    <row r="68" spans="1:11">
      <c r="A68" s="28"/>
      <c r="B68" s="29"/>
      <c r="C68" s="30" t="s">
        <v>169</v>
      </c>
      <c r="D68" s="31"/>
      <c r="E68" s="32"/>
      <c r="F68" s="33"/>
      <c r="G68" s="34"/>
      <c r="H68" s="34"/>
      <c r="I68" s="35"/>
      <c r="J68" s="35"/>
      <c r="K68" s="36"/>
    </row>
    <row r="69" spans="1:11">
      <c r="A69" s="29"/>
      <c r="B69" s="29"/>
      <c r="C69" s="30" t="s">
        <v>170</v>
      </c>
      <c r="D69" s="31"/>
      <c r="E69" s="32"/>
      <c r="F69" s="33"/>
      <c r="G69" s="34" t="s">
        <v>161</v>
      </c>
      <c r="H69" s="34" t="s">
        <v>161</v>
      </c>
      <c r="I69" s="35"/>
      <c r="J69" s="35"/>
      <c r="K69" s="36"/>
    </row>
    <row r="70" spans="1:11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>
      <c r="A71" s="29"/>
      <c r="B71" s="29"/>
      <c r="C71" s="30" t="s">
        <v>171</v>
      </c>
      <c r="D71" s="31"/>
      <c r="E71" s="32"/>
      <c r="F71" s="33"/>
      <c r="G71" s="34" t="s">
        <v>161</v>
      </c>
      <c r="H71" s="34" t="s">
        <v>161</v>
      </c>
      <c r="I71" s="35"/>
      <c r="J71" s="35"/>
      <c r="K71" s="36"/>
    </row>
    <row r="72" spans="1:11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>
      <c r="C73" s="37" t="s">
        <v>172</v>
      </c>
      <c r="D73" s="31"/>
      <c r="E73" s="32"/>
      <c r="F73" s="33"/>
      <c r="G73" s="34"/>
      <c r="H73" s="34"/>
      <c r="I73" s="35"/>
      <c r="J73" s="35"/>
      <c r="K73" s="36"/>
    </row>
    <row r="74" spans="1:11">
      <c r="B74" s="1" t="s">
        <v>173</v>
      </c>
      <c r="C74" s="21" t="s">
        <v>174</v>
      </c>
      <c r="D74" s="31" t="s">
        <v>175</v>
      </c>
      <c r="E74" s="32" t="s">
        <v>176</v>
      </c>
      <c r="F74" s="33">
        <v>400000</v>
      </c>
      <c r="G74" s="34">
        <v>380.32</v>
      </c>
      <c r="H74" s="34">
        <v>0.79</v>
      </c>
      <c r="I74" s="35">
        <v>7.1550000000000002</v>
      </c>
      <c r="J74" s="35"/>
      <c r="K74" s="36"/>
    </row>
    <row r="75" spans="1:11">
      <c r="C75" s="30" t="s">
        <v>159</v>
      </c>
      <c r="D75" s="31"/>
      <c r="E75" s="32"/>
      <c r="F75" s="33"/>
      <c r="G75" s="38">
        <v>380.32</v>
      </c>
      <c r="H75" s="38">
        <v>0.79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C77" s="30" t="s">
        <v>177</v>
      </c>
      <c r="D77" s="31"/>
      <c r="E77" s="32"/>
      <c r="F77" s="33"/>
      <c r="G77" s="34" t="s">
        <v>161</v>
      </c>
      <c r="H77" s="34" t="s">
        <v>161</v>
      </c>
      <c r="I77" s="35"/>
      <c r="J77" s="35"/>
      <c r="K77" s="36"/>
    </row>
    <row r="78" spans="1:11">
      <c r="C78" s="21"/>
      <c r="D78" s="31"/>
      <c r="E78" s="32"/>
      <c r="F78" s="33"/>
      <c r="G78" s="34"/>
      <c r="H78" s="34"/>
      <c r="I78" s="35"/>
      <c r="J78" s="35"/>
      <c r="K78" s="36"/>
    </row>
    <row r="79" spans="1:11">
      <c r="A79" s="28"/>
      <c r="B79" s="29"/>
      <c r="C79" s="30" t="s">
        <v>178</v>
      </c>
      <c r="D79" s="31"/>
      <c r="E79" s="32"/>
      <c r="F79" s="33"/>
      <c r="G79" s="34"/>
      <c r="H79" s="34"/>
      <c r="I79" s="35"/>
      <c r="J79" s="35"/>
      <c r="K79" s="36"/>
    </row>
    <row r="80" spans="1:11">
      <c r="A80" s="29"/>
      <c r="B80" s="29"/>
      <c r="C80" s="30" t="s">
        <v>179</v>
      </c>
      <c r="D80" s="31"/>
      <c r="E80" s="32"/>
      <c r="F80" s="33"/>
      <c r="G80" s="34" t="s">
        <v>161</v>
      </c>
      <c r="H80" s="34" t="s">
        <v>161</v>
      </c>
      <c r="I80" s="35"/>
      <c r="J80" s="35"/>
      <c r="K80" s="36"/>
    </row>
    <row r="81" spans="1:11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>
      <c r="A82" s="29"/>
      <c r="B82" s="29"/>
      <c r="C82" s="30" t="s">
        <v>180</v>
      </c>
      <c r="D82" s="31"/>
      <c r="E82" s="32"/>
      <c r="F82" s="33"/>
      <c r="G82" s="34" t="s">
        <v>161</v>
      </c>
      <c r="H82" s="34" t="s">
        <v>161</v>
      </c>
      <c r="I82" s="35"/>
      <c r="J82" s="35"/>
      <c r="K82" s="36"/>
    </row>
    <row r="83" spans="1:11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>
      <c r="A84" s="29"/>
      <c r="B84" s="29"/>
      <c r="C84" s="30" t="s">
        <v>181</v>
      </c>
      <c r="D84" s="31"/>
      <c r="E84" s="32"/>
      <c r="F84" s="33"/>
      <c r="G84" s="34" t="s">
        <v>161</v>
      </c>
      <c r="H84" s="34" t="s">
        <v>161</v>
      </c>
      <c r="I84" s="35"/>
      <c r="J84" s="35"/>
      <c r="K84" s="36"/>
    </row>
    <row r="85" spans="1:11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>
      <c r="A86" s="29"/>
      <c r="B86" s="29"/>
      <c r="C86" s="30" t="s">
        <v>182</v>
      </c>
      <c r="D86" s="31"/>
      <c r="E86" s="32"/>
      <c r="F86" s="33"/>
      <c r="G86" s="34" t="s">
        <v>161</v>
      </c>
      <c r="H86" s="34" t="s">
        <v>161</v>
      </c>
      <c r="I86" s="35"/>
      <c r="J86" s="35"/>
      <c r="K86" s="36"/>
    </row>
    <row r="87" spans="1:11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>
      <c r="C88" s="37" t="s">
        <v>183</v>
      </c>
      <c r="D88" s="31"/>
      <c r="E88" s="32"/>
      <c r="F88" s="33"/>
      <c r="G88" s="34"/>
      <c r="H88" s="34"/>
      <c r="I88" s="35"/>
      <c r="J88" s="35"/>
      <c r="K88" s="36"/>
    </row>
    <row r="89" spans="1:11">
      <c r="B89" s="1" t="s">
        <v>184</v>
      </c>
      <c r="C89" s="21" t="s">
        <v>185</v>
      </c>
      <c r="D89" s="31"/>
      <c r="E89" s="32"/>
      <c r="F89" s="33"/>
      <c r="G89" s="34">
        <v>2575.0700000000002</v>
      </c>
      <c r="H89" s="34">
        <v>5.37</v>
      </c>
      <c r="I89" s="35">
        <v>7.14</v>
      </c>
      <c r="J89" s="35"/>
      <c r="K89" s="36"/>
    </row>
    <row r="90" spans="1:11">
      <c r="C90" s="30" t="s">
        <v>159</v>
      </c>
      <c r="D90" s="31"/>
      <c r="E90" s="32"/>
      <c r="F90" s="33"/>
      <c r="G90" s="38">
        <v>2575.0700000000002</v>
      </c>
      <c r="H90" s="38">
        <v>5.37</v>
      </c>
      <c r="I90" s="35"/>
      <c r="J90" s="35"/>
      <c r="K90" s="36"/>
    </row>
    <row r="91" spans="1:11">
      <c r="C91" s="21"/>
      <c r="D91" s="31"/>
      <c r="E91" s="32"/>
      <c r="F91" s="33"/>
      <c r="G91" s="34"/>
      <c r="H91" s="34"/>
      <c r="I91" s="35"/>
      <c r="J91" s="35"/>
      <c r="K91" s="36"/>
    </row>
    <row r="92" spans="1:11">
      <c r="A92" s="28"/>
      <c r="B92" s="29"/>
      <c r="C92" s="30" t="s">
        <v>186</v>
      </c>
      <c r="D92" s="31"/>
      <c r="E92" s="32"/>
      <c r="F92" s="33"/>
      <c r="G92" s="34"/>
      <c r="H92" s="34"/>
      <c r="I92" s="35"/>
      <c r="J92" s="35"/>
      <c r="K92" s="36"/>
    </row>
    <row r="93" spans="1:11">
      <c r="B93" s="1"/>
      <c r="C93" s="21" t="s">
        <v>187</v>
      </c>
      <c r="D93" s="31"/>
      <c r="E93" s="32"/>
      <c r="F93" s="33"/>
      <c r="G93" s="34">
        <v>-53.65</v>
      </c>
      <c r="H93" s="34">
        <v>-0.08</v>
      </c>
      <c r="I93" s="35"/>
      <c r="J93" s="35"/>
      <c r="K93" s="36"/>
    </row>
    <row r="94" spans="1:11">
      <c r="C94" s="30" t="s">
        <v>159</v>
      </c>
      <c r="D94" s="31"/>
      <c r="E94" s="32"/>
      <c r="F94" s="33"/>
      <c r="G94" s="38">
        <v>-53.65</v>
      </c>
      <c r="H94" s="38">
        <v>-0.08</v>
      </c>
      <c r="I94" s="35"/>
      <c r="J94" s="35"/>
      <c r="K94" s="36"/>
    </row>
    <row r="95" spans="1:11">
      <c r="C95" s="21"/>
      <c r="D95" s="31"/>
      <c r="E95" s="32"/>
      <c r="F95" s="33"/>
      <c r="G95" s="34"/>
      <c r="H95" s="34"/>
      <c r="I95" s="35"/>
      <c r="J95" s="35"/>
      <c r="K95" s="36"/>
    </row>
    <row r="96" spans="1:11" ht="14.4" thickBot="1">
      <c r="C96" s="39" t="s">
        <v>188</v>
      </c>
      <c r="D96" s="40"/>
      <c r="E96" s="41"/>
      <c r="F96" s="42"/>
      <c r="G96" s="43">
        <v>47933.14</v>
      </c>
      <c r="H96" s="43">
        <f>SUMIFS(H:H,C:C,"Total")</f>
        <v>100.00000000000001</v>
      </c>
      <c r="I96" s="44"/>
      <c r="J96" s="44"/>
      <c r="K96" s="45"/>
    </row>
    <row r="99" spans="3:8">
      <c r="C99" s="46" t="s">
        <v>189</v>
      </c>
      <c r="D99" s="47"/>
      <c r="E99" s="47"/>
      <c r="F99" s="47"/>
      <c r="G99" s="48"/>
      <c r="H99" s="48"/>
    </row>
    <row r="100" spans="3:8">
      <c r="C100" s="49" t="s">
        <v>190</v>
      </c>
      <c r="D100" s="47"/>
      <c r="E100" s="47"/>
      <c r="F100" s="47"/>
      <c r="G100" s="48"/>
      <c r="H100" s="48"/>
    </row>
    <row r="101" spans="3:8">
      <c r="C101" s="50" t="s">
        <v>191</v>
      </c>
      <c r="D101" s="51" t="s">
        <v>192</v>
      </c>
      <c r="E101" s="52" t="s">
        <v>193</v>
      </c>
      <c r="F101" s="53" t="s">
        <v>194</v>
      </c>
      <c r="G101" s="53" t="s">
        <v>195</v>
      </c>
      <c r="H101" s="53" t="s">
        <v>196</v>
      </c>
    </row>
    <row r="102" spans="3:8">
      <c r="C102" s="79" t="s">
        <v>197</v>
      </c>
      <c r="D102" s="80"/>
      <c r="E102" s="80"/>
      <c r="F102" s="80"/>
      <c r="G102" s="80"/>
      <c r="H102" s="81"/>
    </row>
    <row r="103" spans="3:8">
      <c r="C103" s="54"/>
      <c r="D103" s="54"/>
      <c r="E103" s="54"/>
      <c r="F103" s="54"/>
      <c r="G103" s="54"/>
      <c r="H103" s="54"/>
    </row>
    <row r="104" spans="3:8">
      <c r="C104" s="55"/>
      <c r="D104" s="54"/>
      <c r="E104" s="54"/>
      <c r="F104" s="54"/>
      <c r="G104" s="54"/>
      <c r="H104" s="54"/>
    </row>
    <row r="105" spans="3:8">
      <c r="C105" s="54"/>
      <c r="D105" s="54"/>
      <c r="E105" s="54"/>
      <c r="F105" s="54"/>
      <c r="G105" s="54"/>
      <c r="H105" s="54"/>
    </row>
    <row r="106" spans="3:8">
      <c r="C106" s="46" t="s">
        <v>198</v>
      </c>
      <c r="D106" s="54"/>
      <c r="E106" s="54"/>
      <c r="F106" s="54"/>
      <c r="G106" s="54"/>
      <c r="H106" s="54"/>
    </row>
    <row r="107" spans="3:8">
      <c r="C107" s="55" t="s">
        <v>199</v>
      </c>
      <c r="D107" s="54"/>
      <c r="E107" s="54"/>
      <c r="F107" s="54"/>
      <c r="G107" s="54"/>
      <c r="H107" s="54"/>
    </row>
    <row r="108" spans="3:8">
      <c r="C108" s="55" t="s">
        <v>200</v>
      </c>
      <c r="D108" s="54"/>
      <c r="E108" s="54"/>
      <c r="F108" s="54"/>
      <c r="G108" s="54"/>
      <c r="H108" s="54"/>
    </row>
    <row r="109" spans="3:8">
      <c r="C109" s="55" t="s">
        <v>201</v>
      </c>
      <c r="D109" s="56"/>
      <c r="E109" s="54"/>
      <c r="F109" s="54"/>
      <c r="G109" s="54"/>
      <c r="H109" s="54"/>
    </row>
    <row r="110" spans="3:8">
      <c r="C110" s="55" t="s">
        <v>202</v>
      </c>
      <c r="D110" s="56"/>
      <c r="E110" s="57"/>
      <c r="F110" s="54"/>
      <c r="G110" s="54"/>
      <c r="H110" s="54"/>
    </row>
    <row r="111" spans="3:8">
      <c r="C111" s="58" t="s">
        <v>203</v>
      </c>
      <c r="D111" s="56"/>
      <c r="E111" s="59"/>
      <c r="F111" s="59"/>
      <c r="G111" s="54"/>
      <c r="H111" s="59"/>
    </row>
    <row r="112" spans="3:8">
      <c r="C112" s="54"/>
      <c r="D112" s="54"/>
      <c r="E112" s="54"/>
      <c r="F112" s="54"/>
      <c r="G112" s="54"/>
      <c r="H112" s="54"/>
    </row>
    <row r="113" spans="3:8">
      <c r="C113" s="58"/>
      <c r="D113" s="47"/>
      <c r="E113" s="47"/>
      <c r="F113" s="60"/>
      <c r="G113" s="48"/>
      <c r="H113" s="48"/>
    </row>
    <row r="114" spans="3:8">
      <c r="C114" s="49"/>
      <c r="D114" s="47"/>
      <c r="E114" s="47"/>
      <c r="F114" s="60"/>
      <c r="G114" s="48"/>
      <c r="H114" s="48"/>
    </row>
    <row r="115" spans="3:8">
      <c r="C115" s="46" t="s">
        <v>204</v>
      </c>
      <c r="D115" s="55"/>
      <c r="E115" s="55"/>
      <c r="F115" s="55"/>
      <c r="G115" s="55"/>
      <c r="H115" s="61"/>
    </row>
    <row r="116" spans="3:8">
      <c r="C116" s="51" t="s">
        <v>191</v>
      </c>
      <c r="D116" s="62" t="s">
        <v>192</v>
      </c>
      <c r="E116" s="63" t="s">
        <v>193</v>
      </c>
      <c r="F116" s="64" t="s">
        <v>194</v>
      </c>
      <c r="G116" s="64" t="s">
        <v>195</v>
      </c>
      <c r="H116" s="64" t="s">
        <v>196</v>
      </c>
    </row>
    <row r="117" spans="3:8">
      <c r="C117" s="79" t="s">
        <v>197</v>
      </c>
      <c r="D117" s="80"/>
      <c r="E117" s="80"/>
      <c r="F117" s="80"/>
      <c r="G117" s="80"/>
      <c r="H117" s="81"/>
    </row>
    <row r="118" spans="3:8">
      <c r="C118" s="54"/>
      <c r="D118" s="54"/>
      <c r="E118" s="54"/>
      <c r="F118" s="54"/>
      <c r="G118" s="54"/>
      <c r="H118" s="54"/>
    </row>
    <row r="119" spans="3:8">
      <c r="C119" s="55" t="s">
        <v>205</v>
      </c>
      <c r="D119" s="54"/>
      <c r="E119" s="54"/>
      <c r="F119" s="54"/>
      <c r="G119" s="54"/>
      <c r="H119" s="54"/>
    </row>
    <row r="120" spans="3:8">
      <c r="C120" s="54"/>
      <c r="D120" s="54"/>
      <c r="E120" s="54"/>
      <c r="F120" s="54"/>
      <c r="G120" s="54"/>
      <c r="H120" s="54"/>
    </row>
    <row r="121" spans="3:8">
      <c r="C121" s="46" t="s">
        <v>206</v>
      </c>
      <c r="D121" s="54"/>
      <c r="E121" s="54"/>
      <c r="F121" s="54"/>
      <c r="G121" s="54"/>
      <c r="H121" s="54"/>
    </row>
    <row r="122" spans="3:8">
      <c r="C122" s="55" t="s">
        <v>207</v>
      </c>
      <c r="D122" s="54"/>
      <c r="E122" s="54"/>
      <c r="F122" s="54"/>
      <c r="G122" s="54"/>
      <c r="H122" s="54"/>
    </row>
    <row r="123" spans="3:8">
      <c r="C123" s="55" t="s">
        <v>208</v>
      </c>
      <c r="D123" s="54"/>
      <c r="E123" s="54"/>
      <c r="F123" s="54"/>
      <c r="G123" s="54"/>
      <c r="H123" s="54"/>
    </row>
    <row r="124" spans="3:8">
      <c r="C124" s="55" t="s">
        <v>209</v>
      </c>
      <c r="D124" s="57"/>
      <c r="E124" s="54"/>
      <c r="F124" s="54"/>
      <c r="G124" s="54"/>
      <c r="H124" s="54"/>
    </row>
    <row r="125" spans="3:8">
      <c r="C125" s="55" t="s">
        <v>210</v>
      </c>
      <c r="D125" s="57"/>
      <c r="E125" s="54"/>
      <c r="F125" s="54"/>
      <c r="G125" s="54"/>
      <c r="H125" s="54"/>
    </row>
    <row r="126" spans="3:8">
      <c r="C126" s="58" t="s">
        <v>211</v>
      </c>
      <c r="D126" s="57"/>
      <c r="E126" s="59"/>
      <c r="F126" s="59"/>
      <c r="G126" s="54"/>
      <c r="H126" s="54"/>
    </row>
    <row r="127" spans="3:8">
      <c r="C127" s="54"/>
      <c r="D127" s="54"/>
      <c r="E127" s="54"/>
      <c r="F127" s="54"/>
      <c r="G127" s="54"/>
      <c r="H127" s="54"/>
    </row>
    <row r="128" spans="3:8">
      <c r="C128" s="47"/>
      <c r="D128" s="47"/>
      <c r="E128" s="65"/>
      <c r="F128" s="47"/>
      <c r="G128" s="48"/>
      <c r="H128" s="48"/>
    </row>
    <row r="129" spans="3:54">
      <c r="C129" s="66" t="s">
        <v>212</v>
      </c>
      <c r="D129" s="47"/>
      <c r="E129" s="65"/>
      <c r="F129" s="47"/>
      <c r="G129" s="48"/>
      <c r="H129" s="48"/>
    </row>
    <row r="131" spans="3:54">
      <c r="C131" s="11" t="s">
        <v>213</v>
      </c>
    </row>
    <row r="132" spans="3:54">
      <c r="C132" s="2" t="s">
        <v>214</v>
      </c>
    </row>
    <row r="133" spans="3:54">
      <c r="C133" s="67" t="s">
        <v>215</v>
      </c>
    </row>
    <row r="134" spans="3:54">
      <c r="C134" s="2" t="s">
        <v>216</v>
      </c>
    </row>
    <row r="135" spans="3:54">
      <c r="C135" s="2" t="s">
        <v>217</v>
      </c>
    </row>
    <row r="136" spans="3:54">
      <c r="C136" s="2" t="s">
        <v>218</v>
      </c>
      <c r="D136" s="68"/>
      <c r="E136" s="68"/>
      <c r="F136" s="68"/>
      <c r="G136" s="69"/>
      <c r="H136" s="69"/>
    </row>
    <row r="137" spans="3:54">
      <c r="C137" s="2" t="s">
        <v>219</v>
      </c>
    </row>
    <row r="138" spans="3:54">
      <c r="C138" s="2" t="s">
        <v>220</v>
      </c>
    </row>
    <row r="139" spans="3:54">
      <c r="C139" s="2" t="s">
        <v>221</v>
      </c>
    </row>
    <row r="140" spans="3:54">
      <c r="C140" s="2" t="s">
        <v>222</v>
      </c>
    </row>
    <row r="141" spans="3:54" s="11" customFormat="1">
      <c r="C141" s="11" t="s">
        <v>223</v>
      </c>
      <c r="E141" s="70" t="s">
        <v>224</v>
      </c>
      <c r="F141" s="71" t="s">
        <v>225</v>
      </c>
      <c r="G141" s="72"/>
      <c r="H141" s="72"/>
      <c r="I141" s="72"/>
      <c r="J141" s="72"/>
      <c r="K141" s="73"/>
      <c r="L141" s="73"/>
      <c r="AI141" s="73"/>
      <c r="AV141" s="73"/>
      <c r="AX141" s="73"/>
      <c r="BB141" s="73"/>
    </row>
    <row r="142" spans="3:54">
      <c r="C142" s="2" t="s">
        <v>226</v>
      </c>
      <c r="E142" s="74">
        <v>9.7690000000000001</v>
      </c>
      <c r="F142" s="75">
        <v>9.8271999999999995</v>
      </c>
    </row>
    <row r="143" spans="3:54">
      <c r="C143" s="2" t="s">
        <v>227</v>
      </c>
      <c r="E143" s="74">
        <v>9.7690000000000001</v>
      </c>
      <c r="F143" s="75">
        <v>9.8271999999999995</v>
      </c>
    </row>
    <row r="144" spans="3:54">
      <c r="C144" s="2" t="s">
        <v>228</v>
      </c>
      <c r="E144" s="74">
        <v>10.0059</v>
      </c>
      <c r="F144" s="75">
        <v>10.073600000000001</v>
      </c>
    </row>
    <row r="145" spans="3:6">
      <c r="C145" s="2" t="s">
        <v>229</v>
      </c>
      <c r="E145" s="74">
        <v>10.0059</v>
      </c>
      <c r="F145" s="75">
        <v>10.073600000000001</v>
      </c>
    </row>
    <row r="147" spans="3:6">
      <c r="C147" s="2" t="s">
        <v>230</v>
      </c>
    </row>
    <row r="149" spans="3:6">
      <c r="C149" s="2" t="s">
        <v>231</v>
      </c>
    </row>
    <row r="150" spans="3:6">
      <c r="C150" s="2" t="s">
        <v>232</v>
      </c>
    </row>
    <row r="151" spans="3:6">
      <c r="C151" s="2" t="s">
        <v>233</v>
      </c>
    </row>
    <row r="152" spans="3:6">
      <c r="C152" s="2" t="s">
        <v>234</v>
      </c>
    </row>
    <row r="153" spans="3:6">
      <c r="C153" s="2" t="s">
        <v>235</v>
      </c>
    </row>
    <row r="154" spans="3:6">
      <c r="C154" s="2" t="s">
        <v>236</v>
      </c>
    </row>
    <row r="155" spans="3:6">
      <c r="C155" s="2" t="s">
        <v>237</v>
      </c>
    </row>
    <row r="156" spans="3:6">
      <c r="C156" s="2" t="s">
        <v>238</v>
      </c>
    </row>
    <row r="157" spans="3:6">
      <c r="C157" s="2" t="s">
        <v>239</v>
      </c>
    </row>
    <row r="158" spans="3:6">
      <c r="C158" s="2" t="s">
        <v>240</v>
      </c>
    </row>
    <row r="159" spans="3:6">
      <c r="C159" s="2" t="s">
        <v>241</v>
      </c>
    </row>
    <row r="160" spans="3:6">
      <c r="C160" s="2" t="s">
        <v>242</v>
      </c>
    </row>
    <row r="161" spans="3:11" ht="14.4">
      <c r="C161" s="76"/>
      <c r="D161" s="76"/>
      <c r="E161" s="77"/>
      <c r="F161" s="77"/>
      <c r="G161" s="77"/>
      <c r="H161" s="77"/>
      <c r="I161" s="77"/>
      <c r="J161" s="77"/>
      <c r="K161" s="77"/>
    </row>
    <row r="162" spans="3:11" ht="14.4">
      <c r="C162" s="77"/>
      <c r="D162" s="77"/>
      <c r="E162" s="77"/>
      <c r="F162" s="77"/>
      <c r="G162" s="77"/>
      <c r="H162" s="77"/>
      <c r="I162" s="77"/>
      <c r="J162" s="77"/>
      <c r="K162" s="77"/>
    </row>
    <row r="163" spans="3:11" ht="14.4">
      <c r="C163" s="77"/>
      <c r="D163" s="77"/>
      <c r="E163" s="77"/>
      <c r="F163" s="77"/>
      <c r="G163" s="77"/>
      <c r="H163" s="77"/>
      <c r="I163" s="77"/>
      <c r="J163" s="77"/>
      <c r="K163" s="77"/>
    </row>
  </sheetData>
  <mergeCells count="2">
    <mergeCell ref="C102:H102"/>
    <mergeCell ref="C117:H11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63"/>
  <sheetViews>
    <sheetView workbookViewId="0">
      <selection activeCell="C160" sqref="C160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88671875" style="2" bestFit="1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88671875" style="2" bestFit="1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88671875" style="2" bestFit="1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88671875" style="2" bestFit="1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88671875" style="2" bestFit="1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88671875" style="2" bestFit="1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88671875" style="2" bestFit="1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88671875" style="2" bestFit="1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88671875" style="2" bestFit="1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88671875" style="2" bestFit="1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88671875" style="2" bestFit="1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88671875" style="2" bestFit="1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88671875" style="2" bestFit="1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88671875" style="2" bestFit="1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88671875" style="2" bestFit="1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88671875" style="2" bestFit="1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88671875" style="2" bestFit="1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88671875" style="2" bestFit="1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88671875" style="2" bestFit="1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88671875" style="2" bestFit="1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88671875" style="2" bestFit="1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88671875" style="2" bestFit="1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88671875" style="2" bestFit="1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88671875" style="2" bestFit="1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88671875" style="2" bestFit="1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88671875" style="2" bestFit="1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88671875" style="2" bestFit="1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88671875" style="2" bestFit="1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88671875" style="2" bestFit="1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88671875" style="2" bestFit="1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88671875" style="2" bestFit="1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88671875" style="2" bestFit="1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88671875" style="2" bestFit="1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88671875" style="2" bestFit="1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88671875" style="2" bestFit="1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88671875" style="2" bestFit="1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88671875" style="2" bestFit="1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88671875" style="2" bestFit="1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88671875" style="2" bestFit="1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88671875" style="2" bestFit="1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88671875" style="2" bestFit="1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88671875" style="2" bestFit="1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88671875" style="2" bestFit="1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88671875" style="2" bestFit="1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88671875" style="2" bestFit="1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88671875" style="2" bestFit="1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88671875" style="2" bestFit="1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88671875" style="2" bestFit="1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88671875" style="2" bestFit="1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88671875" style="2" bestFit="1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88671875" style="2" bestFit="1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88671875" style="2" bestFit="1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88671875" style="2" bestFit="1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88671875" style="2" bestFit="1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88671875" style="2" bestFit="1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88671875" style="2" bestFit="1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88671875" style="2" bestFit="1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88671875" style="2" bestFit="1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88671875" style="2" bestFit="1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88671875" style="2" bestFit="1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88671875" style="2" bestFit="1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88671875" style="2" bestFit="1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88671875" style="2" bestFit="1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82" t="s">
        <v>243</v>
      </c>
      <c r="D2" s="83"/>
      <c r="E2" s="83"/>
      <c r="F2" s="83"/>
      <c r="G2" s="83"/>
      <c r="H2" s="83"/>
      <c r="I2" s="83"/>
      <c r="J2" s="83"/>
      <c r="K2" s="84"/>
      <c r="M2" s="9"/>
    </row>
    <row r="3" spans="1:54" ht="14.4" thickBot="1">
      <c r="C3" s="85"/>
      <c r="D3" s="86"/>
      <c r="E3" s="86"/>
      <c r="F3" s="86"/>
      <c r="G3" s="86"/>
      <c r="H3" s="86"/>
      <c r="I3" s="86"/>
      <c r="J3" s="86"/>
      <c r="K3" s="87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88" t="s">
        <v>244</v>
      </c>
      <c r="D5" s="89"/>
      <c r="E5" s="89"/>
      <c r="F5" s="89"/>
      <c r="G5" s="89"/>
      <c r="H5" s="89"/>
      <c r="I5" s="89"/>
      <c r="J5" s="89"/>
      <c r="K5" s="90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150000</v>
      </c>
      <c r="G11" s="34">
        <v>3496.58</v>
      </c>
      <c r="H11" s="34">
        <v>7.29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23</v>
      </c>
      <c r="F12" s="33">
        <v>133000</v>
      </c>
      <c r="G12" s="34">
        <v>3491.92</v>
      </c>
      <c r="H12" s="34">
        <v>7.28</v>
      </c>
      <c r="I12" s="35"/>
      <c r="J12" s="35"/>
      <c r="K12" s="36"/>
    </row>
    <row r="13" spans="1:54">
      <c r="B13" s="1" t="s">
        <v>24</v>
      </c>
      <c r="C13" s="21" t="s">
        <v>25</v>
      </c>
      <c r="D13" s="31" t="s">
        <v>26</v>
      </c>
      <c r="E13" s="32" t="s">
        <v>27</v>
      </c>
      <c r="F13" s="33">
        <v>80000</v>
      </c>
      <c r="G13" s="34">
        <v>2564.7199999999998</v>
      </c>
      <c r="H13" s="34">
        <v>5.35</v>
      </c>
      <c r="I13" s="35"/>
      <c r="J13" s="35"/>
      <c r="K13" s="36"/>
    </row>
    <row r="14" spans="1:54">
      <c r="B14" s="1" t="s">
        <v>28</v>
      </c>
      <c r="C14" s="21" t="s">
        <v>29</v>
      </c>
      <c r="D14" s="31" t="s">
        <v>30</v>
      </c>
      <c r="E14" s="32" t="s">
        <v>31</v>
      </c>
      <c r="F14" s="33">
        <v>112000</v>
      </c>
      <c r="G14" s="34">
        <v>2423.9</v>
      </c>
      <c r="H14" s="34">
        <v>5.0599999999999996</v>
      </c>
      <c r="I14" s="35"/>
      <c r="J14" s="35"/>
      <c r="K14" s="36"/>
    </row>
    <row r="15" spans="1:54">
      <c r="B15" s="1" t="s">
        <v>32</v>
      </c>
      <c r="C15" s="21" t="s">
        <v>33</v>
      </c>
      <c r="D15" s="31" t="s">
        <v>34</v>
      </c>
      <c r="E15" s="32" t="s">
        <v>27</v>
      </c>
      <c r="F15" s="33">
        <v>150000</v>
      </c>
      <c r="G15" s="34">
        <v>2141.9299999999998</v>
      </c>
      <c r="H15" s="34">
        <v>4.47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38</v>
      </c>
      <c r="F16" s="33">
        <v>235000</v>
      </c>
      <c r="G16" s="34">
        <v>2061.54</v>
      </c>
      <c r="H16" s="34">
        <v>4.3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42</v>
      </c>
      <c r="F17" s="33">
        <v>500000</v>
      </c>
      <c r="G17" s="34">
        <v>1917.5</v>
      </c>
      <c r="H17" s="34">
        <v>4</v>
      </c>
      <c r="I17" s="35"/>
      <c r="J17" s="35"/>
      <c r="K17" s="36"/>
    </row>
    <row r="18" spans="2:11">
      <c r="B18" s="1" t="s">
        <v>43</v>
      </c>
      <c r="C18" s="21" t="s">
        <v>44</v>
      </c>
      <c r="D18" s="31" t="s">
        <v>45</v>
      </c>
      <c r="E18" s="32" t="s">
        <v>38</v>
      </c>
      <c r="F18" s="33">
        <v>110000</v>
      </c>
      <c r="G18" s="34">
        <v>1770.51</v>
      </c>
      <c r="H18" s="34">
        <v>3.69</v>
      </c>
      <c r="I18" s="35"/>
      <c r="J18" s="35"/>
      <c r="K18" s="36"/>
    </row>
    <row r="19" spans="2:11">
      <c r="B19" s="1" t="s">
        <v>46</v>
      </c>
      <c r="C19" s="21" t="s">
        <v>47</v>
      </c>
      <c r="D19" s="31" t="s">
        <v>48</v>
      </c>
      <c r="E19" s="32" t="s">
        <v>38</v>
      </c>
      <c r="F19" s="33">
        <v>320000</v>
      </c>
      <c r="G19" s="34">
        <v>1676</v>
      </c>
      <c r="H19" s="34">
        <v>3.5</v>
      </c>
      <c r="I19" s="35"/>
      <c r="J19" s="35"/>
      <c r="K19" s="36"/>
    </row>
    <row r="20" spans="2:11">
      <c r="B20" s="1" t="s">
        <v>49</v>
      </c>
      <c r="C20" s="21" t="s">
        <v>50</v>
      </c>
      <c r="D20" s="31" t="s">
        <v>51</v>
      </c>
      <c r="E20" s="32" t="s">
        <v>52</v>
      </c>
      <c r="F20" s="33">
        <v>76000</v>
      </c>
      <c r="G20" s="34">
        <v>1502.03</v>
      </c>
      <c r="H20" s="34">
        <v>3.13</v>
      </c>
      <c r="I20" s="35"/>
      <c r="J20" s="35"/>
      <c r="K20" s="36"/>
    </row>
    <row r="21" spans="2:11">
      <c r="B21" s="1" t="s">
        <v>53</v>
      </c>
      <c r="C21" s="21" t="s">
        <v>54</v>
      </c>
      <c r="D21" s="31" t="s">
        <v>55</v>
      </c>
      <c r="E21" s="32" t="s">
        <v>56</v>
      </c>
      <c r="F21" s="33">
        <v>70000</v>
      </c>
      <c r="G21" s="34">
        <v>1377.78</v>
      </c>
      <c r="H21" s="34">
        <v>2.87</v>
      </c>
      <c r="I21" s="35"/>
      <c r="J21" s="35"/>
      <c r="K21" s="36"/>
    </row>
    <row r="22" spans="2:11">
      <c r="B22" s="1" t="s">
        <v>57</v>
      </c>
      <c r="C22" s="21" t="s">
        <v>58</v>
      </c>
      <c r="D22" s="31" t="s">
        <v>59</v>
      </c>
      <c r="E22" s="32" t="s">
        <v>42</v>
      </c>
      <c r="F22" s="33">
        <v>50000</v>
      </c>
      <c r="G22" s="34">
        <v>1280.18</v>
      </c>
      <c r="H22" s="34">
        <v>2.67</v>
      </c>
      <c r="I22" s="35"/>
      <c r="J22" s="35"/>
      <c r="K22" s="36"/>
    </row>
    <row r="23" spans="2:11">
      <c r="B23" s="1" t="s">
        <v>60</v>
      </c>
      <c r="C23" s="21" t="s">
        <v>61</v>
      </c>
      <c r="D23" s="31" t="s">
        <v>62</v>
      </c>
      <c r="E23" s="32" t="s">
        <v>63</v>
      </c>
      <c r="F23" s="33">
        <v>90518</v>
      </c>
      <c r="G23" s="34">
        <v>1244.58</v>
      </c>
      <c r="H23" s="34">
        <v>2.6</v>
      </c>
      <c r="I23" s="35"/>
      <c r="J23" s="35"/>
      <c r="K23" s="36"/>
    </row>
    <row r="24" spans="2:11">
      <c r="B24" s="1" t="s">
        <v>64</v>
      </c>
      <c r="C24" s="21" t="s">
        <v>65</v>
      </c>
      <c r="D24" s="31" t="s">
        <v>66</v>
      </c>
      <c r="E24" s="32" t="s">
        <v>67</v>
      </c>
      <c r="F24" s="33">
        <v>3000000</v>
      </c>
      <c r="G24" s="34">
        <v>1206</v>
      </c>
      <c r="H24" s="34">
        <v>2.52</v>
      </c>
      <c r="I24" s="35"/>
      <c r="J24" s="35"/>
      <c r="K24" s="36"/>
    </row>
    <row r="25" spans="2:11">
      <c r="B25" s="1" t="s">
        <v>68</v>
      </c>
      <c r="C25" s="21" t="s">
        <v>69</v>
      </c>
      <c r="D25" s="31" t="s">
        <v>70</v>
      </c>
      <c r="E25" s="32" t="s">
        <v>71</v>
      </c>
      <c r="F25" s="33">
        <v>5000</v>
      </c>
      <c r="G25" s="34">
        <v>985.23</v>
      </c>
      <c r="H25" s="34">
        <v>2.06</v>
      </c>
      <c r="I25" s="35"/>
      <c r="J25" s="35"/>
      <c r="K25" s="36"/>
    </row>
    <row r="26" spans="2:11">
      <c r="B26" s="1" t="s">
        <v>72</v>
      </c>
      <c r="C26" s="21" t="s">
        <v>73</v>
      </c>
      <c r="D26" s="31" t="s">
        <v>74</v>
      </c>
      <c r="E26" s="32" t="s">
        <v>52</v>
      </c>
      <c r="F26" s="33">
        <v>100000</v>
      </c>
      <c r="G26" s="34">
        <v>983.1</v>
      </c>
      <c r="H26" s="34">
        <v>2.0499999999999998</v>
      </c>
      <c r="I26" s="35"/>
      <c r="J26" s="35"/>
      <c r="K26" s="36"/>
    </row>
    <row r="27" spans="2:11">
      <c r="B27" s="1" t="s">
        <v>75</v>
      </c>
      <c r="C27" s="21" t="s">
        <v>76</v>
      </c>
      <c r="D27" s="31" t="s">
        <v>77</v>
      </c>
      <c r="E27" s="32" t="s">
        <v>78</v>
      </c>
      <c r="F27" s="33">
        <v>1000000</v>
      </c>
      <c r="G27" s="34">
        <v>975.5</v>
      </c>
      <c r="H27" s="34">
        <v>2.04</v>
      </c>
      <c r="I27" s="35"/>
      <c r="J27" s="35"/>
      <c r="K27" s="36"/>
    </row>
    <row r="28" spans="2:11">
      <c r="B28" s="1" t="s">
        <v>79</v>
      </c>
      <c r="C28" s="21" t="s">
        <v>80</v>
      </c>
      <c r="D28" s="31" t="s">
        <v>81</v>
      </c>
      <c r="E28" s="32" t="s">
        <v>38</v>
      </c>
      <c r="F28" s="33">
        <v>50000</v>
      </c>
      <c r="G28" s="34">
        <v>866.43</v>
      </c>
      <c r="H28" s="34">
        <v>1.81</v>
      </c>
      <c r="I28" s="35"/>
      <c r="J28" s="35"/>
      <c r="K28" s="36"/>
    </row>
    <row r="29" spans="2:11">
      <c r="B29" s="1" t="s">
        <v>82</v>
      </c>
      <c r="C29" s="21" t="s">
        <v>83</v>
      </c>
      <c r="D29" s="31" t="s">
        <v>84</v>
      </c>
      <c r="E29" s="32" t="s">
        <v>85</v>
      </c>
      <c r="F29" s="33">
        <v>70000</v>
      </c>
      <c r="G29" s="34">
        <v>836.22</v>
      </c>
      <c r="H29" s="34">
        <v>1.74</v>
      </c>
      <c r="I29" s="35"/>
      <c r="J29" s="35"/>
      <c r="K29" s="36"/>
    </row>
    <row r="30" spans="2:11">
      <c r="B30" s="1" t="s">
        <v>86</v>
      </c>
      <c r="C30" s="21" t="s">
        <v>87</v>
      </c>
      <c r="D30" s="31" t="s">
        <v>88</v>
      </c>
      <c r="E30" s="32" t="s">
        <v>89</v>
      </c>
      <c r="F30" s="33">
        <v>68000</v>
      </c>
      <c r="G30" s="34">
        <v>787.92</v>
      </c>
      <c r="H30" s="34">
        <v>1.64</v>
      </c>
      <c r="I30" s="35"/>
      <c r="J30" s="35"/>
      <c r="K30" s="36"/>
    </row>
    <row r="31" spans="2:11">
      <c r="B31" s="1" t="s">
        <v>90</v>
      </c>
      <c r="C31" s="21" t="s">
        <v>91</v>
      </c>
      <c r="D31" s="31" t="s">
        <v>92</v>
      </c>
      <c r="E31" s="32" t="s">
        <v>93</v>
      </c>
      <c r="F31" s="33">
        <v>300000</v>
      </c>
      <c r="G31" s="34">
        <v>779.7</v>
      </c>
      <c r="H31" s="34">
        <v>1.63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97</v>
      </c>
      <c r="F32" s="33">
        <v>100000</v>
      </c>
      <c r="G32" s="34">
        <v>749</v>
      </c>
      <c r="H32" s="34">
        <v>1.56</v>
      </c>
      <c r="I32" s="35"/>
      <c r="J32" s="35"/>
      <c r="K32" s="36"/>
    </row>
    <row r="33" spans="2:11">
      <c r="B33" s="1" t="s">
        <v>98</v>
      </c>
      <c r="C33" s="21" t="s">
        <v>99</v>
      </c>
      <c r="D33" s="31" t="s">
        <v>100</v>
      </c>
      <c r="E33" s="32" t="s">
        <v>38</v>
      </c>
      <c r="F33" s="33">
        <v>250000</v>
      </c>
      <c r="G33" s="34">
        <v>711.13</v>
      </c>
      <c r="H33" s="34">
        <v>1.48</v>
      </c>
      <c r="I33" s="35"/>
      <c r="J33" s="35"/>
      <c r="K33" s="36"/>
    </row>
    <row r="34" spans="2:11">
      <c r="B34" s="1" t="s">
        <v>101</v>
      </c>
      <c r="C34" s="21" t="s">
        <v>102</v>
      </c>
      <c r="D34" s="31" t="s">
        <v>103</v>
      </c>
      <c r="E34" s="32" t="s">
        <v>89</v>
      </c>
      <c r="F34" s="33">
        <v>8500</v>
      </c>
      <c r="G34" s="34">
        <v>704.83</v>
      </c>
      <c r="H34" s="34">
        <v>1.47</v>
      </c>
      <c r="I34" s="35"/>
      <c r="J34" s="35"/>
      <c r="K34" s="36"/>
    </row>
    <row r="35" spans="2:11">
      <c r="B35" s="1" t="s">
        <v>104</v>
      </c>
      <c r="C35" s="21" t="s">
        <v>105</v>
      </c>
      <c r="D35" s="31" t="s">
        <v>106</v>
      </c>
      <c r="E35" s="32" t="s">
        <v>85</v>
      </c>
      <c r="F35" s="33">
        <v>50000</v>
      </c>
      <c r="G35" s="34">
        <v>693.5</v>
      </c>
      <c r="H35" s="34">
        <v>1.45</v>
      </c>
      <c r="I35" s="35"/>
      <c r="J35" s="35"/>
      <c r="K35" s="36"/>
    </row>
    <row r="36" spans="2:11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300000</v>
      </c>
      <c r="G36" s="34">
        <v>686.55</v>
      </c>
      <c r="H36" s="34">
        <v>1.43</v>
      </c>
      <c r="I36" s="35"/>
      <c r="J36" s="35"/>
      <c r="K36" s="36"/>
    </row>
    <row r="37" spans="2:11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60000</v>
      </c>
      <c r="G37" s="34">
        <v>580.89</v>
      </c>
      <c r="H37" s="34">
        <v>1.21</v>
      </c>
      <c r="I37" s="35"/>
      <c r="J37" s="35"/>
      <c r="K37" s="36"/>
    </row>
    <row r="38" spans="2:11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500000</v>
      </c>
      <c r="G38" s="34">
        <v>557.75</v>
      </c>
      <c r="H38" s="34">
        <v>1.1599999999999999</v>
      </c>
      <c r="I38" s="35"/>
      <c r="J38" s="35"/>
      <c r="K38" s="36"/>
    </row>
    <row r="39" spans="2:11">
      <c r="B39" s="1" t="s">
        <v>119</v>
      </c>
      <c r="C39" s="21" t="s">
        <v>120</v>
      </c>
      <c r="D39" s="31" t="s">
        <v>121</v>
      </c>
      <c r="E39" s="32" t="s">
        <v>19</v>
      </c>
      <c r="F39" s="33">
        <v>230000</v>
      </c>
      <c r="G39" s="34">
        <v>544.64</v>
      </c>
      <c r="H39" s="34">
        <v>1.1399999999999999</v>
      </c>
      <c r="I39" s="35"/>
      <c r="J39" s="35"/>
      <c r="K39" s="36"/>
    </row>
    <row r="40" spans="2:11">
      <c r="B40" s="1" t="s">
        <v>122</v>
      </c>
      <c r="C40" s="21" t="s">
        <v>123</v>
      </c>
      <c r="D40" s="31" t="s">
        <v>124</v>
      </c>
      <c r="E40" s="32" t="s">
        <v>52</v>
      </c>
      <c r="F40" s="33">
        <v>35000</v>
      </c>
      <c r="G40" s="34">
        <v>538</v>
      </c>
      <c r="H40" s="34">
        <v>1.1200000000000001</v>
      </c>
      <c r="I40" s="35"/>
      <c r="J40" s="35"/>
      <c r="K40" s="36"/>
    </row>
    <row r="41" spans="2:11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250000</v>
      </c>
      <c r="G41" s="34">
        <v>534.13</v>
      </c>
      <c r="H41" s="34">
        <v>1.1100000000000001</v>
      </c>
      <c r="I41" s="35"/>
      <c r="J41" s="35"/>
      <c r="K41" s="36"/>
    </row>
    <row r="42" spans="2:11">
      <c r="B42" s="1" t="s">
        <v>129</v>
      </c>
      <c r="C42" s="21" t="s">
        <v>130</v>
      </c>
      <c r="D42" s="31" t="s">
        <v>131</v>
      </c>
      <c r="E42" s="32" t="s">
        <v>56</v>
      </c>
      <c r="F42" s="33">
        <v>2000</v>
      </c>
      <c r="G42" s="34">
        <v>523.74</v>
      </c>
      <c r="H42" s="34">
        <v>1.0900000000000001</v>
      </c>
      <c r="I42" s="35"/>
      <c r="J42" s="35"/>
      <c r="K42" s="36"/>
    </row>
    <row r="43" spans="2:11">
      <c r="B43" s="1" t="s">
        <v>132</v>
      </c>
      <c r="C43" s="21" t="s">
        <v>133</v>
      </c>
      <c r="D43" s="31" t="s">
        <v>134</v>
      </c>
      <c r="E43" s="32" t="s">
        <v>135</v>
      </c>
      <c r="F43" s="33">
        <v>115000</v>
      </c>
      <c r="G43" s="34">
        <v>501.06</v>
      </c>
      <c r="H43" s="34">
        <v>1.05</v>
      </c>
      <c r="I43" s="35"/>
      <c r="J43" s="35"/>
      <c r="K43" s="36"/>
    </row>
    <row r="44" spans="2:11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15000</v>
      </c>
      <c r="G44" s="34">
        <v>499.07</v>
      </c>
      <c r="H44" s="34">
        <v>1.04</v>
      </c>
      <c r="I44" s="35"/>
      <c r="J44" s="35"/>
      <c r="K44" s="36"/>
    </row>
    <row r="45" spans="2:11">
      <c r="B45" s="1" t="s">
        <v>140</v>
      </c>
      <c r="C45" s="21" t="s">
        <v>141</v>
      </c>
      <c r="D45" s="31" t="s">
        <v>142</v>
      </c>
      <c r="E45" s="32" t="s">
        <v>56</v>
      </c>
      <c r="F45" s="33">
        <v>6500</v>
      </c>
      <c r="G45" s="34">
        <v>495.44</v>
      </c>
      <c r="H45" s="34">
        <v>1.03</v>
      </c>
      <c r="I45" s="35"/>
      <c r="J45" s="35"/>
      <c r="K45" s="36"/>
    </row>
    <row r="46" spans="2:11">
      <c r="B46" s="1" t="s">
        <v>143</v>
      </c>
      <c r="C46" s="21" t="s">
        <v>144</v>
      </c>
      <c r="D46" s="31" t="s">
        <v>145</v>
      </c>
      <c r="E46" s="32" t="s">
        <v>38</v>
      </c>
      <c r="F46" s="33">
        <v>350000</v>
      </c>
      <c r="G46" s="34">
        <v>493.85</v>
      </c>
      <c r="H46" s="34">
        <v>1.03</v>
      </c>
      <c r="I46" s="35"/>
      <c r="J46" s="35"/>
      <c r="K46" s="36"/>
    </row>
    <row r="47" spans="2:11">
      <c r="B47" s="1" t="s">
        <v>146</v>
      </c>
      <c r="C47" s="21" t="s">
        <v>147</v>
      </c>
      <c r="D47" s="31" t="s">
        <v>148</v>
      </c>
      <c r="E47" s="32" t="s">
        <v>52</v>
      </c>
      <c r="F47" s="33">
        <v>100000</v>
      </c>
      <c r="G47" s="34">
        <v>491.55</v>
      </c>
      <c r="H47" s="34">
        <v>1.03</v>
      </c>
      <c r="I47" s="35"/>
      <c r="J47" s="35"/>
      <c r="K47" s="36"/>
    </row>
    <row r="48" spans="2:11">
      <c r="B48" s="1" t="s">
        <v>149</v>
      </c>
      <c r="C48" s="21" t="s">
        <v>150</v>
      </c>
      <c r="D48" s="31" t="s">
        <v>151</v>
      </c>
      <c r="E48" s="32" t="s">
        <v>89</v>
      </c>
      <c r="F48" s="33">
        <v>235000</v>
      </c>
      <c r="G48" s="34">
        <v>490.56</v>
      </c>
      <c r="H48" s="34">
        <v>1.02</v>
      </c>
      <c r="I48" s="35"/>
      <c r="J48" s="35"/>
      <c r="K48" s="36"/>
    </row>
    <row r="49" spans="2:11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120000</v>
      </c>
      <c r="G49" s="34">
        <v>486.42</v>
      </c>
      <c r="H49" s="34">
        <v>1.01</v>
      </c>
      <c r="I49" s="35"/>
      <c r="J49" s="35"/>
      <c r="K49" s="36"/>
    </row>
    <row r="50" spans="2:11">
      <c r="B50" s="1" t="s">
        <v>156</v>
      </c>
      <c r="C50" s="21" t="s">
        <v>157</v>
      </c>
      <c r="D50" s="31" t="s">
        <v>158</v>
      </c>
      <c r="E50" s="32" t="s">
        <v>63</v>
      </c>
      <c r="F50" s="33">
        <v>17575</v>
      </c>
      <c r="G50" s="34">
        <v>380.02</v>
      </c>
      <c r="H50" s="34">
        <v>0.79</v>
      </c>
      <c r="I50" s="35"/>
      <c r="J50" s="35"/>
      <c r="K50" s="36"/>
    </row>
    <row r="51" spans="2:11">
      <c r="C51" s="30" t="s">
        <v>159</v>
      </c>
      <c r="D51" s="31"/>
      <c r="E51" s="32"/>
      <c r="F51" s="33"/>
      <c r="G51" s="38">
        <v>45031.4</v>
      </c>
      <c r="H51" s="38">
        <v>93.92</v>
      </c>
      <c r="I51" s="35"/>
      <c r="J51" s="35"/>
      <c r="K51" s="36"/>
    </row>
    <row r="52" spans="2:11">
      <c r="C52" s="21"/>
      <c r="D52" s="31"/>
      <c r="E52" s="32"/>
      <c r="F52" s="33"/>
      <c r="G52" s="34"/>
      <c r="H52" s="34"/>
      <c r="I52" s="35"/>
      <c r="J52" s="35"/>
      <c r="K52" s="36"/>
    </row>
    <row r="53" spans="2:11">
      <c r="C53" s="30" t="s">
        <v>160</v>
      </c>
      <c r="D53" s="31"/>
      <c r="E53" s="32"/>
      <c r="F53" s="33"/>
      <c r="G53" s="34" t="s">
        <v>161</v>
      </c>
      <c r="H53" s="34" t="s">
        <v>161</v>
      </c>
      <c r="I53" s="35"/>
      <c r="J53" s="35"/>
      <c r="K53" s="36"/>
    </row>
    <row r="54" spans="2:11">
      <c r="C54" s="21"/>
      <c r="D54" s="31"/>
      <c r="E54" s="32"/>
      <c r="F54" s="33"/>
      <c r="G54" s="34"/>
      <c r="H54" s="34"/>
      <c r="I54" s="35"/>
      <c r="J54" s="35"/>
      <c r="K54" s="36"/>
    </row>
    <row r="55" spans="2:11">
      <c r="C55" s="30" t="s">
        <v>162</v>
      </c>
      <c r="D55" s="31"/>
      <c r="E55" s="32"/>
      <c r="F55" s="33"/>
      <c r="G55" s="34" t="s">
        <v>161</v>
      </c>
      <c r="H55" s="34" t="s">
        <v>161</v>
      </c>
      <c r="I55" s="35"/>
      <c r="J55" s="35"/>
      <c r="K55" s="36"/>
    </row>
    <row r="56" spans="2:11">
      <c r="C56" s="21"/>
      <c r="D56" s="31"/>
      <c r="E56" s="32"/>
      <c r="F56" s="33"/>
      <c r="G56" s="34"/>
      <c r="H56" s="34"/>
      <c r="I56" s="35"/>
      <c r="J56" s="35"/>
      <c r="K56" s="36"/>
    </row>
    <row r="57" spans="2:11">
      <c r="C57" s="30" t="s">
        <v>163</v>
      </c>
      <c r="D57" s="31"/>
      <c r="E57" s="32"/>
      <c r="F57" s="33"/>
      <c r="G57" s="34"/>
      <c r="H57" s="34"/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164</v>
      </c>
      <c r="D59" s="31"/>
      <c r="E59" s="32"/>
      <c r="F59" s="33"/>
      <c r="G59" s="34" t="s">
        <v>161</v>
      </c>
      <c r="H59" s="34" t="s">
        <v>161</v>
      </c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0" t="s">
        <v>165</v>
      </c>
      <c r="D61" s="31"/>
      <c r="E61" s="32"/>
      <c r="F61" s="33"/>
      <c r="G61" s="34" t="s">
        <v>161</v>
      </c>
      <c r="H61" s="34" t="s">
        <v>161</v>
      </c>
      <c r="I61" s="35"/>
      <c r="J61" s="35"/>
      <c r="K61" s="36"/>
    </row>
    <row r="62" spans="2:11">
      <c r="C62" s="21"/>
      <c r="D62" s="31"/>
      <c r="E62" s="32"/>
      <c r="F62" s="33"/>
      <c r="G62" s="34"/>
      <c r="H62" s="34"/>
      <c r="I62" s="35"/>
      <c r="J62" s="35"/>
      <c r="K62" s="36"/>
    </row>
    <row r="63" spans="2:11">
      <c r="C63" s="30" t="s">
        <v>166</v>
      </c>
      <c r="D63" s="31"/>
      <c r="E63" s="32"/>
      <c r="F63" s="33"/>
      <c r="G63" s="34" t="s">
        <v>161</v>
      </c>
      <c r="H63" s="34" t="s">
        <v>161</v>
      </c>
      <c r="I63" s="35"/>
      <c r="J63" s="35"/>
      <c r="K63" s="36"/>
    </row>
    <row r="64" spans="2:11">
      <c r="C64" s="21"/>
      <c r="D64" s="31"/>
      <c r="E64" s="32"/>
      <c r="F64" s="33"/>
      <c r="G64" s="34"/>
      <c r="H64" s="34"/>
      <c r="I64" s="35"/>
      <c r="J64" s="35"/>
      <c r="K64" s="36"/>
    </row>
    <row r="65" spans="1:11">
      <c r="C65" s="30" t="s">
        <v>167</v>
      </c>
      <c r="D65" s="31"/>
      <c r="E65" s="32"/>
      <c r="F65" s="33"/>
      <c r="G65" s="34" t="s">
        <v>161</v>
      </c>
      <c r="H65" s="34" t="s">
        <v>161</v>
      </c>
      <c r="I65" s="35"/>
      <c r="J65" s="35"/>
      <c r="K65" s="36"/>
    </row>
    <row r="66" spans="1:11">
      <c r="C66" s="21"/>
      <c r="D66" s="31"/>
      <c r="E66" s="32"/>
      <c r="F66" s="33"/>
      <c r="G66" s="34"/>
      <c r="H66" s="34"/>
      <c r="I66" s="35"/>
      <c r="J66" s="35"/>
      <c r="K66" s="36"/>
    </row>
    <row r="67" spans="1:11">
      <c r="C67" s="30" t="s">
        <v>168</v>
      </c>
      <c r="D67" s="31"/>
      <c r="E67" s="32"/>
      <c r="F67" s="33"/>
      <c r="G67" s="34" t="s">
        <v>161</v>
      </c>
      <c r="H67" s="34" t="s">
        <v>161</v>
      </c>
      <c r="I67" s="35"/>
      <c r="J67" s="35"/>
      <c r="K67" s="36"/>
    </row>
    <row r="68" spans="1:11">
      <c r="C68" s="21"/>
      <c r="D68" s="31"/>
      <c r="E68" s="32"/>
      <c r="F68" s="33"/>
      <c r="G68" s="34"/>
      <c r="H68" s="34"/>
      <c r="I68" s="35"/>
      <c r="J68" s="35"/>
      <c r="K68" s="36"/>
    </row>
    <row r="69" spans="1:11">
      <c r="A69" s="28"/>
      <c r="B69" s="29"/>
      <c r="C69" s="30" t="s">
        <v>169</v>
      </c>
      <c r="D69" s="31"/>
      <c r="E69" s="32"/>
      <c r="F69" s="33"/>
      <c r="G69" s="34"/>
      <c r="H69" s="34"/>
      <c r="I69" s="35"/>
      <c r="J69" s="35"/>
      <c r="K69" s="36"/>
    </row>
    <row r="70" spans="1:11">
      <c r="A70" s="29"/>
      <c r="B70" s="29"/>
      <c r="C70" s="30" t="s">
        <v>170</v>
      </c>
      <c r="D70" s="31"/>
      <c r="E70" s="32"/>
      <c r="F70" s="33"/>
      <c r="G70" s="34" t="s">
        <v>161</v>
      </c>
      <c r="H70" s="34" t="s">
        <v>161</v>
      </c>
      <c r="I70" s="35"/>
      <c r="J70" s="35"/>
      <c r="K70" s="36"/>
    </row>
    <row r="71" spans="1:11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>
      <c r="A72" s="29"/>
      <c r="B72" s="29"/>
      <c r="C72" s="30" t="s">
        <v>171</v>
      </c>
      <c r="D72" s="31"/>
      <c r="E72" s="32"/>
      <c r="F72" s="33"/>
      <c r="G72" s="34" t="s">
        <v>161</v>
      </c>
      <c r="H72" s="34" t="s">
        <v>161</v>
      </c>
      <c r="I72" s="35"/>
      <c r="J72" s="35"/>
      <c r="K72" s="36"/>
    </row>
    <row r="73" spans="1:11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>
      <c r="C74" s="37" t="s">
        <v>172</v>
      </c>
      <c r="D74" s="31"/>
      <c r="E74" s="32"/>
      <c r="F74" s="33"/>
      <c r="G74" s="34"/>
      <c r="H74" s="34"/>
      <c r="I74" s="35"/>
      <c r="J74" s="35"/>
      <c r="K74" s="36"/>
    </row>
    <row r="75" spans="1:11">
      <c r="B75" s="1" t="s">
        <v>173</v>
      </c>
      <c r="C75" s="21" t="s">
        <v>174</v>
      </c>
      <c r="D75" s="31" t="s">
        <v>175</v>
      </c>
      <c r="E75" s="32" t="s">
        <v>176</v>
      </c>
      <c r="F75" s="33">
        <v>400000</v>
      </c>
      <c r="G75" s="34">
        <v>380.32</v>
      </c>
      <c r="H75" s="34">
        <v>0.79</v>
      </c>
      <c r="I75" s="35">
        <v>7.1550000000000002</v>
      </c>
      <c r="J75" s="35"/>
      <c r="K75" s="36"/>
    </row>
    <row r="76" spans="1:11">
      <c r="C76" s="30" t="s">
        <v>159</v>
      </c>
      <c r="D76" s="31"/>
      <c r="E76" s="32"/>
      <c r="F76" s="33"/>
      <c r="G76" s="38">
        <v>380.32</v>
      </c>
      <c r="H76" s="38">
        <v>0.79</v>
      </c>
      <c r="I76" s="35"/>
      <c r="J76" s="35"/>
      <c r="K76" s="36"/>
    </row>
    <row r="77" spans="1:11">
      <c r="C77" s="21"/>
      <c r="D77" s="31"/>
      <c r="E77" s="32"/>
      <c r="F77" s="33"/>
      <c r="G77" s="34"/>
      <c r="H77" s="34"/>
      <c r="I77" s="35"/>
      <c r="J77" s="35"/>
      <c r="K77" s="36"/>
    </row>
    <row r="78" spans="1:11">
      <c r="C78" s="30" t="s">
        <v>177</v>
      </c>
      <c r="D78" s="31"/>
      <c r="E78" s="32"/>
      <c r="F78" s="33"/>
      <c r="G78" s="34" t="s">
        <v>161</v>
      </c>
      <c r="H78" s="34" t="s">
        <v>161</v>
      </c>
      <c r="I78" s="35"/>
      <c r="J78" s="35"/>
      <c r="K78" s="36"/>
    </row>
    <row r="79" spans="1:11">
      <c r="C79" s="21"/>
      <c r="D79" s="31"/>
      <c r="E79" s="32"/>
      <c r="F79" s="33"/>
      <c r="G79" s="34"/>
      <c r="H79" s="34"/>
      <c r="I79" s="35"/>
      <c r="J79" s="35"/>
      <c r="K79" s="36"/>
    </row>
    <row r="80" spans="1:11">
      <c r="A80" s="28"/>
      <c r="B80" s="29"/>
      <c r="C80" s="30" t="s">
        <v>178</v>
      </c>
      <c r="D80" s="31"/>
      <c r="E80" s="32"/>
      <c r="F80" s="33"/>
      <c r="G80" s="34"/>
      <c r="H80" s="34"/>
      <c r="I80" s="35"/>
      <c r="J80" s="35"/>
      <c r="K80" s="36"/>
    </row>
    <row r="81" spans="1:11">
      <c r="A81" s="29"/>
      <c r="B81" s="29"/>
      <c r="C81" s="30" t="s">
        <v>179</v>
      </c>
      <c r="D81" s="31"/>
      <c r="E81" s="32"/>
      <c r="F81" s="33"/>
      <c r="G81" s="34" t="s">
        <v>161</v>
      </c>
      <c r="H81" s="34" t="s">
        <v>161</v>
      </c>
      <c r="I81" s="35"/>
      <c r="J81" s="35"/>
      <c r="K81" s="36"/>
    </row>
    <row r="82" spans="1:11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>
      <c r="A83" s="29"/>
      <c r="B83" s="29"/>
      <c r="C83" s="30" t="s">
        <v>180</v>
      </c>
      <c r="D83" s="31"/>
      <c r="E83" s="32"/>
      <c r="F83" s="33"/>
      <c r="G83" s="34" t="s">
        <v>161</v>
      </c>
      <c r="H83" s="34" t="s">
        <v>161</v>
      </c>
      <c r="I83" s="35"/>
      <c r="J83" s="35"/>
      <c r="K83" s="36"/>
    </row>
    <row r="84" spans="1:11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>
      <c r="A85" s="29"/>
      <c r="B85" s="29"/>
      <c r="C85" s="30" t="s">
        <v>181</v>
      </c>
      <c r="D85" s="31"/>
      <c r="E85" s="32"/>
      <c r="F85" s="33"/>
      <c r="G85" s="34" t="s">
        <v>161</v>
      </c>
      <c r="H85" s="34" t="s">
        <v>161</v>
      </c>
      <c r="I85" s="35"/>
      <c r="J85" s="35"/>
      <c r="K85" s="36"/>
    </row>
    <row r="86" spans="1:11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>
      <c r="A87" s="29"/>
      <c r="B87" s="29"/>
      <c r="C87" s="30" t="s">
        <v>182</v>
      </c>
      <c r="D87" s="31"/>
      <c r="E87" s="32"/>
      <c r="F87" s="33"/>
      <c r="G87" s="34" t="s">
        <v>161</v>
      </c>
      <c r="H87" s="34" t="s">
        <v>161</v>
      </c>
      <c r="I87" s="35"/>
      <c r="J87" s="35"/>
      <c r="K87" s="36"/>
    </row>
    <row r="88" spans="1:11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>
      <c r="C89" s="37" t="s">
        <v>183</v>
      </c>
      <c r="D89" s="31"/>
      <c r="E89" s="32"/>
      <c r="F89" s="33"/>
      <c r="G89" s="34"/>
      <c r="H89" s="34"/>
      <c r="I89" s="35"/>
      <c r="J89" s="35"/>
      <c r="K89" s="36"/>
    </row>
    <row r="90" spans="1:11">
      <c r="B90" s="1" t="s">
        <v>184</v>
      </c>
      <c r="C90" s="21" t="s">
        <v>185</v>
      </c>
      <c r="D90" s="31"/>
      <c r="E90" s="32"/>
      <c r="F90" s="33"/>
      <c r="G90" s="34">
        <v>2575.0700000000002</v>
      </c>
      <c r="H90" s="34">
        <v>5.37</v>
      </c>
      <c r="I90" s="35">
        <v>7.14</v>
      </c>
      <c r="J90" s="35"/>
      <c r="K90" s="36"/>
    </row>
    <row r="91" spans="1:11">
      <c r="C91" s="30" t="s">
        <v>159</v>
      </c>
      <c r="D91" s="31"/>
      <c r="E91" s="32"/>
      <c r="F91" s="33"/>
      <c r="G91" s="38">
        <v>2575.0700000000002</v>
      </c>
      <c r="H91" s="38">
        <v>5.37</v>
      </c>
      <c r="I91" s="35"/>
      <c r="J91" s="35"/>
      <c r="K91" s="36"/>
    </row>
    <row r="92" spans="1:11">
      <c r="C92" s="21"/>
      <c r="D92" s="31"/>
      <c r="E92" s="32"/>
      <c r="F92" s="33"/>
      <c r="G92" s="34"/>
      <c r="H92" s="34"/>
      <c r="I92" s="35"/>
      <c r="J92" s="35"/>
      <c r="K92" s="36"/>
    </row>
    <row r="93" spans="1:11">
      <c r="A93" s="28"/>
      <c r="B93" s="29"/>
      <c r="C93" s="30" t="s">
        <v>186</v>
      </c>
      <c r="D93" s="31"/>
      <c r="E93" s="32"/>
      <c r="F93" s="33"/>
      <c r="G93" s="34"/>
      <c r="H93" s="34"/>
      <c r="I93" s="35"/>
      <c r="J93" s="35"/>
      <c r="K93" s="36"/>
    </row>
    <row r="94" spans="1:11">
      <c r="B94" s="1"/>
      <c r="C94" s="21" t="s">
        <v>187</v>
      </c>
      <c r="D94" s="31"/>
      <c r="E94" s="32"/>
      <c r="F94" s="33"/>
      <c r="G94" s="34">
        <v>-53.65</v>
      </c>
      <c r="H94" s="34">
        <v>-0.08</v>
      </c>
      <c r="I94" s="35"/>
      <c r="J94" s="35"/>
      <c r="K94" s="36"/>
    </row>
    <row r="95" spans="1:11">
      <c r="C95" s="30" t="s">
        <v>159</v>
      </c>
      <c r="D95" s="31"/>
      <c r="E95" s="32"/>
      <c r="F95" s="33"/>
      <c r="G95" s="38">
        <v>-53.65</v>
      </c>
      <c r="H95" s="38">
        <v>-0.08</v>
      </c>
      <c r="I95" s="35"/>
      <c r="J95" s="35"/>
      <c r="K95" s="36"/>
    </row>
    <row r="96" spans="1:11">
      <c r="C96" s="21"/>
      <c r="D96" s="31"/>
      <c r="E96" s="32"/>
      <c r="F96" s="33"/>
      <c r="G96" s="34"/>
      <c r="H96" s="34"/>
      <c r="I96" s="35"/>
      <c r="J96" s="35"/>
      <c r="K96" s="36"/>
    </row>
    <row r="97" spans="3:11" ht="14.4" thickBot="1">
      <c r="C97" s="39" t="s">
        <v>188</v>
      </c>
      <c r="D97" s="40"/>
      <c r="E97" s="41"/>
      <c r="F97" s="42"/>
      <c r="G97" s="43">
        <v>47933.14</v>
      </c>
      <c r="H97" s="43">
        <f>SUMIFS(H:H,C:C,"Total")</f>
        <v>100.00000000000001</v>
      </c>
      <c r="I97" s="44"/>
      <c r="J97" s="44"/>
      <c r="K97" s="45"/>
    </row>
    <row r="100" spans="3:11">
      <c r="C100" s="46" t="s">
        <v>189</v>
      </c>
      <c r="D100" s="47"/>
      <c r="E100" s="47"/>
      <c r="F100" s="47"/>
      <c r="G100" s="48"/>
      <c r="H100" s="48"/>
    </row>
    <row r="101" spans="3:11">
      <c r="C101" s="49" t="s">
        <v>190</v>
      </c>
      <c r="D101" s="47"/>
      <c r="E101" s="47"/>
      <c r="F101" s="47"/>
      <c r="G101" s="48"/>
      <c r="H101" s="48"/>
    </row>
    <row r="102" spans="3:11">
      <c r="C102" s="50" t="s">
        <v>191</v>
      </c>
      <c r="D102" s="51" t="s">
        <v>192</v>
      </c>
      <c r="E102" s="52" t="s">
        <v>193</v>
      </c>
      <c r="F102" s="53" t="s">
        <v>194</v>
      </c>
      <c r="G102" s="53" t="s">
        <v>195</v>
      </c>
      <c r="H102" s="53" t="s">
        <v>196</v>
      </c>
    </row>
    <row r="103" spans="3:11">
      <c r="C103" s="79" t="s">
        <v>197</v>
      </c>
      <c r="D103" s="80"/>
      <c r="E103" s="80"/>
      <c r="F103" s="80"/>
      <c r="G103" s="80"/>
      <c r="H103" s="81"/>
    </row>
    <row r="104" spans="3:11">
      <c r="C104" s="54"/>
      <c r="D104" s="54"/>
      <c r="E104" s="54"/>
      <c r="F104" s="54"/>
      <c r="G104" s="54"/>
      <c r="H104" s="54"/>
    </row>
    <row r="105" spans="3:11">
      <c r="C105" s="55"/>
      <c r="D105" s="54"/>
      <c r="E105" s="54"/>
      <c r="F105" s="54"/>
      <c r="G105" s="54"/>
      <c r="H105" s="54"/>
    </row>
    <row r="106" spans="3:11">
      <c r="C106" s="46" t="s">
        <v>245</v>
      </c>
      <c r="D106" s="54"/>
      <c r="E106" s="54"/>
      <c r="F106" s="54"/>
      <c r="G106" s="54"/>
      <c r="H106" s="54"/>
    </row>
    <row r="107" spans="3:11">
      <c r="C107" s="55" t="s">
        <v>199</v>
      </c>
      <c r="D107" s="54"/>
      <c r="E107" s="54"/>
      <c r="F107" s="54"/>
      <c r="G107" s="54"/>
      <c r="H107" s="54"/>
    </row>
    <row r="108" spans="3:11">
      <c r="C108" s="55" t="s">
        <v>200</v>
      </c>
      <c r="D108" s="54"/>
      <c r="E108" s="54"/>
      <c r="F108" s="54"/>
      <c r="G108" s="54"/>
      <c r="H108" s="54"/>
    </row>
    <row r="109" spans="3:11">
      <c r="C109" s="55" t="s">
        <v>201</v>
      </c>
      <c r="D109" s="56"/>
      <c r="E109" s="54"/>
      <c r="F109" s="54"/>
      <c r="G109" s="54"/>
      <c r="H109" s="54"/>
    </row>
    <row r="110" spans="3:11">
      <c r="C110" s="55" t="s">
        <v>202</v>
      </c>
      <c r="D110" s="56"/>
      <c r="E110" s="57"/>
      <c r="F110" s="54"/>
      <c r="G110" s="54"/>
      <c r="H110" s="54"/>
    </row>
    <row r="111" spans="3:11">
      <c r="C111" s="58" t="s">
        <v>203</v>
      </c>
      <c r="D111" s="56"/>
      <c r="E111" s="59"/>
      <c r="F111" s="59"/>
      <c r="G111" s="54"/>
      <c r="H111" s="59"/>
    </row>
    <row r="112" spans="3:11">
      <c r="C112" s="54"/>
      <c r="D112" s="54"/>
      <c r="E112" s="54"/>
      <c r="F112" s="54"/>
      <c r="G112" s="54"/>
      <c r="H112" s="54"/>
    </row>
    <row r="113" spans="3:8">
      <c r="C113" s="49"/>
      <c r="D113" s="47"/>
      <c r="E113" s="47"/>
      <c r="F113" s="60"/>
      <c r="G113" s="48"/>
      <c r="H113" s="48"/>
    </row>
    <row r="114" spans="3:8">
      <c r="C114" s="46" t="s">
        <v>204</v>
      </c>
      <c r="D114" s="55"/>
      <c r="E114" s="55"/>
      <c r="F114" s="55"/>
      <c r="G114" s="55"/>
      <c r="H114" s="61"/>
    </row>
    <row r="115" spans="3:8">
      <c r="C115" s="51" t="s">
        <v>191</v>
      </c>
      <c r="D115" s="62" t="s">
        <v>192</v>
      </c>
      <c r="E115" s="63" t="s">
        <v>193</v>
      </c>
      <c r="F115" s="64" t="s">
        <v>194</v>
      </c>
      <c r="G115" s="64" t="s">
        <v>195</v>
      </c>
      <c r="H115" s="64" t="s">
        <v>196</v>
      </c>
    </row>
    <row r="116" spans="3:8">
      <c r="C116" s="79" t="s">
        <v>197</v>
      </c>
      <c r="D116" s="80"/>
      <c r="E116" s="80"/>
      <c r="F116" s="80"/>
      <c r="G116" s="80"/>
      <c r="H116" s="81"/>
    </row>
    <row r="117" spans="3:8">
      <c r="C117" s="54"/>
      <c r="D117" s="54"/>
      <c r="E117" s="54"/>
      <c r="F117" s="54"/>
      <c r="G117" s="54"/>
      <c r="H117" s="54"/>
    </row>
    <row r="118" spans="3:8">
      <c r="C118" s="55" t="s">
        <v>205</v>
      </c>
      <c r="D118" s="54"/>
      <c r="E118" s="54"/>
      <c r="F118" s="54"/>
      <c r="G118" s="54"/>
      <c r="H118" s="54"/>
    </row>
    <row r="119" spans="3:8">
      <c r="C119" s="54"/>
      <c r="D119" s="54"/>
      <c r="E119" s="54"/>
      <c r="F119" s="54"/>
      <c r="G119" s="54"/>
      <c r="H119" s="54"/>
    </row>
    <row r="120" spans="3:8">
      <c r="C120" s="46" t="s">
        <v>246</v>
      </c>
      <c r="D120" s="54"/>
      <c r="E120" s="54"/>
      <c r="F120" s="54"/>
      <c r="G120" s="54"/>
      <c r="H120" s="54"/>
    </row>
    <row r="121" spans="3:8">
      <c r="C121" s="55" t="s">
        <v>207</v>
      </c>
      <c r="D121" s="54"/>
      <c r="E121" s="54"/>
      <c r="F121" s="54"/>
      <c r="G121" s="54"/>
      <c r="H121" s="54"/>
    </row>
    <row r="122" spans="3:8">
      <c r="C122" s="55" t="s">
        <v>208</v>
      </c>
      <c r="D122" s="54"/>
      <c r="E122" s="54"/>
      <c r="F122" s="54"/>
      <c r="G122" s="54"/>
      <c r="H122" s="54"/>
    </row>
    <row r="123" spans="3:8">
      <c r="C123" s="55" t="s">
        <v>209</v>
      </c>
      <c r="D123" s="57"/>
      <c r="E123" s="54"/>
      <c r="F123" s="54"/>
      <c r="G123" s="54"/>
      <c r="H123" s="54"/>
    </row>
    <row r="124" spans="3:8">
      <c r="C124" s="55" t="s">
        <v>210</v>
      </c>
      <c r="D124" s="57"/>
      <c r="E124" s="54"/>
      <c r="F124" s="54"/>
      <c r="G124" s="54"/>
      <c r="H124" s="54"/>
    </row>
    <row r="125" spans="3:8">
      <c r="C125" s="58" t="s">
        <v>211</v>
      </c>
      <c r="D125" s="57"/>
      <c r="E125" s="59"/>
      <c r="F125" s="59"/>
      <c r="G125" s="54"/>
      <c r="H125" s="54"/>
    </row>
    <row r="126" spans="3:8">
      <c r="C126" s="54"/>
      <c r="D126" s="54"/>
      <c r="E126" s="54"/>
      <c r="F126" s="54"/>
      <c r="G126" s="54"/>
      <c r="H126" s="54"/>
    </row>
    <row r="127" spans="3:8">
      <c r="C127" s="47"/>
      <c r="D127" s="47"/>
      <c r="E127" s="65"/>
      <c r="F127" s="47"/>
      <c r="G127" s="48"/>
      <c r="H127" s="48"/>
    </row>
    <row r="128" spans="3:8">
      <c r="C128" s="66" t="s">
        <v>212</v>
      </c>
      <c r="D128" s="47"/>
      <c r="E128" s="65"/>
      <c r="F128" s="47"/>
      <c r="G128" s="48"/>
      <c r="H128" s="48"/>
    </row>
    <row r="130" spans="3:55">
      <c r="C130" s="11" t="s">
        <v>213</v>
      </c>
    </row>
    <row r="131" spans="3:55">
      <c r="C131" s="2" t="s">
        <v>214</v>
      </c>
    </row>
    <row r="132" spans="3:55">
      <c r="C132" s="67" t="s">
        <v>215</v>
      </c>
    </row>
    <row r="133" spans="3:55">
      <c r="C133" s="2" t="s">
        <v>216</v>
      </c>
    </row>
    <row r="134" spans="3:55">
      <c r="C134" s="2" t="s">
        <v>217</v>
      </c>
    </row>
    <row r="135" spans="3:55">
      <c r="C135" s="2" t="s">
        <v>218</v>
      </c>
      <c r="D135" s="68"/>
      <c r="E135" s="68"/>
      <c r="F135" s="68"/>
      <c r="G135" s="69"/>
      <c r="H135" s="69"/>
    </row>
    <row r="136" spans="3:55">
      <c r="C136" s="2" t="s">
        <v>219</v>
      </c>
    </row>
    <row r="137" spans="3:55">
      <c r="C137" s="2" t="s">
        <v>220</v>
      </c>
    </row>
    <row r="138" spans="3:55">
      <c r="C138" s="2" t="s">
        <v>221</v>
      </c>
    </row>
    <row r="139" spans="3:55">
      <c r="C139" s="2" t="s">
        <v>222</v>
      </c>
    </row>
    <row r="140" spans="3:55" s="11" customFormat="1">
      <c r="C140" s="11" t="s">
        <v>223</v>
      </c>
      <c r="E140" s="11" t="s">
        <v>247</v>
      </c>
      <c r="F140" s="78" t="s">
        <v>225</v>
      </c>
      <c r="G140" s="72"/>
      <c r="H140" s="72"/>
      <c r="I140" s="72"/>
      <c r="J140" s="72"/>
      <c r="K140" s="73"/>
      <c r="L140" s="73"/>
      <c r="M140" s="73"/>
      <c r="AJ140" s="73"/>
      <c r="AW140" s="73"/>
      <c r="AY140" s="73"/>
      <c r="BC140" s="73"/>
    </row>
    <row r="141" spans="3:55">
      <c r="C141" s="2" t="s">
        <v>226</v>
      </c>
      <c r="E141" s="74">
        <v>9.6362000000000005</v>
      </c>
      <c r="F141" s="75">
        <v>9.8271999999999995</v>
      </c>
      <c r="M141" s="10"/>
      <c r="AI141" s="2"/>
      <c r="AJ141" s="10"/>
      <c r="AV141" s="2"/>
      <c r="AW141" s="10"/>
      <c r="AX141" s="2"/>
      <c r="AY141" s="10"/>
      <c r="BB141" s="2"/>
      <c r="BC141" s="10"/>
    </row>
    <row r="142" spans="3:55">
      <c r="C142" s="2" t="s">
        <v>227</v>
      </c>
      <c r="E142" s="74">
        <v>9.6362000000000005</v>
      </c>
      <c r="F142" s="75">
        <v>9.8271999999999995</v>
      </c>
      <c r="M142" s="10"/>
      <c r="AI142" s="2"/>
      <c r="AJ142" s="10"/>
      <c r="AV142" s="2"/>
      <c r="AW142" s="10"/>
      <c r="AX142" s="2"/>
      <c r="AY142" s="10"/>
      <c r="BB142" s="2"/>
      <c r="BC142" s="10"/>
    </row>
    <row r="143" spans="3:55">
      <c r="C143" s="2" t="s">
        <v>228</v>
      </c>
      <c r="E143" s="74">
        <v>9.8231000000000002</v>
      </c>
      <c r="F143" s="75">
        <v>10.073600000000001</v>
      </c>
      <c r="M143" s="10"/>
      <c r="AI143" s="2"/>
      <c r="AJ143" s="10"/>
      <c r="AV143" s="2"/>
      <c r="AW143" s="10"/>
      <c r="AX143" s="2"/>
      <c r="AY143" s="10"/>
      <c r="BB143" s="2"/>
      <c r="BC143" s="10"/>
    </row>
    <row r="144" spans="3:55">
      <c r="C144" s="2" t="s">
        <v>229</v>
      </c>
      <c r="E144" s="74">
        <v>9.8231000000000002</v>
      </c>
      <c r="F144" s="75">
        <v>10.073600000000001</v>
      </c>
      <c r="M144" s="10"/>
      <c r="AI144" s="2"/>
      <c r="AJ144" s="10"/>
      <c r="AV144" s="2"/>
      <c r="AW144" s="10"/>
      <c r="AX144" s="2"/>
      <c r="AY144" s="10"/>
      <c r="BB144" s="2"/>
      <c r="BC144" s="10"/>
    </row>
    <row r="145" spans="3:55">
      <c r="M145" s="10"/>
      <c r="AI145" s="2"/>
      <c r="AJ145" s="10"/>
      <c r="AV145" s="2"/>
      <c r="AW145" s="10"/>
      <c r="AX145" s="2"/>
      <c r="AY145" s="10"/>
      <c r="BB145" s="2"/>
      <c r="BC145" s="10"/>
    </row>
    <row r="146" spans="3:55">
      <c r="C146" s="2" t="s">
        <v>248</v>
      </c>
      <c r="M146" s="10"/>
      <c r="AI146" s="2"/>
      <c r="AJ146" s="10"/>
      <c r="AV146" s="2"/>
      <c r="AW146" s="10"/>
      <c r="AX146" s="2"/>
      <c r="AY146" s="10"/>
      <c r="BB146" s="2"/>
      <c r="BC146" s="10"/>
    </row>
    <row r="148" spans="3:55">
      <c r="C148" s="2" t="s">
        <v>231</v>
      </c>
    </row>
    <row r="149" spans="3:55">
      <c r="C149" s="2" t="s">
        <v>232</v>
      </c>
    </row>
    <row r="150" spans="3:55">
      <c r="C150" s="2" t="s">
        <v>249</v>
      </c>
    </row>
    <row r="151" spans="3:55">
      <c r="C151" s="2" t="s">
        <v>250</v>
      </c>
    </row>
    <row r="152" spans="3:55">
      <c r="C152" s="2" t="s">
        <v>235</v>
      </c>
    </row>
    <row r="153" spans="3:55">
      <c r="C153" s="2" t="s">
        <v>251</v>
      </c>
    </row>
    <row r="154" spans="3:55">
      <c r="C154" s="2" t="s">
        <v>237</v>
      </c>
    </row>
    <row r="155" spans="3:55">
      <c r="C155" s="2" t="s">
        <v>238</v>
      </c>
    </row>
    <row r="156" spans="3:55">
      <c r="C156" s="2" t="s">
        <v>252</v>
      </c>
    </row>
    <row r="157" spans="3:55">
      <c r="C157" s="2" t="s">
        <v>240</v>
      </c>
    </row>
    <row r="158" spans="3:55">
      <c r="C158" s="2" t="s">
        <v>241</v>
      </c>
    </row>
    <row r="159" spans="3:55">
      <c r="C159" s="2" t="s">
        <v>253</v>
      </c>
    </row>
    <row r="160" spans="3:55" ht="14.4">
      <c r="C160" s="76"/>
      <c r="D160" s="76"/>
      <c r="E160" s="77"/>
      <c r="F160" s="77"/>
      <c r="G160" s="77"/>
      <c r="H160" s="77"/>
      <c r="I160" s="77"/>
      <c r="J160" s="77"/>
      <c r="K160" s="77"/>
    </row>
    <row r="161" spans="3:11" ht="14.4">
      <c r="C161" s="76"/>
      <c r="D161" s="76"/>
      <c r="E161" s="77"/>
      <c r="F161" s="77"/>
      <c r="G161" s="77"/>
      <c r="H161" s="77"/>
      <c r="I161" s="77"/>
      <c r="J161" s="77"/>
      <c r="K161" s="77"/>
    </row>
    <row r="162" spans="3:11" ht="14.4">
      <c r="C162" s="77"/>
      <c r="D162" s="77"/>
      <c r="E162" s="77"/>
      <c r="F162" s="77"/>
      <c r="G162" s="77"/>
      <c r="H162" s="77"/>
      <c r="I162" s="77"/>
      <c r="J162" s="77"/>
      <c r="K162" s="77"/>
    </row>
    <row r="163" spans="3:11" ht="14.4">
      <c r="C163" s="77"/>
      <c r="D163" s="77"/>
      <c r="E163" s="77"/>
      <c r="F163" s="77"/>
    </row>
  </sheetData>
  <mergeCells count="4">
    <mergeCell ref="C2:K3"/>
    <mergeCell ref="C5:K5"/>
    <mergeCell ref="C103:H103"/>
    <mergeCell ref="C116:H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Half Yearly Portfolio</vt:lpstr>
      <vt:lpstr>XDO_?CLASS_3?30?</vt:lpstr>
      <vt:lpstr>XDO_?FINAL_ISIN?137?</vt:lpstr>
      <vt:lpstr>XDO_?FINAL_ISIN?138?</vt:lpstr>
      <vt:lpstr>XDO_?FINAL_ISIN?139?</vt:lpstr>
      <vt:lpstr>XDO_?FINAL_ISIN?140?</vt:lpstr>
      <vt:lpstr>XDO_?FINAL_MV?137?</vt:lpstr>
      <vt:lpstr>XDO_?FINAL_MV?138?</vt:lpstr>
      <vt:lpstr>XDO_?FINAL_MV?139?</vt:lpstr>
      <vt:lpstr>XDO_?FINAL_MV?140?</vt:lpstr>
      <vt:lpstr>XDO_?FINAL_NAME?137?</vt:lpstr>
      <vt:lpstr>XDO_?FINAL_NAME?138?</vt:lpstr>
      <vt:lpstr>XDO_?FINAL_NAME?139?</vt:lpstr>
      <vt:lpstr>XDO_?FINAL_NAME?140?</vt:lpstr>
      <vt:lpstr>XDO_?FINAL_PER_NET?137?</vt:lpstr>
      <vt:lpstr>XDO_?FINAL_PER_NET?138?</vt:lpstr>
      <vt:lpstr>XDO_?FINAL_PER_NET?139?</vt:lpstr>
      <vt:lpstr>XDO_?FINAL_PER_NET?140?</vt:lpstr>
      <vt:lpstr>XDO_?FINAL_QUANTITE?137?</vt:lpstr>
      <vt:lpstr>XDO_?FINAL_QUANTITE?138?</vt:lpstr>
      <vt:lpstr>XDO_?FINAL_QUANTITE?139?</vt:lpstr>
      <vt:lpstr>XDO_?FINAL_QUANTITE?140?</vt:lpstr>
      <vt:lpstr>XDO_?NAMCNAME?30?</vt:lpstr>
      <vt:lpstr>XDO_?NOVAL?137?</vt:lpstr>
      <vt:lpstr>XDO_?NOVAL?138?</vt:lpstr>
      <vt:lpstr>XDO_?NOVAL?139?</vt:lpstr>
      <vt:lpstr>XDO_?NOVAL?140?</vt:lpstr>
      <vt:lpstr>XDO_?NPTF?30?</vt:lpstr>
      <vt:lpstr>XDO_?RATING?137?</vt:lpstr>
      <vt:lpstr>XDO_?RATING?138?</vt:lpstr>
      <vt:lpstr>XDO_?RATING?139?</vt:lpstr>
      <vt:lpstr>XDO_?RATING?140?</vt:lpstr>
      <vt:lpstr>XDO_?REMARKS?137?</vt:lpstr>
      <vt:lpstr>XDO_?REMARKS?138?</vt:lpstr>
      <vt:lpstr>XDO_?REMARKS?139?</vt:lpstr>
      <vt:lpstr>XDO_?REMARKS?140?</vt:lpstr>
      <vt:lpstr>XDO_?TITL?30?</vt:lpstr>
      <vt:lpstr>XDO_?YTM?137?</vt:lpstr>
      <vt:lpstr>XDO_?YTM?138?</vt:lpstr>
      <vt:lpstr>XDO_?YTM?139?</vt:lpstr>
      <vt:lpstr>XDO_?YTM?140?</vt:lpstr>
      <vt:lpstr>XDO_GROUP_?G_2?30?</vt:lpstr>
      <vt:lpstr>XDO_GROUP_?G_3?30?</vt:lpstr>
      <vt:lpstr>XDO_GROUP_?G_4?137?</vt:lpstr>
      <vt:lpstr>XDO_GROUP_?G_4?138?</vt:lpstr>
      <vt:lpstr>XDO_GROUP_?G_4?139?</vt:lpstr>
      <vt:lpstr>XDO_GROUP_?G_4?140?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2023-04-05T12:36:29Z</dcterms:created>
  <dcterms:modified xsi:type="dcterms:W3CDTF">2023-04-08T13:02:39Z</dcterms:modified>
</cp:coreProperties>
</file>