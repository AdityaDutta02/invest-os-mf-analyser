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Monthly-Portfolio-30-Nov-2023\BOBBNPMF_Monthly portfolio_Split Portfolio_30-11-2023\"/>
    </mc:Choice>
  </mc:AlternateContent>
  <xr:revisionPtr revIDLastSave="0" documentId="13_ncr:1_{0AE4A409-7A47-45FF-B7FB-57FFBBE6F049}" xr6:coauthVersionLast="47" xr6:coauthVersionMax="47" xr10:uidLastSave="{00000000-0000-0000-0000-000000000000}"/>
  <bookViews>
    <workbookView xWindow="-108" yWindow="-108" windowWidth="23256" windowHeight="12456" xr2:uid="{49567DAA-06C2-4581-9604-622BE860307B}"/>
  </bookViews>
  <sheets>
    <sheet name="IC" sheetId="1" r:id="rId1"/>
  </sheets>
  <externalReferences>
    <externalReference r:id="rId2"/>
  </externalReferences>
  <definedNames>
    <definedName name="XDO_?CLASS_3?14?">IC!$C$8:$C$52</definedName>
    <definedName name="XDO_?FINAL_ISIN?75?">IC!$D$10:$D$52</definedName>
    <definedName name="XDO_?FINAL_ISIN?76?">IC!$D$10:$D$77</definedName>
    <definedName name="XDO_?FINAL_ISIN?77?">IC!$D$10:$D$92</definedName>
    <definedName name="XDO_?FINAL_ISIN?78?">IC!$D$10:$D$96</definedName>
    <definedName name="XDO_?FINAL_MV?75?">IC!$G$10:$G$52</definedName>
    <definedName name="XDO_?FINAL_MV?76?">IC!$G$10:$G$77</definedName>
    <definedName name="XDO_?FINAL_MV?77?">IC!$G$10:$G$92</definedName>
    <definedName name="XDO_?FINAL_MV?78?">IC!$G$10:$G$96</definedName>
    <definedName name="XDO_?FINAL_NAME?75?">IC!$C$10:$C$52</definedName>
    <definedName name="XDO_?FINAL_NAME?76?">IC!$C$10:$C$77</definedName>
    <definedName name="XDO_?FINAL_NAME?77?">IC!$C$10:$C$92</definedName>
    <definedName name="XDO_?FINAL_NAME?78?">IC!$C$10:$C$96</definedName>
    <definedName name="XDO_?FINAL_PER_NET?75?">IC!$H$10:$H$52</definedName>
    <definedName name="XDO_?FINAL_PER_NET?76?">IC!$H$10:$H$77</definedName>
    <definedName name="XDO_?FINAL_PER_NET?77?">IC!$H$10:$H$92</definedName>
    <definedName name="XDO_?FINAL_PER_NET?78?">IC!$H$10:$H$96</definedName>
    <definedName name="XDO_?FINAL_QUANTITE?75?">IC!$F$10:$F$52</definedName>
    <definedName name="XDO_?FINAL_QUANTITE?76?">IC!$F$10:$F$77</definedName>
    <definedName name="XDO_?FINAL_QUANTITE?77?">IC!$F$10:$F$92</definedName>
    <definedName name="XDO_?FINAL_QUANTITE?78?">IC!$F$10:$F$96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[1]FO!#REF!</definedName>
    <definedName name="XDO_?NAMC?14?">IC!#REF!</definedName>
    <definedName name="XDO_?NAMC?15?">[1]AF!#REF!</definedName>
    <definedName name="XDO_?NAMC?16?">[1]FX!#REF!</definedName>
    <definedName name="XDO_?NAMC?17?">[1]MA!#REF!</definedName>
    <definedName name="XDO_?NAMC?18?">[1]VF!#REF!</definedName>
    <definedName name="XDO_?NAMC?19?">[1]SC!#REF!</definedName>
    <definedName name="XDO_?NAMC?2?">[1]FL!#REF!</definedName>
    <definedName name="XDO_?NAMC?20?">[1]GR!#REF!</definedName>
    <definedName name="XDO_?NAMC?21?">[1]GF!#REF!</definedName>
    <definedName name="XDO_?NAMC?22?">[1]LQ!#REF!</definedName>
    <definedName name="XDO_?NAMC?23?">[1]SI!#REF!</definedName>
    <definedName name="XDO_?NAMC?24?">[1]BS!#REF!</definedName>
    <definedName name="XDO_?NAMC?25?">[1]CO!#REF!</definedName>
    <definedName name="XDO_?NAMC?26?">[1]US!#REF!</definedName>
    <definedName name="XDO_?NAMC?27?">[1]DE!#REF!</definedName>
    <definedName name="XDO_?NAMC?28?">[1]ON!#REF!</definedName>
    <definedName name="XDO_?NAMC?29?">[1]BM!#REF!</definedName>
    <definedName name="XDO_?NAMC?3?">[1]CB!#REF!</definedName>
    <definedName name="XDO_?NAMC?30?">[1]ES!#REF!</definedName>
    <definedName name="XDO_?NAMC?31?">[1]LM!#REF!</definedName>
    <definedName name="XDO_?NAMC?32?">[1]BP!#REF!</definedName>
    <definedName name="XDO_?NAMC?33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[1]TA!#REF!</definedName>
    <definedName name="XDO_?NAMCNAME?14?">IC!$C$2:$C$52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[1]FO!#REF!</definedName>
    <definedName name="XDO_?NDATE?14?">IC!#REF!</definedName>
    <definedName name="XDO_?NDATE?15?">[1]AF!#REF!</definedName>
    <definedName name="XDO_?NDATE?16?">[1]FX!#REF!</definedName>
    <definedName name="XDO_?NDATE?17?">[1]MA!#REF!</definedName>
    <definedName name="XDO_?NDATE?18?">[1]VF!#REF!</definedName>
    <definedName name="XDO_?NDATE?19?">[1]SC!#REF!</definedName>
    <definedName name="XDO_?NDATE?2?">[1]FL!#REF!</definedName>
    <definedName name="XDO_?NDATE?20?">[1]GR!#REF!</definedName>
    <definedName name="XDO_?NDATE?21?">[1]GF!#REF!</definedName>
    <definedName name="XDO_?NDATE?22?">[1]LQ!#REF!</definedName>
    <definedName name="XDO_?NDATE?23?">[1]SI!#REF!</definedName>
    <definedName name="XDO_?NDATE?24?">[1]BS!#REF!</definedName>
    <definedName name="XDO_?NDATE?25?">[1]CO!#REF!</definedName>
    <definedName name="XDO_?NDATE?26?">[1]US!#REF!</definedName>
    <definedName name="XDO_?NDATE?27?">[1]DE!#REF!</definedName>
    <definedName name="XDO_?NDATE?28?">[1]ON!#REF!</definedName>
    <definedName name="XDO_?NDATE?29?">[1]BM!#REF!</definedName>
    <definedName name="XDO_?NDATE?3?">[1]CB!#REF!</definedName>
    <definedName name="XDO_?NDATE?30?">[1]ES!#REF!</definedName>
    <definedName name="XDO_?NDATE?31?">[1]LM!#REF!</definedName>
    <definedName name="XDO_?NDATE?32?">[1]BP!#REF!</definedName>
    <definedName name="XDO_?NDATE?33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[1]FO!#REF!</definedName>
    <definedName name="XDO_?NNPTF?14?">IC!#REF!</definedName>
    <definedName name="XDO_?NNPTF?15?">[1]AF!#REF!</definedName>
    <definedName name="XDO_?NNPTF?16?">[1]FX!#REF!</definedName>
    <definedName name="XDO_?NNPTF?17?">[1]MA!#REF!</definedName>
    <definedName name="XDO_?NNPTF?18?">[1]VF!#REF!</definedName>
    <definedName name="XDO_?NNPTF?19?">[1]SC!#REF!</definedName>
    <definedName name="XDO_?NNPTF?2?">[1]FL!#REF!</definedName>
    <definedName name="XDO_?NNPTF?20?">[1]GR!#REF!</definedName>
    <definedName name="XDO_?NNPTF?21?">[1]GF!#REF!</definedName>
    <definedName name="XDO_?NNPTF?22?">[1]LQ!#REF!</definedName>
    <definedName name="XDO_?NNPTF?23?">[1]SI!#REF!</definedName>
    <definedName name="XDO_?NNPTF?24?">[1]BS!#REF!</definedName>
    <definedName name="XDO_?NNPTF?25?">[1]CO!#REF!</definedName>
    <definedName name="XDO_?NNPTF?26?">[1]US!#REF!</definedName>
    <definedName name="XDO_?NNPTF?27?">[1]DE!#REF!</definedName>
    <definedName name="XDO_?NNPTF?28?">[1]ON!#REF!</definedName>
    <definedName name="XDO_?NNPTF?29?">[1]BM!#REF!</definedName>
    <definedName name="XDO_?NNPTF?3?">[1]CB!#REF!</definedName>
    <definedName name="XDO_?NNPTF?30?">[1]ES!#REF!</definedName>
    <definedName name="XDO_?NNPTF?31?">[1]LM!#REF!</definedName>
    <definedName name="XDO_?NNPTF?32?">[1]BP!#REF!</definedName>
    <definedName name="XDO_?NNPTF?33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[1]TA!#REF!</definedName>
    <definedName name="XDO_?NOVAL?75?">IC!$B$10:$B$52</definedName>
    <definedName name="XDO_?NOVAL?76?">IC!$B$10:$B$77</definedName>
    <definedName name="XDO_?NOVAL?77?">IC!$B$10:$B$92</definedName>
    <definedName name="XDO_?NOVAL?78?">IC!$B$10:$B$96</definedName>
    <definedName name="XDO_?NPTF?14?">IC!$D$2:$D$52</definedName>
    <definedName name="XDO_?RATING?75?">IC!$E$10:$E$52</definedName>
    <definedName name="XDO_?RATING?76?">IC!$E$10:$E$77</definedName>
    <definedName name="XDO_?RATING?77?">IC!$E$10:$E$92</definedName>
    <definedName name="XDO_?RATING?78?">IC!$E$10:$E$96</definedName>
    <definedName name="XDO_?REMARKS?75?">IC!$K$10:$K$52</definedName>
    <definedName name="XDO_?REMARKS?76?">IC!$K$10:$K$77</definedName>
    <definedName name="XDO_?REMARKS?77?">IC!$K$10:$K$92</definedName>
    <definedName name="XDO_?REMARKS?78?">IC!$K$10:$K$96</definedName>
    <definedName name="XDO_?TITL?14?">IC!$A$8:$A$52</definedName>
    <definedName name="XDO_?YTM?75?">IC!$I$10:$I$52</definedName>
    <definedName name="XDO_?YTM?76?">IC!$I$10:$I$77</definedName>
    <definedName name="XDO_?YTM?77?">IC!$I$10:$I$92</definedName>
    <definedName name="XDO_?YTM?78?">IC!$I$10:$I$96</definedName>
    <definedName name="XDO_GROUP_?G_2?14?">IC!$2:$66</definedName>
    <definedName name="XDO_GROUP_?G_3?14?">IC!$8:$65</definedName>
    <definedName name="XDO_GROUP_?G_4?103?">[1]SC!#REF!</definedName>
    <definedName name="XDO_GROUP_?G_4?160?">[1]BM!#REF!</definedName>
    <definedName name="XDO_GROUP_?G_4?175?">[1]LM!#REF!</definedName>
    <definedName name="XDO_GROUP_?G_4?23?">[1]N2!#REF!</definedName>
    <definedName name="XDO_GROUP_?G_4?31?">[1]MC!#REF!</definedName>
    <definedName name="XDO_GROUP_?G_4?41?">[1]TA!#REF!</definedName>
    <definedName name="XDO_GROUP_?G_4?73?">[1]FO!#REF!</definedName>
    <definedName name="XDO_GROUP_?G_4?75?">IC!$B$10:$IV$52</definedName>
    <definedName name="XDO_GROUP_?G_4?76?">IC!$B$57:$IV$57</definedName>
    <definedName name="XDO_GROUP_?G_4?77?">IC!#REF!</definedName>
    <definedName name="XDO_GROUP_?G_4?78?">IC!$B$63:$IV$63</definedName>
    <definedName name="XDO_GROUP_?G_4?81?">[1]AF!#REF!</definedName>
    <definedName name="XDO_GROUP_?G_4?84?">[1]FX!#REF!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9" i="1" l="1"/>
</calcChain>
</file>

<file path=xl/sharedStrings.xml><?xml version="1.0" encoding="utf-8"?>
<sst xmlns="http://schemas.openxmlformats.org/spreadsheetml/2006/main" count="310" uniqueCount="247">
  <si>
    <t>Baroda BNP Paribas Mutual Fund</t>
  </si>
  <si>
    <t>T0ME21</t>
  </si>
  <si>
    <t>SCHEME NAME :</t>
  </si>
  <si>
    <t xml:space="preserve">Baroda BNP Paribas India Consumption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</si>
  <si>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</si>
  <si>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</si>
  <si>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</si>
  <si>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</si>
  <si>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</si>
  <si>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</si>
  <si>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</si>
  <si>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</si>
  <si>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</si>
  <si>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</si>
  <si>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</si>
  <si>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</si>
  <si>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100095</t>
  </si>
  <si>
    <t>Bharti Airtel Ltd.</t>
  </si>
  <si>
    <t>INE397D01024</t>
  </si>
  <si>
    <t>Telecom - Services</t>
  </si>
  <si>
    <t>100050</t>
  </si>
  <si>
    <t>Trent Ltd.</t>
  </si>
  <si>
    <t>INE849A01020</t>
  </si>
  <si>
    <t>Retailing</t>
  </si>
  <si>
    <t>100106</t>
  </si>
  <si>
    <t>Maruti Suzuki India Ltd.</t>
  </si>
  <si>
    <t>INE585B01010</t>
  </si>
  <si>
    <t>Automobiles</t>
  </si>
  <si>
    <t>100019</t>
  </si>
  <si>
    <t>ITC Ltd.</t>
  </si>
  <si>
    <t>INE154A01025</t>
  </si>
  <si>
    <t>Diversified FMCG</t>
  </si>
  <si>
    <t>100081</t>
  </si>
  <si>
    <t>Titan Company Ltd.</t>
  </si>
  <si>
    <t>INE280A01028</t>
  </si>
  <si>
    <t>Consumer Durables</t>
  </si>
  <si>
    <t>100025</t>
  </si>
  <si>
    <t>Nestle India Ltd.</t>
  </si>
  <si>
    <t>INE239A01016</t>
  </si>
  <si>
    <t>Food Products</t>
  </si>
  <si>
    <t>100099</t>
  </si>
  <si>
    <t>Hindustan Unilever Ltd.</t>
  </si>
  <si>
    <t>INE030A01027</t>
  </si>
  <si>
    <t>100280</t>
  </si>
  <si>
    <t>TVS Motor Company Ltd.</t>
  </si>
  <si>
    <t>INE494B01023</t>
  </si>
  <si>
    <t>100014</t>
  </si>
  <si>
    <t>Mahindra &amp; Mahindra Ltd.</t>
  </si>
  <si>
    <t>INE101A01026</t>
  </si>
  <si>
    <t>100173</t>
  </si>
  <si>
    <t>Asian Paints Ltd.</t>
  </si>
  <si>
    <t>INE021A01026</t>
  </si>
  <si>
    <t>100421</t>
  </si>
  <si>
    <t>Dabur India Ltd.</t>
  </si>
  <si>
    <t>INE016A01026</t>
  </si>
  <si>
    <t>Personal Products</t>
  </si>
  <si>
    <t>101313</t>
  </si>
  <si>
    <t>Zomato Ltd.</t>
  </si>
  <si>
    <t>INE758T01015</t>
  </si>
  <si>
    <t>100519</t>
  </si>
  <si>
    <t>Westlife Foodworld Ltd.</t>
  </si>
  <si>
    <t>INE274F01020</t>
  </si>
  <si>
    <t>Leisure Services</t>
  </si>
  <si>
    <t>100363</t>
  </si>
  <si>
    <t>Procter &amp; Gamble Hygiene and Health Care Ltd.</t>
  </si>
  <si>
    <t>INE179A01014</t>
  </si>
  <si>
    <t>100222</t>
  </si>
  <si>
    <t>The Indian Hotels Company Ltd.</t>
  </si>
  <si>
    <t>INE053A01029</t>
  </si>
  <si>
    <t>100179</t>
  </si>
  <si>
    <t>Hero MotoCorp Ltd.</t>
  </si>
  <si>
    <t>INE158A01026</t>
  </si>
  <si>
    <t>100138</t>
  </si>
  <si>
    <t>PVR Inox Ltd.</t>
  </si>
  <si>
    <t>INE191H01014</t>
  </si>
  <si>
    <t>Entertainment</t>
  </si>
  <si>
    <t>101433</t>
  </si>
  <si>
    <t>Metro Brands Ltd.</t>
  </si>
  <si>
    <t>INE317I01021</t>
  </si>
  <si>
    <t>100830</t>
  </si>
  <si>
    <t>Varun Beverages Ltd.</t>
  </si>
  <si>
    <t>INE200M01021</t>
  </si>
  <si>
    <t>Beverages</t>
  </si>
  <si>
    <t>100020</t>
  </si>
  <si>
    <t>Tata Consumer Products Ltd.</t>
  </si>
  <si>
    <t>INE192A01025</t>
  </si>
  <si>
    <t>Agricultural Food &amp; other Products</t>
  </si>
  <si>
    <t>101213</t>
  </si>
  <si>
    <t>Mrs. Bectors Food Specialities Ltd.</t>
  </si>
  <si>
    <t>INE495P01012</t>
  </si>
  <si>
    <t>100126</t>
  </si>
  <si>
    <t>Britannia Industries Ltd.</t>
  </si>
  <si>
    <t>INE216A01030</t>
  </si>
  <si>
    <t>100505</t>
  </si>
  <si>
    <t>ICICI Prudential Life Insurance Company Ltd.</t>
  </si>
  <si>
    <t>INE726G01019</t>
  </si>
  <si>
    <t>Insurance</t>
  </si>
  <si>
    <t>100154</t>
  </si>
  <si>
    <t>Colgate Palmolive (India) Ltd.</t>
  </si>
  <si>
    <t>INE259A01022</t>
  </si>
  <si>
    <t>100706</t>
  </si>
  <si>
    <t>HDFC Life Insurance Company Ltd.</t>
  </si>
  <si>
    <t>INE795G01014</t>
  </si>
  <si>
    <t>100814</t>
  </si>
  <si>
    <t>HDFC Asset Management Co. Ltd.</t>
  </si>
  <si>
    <t>INE127D01025</t>
  </si>
  <si>
    <t>Capital Markets</t>
  </si>
  <si>
    <t>100902</t>
  </si>
  <si>
    <t>Jtekt India Ltd.</t>
  </si>
  <si>
    <t>INE643A01035</t>
  </si>
  <si>
    <t>Auto Components</t>
  </si>
  <si>
    <t>100022</t>
  </si>
  <si>
    <t>The Phoenix Mills Ltd.</t>
  </si>
  <si>
    <t>INE211B01039</t>
  </si>
  <si>
    <t>Realty</t>
  </si>
  <si>
    <t>100012</t>
  </si>
  <si>
    <t>ICICI Bank Ltd.</t>
  </si>
  <si>
    <t>INE090A01021</t>
  </si>
  <si>
    <t>Banks</t>
  </si>
  <si>
    <t>100105</t>
  </si>
  <si>
    <t>Marico Ltd.</t>
  </si>
  <si>
    <t>INE196A01026</t>
  </si>
  <si>
    <t>100039</t>
  </si>
  <si>
    <t>Bajaj Auto Ltd.</t>
  </si>
  <si>
    <t>INE917I01010</t>
  </si>
  <si>
    <t>100047</t>
  </si>
  <si>
    <t>Emami Ltd.</t>
  </si>
  <si>
    <t>INE548C01032</t>
  </si>
  <si>
    <t>100223</t>
  </si>
  <si>
    <t>United Spirits Ltd.</t>
  </si>
  <si>
    <t>INE854D01024</t>
  </si>
  <si>
    <t>100128</t>
  </si>
  <si>
    <t>Eicher Motors Ltd.</t>
  </si>
  <si>
    <t>INE066A01021</t>
  </si>
  <si>
    <t>100119</t>
  </si>
  <si>
    <t>Tata Motors Ltd.</t>
  </si>
  <si>
    <t>INE155A01022</t>
  </si>
  <si>
    <t>100227</t>
  </si>
  <si>
    <t>Jubilant Foodworks Ltd.</t>
  </si>
  <si>
    <t>INE797F01020</t>
  </si>
  <si>
    <t>100821</t>
  </si>
  <si>
    <t>TTK Prestige Ltd.</t>
  </si>
  <si>
    <t>INE690A01028</t>
  </si>
  <si>
    <t>100335</t>
  </si>
  <si>
    <t>Kajaria Ceramics Ltd.</t>
  </si>
  <si>
    <t>INE217B01036</t>
  </si>
  <si>
    <t>100086</t>
  </si>
  <si>
    <t>Bata India Ltd.</t>
  </si>
  <si>
    <t>INE176A01028</t>
  </si>
  <si>
    <t>100068</t>
  </si>
  <si>
    <t>Kansai Nerolac Paints Ltd.</t>
  </si>
  <si>
    <t>INE531A01024</t>
  </si>
  <si>
    <t>100289</t>
  </si>
  <si>
    <t>Shoppers Stop Ltd.</t>
  </si>
  <si>
    <t>INE498B01024</t>
  </si>
  <si>
    <t>100125</t>
  </si>
  <si>
    <t>Bajaj Finance Ltd.</t>
  </si>
  <si>
    <t>INE296A01024</t>
  </si>
  <si>
    <t>Finance</t>
  </si>
  <si>
    <t>100157</t>
  </si>
  <si>
    <t>Godrej Consumer Products Ltd.</t>
  </si>
  <si>
    <t>INE102D01028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</si>
  <si>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</si>
  <si>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</si>
  <si>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</si>
  <si>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</si>
  <si>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</si>
  <si>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</si>
  <si>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</si>
  <si>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</si>
  <si>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</si>
  <si>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</si>
  <si>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</si>
  <si>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</si>
  <si>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</si>
  <si>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 (Placed as Margin)</t>
  </si>
  <si>
    <t>1800940</t>
  </si>
  <si>
    <t>364 DAY T-BILL 21-Dec-2023</t>
  </si>
  <si>
    <t>IN002022Z382</t>
  </si>
  <si>
    <t>Sovereign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</si>
  <si>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</si>
  <si>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</si>
  <si>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</si>
  <si>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</si>
  <si>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</si>
  <si>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</si>
  <si>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</si>
  <si>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112230100</t>
  </si>
  <si>
    <t>TREPS 01-Dec-2023</t>
  </si>
  <si>
    <t>Other Current Assets / (Liabilities)</t>
  </si>
  <si>
    <t>Net Receivable / Payable</t>
  </si>
  <si>
    <t>Grand Total (AUM) D**</t>
  </si>
  <si>
    <t xml:space="preserve">Hedging Positions through Futures as on November 30, 2023: </t>
  </si>
  <si>
    <t xml:space="preserve"> 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</si>
  <si>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</si>
  <si>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</si>
  <si>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</si>
  <si>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</si>
  <si>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</si>
  <si>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</si>
  <si>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Nil</t>
  </si>
  <si>
    <t>Total Exposure through Futures(hedging positions) is -0.00% age of net assets</t>
  </si>
  <si>
    <t>For the Month ended November 30, 2023 with regard to hedging transactions through futures which have already been squared off/expired specify:</t>
  </si>
  <si>
    <t>Total Number of contracts where futures were bought : 256</t>
  </si>
  <si>
    <t>Total Number of contracts where futures were sold :  Nil</t>
  </si>
  <si>
    <t>Gross Notional Value of contracts where futures were bought : 1,854.30 lacs</t>
  </si>
  <si>
    <t>Gross Notional Value of contracts where futures were sold: Nil</t>
  </si>
  <si>
    <t>Net Profit/Loss on all contracts combined : -21.92 lacs</t>
  </si>
  <si>
    <t>Other than Hedging Positions through futures as on November 30, 2023:</t>
  </si>
  <si>
    <t>Number of Contracts</t>
  </si>
  <si>
    <t>Total Exposure through Futures(other than hedging positions) is 0.00% age of net assets</t>
  </si>
  <si>
    <t>For the Month ended November 30, 2023 with regard to Other than hedging transactions through futures which have already been squared off/expired specify: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</si>
  <si>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</si>
  <si>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</si>
  <si>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</si>
  <si>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Net Profit/Loss on all contracts combined : Nil</t>
  </si>
  <si>
    <t xml:space="preserve">* Negative sign denotes Short position 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</si>
  <si>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</si>
  <si>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</si>
  <si>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</si>
  <si>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</si>
  <si>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</si>
  <si>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</si>
  <si>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</si>
  <si>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November 30,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</si>
  <si>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</si>
  <si>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</si>
  <si>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</si>
  <si>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October 31, 2023</t>
  </si>
  <si>
    <t>As on November 30, 2023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</si>
  <si>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</si>
  <si>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</si>
  <si>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</si>
  <si>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</si>
  <si>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November 30, 2023</t>
  </si>
  <si>
    <t>(9) There were no investments in derivative instruments as on November,30 2023.</t>
  </si>
  <si>
    <t>(10) Total Market value of investments in Foreign Securities/American Depositary Receipts/Global Depositary Receipts as at  November 30, 2023 is Rs. Nil.</t>
  </si>
  <si>
    <t>(11)  During the period, the portfolio turnover ratio is  0.00 times.</t>
  </si>
  <si>
    <t>(12)  Details of repo transaction in corporate debt securities for the Month ended November 30, 2023 is Nil.</t>
  </si>
  <si>
    <t>(13)  Investments in debt instruments having structured obligations or credit enhancement features as at November 30, 2023 is Rs. Nil.</t>
  </si>
  <si>
    <t>(14) Investment in Partly paid Debentures during the Month ended  November 30, 2023 and as on  November 30,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</si>
  <si>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</si>
  <si>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</si>
  <si>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</si>
  <si>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</si>
  <si>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</si>
  <si>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November 30,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</si>
</sst>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name val="Franklin Gothic Book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82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10" fillId="3" borderId="0" xfId="0" applyFont="1" applyFill="1"/>
    <xf numFmtId="0" fontId="3" fillId="4" borderId="0" xfId="0" applyFont="1" applyFill="1"/>
    <xf numFmtId="4" fontId="3" fillId="4" borderId="0" xfId="0" applyNumberFormat="1" applyFont="1" applyFill="1"/>
    <xf numFmtId="0" fontId="6" fillId="4" borderId="0" xfId="0" applyFont="1" applyFill="1"/>
    <xf numFmtId="0" fontId="10" fillId="3" borderId="19" xfId="0" applyFont="1" applyFill="1" applyBorder="1"/>
    <xf numFmtId="0" fontId="10" fillId="0" borderId="19" xfId="0" applyFont="1" applyBorder="1"/>
    <xf numFmtId="0" fontId="10" fillId="0" borderId="19" xfId="0" applyFont="1" applyBorder="1" applyAlignment="1">
      <alignment horizontal="right"/>
    </xf>
    <xf numFmtId="0" fontId="10" fillId="3" borderId="19" xfId="0" applyFont="1" applyFill="1" applyBorder="1" applyAlignment="1">
      <alignment horizontal="right"/>
    </xf>
    <xf numFmtId="0" fontId="10" fillId="3" borderId="13" xfId="0" applyFont="1" applyFill="1" applyBorder="1" applyAlignment="1">
      <alignment horizontal="right"/>
    </xf>
    <xf numFmtId="0" fontId="11" fillId="3" borderId="0" xfId="0" applyFont="1" applyFill="1"/>
    <xf numFmtId="1" fontId="3" fillId="4" borderId="0" xfId="0" applyNumberFormat="1" applyFont="1" applyFill="1"/>
    <xf numFmtId="165" fontId="3" fillId="4" borderId="0" xfId="1" applyNumberFormat="1" applyFont="1" applyFill="1"/>
    <xf numFmtId="164" fontId="3" fillId="4" borderId="0" xfId="1" applyFont="1" applyFill="1"/>
    <xf numFmtId="0" fontId="11" fillId="0" borderId="0" xfId="0" applyFont="1"/>
    <xf numFmtId="4" fontId="10" fillId="3" borderId="0" xfId="0" applyNumberFormat="1" applyFont="1" applyFill="1"/>
    <xf numFmtId="0" fontId="10" fillId="3" borderId="13" xfId="0" applyFont="1" applyFill="1" applyBorder="1"/>
    <xf numFmtId="0" fontId="10" fillId="3" borderId="0" xfId="0" applyFont="1" applyFill="1" applyAlignment="1">
      <alignment horizontal="center"/>
    </xf>
    <xf numFmtId="164" fontId="10" fillId="3" borderId="0" xfId="1" applyFont="1" applyFill="1" applyAlignment="1">
      <alignment horizontal="center"/>
    </xf>
    <xf numFmtId="164" fontId="10" fillId="3" borderId="0" xfId="0" applyNumberFormat="1" applyFont="1" applyFill="1" applyAlignment="1">
      <alignment horizontal="center"/>
    </xf>
    <xf numFmtId="0" fontId="10" fillId="0" borderId="0" xfId="0" applyFont="1"/>
    <xf numFmtId="164" fontId="3" fillId="4" borderId="0" xfId="0" applyNumberFormat="1" applyFont="1" applyFill="1"/>
    <xf numFmtId="0" fontId="12" fillId="0" borderId="0" xfId="0" applyFont="1"/>
    <xf numFmtId="164" fontId="13" fillId="4" borderId="0" xfId="0" applyNumberFormat="1" applyFont="1" applyFill="1"/>
    <xf numFmtId="0" fontId="13" fillId="4" borderId="0" xfId="0" applyFont="1" applyFill="1"/>
    <xf numFmtId="4" fontId="13" fillId="4" borderId="0" xfId="0" applyNumberFormat="1" applyFont="1" applyFill="1"/>
    <xf numFmtId="0" fontId="3" fillId="0" borderId="0" xfId="0" applyFont="1" applyAlignment="1">
      <alignment horizontal="left"/>
    </xf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4" fillId="0" borderId="0" xfId="0" applyFont="1" applyAlignment="1">
      <alignment vertical="top"/>
    </xf>
    <xf numFmtId="0" fontId="0" fillId="0" borderId="0" xfId="0" applyAlignment="1">
      <alignment vertical="top"/>
    </xf>
    <xf numFmtId="0" fontId="10" fillId="3" borderId="20" xfId="0" applyFont="1" applyFill="1" applyBorder="1" applyAlignment="1">
      <alignment horizontal="center"/>
    </xf>
    <xf numFmtId="0" fontId="10" fillId="3" borderId="21" xfId="0" applyFont="1" applyFill="1" applyBorder="1" applyAlignment="1">
      <alignment horizontal="center"/>
    </xf>
    <xf numFmtId="0" fontId="10" fillId="3" borderId="22" xfId="0" applyFont="1" applyFill="1" applyBorder="1" applyAlignment="1">
      <alignment horizontal="center"/>
    </xf>
  </cellXfs>
  <cellStyles count="6">
    <cellStyle name="Comma" xfId="1" builtinId="3"/>
    <cellStyle name="Comma 2" xfId="5" xr:uid="{3DD65679-3D26-45D3-9E21-1AFAD38CB666}"/>
    <cellStyle name="Hyperlink" xfId="2" builtinId="8"/>
    <cellStyle name="Normal" xfId="0" builtinId="0"/>
    <cellStyle name="Normal 2" xfId="4" xr:uid="{5F712980-2854-4FA7-A6FA-8B7F09745974}"/>
    <cellStyle name="Style 1" xfId="3" xr:uid="{3D379738-5A38-4E6D-892C-0518B212123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159</xdr:row>
      <xdr:rowOff>0</xdr:rowOff>
    </xdr:from>
    <xdr:to>
      <xdr:col>5</xdr:col>
      <xdr:colOff>510540</xdr:colOff>
      <xdr:row>177</xdr:row>
      <xdr:rowOff>152400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5675FD10-C3BA-4442-8100-0002C63FA3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260" y="28155900"/>
          <a:ext cx="7459980" cy="33223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18.%20BNPP%20MF\Reporting\Monthly\Monthly%20Portfolio%20ISIN\2023-24\November%202023\Month%20End%2030%20November%202023\Split%20Portfolio\BOBBNPMF_Monthly%20portfolio%2030-11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VF"/>
      <sheetName val="SC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A7A67-8441-4D15-BE21-7C8F0A65F9A4}">
  <sheetPr codeName="Sheet115"/>
  <dimension ref="A1:BC161"/>
  <sheetViews>
    <sheetView showGridLines="0" tabSelected="1" zoomScale="90" zoomScaleNormal="90" workbookViewId="0">
      <pane ySplit="6" topLeftCell="A151" activePane="bottomLeft" state="frozen"/>
      <selection activeCell="G17" sqref="G17"/>
      <selection pane="bottomLeft" activeCell="H164" sqref="H164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45260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700000</v>
      </c>
      <c r="G10" s="34">
        <v>7102.9</v>
      </c>
      <c r="H10" s="34">
        <v>6.28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23</v>
      </c>
      <c r="F11" s="33">
        <v>250000</v>
      </c>
      <c r="G11" s="34">
        <v>6967.5</v>
      </c>
      <c r="H11" s="34">
        <v>6.16</v>
      </c>
      <c r="I11" s="35"/>
      <c r="J11" s="35"/>
      <c r="K11" s="36"/>
    </row>
    <row r="12" spans="1:55" x14ac:dyDescent="0.3">
      <c r="B12" s="1" t="s">
        <v>24</v>
      </c>
      <c r="C12" s="21" t="s">
        <v>25</v>
      </c>
      <c r="D12" s="31" t="s">
        <v>26</v>
      </c>
      <c r="E12" s="32" t="s">
        <v>27</v>
      </c>
      <c r="F12" s="33">
        <v>65000</v>
      </c>
      <c r="G12" s="34">
        <v>6895.66</v>
      </c>
      <c r="H12" s="34">
        <v>6.1</v>
      </c>
      <c r="I12" s="35"/>
      <c r="J12" s="35"/>
      <c r="K12" s="36"/>
    </row>
    <row r="13" spans="1:55" x14ac:dyDescent="0.3">
      <c r="B13" s="1" t="s">
        <v>28</v>
      </c>
      <c r="C13" s="21" t="s">
        <v>29</v>
      </c>
      <c r="D13" s="31" t="s">
        <v>30</v>
      </c>
      <c r="E13" s="32" t="s">
        <v>31</v>
      </c>
      <c r="F13" s="33">
        <v>1500000</v>
      </c>
      <c r="G13" s="34">
        <v>6537</v>
      </c>
      <c r="H13" s="34">
        <v>5.78</v>
      </c>
      <c r="I13" s="35"/>
      <c r="J13" s="35"/>
      <c r="K13" s="36"/>
    </row>
    <row r="14" spans="1:55" x14ac:dyDescent="0.3">
      <c r="B14" s="1" t="s">
        <v>32</v>
      </c>
      <c r="C14" s="21" t="s">
        <v>33</v>
      </c>
      <c r="D14" s="31" t="s">
        <v>34</v>
      </c>
      <c r="E14" s="32" t="s">
        <v>35</v>
      </c>
      <c r="F14" s="33">
        <v>180000</v>
      </c>
      <c r="G14" s="34">
        <v>6283.08</v>
      </c>
      <c r="H14" s="34">
        <v>5.55</v>
      </c>
      <c r="I14" s="35"/>
      <c r="J14" s="35"/>
      <c r="K14" s="36"/>
    </row>
    <row r="15" spans="1:55" x14ac:dyDescent="0.3">
      <c r="B15" s="1" t="s">
        <v>36</v>
      </c>
      <c r="C15" s="21" t="s">
        <v>37</v>
      </c>
      <c r="D15" s="31" t="s">
        <v>38</v>
      </c>
      <c r="E15" s="32" t="s">
        <v>39</v>
      </c>
      <c r="F15" s="33">
        <v>22500</v>
      </c>
      <c r="G15" s="34">
        <v>5453.13</v>
      </c>
      <c r="H15" s="34">
        <v>4.82</v>
      </c>
      <c r="I15" s="35"/>
      <c r="J15" s="35"/>
      <c r="K15" s="36"/>
    </row>
    <row r="16" spans="1:55" x14ac:dyDescent="0.3">
      <c r="B16" s="1" t="s">
        <v>40</v>
      </c>
      <c r="C16" s="21" t="s">
        <v>41</v>
      </c>
      <c r="D16" s="31" t="s">
        <v>42</v>
      </c>
      <c r="E16" s="32" t="s">
        <v>31</v>
      </c>
      <c r="F16" s="33">
        <v>200000</v>
      </c>
      <c r="G16" s="34">
        <v>5091.1000000000004</v>
      </c>
      <c r="H16" s="34">
        <v>4.5</v>
      </c>
      <c r="I16" s="35"/>
      <c r="J16" s="35"/>
      <c r="K16" s="36"/>
    </row>
    <row r="17" spans="2:11" x14ac:dyDescent="0.3">
      <c r="B17" s="1" t="s">
        <v>43</v>
      </c>
      <c r="C17" s="21" t="s">
        <v>44</v>
      </c>
      <c r="D17" s="31" t="s">
        <v>45</v>
      </c>
      <c r="E17" s="32" t="s">
        <v>27</v>
      </c>
      <c r="F17" s="33">
        <v>270000</v>
      </c>
      <c r="G17" s="34">
        <v>5034.1499999999996</v>
      </c>
      <c r="H17" s="34">
        <v>4.45</v>
      </c>
      <c r="I17" s="35"/>
      <c r="J17" s="35"/>
      <c r="K17" s="36"/>
    </row>
    <row r="18" spans="2:11" x14ac:dyDescent="0.3">
      <c r="B18" s="1" t="s">
        <v>46</v>
      </c>
      <c r="C18" s="21" t="s">
        <v>47</v>
      </c>
      <c r="D18" s="31" t="s">
        <v>48</v>
      </c>
      <c r="E18" s="32" t="s">
        <v>27</v>
      </c>
      <c r="F18" s="33">
        <v>270000</v>
      </c>
      <c r="G18" s="34">
        <v>4448.93</v>
      </c>
      <c r="H18" s="34">
        <v>3.93</v>
      </c>
      <c r="I18" s="35"/>
      <c r="J18" s="35"/>
      <c r="K18" s="36"/>
    </row>
    <row r="19" spans="2:11" x14ac:dyDescent="0.3">
      <c r="B19" s="1" t="s">
        <v>49</v>
      </c>
      <c r="C19" s="21" t="s">
        <v>50</v>
      </c>
      <c r="D19" s="31" t="s">
        <v>51</v>
      </c>
      <c r="E19" s="32" t="s">
        <v>35</v>
      </c>
      <c r="F19" s="33">
        <v>135000</v>
      </c>
      <c r="G19" s="34">
        <v>4211.87</v>
      </c>
      <c r="H19" s="34">
        <v>3.72</v>
      </c>
      <c r="I19" s="35"/>
      <c r="J19" s="35"/>
      <c r="K19" s="36"/>
    </row>
    <row r="20" spans="2:11" x14ac:dyDescent="0.3">
      <c r="B20" s="1" t="s">
        <v>52</v>
      </c>
      <c r="C20" s="21" t="s">
        <v>53</v>
      </c>
      <c r="D20" s="31" t="s">
        <v>54</v>
      </c>
      <c r="E20" s="32" t="s">
        <v>55</v>
      </c>
      <c r="F20" s="33">
        <v>475000</v>
      </c>
      <c r="G20" s="34">
        <v>2555.7399999999998</v>
      </c>
      <c r="H20" s="34">
        <v>2.2599999999999998</v>
      </c>
      <c r="I20" s="35"/>
      <c r="J20" s="35"/>
      <c r="K20" s="36"/>
    </row>
    <row r="21" spans="2:11" x14ac:dyDescent="0.3">
      <c r="B21" s="1" t="s">
        <v>56</v>
      </c>
      <c r="C21" s="21" t="s">
        <v>57</v>
      </c>
      <c r="D21" s="31" t="s">
        <v>58</v>
      </c>
      <c r="E21" s="32" t="s">
        <v>23</v>
      </c>
      <c r="F21" s="33">
        <v>2120000</v>
      </c>
      <c r="G21" s="34">
        <v>2513.2600000000002</v>
      </c>
      <c r="H21" s="34">
        <v>2.2200000000000002</v>
      </c>
      <c r="I21" s="35"/>
      <c r="J21" s="35"/>
      <c r="K21" s="36"/>
    </row>
    <row r="22" spans="2:11" x14ac:dyDescent="0.3">
      <c r="B22" s="1" t="s">
        <v>59</v>
      </c>
      <c r="C22" s="21" t="s">
        <v>60</v>
      </c>
      <c r="D22" s="31" t="s">
        <v>61</v>
      </c>
      <c r="E22" s="32" t="s">
        <v>62</v>
      </c>
      <c r="F22" s="33">
        <v>270000</v>
      </c>
      <c r="G22" s="34">
        <v>2429.46</v>
      </c>
      <c r="H22" s="34">
        <v>2.15</v>
      </c>
      <c r="I22" s="35"/>
      <c r="J22" s="35"/>
      <c r="K22" s="36"/>
    </row>
    <row r="23" spans="2:11" x14ac:dyDescent="0.3">
      <c r="B23" s="1" t="s">
        <v>63</v>
      </c>
      <c r="C23" s="21" t="s">
        <v>64</v>
      </c>
      <c r="D23" s="31" t="s">
        <v>65</v>
      </c>
      <c r="E23" s="32" t="s">
        <v>55</v>
      </c>
      <c r="F23" s="33">
        <v>13000</v>
      </c>
      <c r="G23" s="34">
        <v>2241.19</v>
      </c>
      <c r="H23" s="34">
        <v>1.98</v>
      </c>
      <c r="I23" s="35"/>
      <c r="J23" s="35"/>
      <c r="K23" s="36"/>
    </row>
    <row r="24" spans="2:11" x14ac:dyDescent="0.3">
      <c r="B24" s="1" t="s">
        <v>66</v>
      </c>
      <c r="C24" s="21" t="s">
        <v>67</v>
      </c>
      <c r="D24" s="31" t="s">
        <v>68</v>
      </c>
      <c r="E24" s="32" t="s">
        <v>62</v>
      </c>
      <c r="F24" s="33">
        <v>500000</v>
      </c>
      <c r="G24" s="34">
        <v>2108.5</v>
      </c>
      <c r="H24" s="34">
        <v>1.86</v>
      </c>
      <c r="I24" s="35"/>
      <c r="J24" s="35"/>
      <c r="K24" s="36"/>
    </row>
    <row r="25" spans="2:11" x14ac:dyDescent="0.3">
      <c r="B25" s="1" t="s">
        <v>69</v>
      </c>
      <c r="C25" s="21" t="s">
        <v>70</v>
      </c>
      <c r="D25" s="31" t="s">
        <v>71</v>
      </c>
      <c r="E25" s="32" t="s">
        <v>27</v>
      </c>
      <c r="F25" s="33">
        <v>55000</v>
      </c>
      <c r="G25" s="34">
        <v>2100.48</v>
      </c>
      <c r="H25" s="34">
        <v>1.86</v>
      </c>
      <c r="I25" s="35"/>
      <c r="J25" s="35"/>
      <c r="K25" s="36"/>
    </row>
    <row r="26" spans="2:11" x14ac:dyDescent="0.3">
      <c r="B26" s="1" t="s">
        <v>72</v>
      </c>
      <c r="C26" s="21" t="s">
        <v>73</v>
      </c>
      <c r="D26" s="31" t="s">
        <v>74</v>
      </c>
      <c r="E26" s="32" t="s">
        <v>75</v>
      </c>
      <c r="F26" s="33">
        <v>120000</v>
      </c>
      <c r="G26" s="34">
        <v>2061.12</v>
      </c>
      <c r="H26" s="34">
        <v>1.82</v>
      </c>
      <c r="I26" s="35"/>
      <c r="J26" s="35"/>
      <c r="K26" s="36"/>
    </row>
    <row r="27" spans="2:11" x14ac:dyDescent="0.3">
      <c r="B27" s="1" t="s">
        <v>76</v>
      </c>
      <c r="C27" s="21" t="s">
        <v>77</v>
      </c>
      <c r="D27" s="31" t="s">
        <v>78</v>
      </c>
      <c r="E27" s="32" t="s">
        <v>35</v>
      </c>
      <c r="F27" s="33">
        <v>150000</v>
      </c>
      <c r="G27" s="34">
        <v>2055.08</v>
      </c>
      <c r="H27" s="34">
        <v>1.82</v>
      </c>
      <c r="I27" s="35"/>
      <c r="J27" s="35"/>
      <c r="K27" s="36"/>
    </row>
    <row r="28" spans="2:11" x14ac:dyDescent="0.3">
      <c r="B28" s="1" t="s">
        <v>79</v>
      </c>
      <c r="C28" s="21" t="s">
        <v>80</v>
      </c>
      <c r="D28" s="31" t="s">
        <v>81</v>
      </c>
      <c r="E28" s="32" t="s">
        <v>82</v>
      </c>
      <c r="F28" s="33">
        <v>180000</v>
      </c>
      <c r="G28" s="34">
        <v>1989</v>
      </c>
      <c r="H28" s="34">
        <v>1.76</v>
      </c>
      <c r="I28" s="35"/>
      <c r="J28" s="35"/>
      <c r="K28" s="36"/>
    </row>
    <row r="29" spans="2:11" x14ac:dyDescent="0.3">
      <c r="B29" s="1" t="s">
        <v>83</v>
      </c>
      <c r="C29" s="21" t="s">
        <v>84</v>
      </c>
      <c r="D29" s="31" t="s">
        <v>85</v>
      </c>
      <c r="E29" s="32" t="s">
        <v>86</v>
      </c>
      <c r="F29" s="33">
        <v>200000</v>
      </c>
      <c r="G29" s="34">
        <v>1881.5</v>
      </c>
      <c r="H29" s="34">
        <v>1.66</v>
      </c>
      <c r="I29" s="35"/>
      <c r="J29" s="35"/>
      <c r="K29" s="36"/>
    </row>
    <row r="30" spans="2:11" x14ac:dyDescent="0.3">
      <c r="B30" s="1" t="s">
        <v>87</v>
      </c>
      <c r="C30" s="21" t="s">
        <v>88</v>
      </c>
      <c r="D30" s="31" t="s">
        <v>89</v>
      </c>
      <c r="E30" s="32" t="s">
        <v>39</v>
      </c>
      <c r="F30" s="33">
        <v>150000</v>
      </c>
      <c r="G30" s="34">
        <v>1830.23</v>
      </c>
      <c r="H30" s="34">
        <v>1.62</v>
      </c>
      <c r="I30" s="35"/>
      <c r="J30" s="35"/>
      <c r="K30" s="36"/>
    </row>
    <row r="31" spans="2:11" x14ac:dyDescent="0.3">
      <c r="B31" s="1" t="s">
        <v>90</v>
      </c>
      <c r="C31" s="21" t="s">
        <v>91</v>
      </c>
      <c r="D31" s="31" t="s">
        <v>92</v>
      </c>
      <c r="E31" s="32" t="s">
        <v>39</v>
      </c>
      <c r="F31" s="33">
        <v>35000</v>
      </c>
      <c r="G31" s="34">
        <v>1698.43</v>
      </c>
      <c r="H31" s="34">
        <v>1.5</v>
      </c>
      <c r="I31" s="35"/>
      <c r="J31" s="35"/>
      <c r="K31" s="36"/>
    </row>
    <row r="32" spans="2:11" x14ac:dyDescent="0.3">
      <c r="B32" s="1" t="s">
        <v>93</v>
      </c>
      <c r="C32" s="21" t="s">
        <v>94</v>
      </c>
      <c r="D32" s="31" t="s">
        <v>95</v>
      </c>
      <c r="E32" s="32" t="s">
        <v>96</v>
      </c>
      <c r="F32" s="33">
        <v>300000</v>
      </c>
      <c r="G32" s="34">
        <v>1687.8</v>
      </c>
      <c r="H32" s="34">
        <v>1.49</v>
      </c>
      <c r="I32" s="35"/>
      <c r="J32" s="35"/>
      <c r="K32" s="36"/>
    </row>
    <row r="33" spans="2:11" x14ac:dyDescent="0.3">
      <c r="B33" s="1" t="s">
        <v>97</v>
      </c>
      <c r="C33" s="21" t="s">
        <v>98</v>
      </c>
      <c r="D33" s="31" t="s">
        <v>99</v>
      </c>
      <c r="E33" s="32" t="s">
        <v>55</v>
      </c>
      <c r="F33" s="33">
        <v>75000</v>
      </c>
      <c r="G33" s="34">
        <v>1647.15</v>
      </c>
      <c r="H33" s="34">
        <v>1.46</v>
      </c>
      <c r="I33" s="35"/>
      <c r="J33" s="35"/>
      <c r="K33" s="36"/>
    </row>
    <row r="34" spans="2:11" x14ac:dyDescent="0.3">
      <c r="B34" s="1" t="s">
        <v>100</v>
      </c>
      <c r="C34" s="21" t="s">
        <v>101</v>
      </c>
      <c r="D34" s="31" t="s">
        <v>102</v>
      </c>
      <c r="E34" s="32" t="s">
        <v>96</v>
      </c>
      <c r="F34" s="33">
        <v>230000</v>
      </c>
      <c r="G34" s="34">
        <v>1588.73</v>
      </c>
      <c r="H34" s="34">
        <v>1.4</v>
      </c>
      <c r="I34" s="35"/>
      <c r="J34" s="35"/>
      <c r="K34" s="36"/>
    </row>
    <row r="35" spans="2:11" x14ac:dyDescent="0.3">
      <c r="B35" s="1" t="s">
        <v>103</v>
      </c>
      <c r="C35" s="21" t="s">
        <v>104</v>
      </c>
      <c r="D35" s="31" t="s">
        <v>105</v>
      </c>
      <c r="E35" s="32" t="s">
        <v>106</v>
      </c>
      <c r="F35" s="33">
        <v>50000</v>
      </c>
      <c r="G35" s="34">
        <v>1484.78</v>
      </c>
      <c r="H35" s="34">
        <v>1.31</v>
      </c>
      <c r="I35" s="35"/>
      <c r="J35" s="35"/>
      <c r="K35" s="36"/>
    </row>
    <row r="36" spans="2:11" x14ac:dyDescent="0.3">
      <c r="B36" s="1" t="s">
        <v>107</v>
      </c>
      <c r="C36" s="21" t="s">
        <v>108</v>
      </c>
      <c r="D36" s="31" t="s">
        <v>109</v>
      </c>
      <c r="E36" s="32" t="s">
        <v>110</v>
      </c>
      <c r="F36" s="33">
        <v>1063670</v>
      </c>
      <c r="G36" s="34">
        <v>1474.78</v>
      </c>
      <c r="H36" s="34">
        <v>1.3</v>
      </c>
      <c r="I36" s="35"/>
      <c r="J36" s="35"/>
      <c r="K36" s="36"/>
    </row>
    <row r="37" spans="2:11" x14ac:dyDescent="0.3">
      <c r="B37" s="1" t="s">
        <v>111</v>
      </c>
      <c r="C37" s="21" t="s">
        <v>112</v>
      </c>
      <c r="D37" s="31" t="s">
        <v>113</v>
      </c>
      <c r="E37" s="32" t="s">
        <v>114</v>
      </c>
      <c r="F37" s="33">
        <v>60000</v>
      </c>
      <c r="G37" s="34">
        <v>1422.63</v>
      </c>
      <c r="H37" s="34">
        <v>1.26</v>
      </c>
      <c r="I37" s="35"/>
      <c r="J37" s="35"/>
      <c r="K37" s="36"/>
    </row>
    <row r="38" spans="2:11" x14ac:dyDescent="0.3">
      <c r="B38" s="1" t="s">
        <v>115</v>
      </c>
      <c r="C38" s="21" t="s">
        <v>116</v>
      </c>
      <c r="D38" s="31" t="s">
        <v>117</v>
      </c>
      <c r="E38" s="32" t="s">
        <v>118</v>
      </c>
      <c r="F38" s="33">
        <v>150000</v>
      </c>
      <c r="G38" s="34">
        <v>1402.43</v>
      </c>
      <c r="H38" s="34">
        <v>1.24</v>
      </c>
      <c r="I38" s="35"/>
      <c r="J38" s="35"/>
      <c r="K38" s="36"/>
    </row>
    <row r="39" spans="2:11" x14ac:dyDescent="0.3">
      <c r="B39" s="1" t="s">
        <v>119</v>
      </c>
      <c r="C39" s="21" t="s">
        <v>120</v>
      </c>
      <c r="D39" s="31" t="s">
        <v>121</v>
      </c>
      <c r="E39" s="32" t="s">
        <v>86</v>
      </c>
      <c r="F39" s="33">
        <v>250000</v>
      </c>
      <c r="G39" s="34">
        <v>1346.63</v>
      </c>
      <c r="H39" s="34">
        <v>1.19</v>
      </c>
      <c r="I39" s="35"/>
      <c r="J39" s="35"/>
      <c r="K39" s="36"/>
    </row>
    <row r="40" spans="2:11" x14ac:dyDescent="0.3">
      <c r="B40" s="1" t="s">
        <v>122</v>
      </c>
      <c r="C40" s="21" t="s">
        <v>123</v>
      </c>
      <c r="D40" s="31" t="s">
        <v>124</v>
      </c>
      <c r="E40" s="32" t="s">
        <v>27</v>
      </c>
      <c r="F40" s="33">
        <v>21000</v>
      </c>
      <c r="G40" s="34">
        <v>1279.02</v>
      </c>
      <c r="H40" s="34">
        <v>1.1299999999999999</v>
      </c>
      <c r="I40" s="35"/>
      <c r="J40" s="35"/>
      <c r="K40" s="36"/>
    </row>
    <row r="41" spans="2:11" x14ac:dyDescent="0.3">
      <c r="B41" s="1" t="s">
        <v>125</v>
      </c>
      <c r="C41" s="21" t="s">
        <v>126</v>
      </c>
      <c r="D41" s="31" t="s">
        <v>127</v>
      </c>
      <c r="E41" s="32" t="s">
        <v>55</v>
      </c>
      <c r="F41" s="33">
        <v>250000</v>
      </c>
      <c r="G41" s="34">
        <v>1265.3800000000001</v>
      </c>
      <c r="H41" s="34">
        <v>1.1200000000000001</v>
      </c>
      <c r="I41" s="35"/>
      <c r="J41" s="35"/>
      <c r="K41" s="36"/>
    </row>
    <row r="42" spans="2:11" x14ac:dyDescent="0.3">
      <c r="B42" s="1" t="s">
        <v>128</v>
      </c>
      <c r="C42" s="21" t="s">
        <v>129</v>
      </c>
      <c r="D42" s="31" t="s">
        <v>130</v>
      </c>
      <c r="E42" s="32" t="s">
        <v>82</v>
      </c>
      <c r="F42" s="33">
        <v>120000</v>
      </c>
      <c r="G42" s="34">
        <v>1258.6199999999999</v>
      </c>
      <c r="H42" s="34">
        <v>1.1100000000000001</v>
      </c>
      <c r="I42" s="35"/>
      <c r="J42" s="35"/>
      <c r="K42" s="36"/>
    </row>
    <row r="43" spans="2:11" x14ac:dyDescent="0.3">
      <c r="B43" s="1" t="s">
        <v>131</v>
      </c>
      <c r="C43" s="21" t="s">
        <v>132</v>
      </c>
      <c r="D43" s="31" t="s">
        <v>133</v>
      </c>
      <c r="E43" s="32" t="s">
        <v>27</v>
      </c>
      <c r="F43" s="33">
        <v>32000</v>
      </c>
      <c r="G43" s="34">
        <v>1247.01</v>
      </c>
      <c r="H43" s="34">
        <v>1.1000000000000001</v>
      </c>
      <c r="I43" s="35"/>
      <c r="J43" s="35"/>
      <c r="K43" s="36"/>
    </row>
    <row r="44" spans="2:11" x14ac:dyDescent="0.3">
      <c r="B44" s="1" t="s">
        <v>134</v>
      </c>
      <c r="C44" s="21" t="s">
        <v>135</v>
      </c>
      <c r="D44" s="31" t="s">
        <v>136</v>
      </c>
      <c r="E44" s="32" t="s">
        <v>27</v>
      </c>
      <c r="F44" s="33">
        <v>170000</v>
      </c>
      <c r="G44" s="34">
        <v>1200.8800000000001</v>
      </c>
      <c r="H44" s="34">
        <v>1.06</v>
      </c>
      <c r="I44" s="35"/>
      <c r="J44" s="35"/>
      <c r="K44" s="36"/>
    </row>
    <row r="45" spans="2:11" x14ac:dyDescent="0.3">
      <c r="B45" s="1" t="s">
        <v>137</v>
      </c>
      <c r="C45" s="21" t="s">
        <v>138</v>
      </c>
      <c r="D45" s="31" t="s">
        <v>139</v>
      </c>
      <c r="E45" s="32" t="s">
        <v>62</v>
      </c>
      <c r="F45" s="33">
        <v>210000</v>
      </c>
      <c r="G45" s="34">
        <v>1177.79</v>
      </c>
      <c r="H45" s="34">
        <v>1.04</v>
      </c>
      <c r="I45" s="35"/>
      <c r="J45" s="35"/>
      <c r="K45" s="36"/>
    </row>
    <row r="46" spans="2:11" x14ac:dyDescent="0.3">
      <c r="B46" s="1" t="s">
        <v>140</v>
      </c>
      <c r="C46" s="21" t="s">
        <v>141</v>
      </c>
      <c r="D46" s="31" t="s">
        <v>142</v>
      </c>
      <c r="E46" s="32" t="s">
        <v>35</v>
      </c>
      <c r="F46" s="33">
        <v>149024</v>
      </c>
      <c r="G46" s="34">
        <v>1149.42</v>
      </c>
      <c r="H46" s="34">
        <v>1.02</v>
      </c>
      <c r="I46" s="35"/>
      <c r="J46" s="35"/>
      <c r="K46" s="36"/>
    </row>
    <row r="47" spans="2:11" x14ac:dyDescent="0.3">
      <c r="B47" s="1" t="s">
        <v>143</v>
      </c>
      <c r="C47" s="21" t="s">
        <v>144</v>
      </c>
      <c r="D47" s="31" t="s">
        <v>145</v>
      </c>
      <c r="E47" s="32" t="s">
        <v>35</v>
      </c>
      <c r="F47" s="33">
        <v>85000</v>
      </c>
      <c r="G47" s="34">
        <v>1137.3</v>
      </c>
      <c r="H47" s="34">
        <v>1.01</v>
      </c>
      <c r="I47" s="35"/>
      <c r="J47" s="35"/>
      <c r="K47" s="36"/>
    </row>
    <row r="48" spans="2:11" x14ac:dyDescent="0.3">
      <c r="B48" s="1" t="s">
        <v>146</v>
      </c>
      <c r="C48" s="21" t="s">
        <v>147</v>
      </c>
      <c r="D48" s="31" t="s">
        <v>148</v>
      </c>
      <c r="E48" s="32" t="s">
        <v>35</v>
      </c>
      <c r="F48" s="33">
        <v>70000</v>
      </c>
      <c r="G48" s="34">
        <v>1132.5</v>
      </c>
      <c r="H48" s="34">
        <v>1</v>
      </c>
      <c r="I48" s="35"/>
      <c r="J48" s="35"/>
      <c r="K48" s="36"/>
    </row>
    <row r="49" spans="2:11" x14ac:dyDescent="0.3">
      <c r="B49" s="1" t="s">
        <v>149</v>
      </c>
      <c r="C49" s="21" t="s">
        <v>150</v>
      </c>
      <c r="D49" s="31" t="s">
        <v>151</v>
      </c>
      <c r="E49" s="32" t="s">
        <v>35</v>
      </c>
      <c r="F49" s="33">
        <v>352500</v>
      </c>
      <c r="G49" s="34">
        <v>1128.8800000000001</v>
      </c>
      <c r="H49" s="34">
        <v>1</v>
      </c>
      <c r="I49" s="35"/>
      <c r="J49" s="35"/>
      <c r="K49" s="36"/>
    </row>
    <row r="50" spans="2:11" x14ac:dyDescent="0.3">
      <c r="B50" s="1" t="s">
        <v>152</v>
      </c>
      <c r="C50" s="21" t="s">
        <v>153</v>
      </c>
      <c r="D50" s="31" t="s">
        <v>154</v>
      </c>
      <c r="E50" s="32" t="s">
        <v>23</v>
      </c>
      <c r="F50" s="33">
        <v>160000</v>
      </c>
      <c r="G50" s="34">
        <v>1098.24</v>
      </c>
      <c r="H50" s="34">
        <v>0.97</v>
      </c>
      <c r="I50" s="35"/>
      <c r="J50" s="35"/>
      <c r="K50" s="36"/>
    </row>
    <row r="51" spans="2:11" x14ac:dyDescent="0.3">
      <c r="B51" s="1" t="s">
        <v>155</v>
      </c>
      <c r="C51" s="21" t="s">
        <v>156</v>
      </c>
      <c r="D51" s="31" t="s">
        <v>157</v>
      </c>
      <c r="E51" s="32" t="s">
        <v>158</v>
      </c>
      <c r="F51" s="33">
        <v>15000</v>
      </c>
      <c r="G51" s="34">
        <v>1068.29</v>
      </c>
      <c r="H51" s="34">
        <v>0.94</v>
      </c>
      <c r="I51" s="35"/>
      <c r="J51" s="35"/>
      <c r="K51" s="36"/>
    </row>
    <row r="52" spans="2:11" x14ac:dyDescent="0.3">
      <c r="B52" s="1" t="s">
        <v>159</v>
      </c>
      <c r="C52" s="21" t="s">
        <v>160</v>
      </c>
      <c r="D52" s="31" t="s">
        <v>161</v>
      </c>
      <c r="E52" s="32" t="s">
        <v>55</v>
      </c>
      <c r="F52" s="33">
        <v>75000</v>
      </c>
      <c r="G52" s="34">
        <v>756.15</v>
      </c>
      <c r="H52" s="34">
        <v>0.67</v>
      </c>
      <c r="I52" s="35"/>
      <c r="J52" s="35"/>
      <c r="K52" s="36"/>
    </row>
    <row r="53" spans="2:11" x14ac:dyDescent="0.3">
      <c r="C53" s="30" t="s">
        <v>162</v>
      </c>
      <c r="D53" s="31"/>
      <c r="E53" s="32"/>
      <c r="F53" s="33"/>
      <c r="G53" s="38">
        <v>110443.72</v>
      </c>
      <c r="H53" s="38">
        <v>97.62</v>
      </c>
      <c r="I53" s="35"/>
      <c r="J53" s="35"/>
      <c r="K53" s="36"/>
    </row>
    <row r="54" spans="2:11" x14ac:dyDescent="0.3">
      <c r="C54" s="21"/>
      <c r="D54" s="31"/>
      <c r="E54" s="32"/>
      <c r="F54" s="33"/>
      <c r="G54" s="34"/>
      <c r="H54" s="34"/>
      <c r="I54" s="35"/>
      <c r="J54" s="35"/>
      <c r="K54" s="36"/>
    </row>
    <row r="55" spans="2:11" x14ac:dyDescent="0.3">
      <c r="C55" s="30" t="s">
        <v>163</v>
      </c>
      <c r="D55" s="31"/>
      <c r="E55" s="32"/>
      <c r="F55" s="33"/>
      <c r="G55" s="34" t="s">
        <v>164</v>
      </c>
      <c r="H55" s="34" t="s">
        <v>164</v>
      </c>
      <c r="I55" s="35"/>
      <c r="J55" s="35"/>
      <c r="K55" s="36"/>
    </row>
    <row r="56" spans="2:11" x14ac:dyDescent="0.3">
      <c r="C56" s="21"/>
      <c r="D56" s="31"/>
      <c r="E56" s="32"/>
      <c r="F56" s="33"/>
      <c r="G56" s="34"/>
      <c r="H56" s="34"/>
      <c r="I56" s="35"/>
      <c r="J56" s="35"/>
      <c r="K56" s="36"/>
    </row>
    <row r="57" spans="2:11" x14ac:dyDescent="0.3">
      <c r="C57" s="30" t="s">
        <v>165</v>
      </c>
      <c r="D57" s="31"/>
      <c r="E57" s="32"/>
      <c r="F57" s="33"/>
      <c r="G57" s="34" t="s">
        <v>164</v>
      </c>
      <c r="H57" s="34" t="s">
        <v>164</v>
      </c>
      <c r="I57" s="35"/>
      <c r="J57" s="35"/>
      <c r="K57" s="36"/>
    </row>
    <row r="58" spans="2:11" x14ac:dyDescent="0.3">
      <c r="C58" s="21"/>
      <c r="D58" s="31"/>
      <c r="E58" s="32"/>
      <c r="F58" s="33"/>
      <c r="G58" s="34"/>
      <c r="H58" s="34"/>
      <c r="I58" s="35"/>
      <c r="J58" s="35"/>
      <c r="K58" s="36"/>
    </row>
    <row r="59" spans="2:11" x14ac:dyDescent="0.3">
      <c r="C59" s="30" t="s">
        <v>166</v>
      </c>
      <c r="D59" s="31"/>
      <c r="E59" s="32"/>
      <c r="F59" s="33"/>
      <c r="G59" s="34"/>
      <c r="H59" s="34"/>
      <c r="I59" s="35"/>
      <c r="J59" s="35"/>
      <c r="K59" s="36"/>
    </row>
    <row r="60" spans="2:11" x14ac:dyDescent="0.3">
      <c r="C60" s="21"/>
      <c r="D60" s="31"/>
      <c r="E60" s="32"/>
      <c r="F60" s="33"/>
      <c r="G60" s="34"/>
      <c r="H60" s="34"/>
      <c r="I60" s="35"/>
      <c r="J60" s="35"/>
      <c r="K60" s="36"/>
    </row>
    <row r="61" spans="2:11" x14ac:dyDescent="0.3">
      <c r="C61" s="30" t="s">
        <v>167</v>
      </c>
      <c r="D61" s="31"/>
      <c r="E61" s="32"/>
      <c r="F61" s="33"/>
      <c r="G61" s="34" t="s">
        <v>164</v>
      </c>
      <c r="H61" s="34" t="s">
        <v>164</v>
      </c>
      <c r="I61" s="35"/>
      <c r="J61" s="35"/>
      <c r="K61" s="36"/>
    </row>
    <row r="62" spans="2:11" x14ac:dyDescent="0.3">
      <c r="C62" s="21"/>
      <c r="D62" s="31"/>
      <c r="E62" s="32"/>
      <c r="F62" s="33"/>
      <c r="G62" s="34"/>
      <c r="H62" s="34"/>
      <c r="I62" s="35"/>
      <c r="J62" s="35"/>
      <c r="K62" s="36"/>
    </row>
    <row r="63" spans="2:11" x14ac:dyDescent="0.3">
      <c r="C63" s="30" t="s">
        <v>168</v>
      </c>
      <c r="D63" s="31"/>
      <c r="E63" s="32"/>
      <c r="F63" s="33"/>
      <c r="G63" s="34" t="s">
        <v>164</v>
      </c>
      <c r="H63" s="34" t="s">
        <v>164</v>
      </c>
      <c r="I63" s="35"/>
      <c r="J63" s="35"/>
      <c r="K63" s="36"/>
    </row>
    <row r="64" spans="2:11" x14ac:dyDescent="0.3">
      <c r="C64" s="21"/>
      <c r="D64" s="31"/>
      <c r="E64" s="32"/>
      <c r="F64" s="33"/>
      <c r="G64" s="34"/>
      <c r="H64" s="34"/>
      <c r="I64" s="35"/>
      <c r="J64" s="35"/>
      <c r="K64" s="36"/>
    </row>
    <row r="65" spans="1:11" x14ac:dyDescent="0.3">
      <c r="C65" s="30" t="s">
        <v>169</v>
      </c>
      <c r="D65" s="31"/>
      <c r="E65" s="32"/>
      <c r="F65" s="33"/>
      <c r="G65" s="34" t="s">
        <v>164</v>
      </c>
      <c r="H65" s="34" t="s">
        <v>164</v>
      </c>
      <c r="I65" s="35"/>
      <c r="J65" s="35"/>
      <c r="K65" s="36"/>
    </row>
    <row r="66" spans="1:11" x14ac:dyDescent="0.3">
      <c r="C66" s="21"/>
      <c r="D66" s="31"/>
      <c r="E66" s="32"/>
      <c r="F66" s="33"/>
      <c r="G66" s="34"/>
      <c r="H66" s="34"/>
      <c r="I66" s="35"/>
      <c r="J66" s="35"/>
      <c r="K66" s="36"/>
    </row>
    <row r="67" spans="1:11" x14ac:dyDescent="0.3">
      <c r="C67" s="30" t="s">
        <v>170</v>
      </c>
      <c r="D67" s="31"/>
      <c r="E67" s="32"/>
      <c r="F67" s="33"/>
      <c r="G67" s="34" t="s">
        <v>164</v>
      </c>
      <c r="H67" s="34" t="s">
        <v>164</v>
      </c>
      <c r="I67" s="35"/>
      <c r="J67" s="35"/>
      <c r="K67" s="36"/>
    </row>
    <row r="68" spans="1:11" x14ac:dyDescent="0.3">
      <c r="C68" s="21"/>
      <c r="D68" s="31"/>
      <c r="E68" s="32"/>
      <c r="F68" s="33"/>
      <c r="G68" s="34"/>
      <c r="H68" s="34"/>
      <c r="I68" s="35"/>
      <c r="J68" s="35"/>
      <c r="K68" s="36"/>
    </row>
    <row r="69" spans="1:11" x14ac:dyDescent="0.3">
      <c r="C69" s="30" t="s">
        <v>171</v>
      </c>
      <c r="D69" s="31"/>
      <c r="E69" s="32"/>
      <c r="F69" s="33"/>
      <c r="G69" s="34" t="s">
        <v>164</v>
      </c>
      <c r="H69" s="34" t="s">
        <v>164</v>
      </c>
      <c r="I69" s="35"/>
      <c r="J69" s="35"/>
      <c r="K69" s="36"/>
    </row>
    <row r="70" spans="1:11" x14ac:dyDescent="0.3">
      <c r="C70" s="21"/>
      <c r="D70" s="31"/>
      <c r="E70" s="32"/>
      <c r="F70" s="33"/>
      <c r="G70" s="34"/>
      <c r="H70" s="34"/>
      <c r="I70" s="35"/>
      <c r="J70" s="35"/>
      <c r="K70" s="36"/>
    </row>
    <row r="71" spans="1:11" x14ac:dyDescent="0.3">
      <c r="A71" s="28"/>
      <c r="B71" s="29"/>
      <c r="C71" s="30" t="s">
        <v>172</v>
      </c>
      <c r="D71" s="31"/>
      <c r="E71" s="32"/>
      <c r="F71" s="33"/>
      <c r="G71" s="34"/>
      <c r="H71" s="34"/>
      <c r="I71" s="35"/>
      <c r="J71" s="35"/>
      <c r="K71" s="36"/>
    </row>
    <row r="72" spans="1:11" x14ac:dyDescent="0.3">
      <c r="A72" s="29"/>
      <c r="B72" s="29"/>
      <c r="C72" s="30" t="s">
        <v>173</v>
      </c>
      <c r="D72" s="31"/>
      <c r="E72" s="32"/>
      <c r="F72" s="33"/>
      <c r="G72" s="34" t="s">
        <v>164</v>
      </c>
      <c r="H72" s="34" t="s">
        <v>164</v>
      </c>
      <c r="I72" s="35"/>
      <c r="J72" s="35"/>
      <c r="K72" s="36"/>
    </row>
    <row r="73" spans="1:11" x14ac:dyDescent="0.3">
      <c r="A73" s="29"/>
      <c r="B73" s="29"/>
      <c r="C73" s="30"/>
      <c r="D73" s="31"/>
      <c r="E73" s="32"/>
      <c r="F73" s="33"/>
      <c r="G73" s="34"/>
      <c r="H73" s="34"/>
      <c r="I73" s="35"/>
      <c r="J73" s="35"/>
      <c r="K73" s="36"/>
    </row>
    <row r="74" spans="1:11" x14ac:dyDescent="0.3">
      <c r="A74" s="29"/>
      <c r="B74" s="29"/>
      <c r="C74" s="30" t="s">
        <v>174</v>
      </c>
      <c r="D74" s="31"/>
      <c r="E74" s="32"/>
      <c r="F74" s="33"/>
      <c r="G74" s="34" t="s">
        <v>164</v>
      </c>
      <c r="H74" s="34" t="s">
        <v>164</v>
      </c>
      <c r="I74" s="35"/>
      <c r="J74" s="35"/>
      <c r="K74" s="36"/>
    </row>
    <row r="75" spans="1:11" x14ac:dyDescent="0.3">
      <c r="A75" s="29"/>
      <c r="B75" s="29"/>
      <c r="C75" s="30"/>
      <c r="D75" s="31"/>
      <c r="E75" s="32"/>
      <c r="F75" s="33"/>
      <c r="G75" s="34"/>
      <c r="H75" s="34"/>
      <c r="I75" s="35"/>
      <c r="J75" s="35"/>
      <c r="K75" s="36"/>
    </row>
    <row r="76" spans="1:11" x14ac:dyDescent="0.3">
      <c r="C76" s="37" t="s">
        <v>175</v>
      </c>
      <c r="D76" s="31"/>
      <c r="E76" s="32"/>
      <c r="F76" s="33"/>
      <c r="G76" s="34"/>
      <c r="H76" s="34"/>
      <c r="I76" s="35"/>
      <c r="J76" s="35"/>
      <c r="K76" s="36"/>
    </row>
    <row r="77" spans="1:11" x14ac:dyDescent="0.3">
      <c r="B77" s="1" t="s">
        <v>176</v>
      </c>
      <c r="C77" s="21" t="s">
        <v>177</v>
      </c>
      <c r="D77" s="31" t="s">
        <v>178</v>
      </c>
      <c r="E77" s="32" t="s">
        <v>179</v>
      </c>
      <c r="F77" s="33">
        <v>900000</v>
      </c>
      <c r="G77" s="34">
        <v>896.65</v>
      </c>
      <c r="H77" s="34">
        <v>0.79</v>
      </c>
      <c r="I77" s="35">
        <v>6.8198999999999996</v>
      </c>
      <c r="J77" s="35"/>
      <c r="K77" s="36"/>
    </row>
    <row r="78" spans="1:11" x14ac:dyDescent="0.3">
      <c r="C78" s="30" t="s">
        <v>162</v>
      </c>
      <c r="D78" s="31"/>
      <c r="E78" s="32"/>
      <c r="F78" s="33"/>
      <c r="G78" s="38">
        <v>896.65</v>
      </c>
      <c r="H78" s="38">
        <v>0.79</v>
      </c>
      <c r="I78" s="35"/>
      <c r="J78" s="35"/>
      <c r="K78" s="36"/>
    </row>
    <row r="79" spans="1:11" x14ac:dyDescent="0.3">
      <c r="C79" s="21"/>
      <c r="D79" s="31"/>
      <c r="E79" s="32"/>
      <c r="F79" s="33"/>
      <c r="G79" s="34"/>
      <c r="H79" s="34"/>
      <c r="I79" s="35"/>
      <c r="J79" s="35"/>
      <c r="K79" s="36"/>
    </row>
    <row r="80" spans="1:11" x14ac:dyDescent="0.3">
      <c r="C80" s="30" t="s">
        <v>180</v>
      </c>
      <c r="D80" s="31"/>
      <c r="E80" s="32"/>
      <c r="F80" s="33"/>
      <c r="G80" s="34" t="s">
        <v>164</v>
      </c>
      <c r="H80" s="34" t="s">
        <v>164</v>
      </c>
      <c r="I80" s="35"/>
      <c r="J80" s="35"/>
      <c r="K80" s="36"/>
    </row>
    <row r="81" spans="1:11" x14ac:dyDescent="0.3">
      <c r="C81" s="21"/>
      <c r="D81" s="31"/>
      <c r="E81" s="32"/>
      <c r="F81" s="33"/>
      <c r="G81" s="34"/>
      <c r="H81" s="34"/>
      <c r="I81" s="35"/>
      <c r="J81" s="35"/>
      <c r="K81" s="36"/>
    </row>
    <row r="82" spans="1:11" x14ac:dyDescent="0.3">
      <c r="A82" s="28"/>
      <c r="B82" s="29"/>
      <c r="C82" s="30" t="s">
        <v>181</v>
      </c>
      <c r="D82" s="31"/>
      <c r="E82" s="32"/>
      <c r="F82" s="33"/>
      <c r="G82" s="34"/>
      <c r="H82" s="34"/>
      <c r="I82" s="35"/>
      <c r="J82" s="35"/>
      <c r="K82" s="36"/>
    </row>
    <row r="83" spans="1:11" x14ac:dyDescent="0.3">
      <c r="A83" s="29"/>
      <c r="B83" s="29"/>
      <c r="C83" s="30" t="s">
        <v>182</v>
      </c>
      <c r="D83" s="31"/>
      <c r="E83" s="32"/>
      <c r="F83" s="33"/>
      <c r="G83" s="34" t="s">
        <v>164</v>
      </c>
      <c r="H83" s="34" t="s">
        <v>164</v>
      </c>
      <c r="I83" s="35"/>
      <c r="J83" s="35"/>
      <c r="K83" s="36"/>
    </row>
    <row r="84" spans="1:11" x14ac:dyDescent="0.3">
      <c r="A84" s="29"/>
      <c r="B84" s="29"/>
      <c r="C84" s="30"/>
      <c r="D84" s="31"/>
      <c r="E84" s="32"/>
      <c r="F84" s="33"/>
      <c r="G84" s="34"/>
      <c r="H84" s="34"/>
      <c r="I84" s="35"/>
      <c r="J84" s="35"/>
      <c r="K84" s="36"/>
    </row>
    <row r="85" spans="1:11" x14ac:dyDescent="0.3">
      <c r="A85" s="29"/>
      <c r="B85" s="29"/>
      <c r="C85" s="30" t="s">
        <v>183</v>
      </c>
      <c r="D85" s="31"/>
      <c r="E85" s="32"/>
      <c r="F85" s="33"/>
      <c r="G85" s="34" t="s">
        <v>164</v>
      </c>
      <c r="H85" s="34" t="s">
        <v>164</v>
      </c>
      <c r="I85" s="35"/>
      <c r="J85" s="35"/>
      <c r="K85" s="36"/>
    </row>
    <row r="86" spans="1:11" x14ac:dyDescent="0.3">
      <c r="A86" s="29"/>
      <c r="B86" s="29"/>
      <c r="C86" s="30"/>
      <c r="D86" s="31"/>
      <c r="E86" s="32"/>
      <c r="F86" s="33"/>
      <c r="G86" s="34"/>
      <c r="H86" s="34"/>
      <c r="I86" s="35"/>
      <c r="J86" s="35"/>
      <c r="K86" s="36"/>
    </row>
    <row r="87" spans="1:11" x14ac:dyDescent="0.3">
      <c r="A87" s="29"/>
      <c r="B87" s="29"/>
      <c r="C87" s="30" t="s">
        <v>184</v>
      </c>
      <c r="D87" s="31"/>
      <c r="E87" s="32"/>
      <c r="F87" s="33"/>
      <c r="G87" s="34" t="s">
        <v>164</v>
      </c>
      <c r="H87" s="34" t="s">
        <v>164</v>
      </c>
      <c r="I87" s="35"/>
      <c r="J87" s="35"/>
      <c r="K87" s="36"/>
    </row>
    <row r="88" spans="1:11" x14ac:dyDescent="0.3">
      <c r="A88" s="29"/>
      <c r="B88" s="29"/>
      <c r="C88" s="30"/>
      <c r="D88" s="31"/>
      <c r="E88" s="32"/>
      <c r="F88" s="33"/>
      <c r="G88" s="34"/>
      <c r="H88" s="34"/>
      <c r="I88" s="35"/>
      <c r="J88" s="35"/>
      <c r="K88" s="36"/>
    </row>
    <row r="89" spans="1:11" x14ac:dyDescent="0.3">
      <c r="A89" s="29"/>
      <c r="B89" s="29"/>
      <c r="C89" s="30" t="s">
        <v>185</v>
      </c>
      <c r="D89" s="31"/>
      <c r="E89" s="32"/>
      <c r="F89" s="33"/>
      <c r="G89" s="34" t="s">
        <v>164</v>
      </c>
      <c r="H89" s="34" t="s">
        <v>164</v>
      </c>
      <c r="I89" s="35"/>
      <c r="J89" s="35"/>
      <c r="K89" s="36"/>
    </row>
    <row r="90" spans="1:11" x14ac:dyDescent="0.3">
      <c r="A90" s="29"/>
      <c r="B90" s="29"/>
      <c r="C90" s="30"/>
      <c r="D90" s="31"/>
      <c r="E90" s="32"/>
      <c r="F90" s="33"/>
      <c r="G90" s="34"/>
      <c r="H90" s="34"/>
      <c r="I90" s="35"/>
      <c r="J90" s="35"/>
      <c r="K90" s="36"/>
    </row>
    <row r="91" spans="1:11" x14ac:dyDescent="0.3">
      <c r="C91" s="37" t="s">
        <v>186</v>
      </c>
      <c r="D91" s="31"/>
      <c r="E91" s="32"/>
      <c r="F91" s="33"/>
      <c r="G91" s="34"/>
      <c r="H91" s="34"/>
      <c r="I91" s="35"/>
      <c r="J91" s="35"/>
      <c r="K91" s="36"/>
    </row>
    <row r="92" spans="1:11" x14ac:dyDescent="0.3">
      <c r="B92" s="1" t="s">
        <v>187</v>
      </c>
      <c r="C92" s="21" t="s">
        <v>188</v>
      </c>
      <c r="D92" s="31"/>
      <c r="E92" s="32"/>
      <c r="F92" s="33"/>
      <c r="G92" s="34">
        <v>2171.9699999999998</v>
      </c>
      <c r="H92" s="34">
        <v>1.92</v>
      </c>
      <c r="I92" s="35">
        <v>6.76</v>
      </c>
      <c r="J92" s="35"/>
      <c r="K92" s="36"/>
    </row>
    <row r="93" spans="1:11" x14ac:dyDescent="0.3">
      <c r="C93" s="30" t="s">
        <v>162</v>
      </c>
      <c r="D93" s="31"/>
      <c r="E93" s="32"/>
      <c r="F93" s="33"/>
      <c r="G93" s="38">
        <v>2171.9699999999998</v>
      </c>
      <c r="H93" s="38">
        <v>1.92</v>
      </c>
      <c r="I93" s="35"/>
      <c r="J93" s="35"/>
      <c r="K93" s="36"/>
    </row>
    <row r="94" spans="1:11" x14ac:dyDescent="0.3">
      <c r="C94" s="21"/>
      <c r="D94" s="31"/>
      <c r="E94" s="32"/>
      <c r="F94" s="33"/>
      <c r="G94" s="34"/>
      <c r="H94" s="34"/>
      <c r="I94" s="35"/>
      <c r="J94" s="35"/>
      <c r="K94" s="36"/>
    </row>
    <row r="95" spans="1:11" x14ac:dyDescent="0.3">
      <c r="A95" s="28"/>
      <c r="B95" s="29"/>
      <c r="C95" s="30" t="s">
        <v>189</v>
      </c>
      <c r="D95" s="31"/>
      <c r="E95" s="32"/>
      <c r="F95" s="33"/>
      <c r="G95" s="34"/>
      <c r="H95" s="34"/>
      <c r="I95" s="35"/>
      <c r="J95" s="35"/>
      <c r="K95" s="36"/>
    </row>
    <row r="96" spans="1:11" x14ac:dyDescent="0.3">
      <c r="B96" s="1"/>
      <c r="C96" s="21" t="s">
        <v>190</v>
      </c>
      <c r="D96" s="31"/>
      <c r="E96" s="32"/>
      <c r="F96" s="33"/>
      <c r="G96" s="34">
        <v>-394.53</v>
      </c>
      <c r="H96" s="34">
        <v>-0.32999999999999996</v>
      </c>
      <c r="I96" s="35"/>
      <c r="J96" s="35"/>
      <c r="K96" s="36"/>
    </row>
    <row r="97" spans="3:11" x14ac:dyDescent="0.3">
      <c r="C97" s="30" t="s">
        <v>162</v>
      </c>
      <c r="D97" s="31"/>
      <c r="E97" s="32"/>
      <c r="F97" s="33"/>
      <c r="G97" s="38">
        <v>-394.53</v>
      </c>
      <c r="H97" s="38">
        <v>-0.32999999999999996</v>
      </c>
      <c r="I97" s="35"/>
      <c r="J97" s="35"/>
      <c r="K97" s="36"/>
    </row>
    <row r="98" spans="3:11" x14ac:dyDescent="0.3">
      <c r="C98" s="21"/>
      <c r="D98" s="31"/>
      <c r="E98" s="32"/>
      <c r="F98" s="33"/>
      <c r="G98" s="34"/>
      <c r="H98" s="34"/>
      <c r="I98" s="35"/>
      <c r="J98" s="35"/>
      <c r="K98" s="36"/>
    </row>
    <row r="99" spans="3:11" ht="14.4" thickBot="1" x14ac:dyDescent="0.35">
      <c r="C99" s="39" t="s">
        <v>191</v>
      </c>
      <c r="D99" s="40"/>
      <c r="E99" s="41"/>
      <c r="F99" s="42"/>
      <c r="G99" s="43">
        <v>113117.81</v>
      </c>
      <c r="H99" s="43">
        <f>SUMIFS(H:H,C:C,"Total")</f>
        <v>100.00000000000001</v>
      </c>
      <c r="I99" s="44"/>
      <c r="J99" s="44"/>
      <c r="K99" s="45"/>
    </row>
    <row r="101" spans="3:11" x14ac:dyDescent="0.3">
      <c r="C101" s="46" t="s">
        <v>192</v>
      </c>
      <c r="D101" s="47"/>
      <c r="E101" s="47"/>
      <c r="F101" s="47"/>
      <c r="G101" s="48"/>
      <c r="H101" s="48"/>
    </row>
    <row r="102" spans="3:11" x14ac:dyDescent="0.3">
      <c r="C102" s="49" t="s">
        <v>193</v>
      </c>
      <c r="D102" s="47"/>
      <c r="E102" s="47"/>
      <c r="F102" s="47"/>
      <c r="G102" s="48"/>
      <c r="H102" s="48"/>
    </row>
    <row r="103" spans="3:11" x14ac:dyDescent="0.3">
      <c r="C103" s="50" t="s">
        <v>194</v>
      </c>
      <c r="D103" s="51" t="s">
        <v>195</v>
      </c>
      <c r="E103" s="52" t="s">
        <v>196</v>
      </c>
      <c r="F103" s="53" t="s">
        <v>197</v>
      </c>
      <c r="G103" s="54" t="s">
        <v>198</v>
      </c>
      <c r="H103" s="54" t="s">
        <v>199</v>
      </c>
    </row>
    <row r="104" spans="3:11" x14ac:dyDescent="0.3">
      <c r="C104" s="79" t="s">
        <v>200</v>
      </c>
      <c r="D104" s="80"/>
      <c r="E104" s="80"/>
      <c r="F104" s="80"/>
      <c r="G104" s="80"/>
      <c r="H104" s="81"/>
    </row>
    <row r="105" spans="3:11" x14ac:dyDescent="0.3">
      <c r="C105" s="49"/>
      <c r="D105" s="47"/>
      <c r="E105" s="47"/>
      <c r="F105" s="47"/>
      <c r="G105" s="48"/>
      <c r="H105" s="48"/>
    </row>
    <row r="106" spans="3:11" x14ac:dyDescent="0.3">
      <c r="C106" s="55" t="s">
        <v>201</v>
      </c>
      <c r="D106" s="47"/>
      <c r="E106" s="47"/>
      <c r="F106" s="47"/>
      <c r="G106" s="48"/>
      <c r="H106" s="48"/>
    </row>
    <row r="107" spans="3:11" x14ac:dyDescent="0.3">
      <c r="C107" s="49"/>
      <c r="D107" s="47"/>
      <c r="E107" s="47"/>
      <c r="F107" s="47"/>
      <c r="G107" s="48"/>
      <c r="H107" s="48"/>
    </row>
    <row r="108" spans="3:11" x14ac:dyDescent="0.3">
      <c r="C108" s="46" t="s">
        <v>202</v>
      </c>
      <c r="D108" s="47"/>
      <c r="E108" s="47"/>
      <c r="F108" s="47"/>
      <c r="G108" s="48"/>
      <c r="H108" s="48"/>
    </row>
    <row r="109" spans="3:11" x14ac:dyDescent="0.3">
      <c r="C109" s="55" t="s">
        <v>203</v>
      </c>
      <c r="D109" s="56"/>
      <c r="E109" s="47"/>
      <c r="F109" s="47"/>
      <c r="G109" s="48"/>
      <c r="H109" s="48"/>
    </row>
    <row r="110" spans="3:11" x14ac:dyDescent="0.3">
      <c r="C110" s="55" t="s">
        <v>204</v>
      </c>
      <c r="D110" s="56"/>
      <c r="E110" s="57"/>
      <c r="F110" s="56"/>
      <c r="G110" s="48"/>
      <c r="H110" s="48"/>
    </row>
    <row r="111" spans="3:11" x14ac:dyDescent="0.3">
      <c r="C111" s="55" t="s">
        <v>205</v>
      </c>
      <c r="D111" s="58"/>
      <c r="E111" s="58"/>
      <c r="F111" s="47"/>
      <c r="G111" s="48"/>
      <c r="H111" s="48"/>
    </row>
    <row r="112" spans="3:11" x14ac:dyDescent="0.3">
      <c r="C112" s="55" t="s">
        <v>206</v>
      </c>
      <c r="D112" s="58"/>
      <c r="E112" s="58"/>
      <c r="F112" s="58"/>
      <c r="G112" s="48"/>
      <c r="H112" s="48"/>
    </row>
    <row r="113" spans="3:8" x14ac:dyDescent="0.3">
      <c r="C113" s="59" t="s">
        <v>207</v>
      </c>
      <c r="D113" s="58"/>
      <c r="E113" s="58"/>
      <c r="F113" s="58"/>
      <c r="G113" s="48"/>
      <c r="H113" s="48"/>
    </row>
    <row r="114" spans="3:8" x14ac:dyDescent="0.3">
      <c r="C114" s="49"/>
      <c r="D114" s="47"/>
      <c r="E114" s="47"/>
      <c r="F114" s="58"/>
      <c r="G114" s="48"/>
      <c r="H114" s="48"/>
    </row>
    <row r="115" spans="3:8" x14ac:dyDescent="0.3">
      <c r="C115" s="46" t="s">
        <v>208</v>
      </c>
      <c r="D115" s="55"/>
      <c r="E115" s="55"/>
      <c r="F115" s="55"/>
      <c r="G115" s="55"/>
      <c r="H115" s="60"/>
    </row>
    <row r="116" spans="3:8" x14ac:dyDescent="0.3">
      <c r="C116" s="61" t="s">
        <v>194</v>
      </c>
      <c r="D116" s="61" t="s">
        <v>195</v>
      </c>
      <c r="E116" s="54" t="s">
        <v>209</v>
      </c>
      <c r="F116" s="54" t="s">
        <v>197</v>
      </c>
      <c r="G116" s="54" t="s">
        <v>198</v>
      </c>
      <c r="H116" s="54" t="s">
        <v>199</v>
      </c>
    </row>
    <row r="117" spans="3:8" x14ac:dyDescent="0.3">
      <c r="C117" s="79" t="s">
        <v>200</v>
      </c>
      <c r="D117" s="80"/>
      <c r="E117" s="80"/>
      <c r="F117" s="80"/>
      <c r="G117" s="80"/>
      <c r="H117" s="81"/>
    </row>
    <row r="118" spans="3:8" x14ac:dyDescent="0.3">
      <c r="C118" s="62"/>
      <c r="D118" s="62"/>
      <c r="E118" s="62"/>
      <c r="F118" s="62"/>
      <c r="G118" s="62"/>
      <c r="H118" s="62"/>
    </row>
    <row r="119" spans="3:8" x14ac:dyDescent="0.3">
      <c r="C119" s="55" t="s">
        <v>210</v>
      </c>
      <c r="D119" s="62"/>
      <c r="E119" s="62"/>
      <c r="F119" s="62"/>
      <c r="G119" s="62"/>
      <c r="H119" s="62"/>
    </row>
    <row r="120" spans="3:8" x14ac:dyDescent="0.3">
      <c r="C120" s="62"/>
      <c r="D120" s="62"/>
      <c r="E120" s="62"/>
      <c r="F120" s="62"/>
      <c r="G120" s="62"/>
      <c r="H120" s="62"/>
    </row>
    <row r="121" spans="3:8" x14ac:dyDescent="0.3">
      <c r="C121" s="46" t="s">
        <v>211</v>
      </c>
      <c r="D121" s="62"/>
      <c r="E121" s="62"/>
      <c r="F121" s="62"/>
      <c r="G121" s="62"/>
      <c r="H121" s="62"/>
    </row>
    <row r="122" spans="3:8" x14ac:dyDescent="0.3">
      <c r="C122" s="55" t="s">
        <v>212</v>
      </c>
      <c r="D122" s="62"/>
      <c r="E122" s="62"/>
      <c r="F122" s="62"/>
      <c r="G122" s="62"/>
      <c r="H122" s="62"/>
    </row>
    <row r="123" spans="3:8" x14ac:dyDescent="0.3">
      <c r="C123" s="55" t="s">
        <v>213</v>
      </c>
      <c r="D123" s="62"/>
      <c r="E123" s="62"/>
      <c r="F123" s="62"/>
      <c r="G123" s="62"/>
      <c r="H123" s="62"/>
    </row>
    <row r="124" spans="3:8" x14ac:dyDescent="0.3">
      <c r="C124" s="55" t="s">
        <v>214</v>
      </c>
      <c r="D124" s="63"/>
      <c r="E124" s="62"/>
      <c r="F124" s="62"/>
      <c r="G124" s="62"/>
      <c r="H124" s="62"/>
    </row>
    <row r="125" spans="3:8" x14ac:dyDescent="0.3">
      <c r="C125" s="55" t="s">
        <v>206</v>
      </c>
      <c r="D125" s="63"/>
      <c r="E125" s="62"/>
      <c r="F125" s="62"/>
      <c r="G125" s="62"/>
      <c r="H125" s="62"/>
    </row>
    <row r="126" spans="3:8" x14ac:dyDescent="0.3">
      <c r="C126" s="59" t="s">
        <v>215</v>
      </c>
      <c r="D126" s="63"/>
      <c r="E126" s="64"/>
      <c r="F126" s="64"/>
      <c r="G126" s="62"/>
      <c r="H126" s="62"/>
    </row>
    <row r="127" spans="3:8" x14ac:dyDescent="0.3">
      <c r="C127" s="62"/>
      <c r="D127" s="62"/>
      <c r="E127" s="62"/>
      <c r="F127" s="62"/>
      <c r="G127" s="62"/>
      <c r="H127" s="62"/>
    </row>
    <row r="128" spans="3:8" x14ac:dyDescent="0.3">
      <c r="C128" s="65" t="s">
        <v>216</v>
      </c>
      <c r="D128" s="66"/>
      <c r="E128" s="66"/>
      <c r="F128" s="47"/>
      <c r="G128" s="48"/>
      <c r="H128" s="48"/>
    </row>
    <row r="129" spans="3:55" x14ac:dyDescent="0.3">
      <c r="C129" s="67"/>
      <c r="D129" s="68"/>
      <c r="E129" s="68"/>
      <c r="F129" s="69"/>
      <c r="G129" s="70"/>
      <c r="H129" s="70"/>
    </row>
    <row r="130" spans="3:55" x14ac:dyDescent="0.3">
      <c r="C130" s="11" t="s">
        <v>217</v>
      </c>
    </row>
    <row r="131" spans="3:55" x14ac:dyDescent="0.3">
      <c r="C131" s="2" t="s">
        <v>218</v>
      </c>
    </row>
    <row r="132" spans="3:55" x14ac:dyDescent="0.3">
      <c r="C132" s="71" t="s">
        <v>219</v>
      </c>
    </row>
    <row r="133" spans="3:55" x14ac:dyDescent="0.3">
      <c r="C133" s="2" t="s">
        <v>220</v>
      </c>
    </row>
    <row r="134" spans="3:55" x14ac:dyDescent="0.3">
      <c r="C134" s="2" t="s">
        <v>221</v>
      </c>
    </row>
    <row r="135" spans="3:55" x14ac:dyDescent="0.3">
      <c r="C135" s="2" t="s">
        <v>222</v>
      </c>
      <c r="D135" s="69"/>
      <c r="E135" s="69"/>
      <c r="F135" s="69"/>
      <c r="G135" s="70"/>
      <c r="H135" s="70"/>
    </row>
    <row r="136" spans="3:55" x14ac:dyDescent="0.3">
      <c r="C136" s="2" t="s">
        <v>223</v>
      </c>
    </row>
    <row r="137" spans="3:55" x14ac:dyDescent="0.3">
      <c r="C137" s="2" t="s">
        <v>224</v>
      </c>
    </row>
    <row r="138" spans="3:55" x14ac:dyDescent="0.3">
      <c r="C138" s="2" t="s">
        <v>225</v>
      </c>
    </row>
    <row r="139" spans="3:55" x14ac:dyDescent="0.3">
      <c r="C139" s="2" t="s">
        <v>226</v>
      </c>
    </row>
    <row r="140" spans="3:55" s="11" customFormat="1" x14ac:dyDescent="0.3">
      <c r="C140" s="11" t="s">
        <v>227</v>
      </c>
      <c r="E140" s="11" t="s">
        <v>228</v>
      </c>
      <c r="F140" s="72" t="s">
        <v>229</v>
      </c>
      <c r="G140" s="73"/>
      <c r="H140" s="73"/>
      <c r="I140" s="73"/>
      <c r="J140" s="73"/>
      <c r="K140" s="74"/>
      <c r="L140" s="74"/>
      <c r="M140" s="74"/>
      <c r="AJ140" s="74"/>
      <c r="AW140" s="74"/>
      <c r="AY140" s="74"/>
      <c r="BC140" s="74"/>
    </row>
    <row r="141" spans="3:55" x14ac:dyDescent="0.3">
      <c r="C141" s="2" t="s">
        <v>230</v>
      </c>
      <c r="E141" s="75">
        <v>18.785399999999999</v>
      </c>
      <c r="F141" s="76">
        <v>20.297599999999999</v>
      </c>
    </row>
    <row r="142" spans="3:55" x14ac:dyDescent="0.3">
      <c r="C142" s="2" t="s">
        <v>231</v>
      </c>
      <c r="E142" s="75">
        <v>23.200500000000002</v>
      </c>
      <c r="F142" s="76">
        <v>25.068100000000001</v>
      </c>
    </row>
    <row r="143" spans="3:55" x14ac:dyDescent="0.3">
      <c r="C143" s="2" t="s">
        <v>232</v>
      </c>
      <c r="E143" s="75">
        <v>20.943999999999999</v>
      </c>
      <c r="F143" s="76">
        <v>22.656500000000001</v>
      </c>
    </row>
    <row r="144" spans="3:55" x14ac:dyDescent="0.3">
      <c r="C144" s="2" t="s">
        <v>233</v>
      </c>
      <c r="E144" s="75">
        <v>25.060500000000001</v>
      </c>
      <c r="F144" s="76">
        <v>27.1096</v>
      </c>
    </row>
    <row r="146" spans="3:11" x14ac:dyDescent="0.3">
      <c r="C146" s="2" t="s">
        <v>234</v>
      </c>
    </row>
    <row r="147" spans="3:11" x14ac:dyDescent="0.3">
      <c r="C147" s="2" t="s">
        <v>235</v>
      </c>
    </row>
    <row r="148" spans="3:11" x14ac:dyDescent="0.3">
      <c r="C148" s="2" t="s">
        <v>236</v>
      </c>
    </row>
    <row r="149" spans="3:11" x14ac:dyDescent="0.3">
      <c r="C149" s="2" t="s">
        <v>237</v>
      </c>
    </row>
    <row r="150" spans="3:11" x14ac:dyDescent="0.3">
      <c r="C150" s="2" t="s">
        <v>238</v>
      </c>
    </row>
    <row r="151" spans="3:11" x14ac:dyDescent="0.3">
      <c r="C151" s="2" t="s">
        <v>239</v>
      </c>
    </row>
    <row r="152" spans="3:11" x14ac:dyDescent="0.3">
      <c r="C152" s="2" t="s">
        <v>240</v>
      </c>
    </row>
    <row r="153" spans="3:11" x14ac:dyDescent="0.3">
      <c r="C153" s="2" t="s">
        <v>241</v>
      </c>
    </row>
    <row r="154" spans="3:11" x14ac:dyDescent="0.3">
      <c r="C154" s="2" t="s">
        <v>242</v>
      </c>
    </row>
    <row r="155" spans="3:11" x14ac:dyDescent="0.3">
      <c r="C155" s="2" t="s">
        <v>243</v>
      </c>
    </row>
    <row r="156" spans="3:11" x14ac:dyDescent="0.3">
      <c r="C156" s="2" t="s">
        <v>244</v>
      </c>
    </row>
    <row r="157" spans="3:11" x14ac:dyDescent="0.3">
      <c r="C157" s="2" t="s">
        <v>245</v>
      </c>
    </row>
    <row r="158" spans="3:11" x14ac:dyDescent="0.3">
      <c r="C158" s="2" t="s">
        <v>246</v>
      </c>
    </row>
    <row r="159" spans="3:11" ht="14.4" x14ac:dyDescent="0.3">
      <c r="C159" s="77"/>
      <c r="D159" s="77"/>
      <c r="E159" s="78"/>
      <c r="F159" s="78"/>
      <c r="G159" s="78"/>
      <c r="H159" s="78"/>
      <c r="I159" s="78"/>
      <c r="J159" s="78"/>
      <c r="K159" s="78"/>
    </row>
    <row r="160" spans="3:11" ht="14.4" x14ac:dyDescent="0.3">
      <c r="C160" s="78"/>
      <c r="D160" s="78"/>
      <c r="E160" s="78"/>
      <c r="F160" s="78"/>
      <c r="G160" s="78"/>
      <c r="H160" s="78"/>
      <c r="I160" s="78"/>
      <c r="J160" s="78"/>
      <c r="K160" s="78"/>
    </row>
    <row r="161" spans="3:11" ht="14.4" x14ac:dyDescent="0.3">
      <c r="C161" s="78"/>
      <c r="D161" s="78"/>
      <c r="E161" s="78"/>
      <c r="F161" s="78"/>
      <c r="G161" s="78"/>
      <c r="H161" s="78"/>
      <c r="I161" s="78"/>
      <c r="J161" s="78"/>
      <c r="K161" s="78"/>
    </row>
  </sheetData>
  <mergeCells count="2">
    <mergeCell ref="C104:H104"/>
    <mergeCell ref="C117:H117"/>
  </mergeCell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45</vt:i4>
      </vt:variant>
    </vt:vector>
  </HeadingPairs>
  <TitlesOfParts>
    <vt:vector size="46" baseType="lpstr">
      <vt:lpstr>IC</vt:lpstr>
      <vt:lpstr>XDO_?CLASS_3?14?</vt:lpstr>
      <vt:lpstr>XDO_?FINAL_ISIN?75?</vt:lpstr>
      <vt:lpstr>XDO_?FINAL_ISIN?76?</vt:lpstr>
      <vt:lpstr>XDO_?FINAL_ISIN?77?</vt:lpstr>
      <vt:lpstr>XDO_?FINAL_ISIN?78?</vt:lpstr>
      <vt:lpstr>XDO_?FINAL_MV?75?</vt:lpstr>
      <vt:lpstr>XDO_?FINAL_MV?76?</vt:lpstr>
      <vt:lpstr>XDO_?FINAL_MV?77?</vt:lpstr>
      <vt:lpstr>XDO_?FINAL_MV?78?</vt:lpstr>
      <vt:lpstr>XDO_?FINAL_NAME?75?</vt:lpstr>
      <vt:lpstr>XDO_?FINAL_NAME?76?</vt:lpstr>
      <vt:lpstr>XDO_?FINAL_NAME?77?</vt:lpstr>
      <vt:lpstr>XDO_?FINAL_NAME?78?</vt:lpstr>
      <vt:lpstr>XDO_?FINAL_PER_NET?75?</vt:lpstr>
      <vt:lpstr>XDO_?FINAL_PER_NET?76?</vt:lpstr>
      <vt:lpstr>XDO_?FINAL_PER_NET?77?</vt:lpstr>
      <vt:lpstr>XDO_?FINAL_PER_NET?78?</vt:lpstr>
      <vt:lpstr>XDO_?FINAL_QUANTITE?75?</vt:lpstr>
      <vt:lpstr>XDO_?FINAL_QUANTITE?76?</vt:lpstr>
      <vt:lpstr>XDO_?FINAL_QUANTITE?77?</vt:lpstr>
      <vt:lpstr>XDO_?FINAL_QUANTITE?78?</vt:lpstr>
      <vt:lpstr>XDO_?NAMCNAME?14?</vt:lpstr>
      <vt:lpstr>XDO_?NOVAL?75?</vt:lpstr>
      <vt:lpstr>XDO_?NOVAL?76?</vt:lpstr>
      <vt:lpstr>XDO_?NOVAL?77?</vt:lpstr>
      <vt:lpstr>XDO_?NOVAL?78?</vt:lpstr>
      <vt:lpstr>XDO_?NPTF?14?</vt:lpstr>
      <vt:lpstr>XDO_?RATING?75?</vt:lpstr>
      <vt:lpstr>XDO_?RATING?76?</vt:lpstr>
      <vt:lpstr>XDO_?RATING?77?</vt:lpstr>
      <vt:lpstr>XDO_?RATING?78?</vt:lpstr>
      <vt:lpstr>XDO_?REMARKS?75?</vt:lpstr>
      <vt:lpstr>XDO_?REMARKS?76?</vt:lpstr>
      <vt:lpstr>XDO_?REMARKS?77?</vt:lpstr>
      <vt:lpstr>XDO_?REMARKS?78?</vt:lpstr>
      <vt:lpstr>XDO_?TITL?14?</vt:lpstr>
      <vt:lpstr>XDO_?YTM?75?</vt:lpstr>
      <vt:lpstr>XDO_?YTM?76?</vt:lpstr>
      <vt:lpstr>XDO_?YTM?77?</vt:lpstr>
      <vt:lpstr>XDO_?YTM?78?</vt:lpstr>
      <vt:lpstr>XDO_GROUP_?G_2?14?</vt:lpstr>
      <vt:lpstr>XDO_GROUP_?G_3?14?</vt:lpstr>
      <vt:lpstr>XDO_GROUP_?G_4?75?</vt:lpstr>
      <vt:lpstr>XDO_GROUP_?G_4?76?</vt:lpstr>
      <vt:lpstr>XDO_GROUP_?G_4?78?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Saloni Ghugare</dc:creator>
  <cp:lastModifiedBy>Celest Technologies Support</cp:lastModifiedBy>
  <dcterms:created xsi:type="dcterms:W3CDTF">2023-12-07T09:48:31Z</dcterms:created>
  <dcterms:modified xsi:type="dcterms:W3CDTF">2023-12-07T13:44:44Z</dcterms:modified>
</cp:coreProperties>
</file>