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1CA31F41-1E30-4BC2-A431-010E521E27A1}" xr6:coauthVersionLast="47" xr6:coauthVersionMax="47" xr10:uidLastSave="{00000000-0000-0000-0000-000000000000}"/>
  <bookViews>
    <workbookView xWindow="-108" yWindow="-108" windowWidth="23256" windowHeight="12456" xr2:uid="{2A4E8C9B-A973-467A-8521-A3E76E8B2326}"/>
  </bookViews>
  <sheets>
    <sheet name="T0MD27" sheetId="1" r:id="rId1"/>
  </sheets>
  <definedNames>
    <definedName name="JR_PAGE_ANCHOR_0_40">#REF!</definedName>
    <definedName name="JR_PAGE_ANCHOR_0_44">#REF!</definedName>
    <definedName name="JR_PAGE_ANCHOR_0_5">T0MD27!$A$1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1" i="1" l="1"/>
  <c r="C31" i="1"/>
  <c r="E30" i="1"/>
  <c r="E29" i="1"/>
  <c r="E28" i="1"/>
  <c r="E31" i="1" s="1"/>
</calcChain>
</file>

<file path=xl/sharedStrings.xml><?xml version="1.0" encoding="utf-8"?>
<sst xmlns="http://schemas.openxmlformats.org/spreadsheetml/2006/main" count="99" uniqueCount="82">
  <si>
    <t>Baroda BNP Paribas NIFTY SDL December 2026 Index Fund</t>
  </si>
  <si>
    <t xml:space="preserve">
  </t>
  </si>
  <si>
    <t>Monthly Portfolio Statement as on May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</si>
  <si>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</si>
  <si>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</si>
  <si>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</si>
  <si>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</si>
  <si>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</si>
  <si>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</si>
  <si>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</si>
  <si>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</si>
  <si>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</si>
  <si>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</si>
  <si>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</si>
  <si>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GOI2505</t>
  </si>
  <si>
    <t>7.24% State Government Securities (28/12/2026)</t>
  </si>
  <si>
    <t>IN1520160160</t>
  </si>
  <si>
    <t>Sovereign</t>
  </si>
  <si>
    <t>GOI2497</t>
  </si>
  <si>
    <t>7.08% State Government Securities (14/12/2026)</t>
  </si>
  <si>
    <t>IN1920160059</t>
  </si>
  <si>
    <t>GOI1686</t>
  </si>
  <si>
    <t>7.25% State Government Securities (28/12/2026)</t>
  </si>
  <si>
    <t>IN2220160120</t>
  </si>
  <si>
    <t>GOI3503</t>
  </si>
  <si>
    <t>7.05% State Government Securities (14/12/2026)</t>
  </si>
  <si>
    <t>IN1520160152</t>
  </si>
  <si>
    <t>GOI2529</t>
  </si>
  <si>
    <t>7.07% State Government Securities (14/12/2026)</t>
  </si>
  <si>
    <t>IN3120160152</t>
  </si>
  <si>
    <t>Sub Total</t>
  </si>
  <si>
    <t>(b) Privately placed / Unlisted</t>
  </si>
  <si>
    <t>NIL</t>
  </si>
  <si>
    <t>Total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</si>
  <si>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</si>
  <si>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</si>
  <si>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</si>
  <si>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</si>
  <si>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</si>
  <si>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</si>
  <si>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</si>
  <si>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</si>
  <si>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</si>
  <si>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</si>
  <si>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</si>
  <si>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</si>
  <si>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</si>
  <si>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</si>
  <si>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</si>
  <si>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</si>
  <si>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</si>
  <si>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</si>
  <si>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</si>
  <si>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</si>
  <si>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</si>
  <si>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</si>
  <si>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</si>
  <si>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</si>
  <si>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</si>
  <si>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</si>
  <si>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</si>
  <si>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</si>
  <si>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</si>
  <si>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</si>
  <si>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Growth Option</t>
  </si>
  <si>
    <t>Direct Plan - IDCW Option</t>
  </si>
  <si>
    <t>(8) No Dividend declared during the period ended May 31, 2026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</si>
  <si>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</si>
  <si>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</si>
  <si>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The Average Maturity period of the portfolio has been 194 days.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</si>
  <si>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</si>
  <si>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</si>
  <si>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</si>
  <si>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</si>
  <si>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</si>
  <si>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</si>
  <si>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</si>
  <si>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</si>
  <si>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</si>
  <si>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(17) Macaulay Duration of the portfolio has been 187 days.</t>
  </si>
  <si>
    <t>(18) Annualised Portfolio YTM has been 5.93.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</si>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</sst>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167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" fillId="0" borderId="17" xfId="2" applyBorder="1"/>
    <xf numFmtId="9" fontId="1" fillId="0" borderId="18" xfId="2" applyNumberFormat="1" applyBorder="1"/>
    <xf numFmtId="9" fontId="1" fillId="0" borderId="19" xfId="2" applyNumberFormat="1" applyBorder="1"/>
    <xf numFmtId="0" fontId="2" fillId="0" borderId="20" xfId="2" applyFont="1" applyBorder="1"/>
    <xf numFmtId="9" fontId="2" fillId="0" borderId="21" xfId="2" applyNumberFormat="1" applyFont="1" applyBorder="1"/>
    <xf numFmtId="9" fontId="2" fillId="0" borderId="22" xfId="2" applyNumberFormat="1" applyFont="1" applyBorder="1"/>
    <xf numFmtId="0" fontId="9" fillId="0" borderId="0" xfId="0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69" fontId="10" fillId="0" borderId="0" xfId="1" applyNumberFormat="1" applyFont="1"/>
    <xf numFmtId="0" fontId="3" fillId="0" borderId="0" xfId="0" applyFont="1" applyAlignment="1">
      <alignment horizontal="left" vertical="top" wrapText="1"/>
    </xf>
  </cellXfs>
  <cellStyles count="3">
    <cellStyle name="Comma" xfId="1" builtinId="3"/>
    <cellStyle name="Normal" xfId="0" builtinId="0"/>
    <cellStyle name="Normal 2" xfId="2" xr:uid="{2BF0BF60-2BDE-499D-971A-53358685A8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4</xdr:col>
      <xdr:colOff>498348</xdr:colOff>
      <xdr:row>86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BBCEC4-CACA-4EE3-A342-394EAF14C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242060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3855720</xdr:colOff>
      <xdr:row>101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3CEDE7-7D53-4A3D-A45F-89F2C9CE3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157124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8FBD-5A26-4C5C-A651-E18F74805A37}">
  <sheetPr codeName="Sheet5">
    <outlinePr summaryBelow="0"/>
  </sheetPr>
  <dimension ref="A1:J105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2500000</v>
      </c>
      <c r="F7" s="16">
        <v>2517.38</v>
      </c>
      <c r="G7" s="17">
        <v>0.28079999999999999</v>
      </c>
      <c r="H7" s="18">
        <v>6.0694999999999999E-2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2500000</v>
      </c>
      <c r="F8" s="16">
        <v>2514.21</v>
      </c>
      <c r="G8" s="17">
        <v>0.28050000000000003</v>
      </c>
      <c r="H8" s="18">
        <v>6.0694999999999999E-2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1700000</v>
      </c>
      <c r="F9" s="16">
        <v>1711.91</v>
      </c>
      <c r="G9" s="17">
        <v>0.191</v>
      </c>
      <c r="H9" s="18">
        <v>6.0694999999999999E-2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1000000</v>
      </c>
      <c r="F10" s="16">
        <v>1005.53</v>
      </c>
      <c r="G10" s="17">
        <v>0.11219999999999999</v>
      </c>
      <c r="H10" s="18">
        <v>6.0694999999999999E-2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500000</v>
      </c>
      <c r="F11" s="16">
        <v>502.82</v>
      </c>
      <c r="G11" s="17">
        <v>5.6099999999999997E-2</v>
      </c>
      <c r="H11" s="18">
        <v>6.0694999999999999E-2</v>
      </c>
      <c r="I11" s="19"/>
      <c r="J11" s="1"/>
    </row>
    <row r="12" spans="1:10" ht="13.05" customHeight="1">
      <c r="A12" s="1"/>
      <c r="B12" s="20" t="s">
        <v>30</v>
      </c>
      <c r="C12" s="21"/>
      <c r="D12" s="21"/>
      <c r="E12" s="21"/>
      <c r="F12" s="22">
        <v>8251.85</v>
      </c>
      <c r="G12" s="23">
        <v>0.92059999999999997</v>
      </c>
      <c r="H12" s="24"/>
      <c r="I12" s="24"/>
      <c r="J12" s="1"/>
    </row>
    <row r="13" spans="1:10" ht="13.05" customHeight="1">
      <c r="A13" s="1"/>
      <c r="B13" s="20" t="s">
        <v>31</v>
      </c>
      <c r="C13" s="21"/>
      <c r="D13" s="21"/>
      <c r="E13" s="21"/>
      <c r="F13" s="24" t="s">
        <v>32</v>
      </c>
      <c r="G13" s="24" t="s">
        <v>32</v>
      </c>
      <c r="H13" s="24"/>
      <c r="I13" s="24"/>
      <c r="J13" s="1"/>
    </row>
    <row r="14" spans="1:10" ht="13.05" customHeight="1">
      <c r="A14" s="1"/>
      <c r="B14" s="20" t="s">
        <v>30</v>
      </c>
      <c r="C14" s="21"/>
      <c r="D14" s="21"/>
      <c r="E14" s="21"/>
      <c r="F14" s="24" t="s">
        <v>32</v>
      </c>
      <c r="G14" s="24" t="s">
        <v>32</v>
      </c>
      <c r="H14" s="24"/>
      <c r="I14" s="24"/>
      <c r="J14" s="1"/>
    </row>
    <row r="15" spans="1:10" ht="13.05" customHeight="1">
      <c r="A15" s="1"/>
      <c r="B15" s="20" t="s">
        <v>33</v>
      </c>
      <c r="C15" s="25"/>
      <c r="D15" s="21"/>
      <c r="E15" s="25"/>
      <c r="F15" s="22">
        <v>8251.85</v>
      </c>
      <c r="G15" s="23">
        <v>0.92059999999999997</v>
      </c>
      <c r="H15" s="24"/>
      <c r="I15" s="24"/>
      <c r="J15" s="1"/>
    </row>
    <row r="16" spans="1:10" ht="13.05" customHeight="1">
      <c r="A16" s="1"/>
      <c r="B16" s="10" t="s">
        <v>34</v>
      </c>
      <c r="C16" s="11"/>
      <c r="D16" s="11"/>
      <c r="E16" s="11"/>
      <c r="F16" s="11"/>
      <c r="G16" s="11"/>
      <c r="H16" s="12"/>
      <c r="I16" s="12"/>
      <c r="J16" s="1"/>
    </row>
    <row r="17" spans="1:10" ht="13.05" customHeight="1">
      <c r="A17" s="13" t="s">
        <v>35</v>
      </c>
      <c r="B17" s="14" t="s">
        <v>36</v>
      </c>
      <c r="C17" s="11"/>
      <c r="D17" s="11" t="s">
        <v>37</v>
      </c>
      <c r="E17" s="15"/>
      <c r="F17" s="16">
        <v>420.55</v>
      </c>
      <c r="G17" s="17">
        <v>4.6899999999999997E-2</v>
      </c>
      <c r="H17" s="18">
        <v>0.16103457413032798</v>
      </c>
      <c r="I17" s="19"/>
      <c r="J17" s="1"/>
    </row>
    <row r="18" spans="1:10" ht="13.05" customHeight="1">
      <c r="A18" s="1"/>
      <c r="B18" s="20" t="s">
        <v>30</v>
      </c>
      <c r="C18" s="21"/>
      <c r="D18" s="21"/>
      <c r="E18" s="21"/>
      <c r="F18" s="22">
        <v>420.55</v>
      </c>
      <c r="G18" s="23">
        <v>4.6899999999999997E-2</v>
      </c>
      <c r="H18" s="24"/>
      <c r="I18" s="24"/>
      <c r="J18" s="1"/>
    </row>
    <row r="19" spans="1:10" ht="13.05" customHeight="1">
      <c r="A19" s="1"/>
      <c r="B19" s="20" t="s">
        <v>31</v>
      </c>
      <c r="C19" s="21"/>
      <c r="D19" s="21"/>
      <c r="E19" s="21"/>
      <c r="F19" s="24" t="s">
        <v>32</v>
      </c>
      <c r="G19" s="24" t="s">
        <v>32</v>
      </c>
      <c r="H19" s="24"/>
      <c r="I19" s="24"/>
      <c r="J19" s="1"/>
    </row>
    <row r="20" spans="1:10" ht="13.05" customHeight="1">
      <c r="A20" s="1"/>
      <c r="B20" s="20" t="s">
        <v>30</v>
      </c>
      <c r="C20" s="21"/>
      <c r="D20" s="21"/>
      <c r="E20" s="21"/>
      <c r="F20" s="24" t="s">
        <v>32</v>
      </c>
      <c r="G20" s="24" t="s">
        <v>32</v>
      </c>
      <c r="H20" s="24"/>
      <c r="I20" s="24"/>
      <c r="J20" s="1"/>
    </row>
    <row r="21" spans="1:10" ht="13.05" customHeight="1">
      <c r="A21" s="1"/>
      <c r="B21" s="20" t="s">
        <v>33</v>
      </c>
      <c r="C21" s="25"/>
      <c r="D21" s="21"/>
      <c r="E21" s="25"/>
      <c r="F21" s="22">
        <v>420.55</v>
      </c>
      <c r="G21" s="23">
        <v>4.6899999999999997E-2</v>
      </c>
      <c r="H21" s="24"/>
      <c r="I21" s="24"/>
      <c r="J21" s="1"/>
    </row>
    <row r="22" spans="1:10" ht="13.05" customHeight="1">
      <c r="A22" s="1"/>
      <c r="B22" s="20" t="s">
        <v>38</v>
      </c>
      <c r="C22" s="11"/>
      <c r="D22" s="21"/>
      <c r="E22" s="11"/>
      <c r="F22" s="26">
        <v>291.60000000000002</v>
      </c>
      <c r="G22" s="23">
        <v>3.2500000000000001E-2</v>
      </c>
      <c r="H22" s="24"/>
      <c r="I22" s="24"/>
      <c r="J22" s="1"/>
    </row>
    <row r="23" spans="1:10" ht="13.05" customHeight="1" thickBot="1">
      <c r="A23" s="1"/>
      <c r="B23" s="27" t="s">
        <v>39</v>
      </c>
      <c r="C23" s="28"/>
      <c r="D23" s="28"/>
      <c r="E23" s="28"/>
      <c r="F23" s="29">
        <v>8964</v>
      </c>
      <c r="G23" s="30">
        <v>1</v>
      </c>
      <c r="H23" s="31"/>
      <c r="I23" s="31"/>
      <c r="J23" s="1"/>
    </row>
    <row r="24" spans="1:10" ht="13.05" customHeight="1">
      <c r="A24" s="1"/>
      <c r="B24" s="4"/>
      <c r="C24" s="1"/>
      <c r="D24" s="1"/>
      <c r="E24" s="1"/>
      <c r="F24" s="1"/>
      <c r="G24" s="1"/>
      <c r="H24" s="1"/>
      <c r="I24" s="1"/>
      <c r="J24" s="1"/>
    </row>
    <row r="25" spans="1:10" ht="13.05" customHeight="1">
      <c r="A25" s="1"/>
      <c r="B25" s="47"/>
      <c r="C25" s="47"/>
      <c r="D25" s="47"/>
      <c r="E25" s="47"/>
      <c r="F25" s="47"/>
      <c r="G25" s="47"/>
      <c r="H25" s="47"/>
      <c r="I25" s="1"/>
      <c r="J25" s="1"/>
    </row>
    <row r="26" spans="1:10" ht="13.05" customHeight="1" thickBot="1">
      <c r="A26" s="1"/>
      <c r="B26" s="47"/>
      <c r="C26" s="47"/>
      <c r="D26" s="47"/>
      <c r="E26" s="47"/>
      <c r="F26" s="47"/>
      <c r="G26" s="47"/>
      <c r="H26" s="47"/>
      <c r="I26" s="1"/>
      <c r="J26" s="1"/>
    </row>
    <row r="27" spans="1:10" ht="13.05" customHeight="1">
      <c r="A27" s="1"/>
      <c r="B27" s="32" t="s">
        <v>40</v>
      </c>
      <c r="C27" s="33" t="s">
        <v>41</v>
      </c>
      <c r="D27" s="33" t="s">
        <v>42</v>
      </c>
      <c r="E27" s="34" t="s">
        <v>43</v>
      </c>
      <c r="F27" s="2"/>
      <c r="G27" s="2"/>
      <c r="H27" s="2"/>
      <c r="I27" s="1"/>
      <c r="J27" s="1"/>
    </row>
    <row r="28" spans="1:10" ht="13.05" customHeight="1">
      <c r="A28" s="1"/>
      <c r="B28" s="35" t="s">
        <v>44</v>
      </c>
      <c r="C28" s="36">
        <v>0</v>
      </c>
      <c r="D28" s="36">
        <v>0</v>
      </c>
      <c r="E28" s="37">
        <f>MIN(C28:D28)</f>
        <v>0</v>
      </c>
      <c r="F28" s="2"/>
      <c r="G28" s="2"/>
      <c r="H28" s="2"/>
      <c r="I28" s="1"/>
      <c r="J28" s="1"/>
    </row>
    <row r="29" spans="1:10" ht="13.05" customHeight="1">
      <c r="A29" s="1"/>
      <c r="B29" s="35" t="s">
        <v>45</v>
      </c>
      <c r="C29" s="36">
        <v>1</v>
      </c>
      <c r="D29" s="36">
        <v>0.92059999999999997</v>
      </c>
      <c r="E29" s="37">
        <f t="shared" ref="E29:E30" si="0">MIN(C29:D29)</f>
        <v>0.92059999999999997</v>
      </c>
      <c r="F29" s="2"/>
      <c r="G29" s="2"/>
      <c r="H29" s="2"/>
      <c r="I29" s="1"/>
      <c r="J29" s="1"/>
    </row>
    <row r="30" spans="1:10" ht="13.05" customHeight="1">
      <c r="A30" s="1"/>
      <c r="B30" s="35" t="s">
        <v>46</v>
      </c>
      <c r="C30" s="36">
        <v>0</v>
      </c>
      <c r="D30" s="36">
        <v>7.9399999999999998E-2</v>
      </c>
      <c r="E30" s="37">
        <f t="shared" si="0"/>
        <v>0</v>
      </c>
      <c r="F30" s="2"/>
      <c r="G30" s="2"/>
      <c r="H30" s="2"/>
      <c r="I30" s="1"/>
      <c r="J30" s="1"/>
    </row>
    <row r="31" spans="1:10" ht="13.05" customHeight="1" thickBot="1">
      <c r="A31" s="1"/>
      <c r="B31" s="38" t="s">
        <v>33</v>
      </c>
      <c r="C31" s="39">
        <f t="shared" ref="C31" si="1">SUM(C28:C30)</f>
        <v>1</v>
      </c>
      <c r="D31" s="39">
        <f>SUM(D28:D30)</f>
        <v>1</v>
      </c>
      <c r="E31" s="40">
        <f t="shared" ref="E31" si="2">SUM(E28:E30)</f>
        <v>0.92059999999999997</v>
      </c>
      <c r="F31" s="2"/>
      <c r="G31" s="2"/>
      <c r="H31" s="2"/>
      <c r="I31" s="1"/>
      <c r="J31" s="1"/>
    </row>
    <row r="32" spans="1:10" ht="13.05" customHeight="1">
      <c r="A32" s="1"/>
      <c r="B32" s="2"/>
      <c r="C32" s="2"/>
      <c r="D32" s="2"/>
      <c r="E32" s="2"/>
      <c r="F32" s="2"/>
      <c r="G32" s="2"/>
      <c r="H32" s="2"/>
      <c r="I32" s="1"/>
      <c r="J32" s="1"/>
    </row>
    <row r="33" spans="1:10" ht="13.05" customHeight="1">
      <c r="A33" s="1"/>
      <c r="B33" s="2" t="s">
        <v>47</v>
      </c>
      <c r="C33" s="1"/>
      <c r="D33" s="1"/>
      <c r="E33" s="1"/>
      <c r="F33" s="1"/>
      <c r="G33" s="1"/>
      <c r="H33" s="1"/>
      <c r="I33" s="1"/>
      <c r="J33" s="1"/>
    </row>
    <row r="34" spans="1:10" ht="26.25" customHeight="1">
      <c r="A34" s="1"/>
      <c r="B34" s="47" t="s">
        <v>48</v>
      </c>
      <c r="C34" s="47"/>
      <c r="D34" s="47"/>
      <c r="E34" s="47"/>
      <c r="F34" s="47"/>
      <c r="G34" s="47"/>
      <c r="H34" s="47"/>
      <c r="I34" s="1"/>
      <c r="J34" s="1"/>
    </row>
    <row r="38" spans="1:10">
      <c r="B38" s="41" t="s">
        <v>49</v>
      </c>
      <c r="C38" s="42"/>
      <c r="D38" s="42"/>
      <c r="E38" s="43"/>
    </row>
    <row r="39" spans="1:10">
      <c r="B39" s="42" t="s">
        <v>50</v>
      </c>
      <c r="C39" s="42"/>
      <c r="D39" s="42"/>
      <c r="E39" s="43"/>
    </row>
    <row r="40" spans="1:10">
      <c r="B40" s="44" t="s">
        <v>51</v>
      </c>
      <c r="C40" s="42"/>
      <c r="D40" s="42"/>
      <c r="E40" s="43"/>
    </row>
    <row r="41" spans="1:10">
      <c r="B41" s="42" t="s">
        <v>52</v>
      </c>
      <c r="C41" s="42"/>
      <c r="D41" s="42"/>
      <c r="E41" s="43"/>
    </row>
    <row r="42" spans="1:10">
      <c r="B42" s="42" t="s">
        <v>53</v>
      </c>
      <c r="C42" s="42"/>
      <c r="D42" s="42"/>
      <c r="E42" s="43"/>
    </row>
    <row r="43" spans="1:10">
      <c r="B43" s="42" t="s">
        <v>54</v>
      </c>
      <c r="C43" s="45"/>
      <c r="D43" s="45"/>
      <c r="E43" s="45"/>
    </row>
    <row r="44" spans="1:10">
      <c r="B44" s="42" t="s">
        <v>55</v>
      </c>
      <c r="C44" s="42"/>
      <c r="D44" s="42"/>
      <c r="E44" s="43"/>
    </row>
    <row r="45" spans="1:10">
      <c r="B45" s="42" t="s">
        <v>56</v>
      </c>
      <c r="C45" s="42"/>
      <c r="D45" s="42"/>
      <c r="E45" s="43"/>
    </row>
    <row r="46" spans="1:10">
      <c r="B46" s="42" t="s">
        <v>57</v>
      </c>
      <c r="C46" s="42"/>
      <c r="D46" s="42"/>
      <c r="E46" s="43"/>
    </row>
    <row r="47" spans="1:10">
      <c r="B47" s="42" t="s">
        <v>58</v>
      </c>
      <c r="C47" s="42"/>
      <c r="D47" s="42"/>
      <c r="E47" s="43"/>
    </row>
    <row r="48" spans="1:10">
      <c r="B48" s="41" t="s">
        <v>59</v>
      </c>
      <c r="C48" s="41"/>
      <c r="D48" s="41" t="s">
        <v>60</v>
      </c>
      <c r="E48" s="41" t="s">
        <v>61</v>
      </c>
    </row>
    <row r="49" spans="2:5">
      <c r="B49" s="42" t="s">
        <v>62</v>
      </c>
      <c r="C49" s="42"/>
      <c r="D49" s="46">
        <v>12.5359</v>
      </c>
      <c r="E49" s="46">
        <v>12.5726</v>
      </c>
    </row>
    <row r="50" spans="2:5">
      <c r="B50" s="42" t="s">
        <v>63</v>
      </c>
      <c r="C50" s="42"/>
      <c r="D50" s="46">
        <v>12.5358</v>
      </c>
      <c r="E50" s="46">
        <v>12.5725</v>
      </c>
    </row>
    <row r="51" spans="2:5">
      <c r="B51" s="42" t="s">
        <v>64</v>
      </c>
      <c r="C51" s="42"/>
      <c r="D51" s="46">
        <v>12.6587</v>
      </c>
      <c r="E51" s="46">
        <v>12.698399999999999</v>
      </c>
    </row>
    <row r="52" spans="2:5">
      <c r="B52" s="42" t="s">
        <v>65</v>
      </c>
      <c r="C52" s="42"/>
      <c r="D52" s="46">
        <v>0</v>
      </c>
      <c r="E52" s="46">
        <v>0</v>
      </c>
    </row>
    <row r="53" spans="2:5">
      <c r="B53" s="42"/>
      <c r="C53" s="42"/>
      <c r="D53" s="42"/>
      <c r="E53" s="43"/>
    </row>
    <row r="54" spans="2:5">
      <c r="B54" s="42" t="s">
        <v>66</v>
      </c>
      <c r="C54" s="42"/>
      <c r="D54" s="42"/>
      <c r="E54" s="43"/>
    </row>
    <row r="55" spans="2:5">
      <c r="B55" s="42" t="s">
        <v>67</v>
      </c>
      <c r="C55" s="42"/>
      <c r="D55" s="42"/>
      <c r="E55" s="43"/>
    </row>
    <row r="56" spans="2:5">
      <c r="B56" s="42" t="s">
        <v>68</v>
      </c>
      <c r="C56" s="42"/>
      <c r="D56" s="42"/>
      <c r="E56" s="43"/>
    </row>
    <row r="57" spans="2:5">
      <c r="B57" s="42" t="s">
        <v>69</v>
      </c>
      <c r="C57" s="42"/>
      <c r="D57" s="42"/>
      <c r="E57" s="43"/>
    </row>
    <row r="58" spans="2:5">
      <c r="B58" s="42" t="s">
        <v>70</v>
      </c>
      <c r="C58" s="42"/>
      <c r="D58" s="42"/>
      <c r="E58" s="43"/>
    </row>
    <row r="59" spans="2:5">
      <c r="B59" s="42" t="s">
        <v>71</v>
      </c>
      <c r="C59" s="42"/>
      <c r="D59" s="42"/>
      <c r="E59" s="43"/>
    </row>
    <row r="60" spans="2:5">
      <c r="B60" s="42" t="s">
        <v>72</v>
      </c>
      <c r="C60" s="42"/>
      <c r="D60" s="42"/>
      <c r="E60" s="43"/>
    </row>
    <row r="61" spans="2:5">
      <c r="B61" s="42" t="s">
        <v>73</v>
      </c>
      <c r="C61" s="42"/>
      <c r="D61" s="42"/>
      <c r="E61" s="43"/>
    </row>
    <row r="62" spans="2:5">
      <c r="B62" s="42" t="s">
        <v>74</v>
      </c>
      <c r="C62" s="42"/>
      <c r="D62" s="42"/>
      <c r="E62" s="43"/>
    </row>
    <row r="63" spans="2:5">
      <c r="B63" s="42" t="s">
        <v>75</v>
      </c>
      <c r="C63" s="42"/>
      <c r="D63" s="42"/>
      <c r="E63" s="43"/>
    </row>
    <row r="64" spans="2:5">
      <c r="B64" s="42" t="s">
        <v>76</v>
      </c>
      <c r="C64" s="42"/>
      <c r="D64" s="42"/>
      <c r="E64" s="43"/>
    </row>
    <row r="65" spans="2:5">
      <c r="B65" s="42" t="s">
        <v>77</v>
      </c>
      <c r="C65" s="42"/>
      <c r="D65" s="42"/>
      <c r="E65" s="43"/>
    </row>
    <row r="66" spans="2:5">
      <c r="B66" s="42" t="s">
        <v>78</v>
      </c>
      <c r="C66" s="42"/>
      <c r="D66" s="42"/>
      <c r="E66" s="43"/>
    </row>
    <row r="67" spans="2:5">
      <c r="B67" s="42" t="s">
        <v>79</v>
      </c>
      <c r="C67" s="42"/>
      <c r="D67" s="42"/>
      <c r="E67" s="43"/>
    </row>
    <row r="68" spans="2:5">
      <c r="B68" s="42" t="s">
        <v>80</v>
      </c>
      <c r="C68" s="42"/>
      <c r="D68" s="42"/>
      <c r="E68" s="43"/>
    </row>
    <row r="105" spans="2:2">
      <c r="B105" t="s">
        <v>81</v>
      </c>
    </row>
  </sheetData>
  <mergeCells count="3">
    <mergeCell ref="B25:H25"/>
    <mergeCell ref="B26:H26"/>
    <mergeCell ref="B34:H3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T0MD27</vt:lpstr>
      <vt:lpstr>JR_PAGE_ANCHOR_0_5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2026-06-07T11:03:45Z</dcterms:created>
  <dcterms:modified xsi:type="dcterms:W3CDTF">2026-06-09T09:48:56Z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2026-06-07T11:03:45Z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010fc364-cf81-46c9-baaa-4144fd997f43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