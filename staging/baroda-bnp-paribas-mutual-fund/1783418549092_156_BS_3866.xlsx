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August-2023\BOBBNPMF_Monthly portfolio_split Portfolio_31-08-2023\"/>
    </mc:Choice>
  </mc:AlternateContent>
  <bookViews>
    <workbookView xWindow="0" yWindow="0" windowWidth="23040" windowHeight="9072"/>
  </bookViews>
  <sheets>
    <sheet name="BS" sheetId="1" r:id="rId1"/>
  </sheets>
  <externalReferences>
    <externalReference r:id="rId2"/>
  </externalReferences>
  <definedNames>
    <definedName name="XDO_?CLASS_3?23?">BS!$C$8:$C$37</definedName>
    <definedName name="XDO_?FINAL_ISIN?112?">BS!$D$10:$D$37</definedName>
    <definedName name="XDO_?FINAL_ISIN?113?">BS!$D$10:$D$45</definedName>
    <definedName name="XDO_?FINAL_ISIN?114?">BS!$D$10:$D$68</definedName>
    <definedName name="XDO_?FINAL_ISIN?115?">BS!$D$10:$D$83</definedName>
    <definedName name="XDO_?FINAL_ISIN?116?">BS!$D$10:$D$87</definedName>
    <definedName name="XDO_?FINAL_MV?112?">BS!$G$10:$G$37</definedName>
    <definedName name="XDO_?FINAL_MV?113?">BS!$G$10:$G$45</definedName>
    <definedName name="XDO_?FINAL_MV?114?">BS!$G$10:$G$68</definedName>
    <definedName name="XDO_?FINAL_MV?115?">BS!$G$10:$G$83</definedName>
    <definedName name="XDO_?FINAL_MV?116?">BS!$G$10:$G$87</definedName>
    <definedName name="XDO_?FINAL_NAME?112?">BS!$C$10:$C$37</definedName>
    <definedName name="XDO_?FINAL_NAME?113?">BS!$C$10:$C$45</definedName>
    <definedName name="XDO_?FINAL_NAME?114?">BS!$C$10:$C$68</definedName>
    <definedName name="XDO_?FINAL_NAME?115?">BS!$C$10:$C$83</definedName>
    <definedName name="XDO_?FINAL_NAME?116?">BS!$C$10:$C$87</definedName>
    <definedName name="XDO_?FINAL_PER_NET?112?">BS!$H$10:$H$37</definedName>
    <definedName name="XDO_?FINAL_PER_NET?113?">BS!$H$10:$H$45</definedName>
    <definedName name="XDO_?FINAL_PER_NET?114?">BS!$H$10:$H$68</definedName>
    <definedName name="XDO_?FINAL_PER_NET?115?">BS!$H$10:$H$83</definedName>
    <definedName name="XDO_?FINAL_PER_NET?116?">BS!$H$10:$H$87</definedName>
    <definedName name="XDO_?FINAL_QUANTITE?112?">BS!$F$10:$F$37</definedName>
    <definedName name="XDO_?FINAL_QUANTITE?113?">BS!$F$10:$F$45</definedName>
    <definedName name="XDO_?FINAL_QUANTITE?114?">BS!$F$10:$F$68</definedName>
    <definedName name="XDO_?FINAL_QUANTITE?115?">BS!$F$10:$F$83</definedName>
    <definedName name="XDO_?FINAL_QUANTITE?116?">BS!$F$10:$F$87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3?">BS!$C$2:$C$37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12?">BS!$B$10:$B$37</definedName>
    <definedName name="XDO_?NOVAL?113?">BS!$B$10:$B$45</definedName>
    <definedName name="XDO_?NOVAL?114?">BS!$B$10:$B$68</definedName>
    <definedName name="XDO_?NOVAL?115?">BS!$B$10:$B$83</definedName>
    <definedName name="XDO_?NOVAL?116?">BS!$B$10:$B$87</definedName>
    <definedName name="XDO_?NPTF?23?">BS!$D$2:$D$37</definedName>
    <definedName name="XDO_?RATING?112?">BS!$E$10:$E$37</definedName>
    <definedName name="XDO_?RATING?113?">BS!$E$10:$E$45</definedName>
    <definedName name="XDO_?RATING?114?">BS!$E$10:$E$68</definedName>
    <definedName name="XDO_?RATING?115?">BS!$E$10:$E$83</definedName>
    <definedName name="XDO_?RATING?116?">BS!$E$10:$E$87</definedName>
    <definedName name="XDO_?REMARKS?112?">BS!$K$10:$K$37</definedName>
    <definedName name="XDO_?REMARKS?113?">BS!$K$10:$K$45</definedName>
    <definedName name="XDO_?REMARKS?114?">BS!$K$10:$K$68</definedName>
    <definedName name="XDO_?REMARKS?115?">BS!$K$10:$K$83</definedName>
    <definedName name="XDO_?REMARKS?116?">BS!$K$10:$K$87</definedName>
    <definedName name="XDO_?TITL?23?">BS!$A$8:$A$37</definedName>
    <definedName name="XDO_?YTM?112?">BS!$I$10:$I$37</definedName>
    <definedName name="XDO_?YTM?113?">BS!$I$10:$I$45</definedName>
    <definedName name="XDO_?YTM?114?">BS!$I$10:$I$68</definedName>
    <definedName name="XDO_?YTM?115?">BS!$I$10:$I$83</definedName>
    <definedName name="XDO_?YTM?116?">BS!$I$10:$I$87</definedName>
    <definedName name="XDO_GROUP_?G_2?23?">BS!$2:$59</definedName>
    <definedName name="XDO_GROUP_?G_3?23?">BS!$8:$58</definedName>
    <definedName name="XDO_GROUP_?G_4?112?">BS!$B$10:$IV$37</definedName>
    <definedName name="XDO_GROUP_?G_4?113?">BS!$B$41:$IV$41</definedName>
    <definedName name="XDO_GROUP_?G_4?114?">BS!$B$46:$IV$46</definedName>
    <definedName name="XDO_GROUP_?G_4?115?">BS!$B$51:$IV$51</definedName>
    <definedName name="XDO_GROUP_?G_4?116?">BS!$B$56:$IV$56</definedName>
    <definedName name="XDO_GROUP_?G_4?140?">[1]ON!#REF!</definedName>
    <definedName name="XDO_GROUP_?G_4?143?">[1]BM!#REF!</definedName>
    <definedName name="XDO_GROUP_?G_4?2?">[1]LW!#REF!</definedName>
    <definedName name="XDO_GROUP_?G_4?21?">[1]N2!#REF!</definedName>
    <definedName name="XDO_GROUP_?G_4?29?">[1]MC!#REF!</definedName>
    <definedName name="XDO_GROUP_?G_4?39?">[1]TA!#REF!</definedName>
    <definedName name="XDO_GROUP_?G_4?95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0" i="1" l="1"/>
</calcChain>
</file>

<file path=xl/sharedStrings.xml><?xml version="1.0" encoding="utf-8"?>
<sst xmlns="http://schemas.openxmlformats.org/spreadsheetml/2006/main" count="259" uniqueCount="195">
  <si>
    <t>Baroda BNP Paribas Mutual Fund</t>
  </si>
  <si>
    <t>YR29</t>
  </si>
  <si>
    <t>SCHEME NAME :</t>
  </si>
  <si>
    <t xml:space="preserve">Baroda BNP Paribas Banking &amp; Financial Services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</si>
  <si>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</si>
  <si>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</si>
  <si>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</si>
  <si>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</si>
  <si>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</si>
  <si>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</si>
  <si>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</si>
  <si>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</si>
  <si>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</si>
  <si>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</si>
  <si>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</si>
  <si>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</si>
  <si>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</si>
  <si>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</si>
  <si>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</si>
  <si>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</si>
  <si>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</si>
  <si>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</si>
  <si>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</si>
  <si>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100024</t>
  </si>
  <si>
    <t>Axis Bank Ltd.</t>
  </si>
  <si>
    <t>INE238A01034</t>
  </si>
  <si>
    <t>100125</t>
  </si>
  <si>
    <t>Bajaj Finance Ltd.</t>
  </si>
  <si>
    <t>INE296A01024</t>
  </si>
  <si>
    <t>Finance</t>
  </si>
  <si>
    <t>100010</t>
  </si>
  <si>
    <t>State Bank of India</t>
  </si>
  <si>
    <t>INE062A01020</t>
  </si>
  <si>
    <t>100104</t>
  </si>
  <si>
    <t>Kotak Mahindra Bank Ltd.</t>
  </si>
  <si>
    <t>INE237A01028</t>
  </si>
  <si>
    <t>100013</t>
  </si>
  <si>
    <t>IndusInd Bank Ltd.</t>
  </si>
  <si>
    <t>INE095A01012</t>
  </si>
  <si>
    <t>100380</t>
  </si>
  <si>
    <t>Bajaj Finserv Ltd.</t>
  </si>
  <si>
    <t>INE918I01026</t>
  </si>
  <si>
    <t>100399</t>
  </si>
  <si>
    <t>Cholamandalam Investment &amp; Finance Co. Ltd.</t>
  </si>
  <si>
    <t>INE121A01024</t>
  </si>
  <si>
    <t>100706</t>
  </si>
  <si>
    <t>HDFC Life Insurance Company Ltd.</t>
  </si>
  <si>
    <t>INE795G01014</t>
  </si>
  <si>
    <t>Insurance</t>
  </si>
  <si>
    <t>101469</t>
  </si>
  <si>
    <t>Equitas Small Finance Bank Ltd.</t>
  </si>
  <si>
    <t>INE063P01018</t>
  </si>
  <si>
    <t>100055</t>
  </si>
  <si>
    <t>The Federal Bank Ltd.</t>
  </si>
  <si>
    <t>INE171A01029</t>
  </si>
  <si>
    <t>101390</t>
  </si>
  <si>
    <t>PB Fintech Ltd.</t>
  </si>
  <si>
    <t>INE417T01026</t>
  </si>
  <si>
    <t>Financial Technology (Fintech)</t>
  </si>
  <si>
    <t>100194</t>
  </si>
  <si>
    <t>Power Finance Corporation Ltd.</t>
  </si>
  <si>
    <t>INE134E01011</t>
  </si>
  <si>
    <t>100116</t>
  </si>
  <si>
    <t>Sundaram Finance Ltd.</t>
  </si>
  <si>
    <t>INE660A01013</t>
  </si>
  <si>
    <t>100254</t>
  </si>
  <si>
    <t>Karur Vysya Bank Ltd.</t>
  </si>
  <si>
    <t>INE036D01028</t>
  </si>
  <si>
    <t>100682</t>
  </si>
  <si>
    <t>ICICI Lombard General Insurance Company Ltd.</t>
  </si>
  <si>
    <t>INE765G01017</t>
  </si>
  <si>
    <t>101783</t>
  </si>
  <si>
    <t>Five Star Business Finance Ltd.</t>
  </si>
  <si>
    <t>INE128S01021</t>
  </si>
  <si>
    <t>100036</t>
  </si>
  <si>
    <t>Mahindra &amp; Mahindra Financial Services Ltd.</t>
  </si>
  <si>
    <t>INE774D01024</t>
  </si>
  <si>
    <t>100477</t>
  </si>
  <si>
    <t>PNB Housing Finance Ltd.</t>
  </si>
  <si>
    <t>INE572E01012</t>
  </si>
  <si>
    <t>100109</t>
  </si>
  <si>
    <t>Piramal Enterprises Ltd.</t>
  </si>
  <si>
    <t>INE140A01024</t>
  </si>
  <si>
    <t>101210</t>
  </si>
  <si>
    <t>Credit Access Grameen Ltd.</t>
  </si>
  <si>
    <t>INE741K01010</t>
  </si>
  <si>
    <t>100114</t>
  </si>
  <si>
    <t>Shriram Finance Ltd.</t>
  </si>
  <si>
    <t>INE721A01013</t>
  </si>
  <si>
    <t>100505</t>
  </si>
  <si>
    <t>ICICI Prudential Life Insurance Company Ltd.</t>
  </si>
  <si>
    <t>INE726G01019</t>
  </si>
  <si>
    <t>101889</t>
  </si>
  <si>
    <t>Jio Financial Services Ltd.</t>
  </si>
  <si>
    <t>INE758E01017</t>
  </si>
  <si>
    <t>100107</t>
  </si>
  <si>
    <t>Max Financial Services Ltd.</t>
  </si>
  <si>
    <t>INE180A01020</t>
  </si>
  <si>
    <t>100046</t>
  </si>
  <si>
    <t>Manappuram Finance Ltd.</t>
  </si>
  <si>
    <t>INE522D01027</t>
  </si>
  <si>
    <t>100575</t>
  </si>
  <si>
    <t>BSE Ltd.</t>
  </si>
  <si>
    <t>INE118H01025</t>
  </si>
  <si>
    <t>Capital Markets</t>
  </si>
  <si>
    <t>Total</t>
  </si>
  <si>
    <t>b) Unlisted</t>
  </si>
  <si>
    <t>NIL</t>
  </si>
  <si>
    <t>c) Foreign Securities and /or overseas ETF</t>
  </si>
  <si>
    <t>d) Stock Futures</t>
  </si>
  <si>
    <t>2215756</t>
  </si>
  <si>
    <t>Long</t>
  </si>
  <si>
    <t>Stock Futures Total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</si>
  <si>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</si>
  <si>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</si>
  <si>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</si>
  <si>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</si>
  <si>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</si>
  <si>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</si>
  <si>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</si>
  <si>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</si>
  <si>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</si>
  <si>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</si>
  <si>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</si>
  <si>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1800961</t>
  </si>
  <si>
    <t>364 DAY T-BILL 08-Feb-2024</t>
  </si>
  <si>
    <t>IN002022Z457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</si>
  <si>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</si>
  <si>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</si>
  <si>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</si>
  <si>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</si>
  <si>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</si>
  <si>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</si>
  <si>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</si>
  <si>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</si>
  <si>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</si>
  <si>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 01-Sep-2023</t>
  </si>
  <si>
    <t>Other Current Assets / (Liabilities)</t>
  </si>
  <si>
    <t>Net Receivable / Payable</t>
  </si>
  <si>
    <t>GRAND TOTAL (AUM) D**</t>
  </si>
  <si>
    <t xml:space="preserve">Hedging Positions through Futures as on August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</si>
  <si>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</si>
  <si>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</si>
  <si>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</si>
  <si>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</si>
  <si>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</si>
  <si>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</si>
  <si>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</si>
  <si>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</si>
  <si>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August 31,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</si>
  <si>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</si>
  <si>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</si>
  <si>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</si>
  <si>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</si>
  <si>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</si>
  <si>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August 31, 2023:</t>
  </si>
  <si>
    <t>Number of Contracts</t>
  </si>
  <si>
    <t>Total Exposure through Futures(other than hedging positions) is 0.36% age of net assets</t>
  </si>
  <si>
    <t>For the month ended August 31, 2023 with regard to Other than hedging transactions through futures which have already been squared off/expired specify:</t>
  </si>
  <si>
    <t>Total Number of contracts where futures were bought : 2</t>
  </si>
  <si>
    <t>Total Number of contracts where futures were sold : 2</t>
  </si>
  <si>
    <t>Gross Notional Value of contracts where futures were bought :33.02 lacs</t>
  </si>
  <si>
    <t>Gross Notional Value of contracts where futures were sold: 33.84 lacs</t>
  </si>
  <si>
    <t>Net Profit/Loss on all contracts combined : 0.82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</si>
  <si>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</si>
  <si>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</si>
  <si>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</si>
  <si>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</si>
  <si>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</si>
  <si>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</si>
  <si>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</si>
  <si>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</si>
  <si>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August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</si>
  <si>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</si>
  <si>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</si>
  <si>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</si>
  <si>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July 31, 2023</t>
  </si>
  <si>
    <t>As on August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</si>
  <si>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</si>
  <si>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</si>
  <si>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</si>
  <si>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</si>
  <si>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August 31, 2023</t>
  </si>
  <si>
    <t>(9)  Total outstanding exposure in derivative instruments as on August 31, 2023 is 32.48 Lacs.</t>
  </si>
  <si>
    <t>(10) Total Market value of investments in Foreign Securities/American Depositary Receipts/Global Depositary Receipts as at  August 31, 2023 is Rs. Nil.</t>
  </si>
  <si>
    <t>(11)  During the period, the portfolio turnover ratio is  0.11 times.</t>
  </si>
  <si>
    <t>(12)  Details of repo transaction in corporate debt securities for the Month ended August 31, 2023 is Nil.</t>
  </si>
  <si>
    <t>(13)  Investments in debt instruments having structured obligations or credit enhancement features as at August 31, 2023 is Rs. Nil.</t>
  </si>
  <si>
    <t>(14) Investment in Partly paid Debentures during the Month ended  August 31, 2023 and as on  August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</si>
  <si>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</si>
  <si>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</si>
  <si>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</si>
  <si>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</si>
  <si>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</si>
  <si>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August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</si>
</sst>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10" fillId="3" borderId="13" xfId="0" applyFont="1" applyFill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164" fontId="3" fillId="4" borderId="0" xfId="1" applyFont="1" applyFill="1"/>
    <xf numFmtId="0" fontId="6" fillId="4" borderId="0" xfId="0" applyFont="1" applyFill="1"/>
    <xf numFmtId="0" fontId="12" fillId="3" borderId="0" xfId="0" applyFont="1" applyFill="1"/>
    <xf numFmtId="0" fontId="12" fillId="0" borderId="0" xfId="0" applyFont="1"/>
    <xf numFmtId="164" fontId="3" fillId="4" borderId="0" xfId="0" applyNumberFormat="1" applyFont="1" applyFill="1"/>
    <xf numFmtId="4" fontId="10" fillId="3" borderId="0" xfId="0" applyNumberFormat="1" applyFont="1" applyFill="1"/>
    <xf numFmtId="0" fontId="12" fillId="3" borderId="13" xfId="0" applyFont="1" applyFill="1" applyBorder="1"/>
    <xf numFmtId="0" fontId="12" fillId="3" borderId="13" xfId="0" applyFont="1" applyFill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0" fontId="10" fillId="3" borderId="0" xfId="0" applyFont="1" applyFill="1" applyAlignment="1">
      <alignment horizontal="center"/>
    </xf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4</xdr:col>
      <xdr:colOff>1350941</xdr:colOff>
      <xdr:row>168</xdr:row>
      <xdr:rowOff>83651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516667"/>
          <a:ext cx="7455408" cy="27675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August%202023\Month%20end%2031%20August%202023\Split%20Portfolio\BOBBNPMF_Monthly%20portfolio%2031-08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/>
  <dimension ref="A1:BC155"/>
  <sheetViews>
    <sheetView showGridLines="0" tabSelected="1" zoomScale="90" zoomScaleNormal="90" workbookViewId="0">
      <pane ySplit="6" topLeftCell="A151" activePane="bottomLeft" state="frozen"/>
      <selection activeCell="I2" sqref="I2"/>
      <selection pane="bottomLeft" activeCell="H163" sqref="H16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30.88671875" style="2" customWidth="1"/>
    <col min="5" max="5" width="23.6640625" style="2" customWidth="1"/>
    <col min="6" max="6" width="29.6640625" style="7" bestFit="1" customWidth="1"/>
    <col min="7" max="7" width="29.5546875" style="8" bestFit="1" customWidth="1"/>
    <col min="8" max="8" width="32.10937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30.88671875" style="2" customWidth="1"/>
    <col min="261" max="261" width="23.6640625" style="2" customWidth="1"/>
    <col min="262" max="262" width="29.6640625" style="2" bestFit="1" customWidth="1"/>
    <col min="263" max="263" width="29.5546875" style="2" bestFit="1" customWidth="1"/>
    <col min="264" max="264" width="32.10937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30.88671875" style="2" customWidth="1"/>
    <col min="517" max="517" width="23.6640625" style="2" customWidth="1"/>
    <col min="518" max="518" width="29.6640625" style="2" bestFit="1" customWidth="1"/>
    <col min="519" max="519" width="29.5546875" style="2" bestFit="1" customWidth="1"/>
    <col min="520" max="520" width="32.10937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30.88671875" style="2" customWidth="1"/>
    <col min="773" max="773" width="23.6640625" style="2" customWidth="1"/>
    <col min="774" max="774" width="29.6640625" style="2" bestFit="1" customWidth="1"/>
    <col min="775" max="775" width="29.5546875" style="2" bestFit="1" customWidth="1"/>
    <col min="776" max="776" width="32.10937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30.88671875" style="2" customWidth="1"/>
    <col min="1029" max="1029" width="23.6640625" style="2" customWidth="1"/>
    <col min="1030" max="1030" width="29.6640625" style="2" bestFit="1" customWidth="1"/>
    <col min="1031" max="1031" width="29.5546875" style="2" bestFit="1" customWidth="1"/>
    <col min="1032" max="1032" width="32.10937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30.88671875" style="2" customWidth="1"/>
    <col min="1285" max="1285" width="23.6640625" style="2" customWidth="1"/>
    <col min="1286" max="1286" width="29.6640625" style="2" bestFit="1" customWidth="1"/>
    <col min="1287" max="1287" width="29.5546875" style="2" bestFit="1" customWidth="1"/>
    <col min="1288" max="1288" width="32.10937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30.88671875" style="2" customWidth="1"/>
    <col min="1541" max="1541" width="23.6640625" style="2" customWidth="1"/>
    <col min="1542" max="1542" width="29.6640625" style="2" bestFit="1" customWidth="1"/>
    <col min="1543" max="1543" width="29.5546875" style="2" bestFit="1" customWidth="1"/>
    <col min="1544" max="1544" width="32.10937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30.88671875" style="2" customWidth="1"/>
    <col min="1797" max="1797" width="23.6640625" style="2" customWidth="1"/>
    <col min="1798" max="1798" width="29.6640625" style="2" bestFit="1" customWidth="1"/>
    <col min="1799" max="1799" width="29.5546875" style="2" bestFit="1" customWidth="1"/>
    <col min="1800" max="1800" width="32.10937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30.88671875" style="2" customWidth="1"/>
    <col min="2053" max="2053" width="23.6640625" style="2" customWidth="1"/>
    <col min="2054" max="2054" width="29.6640625" style="2" bestFit="1" customWidth="1"/>
    <col min="2055" max="2055" width="29.5546875" style="2" bestFit="1" customWidth="1"/>
    <col min="2056" max="2056" width="32.10937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30.88671875" style="2" customWidth="1"/>
    <col min="2309" max="2309" width="23.6640625" style="2" customWidth="1"/>
    <col min="2310" max="2310" width="29.6640625" style="2" bestFit="1" customWidth="1"/>
    <col min="2311" max="2311" width="29.5546875" style="2" bestFit="1" customWidth="1"/>
    <col min="2312" max="2312" width="32.10937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30.88671875" style="2" customWidth="1"/>
    <col min="2565" max="2565" width="23.6640625" style="2" customWidth="1"/>
    <col min="2566" max="2566" width="29.6640625" style="2" bestFit="1" customWidth="1"/>
    <col min="2567" max="2567" width="29.5546875" style="2" bestFit="1" customWidth="1"/>
    <col min="2568" max="2568" width="32.10937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30.88671875" style="2" customWidth="1"/>
    <col min="2821" max="2821" width="23.6640625" style="2" customWidth="1"/>
    <col min="2822" max="2822" width="29.6640625" style="2" bestFit="1" customWidth="1"/>
    <col min="2823" max="2823" width="29.5546875" style="2" bestFit="1" customWidth="1"/>
    <col min="2824" max="2824" width="32.10937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30.88671875" style="2" customWidth="1"/>
    <col min="3077" max="3077" width="23.6640625" style="2" customWidth="1"/>
    <col min="3078" max="3078" width="29.6640625" style="2" bestFit="1" customWidth="1"/>
    <col min="3079" max="3079" width="29.5546875" style="2" bestFit="1" customWidth="1"/>
    <col min="3080" max="3080" width="32.10937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30.88671875" style="2" customWidth="1"/>
    <col min="3333" max="3333" width="23.6640625" style="2" customWidth="1"/>
    <col min="3334" max="3334" width="29.6640625" style="2" bestFit="1" customWidth="1"/>
    <col min="3335" max="3335" width="29.5546875" style="2" bestFit="1" customWidth="1"/>
    <col min="3336" max="3336" width="32.10937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30.88671875" style="2" customWidth="1"/>
    <col min="3589" max="3589" width="23.6640625" style="2" customWidth="1"/>
    <col min="3590" max="3590" width="29.6640625" style="2" bestFit="1" customWidth="1"/>
    <col min="3591" max="3591" width="29.5546875" style="2" bestFit="1" customWidth="1"/>
    <col min="3592" max="3592" width="32.10937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30.88671875" style="2" customWidth="1"/>
    <col min="3845" max="3845" width="23.6640625" style="2" customWidth="1"/>
    <col min="3846" max="3846" width="29.6640625" style="2" bestFit="1" customWidth="1"/>
    <col min="3847" max="3847" width="29.5546875" style="2" bestFit="1" customWidth="1"/>
    <col min="3848" max="3848" width="32.10937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30.88671875" style="2" customWidth="1"/>
    <col min="4101" max="4101" width="23.6640625" style="2" customWidth="1"/>
    <col min="4102" max="4102" width="29.6640625" style="2" bestFit="1" customWidth="1"/>
    <col min="4103" max="4103" width="29.5546875" style="2" bestFit="1" customWidth="1"/>
    <col min="4104" max="4104" width="32.10937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30.88671875" style="2" customWidth="1"/>
    <col min="4357" max="4357" width="23.6640625" style="2" customWidth="1"/>
    <col min="4358" max="4358" width="29.6640625" style="2" bestFit="1" customWidth="1"/>
    <col min="4359" max="4359" width="29.5546875" style="2" bestFit="1" customWidth="1"/>
    <col min="4360" max="4360" width="32.10937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30.88671875" style="2" customWidth="1"/>
    <col min="4613" max="4613" width="23.6640625" style="2" customWidth="1"/>
    <col min="4614" max="4614" width="29.6640625" style="2" bestFit="1" customWidth="1"/>
    <col min="4615" max="4615" width="29.5546875" style="2" bestFit="1" customWidth="1"/>
    <col min="4616" max="4616" width="32.10937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30.88671875" style="2" customWidth="1"/>
    <col min="4869" max="4869" width="23.6640625" style="2" customWidth="1"/>
    <col min="4870" max="4870" width="29.6640625" style="2" bestFit="1" customWidth="1"/>
    <col min="4871" max="4871" width="29.5546875" style="2" bestFit="1" customWidth="1"/>
    <col min="4872" max="4872" width="32.10937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30.88671875" style="2" customWidth="1"/>
    <col min="5125" max="5125" width="23.6640625" style="2" customWidth="1"/>
    <col min="5126" max="5126" width="29.6640625" style="2" bestFit="1" customWidth="1"/>
    <col min="5127" max="5127" width="29.5546875" style="2" bestFit="1" customWidth="1"/>
    <col min="5128" max="5128" width="32.10937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30.88671875" style="2" customWidth="1"/>
    <col min="5381" max="5381" width="23.6640625" style="2" customWidth="1"/>
    <col min="5382" max="5382" width="29.6640625" style="2" bestFit="1" customWidth="1"/>
    <col min="5383" max="5383" width="29.5546875" style="2" bestFit="1" customWidth="1"/>
    <col min="5384" max="5384" width="32.10937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30.88671875" style="2" customWidth="1"/>
    <col min="5637" max="5637" width="23.6640625" style="2" customWidth="1"/>
    <col min="5638" max="5638" width="29.6640625" style="2" bestFit="1" customWidth="1"/>
    <col min="5639" max="5639" width="29.5546875" style="2" bestFit="1" customWidth="1"/>
    <col min="5640" max="5640" width="32.10937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30.88671875" style="2" customWidth="1"/>
    <col min="5893" max="5893" width="23.6640625" style="2" customWidth="1"/>
    <col min="5894" max="5894" width="29.6640625" style="2" bestFit="1" customWidth="1"/>
    <col min="5895" max="5895" width="29.5546875" style="2" bestFit="1" customWidth="1"/>
    <col min="5896" max="5896" width="32.10937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30.88671875" style="2" customWidth="1"/>
    <col min="6149" max="6149" width="23.6640625" style="2" customWidth="1"/>
    <col min="6150" max="6150" width="29.6640625" style="2" bestFit="1" customWidth="1"/>
    <col min="6151" max="6151" width="29.5546875" style="2" bestFit="1" customWidth="1"/>
    <col min="6152" max="6152" width="32.10937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30.88671875" style="2" customWidth="1"/>
    <col min="6405" max="6405" width="23.6640625" style="2" customWidth="1"/>
    <col min="6406" max="6406" width="29.6640625" style="2" bestFit="1" customWidth="1"/>
    <col min="6407" max="6407" width="29.5546875" style="2" bestFit="1" customWidth="1"/>
    <col min="6408" max="6408" width="32.10937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30.88671875" style="2" customWidth="1"/>
    <col min="6661" max="6661" width="23.6640625" style="2" customWidth="1"/>
    <col min="6662" max="6662" width="29.6640625" style="2" bestFit="1" customWidth="1"/>
    <col min="6663" max="6663" width="29.5546875" style="2" bestFit="1" customWidth="1"/>
    <col min="6664" max="6664" width="32.10937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30.88671875" style="2" customWidth="1"/>
    <col min="6917" max="6917" width="23.6640625" style="2" customWidth="1"/>
    <col min="6918" max="6918" width="29.6640625" style="2" bestFit="1" customWidth="1"/>
    <col min="6919" max="6919" width="29.5546875" style="2" bestFit="1" customWidth="1"/>
    <col min="6920" max="6920" width="32.10937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30.88671875" style="2" customWidth="1"/>
    <col min="7173" max="7173" width="23.6640625" style="2" customWidth="1"/>
    <col min="7174" max="7174" width="29.6640625" style="2" bestFit="1" customWidth="1"/>
    <col min="7175" max="7175" width="29.5546875" style="2" bestFit="1" customWidth="1"/>
    <col min="7176" max="7176" width="32.10937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30.88671875" style="2" customWidth="1"/>
    <col min="7429" max="7429" width="23.6640625" style="2" customWidth="1"/>
    <col min="7430" max="7430" width="29.6640625" style="2" bestFit="1" customWidth="1"/>
    <col min="7431" max="7431" width="29.5546875" style="2" bestFit="1" customWidth="1"/>
    <col min="7432" max="7432" width="32.10937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30.88671875" style="2" customWidth="1"/>
    <col min="7685" max="7685" width="23.6640625" style="2" customWidth="1"/>
    <col min="7686" max="7686" width="29.6640625" style="2" bestFit="1" customWidth="1"/>
    <col min="7687" max="7687" width="29.5546875" style="2" bestFit="1" customWidth="1"/>
    <col min="7688" max="7688" width="32.10937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30.88671875" style="2" customWidth="1"/>
    <col min="7941" max="7941" width="23.6640625" style="2" customWidth="1"/>
    <col min="7942" max="7942" width="29.6640625" style="2" bestFit="1" customWidth="1"/>
    <col min="7943" max="7943" width="29.5546875" style="2" bestFit="1" customWidth="1"/>
    <col min="7944" max="7944" width="32.10937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30.88671875" style="2" customWidth="1"/>
    <col min="8197" max="8197" width="23.6640625" style="2" customWidth="1"/>
    <col min="8198" max="8198" width="29.6640625" style="2" bestFit="1" customWidth="1"/>
    <col min="8199" max="8199" width="29.5546875" style="2" bestFit="1" customWidth="1"/>
    <col min="8200" max="8200" width="32.10937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30.88671875" style="2" customWidth="1"/>
    <col min="8453" max="8453" width="23.6640625" style="2" customWidth="1"/>
    <col min="8454" max="8454" width="29.6640625" style="2" bestFit="1" customWidth="1"/>
    <col min="8455" max="8455" width="29.5546875" style="2" bestFit="1" customWidth="1"/>
    <col min="8456" max="8456" width="32.10937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30.88671875" style="2" customWidth="1"/>
    <col min="8709" max="8709" width="23.6640625" style="2" customWidth="1"/>
    <col min="8710" max="8710" width="29.6640625" style="2" bestFit="1" customWidth="1"/>
    <col min="8711" max="8711" width="29.5546875" style="2" bestFit="1" customWidth="1"/>
    <col min="8712" max="8712" width="32.10937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30.88671875" style="2" customWidth="1"/>
    <col min="8965" max="8965" width="23.6640625" style="2" customWidth="1"/>
    <col min="8966" max="8966" width="29.6640625" style="2" bestFit="1" customWidth="1"/>
    <col min="8967" max="8967" width="29.5546875" style="2" bestFit="1" customWidth="1"/>
    <col min="8968" max="8968" width="32.10937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30.88671875" style="2" customWidth="1"/>
    <col min="9221" max="9221" width="23.6640625" style="2" customWidth="1"/>
    <col min="9222" max="9222" width="29.6640625" style="2" bestFit="1" customWidth="1"/>
    <col min="9223" max="9223" width="29.5546875" style="2" bestFit="1" customWidth="1"/>
    <col min="9224" max="9224" width="32.10937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30.88671875" style="2" customWidth="1"/>
    <col min="9477" max="9477" width="23.6640625" style="2" customWidth="1"/>
    <col min="9478" max="9478" width="29.6640625" style="2" bestFit="1" customWidth="1"/>
    <col min="9479" max="9479" width="29.5546875" style="2" bestFit="1" customWidth="1"/>
    <col min="9480" max="9480" width="32.10937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30.88671875" style="2" customWidth="1"/>
    <col min="9733" max="9733" width="23.6640625" style="2" customWidth="1"/>
    <col min="9734" max="9734" width="29.6640625" style="2" bestFit="1" customWidth="1"/>
    <col min="9735" max="9735" width="29.5546875" style="2" bestFit="1" customWidth="1"/>
    <col min="9736" max="9736" width="32.10937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30.88671875" style="2" customWidth="1"/>
    <col min="9989" max="9989" width="23.6640625" style="2" customWidth="1"/>
    <col min="9990" max="9990" width="29.6640625" style="2" bestFit="1" customWidth="1"/>
    <col min="9991" max="9991" width="29.5546875" style="2" bestFit="1" customWidth="1"/>
    <col min="9992" max="9992" width="32.10937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30.88671875" style="2" customWidth="1"/>
    <col min="10245" max="10245" width="23.6640625" style="2" customWidth="1"/>
    <col min="10246" max="10246" width="29.6640625" style="2" bestFit="1" customWidth="1"/>
    <col min="10247" max="10247" width="29.5546875" style="2" bestFit="1" customWidth="1"/>
    <col min="10248" max="10248" width="32.10937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30.88671875" style="2" customWidth="1"/>
    <col min="10501" max="10501" width="23.6640625" style="2" customWidth="1"/>
    <col min="10502" max="10502" width="29.6640625" style="2" bestFit="1" customWidth="1"/>
    <col min="10503" max="10503" width="29.5546875" style="2" bestFit="1" customWidth="1"/>
    <col min="10504" max="10504" width="32.10937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30.88671875" style="2" customWidth="1"/>
    <col min="10757" max="10757" width="23.6640625" style="2" customWidth="1"/>
    <col min="10758" max="10758" width="29.6640625" style="2" bestFit="1" customWidth="1"/>
    <col min="10759" max="10759" width="29.5546875" style="2" bestFit="1" customWidth="1"/>
    <col min="10760" max="10760" width="32.10937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30.88671875" style="2" customWidth="1"/>
    <col min="11013" max="11013" width="23.6640625" style="2" customWidth="1"/>
    <col min="11014" max="11014" width="29.6640625" style="2" bestFit="1" customWidth="1"/>
    <col min="11015" max="11015" width="29.5546875" style="2" bestFit="1" customWidth="1"/>
    <col min="11016" max="11016" width="32.10937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30.88671875" style="2" customWidth="1"/>
    <col min="11269" max="11269" width="23.6640625" style="2" customWidth="1"/>
    <col min="11270" max="11270" width="29.6640625" style="2" bestFit="1" customWidth="1"/>
    <col min="11271" max="11271" width="29.5546875" style="2" bestFit="1" customWidth="1"/>
    <col min="11272" max="11272" width="32.10937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30.88671875" style="2" customWidth="1"/>
    <col min="11525" max="11525" width="23.6640625" style="2" customWidth="1"/>
    <col min="11526" max="11526" width="29.6640625" style="2" bestFit="1" customWidth="1"/>
    <col min="11527" max="11527" width="29.5546875" style="2" bestFit="1" customWidth="1"/>
    <col min="11528" max="11528" width="32.10937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30.88671875" style="2" customWidth="1"/>
    <col min="11781" max="11781" width="23.6640625" style="2" customWidth="1"/>
    <col min="11782" max="11782" width="29.6640625" style="2" bestFit="1" customWidth="1"/>
    <col min="11783" max="11783" width="29.5546875" style="2" bestFit="1" customWidth="1"/>
    <col min="11784" max="11784" width="32.10937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30.88671875" style="2" customWidth="1"/>
    <col min="12037" max="12037" width="23.6640625" style="2" customWidth="1"/>
    <col min="12038" max="12038" width="29.6640625" style="2" bestFit="1" customWidth="1"/>
    <col min="12039" max="12039" width="29.5546875" style="2" bestFit="1" customWidth="1"/>
    <col min="12040" max="12040" width="32.10937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30.88671875" style="2" customWidth="1"/>
    <col min="12293" max="12293" width="23.6640625" style="2" customWidth="1"/>
    <col min="12294" max="12294" width="29.6640625" style="2" bestFit="1" customWidth="1"/>
    <col min="12295" max="12295" width="29.5546875" style="2" bestFit="1" customWidth="1"/>
    <col min="12296" max="12296" width="32.10937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30.88671875" style="2" customWidth="1"/>
    <col min="12549" max="12549" width="23.6640625" style="2" customWidth="1"/>
    <col min="12550" max="12550" width="29.6640625" style="2" bestFit="1" customWidth="1"/>
    <col min="12551" max="12551" width="29.5546875" style="2" bestFit="1" customWidth="1"/>
    <col min="12552" max="12552" width="32.10937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30.88671875" style="2" customWidth="1"/>
    <col min="12805" max="12805" width="23.6640625" style="2" customWidth="1"/>
    <col min="12806" max="12806" width="29.6640625" style="2" bestFit="1" customWidth="1"/>
    <col min="12807" max="12807" width="29.5546875" style="2" bestFit="1" customWidth="1"/>
    <col min="12808" max="12808" width="32.10937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30.88671875" style="2" customWidth="1"/>
    <col min="13061" max="13061" width="23.6640625" style="2" customWidth="1"/>
    <col min="13062" max="13062" width="29.6640625" style="2" bestFit="1" customWidth="1"/>
    <col min="13063" max="13063" width="29.5546875" style="2" bestFit="1" customWidth="1"/>
    <col min="13064" max="13064" width="32.10937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30.88671875" style="2" customWidth="1"/>
    <col min="13317" max="13317" width="23.6640625" style="2" customWidth="1"/>
    <col min="13318" max="13318" width="29.6640625" style="2" bestFit="1" customWidth="1"/>
    <col min="13319" max="13319" width="29.5546875" style="2" bestFit="1" customWidth="1"/>
    <col min="13320" max="13320" width="32.10937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30.88671875" style="2" customWidth="1"/>
    <col min="13573" max="13573" width="23.6640625" style="2" customWidth="1"/>
    <col min="13574" max="13574" width="29.6640625" style="2" bestFit="1" customWidth="1"/>
    <col min="13575" max="13575" width="29.5546875" style="2" bestFit="1" customWidth="1"/>
    <col min="13576" max="13576" width="32.10937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30.88671875" style="2" customWidth="1"/>
    <col min="13829" max="13829" width="23.6640625" style="2" customWidth="1"/>
    <col min="13830" max="13830" width="29.6640625" style="2" bestFit="1" customWidth="1"/>
    <col min="13831" max="13831" width="29.5546875" style="2" bestFit="1" customWidth="1"/>
    <col min="13832" max="13832" width="32.10937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30.88671875" style="2" customWidth="1"/>
    <col min="14085" max="14085" width="23.6640625" style="2" customWidth="1"/>
    <col min="14086" max="14086" width="29.6640625" style="2" bestFit="1" customWidth="1"/>
    <col min="14087" max="14087" width="29.5546875" style="2" bestFit="1" customWidth="1"/>
    <col min="14088" max="14088" width="32.10937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30.88671875" style="2" customWidth="1"/>
    <col min="14341" max="14341" width="23.6640625" style="2" customWidth="1"/>
    <col min="14342" max="14342" width="29.6640625" style="2" bestFit="1" customWidth="1"/>
    <col min="14343" max="14343" width="29.5546875" style="2" bestFit="1" customWidth="1"/>
    <col min="14344" max="14344" width="32.10937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30.88671875" style="2" customWidth="1"/>
    <col min="14597" max="14597" width="23.6640625" style="2" customWidth="1"/>
    <col min="14598" max="14598" width="29.6640625" style="2" bestFit="1" customWidth="1"/>
    <col min="14599" max="14599" width="29.5546875" style="2" bestFit="1" customWidth="1"/>
    <col min="14600" max="14600" width="32.10937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30.88671875" style="2" customWidth="1"/>
    <col min="14853" max="14853" width="23.6640625" style="2" customWidth="1"/>
    <col min="14854" max="14854" width="29.6640625" style="2" bestFit="1" customWidth="1"/>
    <col min="14855" max="14855" width="29.5546875" style="2" bestFit="1" customWidth="1"/>
    <col min="14856" max="14856" width="32.10937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30.88671875" style="2" customWidth="1"/>
    <col min="15109" max="15109" width="23.6640625" style="2" customWidth="1"/>
    <col min="15110" max="15110" width="29.6640625" style="2" bestFit="1" customWidth="1"/>
    <col min="15111" max="15111" width="29.5546875" style="2" bestFit="1" customWidth="1"/>
    <col min="15112" max="15112" width="32.10937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30.88671875" style="2" customWidth="1"/>
    <col min="15365" max="15365" width="23.6640625" style="2" customWidth="1"/>
    <col min="15366" max="15366" width="29.6640625" style="2" bestFit="1" customWidth="1"/>
    <col min="15367" max="15367" width="29.5546875" style="2" bestFit="1" customWidth="1"/>
    <col min="15368" max="15368" width="32.10937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30.88671875" style="2" customWidth="1"/>
    <col min="15621" max="15621" width="23.6640625" style="2" customWidth="1"/>
    <col min="15622" max="15622" width="29.6640625" style="2" bestFit="1" customWidth="1"/>
    <col min="15623" max="15623" width="29.5546875" style="2" bestFit="1" customWidth="1"/>
    <col min="15624" max="15624" width="32.10937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30.88671875" style="2" customWidth="1"/>
    <col min="15877" max="15877" width="23.6640625" style="2" customWidth="1"/>
    <col min="15878" max="15878" width="29.6640625" style="2" bestFit="1" customWidth="1"/>
    <col min="15879" max="15879" width="29.5546875" style="2" bestFit="1" customWidth="1"/>
    <col min="15880" max="15880" width="32.10937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30.88671875" style="2" customWidth="1"/>
    <col min="16133" max="16133" width="23.6640625" style="2" customWidth="1"/>
    <col min="16134" max="16134" width="29.6640625" style="2" bestFit="1" customWidth="1"/>
    <col min="16135" max="16135" width="29.5546875" style="2" bestFit="1" customWidth="1"/>
    <col min="16136" max="16136" width="32.10937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45169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124348</v>
      </c>
      <c r="G10" s="34">
        <v>1954.07</v>
      </c>
      <c r="H10" s="34">
        <v>21.83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180000</v>
      </c>
      <c r="G11" s="34">
        <v>1725.75</v>
      </c>
      <c r="H11" s="34">
        <v>19.28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19</v>
      </c>
      <c r="F12" s="33">
        <v>70000</v>
      </c>
      <c r="G12" s="34">
        <v>681.45</v>
      </c>
      <c r="H12" s="34">
        <v>7.61</v>
      </c>
      <c r="I12" s="35"/>
      <c r="J12" s="35"/>
      <c r="K12" s="36"/>
    </row>
    <row r="13" spans="1:55" x14ac:dyDescent="0.3">
      <c r="B13" s="1" t="s">
        <v>26</v>
      </c>
      <c r="C13" s="21" t="s">
        <v>27</v>
      </c>
      <c r="D13" s="31" t="s">
        <v>28</v>
      </c>
      <c r="E13" s="32" t="s">
        <v>29</v>
      </c>
      <c r="F13" s="33">
        <v>7600</v>
      </c>
      <c r="G13" s="34">
        <v>544.39</v>
      </c>
      <c r="H13" s="34">
        <v>6.08</v>
      </c>
      <c r="I13" s="35"/>
      <c r="J13" s="35"/>
      <c r="K13" s="36"/>
    </row>
    <row r="14" spans="1:55" x14ac:dyDescent="0.3">
      <c r="B14" s="1" t="s">
        <v>30</v>
      </c>
      <c r="C14" s="21" t="s">
        <v>31</v>
      </c>
      <c r="D14" s="31" t="s">
        <v>32</v>
      </c>
      <c r="E14" s="32" t="s">
        <v>19</v>
      </c>
      <c r="F14" s="33">
        <v>93500</v>
      </c>
      <c r="G14" s="34">
        <v>524.86</v>
      </c>
      <c r="H14" s="34">
        <v>5.86</v>
      </c>
      <c r="I14" s="35"/>
      <c r="J14" s="35"/>
      <c r="K14" s="36"/>
    </row>
    <row r="15" spans="1:55" x14ac:dyDescent="0.3">
      <c r="B15" s="1" t="s">
        <v>33</v>
      </c>
      <c r="C15" s="21" t="s">
        <v>34</v>
      </c>
      <c r="D15" s="31" t="s">
        <v>35</v>
      </c>
      <c r="E15" s="32" t="s">
        <v>19</v>
      </c>
      <c r="F15" s="33">
        <v>18900</v>
      </c>
      <c r="G15" s="34">
        <v>332.4</v>
      </c>
      <c r="H15" s="34">
        <v>3.71</v>
      </c>
      <c r="I15" s="35"/>
      <c r="J15" s="35"/>
      <c r="K15" s="36"/>
    </row>
    <row r="16" spans="1:55" x14ac:dyDescent="0.3">
      <c r="B16" s="1" t="s">
        <v>36</v>
      </c>
      <c r="C16" s="21" t="s">
        <v>37</v>
      </c>
      <c r="D16" s="31" t="s">
        <v>38</v>
      </c>
      <c r="E16" s="32" t="s">
        <v>19</v>
      </c>
      <c r="F16" s="33">
        <v>22500</v>
      </c>
      <c r="G16" s="34">
        <v>310.08</v>
      </c>
      <c r="H16" s="34">
        <v>3.46</v>
      </c>
      <c r="I16" s="35"/>
      <c r="J16" s="35"/>
      <c r="K16" s="36"/>
    </row>
    <row r="17" spans="2:11" x14ac:dyDescent="0.3">
      <c r="B17" s="1" t="s">
        <v>39</v>
      </c>
      <c r="C17" s="21" t="s">
        <v>40</v>
      </c>
      <c r="D17" s="31" t="s">
        <v>41</v>
      </c>
      <c r="E17" s="32" t="s">
        <v>29</v>
      </c>
      <c r="F17" s="33">
        <v>12500</v>
      </c>
      <c r="G17" s="34">
        <v>186.11</v>
      </c>
      <c r="H17" s="34">
        <v>2.08</v>
      </c>
      <c r="I17" s="35"/>
      <c r="J17" s="35"/>
      <c r="K17" s="36"/>
    </row>
    <row r="18" spans="2:11" x14ac:dyDescent="0.3">
      <c r="B18" s="1" t="s">
        <v>42</v>
      </c>
      <c r="C18" s="21" t="s">
        <v>43</v>
      </c>
      <c r="D18" s="31" t="s">
        <v>44</v>
      </c>
      <c r="E18" s="32" t="s">
        <v>29</v>
      </c>
      <c r="F18" s="33">
        <v>15000</v>
      </c>
      <c r="G18" s="34">
        <v>168.28</v>
      </c>
      <c r="H18" s="34">
        <v>1.88</v>
      </c>
      <c r="I18" s="35"/>
      <c r="J18" s="35"/>
      <c r="K18" s="36"/>
    </row>
    <row r="19" spans="2:11" x14ac:dyDescent="0.3">
      <c r="B19" s="1" t="s">
        <v>45</v>
      </c>
      <c r="C19" s="21" t="s">
        <v>46</v>
      </c>
      <c r="D19" s="31" t="s">
        <v>47</v>
      </c>
      <c r="E19" s="32" t="s">
        <v>48</v>
      </c>
      <c r="F19" s="33">
        <v>22500</v>
      </c>
      <c r="G19" s="34">
        <v>145.07</v>
      </c>
      <c r="H19" s="34">
        <v>1.62</v>
      </c>
      <c r="I19" s="35"/>
      <c r="J19" s="35"/>
      <c r="K19" s="36"/>
    </row>
    <row r="20" spans="2:11" x14ac:dyDescent="0.3">
      <c r="B20" s="1" t="s">
        <v>49</v>
      </c>
      <c r="C20" s="21" t="s">
        <v>50</v>
      </c>
      <c r="D20" s="31" t="s">
        <v>51</v>
      </c>
      <c r="E20" s="32" t="s">
        <v>19</v>
      </c>
      <c r="F20" s="33">
        <v>160000</v>
      </c>
      <c r="G20" s="34">
        <v>144.80000000000001</v>
      </c>
      <c r="H20" s="34">
        <v>1.62</v>
      </c>
      <c r="I20" s="35"/>
      <c r="J20" s="35"/>
      <c r="K20" s="36"/>
    </row>
    <row r="21" spans="2:11" x14ac:dyDescent="0.3">
      <c r="B21" s="1" t="s">
        <v>52</v>
      </c>
      <c r="C21" s="21" t="s">
        <v>53</v>
      </c>
      <c r="D21" s="31" t="s">
        <v>54</v>
      </c>
      <c r="E21" s="32" t="s">
        <v>19</v>
      </c>
      <c r="F21" s="33">
        <v>100000</v>
      </c>
      <c r="G21" s="34">
        <v>143.94999999999999</v>
      </c>
      <c r="H21" s="34">
        <v>1.61</v>
      </c>
      <c r="I21" s="35"/>
      <c r="J21" s="35"/>
      <c r="K21" s="36"/>
    </row>
    <row r="22" spans="2:11" x14ac:dyDescent="0.3">
      <c r="B22" s="1" t="s">
        <v>55</v>
      </c>
      <c r="C22" s="21" t="s">
        <v>56</v>
      </c>
      <c r="D22" s="31" t="s">
        <v>57</v>
      </c>
      <c r="E22" s="32" t="s">
        <v>58</v>
      </c>
      <c r="F22" s="33">
        <v>17500</v>
      </c>
      <c r="G22" s="34">
        <v>135.56</v>
      </c>
      <c r="H22" s="34">
        <v>1.51</v>
      </c>
      <c r="I22" s="35"/>
      <c r="J22" s="35"/>
      <c r="K22" s="36"/>
    </row>
    <row r="23" spans="2:11" x14ac:dyDescent="0.3">
      <c r="B23" s="1" t="s">
        <v>59</v>
      </c>
      <c r="C23" s="21" t="s">
        <v>60</v>
      </c>
      <c r="D23" s="31" t="s">
        <v>61</v>
      </c>
      <c r="E23" s="32" t="s">
        <v>29</v>
      </c>
      <c r="F23" s="33">
        <v>50000</v>
      </c>
      <c r="G23" s="34">
        <v>130.1</v>
      </c>
      <c r="H23" s="34">
        <v>1.45</v>
      </c>
      <c r="I23" s="35"/>
      <c r="J23" s="35"/>
      <c r="K23" s="36"/>
    </row>
    <row r="24" spans="2:11" x14ac:dyDescent="0.3">
      <c r="B24" s="1" t="s">
        <v>62</v>
      </c>
      <c r="C24" s="21" t="s">
        <v>63</v>
      </c>
      <c r="D24" s="31" t="s">
        <v>64</v>
      </c>
      <c r="E24" s="32" t="s">
        <v>29</v>
      </c>
      <c r="F24" s="33">
        <v>5000</v>
      </c>
      <c r="G24" s="34">
        <v>129.80000000000001</v>
      </c>
      <c r="H24" s="34">
        <v>1.45</v>
      </c>
      <c r="I24" s="35"/>
      <c r="J24" s="35"/>
      <c r="K24" s="36"/>
    </row>
    <row r="25" spans="2:11" x14ac:dyDescent="0.3">
      <c r="B25" s="1" t="s">
        <v>65</v>
      </c>
      <c r="C25" s="21" t="s">
        <v>66</v>
      </c>
      <c r="D25" s="31" t="s">
        <v>67</v>
      </c>
      <c r="E25" s="32" t="s">
        <v>19</v>
      </c>
      <c r="F25" s="33">
        <v>105000</v>
      </c>
      <c r="G25" s="34">
        <v>127.63</v>
      </c>
      <c r="H25" s="34">
        <v>1.43</v>
      </c>
      <c r="I25" s="35"/>
      <c r="J25" s="35"/>
      <c r="K25" s="36"/>
    </row>
    <row r="26" spans="2:11" x14ac:dyDescent="0.3">
      <c r="B26" s="1" t="s">
        <v>68</v>
      </c>
      <c r="C26" s="21" t="s">
        <v>69</v>
      </c>
      <c r="D26" s="31" t="s">
        <v>70</v>
      </c>
      <c r="E26" s="32" t="s">
        <v>48</v>
      </c>
      <c r="F26" s="33">
        <v>9500</v>
      </c>
      <c r="G26" s="34">
        <v>124.8</v>
      </c>
      <c r="H26" s="34">
        <v>1.39</v>
      </c>
      <c r="I26" s="35"/>
      <c r="J26" s="35"/>
      <c r="K26" s="36"/>
    </row>
    <row r="27" spans="2:11" x14ac:dyDescent="0.3">
      <c r="B27" s="1" t="s">
        <v>71</v>
      </c>
      <c r="C27" s="21" t="s">
        <v>72</v>
      </c>
      <c r="D27" s="31" t="s">
        <v>73</v>
      </c>
      <c r="E27" s="32" t="s">
        <v>29</v>
      </c>
      <c r="F27" s="33">
        <v>15080</v>
      </c>
      <c r="G27" s="34">
        <v>115.46</v>
      </c>
      <c r="H27" s="34">
        <v>1.29</v>
      </c>
      <c r="I27" s="35"/>
      <c r="J27" s="35"/>
      <c r="K27" s="36"/>
    </row>
    <row r="28" spans="2:11" x14ac:dyDescent="0.3">
      <c r="B28" s="1" t="s">
        <v>74</v>
      </c>
      <c r="C28" s="21" t="s">
        <v>75</v>
      </c>
      <c r="D28" s="31" t="s">
        <v>76</v>
      </c>
      <c r="E28" s="32" t="s">
        <v>29</v>
      </c>
      <c r="F28" s="33">
        <v>35000</v>
      </c>
      <c r="G28" s="34">
        <v>104.18</v>
      </c>
      <c r="H28" s="34">
        <v>1.1599999999999999</v>
      </c>
      <c r="I28" s="35"/>
      <c r="J28" s="35"/>
      <c r="K28" s="36"/>
    </row>
    <row r="29" spans="2:11" x14ac:dyDescent="0.3">
      <c r="B29" s="1" t="s">
        <v>77</v>
      </c>
      <c r="C29" s="21" t="s">
        <v>78</v>
      </c>
      <c r="D29" s="31" t="s">
        <v>79</v>
      </c>
      <c r="E29" s="32" t="s">
        <v>29</v>
      </c>
      <c r="F29" s="33">
        <v>15550</v>
      </c>
      <c r="G29" s="34">
        <v>101.14</v>
      </c>
      <c r="H29" s="34">
        <v>1.1299999999999999</v>
      </c>
      <c r="I29" s="35"/>
      <c r="J29" s="35"/>
      <c r="K29" s="36"/>
    </row>
    <row r="30" spans="2:11" x14ac:dyDescent="0.3">
      <c r="B30" s="1" t="s">
        <v>80</v>
      </c>
      <c r="C30" s="21" t="s">
        <v>81</v>
      </c>
      <c r="D30" s="31" t="s">
        <v>82</v>
      </c>
      <c r="E30" s="32" t="s">
        <v>29</v>
      </c>
      <c r="F30" s="33">
        <v>9500</v>
      </c>
      <c r="G30" s="34">
        <v>100.06</v>
      </c>
      <c r="H30" s="34">
        <v>1.1200000000000001</v>
      </c>
      <c r="I30" s="35"/>
      <c r="J30" s="35"/>
      <c r="K30" s="36"/>
    </row>
    <row r="31" spans="2:11" x14ac:dyDescent="0.3">
      <c r="B31" s="1" t="s">
        <v>83</v>
      </c>
      <c r="C31" s="21" t="s">
        <v>84</v>
      </c>
      <c r="D31" s="31" t="s">
        <v>85</v>
      </c>
      <c r="E31" s="32" t="s">
        <v>29</v>
      </c>
      <c r="F31" s="33">
        <v>7000</v>
      </c>
      <c r="G31" s="34">
        <v>99.09</v>
      </c>
      <c r="H31" s="34">
        <v>1.1100000000000001</v>
      </c>
      <c r="I31" s="35"/>
      <c r="J31" s="35"/>
      <c r="K31" s="36"/>
    </row>
    <row r="32" spans="2:11" x14ac:dyDescent="0.3">
      <c r="B32" s="1" t="s">
        <v>86</v>
      </c>
      <c r="C32" s="21" t="s">
        <v>87</v>
      </c>
      <c r="D32" s="31" t="s">
        <v>88</v>
      </c>
      <c r="E32" s="32" t="s">
        <v>29</v>
      </c>
      <c r="F32" s="33">
        <v>5000</v>
      </c>
      <c r="G32" s="34">
        <v>96.42</v>
      </c>
      <c r="H32" s="34">
        <v>1.08</v>
      </c>
      <c r="I32" s="35"/>
      <c r="J32" s="35"/>
      <c r="K32" s="36"/>
    </row>
    <row r="33" spans="2:11" x14ac:dyDescent="0.3">
      <c r="B33" s="1" t="s">
        <v>89</v>
      </c>
      <c r="C33" s="21" t="s">
        <v>90</v>
      </c>
      <c r="D33" s="31" t="s">
        <v>91</v>
      </c>
      <c r="E33" s="32" t="s">
        <v>48</v>
      </c>
      <c r="F33" s="33">
        <v>17000</v>
      </c>
      <c r="G33" s="34">
        <v>95.86</v>
      </c>
      <c r="H33" s="34">
        <v>1.07</v>
      </c>
      <c r="I33" s="35"/>
      <c r="J33" s="35"/>
      <c r="K33" s="36"/>
    </row>
    <row r="34" spans="2:11" x14ac:dyDescent="0.3">
      <c r="B34" s="1" t="s">
        <v>92</v>
      </c>
      <c r="C34" s="21" t="s">
        <v>93</v>
      </c>
      <c r="D34" s="31" t="s">
        <v>94</v>
      </c>
      <c r="E34" s="32" t="s">
        <v>29</v>
      </c>
      <c r="F34" s="33">
        <v>40000</v>
      </c>
      <c r="G34" s="34">
        <v>93.4</v>
      </c>
      <c r="H34" s="34">
        <v>1.04</v>
      </c>
      <c r="I34" s="35"/>
      <c r="J34" s="35"/>
      <c r="K34" s="36"/>
    </row>
    <row r="35" spans="2:11" x14ac:dyDescent="0.3">
      <c r="B35" s="1" t="s">
        <v>95</v>
      </c>
      <c r="C35" s="21" t="s">
        <v>96</v>
      </c>
      <c r="D35" s="31" t="s">
        <v>97</v>
      </c>
      <c r="E35" s="32" t="s">
        <v>48</v>
      </c>
      <c r="F35" s="33">
        <v>10000</v>
      </c>
      <c r="G35" s="34">
        <v>93.37</v>
      </c>
      <c r="H35" s="34">
        <v>1.04</v>
      </c>
      <c r="I35" s="35"/>
      <c r="J35" s="35"/>
      <c r="K35" s="36"/>
    </row>
    <row r="36" spans="2:11" x14ac:dyDescent="0.3">
      <c r="B36" s="1" t="s">
        <v>98</v>
      </c>
      <c r="C36" s="21" t="s">
        <v>99</v>
      </c>
      <c r="D36" s="31" t="s">
        <v>100</v>
      </c>
      <c r="E36" s="32" t="s">
        <v>29</v>
      </c>
      <c r="F36" s="33">
        <v>60000</v>
      </c>
      <c r="G36" s="34">
        <v>92.76</v>
      </c>
      <c r="H36" s="34">
        <v>1.04</v>
      </c>
      <c r="I36" s="35"/>
      <c r="J36" s="35"/>
      <c r="K36" s="36"/>
    </row>
    <row r="37" spans="2:11" x14ac:dyDescent="0.3">
      <c r="B37" s="1" t="s">
        <v>101</v>
      </c>
      <c r="C37" s="21" t="s">
        <v>102</v>
      </c>
      <c r="D37" s="31" t="s">
        <v>103</v>
      </c>
      <c r="E37" s="32" t="s">
        <v>104</v>
      </c>
      <c r="F37" s="33">
        <v>8000</v>
      </c>
      <c r="G37" s="34">
        <v>85.02</v>
      </c>
      <c r="H37" s="34">
        <v>0.95</v>
      </c>
      <c r="I37" s="35"/>
      <c r="J37" s="35"/>
      <c r="K37" s="36"/>
    </row>
    <row r="38" spans="2:11" x14ac:dyDescent="0.3">
      <c r="C38" s="30" t="s">
        <v>105</v>
      </c>
      <c r="D38" s="31"/>
      <c r="E38" s="32"/>
      <c r="F38" s="33"/>
      <c r="G38" s="38">
        <v>8585.86</v>
      </c>
      <c r="H38" s="38">
        <v>95.9</v>
      </c>
      <c r="I38" s="35"/>
      <c r="J38" s="35"/>
      <c r="K38" s="36"/>
    </row>
    <row r="39" spans="2:11" x14ac:dyDescent="0.3">
      <c r="C39" s="21"/>
      <c r="D39" s="31"/>
      <c r="E39" s="32"/>
      <c r="F39" s="33"/>
      <c r="G39" s="34"/>
      <c r="H39" s="34"/>
      <c r="I39" s="35"/>
      <c r="J39" s="35"/>
      <c r="K39" s="36"/>
    </row>
    <row r="40" spans="2:11" x14ac:dyDescent="0.3">
      <c r="C40" s="30" t="s">
        <v>106</v>
      </c>
      <c r="D40" s="31"/>
      <c r="E40" s="32"/>
      <c r="F40" s="33"/>
      <c r="G40" s="34" t="s">
        <v>107</v>
      </c>
      <c r="H40" s="34" t="s">
        <v>107</v>
      </c>
      <c r="I40" s="35"/>
      <c r="J40" s="35"/>
      <c r="K40" s="36"/>
    </row>
    <row r="41" spans="2:11" x14ac:dyDescent="0.3">
      <c r="C41" s="21"/>
      <c r="D41" s="31"/>
      <c r="E41" s="32"/>
      <c r="F41" s="33"/>
      <c r="G41" s="34"/>
      <c r="H41" s="34"/>
      <c r="I41" s="35"/>
      <c r="J41" s="35"/>
      <c r="K41" s="36"/>
    </row>
    <row r="42" spans="2:11" x14ac:dyDescent="0.3">
      <c r="C42" s="30" t="s">
        <v>108</v>
      </c>
      <c r="D42" s="31"/>
      <c r="E42" s="32"/>
      <c r="F42" s="33"/>
      <c r="G42" s="34" t="s">
        <v>107</v>
      </c>
      <c r="H42" s="34" t="s">
        <v>107</v>
      </c>
      <c r="I42" s="35"/>
      <c r="J42" s="35"/>
      <c r="K42" s="36"/>
    </row>
    <row r="43" spans="2:11" x14ac:dyDescent="0.3">
      <c r="C43" s="21"/>
      <c r="D43" s="31"/>
      <c r="E43" s="32"/>
      <c r="F43" s="33"/>
      <c r="G43" s="34"/>
      <c r="H43" s="34"/>
      <c r="I43" s="35"/>
      <c r="J43" s="35"/>
      <c r="K43" s="36"/>
    </row>
    <row r="44" spans="2:11" x14ac:dyDescent="0.3">
      <c r="C44" s="37" t="s">
        <v>109</v>
      </c>
      <c r="D44" s="31"/>
      <c r="E44" s="32"/>
      <c r="F44" s="33"/>
      <c r="G44" s="34"/>
      <c r="H44" s="34"/>
      <c r="I44" s="35"/>
      <c r="J44" s="35"/>
      <c r="K44" s="36"/>
    </row>
    <row r="45" spans="2:11" x14ac:dyDescent="0.3">
      <c r="B45" s="1" t="s">
        <v>110</v>
      </c>
      <c r="C45" s="21" t="s">
        <v>60</v>
      </c>
      <c r="D45" s="31" t="s">
        <v>111</v>
      </c>
      <c r="E45" s="32" t="s">
        <v>29</v>
      </c>
      <c r="F45" s="33">
        <v>12400</v>
      </c>
      <c r="G45" s="34">
        <v>32.479999999999997</v>
      </c>
      <c r="H45" s="34">
        <v>0.36</v>
      </c>
      <c r="I45" s="35"/>
      <c r="J45" s="35"/>
      <c r="K45" s="36"/>
    </row>
    <row r="46" spans="2:11" x14ac:dyDescent="0.3">
      <c r="C46" s="30" t="s">
        <v>112</v>
      </c>
      <c r="D46" s="31"/>
      <c r="E46" s="32"/>
      <c r="F46" s="33"/>
      <c r="G46" s="38">
        <v>32.479999999999997</v>
      </c>
      <c r="H46" s="38">
        <v>0.36</v>
      </c>
      <c r="I46" s="35"/>
      <c r="J46" s="35"/>
      <c r="K46" s="36"/>
    </row>
    <row r="47" spans="2:11" x14ac:dyDescent="0.3">
      <c r="C47" s="21"/>
      <c r="D47" s="31"/>
      <c r="E47" s="32"/>
      <c r="F47" s="33"/>
      <c r="G47" s="34"/>
      <c r="H47" s="34"/>
      <c r="I47" s="35"/>
      <c r="J47" s="35"/>
      <c r="K47" s="36"/>
    </row>
    <row r="48" spans="2:11" x14ac:dyDescent="0.3">
      <c r="C48" s="30" t="s">
        <v>113</v>
      </c>
      <c r="D48" s="31"/>
      <c r="E48" s="32"/>
      <c r="F48" s="33"/>
      <c r="G48" s="34" t="s">
        <v>107</v>
      </c>
      <c r="H48" s="34" t="s">
        <v>107</v>
      </c>
      <c r="I48" s="35"/>
      <c r="J48" s="35"/>
      <c r="K48" s="36"/>
    </row>
    <row r="49" spans="1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1:11" x14ac:dyDescent="0.3">
      <c r="C50" s="30" t="s">
        <v>114</v>
      </c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30" t="s">
        <v>115</v>
      </c>
      <c r="D52" s="31"/>
      <c r="E52" s="32"/>
      <c r="F52" s="33"/>
      <c r="G52" s="34" t="s">
        <v>107</v>
      </c>
      <c r="H52" s="34" t="s">
        <v>107</v>
      </c>
      <c r="I52" s="35"/>
      <c r="J52" s="35"/>
      <c r="K52" s="36"/>
    </row>
    <row r="53" spans="1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30" t="s">
        <v>116</v>
      </c>
      <c r="D54" s="31"/>
      <c r="E54" s="32"/>
      <c r="F54" s="33"/>
      <c r="G54" s="34" t="s">
        <v>107</v>
      </c>
      <c r="H54" s="34" t="s">
        <v>107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C56" s="30" t="s">
        <v>117</v>
      </c>
      <c r="D56" s="31"/>
      <c r="E56" s="32"/>
      <c r="F56" s="33"/>
      <c r="G56" s="34" t="s">
        <v>107</v>
      </c>
      <c r="H56" s="34" t="s">
        <v>107</v>
      </c>
      <c r="I56" s="35"/>
      <c r="J56" s="35"/>
      <c r="K56" s="36"/>
    </row>
    <row r="57" spans="1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1:11" x14ac:dyDescent="0.3">
      <c r="C58" s="30" t="s">
        <v>118</v>
      </c>
      <c r="D58" s="31"/>
      <c r="E58" s="32"/>
      <c r="F58" s="33"/>
      <c r="G58" s="34" t="s">
        <v>107</v>
      </c>
      <c r="H58" s="34" t="s">
        <v>107</v>
      </c>
      <c r="I58" s="35"/>
      <c r="J58" s="35"/>
      <c r="K58" s="36"/>
    </row>
    <row r="59" spans="1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C60" s="30" t="s">
        <v>119</v>
      </c>
      <c r="D60" s="31"/>
      <c r="E60" s="32"/>
      <c r="F60" s="33"/>
      <c r="G60" s="34" t="s">
        <v>107</v>
      </c>
      <c r="H60" s="34" t="s">
        <v>107</v>
      </c>
      <c r="I60" s="35"/>
      <c r="J60" s="35"/>
      <c r="K60" s="36"/>
    </row>
    <row r="61" spans="1:11" s="39" customFormat="1" ht="15" x14ac:dyDescent="0.35">
      <c r="A61" s="2"/>
      <c r="B61" s="2"/>
      <c r="C61" s="21"/>
      <c r="D61" s="31"/>
      <c r="E61" s="32"/>
      <c r="F61" s="33"/>
      <c r="G61" s="34"/>
      <c r="H61" s="34"/>
      <c r="I61" s="35"/>
      <c r="J61" s="35"/>
      <c r="K61" s="36"/>
    </row>
    <row r="62" spans="1:11" s="40" customFormat="1" x14ac:dyDescent="0.3">
      <c r="A62" s="28"/>
      <c r="B62" s="29"/>
      <c r="C62" s="30" t="s">
        <v>120</v>
      </c>
      <c r="D62" s="31"/>
      <c r="E62" s="32"/>
      <c r="F62" s="33"/>
      <c r="G62" s="34"/>
      <c r="H62" s="34"/>
      <c r="I62" s="35"/>
      <c r="J62" s="35"/>
      <c r="K62" s="36"/>
    </row>
    <row r="63" spans="1:11" s="40" customFormat="1" x14ac:dyDescent="0.3">
      <c r="A63" s="29"/>
      <c r="B63" s="29"/>
      <c r="C63" s="30" t="s">
        <v>121</v>
      </c>
      <c r="D63" s="31"/>
      <c r="E63" s="32"/>
      <c r="F63" s="33"/>
      <c r="G63" s="34" t="s">
        <v>107</v>
      </c>
      <c r="H63" s="34" t="s">
        <v>107</v>
      </c>
      <c r="I63" s="35"/>
      <c r="J63" s="35"/>
      <c r="K63" s="36"/>
    </row>
    <row r="64" spans="1:11" s="2" customFormat="1" x14ac:dyDescent="0.3">
      <c r="A64" s="29"/>
      <c r="B64" s="29"/>
      <c r="C64" s="30"/>
      <c r="D64" s="31"/>
      <c r="E64" s="32"/>
      <c r="F64" s="33"/>
      <c r="G64" s="34"/>
      <c r="H64" s="34"/>
      <c r="I64" s="35"/>
      <c r="J64" s="35"/>
      <c r="K64" s="36"/>
    </row>
    <row r="65" spans="1:11" s="11" customFormat="1" x14ac:dyDescent="0.3">
      <c r="A65" s="29"/>
      <c r="B65" s="29"/>
      <c r="C65" s="30" t="s">
        <v>122</v>
      </c>
      <c r="D65" s="31"/>
      <c r="E65" s="32"/>
      <c r="F65" s="33"/>
      <c r="G65" s="34" t="s">
        <v>107</v>
      </c>
      <c r="H65" s="34" t="s">
        <v>107</v>
      </c>
      <c r="I65" s="35"/>
      <c r="J65" s="35"/>
      <c r="K65" s="36"/>
    </row>
    <row r="66" spans="1:11" x14ac:dyDescent="0.3">
      <c r="A66" s="29"/>
      <c r="B66" s="29"/>
      <c r="C66" s="30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7" t="s">
        <v>123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B68" s="1" t="s">
        <v>124</v>
      </c>
      <c r="C68" s="21" t="s">
        <v>125</v>
      </c>
      <c r="D68" s="31" t="s">
        <v>126</v>
      </c>
      <c r="E68" s="32" t="s">
        <v>127</v>
      </c>
      <c r="F68" s="33">
        <v>50000</v>
      </c>
      <c r="G68" s="34">
        <v>48.51</v>
      </c>
      <c r="H68" s="34">
        <v>0.54</v>
      </c>
      <c r="I68" s="35">
        <v>6.99</v>
      </c>
      <c r="J68" s="35"/>
      <c r="K68" s="36"/>
    </row>
    <row r="69" spans="1:11" x14ac:dyDescent="0.3">
      <c r="C69" s="30" t="s">
        <v>105</v>
      </c>
      <c r="D69" s="31"/>
      <c r="E69" s="32"/>
      <c r="F69" s="33"/>
      <c r="G69" s="38">
        <v>48.51</v>
      </c>
      <c r="H69" s="38">
        <v>0.54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128</v>
      </c>
      <c r="D71" s="31"/>
      <c r="E71" s="32"/>
      <c r="F71" s="33"/>
      <c r="G71" s="34" t="s">
        <v>107</v>
      </c>
      <c r="H71" s="34" t="s">
        <v>107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8"/>
      <c r="B73" s="29"/>
      <c r="C73" s="30" t="s">
        <v>129</v>
      </c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A74" s="29"/>
      <c r="B74" s="29"/>
      <c r="C74" s="30" t="s">
        <v>130</v>
      </c>
      <c r="D74" s="31"/>
      <c r="E74" s="32"/>
      <c r="F74" s="33"/>
      <c r="G74" s="34" t="s">
        <v>107</v>
      </c>
      <c r="H74" s="34" t="s">
        <v>107</v>
      </c>
      <c r="I74" s="35"/>
      <c r="J74" s="35"/>
      <c r="K74" s="36"/>
    </row>
    <row r="75" spans="1:11" x14ac:dyDescent="0.3">
      <c r="A75" s="29"/>
      <c r="B75" s="29"/>
      <c r="C75" s="30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9"/>
      <c r="B76" s="29"/>
      <c r="C76" s="30" t="s">
        <v>131</v>
      </c>
      <c r="D76" s="31"/>
      <c r="E76" s="32"/>
      <c r="F76" s="33"/>
      <c r="G76" s="34" t="s">
        <v>107</v>
      </c>
      <c r="H76" s="34" t="s">
        <v>107</v>
      </c>
      <c r="I76" s="35"/>
      <c r="J76" s="35"/>
      <c r="K76" s="36"/>
    </row>
    <row r="77" spans="1:11" x14ac:dyDescent="0.3">
      <c r="A77" s="29"/>
      <c r="B77" s="29"/>
      <c r="C77" s="30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A78" s="29"/>
      <c r="B78" s="29"/>
      <c r="C78" s="30" t="s">
        <v>132</v>
      </c>
      <c r="D78" s="31"/>
      <c r="E78" s="32"/>
      <c r="F78" s="33"/>
      <c r="G78" s="34" t="s">
        <v>107</v>
      </c>
      <c r="H78" s="34" t="s">
        <v>107</v>
      </c>
      <c r="I78" s="35"/>
      <c r="J78" s="35"/>
      <c r="K78" s="36"/>
    </row>
    <row r="79" spans="1:11" x14ac:dyDescent="0.3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133</v>
      </c>
      <c r="D80" s="31"/>
      <c r="E80" s="32"/>
      <c r="F80" s="33"/>
      <c r="G80" s="34" t="s">
        <v>107</v>
      </c>
      <c r="H80" s="34" t="s">
        <v>107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7" t="s">
        <v>134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B83" s="1" t="s">
        <v>135</v>
      </c>
      <c r="C83" s="21" t="s">
        <v>136</v>
      </c>
      <c r="D83" s="31"/>
      <c r="E83" s="32"/>
      <c r="F83" s="33"/>
      <c r="G83" s="34">
        <v>290.19</v>
      </c>
      <c r="H83" s="34">
        <v>3.24</v>
      </c>
      <c r="I83" s="35">
        <v>6.63</v>
      </c>
      <c r="J83" s="35"/>
      <c r="K83" s="36"/>
    </row>
    <row r="84" spans="1:11" x14ac:dyDescent="0.3">
      <c r="C84" s="30" t="s">
        <v>105</v>
      </c>
      <c r="D84" s="31"/>
      <c r="E84" s="32"/>
      <c r="F84" s="33"/>
      <c r="G84" s="38">
        <v>290.19</v>
      </c>
      <c r="H84" s="38">
        <v>3.24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8"/>
      <c r="B86" s="29"/>
      <c r="C86" s="30" t="s">
        <v>137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B87" s="1"/>
      <c r="C87" s="21" t="s">
        <v>138</v>
      </c>
      <c r="D87" s="31"/>
      <c r="E87" s="32"/>
      <c r="F87" s="33"/>
      <c r="G87" s="34">
        <v>26.35</v>
      </c>
      <c r="H87" s="34">
        <v>0.31999999999999995</v>
      </c>
      <c r="I87" s="35"/>
      <c r="J87" s="35"/>
      <c r="K87" s="36"/>
    </row>
    <row r="88" spans="1:11" x14ac:dyDescent="0.3">
      <c r="C88" s="30" t="s">
        <v>105</v>
      </c>
      <c r="D88" s="31"/>
      <c r="E88" s="32"/>
      <c r="F88" s="33"/>
      <c r="G88" s="38">
        <v>26.35</v>
      </c>
      <c r="H88" s="38">
        <v>0.31999999999999995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ht="14.4" thickBot="1" x14ac:dyDescent="0.35">
      <c r="C90" s="41" t="s">
        <v>139</v>
      </c>
      <c r="D90" s="42"/>
      <c r="E90" s="43"/>
      <c r="F90" s="44"/>
      <c r="G90" s="45">
        <v>8950.91</v>
      </c>
      <c r="H90" s="45">
        <f>SUMIFS(H:H,C:C,"Total")</f>
        <v>100</v>
      </c>
      <c r="I90" s="46"/>
      <c r="J90" s="46"/>
      <c r="K90" s="47"/>
    </row>
    <row r="92" spans="1:11" x14ac:dyDescent="0.3">
      <c r="C92" s="48" t="s">
        <v>140</v>
      </c>
      <c r="D92" s="49"/>
      <c r="E92" s="49"/>
      <c r="F92" s="49"/>
      <c r="G92" s="50"/>
      <c r="H92" s="50"/>
    </row>
    <row r="93" spans="1:11" x14ac:dyDescent="0.3">
      <c r="C93" s="48"/>
      <c r="D93" s="49"/>
      <c r="E93" s="49"/>
      <c r="F93" s="49"/>
      <c r="G93" s="50"/>
      <c r="H93" s="50"/>
    </row>
    <row r="94" spans="1:11" x14ac:dyDescent="0.3">
      <c r="C94" s="51" t="s">
        <v>141</v>
      </c>
      <c r="D94" s="51" t="s">
        <v>142</v>
      </c>
      <c r="E94" s="52" t="s">
        <v>143</v>
      </c>
      <c r="F94" s="53" t="s">
        <v>144</v>
      </c>
      <c r="G94" s="53" t="s">
        <v>145</v>
      </c>
      <c r="H94" s="53" t="s">
        <v>146</v>
      </c>
    </row>
    <row r="95" spans="1:11" x14ac:dyDescent="0.3">
      <c r="C95" s="77" t="s">
        <v>147</v>
      </c>
      <c r="D95" s="78"/>
      <c r="E95" s="78"/>
      <c r="F95" s="78"/>
      <c r="G95" s="78"/>
      <c r="H95" s="79"/>
    </row>
    <row r="96" spans="1:11" x14ac:dyDescent="0.3">
      <c r="C96" s="48"/>
      <c r="D96" s="49"/>
      <c r="E96" s="49"/>
      <c r="F96" s="49"/>
      <c r="G96" s="50"/>
      <c r="H96" s="50"/>
    </row>
    <row r="97" spans="3:8" x14ac:dyDescent="0.3">
      <c r="C97" s="49" t="s">
        <v>148</v>
      </c>
      <c r="D97" s="49"/>
      <c r="E97" s="49"/>
      <c r="F97" s="54"/>
      <c r="G97" s="50"/>
      <c r="H97" s="50"/>
    </row>
    <row r="98" spans="3:8" x14ac:dyDescent="0.3">
      <c r="C98" s="55"/>
      <c r="D98" s="49"/>
      <c r="E98" s="49"/>
      <c r="F98" s="54"/>
      <c r="G98" s="50"/>
      <c r="H98" s="50"/>
    </row>
    <row r="99" spans="3:8" x14ac:dyDescent="0.3">
      <c r="C99" s="48" t="s">
        <v>149</v>
      </c>
      <c r="D99" s="49"/>
      <c r="E99" s="49"/>
      <c r="F99" s="54"/>
      <c r="G99" s="50"/>
      <c r="H99" s="50"/>
    </row>
    <row r="100" spans="3:8" x14ac:dyDescent="0.3">
      <c r="C100" s="56" t="s">
        <v>150</v>
      </c>
      <c r="D100" s="49"/>
      <c r="E100" s="49"/>
      <c r="F100" s="54"/>
      <c r="G100" s="50"/>
      <c r="H100" s="50"/>
    </row>
    <row r="101" spans="3:8" x14ac:dyDescent="0.3">
      <c r="C101" s="56" t="s">
        <v>151</v>
      </c>
      <c r="D101" s="49"/>
      <c r="E101" s="49"/>
      <c r="F101" s="54"/>
      <c r="G101" s="50"/>
      <c r="H101" s="50"/>
    </row>
    <row r="102" spans="3:8" x14ac:dyDescent="0.3">
      <c r="C102" s="56" t="s">
        <v>152</v>
      </c>
      <c r="D102" s="54"/>
      <c r="E102" s="49"/>
      <c r="F102" s="54"/>
      <c r="G102" s="50"/>
      <c r="H102" s="50"/>
    </row>
    <row r="103" spans="3:8" x14ac:dyDescent="0.3">
      <c r="C103" s="56" t="s">
        <v>153</v>
      </c>
      <c r="D103" s="54"/>
      <c r="E103" s="54"/>
      <c r="F103" s="54"/>
      <c r="G103" s="50"/>
      <c r="H103" s="50"/>
    </row>
    <row r="104" spans="3:8" x14ac:dyDescent="0.3">
      <c r="C104" s="57" t="s">
        <v>154</v>
      </c>
      <c r="D104" s="54"/>
      <c r="E104" s="58"/>
      <c r="F104" s="54"/>
      <c r="G104" s="50"/>
      <c r="H104" s="50"/>
    </row>
    <row r="105" spans="3:8" x14ac:dyDescent="0.3">
      <c r="C105" s="55"/>
      <c r="D105" s="49"/>
      <c r="E105" s="49"/>
      <c r="F105" s="54"/>
      <c r="G105" s="50"/>
      <c r="H105" s="50"/>
    </row>
    <row r="106" spans="3:8" x14ac:dyDescent="0.3">
      <c r="C106" s="55"/>
      <c r="D106" s="49"/>
      <c r="E106" s="49"/>
      <c r="F106" s="54"/>
      <c r="G106" s="50"/>
      <c r="H106" s="50"/>
    </row>
    <row r="107" spans="3:8" x14ac:dyDescent="0.3">
      <c r="C107" s="48" t="s">
        <v>155</v>
      </c>
      <c r="D107" s="56"/>
      <c r="E107" s="56"/>
      <c r="F107" s="56"/>
      <c r="G107" s="56"/>
      <c r="H107" s="59"/>
    </row>
    <row r="108" spans="3:8" x14ac:dyDescent="0.3">
      <c r="C108" s="51" t="s">
        <v>141</v>
      </c>
      <c r="D108" s="51" t="s">
        <v>142</v>
      </c>
      <c r="E108" s="53" t="s">
        <v>156</v>
      </c>
      <c r="F108" s="53" t="s">
        <v>144</v>
      </c>
      <c r="G108" s="53" t="s">
        <v>145</v>
      </c>
      <c r="H108" s="53" t="s">
        <v>146</v>
      </c>
    </row>
    <row r="109" spans="3:8" x14ac:dyDescent="0.3">
      <c r="C109" s="60" t="s">
        <v>60</v>
      </c>
      <c r="D109" s="60" t="s">
        <v>111</v>
      </c>
      <c r="E109" s="61">
        <v>2</v>
      </c>
      <c r="F109" s="62">
        <v>274.42500000000001</v>
      </c>
      <c r="G109" s="62">
        <v>261.95</v>
      </c>
      <c r="H109" s="62">
        <v>6.4217430000000002</v>
      </c>
    </row>
    <row r="110" spans="3:8" x14ac:dyDescent="0.3">
      <c r="C110" s="63"/>
      <c r="D110" s="63"/>
      <c r="E110" s="63"/>
      <c r="F110" s="63"/>
      <c r="G110" s="63"/>
      <c r="H110" s="63"/>
    </row>
    <row r="111" spans="3:8" x14ac:dyDescent="0.3">
      <c r="C111" s="56" t="s">
        <v>157</v>
      </c>
      <c r="D111" s="63"/>
      <c r="E111" s="63"/>
      <c r="F111" s="63"/>
      <c r="G111" s="63"/>
      <c r="H111" s="63"/>
    </row>
    <row r="112" spans="3:8" x14ac:dyDescent="0.3">
      <c r="C112" s="63"/>
      <c r="D112" s="63"/>
      <c r="E112" s="63"/>
      <c r="F112" s="63"/>
      <c r="G112" s="63"/>
      <c r="H112" s="63"/>
    </row>
    <row r="113" spans="3:8" x14ac:dyDescent="0.3">
      <c r="C113" s="48" t="s">
        <v>158</v>
      </c>
      <c r="D113" s="63"/>
      <c r="E113" s="63"/>
      <c r="F113" s="63"/>
      <c r="G113" s="63"/>
      <c r="H113" s="63"/>
    </row>
    <row r="114" spans="3:8" x14ac:dyDescent="0.3">
      <c r="C114" s="56" t="s">
        <v>159</v>
      </c>
      <c r="D114" s="63"/>
      <c r="E114" s="63"/>
      <c r="F114" s="63"/>
      <c r="G114" s="63"/>
      <c r="H114" s="63"/>
    </row>
    <row r="115" spans="3:8" x14ac:dyDescent="0.3">
      <c r="C115" s="56" t="s">
        <v>160</v>
      </c>
      <c r="D115" s="63"/>
      <c r="E115" s="63"/>
      <c r="F115" s="63"/>
      <c r="G115" s="63"/>
      <c r="H115" s="63"/>
    </row>
    <row r="116" spans="3:8" x14ac:dyDescent="0.3">
      <c r="C116" s="56" t="s">
        <v>161</v>
      </c>
      <c r="D116" s="64"/>
      <c r="E116" s="65"/>
      <c r="F116" s="63"/>
      <c r="G116" s="63"/>
      <c r="H116" s="63"/>
    </row>
    <row r="117" spans="3:8" x14ac:dyDescent="0.3">
      <c r="C117" s="56" t="s">
        <v>162</v>
      </c>
      <c r="D117" s="64"/>
      <c r="E117" s="63"/>
      <c r="F117" s="63"/>
      <c r="G117" s="63"/>
      <c r="H117" s="63"/>
    </row>
    <row r="118" spans="3:8" x14ac:dyDescent="0.3">
      <c r="C118" s="57" t="s">
        <v>163</v>
      </c>
      <c r="D118" s="64"/>
      <c r="E118" s="58"/>
      <c r="F118" s="58"/>
      <c r="G118" s="63"/>
      <c r="H118" s="63"/>
    </row>
    <row r="119" spans="3:8" x14ac:dyDescent="0.3">
      <c r="C119" s="63"/>
      <c r="D119" s="63"/>
      <c r="E119" s="63"/>
      <c r="F119" s="63"/>
      <c r="G119" s="63"/>
      <c r="H119" s="63"/>
    </row>
    <row r="120" spans="3:8" x14ac:dyDescent="0.3">
      <c r="C120" s="49"/>
      <c r="D120" s="58"/>
      <c r="E120" s="58"/>
      <c r="F120" s="58"/>
      <c r="G120" s="50"/>
      <c r="H120" s="50"/>
    </row>
    <row r="121" spans="3:8" x14ac:dyDescent="0.3">
      <c r="C121" s="66" t="s">
        <v>164</v>
      </c>
      <c r="D121" s="58"/>
      <c r="E121" s="58"/>
      <c r="F121" s="49"/>
      <c r="G121" s="50"/>
      <c r="H121" s="50"/>
    </row>
    <row r="123" spans="3:8" x14ac:dyDescent="0.3">
      <c r="C123" s="11" t="s">
        <v>165</v>
      </c>
    </row>
    <row r="124" spans="3:8" x14ac:dyDescent="0.3">
      <c r="C124" s="2" t="s">
        <v>166</v>
      </c>
    </row>
    <row r="125" spans="3:8" x14ac:dyDescent="0.3">
      <c r="C125" s="67" t="s">
        <v>167</v>
      </c>
    </row>
    <row r="126" spans="3:8" x14ac:dyDescent="0.3">
      <c r="C126" s="2" t="s">
        <v>168</v>
      </c>
    </row>
    <row r="127" spans="3:8" x14ac:dyDescent="0.3">
      <c r="C127" s="2" t="s">
        <v>169</v>
      </c>
    </row>
    <row r="128" spans="3:8" x14ac:dyDescent="0.3">
      <c r="C128" s="2" t="s">
        <v>170</v>
      </c>
      <c r="D128" s="68"/>
      <c r="E128" s="68"/>
      <c r="F128" s="68"/>
      <c r="G128" s="69"/>
      <c r="H128" s="69"/>
    </row>
    <row r="129" spans="3:55" x14ac:dyDescent="0.3">
      <c r="C129" s="2" t="s">
        <v>171</v>
      </c>
    </row>
    <row r="130" spans="3:55" x14ac:dyDescent="0.3">
      <c r="C130" s="2" t="s">
        <v>172</v>
      </c>
    </row>
    <row r="131" spans="3:55" x14ac:dyDescent="0.3">
      <c r="C131" s="2" t="s">
        <v>173</v>
      </c>
    </row>
    <row r="132" spans="3:55" x14ac:dyDescent="0.3">
      <c r="C132" s="2" t="s">
        <v>174</v>
      </c>
    </row>
    <row r="133" spans="3:55" s="11" customFormat="1" x14ac:dyDescent="0.3">
      <c r="C133" s="11" t="s">
        <v>175</v>
      </c>
      <c r="E133" s="11" t="s">
        <v>176</v>
      </c>
      <c r="F133" s="70" t="s">
        <v>177</v>
      </c>
      <c r="G133" s="71"/>
      <c r="H133" s="71"/>
      <c r="I133" s="71"/>
      <c r="J133" s="71"/>
      <c r="K133" s="72"/>
      <c r="L133" s="72"/>
      <c r="M133" s="72"/>
      <c r="AJ133" s="72"/>
      <c r="AW133" s="72"/>
      <c r="AY133" s="72"/>
      <c r="BC133" s="72"/>
    </row>
    <row r="134" spans="3:55" x14ac:dyDescent="0.3">
      <c r="C134" s="2" t="s">
        <v>178</v>
      </c>
      <c r="E134" s="73">
        <v>18.514399999999998</v>
      </c>
      <c r="F134" s="74">
        <v>18.040900000000001</v>
      </c>
    </row>
    <row r="135" spans="3:55" x14ac:dyDescent="0.3">
      <c r="C135" s="2" t="s">
        <v>179</v>
      </c>
      <c r="E135" s="73">
        <v>34.334400000000002</v>
      </c>
      <c r="F135" s="74">
        <v>33.456400000000002</v>
      </c>
    </row>
    <row r="136" spans="3:55" x14ac:dyDescent="0.3">
      <c r="C136" s="2" t="s">
        <v>180</v>
      </c>
      <c r="E136" s="73">
        <v>20.592500000000001</v>
      </c>
      <c r="F136" s="74">
        <v>20.1036</v>
      </c>
    </row>
    <row r="137" spans="3:55" x14ac:dyDescent="0.3">
      <c r="C137" s="2" t="s">
        <v>181</v>
      </c>
      <c r="E137" s="73">
        <v>37.377400000000002</v>
      </c>
      <c r="F137" s="74">
        <v>36.490099999999998</v>
      </c>
    </row>
    <row r="139" spans="3:55" x14ac:dyDescent="0.3">
      <c r="C139" s="2" t="s">
        <v>182</v>
      </c>
    </row>
    <row r="141" spans="3:55" x14ac:dyDescent="0.3">
      <c r="C141" s="2" t="s">
        <v>183</v>
      </c>
    </row>
    <row r="142" spans="3:55" x14ac:dyDescent="0.3">
      <c r="C142" s="2" t="s">
        <v>184</v>
      </c>
    </row>
    <row r="143" spans="3:55" x14ac:dyDescent="0.3">
      <c r="C143" s="2" t="s">
        <v>185</v>
      </c>
    </row>
    <row r="144" spans="3:55" x14ac:dyDescent="0.3">
      <c r="C144" s="2" t="s">
        <v>186</v>
      </c>
    </row>
    <row r="145" spans="3:11" x14ac:dyDescent="0.3">
      <c r="C145" s="2" t="s">
        <v>187</v>
      </c>
    </row>
    <row r="146" spans="3:11" x14ac:dyDescent="0.3">
      <c r="C146" s="2" t="s">
        <v>188</v>
      </c>
    </row>
    <row r="147" spans="3:11" x14ac:dyDescent="0.3">
      <c r="C147" s="2" t="s">
        <v>189</v>
      </c>
    </row>
    <row r="148" spans="3:11" x14ac:dyDescent="0.3">
      <c r="C148" s="2" t="s">
        <v>190</v>
      </c>
    </row>
    <row r="149" spans="3:11" x14ac:dyDescent="0.3">
      <c r="C149" s="2" t="s">
        <v>191</v>
      </c>
    </row>
    <row r="150" spans="3:11" x14ac:dyDescent="0.3">
      <c r="C150" s="2" t="s">
        <v>192</v>
      </c>
    </row>
    <row r="151" spans="3:11" x14ac:dyDescent="0.3">
      <c r="C151" s="2" t="s">
        <v>193</v>
      </c>
    </row>
    <row r="152" spans="3:11" x14ac:dyDescent="0.3">
      <c r="C152" s="2" t="s">
        <v>194</v>
      </c>
    </row>
    <row r="153" spans="3:11" ht="14.4" x14ac:dyDescent="0.3">
      <c r="C153" s="75"/>
      <c r="D153" s="75"/>
      <c r="E153" s="76"/>
      <c r="F153" s="76"/>
      <c r="G153" s="76"/>
      <c r="H153" s="76"/>
      <c r="I153" s="76"/>
      <c r="J153" s="76"/>
      <c r="K153" s="76"/>
    </row>
    <row r="154" spans="3:11" ht="14.4" x14ac:dyDescent="0.3">
      <c r="C154" s="76"/>
      <c r="D154" s="76"/>
      <c r="E154" s="76"/>
      <c r="F154" s="76"/>
      <c r="G154" s="76"/>
      <c r="H154" s="76"/>
      <c r="I154" s="76"/>
      <c r="J154" s="76"/>
      <c r="K154" s="76"/>
    </row>
    <row r="155" spans="3:11" ht="14.4" x14ac:dyDescent="0.3">
      <c r="C155" s="76"/>
      <c r="D155" s="76"/>
      <c r="E155" s="76"/>
      <c r="F155" s="76"/>
      <c r="G155" s="76"/>
      <c r="H155" s="76"/>
      <c r="I155" s="76"/>
      <c r="J155" s="76"/>
      <c r="K155" s="76"/>
    </row>
  </sheetData>
  <mergeCells count="1">
    <mergeCell ref="C95:H95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BS</vt:lpstr>
      <vt:lpstr>XDO_?CLASS_3?23?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XDO_?FINAL_MV?112?</vt:lpstr>
      <vt:lpstr>XDO_?FINAL_MV?113?</vt:lpstr>
      <vt:lpstr>XDO_?FINAL_MV?114?</vt:lpstr>
      <vt:lpstr>XDO_?FINAL_MV?115?</vt:lpstr>
      <vt:lpstr>XDO_?FINAL_MV?116?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XDO_?NAMCNAME?23?</vt:lpstr>
      <vt:lpstr>XDO_?NOVAL?112?</vt:lpstr>
      <vt:lpstr>XDO_?NOVAL?113?</vt:lpstr>
      <vt:lpstr>XDO_?NOVAL?114?</vt:lpstr>
      <vt:lpstr>XDO_?NOVAL?115?</vt:lpstr>
      <vt:lpstr>XDO_?NOVAL?116?</vt:lpstr>
      <vt:lpstr>XDO_?NPTF?23?</vt:lpstr>
      <vt:lpstr>XDO_?RATING?112?</vt:lpstr>
      <vt:lpstr>XDO_?RATING?113?</vt:lpstr>
      <vt:lpstr>XDO_?RATING?114?</vt:lpstr>
      <vt:lpstr>XDO_?RATING?115?</vt:lpstr>
      <vt:lpstr>XDO_?RATING?116?</vt:lpstr>
      <vt:lpstr>XDO_?REMARKS?112?</vt:lpstr>
      <vt:lpstr>XDO_?REMARKS?113?</vt:lpstr>
      <vt:lpstr>XDO_?REMARKS?114?</vt:lpstr>
      <vt:lpstr>XDO_?REMARKS?115?</vt:lpstr>
      <vt:lpstr>XDO_?REMARKS?116?</vt:lpstr>
      <vt:lpstr>XDO_?TITL?23?</vt:lpstr>
      <vt:lpstr>XDO_?YTM?112?</vt:lpstr>
      <vt:lpstr>XDO_?YTM?113?</vt:lpstr>
      <vt:lpstr>XDO_?YTM?114?</vt:lpstr>
      <vt:lpstr>XDO_?YTM?115?</vt:lpstr>
      <vt:lpstr>XDO_?YTM?116?</vt:lpstr>
      <vt:lpstr>XDO_GROUP_?G_2?23?</vt:lpstr>
      <vt:lpstr>XDO_GROUP_?G_3?23?</vt:lpstr>
      <vt:lpstr>XDO_GROUP_?G_4?112?</vt:lpstr>
      <vt:lpstr>XDO_GROUP_?G_4?113?</vt:lpstr>
      <vt:lpstr>XDO_GROUP_?G_4?114?</vt:lpstr>
      <vt:lpstr>XDO_GROUP_?G_4?115?</vt:lpstr>
      <vt:lpstr>XDO_GROUP_?G_4?116?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2023-09-06T09:47:31Z</dcterms:created>
  <dcterms:modified xsi:type="dcterms:W3CDTF">2023-09-07T07:55:42Z</dcterms:modified>
</cp:coreProperties>
</file>