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22?">'Monthly Portfolio'!$C$8:$C$36</definedName>
    <definedName name="XDO_?FINAL_ISIN?110?">'Monthly Portfolio'!$D$10:$D$36</definedName>
    <definedName name="XDO_?FINAL_ISIN?111?">'Monthly Portfolio'!$D$10:$D$44</definedName>
    <definedName name="XDO_?FINAL_ISIN?112?">'Monthly Portfolio'!$D$10:$D$67</definedName>
    <definedName name="XDO_?FINAL_ISIN?113?">'Monthly Portfolio'!$D$10:$D$82</definedName>
    <definedName name="XDO_?FINAL_ISIN?114?">'Monthly Portfolio'!$D$10:$D$86</definedName>
    <definedName name="XDO_?FINAL_MV?110?">'Monthly Portfolio'!$G$10:$G$36</definedName>
    <definedName name="XDO_?FINAL_MV?111?">'Monthly Portfolio'!$G$10:$G$44</definedName>
    <definedName name="XDO_?FINAL_MV?112?">'Monthly Portfolio'!$G$10:$G$67</definedName>
    <definedName name="XDO_?FINAL_MV?113?">'Monthly Portfolio'!$G$10:$G$82</definedName>
    <definedName name="XDO_?FINAL_MV?114?">'Monthly Portfolio'!$G$10:$G$86</definedName>
    <definedName name="XDO_?FINAL_NAME?110?">'Monthly Portfolio'!$C$10:$C$36</definedName>
    <definedName name="XDO_?FINAL_NAME?111?">'Monthly Portfolio'!$C$10:$C$44</definedName>
    <definedName name="XDO_?FINAL_NAME?112?">'Monthly Portfolio'!$C$10:$C$67</definedName>
    <definedName name="XDO_?FINAL_NAME?113?">'Monthly Portfolio'!$C$10:$C$82</definedName>
    <definedName name="XDO_?FINAL_NAME?114?">'Monthly Portfolio'!$C$10:$C$86</definedName>
    <definedName name="XDO_?FINAL_PER_NET?110?">'Monthly Portfolio'!$H$10:$H$36</definedName>
    <definedName name="XDO_?FINAL_PER_NET?111?">'Monthly Portfolio'!$H$10:$H$44</definedName>
    <definedName name="XDO_?FINAL_PER_NET?112?">'Monthly Portfolio'!$H$10:$H$67</definedName>
    <definedName name="XDO_?FINAL_PER_NET?113?">'Monthly Portfolio'!$H$10:$H$82</definedName>
    <definedName name="XDO_?FINAL_PER_NET?114?">'Monthly Portfolio'!$H$10:$H$86</definedName>
    <definedName name="XDO_?FINAL_QUANTITE?110?">'Monthly Portfolio'!$F$10:$F$36</definedName>
    <definedName name="XDO_?FINAL_QUANTITE?111?">'Monthly Portfolio'!$F$10:$F$44</definedName>
    <definedName name="XDO_?FINAL_QUANTITE?112?">'Monthly Portfolio'!$F$10:$F$67</definedName>
    <definedName name="XDO_?FINAL_QUANTITE?113?">'Monthly Portfolio'!$F$10:$F$82</definedName>
    <definedName name="XDO_?FINAL_QUANTITE?114?">'Monthly Portfolio'!$F$10:$F$86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'Monthly Portfolio'!#REF!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2?">'Monthly Portfolio'!$C$2:$C$36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'Monthly Portfolio'!#REF!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'Monthly Portfolio'!#REF!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10?">'Monthly Portfolio'!$B$10:$B$36</definedName>
    <definedName name="XDO_?NOVAL?111?">'Monthly Portfolio'!$B$10:$B$44</definedName>
    <definedName name="XDO_?NOVAL?112?">'Monthly Portfolio'!$B$10:$B$67</definedName>
    <definedName name="XDO_?NOVAL?113?">'Monthly Portfolio'!$B$10:$B$82</definedName>
    <definedName name="XDO_?NOVAL?114?">'Monthly Portfolio'!$B$10:$B$86</definedName>
    <definedName name="XDO_?NPTF?22?">'Monthly Portfolio'!$D$2:$D$36</definedName>
    <definedName name="XDO_?RATING?110?">'Monthly Portfolio'!$E$10:$E$36</definedName>
    <definedName name="XDO_?RATING?111?">'Monthly Portfolio'!$E$10:$E$44</definedName>
    <definedName name="XDO_?RATING?112?">'Monthly Portfolio'!$E$10:$E$67</definedName>
    <definedName name="XDO_?RATING?113?">'Monthly Portfolio'!$E$10:$E$82</definedName>
    <definedName name="XDO_?RATING?114?">'Monthly Portfolio'!$E$10:$E$86</definedName>
    <definedName name="XDO_?REMARKS?110?">'Monthly Portfolio'!$K$10:$K$36</definedName>
    <definedName name="XDO_?REMARKS?111?">'Monthly Portfolio'!$K$10:$K$44</definedName>
    <definedName name="XDO_?REMARKS?112?">'Monthly Portfolio'!$K$10:$K$67</definedName>
    <definedName name="XDO_?REMARKS?113?">'Monthly Portfolio'!$K$10:$K$82</definedName>
    <definedName name="XDO_?REMARKS?114?">'Monthly Portfolio'!$K$10:$K$86</definedName>
    <definedName name="XDO_?TITL?22?">'Monthly Portfolio'!$A$8:$A$36</definedName>
    <definedName name="XDO_?YTM?110?">'Monthly Portfolio'!$I$10:$I$36</definedName>
    <definedName name="XDO_?YTM?111?">'Monthly Portfolio'!$I$10:$I$44</definedName>
    <definedName name="XDO_?YTM?112?">'Monthly Portfolio'!$I$10:$I$67</definedName>
    <definedName name="XDO_?YTM?113?">'Monthly Portfolio'!$I$10:$I$82</definedName>
    <definedName name="XDO_?YTM?114?">'Monthly Portfolio'!$I$10:$I$86</definedName>
    <definedName name="XDO_GROUP_?G_2?22?">'Monthly Portfolio'!$2:$58</definedName>
    <definedName name="XDO_GROUP_?G_3?22?">'Monthly Portfolio'!$8:$57</definedName>
    <definedName name="XDO_GROUP_?G_4?110?">'Monthly Portfolio'!$B$10:$IV$36</definedName>
    <definedName name="XDO_GROUP_?G_4?111?">'Monthly Portfolio'!$B$40:$IV$40</definedName>
    <definedName name="XDO_GROUP_?G_4?112?">'Monthly Portfolio'!$B$45:$IV$45</definedName>
    <definedName name="XDO_GROUP_?G_4?113?">'Monthly Portfolio'!$B$50:$IV$50</definedName>
    <definedName name="XDO_GROUP_?G_4?114?">'Monthly Portfolio'!$B$55:$IV$55</definedName>
    <definedName name="XDO_GROUP_?G_4?140?">[1]BM!#REF!</definedName>
    <definedName name="XDO_GROUP_?G_4?40?">[1]TA!#REF!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2" l="1"/>
  <c r="H89" i="1" l="1"/>
</calcChain>
</file>

<file path=xl/sharedStrings.xml><?xml version="1.0" encoding="utf-8"?>
<sst xmlns="http://schemas.openxmlformats.org/spreadsheetml/2006/main" count="509" uniqueCount="207">
  <si>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</si>
  <si>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</si>
  <si>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</si>
  <si>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</si>
  <si>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</si>
  <si>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</si>
  <si>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</si>
  <si>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</si>
  <si>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</si>
  <si>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</si>
  <si>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</si>
  <si>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</si>
  <si>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</si>
  <si>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</si>
  <si>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</si>
  <si>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</si>
  <si>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</si>
  <si>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</si>
  <si>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</si>
  <si>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</si>
  <si>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</si>
  <si>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</si>
  <si>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</si>
  <si>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</si>
  <si>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</si>
  <si>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</si>
  <si>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100125</t>
  </si>
  <si>
    <t>Bajaj Finance Ltd.</t>
  </si>
  <si>
    <t>INE296A01024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</si>
  <si>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</si>
  <si>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</si>
  <si>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</si>
  <si>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</si>
  <si>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</si>
  <si>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</si>
  <si>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</si>
  <si>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100013</t>
  </si>
  <si>
    <t>IndusInd Bank Ltd.</t>
  </si>
  <si>
    <t>INE095A01012</t>
  </si>
  <si>
    <t>100399</t>
  </si>
  <si>
    <t>Cholamandalam Investment &amp; Finance Co. Ltd.</t>
  </si>
  <si>
    <t>INE121A01024</t>
  </si>
  <si>
    <t>100194</t>
  </si>
  <si>
    <t>Power Finance Corporation Ltd.</t>
  </si>
  <si>
    <t>INE134E01011</t>
  </si>
  <si>
    <t>100240</t>
  </si>
  <si>
    <t>Can Fin Homes Ltd.</t>
  </si>
  <si>
    <t>INE477A01020</t>
  </si>
  <si>
    <t>100112</t>
  </si>
  <si>
    <t>Punjab National Bank</t>
  </si>
  <si>
    <t>INE160A01022</t>
  </si>
  <si>
    <t>100055</t>
  </si>
  <si>
    <t>The Federal Bank Ltd.</t>
  </si>
  <si>
    <t>INE171A01029</t>
  </si>
  <si>
    <t>101469</t>
  </si>
  <si>
    <t>Equitas Small Finance Bank Ltd.</t>
  </si>
  <si>
    <t>INE063P01018</t>
  </si>
  <si>
    <t>100706</t>
  </si>
  <si>
    <t>HDFC Life Insurance Company Ltd.</t>
  </si>
  <si>
    <t>INE795G01014</t>
  </si>
  <si>
    <t>Insurance</t>
  </si>
  <si>
    <t>101783</t>
  </si>
  <si>
    <t>Five Star Business Finance Ltd.</t>
  </si>
  <si>
    <t>INE128S01021</t>
  </si>
  <si>
    <t>100036</t>
  </si>
  <si>
    <t>Mahindra &amp; Mahindra Financial Services Ltd.</t>
  </si>
  <si>
    <t>INE774D01024</t>
  </si>
  <si>
    <t>100575</t>
  </si>
  <si>
    <t>BSE Ltd.</t>
  </si>
  <si>
    <t>INE118H01025</t>
  </si>
  <si>
    <t>Capital Markets</t>
  </si>
  <si>
    <t>100254</t>
  </si>
  <si>
    <t>Karur Vysya Bank Ltd.</t>
  </si>
  <si>
    <t>INE036D01028</t>
  </si>
  <si>
    <t>101390</t>
  </si>
  <si>
    <t>PB Fintech Ltd.</t>
  </si>
  <si>
    <t>INE417T01026</t>
  </si>
  <si>
    <t>Financial Technology (Fintech)</t>
  </si>
  <si>
    <t>100107</t>
  </si>
  <si>
    <t>Max Financial Services Ltd.</t>
  </si>
  <si>
    <t>INE180A01020</t>
  </si>
  <si>
    <t>100477</t>
  </si>
  <si>
    <t>PNB Housing Finance Ltd.</t>
  </si>
  <si>
    <t>INE572E01012</t>
  </si>
  <si>
    <t>100505</t>
  </si>
  <si>
    <t>ICICI Prudential Life Insurance Company Ltd.</t>
  </si>
  <si>
    <t>INE726G01019</t>
  </si>
  <si>
    <t>100114</t>
  </si>
  <si>
    <t>Shriram Finance Ltd.</t>
  </si>
  <si>
    <t>INE721A01013</t>
  </si>
  <si>
    <t>101889</t>
  </si>
  <si>
    <t>Jio Financial Services Ltd.</t>
  </si>
  <si>
    <t>INE758E01017</t>
  </si>
  <si>
    <t>100116</t>
  </si>
  <si>
    <t>Sundaram Finance Ltd.</t>
  </si>
  <si>
    <t>INE660A01013</t>
  </si>
  <si>
    <t>101210</t>
  </si>
  <si>
    <t>Credit Access Grameen Ltd.</t>
  </si>
  <si>
    <t>INE741K01010</t>
  </si>
  <si>
    <t>100046</t>
  </si>
  <si>
    <t>Manappuram Finance Ltd.</t>
  </si>
  <si>
    <t>INE522D01027</t>
  </si>
  <si>
    <t>Total</t>
  </si>
  <si>
    <t>b) Unlisted</t>
  </si>
  <si>
    <t>NIL</t>
  </si>
  <si>
    <t>c) Foreign Securities and /or overseas ETF</t>
  </si>
  <si>
    <t>d) Stock Futures</t>
  </si>
  <si>
    <t>2215952</t>
  </si>
  <si>
    <t>Long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</si>
  <si>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</si>
  <si>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</si>
  <si>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</si>
  <si>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</si>
  <si>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</si>
  <si>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</si>
  <si>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</si>
  <si>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</si>
  <si>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</si>
  <si>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</si>
  <si>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</si>
  <si>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</si>
  <si>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</si>
  <si>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</si>
  <si>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</si>
  <si>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</si>
  <si>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</si>
  <si>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</si>
  <si>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</si>
  <si>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</si>
  <si>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</si>
  <si>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</si>
  <si>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</si>
  <si>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</si>
  <si>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</si>
  <si>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</si>
  <si>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</si>
  <si>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</si>
  <si>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</si>
  <si>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</si>
  <si>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</si>
  <si>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</si>
  <si>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</si>
  <si>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</si>
  <si>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</si>
  <si>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</si>
  <si>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</si>
  <si>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</si>
  <si>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September 30,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</si>
  <si>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</si>
  <si>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</si>
  <si>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</si>
  <si>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</si>
  <si>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</si>
  <si>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September 30, 2023:</t>
  </si>
  <si>
    <t>Cholamandalam Investment &amp; Fin Co Ltd.</t>
  </si>
  <si>
    <t>Total Exposure through Futures(other than hedging positions) is 0.98% age of net assets</t>
  </si>
  <si>
    <t>For the Month ended September 30, 2023 with regard to Other than hedging transactions through futures which have already been squared off/expired specify:</t>
  </si>
  <si>
    <t>Total Number of contracts where futures were sold : 2</t>
  </si>
  <si>
    <t>Gross Notional Value of contracts where futures were sold: 37.62 lacs</t>
  </si>
  <si>
    <t>Net Profit/Loss on all contracts combined : 3.59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</si>
  <si>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</si>
  <si>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</si>
  <si>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</si>
  <si>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</si>
  <si>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</si>
  <si>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</si>
  <si>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</si>
  <si>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</si>
  <si>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</si>
  <si>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</si>
  <si>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</si>
  <si>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</si>
  <si>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</si>
  <si>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</si>
  <si>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</si>
  <si>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</si>
  <si>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</si>
  <si>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</si>
  <si>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</si>
  <si>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 Total outstanding exposure in derivative instruments as on September 30, 2023 is 91.75 Lacs.</t>
  </si>
  <si>
    <t>(10) Total Market value of investments in Foreign Securities/American Depositary Receipts/Global Depositary Receipts as at  September 30, 2023 is Rs. Nil.</t>
  </si>
  <si>
    <t>(11)  During the period, the portfolio turnover ratio is  0.06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</si>
  <si>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</si>
  <si>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</si>
  <si>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</si>
  <si>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</si>
  <si>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</si>
  <si>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</si>
  <si>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</si>
  <si>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</si>
  <si>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</si>
  <si>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BANKING AND FINANCIAL SERVICES FUND
(An open ended equity scheme investing in the Banking and Financial Services sector)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</si>
  <si>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</si>
  <si>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</si>
  <si>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For the Half year ended September 30, 2023 with regard to Other than hedging transactions through futures which have already been squared off/expired specify:</t>
  </si>
  <si>
    <t>Total Number of contracts where futures were bought : 23</t>
  </si>
  <si>
    <t>Total Number of contracts where futures were sold : 23</t>
  </si>
  <si>
    <t>Gross Notional Value of contracts where futures were bought : 223.69 lacs</t>
  </si>
  <si>
    <t>Gross Notional Value of contracts where futures were sold: 222.63 lacs</t>
  </si>
  <si>
    <t>Net Profit/Loss on all contracts combined : -1.06 lacs</t>
  </si>
  <si>
    <t>As on March 31, 2023</t>
  </si>
  <si>
    <t>(8) No Dividend declared during the Half Year ended September 30, 2023</t>
  </si>
  <si>
    <t>(11)  During the period, the portfolio turnover ratio is  0.54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</si>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</sst>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  <font>
      <b/>
      <sz val="9"/>
      <name val="Franklin Gothic Book"/>
      <family val="2"/>
    </font>
    <font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9" xfId="0" applyFont="1" applyFill="1" applyBorder="1"/>
    <xf numFmtId="0" fontId="12" fillId="3" borderId="13" xfId="0" applyFont="1" applyFill="1" applyBorder="1"/>
    <xf numFmtId="0" fontId="12" fillId="0" borderId="19" xfId="0" applyFont="1" applyBorder="1" applyAlignment="1">
      <alignment horizontal="right"/>
    </xf>
    <xf numFmtId="0" fontId="12" fillId="3" borderId="19" xfId="0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4" fontId="15" fillId="3" borderId="13" xfId="1" applyFont="1" applyFill="1" applyBorder="1" applyAlignment="1"/>
    <xf numFmtId="164" fontId="15" fillId="3" borderId="13" xfId="1" applyFont="1" applyFill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9" fillId="3" borderId="19" xfId="0" applyFont="1" applyFill="1" applyBorder="1"/>
    <xf numFmtId="0" fontId="19" fillId="3" borderId="13" xfId="0" applyFont="1" applyFill="1" applyBorder="1"/>
    <xf numFmtId="0" fontId="19" fillId="0" borderId="19" xfId="0" applyFont="1" applyBorder="1" applyAlignment="1">
      <alignment horizontal="right"/>
    </xf>
    <xf numFmtId="0" fontId="19" fillId="3" borderId="19" xfId="0" applyFont="1" applyFill="1" applyBorder="1" applyAlignment="1">
      <alignment horizontal="right"/>
    </xf>
    <xf numFmtId="0" fontId="19" fillId="3" borderId="0" xfId="0" applyFont="1" applyFill="1" applyAlignment="1">
      <alignment horizontal="center"/>
    </xf>
    <xf numFmtId="0" fontId="20" fillId="3" borderId="0" xfId="0" applyFont="1" applyFill="1"/>
    <xf numFmtId="0" fontId="19" fillId="3" borderId="0" xfId="0" applyFont="1" applyFill="1"/>
    <xf numFmtId="164" fontId="19" fillId="3" borderId="0" xfId="1" applyFont="1" applyFill="1" applyBorder="1" applyAlignment="1">
      <alignment horizontal="center"/>
    </xf>
    <xf numFmtId="164" fontId="19" fillId="3" borderId="0" xfId="1" applyFont="1" applyFill="1" applyAlignment="1">
      <alignment horizontal="center"/>
    </xf>
    <xf numFmtId="0" fontId="20" fillId="0" borderId="0" xfId="0" applyFont="1"/>
    <xf numFmtId="164" fontId="19" fillId="3" borderId="0" xfId="0" applyNumberFormat="1" applyFont="1" applyFill="1" applyAlignment="1">
      <alignment horizontal="center"/>
    </xf>
    <xf numFmtId="0" fontId="21" fillId="4" borderId="0" xfId="0" applyFont="1" applyFill="1"/>
    <xf numFmtId="164" fontId="21" fillId="4" borderId="0" xfId="1" applyFont="1" applyFill="1"/>
    <xf numFmtId="4" fontId="21" fillId="4" borderId="0" xfId="0" applyNumberFormat="1" applyFont="1" applyFill="1"/>
    <xf numFmtId="0" fontId="22" fillId="4" borderId="0" xfId="0" applyFont="1" applyFill="1"/>
    <xf numFmtId="0" fontId="23" fillId="3" borderId="0" xfId="0" applyFont="1" applyFill="1"/>
    <xf numFmtId="4" fontId="19" fillId="3" borderId="0" xfId="0" applyNumberFormat="1" applyFont="1" applyFill="1"/>
    <xf numFmtId="0" fontId="19" fillId="0" borderId="13" xfId="0" applyFont="1" applyBorder="1"/>
    <xf numFmtId="0" fontId="19" fillId="0" borderId="13" xfId="0" applyFont="1" applyBorder="1" applyAlignment="1">
      <alignment horizontal="right"/>
    </xf>
    <xf numFmtId="0" fontId="19" fillId="3" borderId="13" xfId="0" applyFont="1" applyFill="1" applyBorder="1" applyAlignment="1">
      <alignment horizontal="right"/>
    </xf>
    <xf numFmtId="0" fontId="20" fillId="3" borderId="13" xfId="0" applyFont="1" applyFill="1" applyBorder="1"/>
    <xf numFmtId="164" fontId="20" fillId="3" borderId="13" xfId="1" applyFont="1" applyFill="1" applyBorder="1" applyAlignment="1"/>
    <xf numFmtId="164" fontId="20" fillId="3" borderId="13" xfId="1" applyFont="1" applyFill="1" applyBorder="1"/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8" fillId="5" borderId="23" xfId="0" applyFont="1" applyFill="1" applyBorder="1" applyAlignment="1">
      <alignment horizontal="center" wrapText="1"/>
    </xf>
    <xf numFmtId="0" fontId="18" fillId="5" borderId="24" xfId="0" applyFont="1" applyFill="1" applyBorder="1" applyAlignment="1">
      <alignment horizontal="center" wrapText="1"/>
    </xf>
    <xf numFmtId="0" fontId="18" fillId="5" borderId="25" xfId="0" applyFont="1" applyFill="1" applyBorder="1" applyAlignment="1">
      <alignment horizontal="center" wrapText="1"/>
    </xf>
    <xf numFmtId="0" fontId="18" fillId="5" borderId="26" xfId="0" applyFont="1" applyFill="1" applyBorder="1" applyAlignment="1">
      <alignment horizontal="center" wrapText="1"/>
    </xf>
    <xf numFmtId="0" fontId="18" fillId="5" borderId="27" xfId="0" applyFont="1" applyFill="1" applyBorder="1" applyAlignment="1">
      <alignment horizontal="center" wrapText="1"/>
    </xf>
    <xf numFmtId="0" fontId="18" fillId="5" borderId="28" xfId="0" applyFont="1" applyFill="1" applyBorder="1" applyAlignment="1">
      <alignment horizontal="center" wrapText="1"/>
    </xf>
    <xf numFmtId="0" fontId="18" fillId="6" borderId="29" xfId="0" applyFont="1" applyFill="1" applyBorder="1" applyAlignment="1">
      <alignment horizontal="center" wrapText="1"/>
    </xf>
    <xf numFmtId="0" fontId="18" fillId="6" borderId="30" xfId="0" applyFont="1" applyFill="1" applyBorder="1" applyAlignment="1">
      <alignment horizontal="center" wrapText="1"/>
    </xf>
    <xf numFmtId="0" fontId="18" fillId="6" borderId="31" xfId="0" applyFont="1" applyFill="1" applyBorder="1" applyAlignment="1">
      <alignment horizontal="center" wrapText="1"/>
    </xf>
    <xf numFmtId="0" fontId="19" fillId="3" borderId="20" xfId="0" applyFont="1" applyFill="1" applyBorder="1" applyAlignment="1">
      <alignment horizontal="center"/>
    </xf>
    <xf numFmtId="0" fontId="19" fillId="3" borderId="21" xfId="0" applyFont="1" applyFill="1" applyBorder="1" applyAlignment="1">
      <alignment horizontal="center"/>
    </xf>
    <xf numFmtId="0" fontId="19" fillId="3" borderId="22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5</xdr:col>
      <xdr:colOff>504275</xdr:colOff>
      <xdr:row>169</xdr:row>
      <xdr:rowOff>83650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702933"/>
          <a:ext cx="7455408" cy="2767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5</xdr:col>
      <xdr:colOff>504275</xdr:colOff>
      <xdr:row>172</xdr:row>
      <xdr:rowOff>83650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7317700"/>
          <a:ext cx="7453715" cy="27277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6"/>
  <sheetViews>
    <sheetView showGridLines="0" tabSelected="1" zoomScale="90" zoomScaleNormal="90" workbookViewId="0">
      <pane ySplit="6" topLeftCell="A145" activePane="bottomLeft" state="frozen"/>
      <selection activeCell="I2" sqref="I2"/>
      <selection pane="bottomLeft" activeCell="G163" sqref="G16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124348</v>
      </c>
      <c r="G10" s="34">
        <v>1897.92</v>
      </c>
      <c r="H10" s="34">
        <v>20.309999999999999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180000</v>
      </c>
      <c r="G11" s="34">
        <v>1713.42</v>
      </c>
      <c r="H11" s="34">
        <v>18.34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70000</v>
      </c>
      <c r="G12" s="34">
        <v>725.69</v>
      </c>
      <c r="H12" s="34">
        <v>7.77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29</v>
      </c>
      <c r="F13" s="33">
        <v>9100</v>
      </c>
      <c r="G13" s="34">
        <v>710.78</v>
      </c>
      <c r="H13" s="34">
        <v>7.61</v>
      </c>
      <c r="I13" s="35"/>
      <c r="J13" s="35"/>
      <c r="K13" s="36"/>
    </row>
    <row r="14" spans="1:55" x14ac:dyDescent="0.3">
      <c r="B14" s="1" t="s">
        <v>30</v>
      </c>
      <c r="C14" s="21" t="s">
        <v>31</v>
      </c>
      <c r="D14" s="31" t="s">
        <v>32</v>
      </c>
      <c r="E14" s="32" t="s">
        <v>19</v>
      </c>
      <c r="F14" s="33">
        <v>108500</v>
      </c>
      <c r="G14" s="34">
        <v>649.42999999999995</v>
      </c>
      <c r="H14" s="34">
        <v>6.95</v>
      </c>
      <c r="I14" s="35"/>
      <c r="J14" s="35"/>
      <c r="K14" s="36"/>
    </row>
    <row r="15" spans="1:55" x14ac:dyDescent="0.3">
      <c r="B15" s="1" t="s">
        <v>33</v>
      </c>
      <c r="C15" s="21" t="s">
        <v>34</v>
      </c>
      <c r="D15" s="31" t="s">
        <v>35</v>
      </c>
      <c r="E15" s="32" t="s">
        <v>19</v>
      </c>
      <c r="F15" s="33">
        <v>18900</v>
      </c>
      <c r="G15" s="34">
        <v>328.05</v>
      </c>
      <c r="H15" s="34">
        <v>3.51</v>
      </c>
      <c r="I15" s="35"/>
      <c r="J15" s="35"/>
      <c r="K15" s="36"/>
    </row>
    <row r="16" spans="1:55" x14ac:dyDescent="0.3">
      <c r="B16" s="1" t="s">
        <v>36</v>
      </c>
      <c r="C16" s="21" t="s">
        <v>37</v>
      </c>
      <c r="D16" s="31" t="s">
        <v>38</v>
      </c>
      <c r="E16" s="32" t="s">
        <v>19</v>
      </c>
      <c r="F16" s="33">
        <v>22500</v>
      </c>
      <c r="G16" s="34">
        <v>321.49</v>
      </c>
      <c r="H16" s="34">
        <v>3.44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29</v>
      </c>
      <c r="F17" s="33">
        <v>15000</v>
      </c>
      <c r="G17" s="34">
        <v>182.63</v>
      </c>
      <c r="H17" s="34">
        <v>1.95</v>
      </c>
      <c r="I17" s="35"/>
      <c r="J17" s="35"/>
      <c r="K17" s="36"/>
    </row>
    <row r="18" spans="2:11" x14ac:dyDescent="0.3">
      <c r="B18" s="1" t="s">
        <v>42</v>
      </c>
      <c r="C18" s="21" t="s">
        <v>43</v>
      </c>
      <c r="D18" s="31" t="s">
        <v>44</v>
      </c>
      <c r="E18" s="32" t="s">
        <v>29</v>
      </c>
      <c r="F18" s="33">
        <v>62500</v>
      </c>
      <c r="G18" s="34">
        <v>157.44</v>
      </c>
      <c r="H18" s="34">
        <v>1.69</v>
      </c>
      <c r="I18" s="35"/>
      <c r="J18" s="35"/>
      <c r="K18" s="36"/>
    </row>
    <row r="19" spans="2:11" x14ac:dyDescent="0.3">
      <c r="B19" s="1" t="s">
        <v>45</v>
      </c>
      <c r="C19" s="21" t="s">
        <v>46</v>
      </c>
      <c r="D19" s="31" t="s">
        <v>47</v>
      </c>
      <c r="E19" s="32" t="s">
        <v>29</v>
      </c>
      <c r="F19" s="33">
        <v>20000</v>
      </c>
      <c r="G19" s="34">
        <v>152.96</v>
      </c>
      <c r="H19" s="34">
        <v>1.64</v>
      </c>
      <c r="I19" s="35"/>
      <c r="J19" s="35"/>
      <c r="K19" s="36"/>
    </row>
    <row r="20" spans="2:11" x14ac:dyDescent="0.3">
      <c r="B20" s="1" t="s">
        <v>48</v>
      </c>
      <c r="C20" s="21" t="s">
        <v>49</v>
      </c>
      <c r="D20" s="31" t="s">
        <v>50</v>
      </c>
      <c r="E20" s="32" t="s">
        <v>19</v>
      </c>
      <c r="F20" s="33">
        <v>190000</v>
      </c>
      <c r="G20" s="34">
        <v>152.38</v>
      </c>
      <c r="H20" s="34">
        <v>1.63</v>
      </c>
      <c r="I20" s="35"/>
      <c r="J20" s="35"/>
      <c r="K20" s="36"/>
    </row>
    <row r="21" spans="2:11" x14ac:dyDescent="0.3">
      <c r="B21" s="1" t="s">
        <v>51</v>
      </c>
      <c r="C21" s="21" t="s">
        <v>52</v>
      </c>
      <c r="D21" s="31" t="s">
        <v>53</v>
      </c>
      <c r="E21" s="32" t="s">
        <v>19</v>
      </c>
      <c r="F21" s="33">
        <v>100000</v>
      </c>
      <c r="G21" s="34">
        <v>147.19999999999999</v>
      </c>
      <c r="H21" s="34">
        <v>1.58</v>
      </c>
      <c r="I21" s="35"/>
      <c r="J21" s="35"/>
      <c r="K21" s="36"/>
    </row>
    <row r="22" spans="2:11" x14ac:dyDescent="0.3">
      <c r="B22" s="1" t="s">
        <v>54</v>
      </c>
      <c r="C22" s="21" t="s">
        <v>55</v>
      </c>
      <c r="D22" s="31" t="s">
        <v>56</v>
      </c>
      <c r="E22" s="32" t="s">
        <v>19</v>
      </c>
      <c r="F22" s="33">
        <v>160000</v>
      </c>
      <c r="G22" s="34">
        <v>143.44</v>
      </c>
      <c r="H22" s="34">
        <v>1.54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60</v>
      </c>
      <c r="F23" s="33">
        <v>22500</v>
      </c>
      <c r="G23" s="34">
        <v>143.41999999999999</v>
      </c>
      <c r="H23" s="34">
        <v>1.54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29</v>
      </c>
      <c r="F24" s="33">
        <v>20580</v>
      </c>
      <c r="G24" s="34">
        <v>143.38</v>
      </c>
      <c r="H24" s="34">
        <v>1.53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29</v>
      </c>
      <c r="F25" s="33">
        <v>47500</v>
      </c>
      <c r="G25" s="34">
        <v>143.13999999999999</v>
      </c>
      <c r="H25" s="34">
        <v>1.53</v>
      </c>
      <c r="I25" s="35"/>
      <c r="J25" s="35"/>
      <c r="K25" s="36"/>
    </row>
    <row r="26" spans="2:11" x14ac:dyDescent="0.3">
      <c r="B26" s="1" t="s">
        <v>67</v>
      </c>
      <c r="C26" s="21" t="s">
        <v>68</v>
      </c>
      <c r="D26" s="31" t="s">
        <v>69</v>
      </c>
      <c r="E26" s="32" t="s">
        <v>70</v>
      </c>
      <c r="F26" s="33">
        <v>11000</v>
      </c>
      <c r="G26" s="34">
        <v>142.77000000000001</v>
      </c>
      <c r="H26" s="34">
        <v>1.53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19</v>
      </c>
      <c r="F27" s="33">
        <v>105000</v>
      </c>
      <c r="G27" s="34">
        <v>140.49</v>
      </c>
      <c r="H27" s="34">
        <v>1.5</v>
      </c>
      <c r="I27" s="35"/>
      <c r="J27" s="35"/>
      <c r="K27" s="36"/>
    </row>
    <row r="28" spans="2:11" x14ac:dyDescent="0.3">
      <c r="B28" s="1" t="s">
        <v>74</v>
      </c>
      <c r="C28" s="21" t="s">
        <v>75</v>
      </c>
      <c r="D28" s="31" t="s">
        <v>76</v>
      </c>
      <c r="E28" s="32" t="s">
        <v>77</v>
      </c>
      <c r="F28" s="33">
        <v>17500</v>
      </c>
      <c r="G28" s="34">
        <v>133.91999999999999</v>
      </c>
      <c r="H28" s="34">
        <v>1.43</v>
      </c>
      <c r="I28" s="35"/>
      <c r="J28" s="35"/>
      <c r="K28" s="36"/>
    </row>
    <row r="29" spans="2:11" x14ac:dyDescent="0.3">
      <c r="B29" s="1" t="s">
        <v>78</v>
      </c>
      <c r="C29" s="21" t="s">
        <v>79</v>
      </c>
      <c r="D29" s="31" t="s">
        <v>80</v>
      </c>
      <c r="E29" s="32" t="s">
        <v>60</v>
      </c>
      <c r="F29" s="33">
        <v>12500</v>
      </c>
      <c r="G29" s="34">
        <v>113.72</v>
      </c>
      <c r="H29" s="34">
        <v>1.22</v>
      </c>
      <c r="I29" s="35"/>
      <c r="J29" s="35"/>
      <c r="K29" s="36"/>
    </row>
    <row r="30" spans="2:11" x14ac:dyDescent="0.3">
      <c r="B30" s="1" t="s">
        <v>81</v>
      </c>
      <c r="C30" s="21" t="s">
        <v>82</v>
      </c>
      <c r="D30" s="31" t="s">
        <v>83</v>
      </c>
      <c r="E30" s="32" t="s">
        <v>29</v>
      </c>
      <c r="F30" s="33">
        <v>15550</v>
      </c>
      <c r="G30" s="34">
        <v>107.93</v>
      </c>
      <c r="H30" s="34">
        <v>1.1599999999999999</v>
      </c>
      <c r="I30" s="35"/>
      <c r="J30" s="35"/>
      <c r="K30" s="36"/>
    </row>
    <row r="31" spans="2:11" x14ac:dyDescent="0.3">
      <c r="B31" s="1" t="s">
        <v>84</v>
      </c>
      <c r="C31" s="21" t="s">
        <v>85</v>
      </c>
      <c r="D31" s="31" t="s">
        <v>86</v>
      </c>
      <c r="E31" s="32" t="s">
        <v>60</v>
      </c>
      <c r="F31" s="33">
        <v>17000</v>
      </c>
      <c r="G31" s="34">
        <v>96.25</v>
      </c>
      <c r="H31" s="34">
        <v>1.03</v>
      </c>
      <c r="I31" s="35"/>
      <c r="J31" s="35"/>
      <c r="K31" s="36"/>
    </row>
    <row r="32" spans="2:11" x14ac:dyDescent="0.3">
      <c r="B32" s="1" t="s">
        <v>87</v>
      </c>
      <c r="C32" s="21" t="s">
        <v>88</v>
      </c>
      <c r="D32" s="31" t="s">
        <v>89</v>
      </c>
      <c r="E32" s="32" t="s">
        <v>29</v>
      </c>
      <c r="F32" s="33">
        <v>5000</v>
      </c>
      <c r="G32" s="34">
        <v>95.97</v>
      </c>
      <c r="H32" s="34">
        <v>1.03</v>
      </c>
      <c r="I32" s="35"/>
      <c r="J32" s="35"/>
      <c r="K32" s="36"/>
    </row>
    <row r="33" spans="2:11" x14ac:dyDescent="0.3">
      <c r="B33" s="1" t="s">
        <v>90</v>
      </c>
      <c r="C33" s="21" t="s">
        <v>91</v>
      </c>
      <c r="D33" s="31" t="s">
        <v>92</v>
      </c>
      <c r="E33" s="32" t="s">
        <v>29</v>
      </c>
      <c r="F33" s="33">
        <v>40000</v>
      </c>
      <c r="G33" s="34">
        <v>92.48</v>
      </c>
      <c r="H33" s="34">
        <v>0.99</v>
      </c>
      <c r="I33" s="35"/>
      <c r="J33" s="35"/>
      <c r="K33" s="36"/>
    </row>
    <row r="34" spans="2:11" x14ac:dyDescent="0.3">
      <c r="B34" s="1" t="s">
        <v>93</v>
      </c>
      <c r="C34" s="21" t="s">
        <v>94</v>
      </c>
      <c r="D34" s="31" t="s">
        <v>95</v>
      </c>
      <c r="E34" s="32" t="s">
        <v>29</v>
      </c>
      <c r="F34" s="33">
        <v>3000</v>
      </c>
      <c r="G34" s="34">
        <v>92.13</v>
      </c>
      <c r="H34" s="34">
        <v>0.99</v>
      </c>
      <c r="I34" s="35"/>
      <c r="J34" s="35"/>
      <c r="K34" s="36"/>
    </row>
    <row r="35" spans="2:11" x14ac:dyDescent="0.3">
      <c r="B35" s="1" t="s">
        <v>96</v>
      </c>
      <c r="C35" s="21" t="s">
        <v>97</v>
      </c>
      <c r="D35" s="31" t="s">
        <v>98</v>
      </c>
      <c r="E35" s="32" t="s">
        <v>29</v>
      </c>
      <c r="F35" s="33">
        <v>7000</v>
      </c>
      <c r="G35" s="34">
        <v>92.09</v>
      </c>
      <c r="H35" s="34">
        <v>0.99</v>
      </c>
      <c r="I35" s="35"/>
      <c r="J35" s="35"/>
      <c r="K35" s="36"/>
    </row>
    <row r="36" spans="2:11" x14ac:dyDescent="0.3">
      <c r="B36" s="1" t="s">
        <v>99</v>
      </c>
      <c r="C36" s="21" t="s">
        <v>100</v>
      </c>
      <c r="D36" s="31" t="s">
        <v>101</v>
      </c>
      <c r="E36" s="32" t="s">
        <v>29</v>
      </c>
      <c r="F36" s="33">
        <v>60000</v>
      </c>
      <c r="G36" s="34">
        <v>89.91</v>
      </c>
      <c r="H36" s="34">
        <v>0.96</v>
      </c>
      <c r="I36" s="35"/>
      <c r="J36" s="35"/>
      <c r="K36" s="36"/>
    </row>
    <row r="37" spans="2:11" x14ac:dyDescent="0.3">
      <c r="C37" s="30" t="s">
        <v>102</v>
      </c>
      <c r="D37" s="31"/>
      <c r="E37" s="32"/>
      <c r="F37" s="33"/>
      <c r="G37" s="38">
        <v>8910.43</v>
      </c>
      <c r="H37" s="38">
        <v>95.39</v>
      </c>
      <c r="I37" s="35"/>
      <c r="J37" s="35"/>
      <c r="K37" s="36"/>
    </row>
    <row r="38" spans="2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2:11" x14ac:dyDescent="0.3">
      <c r="C39" s="30" t="s">
        <v>103</v>
      </c>
      <c r="D39" s="31"/>
      <c r="E39" s="32"/>
      <c r="F39" s="33"/>
      <c r="G39" s="34" t="s">
        <v>104</v>
      </c>
      <c r="H39" s="34" t="s">
        <v>104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105</v>
      </c>
      <c r="D41" s="31"/>
      <c r="E41" s="32"/>
      <c r="F41" s="33"/>
      <c r="G41" s="34" t="s">
        <v>104</v>
      </c>
      <c r="H41" s="34" t="s">
        <v>104</v>
      </c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7" t="s">
        <v>106</v>
      </c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B44" s="1" t="s">
        <v>107</v>
      </c>
      <c r="C44" s="21" t="s">
        <v>40</v>
      </c>
      <c r="D44" s="31" t="s">
        <v>108</v>
      </c>
      <c r="E44" s="32" t="s">
        <v>29</v>
      </c>
      <c r="F44" s="33">
        <v>7500</v>
      </c>
      <c r="G44" s="34">
        <v>91.75</v>
      </c>
      <c r="H44" s="34">
        <v>0.98</v>
      </c>
      <c r="I44" s="35"/>
      <c r="J44" s="35"/>
      <c r="K44" s="36"/>
    </row>
    <row r="45" spans="2:11" x14ac:dyDescent="0.3">
      <c r="C45" s="30" t="s">
        <v>109</v>
      </c>
      <c r="D45" s="31"/>
      <c r="E45" s="32"/>
      <c r="F45" s="33"/>
      <c r="G45" s="38">
        <v>91.75</v>
      </c>
      <c r="H45" s="38">
        <v>0.98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110</v>
      </c>
      <c r="D47" s="31"/>
      <c r="E47" s="32"/>
      <c r="F47" s="33"/>
      <c r="G47" s="34" t="s">
        <v>104</v>
      </c>
      <c r="H47" s="34" t="s">
        <v>104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111</v>
      </c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112</v>
      </c>
      <c r="D51" s="31"/>
      <c r="E51" s="32"/>
      <c r="F51" s="33"/>
      <c r="G51" s="34" t="s">
        <v>104</v>
      </c>
      <c r="H51" s="34" t="s">
        <v>104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113</v>
      </c>
      <c r="D53" s="31"/>
      <c r="E53" s="32"/>
      <c r="F53" s="33"/>
      <c r="G53" s="34" t="s">
        <v>104</v>
      </c>
      <c r="H53" s="34" t="s">
        <v>104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114</v>
      </c>
      <c r="D55" s="31"/>
      <c r="E55" s="32"/>
      <c r="F55" s="33"/>
      <c r="G55" s="34" t="s">
        <v>104</v>
      </c>
      <c r="H55" s="34" t="s">
        <v>104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115</v>
      </c>
      <c r="D57" s="31"/>
      <c r="E57" s="32"/>
      <c r="F57" s="33"/>
      <c r="G57" s="34" t="s">
        <v>104</v>
      </c>
      <c r="H57" s="34" t="s">
        <v>104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116</v>
      </c>
      <c r="D59" s="31"/>
      <c r="E59" s="32"/>
      <c r="F59" s="33"/>
      <c r="G59" s="34" t="s">
        <v>104</v>
      </c>
      <c r="H59" s="34" t="s">
        <v>104</v>
      </c>
      <c r="I59" s="35"/>
      <c r="J59" s="35"/>
      <c r="K59" s="36"/>
    </row>
    <row r="60" spans="1:11" s="39" customFormat="1" ht="15" x14ac:dyDescent="0.35">
      <c r="A60" s="2"/>
      <c r="B60" s="2"/>
      <c r="C60" s="21"/>
      <c r="D60" s="31"/>
      <c r="E60" s="32"/>
      <c r="F60" s="33"/>
      <c r="G60" s="34"/>
      <c r="H60" s="34"/>
      <c r="I60" s="35"/>
      <c r="J60" s="35"/>
      <c r="K60" s="36"/>
    </row>
    <row r="61" spans="1:11" s="40" customFormat="1" x14ac:dyDescent="0.3">
      <c r="A61" s="28"/>
      <c r="B61" s="29"/>
      <c r="C61" s="30" t="s">
        <v>117</v>
      </c>
      <c r="D61" s="31"/>
      <c r="E61" s="32"/>
      <c r="F61" s="33"/>
      <c r="G61" s="34"/>
      <c r="H61" s="34"/>
      <c r="I61" s="35"/>
      <c r="J61" s="35"/>
      <c r="K61" s="36"/>
    </row>
    <row r="62" spans="1:11" s="40" customFormat="1" x14ac:dyDescent="0.3">
      <c r="A62" s="29"/>
      <c r="B62" s="29"/>
      <c r="C62" s="30" t="s">
        <v>118</v>
      </c>
      <c r="D62" s="31"/>
      <c r="E62" s="32"/>
      <c r="F62" s="33"/>
      <c r="G62" s="34" t="s">
        <v>104</v>
      </c>
      <c r="H62" s="34" t="s">
        <v>104</v>
      </c>
      <c r="I62" s="35"/>
      <c r="J62" s="35"/>
      <c r="K62" s="36"/>
    </row>
    <row r="63" spans="1:11" s="2" customFormat="1" x14ac:dyDescent="0.3">
      <c r="A63" s="29"/>
      <c r="B63" s="29"/>
      <c r="C63" s="30"/>
      <c r="D63" s="31"/>
      <c r="E63" s="32"/>
      <c r="F63" s="33"/>
      <c r="G63" s="34"/>
      <c r="H63" s="34"/>
      <c r="I63" s="35"/>
      <c r="J63" s="35"/>
      <c r="K63" s="36"/>
    </row>
    <row r="64" spans="1:11" s="11" customFormat="1" x14ac:dyDescent="0.3">
      <c r="A64" s="29"/>
      <c r="B64" s="29"/>
      <c r="C64" s="30" t="s">
        <v>119</v>
      </c>
      <c r="D64" s="31"/>
      <c r="E64" s="32"/>
      <c r="F64" s="33"/>
      <c r="G64" s="34" t="s">
        <v>104</v>
      </c>
      <c r="H64" s="34" t="s">
        <v>104</v>
      </c>
      <c r="I64" s="35"/>
      <c r="J64" s="35"/>
      <c r="K64" s="36"/>
    </row>
    <row r="65" spans="1:1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7" t="s">
        <v>120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B67" s="1" t="s">
        <v>121</v>
      </c>
      <c r="C67" s="21" t="s">
        <v>122</v>
      </c>
      <c r="D67" s="31" t="s">
        <v>123</v>
      </c>
      <c r="E67" s="32" t="s">
        <v>124</v>
      </c>
      <c r="F67" s="33">
        <v>50000</v>
      </c>
      <c r="G67" s="34">
        <v>48.79</v>
      </c>
      <c r="H67" s="34">
        <v>0.52</v>
      </c>
      <c r="I67" s="35">
        <v>6.9772999999999996</v>
      </c>
      <c r="J67" s="35"/>
      <c r="K67" s="36"/>
    </row>
    <row r="68" spans="1:11" x14ac:dyDescent="0.3">
      <c r="C68" s="30" t="s">
        <v>102</v>
      </c>
      <c r="D68" s="31"/>
      <c r="E68" s="32"/>
      <c r="F68" s="33"/>
      <c r="G68" s="38">
        <v>48.79</v>
      </c>
      <c r="H68" s="38">
        <v>0.52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125</v>
      </c>
      <c r="D70" s="31"/>
      <c r="E70" s="32"/>
      <c r="F70" s="33"/>
      <c r="G70" s="34" t="s">
        <v>104</v>
      </c>
      <c r="H70" s="34" t="s">
        <v>104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8"/>
      <c r="B72" s="29"/>
      <c r="C72" s="30" t="s">
        <v>126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127</v>
      </c>
      <c r="D73" s="31"/>
      <c r="E73" s="32"/>
      <c r="F73" s="33"/>
      <c r="G73" s="34" t="s">
        <v>104</v>
      </c>
      <c r="H73" s="34" t="s">
        <v>104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9"/>
      <c r="B75" s="29"/>
      <c r="C75" s="30" t="s">
        <v>128</v>
      </c>
      <c r="D75" s="31"/>
      <c r="E75" s="32"/>
      <c r="F75" s="33"/>
      <c r="G75" s="34" t="s">
        <v>104</v>
      </c>
      <c r="H75" s="34" t="s">
        <v>104</v>
      </c>
      <c r="I75" s="35"/>
      <c r="J75" s="35"/>
      <c r="K75" s="36"/>
    </row>
    <row r="76" spans="1:11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9"/>
      <c r="B77" s="29"/>
      <c r="C77" s="30" t="s">
        <v>129</v>
      </c>
      <c r="D77" s="31"/>
      <c r="E77" s="32"/>
      <c r="F77" s="33"/>
      <c r="G77" s="34" t="s">
        <v>104</v>
      </c>
      <c r="H77" s="34" t="s">
        <v>104</v>
      </c>
      <c r="I77" s="35"/>
      <c r="J77" s="35"/>
      <c r="K77" s="36"/>
    </row>
    <row r="78" spans="1:11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9"/>
      <c r="B79" s="29"/>
      <c r="C79" s="30" t="s">
        <v>130</v>
      </c>
      <c r="D79" s="31"/>
      <c r="E79" s="32"/>
      <c r="F79" s="33"/>
      <c r="G79" s="34" t="s">
        <v>104</v>
      </c>
      <c r="H79" s="34" t="s">
        <v>104</v>
      </c>
      <c r="I79" s="35"/>
      <c r="J79" s="35"/>
      <c r="K79" s="36"/>
    </row>
    <row r="80" spans="1:11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7" t="s">
        <v>131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B82" s="1" t="s">
        <v>132</v>
      </c>
      <c r="C82" s="21" t="s">
        <v>133</v>
      </c>
      <c r="D82" s="31"/>
      <c r="E82" s="32"/>
      <c r="F82" s="33"/>
      <c r="G82" s="34">
        <v>351.59</v>
      </c>
      <c r="H82" s="34">
        <v>3.76</v>
      </c>
      <c r="I82" s="35">
        <v>6.79</v>
      </c>
      <c r="J82" s="35"/>
      <c r="K82" s="36"/>
    </row>
    <row r="83" spans="1:11" x14ac:dyDescent="0.3">
      <c r="C83" s="30" t="s">
        <v>102</v>
      </c>
      <c r="D83" s="31"/>
      <c r="E83" s="32"/>
      <c r="F83" s="33"/>
      <c r="G83" s="38">
        <v>351.59</v>
      </c>
      <c r="H83" s="38">
        <v>3.76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134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B86" s="1"/>
      <c r="C86" s="21" t="s">
        <v>135</v>
      </c>
      <c r="D86" s="31"/>
      <c r="E86" s="32"/>
      <c r="F86" s="33"/>
      <c r="G86" s="34">
        <v>31.86</v>
      </c>
      <c r="H86" s="34">
        <v>0.33</v>
      </c>
      <c r="I86" s="35"/>
      <c r="J86" s="35"/>
      <c r="K86" s="36"/>
    </row>
    <row r="87" spans="1:11" x14ac:dyDescent="0.3">
      <c r="C87" s="30" t="s">
        <v>102</v>
      </c>
      <c r="D87" s="31"/>
      <c r="E87" s="32"/>
      <c r="F87" s="33"/>
      <c r="G87" s="38">
        <v>31.86</v>
      </c>
      <c r="H87" s="38">
        <v>0.33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ht="14.4" thickBot="1" x14ac:dyDescent="0.35">
      <c r="C89" s="41" t="s">
        <v>136</v>
      </c>
      <c r="D89" s="42"/>
      <c r="E89" s="43"/>
      <c r="F89" s="44"/>
      <c r="G89" s="45">
        <v>9342.67</v>
      </c>
      <c r="H89" s="45">
        <f>SUMIFS(H:H,C:C,"Total")</f>
        <v>100</v>
      </c>
      <c r="I89" s="46"/>
      <c r="J89" s="46"/>
      <c r="K89" s="47"/>
    </row>
    <row r="92" spans="1:11" x14ac:dyDescent="0.3">
      <c r="C92" s="48" t="s">
        <v>137</v>
      </c>
      <c r="D92" s="49"/>
      <c r="E92" s="49"/>
      <c r="F92" s="49"/>
      <c r="G92" s="50"/>
      <c r="H92" s="50"/>
    </row>
    <row r="93" spans="1:11" x14ac:dyDescent="0.3">
      <c r="C93" s="51" t="s">
        <v>138</v>
      </c>
      <c r="D93" s="49"/>
      <c r="E93" s="49"/>
      <c r="F93" s="49"/>
      <c r="G93" s="50"/>
      <c r="H93" s="50"/>
    </row>
    <row r="94" spans="1:11" x14ac:dyDescent="0.3">
      <c r="C94" s="52" t="s">
        <v>139</v>
      </c>
      <c r="D94" s="53" t="s">
        <v>140</v>
      </c>
      <c r="E94" s="54" t="s">
        <v>141</v>
      </c>
      <c r="F94" s="55" t="s">
        <v>142</v>
      </c>
      <c r="G94" s="55" t="s">
        <v>143</v>
      </c>
      <c r="H94" s="55" t="s">
        <v>144</v>
      </c>
    </row>
    <row r="95" spans="1:11" x14ac:dyDescent="0.3">
      <c r="C95" s="104" t="s">
        <v>145</v>
      </c>
      <c r="D95" s="105"/>
      <c r="E95" s="105"/>
      <c r="F95" s="105"/>
      <c r="G95" s="105"/>
      <c r="H95" s="106"/>
    </row>
    <row r="96" spans="1:11" x14ac:dyDescent="0.3">
      <c r="C96" s="56"/>
      <c r="D96" s="56"/>
      <c r="E96" s="56"/>
      <c r="F96" s="56"/>
      <c r="G96" s="56"/>
      <c r="H96" s="56"/>
    </row>
    <row r="97" spans="3:8" x14ac:dyDescent="0.3">
      <c r="C97" s="57" t="s">
        <v>146</v>
      </c>
      <c r="D97" s="56"/>
      <c r="E97" s="56"/>
      <c r="F97" s="56"/>
      <c r="G97" s="56"/>
      <c r="H97" s="56"/>
    </row>
    <row r="98" spans="3:8" x14ac:dyDescent="0.3">
      <c r="C98" s="56"/>
      <c r="D98" s="56"/>
      <c r="E98" s="56"/>
      <c r="F98" s="56"/>
      <c r="G98" s="56"/>
      <c r="H98" s="56"/>
    </row>
    <row r="99" spans="3:8" x14ac:dyDescent="0.3">
      <c r="C99" s="48" t="s">
        <v>147</v>
      </c>
      <c r="D99" s="56"/>
      <c r="E99" s="56"/>
      <c r="F99" s="56"/>
      <c r="G99" s="56"/>
      <c r="H99" s="56"/>
    </row>
    <row r="100" spans="3:8" x14ac:dyDescent="0.3">
      <c r="C100" s="57" t="s">
        <v>148</v>
      </c>
      <c r="D100" s="56"/>
      <c r="E100" s="56"/>
      <c r="F100" s="56"/>
      <c r="G100" s="56"/>
      <c r="H100" s="56"/>
    </row>
    <row r="101" spans="3:8" x14ac:dyDescent="0.3">
      <c r="C101" s="57" t="s">
        <v>149</v>
      </c>
      <c r="D101" s="56"/>
      <c r="E101" s="56"/>
      <c r="F101" s="56"/>
      <c r="G101" s="56"/>
      <c r="H101" s="56"/>
    </row>
    <row r="102" spans="3:8" x14ac:dyDescent="0.3">
      <c r="C102" s="57" t="s">
        <v>150</v>
      </c>
      <c r="D102" s="58"/>
      <c r="E102" s="56"/>
      <c r="F102" s="56"/>
      <c r="G102" s="56"/>
      <c r="H102" s="56"/>
    </row>
    <row r="103" spans="3:8" x14ac:dyDescent="0.3">
      <c r="C103" s="57" t="s">
        <v>151</v>
      </c>
      <c r="D103" s="58"/>
      <c r="E103" s="59"/>
      <c r="F103" s="56"/>
      <c r="G103" s="56"/>
      <c r="H103" s="56"/>
    </row>
    <row r="104" spans="3:8" x14ac:dyDescent="0.3">
      <c r="C104" s="60" t="s">
        <v>152</v>
      </c>
      <c r="D104" s="58"/>
      <c r="E104" s="61"/>
      <c r="F104" s="61"/>
      <c r="G104" s="56"/>
      <c r="H104" s="61"/>
    </row>
    <row r="105" spans="3:8" x14ac:dyDescent="0.3">
      <c r="C105" s="56"/>
      <c r="D105" s="56"/>
      <c r="E105" s="56"/>
      <c r="F105" s="56"/>
      <c r="G105" s="56"/>
      <c r="H105" s="56"/>
    </row>
    <row r="106" spans="3:8" x14ac:dyDescent="0.3">
      <c r="C106" s="51"/>
      <c r="D106" s="49"/>
      <c r="E106" s="49"/>
      <c r="F106" s="62"/>
      <c r="G106" s="50"/>
      <c r="H106" s="50"/>
    </row>
    <row r="107" spans="3:8" ht="14.4" x14ac:dyDescent="0.3">
      <c r="C107" s="48" t="s">
        <v>153</v>
      </c>
      <c r="D107" s="57"/>
      <c r="E107" s="63"/>
      <c r="F107" s="57"/>
      <c r="G107" s="57"/>
      <c r="H107" s="64"/>
    </row>
    <row r="108" spans="3:8" x14ac:dyDescent="0.3">
      <c r="C108" s="53" t="s">
        <v>139</v>
      </c>
      <c r="D108" s="65" t="s">
        <v>140</v>
      </c>
      <c r="E108" s="66" t="s">
        <v>141</v>
      </c>
      <c r="F108" s="67" t="s">
        <v>142</v>
      </c>
      <c r="G108" s="67" t="s">
        <v>143</v>
      </c>
      <c r="H108" s="67" t="s">
        <v>144</v>
      </c>
    </row>
    <row r="109" spans="3:8" x14ac:dyDescent="0.3">
      <c r="C109" s="68" t="s">
        <v>154</v>
      </c>
      <c r="D109" s="68" t="s">
        <v>108</v>
      </c>
      <c r="E109" s="68">
        <v>6</v>
      </c>
      <c r="F109" s="69">
        <v>1228.875</v>
      </c>
      <c r="G109" s="69">
        <v>1223.3</v>
      </c>
      <c r="H109" s="70">
        <v>19.198912499999999</v>
      </c>
    </row>
    <row r="110" spans="3:8" x14ac:dyDescent="0.3">
      <c r="C110" s="56"/>
      <c r="D110" s="56"/>
      <c r="E110" s="56"/>
      <c r="F110" s="56"/>
      <c r="G110" s="56"/>
      <c r="H110" s="56"/>
    </row>
    <row r="111" spans="3:8" x14ac:dyDescent="0.3">
      <c r="C111" s="57" t="s">
        <v>155</v>
      </c>
      <c r="D111" s="56"/>
      <c r="E111" s="56"/>
      <c r="F111" s="56"/>
      <c r="G111" s="56"/>
      <c r="H111" s="56"/>
    </row>
    <row r="112" spans="3:8" x14ac:dyDescent="0.3">
      <c r="C112" s="56"/>
      <c r="D112" s="56"/>
      <c r="E112" s="56"/>
      <c r="F112" s="56"/>
      <c r="G112" s="56"/>
      <c r="H112" s="56"/>
    </row>
    <row r="113" spans="3:8" x14ac:dyDescent="0.3">
      <c r="C113" s="48" t="s">
        <v>156</v>
      </c>
      <c r="D113" s="56"/>
      <c r="E113" s="56"/>
      <c r="F113" s="56"/>
      <c r="G113" s="56"/>
      <c r="H113" s="56"/>
    </row>
    <row r="114" spans="3:8" x14ac:dyDescent="0.3">
      <c r="C114" s="57" t="s">
        <v>148</v>
      </c>
      <c r="D114" s="56"/>
      <c r="E114" s="56"/>
      <c r="F114" s="56"/>
      <c r="G114" s="56"/>
      <c r="H114" s="56"/>
    </row>
    <row r="115" spans="3:8" x14ac:dyDescent="0.3">
      <c r="C115" s="57" t="s">
        <v>157</v>
      </c>
      <c r="D115" s="56"/>
      <c r="E115" s="56"/>
      <c r="F115" s="56"/>
      <c r="G115" s="56"/>
      <c r="H115" s="56"/>
    </row>
    <row r="116" spans="3:8" x14ac:dyDescent="0.3">
      <c r="C116" s="57" t="s">
        <v>150</v>
      </c>
      <c r="D116" s="59"/>
      <c r="E116" s="56"/>
      <c r="F116" s="56"/>
      <c r="G116" s="56"/>
      <c r="H116" s="56"/>
    </row>
    <row r="117" spans="3:8" x14ac:dyDescent="0.3">
      <c r="C117" s="57" t="s">
        <v>158</v>
      </c>
      <c r="D117" s="59"/>
      <c r="E117" s="56"/>
      <c r="F117" s="56"/>
      <c r="G117" s="56"/>
      <c r="H117" s="56"/>
    </row>
    <row r="118" spans="3:8" x14ac:dyDescent="0.3">
      <c r="C118" s="60" t="s">
        <v>159</v>
      </c>
      <c r="D118" s="59"/>
      <c r="E118" s="61"/>
      <c r="F118" s="61"/>
      <c r="G118" s="56"/>
      <c r="H118" s="56"/>
    </row>
    <row r="119" spans="3:8" x14ac:dyDescent="0.3">
      <c r="C119" s="56"/>
      <c r="D119" s="56"/>
      <c r="E119" s="56"/>
      <c r="F119" s="56"/>
      <c r="G119" s="56"/>
      <c r="H119" s="56"/>
    </row>
    <row r="120" spans="3:8" x14ac:dyDescent="0.3">
      <c r="C120" s="49"/>
      <c r="D120" s="49"/>
      <c r="E120" s="71"/>
      <c r="F120" s="49"/>
      <c r="G120" s="50"/>
      <c r="H120" s="50"/>
    </row>
    <row r="121" spans="3:8" x14ac:dyDescent="0.3">
      <c r="C121" s="72" t="s">
        <v>160</v>
      </c>
      <c r="D121" s="71"/>
      <c r="E121" s="71"/>
      <c r="F121" s="49"/>
      <c r="G121" s="50"/>
      <c r="H121" s="50"/>
    </row>
    <row r="124" spans="3:8" x14ac:dyDescent="0.3">
      <c r="C124" s="11" t="s">
        <v>161</v>
      </c>
    </row>
    <row r="125" spans="3:8" x14ac:dyDescent="0.3">
      <c r="C125" s="2" t="s">
        <v>162</v>
      </c>
    </row>
    <row r="126" spans="3:8" x14ac:dyDescent="0.3">
      <c r="C126" s="73" t="s">
        <v>163</v>
      </c>
    </row>
    <row r="127" spans="3:8" x14ac:dyDescent="0.3">
      <c r="C127" s="2" t="s">
        <v>164</v>
      </c>
    </row>
    <row r="128" spans="3:8" x14ac:dyDescent="0.3">
      <c r="C128" s="2" t="s">
        <v>165</v>
      </c>
    </row>
    <row r="129" spans="3:55" x14ac:dyDescent="0.3">
      <c r="C129" s="2" t="s">
        <v>166</v>
      </c>
      <c r="D129" s="49"/>
      <c r="E129" s="49"/>
      <c r="F129" s="49"/>
      <c r="G129" s="50"/>
      <c r="H129" s="50"/>
    </row>
    <row r="130" spans="3:55" x14ac:dyDescent="0.3">
      <c r="C130" s="2" t="s">
        <v>167</v>
      </c>
    </row>
    <row r="131" spans="3:55" x14ac:dyDescent="0.3">
      <c r="C131" s="2" t="s">
        <v>168</v>
      </c>
    </row>
    <row r="132" spans="3:55" x14ac:dyDescent="0.3">
      <c r="C132" s="2" t="s">
        <v>169</v>
      </c>
    </row>
    <row r="133" spans="3:55" x14ac:dyDescent="0.3">
      <c r="C133" s="2" t="s">
        <v>170</v>
      </c>
    </row>
    <row r="134" spans="3:55" s="11" customFormat="1" x14ac:dyDescent="0.3">
      <c r="C134" s="11" t="s">
        <v>171</v>
      </c>
      <c r="E134" s="11" t="s">
        <v>172</v>
      </c>
      <c r="F134" s="74" t="s">
        <v>173</v>
      </c>
      <c r="G134" s="75"/>
      <c r="H134" s="75"/>
      <c r="I134" s="75"/>
      <c r="J134" s="75"/>
      <c r="K134" s="76"/>
      <c r="L134" s="76"/>
      <c r="M134" s="76"/>
      <c r="AJ134" s="76"/>
      <c r="AW134" s="76"/>
      <c r="AY134" s="76"/>
      <c r="BC134" s="76"/>
    </row>
    <row r="135" spans="3:55" x14ac:dyDescent="0.3">
      <c r="C135" s="2" t="s">
        <v>174</v>
      </c>
      <c r="E135" s="77">
        <v>18.040900000000001</v>
      </c>
      <c r="F135" s="78">
        <v>18.381</v>
      </c>
    </row>
    <row r="136" spans="3:55" x14ac:dyDescent="0.3">
      <c r="C136" s="2" t="s">
        <v>175</v>
      </c>
      <c r="E136" s="77">
        <v>33.456400000000002</v>
      </c>
      <c r="F136" s="78">
        <v>34.0871</v>
      </c>
    </row>
    <row r="137" spans="3:55" x14ac:dyDescent="0.3">
      <c r="C137" s="2" t="s">
        <v>176</v>
      </c>
      <c r="E137" s="77">
        <v>20.1036</v>
      </c>
      <c r="F137" s="78">
        <v>20.5016</v>
      </c>
    </row>
    <row r="138" spans="3:55" x14ac:dyDescent="0.3">
      <c r="C138" s="2" t="s">
        <v>177</v>
      </c>
      <c r="E138" s="77">
        <v>36.490099999999998</v>
      </c>
      <c r="F138" s="78">
        <v>37.212400000000002</v>
      </c>
    </row>
    <row r="140" spans="3:55" x14ac:dyDescent="0.3">
      <c r="C140" s="2" t="s">
        <v>178</v>
      </c>
    </row>
    <row r="142" spans="3:55" x14ac:dyDescent="0.3">
      <c r="C142" s="2" t="s">
        <v>179</v>
      </c>
    </row>
    <row r="143" spans="3:55" x14ac:dyDescent="0.3">
      <c r="C143" s="2" t="s">
        <v>180</v>
      </c>
    </row>
    <row r="144" spans="3:55" x14ac:dyDescent="0.3">
      <c r="C144" s="2" t="s">
        <v>181</v>
      </c>
    </row>
    <row r="145" spans="3:11" x14ac:dyDescent="0.3">
      <c r="C145" s="2" t="s">
        <v>182</v>
      </c>
    </row>
    <row r="146" spans="3:11" x14ac:dyDescent="0.3">
      <c r="C146" s="2" t="s">
        <v>183</v>
      </c>
    </row>
    <row r="147" spans="3:11" x14ac:dyDescent="0.3">
      <c r="C147" s="2" t="s">
        <v>184</v>
      </c>
    </row>
    <row r="148" spans="3:11" x14ac:dyDescent="0.3">
      <c r="C148" s="2" t="s">
        <v>185</v>
      </c>
    </row>
    <row r="149" spans="3:11" x14ac:dyDescent="0.3">
      <c r="C149" s="2" t="s">
        <v>186</v>
      </c>
    </row>
    <row r="150" spans="3:11" x14ac:dyDescent="0.3">
      <c r="C150" s="2" t="s">
        <v>187</v>
      </c>
    </row>
    <row r="151" spans="3:11" x14ac:dyDescent="0.3">
      <c r="C151" s="2" t="s">
        <v>188</v>
      </c>
    </row>
    <row r="152" spans="3:11" x14ac:dyDescent="0.3">
      <c r="C152" s="2" t="s">
        <v>189</v>
      </c>
    </row>
    <row r="153" spans="3:11" x14ac:dyDescent="0.3">
      <c r="C153" s="2" t="s">
        <v>190</v>
      </c>
    </row>
    <row r="154" spans="3:11" ht="14.4" x14ac:dyDescent="0.3">
      <c r="C154" s="79"/>
      <c r="D154" s="79"/>
      <c r="E154" s="80"/>
      <c r="F154" s="80"/>
      <c r="G154" s="80"/>
      <c r="H154" s="80"/>
      <c r="I154" s="80"/>
      <c r="J154" s="80"/>
      <c r="K154" s="80"/>
    </row>
    <row r="155" spans="3:11" ht="14.4" x14ac:dyDescent="0.3">
      <c r="C155" s="80"/>
      <c r="D155" s="80"/>
      <c r="E155" s="80"/>
      <c r="F155" s="80"/>
      <c r="G155" s="80"/>
      <c r="H155" s="80"/>
      <c r="I155" s="80"/>
      <c r="J155" s="80"/>
      <c r="K155" s="80"/>
    </row>
    <row r="156" spans="3:11" ht="14.4" x14ac:dyDescent="0.3">
      <c r="C156" s="80"/>
      <c r="D156" s="80"/>
      <c r="E156" s="80"/>
      <c r="F156" s="80"/>
      <c r="G156" s="80"/>
      <c r="H156" s="80"/>
      <c r="I156" s="80"/>
      <c r="J156" s="80"/>
      <c r="K156" s="80"/>
    </row>
  </sheetData>
  <mergeCells count="1">
    <mergeCell ref="C95:H95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9"/>
  <sheetViews>
    <sheetView topLeftCell="A151" workbookViewId="0">
      <selection activeCell="C176" sqref="C17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107" t="s">
        <v>191</v>
      </c>
      <c r="D3" s="108"/>
      <c r="E3" s="108"/>
      <c r="F3" s="108"/>
      <c r="G3" s="108"/>
      <c r="H3" s="108"/>
      <c r="I3" s="108"/>
      <c r="J3" s="108"/>
      <c r="K3" s="109"/>
      <c r="M3" s="9"/>
    </row>
    <row r="4" spans="1:55" ht="39" customHeight="1" thickBot="1" x14ac:dyDescent="0.35">
      <c r="C4" s="110"/>
      <c r="D4" s="111"/>
      <c r="E4" s="111"/>
      <c r="F4" s="111"/>
      <c r="G4" s="111"/>
      <c r="H4" s="111"/>
      <c r="I4" s="111"/>
      <c r="J4" s="111"/>
      <c r="K4" s="112"/>
    </row>
    <row r="5" spans="1:55" ht="14.4" thickBot="1" x14ac:dyDescent="0.35">
      <c r="C5" s="11"/>
    </row>
    <row r="6" spans="1:55" ht="57" customHeight="1" thickBot="1" x14ac:dyDescent="0.5">
      <c r="C6" s="113" t="s">
        <v>192</v>
      </c>
      <c r="D6" s="114"/>
      <c r="E6" s="114"/>
      <c r="F6" s="114"/>
      <c r="G6" s="114"/>
      <c r="H6" s="114"/>
      <c r="I6" s="114"/>
      <c r="J6" s="114"/>
      <c r="K6" s="115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124348</v>
      </c>
      <c r="G12" s="34">
        <v>1897.92</v>
      </c>
      <c r="H12" s="34">
        <v>20.309999999999999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180000</v>
      </c>
      <c r="G13" s="34">
        <v>1713.42</v>
      </c>
      <c r="H13" s="34">
        <v>18.34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19</v>
      </c>
      <c r="F14" s="33">
        <v>70000</v>
      </c>
      <c r="G14" s="34">
        <v>725.69</v>
      </c>
      <c r="H14" s="34">
        <v>7.77</v>
      </c>
      <c r="I14" s="35"/>
      <c r="J14" s="35"/>
      <c r="K14" s="36"/>
    </row>
    <row r="15" spans="1:55" x14ac:dyDescent="0.3">
      <c r="B15" s="1" t="s">
        <v>26</v>
      </c>
      <c r="C15" s="21" t="s">
        <v>27</v>
      </c>
      <c r="D15" s="31" t="s">
        <v>28</v>
      </c>
      <c r="E15" s="32" t="s">
        <v>29</v>
      </c>
      <c r="F15" s="33">
        <v>9100</v>
      </c>
      <c r="G15" s="34">
        <v>710.78</v>
      </c>
      <c r="H15" s="34">
        <v>7.61</v>
      </c>
      <c r="I15" s="35"/>
      <c r="J15" s="35"/>
      <c r="K15" s="36"/>
    </row>
    <row r="16" spans="1:55" x14ac:dyDescent="0.3">
      <c r="B16" s="1" t="s">
        <v>30</v>
      </c>
      <c r="C16" s="21" t="s">
        <v>31</v>
      </c>
      <c r="D16" s="31" t="s">
        <v>32</v>
      </c>
      <c r="E16" s="32" t="s">
        <v>19</v>
      </c>
      <c r="F16" s="33">
        <v>108500</v>
      </c>
      <c r="G16" s="34">
        <v>649.42999999999995</v>
      </c>
      <c r="H16" s="34">
        <v>6.95</v>
      </c>
      <c r="I16" s="35"/>
      <c r="J16" s="35"/>
      <c r="K16" s="36"/>
    </row>
    <row r="17" spans="2:11" x14ac:dyDescent="0.3">
      <c r="B17" s="1" t="s">
        <v>33</v>
      </c>
      <c r="C17" s="21" t="s">
        <v>34</v>
      </c>
      <c r="D17" s="31" t="s">
        <v>35</v>
      </c>
      <c r="E17" s="32" t="s">
        <v>19</v>
      </c>
      <c r="F17" s="33">
        <v>18900</v>
      </c>
      <c r="G17" s="34">
        <v>328.05</v>
      </c>
      <c r="H17" s="34">
        <v>3.51</v>
      </c>
      <c r="I17" s="35"/>
      <c r="J17" s="35"/>
      <c r="K17" s="36"/>
    </row>
    <row r="18" spans="2:11" x14ac:dyDescent="0.3">
      <c r="B18" s="1" t="s">
        <v>36</v>
      </c>
      <c r="C18" s="21" t="s">
        <v>37</v>
      </c>
      <c r="D18" s="31" t="s">
        <v>38</v>
      </c>
      <c r="E18" s="32" t="s">
        <v>19</v>
      </c>
      <c r="F18" s="33">
        <v>22500</v>
      </c>
      <c r="G18" s="34">
        <v>321.49</v>
      </c>
      <c r="H18" s="34">
        <v>3.44</v>
      </c>
      <c r="I18" s="35"/>
      <c r="J18" s="35"/>
      <c r="K18" s="36"/>
    </row>
    <row r="19" spans="2:11" x14ac:dyDescent="0.3">
      <c r="B19" s="1" t="s">
        <v>39</v>
      </c>
      <c r="C19" s="21" t="s">
        <v>40</v>
      </c>
      <c r="D19" s="31" t="s">
        <v>41</v>
      </c>
      <c r="E19" s="32" t="s">
        <v>29</v>
      </c>
      <c r="F19" s="33">
        <v>15000</v>
      </c>
      <c r="G19" s="34">
        <v>182.63</v>
      </c>
      <c r="H19" s="34">
        <v>1.95</v>
      </c>
      <c r="I19" s="35"/>
      <c r="J19" s="35"/>
      <c r="K19" s="36"/>
    </row>
    <row r="20" spans="2:11" x14ac:dyDescent="0.3">
      <c r="B20" s="1" t="s">
        <v>42</v>
      </c>
      <c r="C20" s="21" t="s">
        <v>43</v>
      </c>
      <c r="D20" s="31" t="s">
        <v>44</v>
      </c>
      <c r="E20" s="32" t="s">
        <v>29</v>
      </c>
      <c r="F20" s="33">
        <v>62500</v>
      </c>
      <c r="G20" s="34">
        <v>157.44</v>
      </c>
      <c r="H20" s="34">
        <v>1.69</v>
      </c>
      <c r="I20" s="35"/>
      <c r="J20" s="35"/>
      <c r="K20" s="36"/>
    </row>
    <row r="21" spans="2:11" x14ac:dyDescent="0.3">
      <c r="B21" s="1" t="s">
        <v>45</v>
      </c>
      <c r="C21" s="21" t="s">
        <v>46</v>
      </c>
      <c r="D21" s="31" t="s">
        <v>47</v>
      </c>
      <c r="E21" s="32" t="s">
        <v>29</v>
      </c>
      <c r="F21" s="33">
        <v>20000</v>
      </c>
      <c r="G21" s="34">
        <v>152.96</v>
      </c>
      <c r="H21" s="34">
        <v>1.64</v>
      </c>
      <c r="I21" s="35"/>
      <c r="J21" s="35"/>
      <c r="K21" s="36"/>
    </row>
    <row r="22" spans="2:11" x14ac:dyDescent="0.3">
      <c r="B22" s="1" t="s">
        <v>48</v>
      </c>
      <c r="C22" s="21" t="s">
        <v>49</v>
      </c>
      <c r="D22" s="31" t="s">
        <v>50</v>
      </c>
      <c r="E22" s="32" t="s">
        <v>19</v>
      </c>
      <c r="F22" s="33">
        <v>190000</v>
      </c>
      <c r="G22" s="34">
        <v>152.38</v>
      </c>
      <c r="H22" s="34">
        <v>1.63</v>
      </c>
      <c r="I22" s="35"/>
      <c r="J22" s="35"/>
      <c r="K22" s="36"/>
    </row>
    <row r="23" spans="2:11" x14ac:dyDescent="0.3">
      <c r="B23" s="1" t="s">
        <v>51</v>
      </c>
      <c r="C23" s="21" t="s">
        <v>52</v>
      </c>
      <c r="D23" s="31" t="s">
        <v>53</v>
      </c>
      <c r="E23" s="32" t="s">
        <v>19</v>
      </c>
      <c r="F23" s="33">
        <v>100000</v>
      </c>
      <c r="G23" s="34">
        <v>147.19999999999999</v>
      </c>
      <c r="H23" s="34">
        <v>1.58</v>
      </c>
      <c r="I23" s="35"/>
      <c r="J23" s="35"/>
      <c r="K23" s="36"/>
    </row>
    <row r="24" spans="2:11" x14ac:dyDescent="0.3">
      <c r="B24" s="1" t="s">
        <v>54</v>
      </c>
      <c r="C24" s="21" t="s">
        <v>55</v>
      </c>
      <c r="D24" s="31" t="s">
        <v>56</v>
      </c>
      <c r="E24" s="32" t="s">
        <v>19</v>
      </c>
      <c r="F24" s="33">
        <v>160000</v>
      </c>
      <c r="G24" s="34">
        <v>143.44</v>
      </c>
      <c r="H24" s="34">
        <v>1.54</v>
      </c>
      <c r="I24" s="35"/>
      <c r="J24" s="35"/>
      <c r="K24" s="36"/>
    </row>
    <row r="25" spans="2:11" x14ac:dyDescent="0.3">
      <c r="B25" s="1" t="s">
        <v>57</v>
      </c>
      <c r="C25" s="21" t="s">
        <v>58</v>
      </c>
      <c r="D25" s="31" t="s">
        <v>59</v>
      </c>
      <c r="E25" s="32" t="s">
        <v>60</v>
      </c>
      <c r="F25" s="33">
        <v>22500</v>
      </c>
      <c r="G25" s="34">
        <v>143.41999999999999</v>
      </c>
      <c r="H25" s="34">
        <v>1.54</v>
      </c>
      <c r="I25" s="35"/>
      <c r="J25" s="35"/>
      <c r="K25" s="36"/>
    </row>
    <row r="26" spans="2:11" x14ac:dyDescent="0.3">
      <c r="B26" s="1" t="s">
        <v>61</v>
      </c>
      <c r="C26" s="21" t="s">
        <v>62</v>
      </c>
      <c r="D26" s="31" t="s">
        <v>63</v>
      </c>
      <c r="E26" s="32" t="s">
        <v>29</v>
      </c>
      <c r="F26" s="33">
        <v>20580</v>
      </c>
      <c r="G26" s="34">
        <v>143.38</v>
      </c>
      <c r="H26" s="34">
        <v>1.53</v>
      </c>
      <c r="I26" s="35"/>
      <c r="J26" s="35"/>
      <c r="K26" s="36"/>
    </row>
    <row r="27" spans="2:11" x14ac:dyDescent="0.3">
      <c r="B27" s="1" t="s">
        <v>64</v>
      </c>
      <c r="C27" s="21" t="s">
        <v>65</v>
      </c>
      <c r="D27" s="31" t="s">
        <v>66</v>
      </c>
      <c r="E27" s="32" t="s">
        <v>29</v>
      </c>
      <c r="F27" s="33">
        <v>47500</v>
      </c>
      <c r="G27" s="34">
        <v>143.13999999999999</v>
      </c>
      <c r="H27" s="34">
        <v>1.53</v>
      </c>
      <c r="I27" s="35"/>
      <c r="J27" s="35"/>
      <c r="K27" s="36"/>
    </row>
    <row r="28" spans="2:11" x14ac:dyDescent="0.3">
      <c r="B28" s="1" t="s">
        <v>67</v>
      </c>
      <c r="C28" s="21" t="s">
        <v>68</v>
      </c>
      <c r="D28" s="31" t="s">
        <v>69</v>
      </c>
      <c r="E28" s="32" t="s">
        <v>70</v>
      </c>
      <c r="F28" s="33">
        <v>11000</v>
      </c>
      <c r="G28" s="34">
        <v>142.77000000000001</v>
      </c>
      <c r="H28" s="34">
        <v>1.53</v>
      </c>
      <c r="I28" s="35"/>
      <c r="J28" s="35"/>
      <c r="K28" s="36"/>
    </row>
    <row r="29" spans="2:11" x14ac:dyDescent="0.3">
      <c r="B29" s="1" t="s">
        <v>71</v>
      </c>
      <c r="C29" s="21" t="s">
        <v>72</v>
      </c>
      <c r="D29" s="31" t="s">
        <v>73</v>
      </c>
      <c r="E29" s="32" t="s">
        <v>19</v>
      </c>
      <c r="F29" s="33">
        <v>105000</v>
      </c>
      <c r="G29" s="34">
        <v>140.49</v>
      </c>
      <c r="H29" s="34">
        <v>1.5</v>
      </c>
      <c r="I29" s="35"/>
      <c r="J29" s="35"/>
      <c r="K29" s="36"/>
    </row>
    <row r="30" spans="2:11" x14ac:dyDescent="0.3">
      <c r="B30" s="1" t="s">
        <v>74</v>
      </c>
      <c r="C30" s="21" t="s">
        <v>75</v>
      </c>
      <c r="D30" s="31" t="s">
        <v>76</v>
      </c>
      <c r="E30" s="32" t="s">
        <v>77</v>
      </c>
      <c r="F30" s="33">
        <v>17500</v>
      </c>
      <c r="G30" s="34">
        <v>133.91999999999999</v>
      </c>
      <c r="H30" s="34">
        <v>1.43</v>
      </c>
      <c r="I30" s="35"/>
      <c r="J30" s="35"/>
      <c r="K30" s="36"/>
    </row>
    <row r="31" spans="2:11" x14ac:dyDescent="0.3">
      <c r="B31" s="1" t="s">
        <v>78</v>
      </c>
      <c r="C31" s="21" t="s">
        <v>79</v>
      </c>
      <c r="D31" s="31" t="s">
        <v>80</v>
      </c>
      <c r="E31" s="32" t="s">
        <v>60</v>
      </c>
      <c r="F31" s="33">
        <v>12500</v>
      </c>
      <c r="G31" s="34">
        <v>113.72</v>
      </c>
      <c r="H31" s="34">
        <v>1.22</v>
      </c>
      <c r="I31" s="35"/>
      <c r="J31" s="35"/>
      <c r="K31" s="36"/>
    </row>
    <row r="32" spans="2:11" x14ac:dyDescent="0.3">
      <c r="B32" s="1" t="s">
        <v>81</v>
      </c>
      <c r="C32" s="21" t="s">
        <v>82</v>
      </c>
      <c r="D32" s="31" t="s">
        <v>83</v>
      </c>
      <c r="E32" s="32" t="s">
        <v>29</v>
      </c>
      <c r="F32" s="33">
        <v>15550</v>
      </c>
      <c r="G32" s="34">
        <v>107.93</v>
      </c>
      <c r="H32" s="34">
        <v>1.1599999999999999</v>
      </c>
      <c r="I32" s="35"/>
      <c r="J32" s="35"/>
      <c r="K32" s="36"/>
    </row>
    <row r="33" spans="2:11" x14ac:dyDescent="0.3">
      <c r="B33" s="1" t="s">
        <v>84</v>
      </c>
      <c r="C33" s="21" t="s">
        <v>85</v>
      </c>
      <c r="D33" s="31" t="s">
        <v>86</v>
      </c>
      <c r="E33" s="32" t="s">
        <v>60</v>
      </c>
      <c r="F33" s="33">
        <v>17000</v>
      </c>
      <c r="G33" s="34">
        <v>96.25</v>
      </c>
      <c r="H33" s="34">
        <v>1.03</v>
      </c>
      <c r="I33" s="35"/>
      <c r="J33" s="35"/>
      <c r="K33" s="36"/>
    </row>
    <row r="34" spans="2:11" x14ac:dyDescent="0.3">
      <c r="B34" s="1" t="s">
        <v>87</v>
      </c>
      <c r="C34" s="21" t="s">
        <v>88</v>
      </c>
      <c r="D34" s="31" t="s">
        <v>89</v>
      </c>
      <c r="E34" s="32" t="s">
        <v>29</v>
      </c>
      <c r="F34" s="33">
        <v>5000</v>
      </c>
      <c r="G34" s="34">
        <v>95.97</v>
      </c>
      <c r="H34" s="34">
        <v>1.03</v>
      </c>
      <c r="I34" s="35"/>
      <c r="J34" s="35"/>
      <c r="K34" s="36"/>
    </row>
    <row r="35" spans="2:11" x14ac:dyDescent="0.3">
      <c r="B35" s="1" t="s">
        <v>90</v>
      </c>
      <c r="C35" s="21" t="s">
        <v>91</v>
      </c>
      <c r="D35" s="31" t="s">
        <v>92</v>
      </c>
      <c r="E35" s="32" t="s">
        <v>29</v>
      </c>
      <c r="F35" s="33">
        <v>40000</v>
      </c>
      <c r="G35" s="34">
        <v>92.48</v>
      </c>
      <c r="H35" s="34">
        <v>0.99</v>
      </c>
      <c r="I35" s="35"/>
      <c r="J35" s="35"/>
      <c r="K35" s="36"/>
    </row>
    <row r="36" spans="2:11" x14ac:dyDescent="0.3">
      <c r="B36" s="1" t="s">
        <v>93</v>
      </c>
      <c r="C36" s="21" t="s">
        <v>94</v>
      </c>
      <c r="D36" s="31" t="s">
        <v>95</v>
      </c>
      <c r="E36" s="32" t="s">
        <v>29</v>
      </c>
      <c r="F36" s="33">
        <v>3000</v>
      </c>
      <c r="G36" s="34">
        <v>92.13</v>
      </c>
      <c r="H36" s="34">
        <v>0.99</v>
      </c>
      <c r="I36" s="35"/>
      <c r="J36" s="35"/>
      <c r="K36" s="36"/>
    </row>
    <row r="37" spans="2:11" x14ac:dyDescent="0.3">
      <c r="B37" s="1" t="s">
        <v>96</v>
      </c>
      <c r="C37" s="21" t="s">
        <v>97</v>
      </c>
      <c r="D37" s="31" t="s">
        <v>98</v>
      </c>
      <c r="E37" s="32" t="s">
        <v>29</v>
      </c>
      <c r="F37" s="33">
        <v>7000</v>
      </c>
      <c r="G37" s="34">
        <v>92.09</v>
      </c>
      <c r="H37" s="34">
        <v>0.99</v>
      </c>
      <c r="I37" s="35"/>
      <c r="J37" s="35"/>
      <c r="K37" s="36"/>
    </row>
    <row r="38" spans="2:11" x14ac:dyDescent="0.3">
      <c r="B38" s="1" t="s">
        <v>99</v>
      </c>
      <c r="C38" s="21" t="s">
        <v>100</v>
      </c>
      <c r="D38" s="31" t="s">
        <v>101</v>
      </c>
      <c r="E38" s="32" t="s">
        <v>29</v>
      </c>
      <c r="F38" s="33">
        <v>60000</v>
      </c>
      <c r="G38" s="34">
        <v>89.91</v>
      </c>
      <c r="H38" s="34">
        <v>0.96</v>
      </c>
      <c r="I38" s="35"/>
      <c r="J38" s="35"/>
      <c r="K38" s="36"/>
    </row>
    <row r="39" spans="2:11" x14ac:dyDescent="0.3">
      <c r="C39" s="30" t="s">
        <v>102</v>
      </c>
      <c r="D39" s="31"/>
      <c r="E39" s="32"/>
      <c r="F39" s="33"/>
      <c r="G39" s="38">
        <v>8910.43</v>
      </c>
      <c r="H39" s="38">
        <v>95.39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103</v>
      </c>
      <c r="D41" s="31"/>
      <c r="E41" s="32"/>
      <c r="F41" s="33"/>
      <c r="G41" s="34" t="s">
        <v>104</v>
      </c>
      <c r="H41" s="34" t="s">
        <v>104</v>
      </c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105</v>
      </c>
      <c r="D43" s="31"/>
      <c r="E43" s="32"/>
      <c r="F43" s="33"/>
      <c r="G43" s="34" t="s">
        <v>104</v>
      </c>
      <c r="H43" s="34" t="s">
        <v>104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7" t="s">
        <v>106</v>
      </c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B46" s="1" t="s">
        <v>107</v>
      </c>
      <c r="C46" s="21" t="s">
        <v>40</v>
      </c>
      <c r="D46" s="31" t="s">
        <v>108</v>
      </c>
      <c r="E46" s="32" t="s">
        <v>29</v>
      </c>
      <c r="F46" s="33">
        <v>7500</v>
      </c>
      <c r="G46" s="34">
        <v>91.75</v>
      </c>
      <c r="H46" s="34">
        <v>0.98</v>
      </c>
      <c r="I46" s="35"/>
      <c r="J46" s="35"/>
      <c r="K46" s="36"/>
    </row>
    <row r="47" spans="2:11" x14ac:dyDescent="0.3">
      <c r="C47" s="30" t="s">
        <v>109</v>
      </c>
      <c r="D47" s="31"/>
      <c r="E47" s="32"/>
      <c r="F47" s="33"/>
      <c r="G47" s="38">
        <v>91.75</v>
      </c>
      <c r="H47" s="38">
        <v>0.98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110</v>
      </c>
      <c r="D49" s="31"/>
      <c r="E49" s="32"/>
      <c r="F49" s="33"/>
      <c r="G49" s="34" t="s">
        <v>104</v>
      </c>
      <c r="H49" s="34" t="s">
        <v>104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111</v>
      </c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112</v>
      </c>
      <c r="D53" s="31"/>
      <c r="E53" s="32"/>
      <c r="F53" s="33"/>
      <c r="G53" s="34" t="s">
        <v>104</v>
      </c>
      <c r="H53" s="34" t="s">
        <v>104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113</v>
      </c>
      <c r="D55" s="31"/>
      <c r="E55" s="32"/>
      <c r="F55" s="33"/>
      <c r="G55" s="34" t="s">
        <v>104</v>
      </c>
      <c r="H55" s="34" t="s">
        <v>104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114</v>
      </c>
      <c r="D57" s="31"/>
      <c r="E57" s="32"/>
      <c r="F57" s="33"/>
      <c r="G57" s="34" t="s">
        <v>104</v>
      </c>
      <c r="H57" s="34" t="s">
        <v>104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115</v>
      </c>
      <c r="D59" s="31"/>
      <c r="E59" s="32"/>
      <c r="F59" s="33"/>
      <c r="G59" s="34" t="s">
        <v>104</v>
      </c>
      <c r="H59" s="34" t="s">
        <v>104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C61" s="30" t="s">
        <v>116</v>
      </c>
      <c r="D61" s="31"/>
      <c r="E61" s="32"/>
      <c r="F61" s="33"/>
      <c r="G61" s="34" t="s">
        <v>104</v>
      </c>
      <c r="H61" s="34" t="s">
        <v>104</v>
      </c>
      <c r="I61" s="35"/>
      <c r="J61" s="35"/>
      <c r="K61" s="36"/>
    </row>
    <row r="62" spans="1:11" s="39" customFormat="1" ht="15" x14ac:dyDescent="0.35">
      <c r="A62" s="2"/>
      <c r="B62" s="2"/>
      <c r="C62" s="21"/>
      <c r="D62" s="31"/>
      <c r="E62" s="32"/>
      <c r="F62" s="33"/>
      <c r="G62" s="34"/>
      <c r="H62" s="34"/>
      <c r="I62" s="35"/>
      <c r="J62" s="35"/>
      <c r="K62" s="36"/>
    </row>
    <row r="63" spans="1:11" s="40" customFormat="1" x14ac:dyDescent="0.3">
      <c r="A63" s="28"/>
      <c r="B63" s="29"/>
      <c r="C63" s="30" t="s">
        <v>117</v>
      </c>
      <c r="D63" s="31"/>
      <c r="E63" s="32"/>
      <c r="F63" s="33"/>
      <c r="G63" s="34"/>
      <c r="H63" s="34"/>
      <c r="I63" s="35"/>
      <c r="J63" s="35"/>
      <c r="K63" s="36"/>
    </row>
    <row r="64" spans="1:11" s="40" customFormat="1" x14ac:dyDescent="0.3">
      <c r="A64" s="29"/>
      <c r="B64" s="29"/>
      <c r="C64" s="30" t="s">
        <v>118</v>
      </c>
      <c r="D64" s="31"/>
      <c r="E64" s="32"/>
      <c r="F64" s="33"/>
      <c r="G64" s="34" t="s">
        <v>104</v>
      </c>
      <c r="H64" s="34" t="s">
        <v>104</v>
      </c>
      <c r="I64" s="35"/>
      <c r="J64" s="35"/>
      <c r="K64" s="36"/>
    </row>
    <row r="65" spans="1:55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  <c r="L65" s="2"/>
      <c r="M65" s="2"/>
      <c r="AJ65" s="2"/>
      <c r="AW65" s="2"/>
      <c r="AY65" s="2"/>
      <c r="BC65" s="2"/>
    </row>
    <row r="66" spans="1:55" s="11" customFormat="1" x14ac:dyDescent="0.3">
      <c r="A66" s="29"/>
      <c r="B66" s="29"/>
      <c r="C66" s="30" t="s">
        <v>119</v>
      </c>
      <c r="D66" s="31"/>
      <c r="E66" s="32"/>
      <c r="F66" s="33"/>
      <c r="G66" s="34" t="s">
        <v>104</v>
      </c>
      <c r="H66" s="34" t="s">
        <v>104</v>
      </c>
      <c r="I66" s="35"/>
      <c r="J66" s="35"/>
      <c r="K66" s="36"/>
    </row>
    <row r="67" spans="1:55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55" x14ac:dyDescent="0.3">
      <c r="C68" s="37" t="s">
        <v>120</v>
      </c>
      <c r="D68" s="31"/>
      <c r="E68" s="32"/>
      <c r="F68" s="33"/>
      <c r="G68" s="34"/>
      <c r="H68" s="34"/>
      <c r="I68" s="35"/>
      <c r="J68" s="35"/>
      <c r="K68" s="36"/>
    </row>
    <row r="69" spans="1:55" x14ac:dyDescent="0.3">
      <c r="B69" s="1" t="s">
        <v>121</v>
      </c>
      <c r="C69" s="21" t="s">
        <v>122</v>
      </c>
      <c r="D69" s="31" t="s">
        <v>123</v>
      </c>
      <c r="E69" s="32" t="s">
        <v>124</v>
      </c>
      <c r="F69" s="33">
        <v>50000</v>
      </c>
      <c r="G69" s="34">
        <v>48.79</v>
      </c>
      <c r="H69" s="34">
        <v>0.52</v>
      </c>
      <c r="I69" s="35">
        <v>6.9772999999999996</v>
      </c>
      <c r="J69" s="35"/>
      <c r="K69" s="36"/>
    </row>
    <row r="70" spans="1:55" x14ac:dyDescent="0.3">
      <c r="C70" s="30" t="s">
        <v>102</v>
      </c>
      <c r="D70" s="31"/>
      <c r="E70" s="32"/>
      <c r="F70" s="33"/>
      <c r="G70" s="38">
        <v>48.79</v>
      </c>
      <c r="H70" s="38">
        <v>0.52</v>
      </c>
      <c r="I70" s="35"/>
      <c r="J70" s="35"/>
      <c r="K70" s="36"/>
    </row>
    <row r="71" spans="1:55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55" x14ac:dyDescent="0.3">
      <c r="C72" s="30" t="s">
        <v>125</v>
      </c>
      <c r="D72" s="31"/>
      <c r="E72" s="32"/>
      <c r="F72" s="33"/>
      <c r="G72" s="34" t="s">
        <v>104</v>
      </c>
      <c r="H72" s="34" t="s">
        <v>104</v>
      </c>
      <c r="I72" s="35"/>
      <c r="J72" s="35"/>
      <c r="K72" s="36"/>
    </row>
    <row r="73" spans="1:55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55" x14ac:dyDescent="0.3">
      <c r="A74" s="28"/>
      <c r="B74" s="29"/>
      <c r="C74" s="30" t="s">
        <v>126</v>
      </c>
      <c r="D74" s="31"/>
      <c r="E74" s="32"/>
      <c r="F74" s="33"/>
      <c r="G74" s="34"/>
      <c r="H74" s="34"/>
      <c r="I74" s="35"/>
      <c r="J74" s="35"/>
      <c r="K74" s="36"/>
    </row>
    <row r="75" spans="1:55" x14ac:dyDescent="0.3">
      <c r="A75" s="29"/>
      <c r="B75" s="29"/>
      <c r="C75" s="30" t="s">
        <v>127</v>
      </c>
      <c r="D75" s="31"/>
      <c r="E75" s="32"/>
      <c r="F75" s="33"/>
      <c r="G75" s="34" t="s">
        <v>104</v>
      </c>
      <c r="H75" s="34" t="s">
        <v>104</v>
      </c>
      <c r="I75" s="35"/>
      <c r="J75" s="35"/>
      <c r="K75" s="36"/>
    </row>
    <row r="76" spans="1:55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55" x14ac:dyDescent="0.3">
      <c r="A77" s="29"/>
      <c r="B77" s="29"/>
      <c r="C77" s="30" t="s">
        <v>128</v>
      </c>
      <c r="D77" s="31"/>
      <c r="E77" s="32"/>
      <c r="F77" s="33"/>
      <c r="G77" s="34" t="s">
        <v>104</v>
      </c>
      <c r="H77" s="34" t="s">
        <v>104</v>
      </c>
      <c r="I77" s="35"/>
      <c r="J77" s="35"/>
      <c r="K77" s="36"/>
    </row>
    <row r="78" spans="1:55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55" x14ac:dyDescent="0.3">
      <c r="A79" s="29"/>
      <c r="B79" s="29"/>
      <c r="C79" s="30" t="s">
        <v>129</v>
      </c>
      <c r="D79" s="31"/>
      <c r="E79" s="32"/>
      <c r="F79" s="33"/>
      <c r="G79" s="34" t="s">
        <v>104</v>
      </c>
      <c r="H79" s="34" t="s">
        <v>104</v>
      </c>
      <c r="I79" s="35"/>
      <c r="J79" s="35"/>
      <c r="K79" s="36"/>
    </row>
    <row r="80" spans="1:55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130</v>
      </c>
      <c r="D81" s="31"/>
      <c r="E81" s="32"/>
      <c r="F81" s="33"/>
      <c r="G81" s="34" t="s">
        <v>104</v>
      </c>
      <c r="H81" s="34" t="s">
        <v>104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7" t="s">
        <v>131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B84" s="1" t="s">
        <v>132</v>
      </c>
      <c r="C84" s="21" t="s">
        <v>133</v>
      </c>
      <c r="D84" s="31"/>
      <c r="E84" s="32"/>
      <c r="F84" s="33"/>
      <c r="G84" s="34">
        <v>351.59</v>
      </c>
      <c r="H84" s="34">
        <v>3.76</v>
      </c>
      <c r="I84" s="35">
        <v>6.79</v>
      </c>
      <c r="J84" s="35"/>
      <c r="K84" s="36"/>
    </row>
    <row r="85" spans="1:11" x14ac:dyDescent="0.3">
      <c r="C85" s="30" t="s">
        <v>102</v>
      </c>
      <c r="D85" s="31"/>
      <c r="E85" s="32"/>
      <c r="F85" s="33"/>
      <c r="G85" s="38">
        <v>351.59</v>
      </c>
      <c r="H85" s="38">
        <v>3.76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8"/>
      <c r="B87" s="29"/>
      <c r="C87" s="30" t="s">
        <v>134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B88" s="1"/>
      <c r="C88" s="21" t="s">
        <v>135</v>
      </c>
      <c r="D88" s="31"/>
      <c r="E88" s="32"/>
      <c r="F88" s="33"/>
      <c r="G88" s="34">
        <v>31.86</v>
      </c>
      <c r="H88" s="34">
        <v>0.33</v>
      </c>
      <c r="I88" s="35"/>
      <c r="J88" s="35"/>
      <c r="K88" s="36"/>
    </row>
    <row r="89" spans="1:11" x14ac:dyDescent="0.3">
      <c r="C89" s="30" t="s">
        <v>102</v>
      </c>
      <c r="D89" s="31"/>
      <c r="E89" s="32"/>
      <c r="F89" s="33"/>
      <c r="G89" s="38">
        <v>31.86</v>
      </c>
      <c r="H89" s="38">
        <v>0.33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ht="14.4" thickBot="1" x14ac:dyDescent="0.35">
      <c r="C91" s="41" t="s">
        <v>136</v>
      </c>
      <c r="D91" s="42"/>
      <c r="E91" s="43"/>
      <c r="F91" s="44"/>
      <c r="G91" s="45">
        <v>9342.67</v>
      </c>
      <c r="H91" s="45">
        <f>SUMIFS(H:H,C:C,"Total")</f>
        <v>100</v>
      </c>
      <c r="I91" s="46"/>
      <c r="J91" s="46"/>
      <c r="K91" s="47"/>
    </row>
    <row r="94" spans="1:11" x14ac:dyDescent="0.3">
      <c r="C94" s="48" t="s">
        <v>137</v>
      </c>
      <c r="D94" s="49"/>
      <c r="E94" s="49"/>
      <c r="F94" s="49"/>
      <c r="G94" s="50"/>
      <c r="H94" s="50"/>
    </row>
    <row r="95" spans="1:11" x14ac:dyDescent="0.3">
      <c r="C95" s="51" t="s">
        <v>138</v>
      </c>
      <c r="D95" s="49"/>
      <c r="E95" s="49"/>
      <c r="F95" s="49"/>
      <c r="G95" s="50"/>
      <c r="H95" s="50"/>
    </row>
    <row r="96" spans="1:11" x14ac:dyDescent="0.3">
      <c r="C96" s="81" t="s">
        <v>139</v>
      </c>
      <c r="D96" s="82" t="s">
        <v>140</v>
      </c>
      <c r="E96" s="83" t="s">
        <v>141</v>
      </c>
      <c r="F96" s="84" t="s">
        <v>142</v>
      </c>
      <c r="G96" s="84" t="s">
        <v>143</v>
      </c>
      <c r="H96" s="84" t="s">
        <v>144</v>
      </c>
    </row>
    <row r="97" spans="3:8" x14ac:dyDescent="0.3">
      <c r="C97" s="116" t="s">
        <v>145</v>
      </c>
      <c r="D97" s="117"/>
      <c r="E97" s="117"/>
      <c r="F97" s="117"/>
      <c r="G97" s="117"/>
      <c r="H97" s="118"/>
    </row>
    <row r="98" spans="3:8" x14ac:dyDescent="0.3">
      <c r="C98" s="85"/>
      <c r="D98" s="85"/>
      <c r="E98" s="85"/>
      <c r="F98" s="85"/>
      <c r="G98" s="85"/>
      <c r="H98" s="85"/>
    </row>
    <row r="99" spans="3:8" x14ac:dyDescent="0.3">
      <c r="C99" s="86" t="s">
        <v>146</v>
      </c>
      <c r="D99" s="85"/>
      <c r="E99" s="85"/>
      <c r="F99" s="85"/>
      <c r="G99" s="85"/>
      <c r="H99" s="85"/>
    </row>
    <row r="100" spans="3:8" x14ac:dyDescent="0.3">
      <c r="C100" s="85"/>
      <c r="D100" s="85"/>
      <c r="E100" s="85"/>
      <c r="F100" s="85"/>
      <c r="G100" s="85"/>
      <c r="H100" s="85"/>
    </row>
    <row r="101" spans="3:8" x14ac:dyDescent="0.3">
      <c r="C101" s="87" t="s">
        <v>193</v>
      </c>
      <c r="D101" s="85"/>
      <c r="E101" s="85"/>
      <c r="F101" s="85"/>
      <c r="G101" s="85"/>
      <c r="H101" s="85"/>
    </row>
    <row r="102" spans="3:8" x14ac:dyDescent="0.3">
      <c r="C102" s="86" t="s">
        <v>148</v>
      </c>
      <c r="D102" s="85"/>
      <c r="E102" s="85"/>
      <c r="F102" s="85"/>
      <c r="G102" s="85"/>
      <c r="H102" s="85"/>
    </row>
    <row r="103" spans="3:8" x14ac:dyDescent="0.3">
      <c r="C103" s="86" t="s">
        <v>149</v>
      </c>
      <c r="D103" s="85"/>
      <c r="E103" s="85"/>
      <c r="F103" s="85"/>
      <c r="G103" s="85"/>
      <c r="H103" s="85"/>
    </row>
    <row r="104" spans="3:8" x14ac:dyDescent="0.3">
      <c r="C104" s="86" t="s">
        <v>150</v>
      </c>
      <c r="D104" s="88"/>
      <c r="E104" s="85"/>
      <c r="F104" s="85"/>
      <c r="G104" s="85"/>
      <c r="H104" s="85"/>
    </row>
    <row r="105" spans="3:8" x14ac:dyDescent="0.3">
      <c r="C105" s="86" t="s">
        <v>151</v>
      </c>
      <c r="D105" s="88"/>
      <c r="E105" s="89"/>
      <c r="F105" s="85"/>
      <c r="G105" s="85"/>
      <c r="H105" s="85"/>
    </row>
    <row r="106" spans="3:8" x14ac:dyDescent="0.3">
      <c r="C106" s="90" t="s">
        <v>152</v>
      </c>
      <c r="D106" s="88"/>
      <c r="E106" s="91"/>
      <c r="F106" s="91"/>
      <c r="G106" s="85"/>
      <c r="H106" s="91"/>
    </row>
    <row r="107" spans="3:8" x14ac:dyDescent="0.3">
      <c r="C107" s="85"/>
      <c r="D107" s="85"/>
      <c r="E107" s="85"/>
      <c r="F107" s="85"/>
      <c r="G107" s="85"/>
      <c r="H107" s="85"/>
    </row>
    <row r="108" spans="3:8" x14ac:dyDescent="0.3">
      <c r="C108" s="85"/>
      <c r="D108" s="85"/>
      <c r="E108" s="85"/>
      <c r="F108" s="85"/>
      <c r="G108" s="85"/>
      <c r="H108" s="85"/>
    </row>
    <row r="109" spans="3:8" x14ac:dyDescent="0.3">
      <c r="C109" s="90"/>
      <c r="D109" s="92"/>
      <c r="E109" s="92"/>
      <c r="F109" s="93"/>
      <c r="G109" s="94"/>
      <c r="H109" s="94"/>
    </row>
    <row r="110" spans="3:8" x14ac:dyDescent="0.3">
      <c r="C110" s="95"/>
      <c r="D110" s="92"/>
      <c r="E110" s="92"/>
      <c r="F110" s="93"/>
      <c r="G110" s="94"/>
      <c r="H110" s="94"/>
    </row>
    <row r="111" spans="3:8" ht="15" x14ac:dyDescent="0.35">
      <c r="C111" s="87" t="s">
        <v>153</v>
      </c>
      <c r="D111" s="86"/>
      <c r="E111" s="96"/>
      <c r="F111" s="86"/>
      <c r="G111" s="86"/>
      <c r="H111" s="97"/>
    </row>
    <row r="112" spans="3:8" x14ac:dyDescent="0.3">
      <c r="C112" s="82" t="s">
        <v>139</v>
      </c>
      <c r="D112" s="98" t="s">
        <v>140</v>
      </c>
      <c r="E112" s="99" t="s">
        <v>141</v>
      </c>
      <c r="F112" s="100" t="s">
        <v>142</v>
      </c>
      <c r="G112" s="100" t="s">
        <v>143</v>
      </c>
      <c r="H112" s="100" t="s">
        <v>144</v>
      </c>
    </row>
    <row r="113" spans="3:8" x14ac:dyDescent="0.3">
      <c r="C113" s="101" t="s">
        <v>154</v>
      </c>
      <c r="D113" s="101" t="s">
        <v>108</v>
      </c>
      <c r="E113" s="101">
        <v>6</v>
      </c>
      <c r="F113" s="102">
        <v>1228.875</v>
      </c>
      <c r="G113" s="102">
        <v>1223.3</v>
      </c>
      <c r="H113" s="103">
        <v>19.198912499999999</v>
      </c>
    </row>
    <row r="114" spans="3:8" x14ac:dyDescent="0.3">
      <c r="C114" s="85"/>
      <c r="D114" s="85"/>
      <c r="E114" s="85"/>
      <c r="F114" s="85"/>
      <c r="G114" s="85"/>
      <c r="H114" s="85"/>
    </row>
    <row r="115" spans="3:8" x14ac:dyDescent="0.3">
      <c r="C115" s="86" t="s">
        <v>155</v>
      </c>
      <c r="D115" s="85"/>
      <c r="E115" s="85"/>
      <c r="F115" s="85"/>
      <c r="G115" s="85"/>
      <c r="H115" s="85"/>
    </row>
    <row r="116" spans="3:8" x14ac:dyDescent="0.3">
      <c r="C116" s="85"/>
      <c r="D116" s="85"/>
      <c r="E116" s="85"/>
      <c r="F116" s="85"/>
      <c r="G116" s="85"/>
      <c r="H116" s="85"/>
    </row>
    <row r="117" spans="3:8" x14ac:dyDescent="0.3">
      <c r="C117" s="87" t="s">
        <v>194</v>
      </c>
      <c r="D117" s="85"/>
      <c r="E117" s="85"/>
      <c r="F117" s="85"/>
      <c r="G117" s="85"/>
      <c r="H117" s="85"/>
    </row>
    <row r="118" spans="3:8" x14ac:dyDescent="0.3">
      <c r="C118" s="86" t="s">
        <v>195</v>
      </c>
      <c r="D118" s="85"/>
      <c r="E118" s="85"/>
      <c r="F118" s="85"/>
      <c r="G118" s="85"/>
      <c r="H118" s="85"/>
    </row>
    <row r="119" spans="3:8" x14ac:dyDescent="0.3">
      <c r="C119" s="86" t="s">
        <v>196</v>
      </c>
      <c r="D119" s="85"/>
      <c r="E119" s="85"/>
      <c r="F119" s="85"/>
      <c r="G119" s="85"/>
      <c r="H119" s="85"/>
    </row>
    <row r="120" spans="3:8" x14ac:dyDescent="0.3">
      <c r="C120" s="86" t="s">
        <v>197</v>
      </c>
      <c r="D120" s="89"/>
      <c r="E120" s="85"/>
      <c r="F120" s="85"/>
      <c r="G120" s="85"/>
      <c r="H120" s="85"/>
    </row>
    <row r="121" spans="3:8" x14ac:dyDescent="0.3">
      <c r="C121" s="86" t="s">
        <v>198</v>
      </c>
      <c r="D121" s="89"/>
      <c r="E121" s="85"/>
      <c r="F121" s="85"/>
      <c r="G121" s="85"/>
      <c r="H121" s="85"/>
    </row>
    <row r="122" spans="3:8" x14ac:dyDescent="0.3">
      <c r="C122" s="90" t="s">
        <v>199</v>
      </c>
      <c r="D122" s="89"/>
      <c r="E122" s="91"/>
      <c r="F122" s="91"/>
      <c r="G122" s="85"/>
      <c r="H122" s="85"/>
    </row>
    <row r="123" spans="3:8" x14ac:dyDescent="0.3">
      <c r="C123" s="90"/>
      <c r="D123" s="89"/>
      <c r="E123" s="91"/>
      <c r="F123" s="91"/>
      <c r="G123" s="85"/>
      <c r="H123" s="85"/>
    </row>
    <row r="124" spans="3:8" x14ac:dyDescent="0.3">
      <c r="C124" s="72" t="s">
        <v>160</v>
      </c>
      <c r="D124" s="71"/>
      <c r="E124" s="71"/>
      <c r="F124" s="49"/>
      <c r="G124" s="50"/>
      <c r="H124" s="50"/>
    </row>
    <row r="127" spans="3:8" x14ac:dyDescent="0.3">
      <c r="C127" s="11" t="s">
        <v>161</v>
      </c>
    </row>
    <row r="128" spans="3:8" x14ac:dyDescent="0.3">
      <c r="C128" s="2" t="s">
        <v>162</v>
      </c>
    </row>
    <row r="129" spans="3:55" x14ac:dyDescent="0.3">
      <c r="C129" s="73" t="s">
        <v>163</v>
      </c>
    </row>
    <row r="130" spans="3:55" x14ac:dyDescent="0.3">
      <c r="C130" s="2" t="s">
        <v>164</v>
      </c>
    </row>
    <row r="131" spans="3:55" x14ac:dyDescent="0.3">
      <c r="C131" s="2" t="s">
        <v>165</v>
      </c>
    </row>
    <row r="132" spans="3:55" x14ac:dyDescent="0.3">
      <c r="C132" s="2" t="s">
        <v>166</v>
      </c>
      <c r="D132" s="49"/>
      <c r="E132" s="49"/>
      <c r="F132" s="49"/>
      <c r="G132" s="50"/>
      <c r="H132" s="50"/>
    </row>
    <row r="133" spans="3:55" x14ac:dyDescent="0.3">
      <c r="C133" s="2" t="s">
        <v>167</v>
      </c>
    </row>
    <row r="134" spans="3:55" x14ac:dyDescent="0.3">
      <c r="C134" s="2" t="s">
        <v>168</v>
      </c>
    </row>
    <row r="135" spans="3:55" x14ac:dyDescent="0.3">
      <c r="C135" s="2" t="s">
        <v>169</v>
      </c>
    </row>
    <row r="136" spans="3:55" x14ac:dyDescent="0.3">
      <c r="C136" s="2" t="s">
        <v>170</v>
      </c>
    </row>
    <row r="137" spans="3:55" s="11" customFormat="1" x14ac:dyDescent="0.3">
      <c r="C137" s="11" t="s">
        <v>171</v>
      </c>
      <c r="E137" s="11" t="s">
        <v>200</v>
      </c>
      <c r="F137" s="74" t="s">
        <v>173</v>
      </c>
      <c r="G137" s="75"/>
      <c r="H137" s="75"/>
      <c r="I137" s="75"/>
      <c r="J137" s="75"/>
      <c r="K137" s="76"/>
      <c r="L137" s="76"/>
      <c r="M137" s="76"/>
      <c r="AJ137" s="76"/>
      <c r="AW137" s="76"/>
      <c r="AY137" s="76"/>
      <c r="BC137" s="76"/>
    </row>
    <row r="138" spans="3:55" x14ac:dyDescent="0.3">
      <c r="C138" s="2" t="s">
        <v>174</v>
      </c>
      <c r="E138" s="77">
        <v>16.066099999999999</v>
      </c>
      <c r="F138" s="78">
        <v>18.381</v>
      </c>
    </row>
    <row r="139" spans="3:55" x14ac:dyDescent="0.3">
      <c r="C139" s="2" t="s">
        <v>175</v>
      </c>
      <c r="E139" s="77">
        <v>29.7942</v>
      </c>
      <c r="F139" s="78">
        <v>34.0871</v>
      </c>
    </row>
    <row r="140" spans="3:55" x14ac:dyDescent="0.3">
      <c r="C140" s="2" t="s">
        <v>176</v>
      </c>
      <c r="E140" s="77">
        <v>17.8093</v>
      </c>
      <c r="F140" s="78">
        <v>20.5016</v>
      </c>
    </row>
    <row r="141" spans="3:55" x14ac:dyDescent="0.3">
      <c r="C141" s="2" t="s">
        <v>177</v>
      </c>
      <c r="E141" s="77">
        <v>32.325600000000001</v>
      </c>
      <c r="F141" s="78">
        <v>37.212400000000002</v>
      </c>
    </row>
    <row r="143" spans="3:55" x14ac:dyDescent="0.3">
      <c r="C143" s="2" t="s">
        <v>201</v>
      </c>
    </row>
    <row r="145" spans="3:11" x14ac:dyDescent="0.3">
      <c r="C145" s="2" t="s">
        <v>179</v>
      </c>
    </row>
    <row r="146" spans="3:11" x14ac:dyDescent="0.3">
      <c r="C146" s="2" t="s">
        <v>180</v>
      </c>
    </row>
    <row r="147" spans="3:11" x14ac:dyDescent="0.3">
      <c r="C147" s="2" t="s">
        <v>202</v>
      </c>
    </row>
    <row r="148" spans="3:11" x14ac:dyDescent="0.3">
      <c r="C148" s="2" t="s">
        <v>203</v>
      </c>
    </row>
    <row r="149" spans="3:11" x14ac:dyDescent="0.3">
      <c r="C149" s="2" t="s">
        <v>183</v>
      </c>
    </row>
    <row r="150" spans="3:11" x14ac:dyDescent="0.3">
      <c r="C150" s="2" t="s">
        <v>204</v>
      </c>
    </row>
    <row r="151" spans="3:11" x14ac:dyDescent="0.3">
      <c r="C151" s="2" t="s">
        <v>185</v>
      </c>
    </row>
    <row r="152" spans="3:11" x14ac:dyDescent="0.3">
      <c r="C152" s="2" t="s">
        <v>186</v>
      </c>
    </row>
    <row r="153" spans="3:11" x14ac:dyDescent="0.3">
      <c r="C153" s="2" t="s">
        <v>205</v>
      </c>
    </row>
    <row r="154" spans="3:11" x14ac:dyDescent="0.3">
      <c r="C154" s="2" t="s">
        <v>188</v>
      </c>
    </row>
    <row r="155" spans="3:11" x14ac:dyDescent="0.3">
      <c r="C155" s="2" t="s">
        <v>189</v>
      </c>
    </row>
    <row r="156" spans="3:11" x14ac:dyDescent="0.3">
      <c r="C156" s="2" t="s">
        <v>206</v>
      </c>
    </row>
    <row r="157" spans="3:11" ht="14.4" x14ac:dyDescent="0.3">
      <c r="C157" s="79"/>
      <c r="D157" s="79"/>
      <c r="E157" s="80"/>
      <c r="F157" s="80"/>
      <c r="G157" s="80"/>
      <c r="H157" s="80"/>
      <c r="I157" s="80"/>
      <c r="J157" s="80"/>
      <c r="K157" s="80"/>
    </row>
    <row r="158" spans="3:11" ht="14.4" x14ac:dyDescent="0.3">
      <c r="C158" s="80"/>
      <c r="D158" s="80"/>
      <c r="E158" s="80"/>
      <c r="F158" s="80"/>
      <c r="G158" s="80"/>
      <c r="H158" s="80"/>
      <c r="I158" s="80"/>
      <c r="J158" s="80"/>
      <c r="K158" s="80"/>
    </row>
    <row r="159" spans="3:11" ht="14.4" x14ac:dyDescent="0.3">
      <c r="C159" s="80"/>
      <c r="D159" s="80"/>
      <c r="E159" s="80"/>
      <c r="F159" s="80"/>
      <c r="G159" s="80"/>
      <c r="H159" s="80"/>
      <c r="I159" s="80"/>
      <c r="J159" s="80"/>
      <c r="K159" s="80"/>
    </row>
  </sheetData>
  <mergeCells count="3">
    <mergeCell ref="C3:K4"/>
    <mergeCell ref="C6:K6"/>
    <mergeCell ref="C97:H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Monthly Portfolio</vt:lpstr>
      <vt:lpstr>Half Yearly Portfolio</vt:lpstr>
      <vt:lpstr>XDO_?CLASS_3?22?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XDO_?FINAL_MV?110?</vt:lpstr>
      <vt:lpstr>XDO_?FINAL_MV?111?</vt:lpstr>
      <vt:lpstr>XDO_?FINAL_MV?112?</vt:lpstr>
      <vt:lpstr>XDO_?FINAL_MV?113?</vt:lpstr>
      <vt:lpstr>XDO_?FINAL_MV?114?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XDO_?NAMCNAME?22?</vt:lpstr>
      <vt:lpstr>XDO_?NOVAL?110?</vt:lpstr>
      <vt:lpstr>XDO_?NOVAL?111?</vt:lpstr>
      <vt:lpstr>XDO_?NOVAL?112?</vt:lpstr>
      <vt:lpstr>XDO_?NOVAL?113?</vt:lpstr>
      <vt:lpstr>XDO_?NOVAL?114?</vt:lpstr>
      <vt:lpstr>XDO_?NPTF?22?</vt:lpstr>
      <vt:lpstr>XDO_?RATING?110?</vt:lpstr>
      <vt:lpstr>XDO_?RATING?111?</vt:lpstr>
      <vt:lpstr>XDO_?RATING?112?</vt:lpstr>
      <vt:lpstr>XDO_?RATING?113?</vt:lpstr>
      <vt:lpstr>XDO_?RATING?114?</vt:lpstr>
      <vt:lpstr>XDO_?REMARKS?110?</vt:lpstr>
      <vt:lpstr>XDO_?REMARKS?111?</vt:lpstr>
      <vt:lpstr>XDO_?REMARKS?112?</vt:lpstr>
      <vt:lpstr>XDO_?REMARKS?113?</vt:lpstr>
      <vt:lpstr>XDO_?REMARKS?114?</vt:lpstr>
      <vt:lpstr>XDO_?TITL?22?</vt:lpstr>
      <vt:lpstr>XDO_?YTM?110?</vt:lpstr>
      <vt:lpstr>XDO_?YTM?111?</vt:lpstr>
      <vt:lpstr>XDO_?YTM?112?</vt:lpstr>
      <vt:lpstr>XDO_?YTM?113?</vt:lpstr>
      <vt:lpstr>XDO_?YTM?114?</vt:lpstr>
      <vt:lpstr>XDO_GROUP_?G_2?22?</vt:lpstr>
      <vt:lpstr>XDO_GROUP_?G_3?22?</vt:lpstr>
      <vt:lpstr>XDO_GROUP_?G_4?110?</vt:lpstr>
      <vt:lpstr>XDO_GROUP_?G_4?111?</vt:lpstr>
      <vt:lpstr>XDO_GROUP_?G_4?112?</vt:lpstr>
      <vt:lpstr>XDO_GROUP_?G_4?113?</vt:lpstr>
      <vt:lpstr>XDO_GROUP_?G_4?114?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2023-10-05T12:54:20Z</dcterms:created>
  <dcterms:modified xsi:type="dcterms:W3CDTF">2023-10-09T10:28:59Z</dcterms:modified>
</cp:coreProperties>
</file>