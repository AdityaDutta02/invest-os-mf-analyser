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FO" sheetId="1" r:id="rId1"/>
  </sheets>
  <externalReferences>
    <externalReference r:id="rId2"/>
  </externalReferences>
  <definedNames>
    <definedName name="XDO_?CLASS_3?13?">FO!$C$8:$C$33</definedName>
    <definedName name="XDO_?FINAL_ISIN?61?">FO!$D$10:$D$33</definedName>
    <definedName name="XDO_?FINAL_ISIN?62?">FO!$D$10:$D$72</definedName>
    <definedName name="XDO_?FINAL_ISIN?63?">FO!$D$10:$D$76</definedName>
    <definedName name="XDO_?FINAL_MV?61?">FO!$G$10:$G$33</definedName>
    <definedName name="XDO_?FINAL_MV?62?">FO!$G$10:$G$72</definedName>
    <definedName name="XDO_?FINAL_MV?63?">FO!$G$10:$G$76</definedName>
    <definedName name="XDO_?FINAL_NAME?61?">FO!$C$10:$C$33</definedName>
    <definedName name="XDO_?FINAL_NAME?62?">FO!$C$10:$C$72</definedName>
    <definedName name="XDO_?FINAL_NAME?63?">FO!$C$10:$C$76</definedName>
    <definedName name="XDO_?FINAL_PER_NET?61?">FO!$H$10:$H$33</definedName>
    <definedName name="XDO_?FINAL_PER_NET?62?">FO!$H$10:$H$72</definedName>
    <definedName name="XDO_?FINAL_PER_NET?63?">FO!$H$10:$H$76</definedName>
    <definedName name="XDO_?FINAL_QUANTITE?61?">FO!$F$10:$F$33</definedName>
    <definedName name="XDO_?FINAL_QUANTITE?62?">FO!$F$10:$F$72</definedName>
    <definedName name="XDO_?FINAL_QUANTITE?63?">FO!$F$10:$F$76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1?">FO!$B$10:$B$33</definedName>
    <definedName name="XDO_?NOVAL?62?">FO!$B$10:$B$72</definedName>
    <definedName name="XDO_?NOVAL?63?">FO!$B$10:$B$76</definedName>
    <definedName name="XDO_?NPTF?13?">FO!$D$2:$D$33</definedName>
    <definedName name="XDO_?RATING?61?">FO!$E$10:$E$33</definedName>
    <definedName name="XDO_?RATING?62?">FO!$E$10:$E$72</definedName>
    <definedName name="XDO_?RATING?63?">FO!$E$10:$E$76</definedName>
    <definedName name="XDO_?REMARKS?61?">FO!$K$10:$K$33</definedName>
    <definedName name="XDO_?REMARKS?62?">FO!$K$10:$K$72</definedName>
    <definedName name="XDO_?REMARKS?63?">FO!$K$10:$K$76</definedName>
    <definedName name="XDO_?TITL?13?">FO!$A$8:$A$33</definedName>
    <definedName name="XDO_?YTM?61?">FO!$I$10:$I$33</definedName>
    <definedName name="XDO_?YTM?62?">FO!$I$10:$I$72</definedName>
    <definedName name="XDO_?YTM?63?">FO!$I$10:$I$76</definedName>
    <definedName name="XDO_GROUP_?G_2?13?">FO!$2:$44</definedName>
    <definedName name="XDO_GROUP_?G_3?13?">FO!$8:$43</definedName>
    <definedName name="XDO_GROUP_?G_4?110?">[1]US!#REF!</definedName>
    <definedName name="XDO_GROUP_?G_4?2?">[1]LW!#REF!</definedName>
    <definedName name="XDO_GROUP_?G_4?37?">[1]TA!#REF!</definedName>
    <definedName name="XDO_GROUP_?G_4?49?">[1]AR!#REF!</definedName>
    <definedName name="XDO_GROUP_?G_4?61?">FO!$B$10:$IV$33</definedName>
    <definedName name="XDO_GROUP_?G_4?62?">FO!$B$38:$IV$38</definedName>
    <definedName name="XDO_GROUP_?G_4?63?">FO!$B$41:$IV$41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/>
</calcChain>
</file>

<file path=xl/sharedStrings.xml><?xml version="1.0" encoding="utf-8"?>
<sst xmlns="http://schemas.openxmlformats.org/spreadsheetml/2006/main" count="199" uniqueCount="163">
  <si>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</si>
  <si>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</si>
  <si>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</si>
  <si>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</si>
  <si>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</si>
  <si>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</si>
  <si>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</si>
  <si>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</si>
  <si>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</si>
  <si>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</si>
  <si>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</si>
  <si>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</si>
  <si>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</si>
  <si>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</si>
  <si>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</si>
  <si>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</si>
  <si>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</si>
  <si>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</si>
  <si>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</si>
  <si>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</si>
  <si>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</si>
  <si>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</si>
  <si>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</si>
  <si>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</si>
  <si>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</si>
  <si>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</si>
  <si>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</si>
  <si>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</si>
  <si>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</si>
  <si>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</si>
  <si>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</si>
  <si>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</si>
  <si>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</si>
  <si>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</si>
  <si>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</si>
  <si>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</si>
  <si>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</si>
  <si>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</si>
  <si>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</si>
  <si>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</si>
  <si>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100115</t>
  </si>
  <si>
    <t>Siemens Ltd.</t>
  </si>
  <si>
    <t>INE003A01024</t>
  </si>
  <si>
    <t>Electrical Equipment</t>
  </si>
  <si>
    <t>100843</t>
  </si>
  <si>
    <t>Dalmia Bharat Ltd.</t>
  </si>
  <si>
    <t>INE00R701025</t>
  </si>
  <si>
    <t>Cement &amp; Cement Products</t>
  </si>
  <si>
    <t>100024</t>
  </si>
  <si>
    <t>Axis Bank Ltd.</t>
  </si>
  <si>
    <t>INE238A01034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</si>
  <si>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</si>
  <si>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</si>
  <si>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</si>
  <si>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</si>
  <si>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</si>
  <si>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</si>
  <si>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Finance</t>
  </si>
  <si>
    <t>100089</t>
  </si>
  <si>
    <t>Bharat Electronics Ltd.</t>
  </si>
  <si>
    <t>INE263A01024</t>
  </si>
  <si>
    <t>Aerospace &amp; Defense</t>
  </si>
  <si>
    <t>100268</t>
  </si>
  <si>
    <t>NLC India Ltd.</t>
  </si>
  <si>
    <t>INE589A01014</t>
  </si>
  <si>
    <t>Power</t>
  </si>
  <si>
    <t>100004</t>
  </si>
  <si>
    <t>Zydus Lifesciences Ltd.</t>
  </si>
  <si>
    <t>INE010B01027</t>
  </si>
  <si>
    <t>Pharmaceuticals &amp; Biotechnology</t>
  </si>
  <si>
    <t>100014</t>
  </si>
  <si>
    <t>Mahindra &amp; Mahindra Ltd.</t>
  </si>
  <si>
    <t>INE101A01026</t>
  </si>
  <si>
    <t>Automobiles</t>
  </si>
  <si>
    <t>100200</t>
  </si>
  <si>
    <t>Page Industries Ltd.</t>
  </si>
  <si>
    <t>INE761H01022</t>
  </si>
  <si>
    <t>Textiles &amp; Apparels</t>
  </si>
  <si>
    <t>100586</t>
  </si>
  <si>
    <t>Ratnamani Metals &amp; Tubes Ltd.</t>
  </si>
  <si>
    <t>INE703B01027</t>
  </si>
  <si>
    <t>Industrial Products</t>
  </si>
  <si>
    <t>100013</t>
  </si>
  <si>
    <t>IndusInd Bank Ltd.</t>
  </si>
  <si>
    <t>INE095A01012</t>
  </si>
  <si>
    <t>100001</t>
  </si>
  <si>
    <t>Housing Development Finance Corporation Ltd.</t>
  </si>
  <si>
    <t>INE001A01036</t>
  </si>
  <si>
    <t>100242</t>
  </si>
  <si>
    <t>Schaeffler India Ltd.</t>
  </si>
  <si>
    <t>INE513A01022</t>
  </si>
  <si>
    <t>Auto Components</t>
  </si>
  <si>
    <t>100184</t>
  </si>
  <si>
    <t>Tata Steel Ltd.</t>
  </si>
  <si>
    <t>INE081A01020</t>
  </si>
  <si>
    <t>Ferrous Metals</t>
  </si>
  <si>
    <t>100164</t>
  </si>
  <si>
    <t>Petronet LNG Ltd.</t>
  </si>
  <si>
    <t>INE347G01014</t>
  </si>
  <si>
    <t>Gas</t>
  </si>
  <si>
    <t>100035</t>
  </si>
  <si>
    <t>NMDC Ltd.</t>
  </si>
  <si>
    <t>INE584A01023</t>
  </si>
  <si>
    <t>Minerals &amp; Mining</t>
  </si>
  <si>
    <t>100069</t>
  </si>
  <si>
    <t>Mahindra CIE Automotive Ltd.</t>
  </si>
  <si>
    <t>INE536H01010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</si>
  <si>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</si>
  <si>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</si>
  <si>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</si>
  <si>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</si>
  <si>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</si>
  <si>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</si>
  <si>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</si>
  <si>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</si>
  <si>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</si>
  <si>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</si>
  <si>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</si>
  <si>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</si>
  <si>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</si>
  <si>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</si>
  <si>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</si>
  <si>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</si>
  <si>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</si>
  <si>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</si>
  <si>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</si>
  <si>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</si>
  <si>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</si>
  <si>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</si>
  <si>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</si>
  <si>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</si>
  <si>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</si>
  <si>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</si>
  <si>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</si>
  <si>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</si>
  <si>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</si>
  <si>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</si>
  <si>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</si>
  <si>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</si>
  <si>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</si>
  <si>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</si>
  <si>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</si>
  <si>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</si>
  <si>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</si>
  <si>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</si>
  <si>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</si>
  <si>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</si>
  <si>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</si>
  <si>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</si>
  <si>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</si>
  <si>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</si>
  <si>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</si>
  <si>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</si>
  <si>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0.02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</si>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</sst>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487341</xdr:colOff>
      <xdr:row>127</xdr:row>
      <xdr:rowOff>126322</xdr:rowOff>
    </xdr:to>
    <xdr:pic>
      <xdr:nvPicPr>
        <xdr:cNvPr id="2" name="Picture 1" descr="Baroda BNP Paribas Focused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0209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14"/>
  <sheetViews>
    <sheetView showGridLines="0" tabSelected="1" zoomScale="90" zoomScaleNormal="90" workbookViewId="0">
      <pane ySplit="6" topLeftCell="A122" activePane="bottomLeft" state="frozen"/>
      <selection activeCell="I2" sqref="I2"/>
      <selection pane="bottomLeft" activeCell="C129" sqref="C129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175000</v>
      </c>
      <c r="G10" s="34">
        <v>2953.3</v>
      </c>
      <c r="H10" s="34">
        <v>9.15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82500</v>
      </c>
      <c r="G11" s="34">
        <v>2655.88</v>
      </c>
      <c r="H11" s="34">
        <v>8.23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27</v>
      </c>
      <c r="F12" s="33">
        <v>550000</v>
      </c>
      <c r="G12" s="34">
        <v>2340.5300000000002</v>
      </c>
      <c r="H12" s="34">
        <v>7.25</v>
      </c>
      <c r="I12" s="35"/>
      <c r="J12" s="35"/>
      <c r="K12" s="36"/>
    </row>
    <row r="13" spans="1:55">
      <c r="B13" s="1" t="s">
        <v>28</v>
      </c>
      <c r="C13" s="21" t="s">
        <v>29</v>
      </c>
      <c r="D13" s="31" t="s">
        <v>30</v>
      </c>
      <c r="E13" s="32" t="s">
        <v>31</v>
      </c>
      <c r="F13" s="33">
        <v>85000</v>
      </c>
      <c r="G13" s="34">
        <v>2009.74</v>
      </c>
      <c r="H13" s="34">
        <v>6.23</v>
      </c>
      <c r="I13" s="35"/>
      <c r="J13" s="35"/>
      <c r="K13" s="36"/>
    </row>
    <row r="14" spans="1:55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1598.6</v>
      </c>
      <c r="H14" s="34">
        <v>4.95</v>
      </c>
      <c r="I14" s="35"/>
      <c r="J14" s="35"/>
      <c r="K14" s="36"/>
    </row>
    <row r="15" spans="1:55">
      <c r="B15" s="1" t="s">
        <v>36</v>
      </c>
      <c r="C15" s="21" t="s">
        <v>37</v>
      </c>
      <c r="D15" s="31" t="s">
        <v>38</v>
      </c>
      <c r="E15" s="32" t="s">
        <v>39</v>
      </c>
      <c r="F15" s="33">
        <v>60000</v>
      </c>
      <c r="G15" s="34">
        <v>1452.3</v>
      </c>
      <c r="H15" s="34">
        <v>4.5</v>
      </c>
      <c r="I15" s="35"/>
      <c r="J15" s="35"/>
      <c r="K15" s="36"/>
    </row>
    <row r="16" spans="1:55">
      <c r="B16" s="1" t="s">
        <v>40</v>
      </c>
      <c r="C16" s="21" t="s">
        <v>41</v>
      </c>
      <c r="D16" s="31" t="s">
        <v>42</v>
      </c>
      <c r="E16" s="32" t="s">
        <v>43</v>
      </c>
      <c r="F16" s="33">
        <v>40000</v>
      </c>
      <c r="G16" s="34">
        <v>1379.84</v>
      </c>
      <c r="H16" s="34">
        <v>4.28</v>
      </c>
      <c r="I16" s="35"/>
      <c r="J16" s="35"/>
      <c r="K16" s="36"/>
    </row>
    <row r="17" spans="2:11">
      <c r="B17" s="1" t="s">
        <v>44</v>
      </c>
      <c r="C17" s="21" t="s">
        <v>45</v>
      </c>
      <c r="D17" s="31" t="s">
        <v>46</v>
      </c>
      <c r="E17" s="32" t="s">
        <v>47</v>
      </c>
      <c r="F17" s="33">
        <v>66000</v>
      </c>
      <c r="G17" s="34">
        <v>1317.49</v>
      </c>
      <c r="H17" s="34">
        <v>4.08</v>
      </c>
      <c r="I17" s="35"/>
      <c r="J17" s="35"/>
      <c r="K17" s="36"/>
    </row>
    <row r="18" spans="2:11">
      <c r="B18" s="1" t="s">
        <v>48</v>
      </c>
      <c r="C18" s="21" t="s">
        <v>49</v>
      </c>
      <c r="D18" s="31" t="s">
        <v>50</v>
      </c>
      <c r="E18" s="32" t="s">
        <v>19</v>
      </c>
      <c r="F18" s="33">
        <v>137500</v>
      </c>
      <c r="G18" s="34">
        <v>1182.5</v>
      </c>
      <c r="H18" s="34">
        <v>3.66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19</v>
      </c>
      <c r="F19" s="33">
        <v>120000</v>
      </c>
      <c r="G19" s="34">
        <v>1101.18</v>
      </c>
      <c r="H19" s="34">
        <v>3.41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400000</v>
      </c>
      <c r="G20" s="34">
        <v>1036</v>
      </c>
      <c r="H20" s="34">
        <v>3.21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1000000</v>
      </c>
      <c r="G21" s="34">
        <v>1033</v>
      </c>
      <c r="H21" s="34">
        <v>3.2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65</v>
      </c>
      <c r="F22" s="33">
        <v>1267823</v>
      </c>
      <c r="G22" s="34">
        <v>1032.6400000000001</v>
      </c>
      <c r="H22" s="34">
        <v>3.2</v>
      </c>
      <c r="I22" s="35"/>
      <c r="J22" s="35"/>
      <c r="K22" s="36"/>
    </row>
    <row r="23" spans="2:11">
      <c r="B23" s="1" t="s">
        <v>66</v>
      </c>
      <c r="C23" s="21" t="s">
        <v>67</v>
      </c>
      <c r="D23" s="31" t="s">
        <v>68</v>
      </c>
      <c r="E23" s="32" t="s">
        <v>69</v>
      </c>
      <c r="F23" s="33">
        <v>190000</v>
      </c>
      <c r="G23" s="34">
        <v>987.81</v>
      </c>
      <c r="H23" s="34">
        <v>3.06</v>
      </c>
      <c r="I23" s="35"/>
      <c r="J23" s="35"/>
      <c r="K23" s="36"/>
    </row>
    <row r="24" spans="2:11">
      <c r="B24" s="1" t="s">
        <v>70</v>
      </c>
      <c r="C24" s="21" t="s">
        <v>71</v>
      </c>
      <c r="D24" s="31" t="s">
        <v>72</v>
      </c>
      <c r="E24" s="32" t="s">
        <v>73</v>
      </c>
      <c r="F24" s="33">
        <v>80000</v>
      </c>
      <c r="G24" s="34">
        <v>981.52</v>
      </c>
      <c r="H24" s="34">
        <v>3.04</v>
      </c>
      <c r="I24" s="35"/>
      <c r="J24" s="35"/>
      <c r="K24" s="36"/>
    </row>
    <row r="25" spans="2:11">
      <c r="B25" s="1" t="s">
        <v>74</v>
      </c>
      <c r="C25" s="21" t="s">
        <v>75</v>
      </c>
      <c r="D25" s="31" t="s">
        <v>76</v>
      </c>
      <c r="E25" s="32" t="s">
        <v>77</v>
      </c>
      <c r="F25" s="33">
        <v>2300</v>
      </c>
      <c r="G25" s="34">
        <v>927.38</v>
      </c>
      <c r="H25" s="34">
        <v>2.87</v>
      </c>
      <c r="I25" s="35"/>
      <c r="J25" s="35"/>
      <c r="K25" s="36"/>
    </row>
    <row r="26" spans="2:11">
      <c r="B26" s="1" t="s">
        <v>78</v>
      </c>
      <c r="C26" s="21" t="s">
        <v>79</v>
      </c>
      <c r="D26" s="31" t="s">
        <v>80</v>
      </c>
      <c r="E26" s="32" t="s">
        <v>81</v>
      </c>
      <c r="F26" s="33">
        <v>42000</v>
      </c>
      <c r="G26" s="34">
        <v>902.87</v>
      </c>
      <c r="H26" s="34">
        <v>2.8</v>
      </c>
      <c r="I26" s="35"/>
      <c r="J26" s="35"/>
      <c r="K26" s="36"/>
    </row>
    <row r="27" spans="2:11">
      <c r="B27" s="1" t="s">
        <v>82</v>
      </c>
      <c r="C27" s="21" t="s">
        <v>83</v>
      </c>
      <c r="D27" s="31" t="s">
        <v>84</v>
      </c>
      <c r="E27" s="32" t="s">
        <v>19</v>
      </c>
      <c r="F27" s="33">
        <v>75000</v>
      </c>
      <c r="G27" s="34">
        <v>864.6</v>
      </c>
      <c r="H27" s="34">
        <v>2.68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57</v>
      </c>
      <c r="F28" s="33">
        <v>30000</v>
      </c>
      <c r="G28" s="34">
        <v>832.68</v>
      </c>
      <c r="H28" s="34">
        <v>2.58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91</v>
      </c>
      <c r="F29" s="33">
        <v>30000</v>
      </c>
      <c r="G29" s="34">
        <v>832.4</v>
      </c>
      <c r="H29" s="34">
        <v>2.58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750000</v>
      </c>
      <c r="G30" s="34">
        <v>809.63</v>
      </c>
      <c r="H30" s="34">
        <v>2.5099999999999998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99</v>
      </c>
      <c r="F31" s="33">
        <v>325000</v>
      </c>
      <c r="G31" s="34">
        <v>769.93</v>
      </c>
      <c r="H31" s="34">
        <v>2.39</v>
      </c>
      <c r="I31" s="35"/>
      <c r="J31" s="35"/>
      <c r="K31" s="36"/>
    </row>
    <row r="32" spans="2:11">
      <c r="B32" s="1" t="s">
        <v>100</v>
      </c>
      <c r="C32" s="21" t="s">
        <v>101</v>
      </c>
      <c r="D32" s="31" t="s">
        <v>102</v>
      </c>
      <c r="E32" s="32" t="s">
        <v>103</v>
      </c>
      <c r="F32" s="33">
        <v>700000</v>
      </c>
      <c r="G32" s="34">
        <v>759.5</v>
      </c>
      <c r="H32" s="34">
        <v>2.35</v>
      </c>
      <c r="I32" s="35"/>
      <c r="J32" s="35"/>
      <c r="K32" s="36"/>
    </row>
    <row r="33" spans="2:11">
      <c r="B33" s="1" t="s">
        <v>104</v>
      </c>
      <c r="C33" s="21" t="s">
        <v>105</v>
      </c>
      <c r="D33" s="31" t="s">
        <v>106</v>
      </c>
      <c r="E33" s="32" t="s">
        <v>91</v>
      </c>
      <c r="F33" s="33">
        <v>175000</v>
      </c>
      <c r="G33" s="34">
        <v>697.9</v>
      </c>
      <c r="H33" s="34">
        <v>2.16</v>
      </c>
      <c r="I33" s="35"/>
      <c r="J33" s="35"/>
      <c r="K33" s="36"/>
    </row>
    <row r="34" spans="2:11">
      <c r="C34" s="30" t="s">
        <v>107</v>
      </c>
      <c r="D34" s="31"/>
      <c r="E34" s="32"/>
      <c r="F34" s="33"/>
      <c r="G34" s="38">
        <v>30459.22</v>
      </c>
      <c r="H34" s="38">
        <v>94.37</v>
      </c>
      <c r="I34" s="35"/>
      <c r="J34" s="35"/>
      <c r="K34" s="36"/>
    </row>
    <row r="35" spans="2:11">
      <c r="C35" s="21"/>
      <c r="D35" s="31"/>
      <c r="E35" s="32"/>
      <c r="F35" s="33"/>
      <c r="G35" s="34"/>
      <c r="H35" s="34"/>
      <c r="I35" s="35"/>
      <c r="J35" s="35"/>
      <c r="K35" s="36"/>
    </row>
    <row r="36" spans="2:11">
      <c r="C36" s="30" t="s">
        <v>108</v>
      </c>
      <c r="D36" s="31"/>
      <c r="E36" s="32"/>
      <c r="F36" s="33"/>
      <c r="G36" s="34" t="s">
        <v>109</v>
      </c>
      <c r="H36" s="34" t="s">
        <v>109</v>
      </c>
      <c r="I36" s="35"/>
      <c r="J36" s="35"/>
      <c r="K36" s="36"/>
    </row>
    <row r="37" spans="2:11">
      <c r="C37" s="21"/>
      <c r="D37" s="31"/>
      <c r="E37" s="32"/>
      <c r="F37" s="33"/>
      <c r="G37" s="34"/>
      <c r="H37" s="34"/>
      <c r="I37" s="35"/>
      <c r="J37" s="35"/>
      <c r="K37" s="36"/>
    </row>
    <row r="38" spans="2:11">
      <c r="C38" s="30" t="s">
        <v>110</v>
      </c>
      <c r="D38" s="31"/>
      <c r="E38" s="32"/>
      <c r="F38" s="33"/>
      <c r="G38" s="34" t="s">
        <v>109</v>
      </c>
      <c r="H38" s="34" t="s">
        <v>109</v>
      </c>
      <c r="I38" s="35"/>
      <c r="J38" s="35"/>
      <c r="K38" s="36"/>
    </row>
    <row r="39" spans="2:11">
      <c r="C39" s="21"/>
      <c r="D39" s="31"/>
      <c r="E39" s="32"/>
      <c r="F39" s="33"/>
      <c r="G39" s="34"/>
      <c r="H39" s="34"/>
      <c r="I39" s="35"/>
      <c r="J39" s="35"/>
      <c r="K39" s="36"/>
    </row>
    <row r="40" spans="2:11">
      <c r="C40" s="30" t="s">
        <v>111</v>
      </c>
      <c r="D40" s="31"/>
      <c r="E40" s="32"/>
      <c r="F40" s="33"/>
      <c r="G40" s="34"/>
      <c r="H40" s="34"/>
      <c r="I40" s="35"/>
      <c r="J40" s="35"/>
      <c r="K40" s="36"/>
    </row>
    <row r="41" spans="2:11">
      <c r="C41" s="21"/>
      <c r="D41" s="31"/>
      <c r="E41" s="32"/>
      <c r="F41" s="33"/>
      <c r="G41" s="34"/>
      <c r="H41" s="34"/>
      <c r="I41" s="35"/>
      <c r="J41" s="35"/>
      <c r="K41" s="36"/>
    </row>
    <row r="42" spans="2:11">
      <c r="C42" s="30" t="s">
        <v>112</v>
      </c>
      <c r="D42" s="31"/>
      <c r="E42" s="32"/>
      <c r="F42" s="33"/>
      <c r="G42" s="34" t="s">
        <v>109</v>
      </c>
      <c r="H42" s="34" t="s">
        <v>109</v>
      </c>
      <c r="I42" s="35"/>
      <c r="J42" s="35"/>
      <c r="K42" s="36"/>
    </row>
    <row r="43" spans="2:11">
      <c r="C43" s="21"/>
      <c r="D43" s="31"/>
      <c r="E43" s="32"/>
      <c r="F43" s="33"/>
      <c r="G43" s="34"/>
      <c r="H43" s="34"/>
      <c r="I43" s="35"/>
      <c r="J43" s="35"/>
      <c r="K43" s="36"/>
    </row>
    <row r="44" spans="2:11">
      <c r="C44" s="30" t="s">
        <v>113</v>
      </c>
      <c r="D44" s="31"/>
      <c r="E44" s="32"/>
      <c r="F44" s="33"/>
      <c r="G44" s="34" t="s">
        <v>109</v>
      </c>
      <c r="H44" s="34" t="s">
        <v>109</v>
      </c>
      <c r="I44" s="35"/>
      <c r="J44" s="35"/>
      <c r="K44" s="36"/>
    </row>
    <row r="45" spans="2:11">
      <c r="C45" s="21"/>
      <c r="D45" s="31"/>
      <c r="E45" s="32"/>
      <c r="F45" s="33"/>
      <c r="G45" s="34"/>
      <c r="H45" s="34"/>
      <c r="I45" s="35"/>
      <c r="J45" s="35"/>
      <c r="K45" s="36"/>
    </row>
    <row r="46" spans="2:11">
      <c r="C46" s="30" t="s">
        <v>114</v>
      </c>
      <c r="D46" s="31"/>
      <c r="E46" s="32"/>
      <c r="F46" s="33"/>
      <c r="G46" s="34" t="s">
        <v>109</v>
      </c>
      <c r="H46" s="34" t="s">
        <v>109</v>
      </c>
      <c r="I46" s="35"/>
      <c r="J46" s="35"/>
      <c r="K46" s="36"/>
    </row>
    <row r="47" spans="2:11">
      <c r="C47" s="21"/>
      <c r="D47" s="31"/>
      <c r="E47" s="32"/>
      <c r="F47" s="33"/>
      <c r="G47" s="34"/>
      <c r="H47" s="34"/>
      <c r="I47" s="35"/>
      <c r="J47" s="35"/>
      <c r="K47" s="36"/>
    </row>
    <row r="48" spans="2:11">
      <c r="C48" s="30" t="s">
        <v>115</v>
      </c>
      <c r="D48" s="31"/>
      <c r="E48" s="32"/>
      <c r="F48" s="33"/>
      <c r="G48" s="34" t="s">
        <v>109</v>
      </c>
      <c r="H48" s="34" t="s">
        <v>109</v>
      </c>
      <c r="I48" s="35"/>
      <c r="J48" s="35"/>
      <c r="K48" s="36"/>
    </row>
    <row r="49" spans="1:11">
      <c r="C49" s="21"/>
      <c r="D49" s="31"/>
      <c r="E49" s="32"/>
      <c r="F49" s="33"/>
      <c r="G49" s="34"/>
      <c r="H49" s="34"/>
      <c r="I49" s="35"/>
      <c r="J49" s="35"/>
      <c r="K49" s="36"/>
    </row>
    <row r="50" spans="1:11">
      <c r="C50" s="30" t="s">
        <v>116</v>
      </c>
      <c r="D50" s="31"/>
      <c r="E50" s="32"/>
      <c r="F50" s="33"/>
      <c r="G50" s="34" t="s">
        <v>109</v>
      </c>
      <c r="H50" s="34" t="s">
        <v>109</v>
      </c>
      <c r="I50" s="35"/>
      <c r="J50" s="35"/>
      <c r="K50" s="36"/>
    </row>
    <row r="51" spans="1:11">
      <c r="C51" s="21"/>
      <c r="D51" s="31"/>
      <c r="E51" s="32"/>
      <c r="F51" s="33"/>
      <c r="G51" s="34"/>
      <c r="H51" s="34"/>
      <c r="I51" s="35"/>
      <c r="J51" s="35"/>
      <c r="K51" s="36"/>
    </row>
    <row r="52" spans="1:11">
      <c r="C52" s="30" t="s">
        <v>117</v>
      </c>
      <c r="D52" s="31"/>
      <c r="E52" s="32"/>
      <c r="F52" s="33"/>
      <c r="G52" s="34"/>
      <c r="H52" s="34"/>
      <c r="I52" s="35"/>
      <c r="J52" s="35"/>
      <c r="K52" s="36"/>
    </row>
    <row r="53" spans="1:11">
      <c r="C53" s="21"/>
      <c r="D53" s="31"/>
      <c r="E53" s="32"/>
      <c r="F53" s="33"/>
      <c r="G53" s="34"/>
      <c r="H53" s="34"/>
      <c r="I53" s="35"/>
      <c r="J53" s="35"/>
      <c r="K53" s="36"/>
    </row>
    <row r="54" spans="1:11">
      <c r="C54" s="30" t="s">
        <v>118</v>
      </c>
      <c r="D54" s="31"/>
      <c r="E54" s="32"/>
      <c r="F54" s="33"/>
      <c r="G54" s="34" t="s">
        <v>109</v>
      </c>
      <c r="H54" s="34" t="s">
        <v>109</v>
      </c>
      <c r="I54" s="35"/>
      <c r="J54" s="35"/>
      <c r="K54" s="36"/>
    </row>
    <row r="55" spans="1:11">
      <c r="C55" s="21"/>
      <c r="D55" s="31"/>
      <c r="E55" s="32"/>
      <c r="F55" s="33"/>
      <c r="G55" s="34"/>
      <c r="H55" s="34"/>
      <c r="I55" s="35"/>
      <c r="J55" s="35"/>
      <c r="K55" s="36"/>
    </row>
    <row r="56" spans="1:11">
      <c r="C56" s="30" t="s">
        <v>119</v>
      </c>
      <c r="D56" s="31"/>
      <c r="E56" s="32"/>
      <c r="F56" s="33"/>
      <c r="G56" s="34" t="s">
        <v>109</v>
      </c>
      <c r="H56" s="34" t="s">
        <v>109</v>
      </c>
      <c r="I56" s="35"/>
      <c r="J56" s="35"/>
      <c r="K56" s="36"/>
    </row>
    <row r="57" spans="1:11">
      <c r="C57" s="21"/>
      <c r="D57" s="31"/>
      <c r="E57" s="32"/>
      <c r="F57" s="33"/>
      <c r="G57" s="34"/>
      <c r="H57" s="34"/>
      <c r="I57" s="35"/>
      <c r="J57" s="35"/>
      <c r="K57" s="36"/>
    </row>
    <row r="58" spans="1:11">
      <c r="C58" s="30" t="s">
        <v>120</v>
      </c>
      <c r="D58" s="31"/>
      <c r="E58" s="32"/>
      <c r="F58" s="33"/>
      <c r="G58" s="34" t="s">
        <v>109</v>
      </c>
      <c r="H58" s="34" t="s">
        <v>109</v>
      </c>
      <c r="I58" s="35"/>
      <c r="J58" s="35"/>
      <c r="K58" s="36"/>
    </row>
    <row r="59" spans="1:11">
      <c r="C59" s="21"/>
      <c r="D59" s="31"/>
      <c r="E59" s="32"/>
      <c r="F59" s="33"/>
      <c r="G59" s="34"/>
      <c r="H59" s="34"/>
      <c r="I59" s="35"/>
      <c r="J59" s="35"/>
      <c r="K59" s="36"/>
    </row>
    <row r="60" spans="1:11">
      <c r="C60" s="30" t="s">
        <v>121</v>
      </c>
      <c r="D60" s="31"/>
      <c r="E60" s="32"/>
      <c r="F60" s="33"/>
      <c r="G60" s="34" t="s">
        <v>109</v>
      </c>
      <c r="H60" s="34" t="s">
        <v>109</v>
      </c>
      <c r="I60" s="35"/>
      <c r="J60" s="35"/>
      <c r="K60" s="36"/>
    </row>
    <row r="61" spans="1:11">
      <c r="C61" s="21"/>
      <c r="D61" s="31"/>
      <c r="E61" s="32"/>
      <c r="F61" s="33"/>
      <c r="G61" s="34"/>
      <c r="H61" s="34"/>
      <c r="I61" s="35"/>
      <c r="J61" s="35"/>
      <c r="K61" s="36"/>
    </row>
    <row r="62" spans="1:11">
      <c r="A62" s="28"/>
      <c r="B62" s="29"/>
      <c r="C62" s="30" t="s">
        <v>122</v>
      </c>
      <c r="D62" s="31"/>
      <c r="E62" s="32"/>
      <c r="F62" s="33"/>
      <c r="G62" s="34"/>
      <c r="H62" s="34"/>
      <c r="I62" s="35"/>
      <c r="J62" s="35"/>
      <c r="K62" s="36"/>
    </row>
    <row r="63" spans="1:11">
      <c r="A63" s="29"/>
      <c r="B63" s="29"/>
      <c r="C63" s="30" t="s">
        <v>123</v>
      </c>
      <c r="D63" s="31"/>
      <c r="E63" s="32"/>
      <c r="F63" s="33"/>
      <c r="G63" s="34" t="s">
        <v>109</v>
      </c>
      <c r="H63" s="34" t="s">
        <v>109</v>
      </c>
      <c r="I63" s="35"/>
      <c r="J63" s="35"/>
      <c r="K63" s="36"/>
    </row>
    <row r="64" spans="1:11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>
      <c r="A65" s="29"/>
      <c r="B65" s="29"/>
      <c r="C65" s="30" t="s">
        <v>124</v>
      </c>
      <c r="D65" s="31"/>
      <c r="E65" s="32"/>
      <c r="F65" s="33"/>
      <c r="G65" s="34" t="s">
        <v>109</v>
      </c>
      <c r="H65" s="34" t="s">
        <v>109</v>
      </c>
      <c r="I65" s="35"/>
      <c r="J65" s="35"/>
      <c r="K65" s="36"/>
    </row>
    <row r="66" spans="1:11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>
      <c r="A67" s="29"/>
      <c r="B67" s="29"/>
      <c r="C67" s="30" t="s">
        <v>125</v>
      </c>
      <c r="D67" s="31"/>
      <c r="E67" s="32"/>
      <c r="F67" s="33"/>
      <c r="G67" s="34" t="s">
        <v>109</v>
      </c>
      <c r="H67" s="34" t="s">
        <v>109</v>
      </c>
      <c r="I67" s="35"/>
      <c r="J67" s="35"/>
      <c r="K67" s="36"/>
    </row>
    <row r="68" spans="1:11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>
      <c r="A69" s="29"/>
      <c r="B69" s="29"/>
      <c r="C69" s="30" t="s">
        <v>126</v>
      </c>
      <c r="D69" s="31"/>
      <c r="E69" s="32"/>
      <c r="F69" s="33"/>
      <c r="G69" s="34" t="s">
        <v>109</v>
      </c>
      <c r="H69" s="34" t="s">
        <v>109</v>
      </c>
      <c r="I69" s="35"/>
      <c r="J69" s="35"/>
      <c r="K69" s="36"/>
    </row>
    <row r="70" spans="1:11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>
      <c r="C71" s="37" t="s">
        <v>127</v>
      </c>
      <c r="D71" s="31"/>
      <c r="E71" s="32"/>
      <c r="F71" s="33"/>
      <c r="G71" s="34"/>
      <c r="H71" s="34"/>
      <c r="I71" s="35"/>
      <c r="J71" s="35"/>
      <c r="K71" s="36"/>
    </row>
    <row r="72" spans="1:11">
      <c r="B72" s="1" t="s">
        <v>128</v>
      </c>
      <c r="C72" s="21" t="s">
        <v>129</v>
      </c>
      <c r="D72" s="31"/>
      <c r="E72" s="32"/>
      <c r="F72" s="33"/>
      <c r="G72" s="34">
        <v>1875.7</v>
      </c>
      <c r="H72" s="34">
        <v>5.81</v>
      </c>
      <c r="I72" s="35">
        <v>6.76</v>
      </c>
      <c r="J72" s="35"/>
      <c r="K72" s="36"/>
    </row>
    <row r="73" spans="1:11">
      <c r="C73" s="30" t="s">
        <v>107</v>
      </c>
      <c r="D73" s="31"/>
      <c r="E73" s="32"/>
      <c r="F73" s="33"/>
      <c r="G73" s="38">
        <v>1875.7</v>
      </c>
      <c r="H73" s="38">
        <v>5.81</v>
      </c>
      <c r="I73" s="35"/>
      <c r="J73" s="35"/>
      <c r="K73" s="36"/>
    </row>
    <row r="74" spans="1:11">
      <c r="C74" s="21"/>
      <c r="D74" s="31"/>
      <c r="E74" s="32"/>
      <c r="F74" s="33"/>
      <c r="G74" s="34"/>
      <c r="H74" s="34"/>
      <c r="I74" s="35"/>
      <c r="J74" s="35"/>
      <c r="K74" s="36"/>
    </row>
    <row r="75" spans="1:11">
      <c r="A75" s="28"/>
      <c r="B75" s="29"/>
      <c r="C75" s="30" t="s">
        <v>130</v>
      </c>
      <c r="D75" s="31"/>
      <c r="E75" s="32"/>
      <c r="F75" s="33"/>
      <c r="G75" s="34"/>
      <c r="H75" s="34"/>
      <c r="I75" s="35"/>
      <c r="J75" s="35"/>
      <c r="K75" s="36"/>
    </row>
    <row r="76" spans="1:11">
      <c r="B76" s="1"/>
      <c r="C76" s="21" t="s">
        <v>131</v>
      </c>
      <c r="D76" s="31"/>
      <c r="E76" s="32"/>
      <c r="F76" s="33"/>
      <c r="G76" s="34">
        <v>-58.75</v>
      </c>
      <c r="H76" s="34">
        <v>-0.18</v>
      </c>
      <c r="I76" s="35"/>
      <c r="J76" s="35"/>
      <c r="K76" s="36"/>
    </row>
    <row r="77" spans="1:11">
      <c r="C77" s="30" t="s">
        <v>107</v>
      </c>
      <c r="D77" s="31"/>
      <c r="E77" s="32"/>
      <c r="F77" s="33"/>
      <c r="G77" s="38">
        <v>-58.75</v>
      </c>
      <c r="H77" s="38">
        <v>-0.18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 ht="14.4" thickBot="1">
      <c r="C79" s="39" t="s">
        <v>132</v>
      </c>
      <c r="D79" s="40"/>
      <c r="E79" s="41"/>
      <c r="F79" s="42"/>
      <c r="G79" s="43">
        <v>32276.17</v>
      </c>
      <c r="H79" s="43">
        <f>SUMIFS(H:H,C:C,"Total")</f>
        <v>100</v>
      </c>
      <c r="I79" s="44"/>
      <c r="J79" s="44"/>
      <c r="K79" s="45"/>
    </row>
    <row r="82" spans="3:55">
      <c r="C82" s="11" t="s">
        <v>133</v>
      </c>
    </row>
    <row r="83" spans="3:55">
      <c r="C83" s="2" t="s">
        <v>134</v>
      </c>
    </row>
    <row r="84" spans="3:55">
      <c r="C84" s="46" t="s">
        <v>135</v>
      </c>
    </row>
    <row r="85" spans="3:55">
      <c r="C85" s="2" t="s">
        <v>136</v>
      </c>
    </row>
    <row r="86" spans="3:55">
      <c r="C86" s="2" t="s">
        <v>137</v>
      </c>
    </row>
    <row r="87" spans="3:55">
      <c r="C87" s="2" t="s">
        <v>138</v>
      </c>
      <c r="D87" s="47"/>
      <c r="E87" s="47"/>
      <c r="F87" s="47"/>
      <c r="G87" s="48"/>
      <c r="H87" s="48"/>
    </row>
    <row r="88" spans="3:55">
      <c r="C88" s="2" t="s">
        <v>139</v>
      </c>
    </row>
    <row r="89" spans="3:55">
      <c r="C89" s="2" t="s">
        <v>140</v>
      </c>
    </row>
    <row r="90" spans="3:55">
      <c r="C90" s="2" t="s">
        <v>141</v>
      </c>
    </row>
    <row r="91" spans="3:55">
      <c r="C91" s="2" t="s">
        <v>142</v>
      </c>
    </row>
    <row r="92" spans="3:55" s="11" customFormat="1">
      <c r="C92" s="11" t="s">
        <v>143</v>
      </c>
      <c r="E92" s="11" t="s">
        <v>144</v>
      </c>
      <c r="F92" s="49" t="s">
        <v>145</v>
      </c>
      <c r="G92" s="50"/>
      <c r="H92" s="50"/>
      <c r="I92" s="50"/>
      <c r="J92" s="50"/>
      <c r="K92" s="51"/>
      <c r="L92" s="51"/>
      <c r="M92" s="51"/>
      <c r="AJ92" s="51"/>
      <c r="AW92" s="51"/>
      <c r="AY92" s="51"/>
      <c r="BC92" s="51"/>
    </row>
    <row r="93" spans="3:55">
      <c r="C93" s="2" t="s">
        <v>146</v>
      </c>
      <c r="E93" s="52">
        <v>12.324199999999999</v>
      </c>
      <c r="F93" s="53">
        <v>12.895899999999999</v>
      </c>
    </row>
    <row r="94" spans="3:55">
      <c r="C94" s="2" t="s">
        <v>147</v>
      </c>
      <c r="E94" s="52">
        <v>14.273199999999999</v>
      </c>
      <c r="F94" s="53">
        <v>14.9353</v>
      </c>
    </row>
    <row r="95" spans="3:55">
      <c r="C95" s="2" t="s">
        <v>148</v>
      </c>
      <c r="E95" s="52">
        <v>13.3482</v>
      </c>
      <c r="F95" s="53">
        <v>13.985300000000001</v>
      </c>
    </row>
    <row r="96" spans="3:55">
      <c r="C96" s="2" t="s">
        <v>149</v>
      </c>
      <c r="E96" s="52">
        <v>15.5022</v>
      </c>
      <c r="F96" s="53">
        <v>16.242100000000001</v>
      </c>
    </row>
    <row r="98" spans="3:11">
      <c r="C98" s="2" t="s">
        <v>150</v>
      </c>
    </row>
    <row r="100" spans="3:11">
      <c r="C100" s="2" t="s">
        <v>151</v>
      </c>
    </row>
    <row r="101" spans="3:11">
      <c r="C101" s="2" t="s">
        <v>152</v>
      </c>
    </row>
    <row r="102" spans="3:11">
      <c r="C102" s="2" t="s">
        <v>153</v>
      </c>
    </row>
    <row r="103" spans="3:11">
      <c r="C103" s="2" t="s">
        <v>154</v>
      </c>
    </row>
    <row r="104" spans="3:11">
      <c r="C104" s="2" t="s">
        <v>155</v>
      </c>
    </row>
    <row r="105" spans="3:11">
      <c r="C105" s="2" t="s">
        <v>156</v>
      </c>
    </row>
    <row r="106" spans="3:11">
      <c r="C106" s="2" t="s">
        <v>157</v>
      </c>
    </row>
    <row r="107" spans="3:11">
      <c r="C107" s="2" t="s">
        <v>158</v>
      </c>
    </row>
    <row r="108" spans="3:11">
      <c r="C108" s="2" t="s">
        <v>159</v>
      </c>
    </row>
    <row r="109" spans="3:11">
      <c r="C109" s="2" t="s">
        <v>160</v>
      </c>
    </row>
    <row r="110" spans="3:11">
      <c r="C110" s="2" t="s">
        <v>161</v>
      </c>
    </row>
    <row r="111" spans="3:11">
      <c r="C111" s="2" t="s">
        <v>162</v>
      </c>
    </row>
    <row r="112" spans="3:11" ht="14.4">
      <c r="C112" s="54"/>
      <c r="D112" s="54"/>
      <c r="E112" s="55"/>
      <c r="F112" s="55"/>
      <c r="G112" s="55"/>
      <c r="H112" s="55"/>
      <c r="I112" s="55"/>
      <c r="J112" s="55"/>
      <c r="K112" s="55"/>
    </row>
    <row r="113" spans="3:11" ht="14.4">
      <c r="C113" s="55"/>
      <c r="D113" s="55"/>
      <c r="E113" s="55"/>
      <c r="F113" s="55"/>
      <c r="G113" s="55"/>
      <c r="H113" s="55"/>
      <c r="I113" s="55"/>
      <c r="J113" s="55"/>
      <c r="K113" s="55"/>
    </row>
    <row r="114" spans="3:11" ht="14.4">
      <c r="C114" s="55"/>
      <c r="D114" s="55"/>
      <c r="E114" s="55"/>
      <c r="F114" s="55"/>
      <c r="G114" s="55"/>
      <c r="H114" s="55"/>
      <c r="I114" s="55"/>
      <c r="J114" s="55"/>
      <c r="K11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XDO_?CLASS_3?13?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XDO_?NAMCNAME?13?</vt:lpstr>
      <vt:lpstr>XDO_?NOVAL?61?</vt:lpstr>
      <vt:lpstr>XDO_?NOVAL?62?</vt:lpstr>
      <vt:lpstr>XDO_?NOVAL?63?</vt:lpstr>
      <vt:lpstr>XDO_?NPTF?13?</vt:lpstr>
      <vt:lpstr>XDO_?RATING?61?</vt:lpstr>
      <vt:lpstr>XDO_?RATING?62?</vt:lpstr>
      <vt:lpstr>XDO_?RATING?63?</vt:lpstr>
      <vt:lpstr>XDO_?REMARKS?61?</vt:lpstr>
      <vt:lpstr>XDO_?REMARKS?62?</vt:lpstr>
      <vt:lpstr>XDO_?REMARKS?63?</vt:lpstr>
      <vt:lpstr>XDO_?TITL?13?</vt:lpstr>
      <vt:lpstr>XDO_?YTM?61?</vt:lpstr>
      <vt:lpstr>XDO_?YTM?62?</vt:lpstr>
      <vt:lpstr>XDO_?YTM?63?</vt:lpstr>
      <vt:lpstr>XDO_GROUP_?G_2?13?</vt:lpstr>
      <vt:lpstr>XDO_GROUP_?G_3?13?</vt:lpstr>
      <vt:lpstr>XDO_GROUP_?G_4?61?</vt:lpstr>
      <vt:lpstr>XDO_GROUP_?G_4?62?</vt:lpstr>
      <vt:lpstr>XDO_GROUP_?G_4?63?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2023-05-05T11:12:23Z</dcterms:created>
  <dcterms:modified xsi:type="dcterms:W3CDTF">2023-05-06T07:55:13Z</dcterms:modified>
</cp:coreProperties>
</file>