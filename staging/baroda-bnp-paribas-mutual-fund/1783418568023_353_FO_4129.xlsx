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\Monthly_portfolio-30-Sept-2023\BOBBNPMF_Monthly portfolio_split Portfolio_30-09-2023\"/>
    </mc:Choice>
  </mc:AlternateContent>
  <bookViews>
    <workbookView xWindow="0" yWindow="0" windowWidth="23040" windowHeight="9072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3?">'Monthly Portfolio'!$C$8:$C$33</definedName>
    <definedName name="XDO_?FINAL_ISIN?66?">'Monthly Portfolio'!$D$10:$D$33</definedName>
    <definedName name="XDO_?FINAL_ISIN?67?">'Monthly Portfolio'!$D$10:$D$74</definedName>
    <definedName name="XDO_?FINAL_ISIN?68?">'Monthly Portfolio'!$D$10:$D$78</definedName>
    <definedName name="XDO_?FINAL_MV?66?">'Monthly Portfolio'!$G$10:$G$33</definedName>
    <definedName name="XDO_?FINAL_MV?67?">'Monthly Portfolio'!$G$10:$G$74</definedName>
    <definedName name="XDO_?FINAL_MV?68?">'Monthly Portfolio'!$G$10:$G$78</definedName>
    <definedName name="XDO_?FINAL_NAME?66?">'Monthly Portfolio'!$C$10:$C$33</definedName>
    <definedName name="XDO_?FINAL_NAME?67?">'Monthly Portfolio'!$C$10:$C$74</definedName>
    <definedName name="XDO_?FINAL_NAME?68?">'Monthly Portfolio'!$C$10:$C$78</definedName>
    <definedName name="XDO_?FINAL_PER_NET?66?">'Monthly Portfolio'!$H$10:$H$33</definedName>
    <definedName name="XDO_?FINAL_PER_NET?67?">'Monthly Portfolio'!$H$10:$H$74</definedName>
    <definedName name="XDO_?FINAL_PER_NET?68?">'Monthly Portfolio'!$H$10:$H$78</definedName>
    <definedName name="XDO_?FINAL_QUANTITE?66?">'Monthly Portfolio'!$F$10:$F$33</definedName>
    <definedName name="XDO_?FINAL_QUANTITE?67?">'Monthly Portfolio'!$F$10:$F$74</definedName>
    <definedName name="XDO_?FINAL_QUANTITE?68?">'Monthly Portfolio'!$F$10:$F$78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'Monthly Portfolio'!#REF!</definedName>
    <definedName name="XDO_?NAMC?14?">[1]IC!#REF!</definedName>
    <definedName name="XDO_?NAMC?15?">[1]FX!#REF!</definedName>
    <definedName name="XDO_?NAMC?16?">[1]MA!#REF!</definedName>
    <definedName name="XDO_?NAMC?17?">[1]VF!#REF!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3?">'Monthly Portfolio'!$C$2:$C$33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'Monthly Portfolio'!#REF!</definedName>
    <definedName name="XDO_?NDATE?14?">[1]IC!#REF!</definedName>
    <definedName name="XDO_?NDATE?15?">[1]FX!#REF!</definedName>
    <definedName name="XDO_?NDATE?16?">[1]MA!#REF!</definedName>
    <definedName name="XDO_?NDATE?17?">[1]VF!#REF!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'Monthly Portfolio'!#REF!</definedName>
    <definedName name="XDO_?NNPTF?14?">[1]IC!#REF!</definedName>
    <definedName name="XDO_?NNPTF?15?">[1]FX!#REF!</definedName>
    <definedName name="XDO_?NNPTF?16?">[1]MA!#REF!</definedName>
    <definedName name="XDO_?NNPTF?17?">[1]VF!#REF!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66?">'Monthly Portfolio'!$B$10:$B$33</definedName>
    <definedName name="XDO_?NOVAL?67?">'Monthly Portfolio'!$B$10:$B$74</definedName>
    <definedName name="XDO_?NOVAL?68?">'Monthly Portfolio'!$B$10:$B$78</definedName>
    <definedName name="XDO_?NPTF?13?">'Monthly Portfolio'!$D$2:$D$33</definedName>
    <definedName name="XDO_?RATING?66?">'Monthly Portfolio'!$E$10:$E$33</definedName>
    <definedName name="XDO_?RATING?67?">'Monthly Portfolio'!$E$10:$E$74</definedName>
    <definedName name="XDO_?RATING?68?">'Monthly Portfolio'!$E$10:$E$78</definedName>
    <definedName name="XDO_?REMARKS?66?">'Monthly Portfolio'!$K$10:$K$33</definedName>
    <definedName name="XDO_?REMARKS?67?">'Monthly Portfolio'!$K$10:$K$74</definedName>
    <definedName name="XDO_?REMARKS?68?">'Monthly Portfolio'!$K$10:$K$78</definedName>
    <definedName name="XDO_?TITL?13?">'Monthly Portfolio'!$A$8:$A$33</definedName>
    <definedName name="XDO_?YTM?66?">'Monthly Portfolio'!$I$10:$I$33</definedName>
    <definedName name="XDO_?YTM?67?">'Monthly Portfolio'!$I$10:$I$74</definedName>
    <definedName name="XDO_?YTM?68?">'Monthly Portfolio'!$I$10:$I$78</definedName>
    <definedName name="XDO_GROUP_?G_2?13?">'Monthly Portfolio'!$2:$44</definedName>
    <definedName name="XDO_GROUP_?G_3?13?">'Monthly Portfolio'!$8:$43</definedName>
    <definedName name="XDO_GROUP_?G_4?140?">[1]BM!#REF!</definedName>
    <definedName name="XDO_GROUP_?G_4?40?">[1]TA!#REF!</definedName>
    <definedName name="XDO_GROUP_?G_4?66?">'Monthly Portfolio'!$B$10:$IV$33</definedName>
    <definedName name="XDO_GROUP_?G_4?67?">'Monthly Portfolio'!$B$38:$IV$38</definedName>
    <definedName name="XDO_GROUP_?G_4?68?">'Monthly Portfolio'!$B$41:$IV$41</definedName>
    <definedName name="XDO_GROUP_?G_4?93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2" l="1"/>
  <c r="H81" i="1" l="1"/>
</calcChain>
</file>

<file path=xl/sharedStrings.xml><?xml version="1.0" encoding="utf-8"?>
<sst xmlns="http://schemas.openxmlformats.org/spreadsheetml/2006/main" count="432" uniqueCount="196">
  <si>
    <t>Baroda BNP Paribas Mutual Fund</t>
  </si>
  <si>
    <t>T0ME20</t>
  </si>
  <si>
    <t>SCHEME NAME :</t>
  </si>
  <si>
    <t xml:space="preserve">Baroda BNP Paribas Focused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</si>
  <si>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</si>
  <si>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</si>
  <si>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</si>
  <si>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</si>
  <si>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</si>
  <si>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</si>
  <si>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</si>
  <si>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</si>
  <si>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</si>
  <si>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</si>
  <si>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</si>
  <si>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</si>
  <si>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100005</t>
  </si>
  <si>
    <t>Larsen &amp; Toubro Ltd.</t>
  </si>
  <si>
    <t>INE018A01030</t>
  </si>
  <si>
    <t>Construction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</si>
  <si>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</si>
  <si>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</si>
  <si>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</si>
  <si>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</si>
  <si>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</si>
  <si>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</si>
  <si>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</si>
  <si>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101313</t>
  </si>
  <si>
    <t>Zomato Ltd.</t>
  </si>
  <si>
    <t>INE758T01015</t>
  </si>
  <si>
    <t>Retailing</t>
  </si>
  <si>
    <t>100843</t>
  </si>
  <si>
    <t>Dalmia Bharat Ltd.</t>
  </si>
  <si>
    <t>INE00R701025</t>
  </si>
  <si>
    <t>Cement &amp; Cement Products</t>
  </si>
  <si>
    <t>100147</t>
  </si>
  <si>
    <t>Tech Mahindra Ltd.</t>
  </si>
  <si>
    <t>INE669C01036</t>
  </si>
  <si>
    <t>IT - Software</t>
  </si>
  <si>
    <t>100024</t>
  </si>
  <si>
    <t>Axis Bank Ltd.</t>
  </si>
  <si>
    <t>INE238A01034</t>
  </si>
  <si>
    <t>100019</t>
  </si>
  <si>
    <t>ITC Ltd.</t>
  </si>
  <si>
    <t>INE154A01025</t>
  </si>
  <si>
    <t>Diversified FMCG</t>
  </si>
  <si>
    <t>100234</t>
  </si>
  <si>
    <t>Coforge Ltd.</t>
  </si>
  <si>
    <t>INE591G01017</t>
  </si>
  <si>
    <t>100036</t>
  </si>
  <si>
    <t>Mahindra &amp; Mahindra Financial Services Ltd.</t>
  </si>
  <si>
    <t>INE774D01024</t>
  </si>
  <si>
    <t>Finance</t>
  </si>
  <si>
    <t>100013</t>
  </si>
  <si>
    <t>IndusInd Bank Ltd.</t>
  </si>
  <si>
    <t>INE095A01012</t>
  </si>
  <si>
    <t>101889</t>
  </si>
  <si>
    <t>Jio Financial Services Ltd.</t>
  </si>
  <si>
    <t>INE758E01017</t>
  </si>
  <si>
    <t>101457</t>
  </si>
  <si>
    <t>Motherson Sumi Wiring India Ltd.</t>
  </si>
  <si>
    <t>INE0FS801015</t>
  </si>
  <si>
    <t>Auto Components</t>
  </si>
  <si>
    <t>101433</t>
  </si>
  <si>
    <t>Metro Brands Ltd.</t>
  </si>
  <si>
    <t>INE317I01021</t>
  </si>
  <si>
    <t>Consumer Durables</t>
  </si>
  <si>
    <t>100185</t>
  </si>
  <si>
    <t>Tata Power Company Ltd.</t>
  </si>
  <si>
    <t>INE245A01021</t>
  </si>
  <si>
    <t>Power</t>
  </si>
  <si>
    <t>100089</t>
  </si>
  <si>
    <t>Bharat Electronics Ltd.</t>
  </si>
  <si>
    <t>INE263A01024</t>
  </si>
  <si>
    <t>Aerospace &amp; Defense</t>
  </si>
  <si>
    <t>100127</t>
  </si>
  <si>
    <t>CG Power and Industrial Solutions Ltd.</t>
  </si>
  <si>
    <t>INE067A01029</t>
  </si>
  <si>
    <t>Electrical Equipment</t>
  </si>
  <si>
    <t>100242</t>
  </si>
  <si>
    <t>Schaeffler India Ltd.</t>
  </si>
  <si>
    <t>INE513A01022</t>
  </si>
  <si>
    <t>100665</t>
  </si>
  <si>
    <t>Aditya Birla Capital Ltd.</t>
  </si>
  <si>
    <t>INE674K01013</t>
  </si>
  <si>
    <t>100014</t>
  </si>
  <si>
    <t>Mahindra &amp; Mahindra Ltd.</t>
  </si>
  <si>
    <t>INE101A01026</t>
  </si>
  <si>
    <t>Automobiles</t>
  </si>
  <si>
    <t>100004</t>
  </si>
  <si>
    <t>Zydus Lifesciences Ltd.</t>
  </si>
  <si>
    <t>INE010B01027</t>
  </si>
  <si>
    <t>Pharmaceuticals &amp; Biotechnology</t>
  </si>
  <si>
    <t>100018</t>
  </si>
  <si>
    <t>Tata Communications Ltd.</t>
  </si>
  <si>
    <t>INE151A01013</t>
  </si>
  <si>
    <t>Telecom - Services</t>
  </si>
  <si>
    <t>100586</t>
  </si>
  <si>
    <t>Ratnamani Metals &amp; Tubes Ltd.</t>
  </si>
  <si>
    <t>INE703B01027</t>
  </si>
  <si>
    <t>Industrial Products</t>
  </si>
  <si>
    <t>100289</t>
  </si>
  <si>
    <t>Shoppers Stop Ltd.</t>
  </si>
  <si>
    <t>INE498B01024</t>
  </si>
  <si>
    <t>Total</t>
  </si>
  <si>
    <t>b) Unlisted</t>
  </si>
  <si>
    <t>NIL</t>
  </si>
  <si>
    <t>c) Foreign Securities and /or overseas ETF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</si>
  <si>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</si>
  <si>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</si>
  <si>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</si>
  <si>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</si>
  <si>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</si>
  <si>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</si>
  <si>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</si>
  <si>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</si>
  <si>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</si>
  <si>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</si>
  <si>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</si>
  <si>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</si>
  <si>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</si>
  <si>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</si>
  <si>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</si>
  <si>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</si>
  <si>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</si>
  <si>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</si>
  <si>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310230100</t>
  </si>
  <si>
    <t>TREPS 03-Oct-2023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</si>
  <si>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</si>
  <si>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</si>
  <si>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</si>
  <si>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</si>
  <si>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</si>
  <si>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</si>
  <si>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</si>
  <si>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</si>
  <si>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</si>
  <si>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</si>
  <si>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</si>
  <si>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</si>
  <si>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</si>
  <si>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</si>
  <si>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August 31, 2023</t>
  </si>
  <si>
    <t>As on September 29,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</si>
  <si>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</si>
  <si>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</si>
  <si>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</si>
  <si>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</si>
  <si>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September 30, 2023</t>
  </si>
  <si>
    <t>(9) There were no investments made in derivative instruments and no such derivative instrument was squared off/ expired /exercised during the Month ended September 30, 2023. Further there are no investments in derivative instruments as on September 30, 2023.</t>
  </si>
  <si>
    <t>(10) Total Market value of investments in Foreign Securities/American Depositary Receipts/Global Depositary Receipts as at  September 30, 2023 is Rs. Nil.</t>
  </si>
  <si>
    <t>(11)  During the period, the portfolio turnover ratio is  0.07 times.</t>
  </si>
  <si>
    <t>(12)  Details of repo transaction in corporate debt securities for the Month ended September 30, 2023 is Nil.</t>
  </si>
  <si>
    <t>(13)  Investments in debt instruments having structured obligations or credit enhancement features as at September 30, 2023 is Rs. Nil.</t>
  </si>
  <si>
    <t>(14) Investment in Partly paid Debentures during the Month ended  September 30, 2023 and as on  September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</si>
  <si>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</si>
  <si>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</si>
  <si>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</si>
  <si>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</si>
  <si>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</si>
  <si>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September 30, 2023 : Rs. Nil</t>
  </si>
  <si>
    <t>BARODA BNP PARIBAS FOCUSED FUND
An Open ended Equity Scheme investing in maximum 25 stocks across market capitalization (i.e. multi cap stocks)</t>
  </si>
  <si>
    <t>HALF YEARLY PORTFOLIO STATEMENT AS ON SEPTEMBER 30, 2023
(Pursuant to the provisions of Regulation 59A of the Securities and Exchange Board of India (Mutual Funds) Regulations, 1996)</t>
  </si>
  <si>
    <t xml:space="preserve">Hedging Positions through Futures as on September 30,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</si>
  <si>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</si>
  <si>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</si>
  <si>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</si>
  <si>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</si>
  <si>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</si>
  <si>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</si>
  <si>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</si>
  <si>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</si>
  <si>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Half year ended September 30, 2023 with regard to hedging transactions through futures which have already been squared off/expired specify:</t>
  </si>
  <si>
    <t>Total Number of contracts where futures were bought : 250</t>
  </si>
  <si>
    <t>Total Number of contracts where futures were sold :  250</t>
  </si>
  <si>
    <t>Gross Notional Value of contracts where futures were bought : 1,784.90  lacs</t>
  </si>
  <si>
    <t>Gross Notional Value of contracts where futures were sold: 1,783.67 lacs</t>
  </si>
  <si>
    <t>Net Profit/Loss on all contracts combined : -1.24 lacs</t>
  </si>
  <si>
    <t>Other than Hedging Positions through futures as on September 30, 2023:</t>
  </si>
  <si>
    <t>Number of Contracts</t>
  </si>
  <si>
    <t>Total Exposure through Futures(other than hedging positions) is 0.00% age of net assets</t>
  </si>
  <si>
    <t>For the Half year ended September 30, 2023 with regard to Other than hedging transactions through futures which have already been squared off/expired specify:</t>
  </si>
  <si>
    <t>Total Number of contracts where futures were bought : 300</t>
  </si>
  <si>
    <t>Total Number of contracts where futures were sold : 300</t>
  </si>
  <si>
    <t>Gross Notional Value of contracts where futures were bought : 2,922.76 lacs</t>
  </si>
  <si>
    <t>Gross Notional Value of contracts where futures were sold: 2,888.07 lacs</t>
  </si>
  <si>
    <t>Net Profit/Loss on all contracts combined : -34.69 lacs</t>
  </si>
  <si>
    <t xml:space="preserve">* Negative sign denotes Short position </t>
  </si>
  <si>
    <t>As on March 31, 2023</t>
  </si>
  <si>
    <t>(8) No Dividend declared during the Half Year ended September 30, 2023</t>
  </si>
  <si>
    <t>(9) There are no investments in derivative instruments as on September 30, 2023.</t>
  </si>
  <si>
    <t>(11)  During the period, the portfolio turnover ratio is  0.70 times.</t>
  </si>
  <si>
    <t>(12)  Details of repo transaction in corporate debt securities for the Half Year ended September 30, 2023 is Nil.</t>
  </si>
  <si>
    <t>(14) Investment in Partly paid Debentures during the Half Year ended  September 30, 2023 and as on  September 30, 2023 is Rs. Nil.</t>
  </si>
  <si>
    <t>during the Half Year there were no cases of deviation from valuation agency price</t>
  </si>
  <si>
    <t>(16) Transactions in Credit Default Swaps during the Half Year ended  September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</si>
</sst>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0" fontId="14" fillId="6" borderId="0" xfId="0" applyFont="1" applyFill="1"/>
    <xf numFmtId="0" fontId="15" fillId="3" borderId="0" xfId="0" applyFont="1" applyFill="1"/>
    <xf numFmtId="4" fontId="15" fillId="3" borderId="0" xfId="0" applyNumberFormat="1" applyFont="1" applyFill="1"/>
    <xf numFmtId="0" fontId="14" fillId="6" borderId="13" xfId="0" applyFont="1" applyFill="1" applyBorder="1"/>
    <xf numFmtId="0" fontId="14" fillId="0" borderId="13" xfId="0" applyFont="1" applyBorder="1" applyAlignment="1">
      <alignment horizontal="right"/>
    </xf>
    <xf numFmtId="0" fontId="14" fillId="6" borderId="13" xfId="0" applyFont="1" applyFill="1" applyBorder="1" applyAlignment="1">
      <alignment horizontal="right"/>
    </xf>
    <xf numFmtId="164" fontId="15" fillId="3" borderId="0" xfId="1" applyFont="1" applyFill="1"/>
    <xf numFmtId="0" fontId="16" fillId="3" borderId="0" xfId="0" applyFont="1" applyFill="1"/>
    <xf numFmtId="0" fontId="17" fillId="6" borderId="0" xfId="0" applyFont="1" applyFill="1"/>
    <xf numFmtId="0" fontId="17" fillId="0" borderId="0" xfId="0" applyFont="1"/>
    <xf numFmtId="164" fontId="15" fillId="3" borderId="0" xfId="0" applyNumberFormat="1" applyFont="1" applyFill="1"/>
    <xf numFmtId="0" fontId="18" fillId="6" borderId="0" xfId="0" applyFont="1" applyFill="1"/>
    <xf numFmtId="4" fontId="14" fillId="6" borderId="0" xfId="0" applyNumberFormat="1" applyFont="1" applyFill="1"/>
    <xf numFmtId="0" fontId="14" fillId="6" borderId="31" xfId="0" applyFont="1" applyFill="1" applyBorder="1"/>
    <xf numFmtId="0" fontId="14" fillId="6" borderId="31" xfId="0" applyFont="1" applyFill="1" applyBorder="1" applyAlignment="1">
      <alignment horizontal="right"/>
    </xf>
    <xf numFmtId="0" fontId="14" fillId="6" borderId="0" xfId="0" applyFont="1" applyFill="1" applyAlignment="1">
      <alignment horizontal="center"/>
    </xf>
    <xf numFmtId="164" fontId="14" fillId="6" borderId="0" xfId="1" applyFont="1" applyFill="1" applyBorder="1" applyAlignment="1">
      <alignment horizontal="center"/>
    </xf>
    <xf numFmtId="164" fontId="14" fillId="6" borderId="0" xfId="1" applyFont="1" applyFill="1" applyAlignment="1">
      <alignment horizontal="center"/>
    </xf>
    <xf numFmtId="0" fontId="14" fillId="0" borderId="0" xfId="0" applyFont="1"/>
    <xf numFmtId="0" fontId="13" fillId="4" borderId="19" xfId="0" applyFont="1" applyFill="1" applyBorder="1" applyAlignment="1">
      <alignment horizontal="center" wrapText="1"/>
    </xf>
    <xf numFmtId="0" fontId="13" fillId="4" borderId="20" xfId="0" applyFont="1" applyFill="1" applyBorder="1" applyAlignment="1">
      <alignment horizontal="center" wrapText="1"/>
    </xf>
    <xf numFmtId="0" fontId="13" fillId="4" borderId="21" xfId="0" applyFont="1" applyFill="1" applyBorder="1" applyAlignment="1">
      <alignment horizontal="center" wrapText="1"/>
    </xf>
    <xf numFmtId="0" fontId="13" fillId="4" borderId="22" xfId="0" applyFont="1" applyFill="1" applyBorder="1" applyAlignment="1">
      <alignment horizontal="center" wrapText="1"/>
    </xf>
    <xf numFmtId="0" fontId="13" fillId="4" borderId="23" xfId="0" applyFont="1" applyFill="1" applyBorder="1" applyAlignment="1">
      <alignment horizontal="center" wrapText="1"/>
    </xf>
    <xf numFmtId="0" fontId="13" fillId="4" borderId="24" xfId="0" applyFont="1" applyFill="1" applyBorder="1" applyAlignment="1">
      <alignment horizontal="center" wrapText="1"/>
    </xf>
    <xf numFmtId="0" fontId="13" fillId="5" borderId="25" xfId="0" applyFont="1" applyFill="1" applyBorder="1" applyAlignment="1">
      <alignment horizontal="center" wrapText="1"/>
    </xf>
    <xf numFmtId="0" fontId="13" fillId="5" borderId="26" xfId="0" applyFont="1" applyFill="1" applyBorder="1" applyAlignment="1">
      <alignment horizontal="center" wrapText="1"/>
    </xf>
    <xf numFmtId="0" fontId="13" fillId="5" borderId="27" xfId="0" applyFont="1" applyFill="1" applyBorder="1" applyAlignment="1">
      <alignment horizontal="center" wrapText="1"/>
    </xf>
    <xf numFmtId="0" fontId="14" fillId="6" borderId="28" xfId="0" applyFont="1" applyFill="1" applyBorder="1" applyAlignment="1">
      <alignment horizontal="center"/>
    </xf>
    <xf numFmtId="0" fontId="14" fillId="6" borderId="29" xfId="0" applyFont="1" applyFill="1" applyBorder="1" applyAlignment="1">
      <alignment horizontal="center"/>
    </xf>
    <xf numFmtId="0" fontId="14" fillId="6" borderId="30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5</xdr:col>
      <xdr:colOff>504275</xdr:colOff>
      <xdr:row>129</xdr:row>
      <xdr:rowOff>126322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565533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5</xdr:col>
      <xdr:colOff>504275</xdr:colOff>
      <xdr:row>163</xdr:row>
      <xdr:rowOff>126322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0284440"/>
          <a:ext cx="7453715" cy="27704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September%202023\Month%20end%2030%20September%202023\Split%20Portfolio\BOBBNPMF_Monthly%20portfolio%2030-09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6"/>
  <sheetViews>
    <sheetView showGridLines="0" tabSelected="1" zoomScale="90" zoomScaleNormal="90" workbookViewId="0">
      <pane ySplit="6" topLeftCell="A111" activePane="bottomLeft" state="frozen"/>
      <selection activeCell="I2" sqref="I2"/>
      <selection pane="bottomLeft" activeCell="H123" sqref="H12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45199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103838</v>
      </c>
      <c r="G10" s="34">
        <v>3139.59</v>
      </c>
      <c r="H10" s="34">
        <v>7.2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275000</v>
      </c>
      <c r="G11" s="34">
        <v>2617.73</v>
      </c>
      <c r="H11" s="34">
        <v>6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23</v>
      </c>
      <c r="F12" s="33">
        <v>150000</v>
      </c>
      <c r="G12" s="34">
        <v>2289.4499999999998</v>
      </c>
      <c r="H12" s="34">
        <v>5.25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2250000</v>
      </c>
      <c r="G13" s="34">
        <v>2283.75</v>
      </c>
      <c r="H13" s="34">
        <v>5.23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90000</v>
      </c>
      <c r="G14" s="34">
        <v>2163.92</v>
      </c>
      <c r="H14" s="34">
        <v>4.96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175000</v>
      </c>
      <c r="G15" s="34">
        <v>2139.9</v>
      </c>
      <c r="H15" s="34">
        <v>4.9000000000000004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23</v>
      </c>
      <c r="F16" s="33">
        <v>200000</v>
      </c>
      <c r="G16" s="34">
        <v>2073.4</v>
      </c>
      <c r="H16" s="34">
        <v>4.75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450000</v>
      </c>
      <c r="G17" s="34">
        <v>1999.8</v>
      </c>
      <c r="H17" s="34">
        <v>4.58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38</v>
      </c>
      <c r="F18" s="33">
        <v>34500</v>
      </c>
      <c r="G18" s="34">
        <v>1761.04</v>
      </c>
      <c r="H18" s="34">
        <v>4.04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575000</v>
      </c>
      <c r="G19" s="34">
        <v>1732.76</v>
      </c>
      <c r="H19" s="34">
        <v>3.97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23</v>
      </c>
      <c r="F20" s="33">
        <v>120000</v>
      </c>
      <c r="G20" s="34">
        <v>1714.62</v>
      </c>
      <c r="H20" s="34">
        <v>3.93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52</v>
      </c>
      <c r="F21" s="33">
        <v>700000</v>
      </c>
      <c r="G21" s="34">
        <v>1618.4</v>
      </c>
      <c r="H21" s="34">
        <v>3.71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62</v>
      </c>
      <c r="F22" s="33">
        <v>2500000</v>
      </c>
      <c r="G22" s="34">
        <v>1611.25</v>
      </c>
      <c r="H22" s="34">
        <v>3.69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140000</v>
      </c>
      <c r="G23" s="34">
        <v>1576.75</v>
      </c>
      <c r="H23" s="34">
        <v>3.61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600000</v>
      </c>
      <c r="G24" s="34">
        <v>1573.8</v>
      </c>
      <c r="H24" s="34">
        <v>3.61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1000000</v>
      </c>
      <c r="G25" s="34">
        <v>1383</v>
      </c>
      <c r="H25" s="34">
        <v>3.17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300000</v>
      </c>
      <c r="G26" s="34">
        <v>1326.6</v>
      </c>
      <c r="H26" s="34">
        <v>3.04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62</v>
      </c>
      <c r="F27" s="33">
        <v>40000</v>
      </c>
      <c r="G27" s="34">
        <v>1325.96</v>
      </c>
      <c r="H27" s="34">
        <v>3.04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52</v>
      </c>
      <c r="F28" s="33">
        <v>700000</v>
      </c>
      <c r="G28" s="34">
        <v>1259.6500000000001</v>
      </c>
      <c r="H28" s="34">
        <v>2.89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88</v>
      </c>
      <c r="F29" s="33">
        <v>80000</v>
      </c>
      <c r="G29" s="34">
        <v>1243.4000000000001</v>
      </c>
      <c r="H29" s="34">
        <v>2.85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200000</v>
      </c>
      <c r="G30" s="34">
        <v>1230</v>
      </c>
      <c r="H30" s="34">
        <v>2.82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60000</v>
      </c>
      <c r="G31" s="34">
        <v>1159.6500000000001</v>
      </c>
      <c r="H31" s="34">
        <v>2.66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42000</v>
      </c>
      <c r="G32" s="34">
        <v>1092.32</v>
      </c>
      <c r="H32" s="34">
        <v>2.5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30</v>
      </c>
      <c r="F33" s="33">
        <v>128877</v>
      </c>
      <c r="G33" s="34">
        <v>883.19</v>
      </c>
      <c r="H33" s="34">
        <v>2.02</v>
      </c>
      <c r="I33" s="35"/>
      <c r="J33" s="35"/>
      <c r="K33" s="36"/>
    </row>
    <row r="34" spans="2:11" x14ac:dyDescent="0.3">
      <c r="C34" s="30" t="s">
        <v>104</v>
      </c>
      <c r="D34" s="31"/>
      <c r="E34" s="32"/>
      <c r="F34" s="33"/>
      <c r="G34" s="38">
        <v>41199.93</v>
      </c>
      <c r="H34" s="38">
        <v>94.42</v>
      </c>
      <c r="I34" s="35"/>
      <c r="J34" s="35"/>
      <c r="K34" s="36"/>
    </row>
    <row r="35" spans="2:11" x14ac:dyDescent="0.3">
      <c r="C35" s="21"/>
      <c r="D35" s="31"/>
      <c r="E35" s="32"/>
      <c r="F35" s="33"/>
      <c r="G35" s="34"/>
      <c r="H35" s="34"/>
      <c r="I35" s="35"/>
      <c r="J35" s="35"/>
      <c r="K35" s="36"/>
    </row>
    <row r="36" spans="2:11" x14ac:dyDescent="0.3">
      <c r="C36" s="30" t="s">
        <v>105</v>
      </c>
      <c r="D36" s="31"/>
      <c r="E36" s="32"/>
      <c r="F36" s="33"/>
      <c r="G36" s="34" t="s">
        <v>106</v>
      </c>
      <c r="H36" s="34" t="s">
        <v>106</v>
      </c>
      <c r="I36" s="35"/>
      <c r="J36" s="35"/>
      <c r="K36" s="36"/>
    </row>
    <row r="37" spans="2:11" x14ac:dyDescent="0.3">
      <c r="C37" s="21"/>
      <c r="D37" s="31"/>
      <c r="E37" s="32"/>
      <c r="F37" s="33"/>
      <c r="G37" s="34"/>
      <c r="H37" s="34"/>
      <c r="I37" s="35"/>
      <c r="J37" s="35"/>
      <c r="K37" s="36"/>
    </row>
    <row r="38" spans="2:11" x14ac:dyDescent="0.3">
      <c r="C38" s="30" t="s">
        <v>107</v>
      </c>
      <c r="D38" s="31"/>
      <c r="E38" s="32"/>
      <c r="F38" s="33"/>
      <c r="G38" s="34" t="s">
        <v>106</v>
      </c>
      <c r="H38" s="34" t="s">
        <v>106</v>
      </c>
      <c r="I38" s="35"/>
      <c r="J38" s="35"/>
      <c r="K38" s="36"/>
    </row>
    <row r="39" spans="2:11" x14ac:dyDescent="0.3">
      <c r="C39" s="21"/>
      <c r="D39" s="31"/>
      <c r="E39" s="32"/>
      <c r="F39" s="33"/>
      <c r="G39" s="34"/>
      <c r="H39" s="34"/>
      <c r="I39" s="35"/>
      <c r="J39" s="35"/>
      <c r="K39" s="36"/>
    </row>
    <row r="40" spans="2:11" x14ac:dyDescent="0.3">
      <c r="C40" s="30" t="s">
        <v>108</v>
      </c>
      <c r="D40" s="31"/>
      <c r="E40" s="32"/>
      <c r="F40" s="33"/>
      <c r="G40" s="34" t="s">
        <v>106</v>
      </c>
      <c r="H40" s="34" t="s">
        <v>106</v>
      </c>
      <c r="I40" s="35"/>
      <c r="J40" s="35"/>
      <c r="K40" s="36"/>
    </row>
    <row r="41" spans="2:11" x14ac:dyDescent="0.3">
      <c r="C41" s="21"/>
      <c r="D41" s="31"/>
      <c r="E41" s="32"/>
      <c r="F41" s="33"/>
      <c r="G41" s="34"/>
      <c r="H41" s="34"/>
      <c r="I41" s="35"/>
      <c r="J41" s="35"/>
      <c r="K41" s="36"/>
    </row>
    <row r="42" spans="2:11" x14ac:dyDescent="0.3">
      <c r="C42" s="30" t="s">
        <v>109</v>
      </c>
      <c r="D42" s="31"/>
      <c r="E42" s="32"/>
      <c r="F42" s="33"/>
      <c r="G42" s="34"/>
      <c r="H42" s="34"/>
      <c r="I42" s="35"/>
      <c r="J42" s="35"/>
      <c r="K42" s="36"/>
    </row>
    <row r="43" spans="2:11" x14ac:dyDescent="0.3">
      <c r="C43" s="21"/>
      <c r="D43" s="31"/>
      <c r="E43" s="32"/>
      <c r="F43" s="33"/>
      <c r="G43" s="34"/>
      <c r="H43" s="34"/>
      <c r="I43" s="35"/>
      <c r="J43" s="35"/>
      <c r="K43" s="36"/>
    </row>
    <row r="44" spans="2:11" x14ac:dyDescent="0.3">
      <c r="C44" s="30" t="s">
        <v>110</v>
      </c>
      <c r="D44" s="31"/>
      <c r="E44" s="32"/>
      <c r="F44" s="33"/>
      <c r="G44" s="34" t="s">
        <v>106</v>
      </c>
      <c r="H44" s="34" t="s">
        <v>106</v>
      </c>
      <c r="I44" s="35"/>
      <c r="J44" s="35"/>
      <c r="K44" s="36"/>
    </row>
    <row r="45" spans="2:11" x14ac:dyDescent="0.3">
      <c r="C45" s="21"/>
      <c r="D45" s="31"/>
      <c r="E45" s="32"/>
      <c r="F45" s="33"/>
      <c r="G45" s="34"/>
      <c r="H45" s="34"/>
      <c r="I45" s="35"/>
      <c r="J45" s="35"/>
      <c r="K45" s="36"/>
    </row>
    <row r="46" spans="2:11" x14ac:dyDescent="0.3">
      <c r="C46" s="30" t="s">
        <v>111</v>
      </c>
      <c r="D46" s="31"/>
      <c r="E46" s="32"/>
      <c r="F46" s="33"/>
      <c r="G46" s="34" t="s">
        <v>106</v>
      </c>
      <c r="H46" s="34" t="s">
        <v>106</v>
      </c>
      <c r="I46" s="35"/>
      <c r="J46" s="35"/>
      <c r="K46" s="36"/>
    </row>
    <row r="47" spans="2:11" x14ac:dyDescent="0.3">
      <c r="C47" s="21"/>
      <c r="D47" s="31"/>
      <c r="E47" s="32"/>
      <c r="F47" s="33"/>
      <c r="G47" s="34"/>
      <c r="H47" s="34"/>
      <c r="I47" s="35"/>
      <c r="J47" s="35"/>
      <c r="K47" s="36"/>
    </row>
    <row r="48" spans="2:11" x14ac:dyDescent="0.3">
      <c r="C48" s="30" t="s">
        <v>112</v>
      </c>
      <c r="D48" s="31"/>
      <c r="E48" s="32"/>
      <c r="F48" s="33"/>
      <c r="G48" s="34" t="s">
        <v>106</v>
      </c>
      <c r="H48" s="34" t="s">
        <v>106</v>
      </c>
      <c r="I48" s="35"/>
      <c r="J48" s="35"/>
      <c r="K48" s="36"/>
    </row>
    <row r="49" spans="1:11" x14ac:dyDescent="0.3">
      <c r="C49" s="21"/>
      <c r="D49" s="31"/>
      <c r="E49" s="32"/>
      <c r="F49" s="33"/>
      <c r="G49" s="34"/>
      <c r="H49" s="34"/>
      <c r="I49" s="35"/>
      <c r="J49" s="35"/>
      <c r="K49" s="36"/>
    </row>
    <row r="50" spans="1:11" x14ac:dyDescent="0.3">
      <c r="C50" s="30" t="s">
        <v>113</v>
      </c>
      <c r="D50" s="31"/>
      <c r="E50" s="32"/>
      <c r="F50" s="33"/>
      <c r="G50" s="34" t="s">
        <v>106</v>
      </c>
      <c r="H50" s="34" t="s">
        <v>106</v>
      </c>
      <c r="I50" s="35"/>
      <c r="J50" s="35"/>
      <c r="K50" s="36"/>
    </row>
    <row r="51" spans="1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C52" s="30" t="s">
        <v>114</v>
      </c>
      <c r="D52" s="31"/>
      <c r="E52" s="32"/>
      <c r="F52" s="33"/>
      <c r="G52" s="34" t="s">
        <v>106</v>
      </c>
      <c r="H52" s="34" t="s">
        <v>106</v>
      </c>
      <c r="I52" s="35"/>
      <c r="J52" s="35"/>
      <c r="K52" s="36"/>
    </row>
    <row r="53" spans="1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C54" s="30" t="s">
        <v>115</v>
      </c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1:11" x14ac:dyDescent="0.3">
      <c r="C56" s="30" t="s">
        <v>116</v>
      </c>
      <c r="D56" s="31"/>
      <c r="E56" s="32"/>
      <c r="F56" s="33"/>
      <c r="G56" s="34" t="s">
        <v>106</v>
      </c>
      <c r="H56" s="34" t="s">
        <v>106</v>
      </c>
      <c r="I56" s="35"/>
      <c r="J56" s="35"/>
      <c r="K56" s="36"/>
    </row>
    <row r="57" spans="1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1:11" x14ac:dyDescent="0.3">
      <c r="C58" s="30" t="s">
        <v>117</v>
      </c>
      <c r="D58" s="31"/>
      <c r="E58" s="32"/>
      <c r="F58" s="33"/>
      <c r="G58" s="34" t="s">
        <v>106</v>
      </c>
      <c r="H58" s="34" t="s">
        <v>106</v>
      </c>
      <c r="I58" s="35"/>
      <c r="J58" s="35"/>
      <c r="K58" s="36"/>
    </row>
    <row r="59" spans="1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1:11" x14ac:dyDescent="0.3">
      <c r="C60" s="30" t="s">
        <v>118</v>
      </c>
      <c r="D60" s="31"/>
      <c r="E60" s="32"/>
      <c r="F60" s="33"/>
      <c r="G60" s="34" t="s">
        <v>106</v>
      </c>
      <c r="H60" s="34" t="s">
        <v>106</v>
      </c>
      <c r="I60" s="35"/>
      <c r="J60" s="35"/>
      <c r="K60" s="36"/>
    </row>
    <row r="61" spans="1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1:11" x14ac:dyDescent="0.3">
      <c r="C62" s="30" t="s">
        <v>119</v>
      </c>
      <c r="D62" s="31"/>
      <c r="E62" s="32"/>
      <c r="F62" s="33"/>
      <c r="G62" s="34" t="s">
        <v>106</v>
      </c>
      <c r="H62" s="34" t="s">
        <v>106</v>
      </c>
      <c r="I62" s="35"/>
      <c r="J62" s="35"/>
      <c r="K62" s="36"/>
    </row>
    <row r="63" spans="1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1:11" x14ac:dyDescent="0.3">
      <c r="A64" s="28"/>
      <c r="B64" s="29"/>
      <c r="C64" s="30" t="s">
        <v>120</v>
      </c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A65" s="29"/>
      <c r="B65" s="29"/>
      <c r="C65" s="30" t="s">
        <v>121</v>
      </c>
      <c r="D65" s="31"/>
      <c r="E65" s="32"/>
      <c r="F65" s="33"/>
      <c r="G65" s="34" t="s">
        <v>106</v>
      </c>
      <c r="H65" s="34" t="s">
        <v>106</v>
      </c>
      <c r="I65" s="35"/>
      <c r="J65" s="35"/>
      <c r="K65" s="36"/>
    </row>
    <row r="66" spans="1:11" x14ac:dyDescent="0.3">
      <c r="A66" s="29"/>
      <c r="B66" s="29"/>
      <c r="C66" s="30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A67" s="29"/>
      <c r="B67" s="29"/>
      <c r="C67" s="30" t="s">
        <v>122</v>
      </c>
      <c r="D67" s="31"/>
      <c r="E67" s="32"/>
      <c r="F67" s="33"/>
      <c r="G67" s="34" t="s">
        <v>106</v>
      </c>
      <c r="H67" s="34" t="s">
        <v>106</v>
      </c>
      <c r="I67" s="35"/>
      <c r="J67" s="35"/>
      <c r="K67" s="36"/>
    </row>
    <row r="68" spans="1:11" x14ac:dyDescent="0.3">
      <c r="A68" s="29"/>
      <c r="B68" s="29"/>
      <c r="C68" s="30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9"/>
      <c r="B69" s="29"/>
      <c r="C69" s="30" t="s">
        <v>123</v>
      </c>
      <c r="D69" s="31"/>
      <c r="E69" s="32"/>
      <c r="F69" s="33"/>
      <c r="G69" s="34" t="s">
        <v>106</v>
      </c>
      <c r="H69" s="34" t="s">
        <v>106</v>
      </c>
      <c r="I69" s="35"/>
      <c r="J69" s="35"/>
      <c r="K69" s="36"/>
    </row>
    <row r="70" spans="1:11" x14ac:dyDescent="0.3">
      <c r="A70" s="29"/>
      <c r="B70" s="29"/>
      <c r="C70" s="30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A71" s="29"/>
      <c r="B71" s="29"/>
      <c r="C71" s="30" t="s">
        <v>124</v>
      </c>
      <c r="D71" s="31"/>
      <c r="E71" s="32"/>
      <c r="F71" s="33"/>
      <c r="G71" s="34" t="s">
        <v>106</v>
      </c>
      <c r="H71" s="34" t="s">
        <v>106</v>
      </c>
      <c r="I71" s="35"/>
      <c r="J71" s="35"/>
      <c r="K71" s="36"/>
    </row>
    <row r="72" spans="1:11" x14ac:dyDescent="0.3">
      <c r="A72" s="29"/>
      <c r="B72" s="29"/>
      <c r="C72" s="30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7" t="s">
        <v>125</v>
      </c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B74" s="1" t="s">
        <v>126</v>
      </c>
      <c r="C74" s="21" t="s">
        <v>127</v>
      </c>
      <c r="D74" s="31"/>
      <c r="E74" s="32"/>
      <c r="F74" s="33"/>
      <c r="G74" s="34">
        <v>2464.75</v>
      </c>
      <c r="H74" s="34">
        <v>5.65</v>
      </c>
      <c r="I74" s="35">
        <v>6.79</v>
      </c>
      <c r="J74" s="35"/>
      <c r="K74" s="36"/>
    </row>
    <row r="75" spans="1:11" x14ac:dyDescent="0.3">
      <c r="C75" s="30" t="s">
        <v>104</v>
      </c>
      <c r="D75" s="31"/>
      <c r="E75" s="32"/>
      <c r="F75" s="33"/>
      <c r="G75" s="38">
        <v>2464.75</v>
      </c>
      <c r="H75" s="38">
        <v>5.65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A77" s="28"/>
      <c r="B77" s="29"/>
      <c r="C77" s="30" t="s">
        <v>128</v>
      </c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B78" s="1"/>
      <c r="C78" s="21" t="s">
        <v>129</v>
      </c>
      <c r="D78" s="31"/>
      <c r="E78" s="32"/>
      <c r="F78" s="33"/>
      <c r="G78" s="34">
        <v>-36.94</v>
      </c>
      <c r="H78" s="34">
        <v>-7.0000000000000007E-2</v>
      </c>
      <c r="I78" s="35"/>
      <c r="J78" s="35"/>
      <c r="K78" s="36"/>
    </row>
    <row r="79" spans="1:11" x14ac:dyDescent="0.3">
      <c r="C79" s="30" t="s">
        <v>104</v>
      </c>
      <c r="D79" s="31"/>
      <c r="E79" s="32"/>
      <c r="F79" s="33"/>
      <c r="G79" s="38">
        <v>-36.94</v>
      </c>
      <c r="H79" s="38">
        <v>-7.0000000000000007E-2</v>
      </c>
      <c r="I79" s="35"/>
      <c r="J79" s="35"/>
      <c r="K79" s="36"/>
    </row>
    <row r="80" spans="1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3:55" ht="14.4" thickBot="1" x14ac:dyDescent="0.35">
      <c r="C81" s="39" t="s">
        <v>130</v>
      </c>
      <c r="D81" s="40"/>
      <c r="E81" s="41"/>
      <c r="F81" s="42"/>
      <c r="G81" s="43">
        <v>43627.74</v>
      </c>
      <c r="H81" s="43">
        <f>SUMIFS(H:H,C:C,"Total")</f>
        <v>100.00000000000001</v>
      </c>
      <c r="I81" s="44"/>
      <c r="J81" s="44"/>
      <c r="K81" s="45"/>
    </row>
    <row r="84" spans="3:55" x14ac:dyDescent="0.3">
      <c r="C84" s="11" t="s">
        <v>131</v>
      </c>
    </row>
    <row r="85" spans="3:55" x14ac:dyDescent="0.3">
      <c r="C85" s="2" t="s">
        <v>132</v>
      </c>
    </row>
    <row r="86" spans="3:55" x14ac:dyDescent="0.3">
      <c r="C86" s="46" t="s">
        <v>133</v>
      </c>
    </row>
    <row r="87" spans="3:55" x14ac:dyDescent="0.3">
      <c r="C87" s="2" t="s">
        <v>134</v>
      </c>
    </row>
    <row r="88" spans="3:55" x14ac:dyDescent="0.3">
      <c r="C88" s="2" t="s">
        <v>135</v>
      </c>
    </row>
    <row r="89" spans="3:55" x14ac:dyDescent="0.3">
      <c r="C89" s="2" t="s">
        <v>136</v>
      </c>
      <c r="D89" s="47"/>
      <c r="E89" s="47"/>
      <c r="F89" s="47"/>
      <c r="G89" s="48"/>
      <c r="H89" s="48"/>
    </row>
    <row r="90" spans="3:55" x14ac:dyDescent="0.3">
      <c r="C90" s="2" t="s">
        <v>137</v>
      </c>
    </row>
    <row r="91" spans="3:55" x14ac:dyDescent="0.3">
      <c r="C91" s="2" t="s">
        <v>138</v>
      </c>
    </row>
    <row r="92" spans="3:55" x14ac:dyDescent="0.3">
      <c r="C92" s="2" t="s">
        <v>139</v>
      </c>
    </row>
    <row r="93" spans="3:55" x14ac:dyDescent="0.3">
      <c r="C93" s="2" t="s">
        <v>140</v>
      </c>
    </row>
    <row r="94" spans="3:55" s="11" customFormat="1" x14ac:dyDescent="0.3">
      <c r="C94" s="11" t="s">
        <v>141</v>
      </c>
      <c r="E94" s="11" t="s">
        <v>142</v>
      </c>
      <c r="F94" s="49" t="s">
        <v>143</v>
      </c>
      <c r="G94" s="50"/>
      <c r="H94" s="50"/>
      <c r="I94" s="50"/>
      <c r="J94" s="50"/>
      <c r="K94" s="51"/>
      <c r="L94" s="51"/>
      <c r="M94" s="51"/>
      <c r="AJ94" s="51"/>
      <c r="AW94" s="51"/>
      <c r="AY94" s="51"/>
      <c r="BC94" s="51"/>
    </row>
    <row r="95" spans="3:55" x14ac:dyDescent="0.3">
      <c r="C95" s="2" t="s">
        <v>144</v>
      </c>
      <c r="E95" s="52">
        <v>14.394500000000001</v>
      </c>
      <c r="F95" s="53">
        <v>14.7438</v>
      </c>
    </row>
    <row r="96" spans="3:55" x14ac:dyDescent="0.3">
      <c r="C96" s="2" t="s">
        <v>145</v>
      </c>
      <c r="E96" s="52">
        <v>16.6709</v>
      </c>
      <c r="F96" s="53">
        <v>17.075399999999998</v>
      </c>
    </row>
    <row r="97" spans="3:6" x14ac:dyDescent="0.3">
      <c r="C97" s="2" t="s">
        <v>146</v>
      </c>
      <c r="E97" s="52">
        <v>15.712400000000001</v>
      </c>
      <c r="F97" s="53">
        <v>16.116599999999998</v>
      </c>
    </row>
    <row r="98" spans="3:6" x14ac:dyDescent="0.3">
      <c r="C98" s="2" t="s">
        <v>147</v>
      </c>
      <c r="E98" s="52">
        <v>18.248000000000001</v>
      </c>
      <c r="F98" s="53">
        <v>18.717400000000001</v>
      </c>
    </row>
    <row r="100" spans="3:6" x14ac:dyDescent="0.3">
      <c r="C100" s="2" t="s">
        <v>148</v>
      </c>
    </row>
    <row r="102" spans="3:6" x14ac:dyDescent="0.3">
      <c r="C102" s="2" t="s">
        <v>149</v>
      </c>
    </row>
    <row r="103" spans="3:6" x14ac:dyDescent="0.3">
      <c r="C103" s="2" t="s">
        <v>150</v>
      </c>
    </row>
    <row r="104" spans="3:6" x14ac:dyDescent="0.3">
      <c r="C104" s="2" t="s">
        <v>151</v>
      </c>
    </row>
    <row r="105" spans="3:6" x14ac:dyDescent="0.3">
      <c r="C105" s="2" t="s">
        <v>152</v>
      </c>
    </row>
    <row r="106" spans="3:6" x14ac:dyDescent="0.3">
      <c r="C106" s="2" t="s">
        <v>153</v>
      </c>
    </row>
    <row r="107" spans="3:6" x14ac:dyDescent="0.3">
      <c r="C107" s="2" t="s">
        <v>154</v>
      </c>
    </row>
    <row r="108" spans="3:6" x14ac:dyDescent="0.3">
      <c r="C108" s="2" t="s">
        <v>155</v>
      </c>
    </row>
    <row r="109" spans="3:6" x14ac:dyDescent="0.3">
      <c r="C109" s="2" t="s">
        <v>156</v>
      </c>
    </row>
    <row r="110" spans="3:6" x14ac:dyDescent="0.3">
      <c r="C110" s="2" t="s">
        <v>157</v>
      </c>
    </row>
    <row r="111" spans="3:6" x14ac:dyDescent="0.3">
      <c r="C111" s="2" t="s">
        <v>158</v>
      </c>
    </row>
    <row r="112" spans="3:6" x14ac:dyDescent="0.3">
      <c r="C112" s="2" t="s">
        <v>159</v>
      </c>
    </row>
    <row r="113" spans="3:11" x14ac:dyDescent="0.3">
      <c r="C113" s="2" t="s">
        <v>160</v>
      </c>
    </row>
    <row r="114" spans="3:11" ht="14.4" x14ac:dyDescent="0.3">
      <c r="C114" s="54"/>
      <c r="D114" s="54"/>
      <c r="E114" s="55"/>
      <c r="F114" s="55"/>
      <c r="G114" s="55"/>
      <c r="H114" s="55"/>
      <c r="I114" s="55"/>
      <c r="J114" s="55"/>
      <c r="K114" s="55"/>
    </row>
    <row r="115" spans="3:11" ht="14.4" x14ac:dyDescent="0.3">
      <c r="C115" s="55"/>
      <c r="D115" s="55"/>
      <c r="E115" s="55"/>
      <c r="F115" s="55"/>
      <c r="G115" s="55"/>
      <c r="H115" s="55"/>
      <c r="I115" s="55"/>
      <c r="J115" s="55"/>
      <c r="K115" s="55"/>
    </row>
    <row r="116" spans="3:11" ht="14.4" x14ac:dyDescent="0.3">
      <c r="C116" s="55"/>
      <c r="D116" s="55"/>
      <c r="E116" s="55"/>
      <c r="F116" s="55"/>
      <c r="G116" s="55"/>
      <c r="H116" s="55"/>
      <c r="I116" s="55"/>
      <c r="J116" s="55"/>
      <c r="K116" s="55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0"/>
  <sheetViews>
    <sheetView topLeftCell="A139" workbookViewId="0">
      <selection activeCell="G152" sqref="G152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5.6" thickBot="1" x14ac:dyDescent="0.4">
      <c r="C2" s="11"/>
      <c r="D2" s="13"/>
    </row>
    <row r="3" spans="1:55" ht="39" customHeight="1" x14ac:dyDescent="0.3">
      <c r="C3" s="75" t="s">
        <v>161</v>
      </c>
      <c r="D3" s="76"/>
      <c r="E3" s="76"/>
      <c r="F3" s="76"/>
      <c r="G3" s="76"/>
      <c r="H3" s="76"/>
      <c r="I3" s="76"/>
      <c r="J3" s="76"/>
      <c r="K3" s="77"/>
      <c r="M3" s="9"/>
    </row>
    <row r="4" spans="1:55" ht="39" customHeight="1" thickBot="1" x14ac:dyDescent="0.35">
      <c r="C4" s="78"/>
      <c r="D4" s="79"/>
      <c r="E4" s="79"/>
      <c r="F4" s="79"/>
      <c r="G4" s="79"/>
      <c r="H4" s="79"/>
      <c r="I4" s="79"/>
      <c r="J4" s="79"/>
      <c r="K4" s="80"/>
    </row>
    <row r="5" spans="1:55" ht="14.4" thickBot="1" x14ac:dyDescent="0.35">
      <c r="C5" s="11"/>
    </row>
    <row r="6" spans="1:55" ht="57" customHeight="1" thickBot="1" x14ac:dyDescent="0.5">
      <c r="C6" s="81" t="s">
        <v>162</v>
      </c>
      <c r="D6" s="82"/>
      <c r="E6" s="82"/>
      <c r="F6" s="82"/>
      <c r="G6" s="82"/>
      <c r="H6" s="82"/>
      <c r="I6" s="82"/>
      <c r="J6" s="82"/>
      <c r="K6" s="83"/>
      <c r="L6" s="2"/>
      <c r="M6" s="2"/>
      <c r="AH6" s="10"/>
      <c r="AJ6" s="2"/>
      <c r="AU6" s="10"/>
      <c r="AY6" s="2"/>
      <c r="BA6" s="10"/>
      <c r="BC6" s="2"/>
    </row>
    <row r="7" spans="1:55" ht="14.4" customHeight="1" thickBot="1" x14ac:dyDescent="0.35">
      <c r="C7" s="11"/>
    </row>
    <row r="8" spans="1:55" ht="27.6" x14ac:dyDescent="0.3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5" x14ac:dyDescent="0.3">
      <c r="C9" s="21"/>
      <c r="D9" s="22"/>
      <c r="E9" s="23"/>
      <c r="F9" s="24"/>
      <c r="G9" s="25"/>
      <c r="H9" s="25"/>
      <c r="I9" s="26"/>
      <c r="J9" s="26"/>
      <c r="K9" s="27"/>
    </row>
    <row r="10" spans="1:55" x14ac:dyDescent="0.3">
      <c r="A10" s="28"/>
      <c r="B10" s="29"/>
      <c r="C10" s="30" t="s">
        <v>14</v>
      </c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C11" s="37" t="s">
        <v>15</v>
      </c>
      <c r="D11" s="31"/>
      <c r="E11" s="32"/>
      <c r="F11" s="33"/>
      <c r="G11" s="34"/>
      <c r="H11" s="34"/>
      <c r="I11" s="35"/>
      <c r="J11" s="35"/>
      <c r="K11" s="36"/>
    </row>
    <row r="12" spans="1:55" x14ac:dyDescent="0.3">
      <c r="B12" s="1" t="s">
        <v>16</v>
      </c>
      <c r="C12" s="21" t="s">
        <v>17</v>
      </c>
      <c r="D12" s="31" t="s">
        <v>18</v>
      </c>
      <c r="E12" s="32" t="s">
        <v>19</v>
      </c>
      <c r="F12" s="33">
        <v>103838</v>
      </c>
      <c r="G12" s="34">
        <v>3139.59</v>
      </c>
      <c r="H12" s="34">
        <v>7.2</v>
      </c>
      <c r="I12" s="35"/>
      <c r="J12" s="35"/>
      <c r="K12" s="36"/>
    </row>
    <row r="13" spans="1:55" x14ac:dyDescent="0.3">
      <c r="B13" s="1" t="s">
        <v>20</v>
      </c>
      <c r="C13" s="21" t="s">
        <v>21</v>
      </c>
      <c r="D13" s="31" t="s">
        <v>22</v>
      </c>
      <c r="E13" s="32" t="s">
        <v>23</v>
      </c>
      <c r="F13" s="33">
        <v>275000</v>
      </c>
      <c r="G13" s="34">
        <v>2617.73</v>
      </c>
      <c r="H13" s="34">
        <v>6</v>
      </c>
      <c r="I13" s="35"/>
      <c r="J13" s="35"/>
      <c r="K13" s="36"/>
    </row>
    <row r="14" spans="1:55" x14ac:dyDescent="0.3">
      <c r="B14" s="1" t="s">
        <v>24</v>
      </c>
      <c r="C14" s="21" t="s">
        <v>25</v>
      </c>
      <c r="D14" s="31" t="s">
        <v>26</v>
      </c>
      <c r="E14" s="32" t="s">
        <v>23</v>
      </c>
      <c r="F14" s="33">
        <v>150000</v>
      </c>
      <c r="G14" s="34">
        <v>2289.4499999999998</v>
      </c>
      <c r="H14" s="34">
        <v>5.25</v>
      </c>
      <c r="I14" s="35"/>
      <c r="J14" s="35"/>
      <c r="K14" s="36"/>
    </row>
    <row r="15" spans="1:55" x14ac:dyDescent="0.3">
      <c r="B15" s="1" t="s">
        <v>27</v>
      </c>
      <c r="C15" s="21" t="s">
        <v>28</v>
      </c>
      <c r="D15" s="31" t="s">
        <v>29</v>
      </c>
      <c r="E15" s="32" t="s">
        <v>30</v>
      </c>
      <c r="F15" s="33">
        <v>2250000</v>
      </c>
      <c r="G15" s="34">
        <v>2283.75</v>
      </c>
      <c r="H15" s="34">
        <v>5.23</v>
      </c>
      <c r="I15" s="35"/>
      <c r="J15" s="35"/>
      <c r="K15" s="36"/>
    </row>
    <row r="16" spans="1:55" x14ac:dyDescent="0.3">
      <c r="B16" s="1" t="s">
        <v>31</v>
      </c>
      <c r="C16" s="21" t="s">
        <v>32</v>
      </c>
      <c r="D16" s="31" t="s">
        <v>33</v>
      </c>
      <c r="E16" s="32" t="s">
        <v>34</v>
      </c>
      <c r="F16" s="33">
        <v>90000</v>
      </c>
      <c r="G16" s="34">
        <v>2163.92</v>
      </c>
      <c r="H16" s="34">
        <v>4.96</v>
      </c>
      <c r="I16" s="35"/>
      <c r="J16" s="35"/>
      <c r="K16" s="36"/>
    </row>
    <row r="17" spans="2:11" x14ac:dyDescent="0.3">
      <c r="B17" s="1" t="s">
        <v>35</v>
      </c>
      <c r="C17" s="21" t="s">
        <v>36</v>
      </c>
      <c r="D17" s="31" t="s">
        <v>37</v>
      </c>
      <c r="E17" s="32" t="s">
        <v>38</v>
      </c>
      <c r="F17" s="33">
        <v>175000</v>
      </c>
      <c r="G17" s="34">
        <v>2139.9</v>
      </c>
      <c r="H17" s="34">
        <v>4.9000000000000004</v>
      </c>
      <c r="I17" s="35"/>
      <c r="J17" s="35"/>
      <c r="K17" s="36"/>
    </row>
    <row r="18" spans="2:11" x14ac:dyDescent="0.3">
      <c r="B18" s="1" t="s">
        <v>39</v>
      </c>
      <c r="C18" s="21" t="s">
        <v>40</v>
      </c>
      <c r="D18" s="31" t="s">
        <v>41</v>
      </c>
      <c r="E18" s="32" t="s">
        <v>23</v>
      </c>
      <c r="F18" s="33">
        <v>200000</v>
      </c>
      <c r="G18" s="34">
        <v>2073.4</v>
      </c>
      <c r="H18" s="34">
        <v>4.75</v>
      </c>
      <c r="I18" s="35"/>
      <c r="J18" s="35"/>
      <c r="K18" s="36"/>
    </row>
    <row r="19" spans="2:11" x14ac:dyDescent="0.3">
      <c r="B19" s="1" t="s">
        <v>42</v>
      </c>
      <c r="C19" s="21" t="s">
        <v>43</v>
      </c>
      <c r="D19" s="31" t="s">
        <v>44</v>
      </c>
      <c r="E19" s="32" t="s">
        <v>45</v>
      </c>
      <c r="F19" s="33">
        <v>450000</v>
      </c>
      <c r="G19" s="34">
        <v>1999.8</v>
      </c>
      <c r="H19" s="34">
        <v>4.58</v>
      </c>
      <c r="I19" s="35"/>
      <c r="J19" s="35"/>
      <c r="K19" s="36"/>
    </row>
    <row r="20" spans="2:11" x14ac:dyDescent="0.3">
      <c r="B20" s="1" t="s">
        <v>46</v>
      </c>
      <c r="C20" s="21" t="s">
        <v>47</v>
      </c>
      <c r="D20" s="31" t="s">
        <v>48</v>
      </c>
      <c r="E20" s="32" t="s">
        <v>38</v>
      </c>
      <c r="F20" s="33">
        <v>34500</v>
      </c>
      <c r="G20" s="34">
        <v>1761.04</v>
      </c>
      <c r="H20" s="34">
        <v>4.04</v>
      </c>
      <c r="I20" s="35"/>
      <c r="J20" s="35"/>
      <c r="K20" s="36"/>
    </row>
    <row r="21" spans="2:11" x14ac:dyDescent="0.3">
      <c r="B21" s="1" t="s">
        <v>49</v>
      </c>
      <c r="C21" s="21" t="s">
        <v>50</v>
      </c>
      <c r="D21" s="31" t="s">
        <v>51</v>
      </c>
      <c r="E21" s="32" t="s">
        <v>52</v>
      </c>
      <c r="F21" s="33">
        <v>575000</v>
      </c>
      <c r="G21" s="34">
        <v>1732.76</v>
      </c>
      <c r="H21" s="34">
        <v>3.97</v>
      </c>
      <c r="I21" s="35"/>
      <c r="J21" s="35"/>
      <c r="K21" s="36"/>
    </row>
    <row r="22" spans="2:11" x14ac:dyDescent="0.3">
      <c r="B22" s="1" t="s">
        <v>53</v>
      </c>
      <c r="C22" s="21" t="s">
        <v>54</v>
      </c>
      <c r="D22" s="31" t="s">
        <v>55</v>
      </c>
      <c r="E22" s="32" t="s">
        <v>23</v>
      </c>
      <c r="F22" s="33">
        <v>120000</v>
      </c>
      <c r="G22" s="34">
        <v>1714.62</v>
      </c>
      <c r="H22" s="34">
        <v>3.93</v>
      </c>
      <c r="I22" s="35"/>
      <c r="J22" s="35"/>
      <c r="K22" s="36"/>
    </row>
    <row r="23" spans="2:11" x14ac:dyDescent="0.3">
      <c r="B23" s="1" t="s">
        <v>56</v>
      </c>
      <c r="C23" s="21" t="s">
        <v>57</v>
      </c>
      <c r="D23" s="31" t="s">
        <v>58</v>
      </c>
      <c r="E23" s="32" t="s">
        <v>52</v>
      </c>
      <c r="F23" s="33">
        <v>700000</v>
      </c>
      <c r="G23" s="34">
        <v>1618.4</v>
      </c>
      <c r="H23" s="34">
        <v>3.71</v>
      </c>
      <c r="I23" s="35"/>
      <c r="J23" s="35"/>
      <c r="K23" s="36"/>
    </row>
    <row r="24" spans="2:11" x14ac:dyDescent="0.3">
      <c r="B24" s="1" t="s">
        <v>59</v>
      </c>
      <c r="C24" s="21" t="s">
        <v>60</v>
      </c>
      <c r="D24" s="31" t="s">
        <v>61</v>
      </c>
      <c r="E24" s="32" t="s">
        <v>62</v>
      </c>
      <c r="F24" s="33">
        <v>2500000</v>
      </c>
      <c r="G24" s="34">
        <v>1611.25</v>
      </c>
      <c r="H24" s="34">
        <v>3.69</v>
      </c>
      <c r="I24" s="35"/>
      <c r="J24" s="35"/>
      <c r="K24" s="36"/>
    </row>
    <row r="25" spans="2:11" x14ac:dyDescent="0.3">
      <c r="B25" s="1" t="s">
        <v>63</v>
      </c>
      <c r="C25" s="21" t="s">
        <v>64</v>
      </c>
      <c r="D25" s="31" t="s">
        <v>65</v>
      </c>
      <c r="E25" s="32" t="s">
        <v>66</v>
      </c>
      <c r="F25" s="33">
        <v>140000</v>
      </c>
      <c r="G25" s="34">
        <v>1576.75</v>
      </c>
      <c r="H25" s="34">
        <v>3.61</v>
      </c>
      <c r="I25" s="35"/>
      <c r="J25" s="35"/>
      <c r="K25" s="36"/>
    </row>
    <row r="26" spans="2:11" x14ac:dyDescent="0.3">
      <c r="B26" s="1" t="s">
        <v>67</v>
      </c>
      <c r="C26" s="21" t="s">
        <v>68</v>
      </c>
      <c r="D26" s="31" t="s">
        <v>69</v>
      </c>
      <c r="E26" s="32" t="s">
        <v>70</v>
      </c>
      <c r="F26" s="33">
        <v>600000</v>
      </c>
      <c r="G26" s="34">
        <v>1573.8</v>
      </c>
      <c r="H26" s="34">
        <v>3.61</v>
      </c>
      <c r="I26" s="35"/>
      <c r="J26" s="35"/>
      <c r="K26" s="36"/>
    </row>
    <row r="27" spans="2:11" x14ac:dyDescent="0.3">
      <c r="B27" s="1" t="s">
        <v>71</v>
      </c>
      <c r="C27" s="21" t="s">
        <v>72</v>
      </c>
      <c r="D27" s="31" t="s">
        <v>73</v>
      </c>
      <c r="E27" s="32" t="s">
        <v>74</v>
      </c>
      <c r="F27" s="33">
        <v>1000000</v>
      </c>
      <c r="G27" s="34">
        <v>1383</v>
      </c>
      <c r="H27" s="34">
        <v>3.17</v>
      </c>
      <c r="I27" s="35"/>
      <c r="J27" s="35"/>
      <c r="K27" s="36"/>
    </row>
    <row r="28" spans="2:11" x14ac:dyDescent="0.3">
      <c r="B28" s="1" t="s">
        <v>75</v>
      </c>
      <c r="C28" s="21" t="s">
        <v>76</v>
      </c>
      <c r="D28" s="31" t="s">
        <v>77</v>
      </c>
      <c r="E28" s="32" t="s">
        <v>78</v>
      </c>
      <c r="F28" s="33">
        <v>300000</v>
      </c>
      <c r="G28" s="34">
        <v>1326.6</v>
      </c>
      <c r="H28" s="34">
        <v>3.04</v>
      </c>
      <c r="I28" s="35"/>
      <c r="J28" s="35"/>
      <c r="K28" s="36"/>
    </row>
    <row r="29" spans="2:11" x14ac:dyDescent="0.3">
      <c r="B29" s="1" t="s">
        <v>79</v>
      </c>
      <c r="C29" s="21" t="s">
        <v>80</v>
      </c>
      <c r="D29" s="31" t="s">
        <v>81</v>
      </c>
      <c r="E29" s="32" t="s">
        <v>62</v>
      </c>
      <c r="F29" s="33">
        <v>40000</v>
      </c>
      <c r="G29" s="34">
        <v>1325.96</v>
      </c>
      <c r="H29" s="34">
        <v>3.04</v>
      </c>
      <c r="I29" s="35"/>
      <c r="J29" s="35"/>
      <c r="K29" s="36"/>
    </row>
    <row r="30" spans="2:11" x14ac:dyDescent="0.3">
      <c r="B30" s="1" t="s">
        <v>82</v>
      </c>
      <c r="C30" s="21" t="s">
        <v>83</v>
      </c>
      <c r="D30" s="31" t="s">
        <v>84</v>
      </c>
      <c r="E30" s="32" t="s">
        <v>52</v>
      </c>
      <c r="F30" s="33">
        <v>700000</v>
      </c>
      <c r="G30" s="34">
        <v>1259.6500000000001</v>
      </c>
      <c r="H30" s="34">
        <v>2.89</v>
      </c>
      <c r="I30" s="35"/>
      <c r="J30" s="35"/>
      <c r="K30" s="36"/>
    </row>
    <row r="31" spans="2:11" x14ac:dyDescent="0.3">
      <c r="B31" s="1" t="s">
        <v>85</v>
      </c>
      <c r="C31" s="21" t="s">
        <v>86</v>
      </c>
      <c r="D31" s="31" t="s">
        <v>87</v>
      </c>
      <c r="E31" s="32" t="s">
        <v>88</v>
      </c>
      <c r="F31" s="33">
        <v>80000</v>
      </c>
      <c r="G31" s="34">
        <v>1243.4000000000001</v>
      </c>
      <c r="H31" s="34">
        <v>2.85</v>
      </c>
      <c r="I31" s="35"/>
      <c r="J31" s="35"/>
      <c r="K31" s="36"/>
    </row>
    <row r="32" spans="2:11" x14ac:dyDescent="0.3">
      <c r="B32" s="1" t="s">
        <v>89</v>
      </c>
      <c r="C32" s="21" t="s">
        <v>90</v>
      </c>
      <c r="D32" s="31" t="s">
        <v>91</v>
      </c>
      <c r="E32" s="32" t="s">
        <v>92</v>
      </c>
      <c r="F32" s="33">
        <v>200000</v>
      </c>
      <c r="G32" s="34">
        <v>1230</v>
      </c>
      <c r="H32" s="34">
        <v>2.82</v>
      </c>
      <c r="I32" s="35"/>
      <c r="J32" s="35"/>
      <c r="K32" s="36"/>
    </row>
    <row r="33" spans="2:11" x14ac:dyDescent="0.3">
      <c r="B33" s="1" t="s">
        <v>93</v>
      </c>
      <c r="C33" s="21" t="s">
        <v>94</v>
      </c>
      <c r="D33" s="31" t="s">
        <v>95</v>
      </c>
      <c r="E33" s="32" t="s">
        <v>96</v>
      </c>
      <c r="F33" s="33">
        <v>60000</v>
      </c>
      <c r="G33" s="34">
        <v>1159.6500000000001</v>
      </c>
      <c r="H33" s="34">
        <v>2.66</v>
      </c>
      <c r="I33" s="35"/>
      <c r="J33" s="35"/>
      <c r="K33" s="36"/>
    </row>
    <row r="34" spans="2:11" x14ac:dyDescent="0.3">
      <c r="B34" s="1" t="s">
        <v>97</v>
      </c>
      <c r="C34" s="21" t="s">
        <v>98</v>
      </c>
      <c r="D34" s="31" t="s">
        <v>99</v>
      </c>
      <c r="E34" s="32" t="s">
        <v>100</v>
      </c>
      <c r="F34" s="33">
        <v>42000</v>
      </c>
      <c r="G34" s="34">
        <v>1092.32</v>
      </c>
      <c r="H34" s="34">
        <v>2.5</v>
      </c>
      <c r="I34" s="35"/>
      <c r="J34" s="35"/>
      <c r="K34" s="36"/>
    </row>
    <row r="35" spans="2:11" x14ac:dyDescent="0.3">
      <c r="B35" s="1" t="s">
        <v>101</v>
      </c>
      <c r="C35" s="21" t="s">
        <v>102</v>
      </c>
      <c r="D35" s="31" t="s">
        <v>103</v>
      </c>
      <c r="E35" s="32" t="s">
        <v>30</v>
      </c>
      <c r="F35" s="33">
        <v>128877</v>
      </c>
      <c r="G35" s="34">
        <v>883.19</v>
      </c>
      <c r="H35" s="34">
        <v>2.02</v>
      </c>
      <c r="I35" s="35"/>
      <c r="J35" s="35"/>
      <c r="K35" s="36"/>
    </row>
    <row r="36" spans="2:11" x14ac:dyDescent="0.3">
      <c r="C36" s="30" t="s">
        <v>104</v>
      </c>
      <c r="D36" s="31"/>
      <c r="E36" s="32"/>
      <c r="F36" s="33"/>
      <c r="G36" s="38">
        <v>41199.93</v>
      </c>
      <c r="H36" s="38">
        <v>94.42</v>
      </c>
      <c r="I36" s="35"/>
      <c r="J36" s="35"/>
      <c r="K36" s="36"/>
    </row>
    <row r="37" spans="2:11" x14ac:dyDescent="0.3">
      <c r="C37" s="21"/>
      <c r="D37" s="31"/>
      <c r="E37" s="32"/>
      <c r="F37" s="33"/>
      <c r="G37" s="34"/>
      <c r="H37" s="34"/>
      <c r="I37" s="35"/>
      <c r="J37" s="35"/>
      <c r="K37" s="36"/>
    </row>
    <row r="38" spans="2:11" x14ac:dyDescent="0.3">
      <c r="C38" s="30" t="s">
        <v>105</v>
      </c>
      <c r="D38" s="31"/>
      <c r="E38" s="32"/>
      <c r="F38" s="33"/>
      <c r="G38" s="34" t="s">
        <v>106</v>
      </c>
      <c r="H38" s="34" t="s">
        <v>106</v>
      </c>
      <c r="I38" s="35"/>
      <c r="J38" s="35"/>
      <c r="K38" s="36"/>
    </row>
    <row r="39" spans="2:11" x14ac:dyDescent="0.3">
      <c r="C39" s="21"/>
      <c r="D39" s="31"/>
      <c r="E39" s="32"/>
      <c r="F39" s="33"/>
      <c r="G39" s="34"/>
      <c r="H39" s="34"/>
      <c r="I39" s="35"/>
      <c r="J39" s="35"/>
      <c r="K39" s="36"/>
    </row>
    <row r="40" spans="2:11" x14ac:dyDescent="0.3">
      <c r="C40" s="30" t="s">
        <v>107</v>
      </c>
      <c r="D40" s="31"/>
      <c r="E40" s="32"/>
      <c r="F40" s="33"/>
      <c r="G40" s="34" t="s">
        <v>106</v>
      </c>
      <c r="H40" s="34" t="s">
        <v>106</v>
      </c>
      <c r="I40" s="35"/>
      <c r="J40" s="35"/>
      <c r="K40" s="36"/>
    </row>
    <row r="41" spans="2:11" x14ac:dyDescent="0.3">
      <c r="C41" s="21"/>
      <c r="D41" s="31"/>
      <c r="E41" s="32"/>
      <c r="F41" s="33"/>
      <c r="G41" s="34"/>
      <c r="H41" s="34"/>
      <c r="I41" s="35"/>
      <c r="J41" s="35"/>
      <c r="K41" s="36"/>
    </row>
    <row r="42" spans="2:11" x14ac:dyDescent="0.3">
      <c r="C42" s="30" t="s">
        <v>108</v>
      </c>
      <c r="D42" s="31"/>
      <c r="E42" s="32"/>
      <c r="F42" s="33"/>
      <c r="G42" s="34" t="s">
        <v>106</v>
      </c>
      <c r="H42" s="34" t="s">
        <v>106</v>
      </c>
      <c r="I42" s="35"/>
      <c r="J42" s="35"/>
      <c r="K42" s="36"/>
    </row>
    <row r="43" spans="2:11" x14ac:dyDescent="0.3">
      <c r="C43" s="21"/>
      <c r="D43" s="31"/>
      <c r="E43" s="32"/>
      <c r="F43" s="33"/>
      <c r="G43" s="34"/>
      <c r="H43" s="34"/>
      <c r="I43" s="35"/>
      <c r="J43" s="35"/>
      <c r="K43" s="36"/>
    </row>
    <row r="44" spans="2:11" x14ac:dyDescent="0.3">
      <c r="C44" s="30" t="s">
        <v>109</v>
      </c>
      <c r="D44" s="31"/>
      <c r="E44" s="32"/>
      <c r="F44" s="33"/>
      <c r="G44" s="34"/>
      <c r="H44" s="34"/>
      <c r="I44" s="35"/>
      <c r="J44" s="35"/>
      <c r="K44" s="36"/>
    </row>
    <row r="45" spans="2:11" x14ac:dyDescent="0.3">
      <c r="C45" s="21"/>
      <c r="D45" s="31"/>
      <c r="E45" s="32"/>
      <c r="F45" s="33"/>
      <c r="G45" s="34"/>
      <c r="H45" s="34"/>
      <c r="I45" s="35"/>
      <c r="J45" s="35"/>
      <c r="K45" s="36"/>
    </row>
    <row r="46" spans="2:11" x14ac:dyDescent="0.3">
      <c r="C46" s="30" t="s">
        <v>110</v>
      </c>
      <c r="D46" s="31"/>
      <c r="E46" s="32"/>
      <c r="F46" s="33"/>
      <c r="G46" s="34" t="s">
        <v>106</v>
      </c>
      <c r="H46" s="34" t="s">
        <v>106</v>
      </c>
      <c r="I46" s="35"/>
      <c r="J46" s="35"/>
      <c r="K46" s="36"/>
    </row>
    <row r="47" spans="2:11" x14ac:dyDescent="0.3">
      <c r="C47" s="21"/>
      <c r="D47" s="31"/>
      <c r="E47" s="32"/>
      <c r="F47" s="33"/>
      <c r="G47" s="34"/>
      <c r="H47" s="34"/>
      <c r="I47" s="35"/>
      <c r="J47" s="35"/>
      <c r="K47" s="36"/>
    </row>
    <row r="48" spans="2:11" x14ac:dyDescent="0.3">
      <c r="C48" s="30" t="s">
        <v>111</v>
      </c>
      <c r="D48" s="31"/>
      <c r="E48" s="32"/>
      <c r="F48" s="33"/>
      <c r="G48" s="34" t="s">
        <v>106</v>
      </c>
      <c r="H48" s="34" t="s">
        <v>106</v>
      </c>
      <c r="I48" s="35"/>
      <c r="J48" s="35"/>
      <c r="K48" s="36"/>
    </row>
    <row r="49" spans="3:11" x14ac:dyDescent="0.3">
      <c r="C49" s="21"/>
      <c r="D49" s="31"/>
      <c r="E49" s="32"/>
      <c r="F49" s="33"/>
      <c r="G49" s="34"/>
      <c r="H49" s="34"/>
      <c r="I49" s="35"/>
      <c r="J49" s="35"/>
      <c r="K49" s="36"/>
    </row>
    <row r="50" spans="3:11" x14ac:dyDescent="0.3">
      <c r="C50" s="30" t="s">
        <v>112</v>
      </c>
      <c r="D50" s="31"/>
      <c r="E50" s="32"/>
      <c r="F50" s="33"/>
      <c r="G50" s="34" t="s">
        <v>106</v>
      </c>
      <c r="H50" s="34" t="s">
        <v>106</v>
      </c>
      <c r="I50" s="35"/>
      <c r="J50" s="35"/>
      <c r="K50" s="36"/>
    </row>
    <row r="51" spans="3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3:11" x14ac:dyDescent="0.3">
      <c r="C52" s="30" t="s">
        <v>113</v>
      </c>
      <c r="D52" s="31"/>
      <c r="E52" s="32"/>
      <c r="F52" s="33"/>
      <c r="G52" s="34" t="s">
        <v>106</v>
      </c>
      <c r="H52" s="34" t="s">
        <v>106</v>
      </c>
      <c r="I52" s="35"/>
      <c r="J52" s="35"/>
      <c r="K52" s="36"/>
    </row>
    <row r="53" spans="3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3:11" x14ac:dyDescent="0.3">
      <c r="C54" s="30" t="s">
        <v>114</v>
      </c>
      <c r="D54" s="31"/>
      <c r="E54" s="32"/>
      <c r="F54" s="33"/>
      <c r="G54" s="34" t="s">
        <v>106</v>
      </c>
      <c r="H54" s="34" t="s">
        <v>106</v>
      </c>
      <c r="I54" s="35"/>
      <c r="J54" s="35"/>
      <c r="K54" s="36"/>
    </row>
    <row r="55" spans="3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3:11" x14ac:dyDescent="0.3">
      <c r="C56" s="30" t="s">
        <v>115</v>
      </c>
      <c r="D56" s="31"/>
      <c r="E56" s="32"/>
      <c r="F56" s="33"/>
      <c r="G56" s="34"/>
      <c r="H56" s="34"/>
      <c r="I56" s="35"/>
      <c r="J56" s="35"/>
      <c r="K56" s="36"/>
    </row>
    <row r="57" spans="3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3:11" x14ac:dyDescent="0.3">
      <c r="C58" s="30" t="s">
        <v>116</v>
      </c>
      <c r="D58" s="31"/>
      <c r="E58" s="32"/>
      <c r="F58" s="33"/>
      <c r="G58" s="34" t="s">
        <v>106</v>
      </c>
      <c r="H58" s="34" t="s">
        <v>106</v>
      </c>
      <c r="I58" s="35"/>
      <c r="J58" s="35"/>
      <c r="K58" s="36"/>
    </row>
    <row r="59" spans="3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3:11" x14ac:dyDescent="0.3">
      <c r="C60" s="30" t="s">
        <v>117</v>
      </c>
      <c r="D60" s="31"/>
      <c r="E60" s="32"/>
      <c r="F60" s="33"/>
      <c r="G60" s="34" t="s">
        <v>106</v>
      </c>
      <c r="H60" s="34" t="s">
        <v>106</v>
      </c>
      <c r="I60" s="35"/>
      <c r="J60" s="35"/>
      <c r="K60" s="36"/>
    </row>
    <row r="61" spans="3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3:11" x14ac:dyDescent="0.3">
      <c r="C62" s="30" t="s">
        <v>118</v>
      </c>
      <c r="D62" s="31"/>
      <c r="E62" s="32"/>
      <c r="F62" s="33"/>
      <c r="G62" s="34" t="s">
        <v>106</v>
      </c>
      <c r="H62" s="34" t="s">
        <v>106</v>
      </c>
      <c r="I62" s="35"/>
      <c r="J62" s="35"/>
      <c r="K62" s="36"/>
    </row>
    <row r="63" spans="3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3:11" x14ac:dyDescent="0.3">
      <c r="C64" s="30" t="s">
        <v>119</v>
      </c>
      <c r="D64" s="31"/>
      <c r="E64" s="32"/>
      <c r="F64" s="33"/>
      <c r="G64" s="34" t="s">
        <v>106</v>
      </c>
      <c r="H64" s="34" t="s">
        <v>106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A66" s="28"/>
      <c r="B66" s="29"/>
      <c r="C66" s="30" t="s">
        <v>120</v>
      </c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A67" s="29"/>
      <c r="B67" s="29"/>
      <c r="C67" s="30" t="s">
        <v>121</v>
      </c>
      <c r="D67" s="31"/>
      <c r="E67" s="32"/>
      <c r="F67" s="33"/>
      <c r="G67" s="34" t="s">
        <v>106</v>
      </c>
      <c r="H67" s="34" t="s">
        <v>106</v>
      </c>
      <c r="I67" s="35"/>
      <c r="J67" s="35"/>
      <c r="K67" s="36"/>
    </row>
    <row r="68" spans="1:11" x14ac:dyDescent="0.3">
      <c r="A68" s="29"/>
      <c r="B68" s="29"/>
      <c r="C68" s="30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9"/>
      <c r="B69" s="29"/>
      <c r="C69" s="30" t="s">
        <v>122</v>
      </c>
      <c r="D69" s="31"/>
      <c r="E69" s="32"/>
      <c r="F69" s="33"/>
      <c r="G69" s="34" t="s">
        <v>106</v>
      </c>
      <c r="H69" s="34" t="s">
        <v>106</v>
      </c>
      <c r="I69" s="35"/>
      <c r="J69" s="35"/>
      <c r="K69" s="36"/>
    </row>
    <row r="70" spans="1:11" x14ac:dyDescent="0.3">
      <c r="A70" s="29"/>
      <c r="B70" s="29"/>
      <c r="C70" s="30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A71" s="29"/>
      <c r="B71" s="29"/>
      <c r="C71" s="30" t="s">
        <v>123</v>
      </c>
      <c r="D71" s="31"/>
      <c r="E71" s="32"/>
      <c r="F71" s="33"/>
      <c r="G71" s="34" t="s">
        <v>106</v>
      </c>
      <c r="H71" s="34" t="s">
        <v>106</v>
      </c>
      <c r="I71" s="35"/>
      <c r="J71" s="35"/>
      <c r="K71" s="36"/>
    </row>
    <row r="72" spans="1:11" x14ac:dyDescent="0.3">
      <c r="A72" s="29"/>
      <c r="B72" s="29"/>
      <c r="C72" s="30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A73" s="29"/>
      <c r="B73" s="29"/>
      <c r="C73" s="30" t="s">
        <v>124</v>
      </c>
      <c r="D73" s="31"/>
      <c r="E73" s="32"/>
      <c r="F73" s="33"/>
      <c r="G73" s="34" t="s">
        <v>106</v>
      </c>
      <c r="H73" s="34" t="s">
        <v>106</v>
      </c>
      <c r="I73" s="35"/>
      <c r="J73" s="35"/>
      <c r="K73" s="36"/>
    </row>
    <row r="74" spans="1:11" x14ac:dyDescent="0.3">
      <c r="A74" s="29"/>
      <c r="B74" s="29"/>
      <c r="C74" s="30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7" t="s">
        <v>125</v>
      </c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B76" s="1" t="s">
        <v>126</v>
      </c>
      <c r="C76" s="21" t="s">
        <v>127</v>
      </c>
      <c r="D76" s="31"/>
      <c r="E76" s="32"/>
      <c r="F76" s="33"/>
      <c r="G76" s="34">
        <v>2464.75</v>
      </c>
      <c r="H76" s="34">
        <v>5.65</v>
      </c>
      <c r="I76" s="35">
        <v>6.79</v>
      </c>
      <c r="J76" s="35"/>
      <c r="K76" s="36"/>
    </row>
    <row r="77" spans="1:11" x14ac:dyDescent="0.3">
      <c r="C77" s="30" t="s">
        <v>104</v>
      </c>
      <c r="D77" s="31"/>
      <c r="E77" s="32"/>
      <c r="F77" s="33"/>
      <c r="G77" s="38">
        <v>2464.75</v>
      </c>
      <c r="H77" s="38">
        <v>5.65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A79" s="28"/>
      <c r="B79" s="29"/>
      <c r="C79" s="30" t="s">
        <v>128</v>
      </c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B80" s="1"/>
      <c r="C80" s="21" t="s">
        <v>129</v>
      </c>
      <c r="D80" s="31"/>
      <c r="E80" s="32"/>
      <c r="F80" s="33"/>
      <c r="G80" s="34">
        <v>-36.94</v>
      </c>
      <c r="H80" s="34">
        <v>-7.0000000000000007E-2</v>
      </c>
      <c r="I80" s="35"/>
      <c r="J80" s="35"/>
      <c r="K80" s="36"/>
    </row>
    <row r="81" spans="3:11" x14ac:dyDescent="0.3">
      <c r="C81" s="30" t="s">
        <v>104</v>
      </c>
      <c r="D81" s="31"/>
      <c r="E81" s="32"/>
      <c r="F81" s="33"/>
      <c r="G81" s="38">
        <v>-36.94</v>
      </c>
      <c r="H81" s="38">
        <v>-7.0000000000000007E-2</v>
      </c>
      <c r="I81" s="35"/>
      <c r="J81" s="35"/>
      <c r="K81" s="36"/>
    </row>
    <row r="82" spans="3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3:11" ht="14.4" thickBot="1" x14ac:dyDescent="0.35">
      <c r="C83" s="39" t="s">
        <v>130</v>
      </c>
      <c r="D83" s="40"/>
      <c r="E83" s="41"/>
      <c r="F83" s="42"/>
      <c r="G83" s="43">
        <v>43627.74</v>
      </c>
      <c r="H83" s="43">
        <f>SUMIFS(H:H,C:C,"Total")</f>
        <v>100.00000000000001</v>
      </c>
      <c r="I83" s="44"/>
      <c r="J83" s="44"/>
      <c r="K83" s="45"/>
    </row>
    <row r="86" spans="3:11" x14ac:dyDescent="0.3">
      <c r="C86" s="56" t="s">
        <v>163</v>
      </c>
      <c r="D86" s="57"/>
      <c r="E86" s="57"/>
      <c r="F86" s="57"/>
      <c r="G86" s="58"/>
      <c r="H86" s="58"/>
    </row>
    <row r="87" spans="3:11" x14ac:dyDescent="0.3">
      <c r="C87" s="56"/>
      <c r="D87" s="57"/>
      <c r="E87" s="57"/>
      <c r="F87" s="57"/>
      <c r="G87" s="58"/>
      <c r="H87" s="58"/>
    </row>
    <row r="88" spans="3:11" x14ac:dyDescent="0.3">
      <c r="C88" s="59" t="s">
        <v>164</v>
      </c>
      <c r="D88" s="59" t="s">
        <v>165</v>
      </c>
      <c r="E88" s="60" t="s">
        <v>166</v>
      </c>
      <c r="F88" s="61" t="s">
        <v>167</v>
      </c>
      <c r="G88" s="61" t="s">
        <v>168</v>
      </c>
      <c r="H88" s="61" t="s">
        <v>169</v>
      </c>
    </row>
    <row r="89" spans="3:11" x14ac:dyDescent="0.3">
      <c r="C89" s="84" t="s">
        <v>170</v>
      </c>
      <c r="D89" s="85"/>
      <c r="E89" s="85"/>
      <c r="F89" s="85"/>
      <c r="G89" s="85"/>
      <c r="H89" s="86"/>
    </row>
    <row r="90" spans="3:11" x14ac:dyDescent="0.3">
      <c r="C90" s="56"/>
      <c r="D90" s="57"/>
      <c r="E90" s="57"/>
      <c r="F90" s="57"/>
      <c r="G90" s="58"/>
      <c r="H90" s="58"/>
    </row>
    <row r="91" spans="3:11" x14ac:dyDescent="0.3">
      <c r="C91" s="57" t="s">
        <v>171</v>
      </c>
      <c r="D91" s="57"/>
      <c r="E91" s="57"/>
      <c r="F91" s="62"/>
      <c r="G91" s="58"/>
      <c r="H91" s="58"/>
    </row>
    <row r="92" spans="3:11" x14ac:dyDescent="0.3">
      <c r="C92" s="63"/>
      <c r="D92" s="57"/>
      <c r="E92" s="57"/>
      <c r="F92" s="62"/>
      <c r="G92" s="58"/>
      <c r="H92" s="58"/>
    </row>
    <row r="93" spans="3:11" x14ac:dyDescent="0.3">
      <c r="C93" s="56" t="s">
        <v>172</v>
      </c>
      <c r="D93" s="57"/>
      <c r="E93" s="57"/>
      <c r="F93" s="62"/>
      <c r="G93" s="58"/>
      <c r="H93" s="58"/>
    </row>
    <row r="94" spans="3:11" x14ac:dyDescent="0.3">
      <c r="C94" s="64" t="s">
        <v>173</v>
      </c>
      <c r="D94" s="57"/>
      <c r="E94" s="57"/>
      <c r="F94" s="62"/>
      <c r="G94" s="58"/>
      <c r="H94" s="58"/>
    </row>
    <row r="95" spans="3:11" x14ac:dyDescent="0.3">
      <c r="C95" s="64" t="s">
        <v>174</v>
      </c>
      <c r="D95" s="57"/>
      <c r="E95" s="57"/>
      <c r="F95" s="62"/>
      <c r="G95" s="58"/>
      <c r="H95" s="58"/>
    </row>
    <row r="96" spans="3:11" x14ac:dyDescent="0.3">
      <c r="C96" s="64" t="s">
        <v>175</v>
      </c>
      <c r="D96" s="62"/>
      <c r="E96" s="57"/>
      <c r="F96" s="62"/>
      <c r="G96" s="58"/>
      <c r="H96" s="58"/>
    </row>
    <row r="97" spans="3:8" x14ac:dyDescent="0.3">
      <c r="C97" s="64" t="s">
        <v>176</v>
      </c>
      <c r="D97" s="62"/>
      <c r="E97" s="62"/>
      <c r="F97" s="62"/>
      <c r="G97" s="58"/>
      <c r="H97" s="58"/>
    </row>
    <row r="98" spans="3:8" x14ac:dyDescent="0.3">
      <c r="C98" s="65" t="s">
        <v>177</v>
      </c>
      <c r="D98" s="62"/>
      <c r="E98" s="66"/>
      <c r="F98" s="62"/>
      <c r="G98" s="58"/>
      <c r="H98" s="58"/>
    </row>
    <row r="99" spans="3:8" x14ac:dyDescent="0.3">
      <c r="C99" s="63"/>
      <c r="D99" s="57"/>
      <c r="E99" s="57"/>
      <c r="F99" s="62"/>
      <c r="G99" s="58"/>
      <c r="H99" s="58"/>
    </row>
    <row r="100" spans="3:8" x14ac:dyDescent="0.3">
      <c r="C100" s="63"/>
      <c r="D100" s="57"/>
      <c r="E100" s="57"/>
      <c r="F100" s="62"/>
      <c r="G100" s="58"/>
      <c r="H100" s="58"/>
    </row>
    <row r="101" spans="3:8" ht="15" x14ac:dyDescent="0.35">
      <c r="C101" s="56" t="s">
        <v>178</v>
      </c>
      <c r="D101" s="64"/>
      <c r="E101" s="67"/>
      <c r="F101" s="64"/>
      <c r="G101" s="64"/>
      <c r="H101" s="68"/>
    </row>
    <row r="102" spans="3:8" x14ac:dyDescent="0.3">
      <c r="C102" s="69" t="s">
        <v>164</v>
      </c>
      <c r="D102" s="69" t="s">
        <v>165</v>
      </c>
      <c r="E102" s="70" t="s">
        <v>179</v>
      </c>
      <c r="F102" s="70" t="s">
        <v>167</v>
      </c>
      <c r="G102" s="70" t="s">
        <v>168</v>
      </c>
      <c r="H102" s="70" t="s">
        <v>169</v>
      </c>
    </row>
    <row r="103" spans="3:8" x14ac:dyDescent="0.3">
      <c r="C103" s="84" t="s">
        <v>170</v>
      </c>
      <c r="D103" s="85"/>
      <c r="E103" s="85"/>
      <c r="F103" s="85"/>
      <c r="G103" s="85"/>
      <c r="H103" s="86"/>
    </row>
    <row r="104" spans="3:8" x14ac:dyDescent="0.3">
      <c r="C104" s="71"/>
      <c r="D104" s="71"/>
      <c r="E104" s="71"/>
      <c r="F104" s="71"/>
      <c r="G104" s="71"/>
      <c r="H104" s="71"/>
    </row>
    <row r="105" spans="3:8" x14ac:dyDescent="0.3">
      <c r="C105" s="64" t="s">
        <v>180</v>
      </c>
      <c r="D105" s="71"/>
      <c r="E105" s="71"/>
      <c r="F105" s="71"/>
      <c r="G105" s="71"/>
      <c r="H105" s="71"/>
    </row>
    <row r="106" spans="3:8" x14ac:dyDescent="0.3">
      <c r="C106" s="71"/>
      <c r="D106" s="71"/>
      <c r="E106" s="71"/>
      <c r="F106" s="71"/>
      <c r="G106" s="71"/>
      <c r="H106" s="71"/>
    </row>
    <row r="107" spans="3:8" x14ac:dyDescent="0.3">
      <c r="C107" s="56" t="s">
        <v>181</v>
      </c>
      <c r="D107" s="71"/>
      <c r="E107" s="71"/>
      <c r="F107" s="71"/>
      <c r="G107" s="71"/>
      <c r="H107" s="71"/>
    </row>
    <row r="108" spans="3:8" x14ac:dyDescent="0.3">
      <c r="C108" s="64" t="s">
        <v>182</v>
      </c>
      <c r="D108" s="71"/>
      <c r="E108" s="71"/>
      <c r="F108" s="71"/>
      <c r="G108" s="71"/>
      <c r="H108" s="71"/>
    </row>
    <row r="109" spans="3:8" x14ac:dyDescent="0.3">
      <c r="C109" s="64" t="s">
        <v>183</v>
      </c>
      <c r="D109" s="71"/>
      <c r="E109" s="71"/>
      <c r="F109" s="71"/>
      <c r="G109" s="71"/>
      <c r="H109" s="71"/>
    </row>
    <row r="110" spans="3:8" x14ac:dyDescent="0.3">
      <c r="C110" s="64" t="s">
        <v>184</v>
      </c>
      <c r="D110" s="72"/>
      <c r="E110" s="73"/>
      <c r="F110" s="71"/>
      <c r="G110" s="71"/>
      <c r="H110" s="71"/>
    </row>
    <row r="111" spans="3:8" x14ac:dyDescent="0.3">
      <c r="C111" s="64" t="s">
        <v>185</v>
      </c>
      <c r="D111" s="72"/>
      <c r="E111" s="71"/>
      <c r="F111" s="71"/>
      <c r="G111" s="71"/>
      <c r="H111" s="71"/>
    </row>
    <row r="112" spans="3:8" x14ac:dyDescent="0.3">
      <c r="C112" s="65" t="s">
        <v>186</v>
      </c>
      <c r="D112" s="72"/>
      <c r="E112" s="66"/>
      <c r="F112" s="66"/>
      <c r="G112" s="71"/>
      <c r="H112" s="71"/>
    </row>
    <row r="113" spans="3:55" x14ac:dyDescent="0.3">
      <c r="C113" s="71"/>
      <c r="D113" s="71"/>
      <c r="E113" s="71"/>
      <c r="F113" s="71"/>
      <c r="G113" s="71"/>
      <c r="H113" s="71"/>
    </row>
    <row r="114" spans="3:55" x14ac:dyDescent="0.3">
      <c r="C114" s="57"/>
      <c r="D114" s="66"/>
      <c r="E114" s="66"/>
      <c r="F114" s="66"/>
      <c r="G114" s="58"/>
      <c r="H114" s="58"/>
    </row>
    <row r="115" spans="3:55" x14ac:dyDescent="0.3">
      <c r="C115" s="74" t="s">
        <v>187</v>
      </c>
      <c r="D115" s="66"/>
      <c r="E115" s="66"/>
      <c r="F115" s="57"/>
      <c r="G115" s="58"/>
      <c r="H115" s="58"/>
    </row>
    <row r="118" spans="3:55" x14ac:dyDescent="0.3">
      <c r="C118" s="11" t="s">
        <v>131</v>
      </c>
    </row>
    <row r="119" spans="3:55" x14ac:dyDescent="0.3">
      <c r="C119" s="2" t="s">
        <v>132</v>
      </c>
    </row>
    <row r="120" spans="3:55" x14ac:dyDescent="0.3">
      <c r="C120" s="46" t="s">
        <v>133</v>
      </c>
    </row>
    <row r="121" spans="3:55" x14ac:dyDescent="0.3">
      <c r="C121" s="2" t="s">
        <v>134</v>
      </c>
    </row>
    <row r="122" spans="3:55" x14ac:dyDescent="0.3">
      <c r="C122" s="2" t="s">
        <v>135</v>
      </c>
    </row>
    <row r="123" spans="3:55" x14ac:dyDescent="0.3">
      <c r="C123" s="2" t="s">
        <v>136</v>
      </c>
      <c r="D123" s="47"/>
      <c r="E123" s="47"/>
      <c r="F123" s="47"/>
      <c r="G123" s="48"/>
      <c r="H123" s="48"/>
    </row>
    <row r="124" spans="3:55" x14ac:dyDescent="0.3">
      <c r="C124" s="2" t="s">
        <v>137</v>
      </c>
    </row>
    <row r="125" spans="3:55" x14ac:dyDescent="0.3">
      <c r="C125" s="2" t="s">
        <v>138</v>
      </c>
    </row>
    <row r="126" spans="3:55" x14ac:dyDescent="0.3">
      <c r="C126" s="2" t="s">
        <v>139</v>
      </c>
    </row>
    <row r="127" spans="3:55" x14ac:dyDescent="0.3">
      <c r="C127" s="2" t="s">
        <v>140</v>
      </c>
    </row>
    <row r="128" spans="3:55" s="11" customFormat="1" x14ac:dyDescent="0.3">
      <c r="C128" s="11" t="s">
        <v>141</v>
      </c>
      <c r="E128" s="11" t="s">
        <v>188</v>
      </c>
      <c r="F128" s="49" t="s">
        <v>143</v>
      </c>
      <c r="G128" s="50"/>
      <c r="H128" s="50"/>
      <c r="I128" s="50"/>
      <c r="J128" s="50"/>
      <c r="K128" s="51"/>
      <c r="L128" s="51"/>
      <c r="M128" s="51"/>
      <c r="AJ128" s="51"/>
      <c r="AW128" s="51"/>
      <c r="AY128" s="51"/>
      <c r="BC128" s="51"/>
    </row>
    <row r="129" spans="3:6" x14ac:dyDescent="0.3">
      <c r="C129" s="2" t="s">
        <v>144</v>
      </c>
      <c r="E129" s="52">
        <v>12.324199999999999</v>
      </c>
      <c r="F129" s="53">
        <v>14.7438</v>
      </c>
    </row>
    <row r="130" spans="3:6" x14ac:dyDescent="0.3">
      <c r="C130" s="2" t="s">
        <v>145</v>
      </c>
      <c r="E130" s="52">
        <v>14.273199999999999</v>
      </c>
      <c r="F130" s="53">
        <v>17.075399999999998</v>
      </c>
    </row>
    <row r="131" spans="3:6" x14ac:dyDescent="0.3">
      <c r="C131" s="2" t="s">
        <v>146</v>
      </c>
      <c r="E131" s="52">
        <v>13.3482</v>
      </c>
      <c r="F131" s="53">
        <v>16.116599999999998</v>
      </c>
    </row>
    <row r="132" spans="3:6" x14ac:dyDescent="0.3">
      <c r="C132" s="2" t="s">
        <v>147</v>
      </c>
      <c r="E132" s="52">
        <v>15.5022</v>
      </c>
      <c r="F132" s="53">
        <v>18.717400000000001</v>
      </c>
    </row>
    <row r="134" spans="3:6" x14ac:dyDescent="0.3">
      <c r="C134" s="2" t="s">
        <v>189</v>
      </c>
    </row>
    <row r="136" spans="3:6" x14ac:dyDescent="0.3">
      <c r="C136" s="2" t="s">
        <v>190</v>
      </c>
    </row>
    <row r="137" spans="3:6" x14ac:dyDescent="0.3">
      <c r="C137" s="2" t="s">
        <v>150</v>
      </c>
    </row>
    <row r="138" spans="3:6" x14ac:dyDescent="0.3">
      <c r="C138" s="2" t="s">
        <v>191</v>
      </c>
    </row>
    <row r="139" spans="3:6" x14ac:dyDescent="0.3">
      <c r="C139" s="2" t="s">
        <v>192</v>
      </c>
    </row>
    <row r="140" spans="3:6" x14ac:dyDescent="0.3">
      <c r="C140" s="2" t="s">
        <v>153</v>
      </c>
    </row>
    <row r="141" spans="3:6" x14ac:dyDescent="0.3">
      <c r="C141" s="2" t="s">
        <v>193</v>
      </c>
    </row>
    <row r="142" spans="3:6" x14ac:dyDescent="0.3">
      <c r="C142" s="2" t="s">
        <v>155</v>
      </c>
    </row>
    <row r="143" spans="3:6" x14ac:dyDescent="0.3">
      <c r="C143" s="2" t="s">
        <v>156</v>
      </c>
    </row>
    <row r="144" spans="3:6" x14ac:dyDescent="0.3">
      <c r="C144" s="2" t="s">
        <v>194</v>
      </c>
    </row>
    <row r="145" spans="3:11" x14ac:dyDescent="0.3">
      <c r="C145" s="2" t="s">
        <v>158</v>
      </c>
    </row>
    <row r="146" spans="3:11" x14ac:dyDescent="0.3">
      <c r="C146" s="2" t="s">
        <v>159</v>
      </c>
    </row>
    <row r="147" spans="3:11" x14ac:dyDescent="0.3">
      <c r="C147" s="2" t="s">
        <v>195</v>
      </c>
    </row>
    <row r="148" spans="3:11" ht="14.4" x14ac:dyDescent="0.3">
      <c r="C148" s="54"/>
      <c r="D148" s="54"/>
      <c r="E148" s="55"/>
      <c r="F148" s="55"/>
      <c r="G148" s="55"/>
      <c r="H148" s="55"/>
      <c r="I148" s="55"/>
      <c r="J148" s="55"/>
      <c r="K148" s="55"/>
    </row>
    <row r="149" spans="3:11" ht="14.4" x14ac:dyDescent="0.3">
      <c r="C149" s="55"/>
      <c r="D149" s="55"/>
      <c r="E149" s="55"/>
      <c r="F149" s="55"/>
      <c r="G149" s="55"/>
      <c r="H149" s="55"/>
      <c r="I149" s="55"/>
      <c r="J149" s="55"/>
      <c r="K149" s="55"/>
    </row>
    <row r="150" spans="3:11" ht="14.4" x14ac:dyDescent="0.3">
      <c r="C150" s="55"/>
      <c r="D150" s="55"/>
      <c r="E150" s="55"/>
      <c r="F150" s="55"/>
      <c r="G150" s="55"/>
      <c r="H150" s="55"/>
      <c r="I150" s="55"/>
      <c r="J150" s="55"/>
      <c r="K150" s="55"/>
    </row>
  </sheetData>
  <mergeCells count="4">
    <mergeCell ref="C3:K4"/>
    <mergeCell ref="C6:K6"/>
    <mergeCell ref="C89:H89"/>
    <mergeCell ref="C103:H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Monthly Portfolio</vt:lpstr>
      <vt:lpstr>Half Yearly Portfolio</vt:lpstr>
      <vt:lpstr>XDO_?CLASS_3?13?</vt:lpstr>
      <vt:lpstr>XDO_?FINAL_ISIN?66?</vt:lpstr>
      <vt:lpstr>XDO_?FINAL_ISIN?67?</vt:lpstr>
      <vt:lpstr>XDO_?FINAL_ISIN?68?</vt:lpstr>
      <vt:lpstr>XDO_?FINAL_MV?66?</vt:lpstr>
      <vt:lpstr>XDO_?FINAL_MV?67?</vt:lpstr>
      <vt:lpstr>XDO_?FINAL_MV?68?</vt:lpstr>
      <vt:lpstr>XDO_?FINAL_NAME?66?</vt:lpstr>
      <vt:lpstr>XDO_?FINAL_NAME?67?</vt:lpstr>
      <vt:lpstr>XDO_?FINAL_NAME?68?</vt:lpstr>
      <vt:lpstr>XDO_?FINAL_PER_NET?66?</vt:lpstr>
      <vt:lpstr>XDO_?FINAL_PER_NET?67?</vt:lpstr>
      <vt:lpstr>XDO_?FINAL_PER_NET?68?</vt:lpstr>
      <vt:lpstr>XDO_?FINAL_QUANTITE?66?</vt:lpstr>
      <vt:lpstr>XDO_?FINAL_QUANTITE?67?</vt:lpstr>
      <vt:lpstr>XDO_?FINAL_QUANTITE?68?</vt:lpstr>
      <vt:lpstr>XDO_?NAMCNAME?13?</vt:lpstr>
      <vt:lpstr>XDO_?NOVAL?66?</vt:lpstr>
      <vt:lpstr>XDO_?NOVAL?67?</vt:lpstr>
      <vt:lpstr>XDO_?NOVAL?68?</vt:lpstr>
      <vt:lpstr>XDO_?NPTF?13?</vt:lpstr>
      <vt:lpstr>XDO_?RATING?66?</vt:lpstr>
      <vt:lpstr>XDO_?RATING?67?</vt:lpstr>
      <vt:lpstr>XDO_?RATING?68?</vt:lpstr>
      <vt:lpstr>XDO_?REMARKS?66?</vt:lpstr>
      <vt:lpstr>XDO_?REMARKS?67?</vt:lpstr>
      <vt:lpstr>XDO_?REMARKS?68?</vt:lpstr>
      <vt:lpstr>XDO_?TITL?13?</vt:lpstr>
      <vt:lpstr>XDO_?YTM?66?</vt:lpstr>
      <vt:lpstr>XDO_?YTM?67?</vt:lpstr>
      <vt:lpstr>XDO_?YTM?68?</vt:lpstr>
      <vt:lpstr>XDO_GROUP_?G_2?13?</vt:lpstr>
      <vt:lpstr>XDO_GROUP_?G_3?13?</vt:lpstr>
      <vt:lpstr>XDO_GROUP_?G_4?66?</vt:lpstr>
      <vt:lpstr>XDO_GROUP_?G_4?67?</vt:lpstr>
      <vt:lpstr>XDO_GROUP_?G_4?68?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2023-10-05T12:54:12Z</dcterms:created>
  <dcterms:modified xsi:type="dcterms:W3CDTF">2023-10-09T10:20:46Z</dcterms:modified>
</cp:coreProperties>
</file>