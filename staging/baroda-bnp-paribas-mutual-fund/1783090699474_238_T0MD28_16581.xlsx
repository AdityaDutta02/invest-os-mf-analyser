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4C65E218-FFE8-4E35-BE25-A9446ADA93A3}" xr6:coauthVersionLast="47" xr6:coauthVersionMax="47" xr10:uidLastSave="{00000000-0000-0000-0000-000000000000}"/>
  <bookViews>
    <workbookView xWindow="-108" yWindow="-108" windowWidth="23256" windowHeight="12456" xr2:uid="{D3AD9446-FB0A-4FC2-A685-1AC583D1DF42}"/>
  </bookViews>
  <sheets>
    <sheet name="T0MD28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<sst xmlns="http://schemas.openxmlformats.org/spreadsheetml/2006/main" count="64" uniqueCount="44">
  <si>
    <t>Baroda BNP Paribas NIFTY SDL December 2028 Index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</si>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</sst>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D38DDFD1-B1CC-41F1-ADEF-63949133B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51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4F416-3776-431B-8A43-F97C2AFDC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3855720</xdr:colOff>
      <xdr:row>66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BE3F0-5CE8-40E9-98A7-74C117001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79B2-4E92-4191-982E-108BE51B50D1}">
  <sheetPr codeName="Sheet6">
    <outlinePr summaryBelow="0"/>
  </sheetPr>
  <dimension ref="A1:J7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1162700</v>
      </c>
      <c r="F7" s="16">
        <v>1209.03</v>
      </c>
      <c r="G7" s="17">
        <v>0.41320000000000001</v>
      </c>
      <c r="H7" s="18">
        <v>6.6536999999999999E-2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760000</v>
      </c>
      <c r="F8" s="16">
        <v>790.29</v>
      </c>
      <c r="G8" s="17">
        <v>0.27010000000000001</v>
      </c>
      <c r="H8" s="18">
        <v>6.6536999999999999E-2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425000</v>
      </c>
      <c r="F9" s="16">
        <v>441.63</v>
      </c>
      <c r="G9" s="17">
        <v>0.15090000000000001</v>
      </c>
      <c r="H9" s="18">
        <v>6.6810999999999995E-2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355000</v>
      </c>
      <c r="F10" s="16">
        <v>369.15</v>
      </c>
      <c r="G10" s="17">
        <v>0.12620000000000001</v>
      </c>
      <c r="H10" s="18">
        <v>6.6536999999999999E-2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2810.1</v>
      </c>
      <c r="G11" s="23">
        <v>0.96040000000000003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2810.1</v>
      </c>
      <c r="G14" s="23">
        <v>0.96040000000000003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94.88</v>
      </c>
      <c r="G16" s="17">
        <v>3.2399999999999998E-2</v>
      </c>
      <c r="H16" s="18">
        <v>5.0087460204660171E-2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94.88</v>
      </c>
      <c r="G17" s="23">
        <v>3.2399999999999998E-2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94.88</v>
      </c>
      <c r="G20" s="23">
        <v>3.2399999999999998E-2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20.75</v>
      </c>
      <c r="G21" s="23">
        <v>7.1999999999999998E-3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2925.73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1"/>
      <c r="C24" s="41"/>
      <c r="D24" s="41"/>
      <c r="E24" s="41"/>
      <c r="F24" s="41"/>
      <c r="G24" s="41"/>
      <c r="H24" s="41"/>
      <c r="I24" s="1"/>
      <c r="J24" s="1"/>
    </row>
    <row r="25" spans="1:10" ht="13.05" customHeight="1" thickBot="1">
      <c r="A25" s="1"/>
      <c r="B25" s="41"/>
      <c r="C25" s="41"/>
      <c r="D25" s="41"/>
      <c r="E25" s="41"/>
      <c r="F25" s="41"/>
      <c r="G25" s="41"/>
      <c r="H25" s="41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0.96040000000000003</v>
      </c>
      <c r="E28" s="37">
        <f t="shared" ref="E28:E29" si="0">MIN(C28:D28)</f>
        <v>0.96040000000000003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3.9600000000000003E-2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 t="shared" ref="C30" si="1">SUM(C27:C29)</f>
        <v>1</v>
      </c>
      <c r="D30" s="39">
        <f>SUM(D27:D29)</f>
        <v>1</v>
      </c>
      <c r="E30" s="40">
        <f t="shared" ref="E30" si="2">SUM(E27:E29)</f>
        <v>0.96040000000000003</v>
      </c>
      <c r="F30" s="2"/>
      <c r="G30" s="2"/>
      <c r="H30" s="2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41" t="s">
        <v>42</v>
      </c>
      <c r="C33" s="41"/>
      <c r="D33" s="41"/>
      <c r="E33" s="41"/>
      <c r="F33" s="41"/>
      <c r="G33" s="41"/>
      <c r="H33" s="41"/>
      <c r="I33" s="1"/>
      <c r="J33" s="1"/>
    </row>
    <row r="70" spans="2:2">
      <c r="B70" t="s">
        <v>43</v>
      </c>
    </row>
  </sheetData>
  <mergeCells count="3">
    <mergeCell ref="B24:H24"/>
    <mergeCell ref="B25:H25"/>
    <mergeCell ref="B33:H3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2026-02-06T13:54:34Z</dcterms:created>
  <dcterms:modified xsi:type="dcterms:W3CDTF">2026-02-09T09:20:37Z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2026-02-06T13:54:34Z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ff0fa6c7-fbed-45c1-bcf4-aa6c19be3825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