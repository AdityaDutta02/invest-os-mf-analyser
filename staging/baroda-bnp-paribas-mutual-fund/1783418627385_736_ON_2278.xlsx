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25?">'Monthly Portfolio'!$C$28:$C$35</definedName>
    <definedName name="XDO_?FINAL_ISIN?116?">'Monthly Portfolio'!$D$34:$D$35</definedName>
    <definedName name="XDO_?FINAL_ISIN?117?">'Monthly Portfolio'!$D$34:$D$51</definedName>
    <definedName name="XDO_?FINAL_ISIN?118?">'Monthly Portfolio'!$D$34:$D$55</definedName>
    <definedName name="XDO_?FINAL_MV?116?">'Monthly Portfolio'!$G$34:$G$35</definedName>
    <definedName name="XDO_?FINAL_MV?117?">'Monthly Portfolio'!$G$34:$G$51</definedName>
    <definedName name="XDO_?FINAL_MV?118?">'Monthly Portfolio'!$G$34:$G$55</definedName>
    <definedName name="XDO_?FINAL_NAME?116?">'Monthly Portfolio'!$C$34:$C$35</definedName>
    <definedName name="XDO_?FINAL_NAME?117?">'Monthly Portfolio'!$C$34:$C$51</definedName>
    <definedName name="XDO_?FINAL_NAME?118?">'Monthly Portfolio'!$C$34:$C$55</definedName>
    <definedName name="XDO_?FINAL_PER_NET?116?">'Monthly Portfolio'!$H$34:$H$35</definedName>
    <definedName name="XDO_?FINAL_PER_NET?117?">'Monthly Portfolio'!$H$34:$H$51</definedName>
    <definedName name="XDO_?FINAL_PER_NET?118?">'Monthly Portfolio'!$H$34:$H$55</definedName>
    <definedName name="XDO_?FINAL_QUANTITE?116?">'Monthly Portfolio'!$F$34:$F$35</definedName>
    <definedName name="XDO_?FINAL_QUANTITE?117?">'Monthly Portfolio'!$F$34:$F$51</definedName>
    <definedName name="XDO_?FINAL_QUANTITE?118?">'Monthly Portfolio'!$F$34:$F$55</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[1]CO!#REF!</definedName>
    <definedName name="XDO_?NAMC?23?">[1]US!#REF!</definedName>
    <definedName name="XDO_?NAMC?24?">[1]DE!#REF!</definedName>
    <definedName name="XDO_?NAMC?25?">'Monthly Portfolio'!#REF!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25?">'Monthly Portfolio'!$C$2:$C$35</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[1]CO!#REF!</definedName>
    <definedName name="XDO_?NDATE?23?">[1]US!#REF!</definedName>
    <definedName name="XDO_?NDATE?24?">[1]DE!#REF!</definedName>
    <definedName name="XDO_?NDATE?25?">'Monthly Portfolio'!#REF!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[1]CO!#REF!</definedName>
    <definedName name="XDO_?NNPTF?23?">[1]US!#REF!</definedName>
    <definedName name="XDO_?NNPTF?24?">[1]DE!#REF!</definedName>
    <definedName name="XDO_?NNPTF?25?">'Monthly Portfolio'!#REF!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116?">'Monthly Portfolio'!$B$34:$B$35</definedName>
    <definedName name="XDO_?NOVAL?117?">'Monthly Portfolio'!$B$34:$B$51</definedName>
    <definedName name="XDO_?NOVAL?118?">'Monthly Portfolio'!$B$34:$B$55</definedName>
    <definedName name="XDO_?NPTF?25?">'Monthly Portfolio'!$D$2:$D$35</definedName>
    <definedName name="XDO_?RATING?116?">'Monthly Portfolio'!$E$34:$E$35</definedName>
    <definedName name="XDO_?RATING?117?">'Monthly Portfolio'!$E$34:$E$51</definedName>
    <definedName name="XDO_?RATING?118?">'Monthly Portfolio'!$E$34:$E$55</definedName>
    <definedName name="XDO_?REMARKS?116?">'Monthly Portfolio'!$K$34:$K$35</definedName>
    <definedName name="XDO_?REMARKS?117?">'Monthly Portfolio'!$K$34:$K$51</definedName>
    <definedName name="XDO_?REMARKS?118?">'Monthly Portfolio'!$K$34:$K$55</definedName>
    <definedName name="XDO_?TITL?25?">'Monthly Portfolio'!$A$28:$A$35</definedName>
    <definedName name="XDO_?YTM?116?">'Monthly Portfolio'!$I$34:$I$35</definedName>
    <definedName name="XDO_?YTM?117?">'Monthly Portfolio'!$I$34:$I$51</definedName>
    <definedName name="XDO_?YTM?118?">'Monthly Portfolio'!$I$34:$I$55</definedName>
    <definedName name="XDO_GROUP_?G_2?25?">'Monthly Portfolio'!$2:$23</definedName>
    <definedName name="XDO_GROUP_?G_3?25?">'Monthly Portfolio'!$8:$22</definedName>
    <definedName name="XDO_GROUP_?G_4?116?">'Monthly Portfolio'!$B$10:$IV$11</definedName>
    <definedName name="XDO_GROUP_?G_4?117?">'Monthly Portfolio'!#REF!</definedName>
    <definedName name="XDO_GROUP_?G_4?118?">'Monthly Portfolio'!$B$20:$IV$20</definedName>
    <definedName name="XDO_GROUP_?G_4?32?">[1]TA!#REF!</definedName>
    <definedName name="XDO_GROUP_?G_4?76?">[1]GR!#REF!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 i="2"/>
  <c r="H58" i="1" l="1"/>
</calcChain>
</file>

<file path=xl/sharedStrings.xml><?xml version="1.0" encoding="utf-8"?>
<sst xmlns="http://schemas.openxmlformats.org/spreadsheetml/2006/main" count="279" uniqueCount="114">
  <si>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</si>
  <si>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</si>
  <si>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</si>
  <si>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</si>
  <si>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</si>
  <si>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</si>
  <si>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</si>
  <si>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</si>
  <si>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</si>
  <si>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</si>
  <si>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</si>
  <si>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</si>
  <si>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</si>
  <si>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</si>
  <si>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</si>
  <si>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</si>
  <si>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</si>
  <si>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</si>
  <si>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</si>
  <si>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</si>
  <si>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</si>
  <si>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</si>
  <si>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</si>
  <si>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</si>
  <si>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</si>
  <si>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</si>
  <si>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</si>
  <si>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</si>
  <si>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</si>
  <si>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1800953</t>
  </si>
  <si>
    <t>182 DAY T-BILL 20-Apr-2023</t>
  </si>
  <si>
    <t>IN002022Y302</t>
  </si>
  <si>
    <t>Sovereign</t>
  </si>
  <si>
    <t>1800958</t>
  </si>
  <si>
    <t>364 DAY T-BILL 27-Apr-2023</t>
  </si>
  <si>
    <t>IN002022Z044</t>
  </si>
  <si>
    <t>Total</t>
  </si>
  <si>
    <t>d) Bills Re- Discounting</t>
  </si>
  <si>
    <t>OTHERS</t>
  </si>
  <si>
    <t>a) Mutual Fund Units / Exchange Traded Funds</t>
  </si>
  <si>
    <t>b) Gold</t>
  </si>
  <si>
    <t>c) Short Term Deposits</t>
  </si>
  <si>
    <t>d) Term Deposits Placed as Margins</t>
  </si>
  <si>
    <t>e) TREPS / Reverse Repo Investments</t>
  </si>
  <si>
    <t>304231004</t>
  </si>
  <si>
    <t>7.65% Reverse Repo 03-Apr-2023</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</si>
  <si>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</si>
  <si>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</si>
  <si>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</si>
  <si>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</si>
  <si>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</si>
  <si>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</si>
  <si>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</si>
  <si>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</si>
  <si>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</si>
  <si>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</si>
  <si>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</si>
  <si>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</si>
  <si>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</si>
  <si>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</si>
  <si>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</si>
  <si>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</si>
  <si>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</si>
  <si>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</si>
  <si>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</si>
  <si>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</si>
  <si>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</si>
  <si>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</si>
  <si>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</si>
  <si>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</si>
  <si>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</si>
  <si>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</si>
  <si>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</si>
  <si>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</si>
  <si>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</si>
  <si>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</si>
  <si>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</si>
  <si>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</si>
  <si>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</si>
  <si>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4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</si>
  <si>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</si>
  <si>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</si>
  <si>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</si>
  <si>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</si>
  <si>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</si>
  <si>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</si>
  <si>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</si>
  <si>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</si>
  <si>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</si>
  <si>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3 days.</t>
  </si>
  <si>
    <t>(18) Annualised Portfolio YTM has been 7.5153.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</si>
  <si>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</si>
  <si>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</si>
  <si>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</si>
  <si>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</si>
  <si>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</si>
  <si>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</si>
  <si>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</si>
  <si>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</si>
  <si>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</si>
  <si>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</si>
  <si>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</si>
  <si>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</si>
  <si>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</si>
  <si>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</si>
  <si>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OVERNIGHT FUND 
(An open-ended debt scheme investing in government securities across maturity. A Relatively High Interest Rate 
Risk and Low Credit Risk)</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</si>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</sst>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Medium"/>
      <family val="2"/>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9" fillId="6" borderId="26" xfId="0" applyFont="1" applyFill="1" applyBorder="1" applyAlignment="1">
      <alignment horizontal="center" wrapText="1"/>
    </xf>
    <xf numFmtId="0" fontId="19" fillId="6" borderId="27" xfId="0" applyFont="1" applyFill="1" applyBorder="1" applyAlignment="1">
      <alignment horizontal="center" wrapText="1"/>
    </xf>
    <xf numFmtId="0" fontId="19" fillId="6" borderId="28" xfId="0" applyFont="1" applyFill="1" applyBorder="1" applyAlignment="1">
      <alignment horizontal="center" wrapText="1"/>
    </xf>
    <xf numFmtId="0" fontId="19" fillId="6" borderId="29" xfId="0" applyFont="1" applyFill="1" applyBorder="1" applyAlignment="1">
      <alignment horizontal="center" wrapText="1"/>
    </xf>
    <xf numFmtId="0" fontId="19" fillId="6" borderId="30" xfId="0" applyFont="1" applyFill="1" applyBorder="1" applyAlignment="1">
      <alignment horizontal="center" wrapText="1"/>
    </xf>
    <xf numFmtId="0" fontId="19"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5</xdr:col>
      <xdr:colOff>703241</xdr:colOff>
      <xdr:row>120</xdr:row>
      <xdr:rowOff>102278</xdr:rowOff>
    </xdr:to>
    <xdr:pic>
      <xdr:nvPicPr>
        <xdr:cNvPr id="2" name="Picture 1" descr="Overnight Fund.jpg"/>
        <xdr:cNvPicPr>
          <a:picLocks noChangeAspect="1"/>
        </xdr:cNvPicPr>
      </xdr:nvPicPr>
      <xdr:blipFill>
        <a:blip xmlns:r="http://schemas.openxmlformats.org/officeDocument/2006/relationships" r:embed="rId1"/>
        <a:stretch>
          <a:fillRect/>
        </a:stretch>
      </xdr:blipFill>
      <xdr:spPr>
        <a:xfrm>
          <a:off x="169333" y="17801167"/>
          <a:ext cx="7455408" cy="29809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5</xdr:col>
      <xdr:colOff>703241</xdr:colOff>
      <xdr:row>122</xdr:row>
      <xdr:rowOff>102278</xdr:rowOff>
    </xdr:to>
    <xdr:pic>
      <xdr:nvPicPr>
        <xdr:cNvPr id="2" name="Picture 1" descr="Overnight Fund.jpg"/>
        <xdr:cNvPicPr>
          <a:picLocks noChangeAspect="1"/>
        </xdr:cNvPicPr>
      </xdr:nvPicPr>
      <xdr:blipFill>
        <a:blip xmlns:r="http://schemas.openxmlformats.org/officeDocument/2006/relationships" r:embed="rId1"/>
        <a:stretch>
          <a:fillRect/>
        </a:stretch>
      </xdr:blipFill>
      <xdr:spPr>
        <a:xfrm>
          <a:off x="175260" y="18356580"/>
          <a:ext cx="7652681" cy="30816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32"/>
  <sheetViews>
    <sheetView showGridLines="0" tabSelected="1" zoomScale="90" zoomScaleNormal="90" workbookViewId="0">
      <pane ySplit="6" topLeftCell="A7" activePane="bottomLeft" state="frozen"/>
      <selection activeCell="I2" sqref="I2"/>
      <selection pane="bottomLeft" activeCell="C18" sqref="C18"/>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A29" s="36"/>
      <c r="B29" s="36"/>
      <c r="C29" s="28" t="s">
        <v>26</v>
      </c>
      <c r="D29" s="29"/>
      <c r="E29" s="30"/>
      <c r="F29" s="31"/>
      <c r="G29" s="32" t="s">
        <v>16</v>
      </c>
      <c r="H29" s="32" t="s">
        <v>16</v>
      </c>
      <c r="I29" s="33"/>
      <c r="J29" s="33"/>
      <c r="K29" s="34"/>
    </row>
    <row r="30" spans="1:11">
      <c r="A30" s="36"/>
      <c r="B30" s="36"/>
      <c r="C30" s="28"/>
      <c r="D30" s="29"/>
      <c r="E30" s="30"/>
      <c r="F30" s="31"/>
      <c r="G30" s="32"/>
      <c r="H30" s="32"/>
      <c r="I30" s="33"/>
      <c r="J30" s="33"/>
      <c r="K30" s="34"/>
    </row>
    <row r="31" spans="1:11">
      <c r="A31" s="36"/>
      <c r="B31" s="36"/>
      <c r="C31" s="28" t="s">
        <v>27</v>
      </c>
      <c r="D31" s="29"/>
      <c r="E31" s="30"/>
      <c r="F31" s="31"/>
      <c r="G31" s="32" t="s">
        <v>16</v>
      </c>
      <c r="H31" s="32" t="s">
        <v>16</v>
      </c>
      <c r="I31" s="33"/>
      <c r="J31" s="33"/>
      <c r="K31" s="34"/>
    </row>
    <row r="32" spans="1:11">
      <c r="A32" s="36"/>
      <c r="B32" s="36"/>
      <c r="C32" s="28"/>
      <c r="D32" s="29"/>
      <c r="E32" s="30"/>
      <c r="F32" s="31"/>
      <c r="G32" s="32"/>
      <c r="H32" s="32"/>
      <c r="I32" s="33"/>
      <c r="J32" s="33"/>
      <c r="K32" s="34"/>
    </row>
    <row r="33" spans="1:11">
      <c r="C33" s="37" t="s">
        <v>28</v>
      </c>
      <c r="D33" s="29"/>
      <c r="E33" s="30"/>
      <c r="F33" s="31"/>
      <c r="G33" s="32"/>
      <c r="H33" s="32"/>
      <c r="I33" s="33"/>
      <c r="J33" s="33"/>
      <c r="K33" s="34"/>
    </row>
    <row r="34" spans="1:11">
      <c r="B34" s="1" t="s">
        <v>29</v>
      </c>
      <c r="C34" s="21" t="s">
        <v>30</v>
      </c>
      <c r="D34" s="29" t="s">
        <v>31</v>
      </c>
      <c r="E34" s="30" t="s">
        <v>32</v>
      </c>
      <c r="F34" s="31">
        <v>500000</v>
      </c>
      <c r="G34" s="32">
        <v>498.27</v>
      </c>
      <c r="H34" s="32">
        <v>1.24</v>
      </c>
      <c r="I34" s="33">
        <v>6.6680000000000001</v>
      </c>
      <c r="J34" s="33"/>
      <c r="K34" s="34"/>
    </row>
    <row r="35" spans="1:11">
      <c r="B35" s="1" t="s">
        <v>33</v>
      </c>
      <c r="C35" s="21" t="s">
        <v>34</v>
      </c>
      <c r="D35" s="29" t="s">
        <v>35</v>
      </c>
      <c r="E35" s="30" t="s">
        <v>32</v>
      </c>
      <c r="F35" s="31">
        <v>500000</v>
      </c>
      <c r="G35" s="32">
        <v>497.63</v>
      </c>
      <c r="H35" s="32">
        <v>1.24</v>
      </c>
      <c r="I35" s="33">
        <v>6.6936999999999998</v>
      </c>
      <c r="J35" s="33"/>
      <c r="K35" s="34"/>
    </row>
    <row r="36" spans="1:11">
      <c r="C36" s="28" t="s">
        <v>36</v>
      </c>
      <c r="D36" s="29"/>
      <c r="E36" s="30"/>
      <c r="F36" s="31"/>
      <c r="G36" s="38">
        <v>995.9</v>
      </c>
      <c r="H36" s="38">
        <v>2.48</v>
      </c>
      <c r="I36" s="33"/>
      <c r="J36" s="33"/>
      <c r="K36" s="34"/>
    </row>
    <row r="37" spans="1:11">
      <c r="C37" s="21"/>
      <c r="D37" s="29"/>
      <c r="E37" s="30"/>
      <c r="F37" s="31"/>
      <c r="G37" s="32"/>
      <c r="H37" s="32"/>
      <c r="I37" s="33"/>
      <c r="J37" s="33"/>
      <c r="K37" s="34"/>
    </row>
    <row r="38" spans="1:11">
      <c r="C38" s="28" t="s">
        <v>37</v>
      </c>
      <c r="D38" s="29"/>
      <c r="E38" s="30"/>
      <c r="F38" s="31"/>
      <c r="G38" s="32" t="s">
        <v>16</v>
      </c>
      <c r="H38" s="32" t="s">
        <v>16</v>
      </c>
      <c r="I38" s="33"/>
      <c r="J38" s="33"/>
      <c r="K38" s="34"/>
    </row>
    <row r="39" spans="1:11">
      <c r="C39" s="21"/>
      <c r="D39" s="29"/>
      <c r="E39" s="30"/>
      <c r="F39" s="31"/>
      <c r="G39" s="32"/>
      <c r="H39" s="32"/>
      <c r="I39" s="33"/>
      <c r="J39" s="33"/>
      <c r="K39" s="34"/>
    </row>
    <row r="40" spans="1:11">
      <c r="A40" s="35"/>
      <c r="B40" s="36"/>
      <c r="C40" s="28" t="s">
        <v>38</v>
      </c>
      <c r="D40" s="29"/>
      <c r="E40" s="30"/>
      <c r="F40" s="31"/>
      <c r="G40" s="32"/>
      <c r="H40" s="32"/>
      <c r="I40" s="33"/>
      <c r="J40" s="33"/>
      <c r="K40" s="34"/>
    </row>
    <row r="41" spans="1:11">
      <c r="A41" s="36"/>
      <c r="B41" s="36"/>
      <c r="C41" s="28" t="s">
        <v>39</v>
      </c>
      <c r="D41" s="29"/>
      <c r="E41" s="30"/>
      <c r="F41" s="31"/>
      <c r="G41" s="32" t="s">
        <v>16</v>
      </c>
      <c r="H41" s="32" t="s">
        <v>16</v>
      </c>
      <c r="I41" s="33"/>
      <c r="J41" s="33"/>
      <c r="K41" s="34"/>
    </row>
    <row r="42" spans="1:11">
      <c r="A42" s="36"/>
      <c r="B42" s="36"/>
      <c r="C42" s="28"/>
      <c r="D42" s="29"/>
      <c r="E42" s="30"/>
      <c r="F42" s="31"/>
      <c r="G42" s="32"/>
      <c r="H42" s="32"/>
      <c r="I42" s="33"/>
      <c r="J42" s="33"/>
      <c r="K42" s="34"/>
    </row>
    <row r="43" spans="1:11">
      <c r="A43" s="36"/>
      <c r="B43" s="36"/>
      <c r="C43" s="28" t="s">
        <v>40</v>
      </c>
      <c r="D43" s="29"/>
      <c r="E43" s="30"/>
      <c r="F43" s="31"/>
      <c r="G43" s="32" t="s">
        <v>16</v>
      </c>
      <c r="H43" s="32" t="s">
        <v>16</v>
      </c>
      <c r="I43" s="33"/>
      <c r="J43" s="33"/>
      <c r="K43" s="34"/>
    </row>
    <row r="44" spans="1:11">
      <c r="A44" s="36"/>
      <c r="B44" s="36"/>
      <c r="C44" s="28"/>
      <c r="D44" s="29"/>
      <c r="E44" s="30"/>
      <c r="F44" s="31"/>
      <c r="G44" s="32"/>
      <c r="H44" s="32"/>
      <c r="I44" s="33"/>
      <c r="J44" s="33"/>
      <c r="K44" s="34"/>
    </row>
    <row r="45" spans="1:11">
      <c r="A45" s="36"/>
      <c r="B45" s="36"/>
      <c r="C45" s="28" t="s">
        <v>41</v>
      </c>
      <c r="D45" s="29"/>
      <c r="E45" s="30"/>
      <c r="F45" s="31"/>
      <c r="G45" s="32" t="s">
        <v>16</v>
      </c>
      <c r="H45" s="32" t="s">
        <v>16</v>
      </c>
      <c r="I45" s="33"/>
      <c r="J45" s="33"/>
      <c r="K45" s="34"/>
    </row>
    <row r="46" spans="1:11">
      <c r="A46" s="36"/>
      <c r="B46" s="36"/>
      <c r="C46" s="28"/>
      <c r="D46" s="29"/>
      <c r="E46" s="30"/>
      <c r="F46" s="31"/>
      <c r="G46" s="32"/>
      <c r="H46" s="32"/>
      <c r="I46" s="33"/>
      <c r="J46" s="33"/>
      <c r="K46" s="34"/>
    </row>
    <row r="47" spans="1:11">
      <c r="A47" s="36"/>
      <c r="B47" s="36"/>
      <c r="C47" s="28" t="s">
        <v>42</v>
      </c>
      <c r="D47" s="29"/>
      <c r="E47" s="30"/>
      <c r="F47" s="31"/>
      <c r="G47" s="32" t="s">
        <v>16</v>
      </c>
      <c r="H47" s="32" t="s">
        <v>16</v>
      </c>
      <c r="I47" s="33"/>
      <c r="J47" s="33"/>
      <c r="K47" s="34"/>
    </row>
    <row r="48" spans="1:11">
      <c r="A48" s="36"/>
      <c r="B48" s="36"/>
      <c r="C48" s="28"/>
      <c r="D48" s="29"/>
      <c r="E48" s="30"/>
      <c r="F48" s="31"/>
      <c r="G48" s="32"/>
      <c r="H48" s="32"/>
      <c r="I48" s="33"/>
      <c r="J48" s="33"/>
      <c r="K48" s="34"/>
    </row>
    <row r="49" spans="1:11">
      <c r="C49" s="37" t="s">
        <v>43</v>
      </c>
      <c r="D49" s="29"/>
      <c r="E49" s="30"/>
      <c r="F49" s="31"/>
      <c r="G49" s="32"/>
      <c r="H49" s="32"/>
      <c r="I49" s="33"/>
      <c r="J49" s="33"/>
      <c r="K49" s="34"/>
    </row>
    <row r="50" spans="1:11">
      <c r="B50" s="1" t="s">
        <v>44</v>
      </c>
      <c r="C50" s="21" t="s">
        <v>45</v>
      </c>
      <c r="D50" s="29"/>
      <c r="E50" s="30"/>
      <c r="F50" s="31"/>
      <c r="G50" s="32">
        <v>29499.52</v>
      </c>
      <c r="H50" s="32">
        <v>73.3</v>
      </c>
      <c r="I50" s="33">
        <v>7.65</v>
      </c>
      <c r="J50" s="33"/>
      <c r="K50" s="34"/>
    </row>
    <row r="51" spans="1:11">
      <c r="B51" s="1" t="s">
        <v>46</v>
      </c>
      <c r="C51" s="21" t="s">
        <v>47</v>
      </c>
      <c r="D51" s="29"/>
      <c r="E51" s="30"/>
      <c r="F51" s="31"/>
      <c r="G51" s="32">
        <v>8275.49</v>
      </c>
      <c r="H51" s="32">
        <v>20.56</v>
      </c>
      <c r="I51" s="33">
        <v>7.14</v>
      </c>
      <c r="J51" s="33"/>
      <c r="K51" s="34"/>
    </row>
    <row r="52" spans="1:11">
      <c r="C52" s="28" t="s">
        <v>36</v>
      </c>
      <c r="D52" s="29"/>
      <c r="E52" s="30"/>
      <c r="F52" s="31"/>
      <c r="G52" s="38">
        <v>37775.01</v>
      </c>
      <c r="H52" s="38">
        <v>93.86</v>
      </c>
      <c r="I52" s="33"/>
      <c r="J52" s="33"/>
      <c r="K52" s="34"/>
    </row>
    <row r="53" spans="1:11">
      <c r="C53" s="21"/>
      <c r="D53" s="29"/>
      <c r="E53" s="30"/>
      <c r="F53" s="31"/>
      <c r="G53" s="32"/>
      <c r="H53" s="32"/>
      <c r="I53" s="33"/>
      <c r="J53" s="33"/>
      <c r="K53" s="34"/>
    </row>
    <row r="54" spans="1:11">
      <c r="A54" s="35"/>
      <c r="B54" s="36"/>
      <c r="C54" s="28" t="s">
        <v>48</v>
      </c>
      <c r="D54" s="29"/>
      <c r="E54" s="30"/>
      <c r="F54" s="31"/>
      <c r="G54" s="32"/>
      <c r="H54" s="32"/>
      <c r="I54" s="33"/>
      <c r="J54" s="33"/>
      <c r="K54" s="34"/>
    </row>
    <row r="55" spans="1:11">
      <c r="B55" s="1"/>
      <c r="C55" s="21" t="s">
        <v>49</v>
      </c>
      <c r="D55" s="29"/>
      <c r="E55" s="30"/>
      <c r="F55" s="31"/>
      <c r="G55" s="32">
        <v>1473.35</v>
      </c>
      <c r="H55" s="32">
        <v>3.66</v>
      </c>
      <c r="I55" s="33"/>
      <c r="J55" s="33"/>
      <c r="K55" s="34"/>
    </row>
    <row r="56" spans="1:11">
      <c r="C56" s="28" t="s">
        <v>36</v>
      </c>
      <c r="D56" s="29"/>
      <c r="E56" s="30"/>
      <c r="F56" s="31"/>
      <c r="G56" s="38">
        <v>1473.35</v>
      </c>
      <c r="H56" s="38">
        <v>3.66</v>
      </c>
      <c r="I56" s="33"/>
      <c r="J56" s="33"/>
      <c r="K56" s="34"/>
    </row>
    <row r="57" spans="1:11">
      <c r="C57" s="21"/>
      <c r="D57" s="29"/>
      <c r="E57" s="30"/>
      <c r="F57" s="31"/>
      <c r="G57" s="32"/>
      <c r="H57" s="32"/>
      <c r="I57" s="33"/>
      <c r="J57" s="33"/>
      <c r="K57" s="34"/>
    </row>
    <row r="58" spans="1:11" ht="14.4" thickBot="1">
      <c r="C58" s="39" t="s">
        <v>50</v>
      </c>
      <c r="D58" s="40"/>
      <c r="E58" s="41"/>
      <c r="F58" s="42"/>
      <c r="G58" s="43">
        <v>40244.26</v>
      </c>
      <c r="H58" s="43">
        <f>SUMIFS(H:H,C:C,"Total")</f>
        <v>100</v>
      </c>
      <c r="I58" s="44"/>
      <c r="J58" s="44"/>
      <c r="K58" s="45"/>
    </row>
    <row r="61" spans="1:11">
      <c r="C61" s="11" t="s">
        <v>51</v>
      </c>
    </row>
    <row r="62" spans="1:11">
      <c r="C62" s="2" t="s">
        <v>52</v>
      </c>
    </row>
    <row r="63" spans="1:11">
      <c r="C63" s="46" t="s">
        <v>53</v>
      </c>
    </row>
    <row r="64" spans="1:11">
      <c r="C64" s="2" t="s">
        <v>54</v>
      </c>
    </row>
    <row r="65" spans="3:54">
      <c r="C65" s="2" t="s">
        <v>55</v>
      </c>
    </row>
    <row r="66" spans="3:54">
      <c r="C66" s="2" t="s">
        <v>56</v>
      </c>
      <c r="D66" s="47"/>
      <c r="E66" s="47"/>
      <c r="F66" s="47"/>
      <c r="G66" s="48"/>
      <c r="H66" s="48"/>
    </row>
    <row r="67" spans="3:54">
      <c r="C67" s="2" t="s">
        <v>57</v>
      </c>
    </row>
    <row r="68" spans="3:54">
      <c r="C68" s="2" t="s">
        <v>58</v>
      </c>
    </row>
    <row r="69" spans="3:54">
      <c r="C69" s="2" t="s">
        <v>59</v>
      </c>
    </row>
    <row r="70" spans="3:54">
      <c r="C70" s="2" t="s">
        <v>60</v>
      </c>
    </row>
    <row r="71" spans="3:54" s="11" customFormat="1">
      <c r="C71" s="11" t="s">
        <v>61</v>
      </c>
      <c r="E71" s="11" t="s">
        <v>62</v>
      </c>
      <c r="F71" s="49" t="s">
        <v>63</v>
      </c>
      <c r="G71" s="50"/>
      <c r="H71" s="50"/>
      <c r="I71" s="50"/>
      <c r="J71" s="50"/>
      <c r="K71" s="51"/>
      <c r="L71" s="51"/>
      <c r="AI71" s="51"/>
      <c r="AV71" s="51"/>
      <c r="AX71" s="51"/>
      <c r="BB71" s="51"/>
    </row>
    <row r="72" spans="3:54">
      <c r="C72" s="2" t="s">
        <v>64</v>
      </c>
      <c r="E72" s="52">
        <v>1050.4795999999999</v>
      </c>
      <c r="F72" s="53">
        <v>1056.2414000000001</v>
      </c>
    </row>
    <row r="73" spans="3:54">
      <c r="C73" s="2" t="s">
        <v>65</v>
      </c>
      <c r="E73" s="52">
        <v>1000</v>
      </c>
      <c r="F73" s="53">
        <v>1000</v>
      </c>
    </row>
    <row r="74" spans="3:54">
      <c r="C74" s="2" t="s">
        <v>66</v>
      </c>
      <c r="E74" s="52">
        <v>1050.4794999999999</v>
      </c>
      <c r="F74" s="53">
        <v>1056.2412999999999</v>
      </c>
    </row>
    <row r="75" spans="3:54">
      <c r="C75" s="2" t="s">
        <v>67</v>
      </c>
      <c r="E75" s="52">
        <v>1000</v>
      </c>
      <c r="F75" s="53">
        <v>1000</v>
      </c>
    </row>
    <row r="76" spans="3:54">
      <c r="C76" s="2" t="s">
        <v>68</v>
      </c>
      <c r="E76" s="52">
        <v>1000.0018</v>
      </c>
      <c r="F76" s="53">
        <v>1000.0018</v>
      </c>
    </row>
    <row r="77" spans="3:54">
      <c r="C77" s="2" t="s">
        <v>69</v>
      </c>
      <c r="E77" s="52">
        <v>1168.2800999999999</v>
      </c>
      <c r="F77" s="53">
        <v>1174.6282000000001</v>
      </c>
    </row>
    <row r="78" spans="3:54">
      <c r="C78" s="2" t="s">
        <v>70</v>
      </c>
      <c r="E78" s="52">
        <v>1000.0905</v>
      </c>
      <c r="F78" s="53">
        <v>1000.6678000000001</v>
      </c>
    </row>
    <row r="79" spans="3:54">
      <c r="C79" s="2" t="s">
        <v>71</v>
      </c>
      <c r="E79" s="52">
        <v>1000.0028</v>
      </c>
      <c r="F79" s="53">
        <v>1000.0028</v>
      </c>
    </row>
    <row r="80" spans="3:54">
      <c r="C80" s="2" t="s">
        <v>72</v>
      </c>
      <c r="E80" s="52">
        <v>1170.8342</v>
      </c>
      <c r="F80" s="53">
        <v>1177.2561000000001</v>
      </c>
    </row>
    <row r="81" spans="3:6">
      <c r="C81" s="2" t="s">
        <v>73</v>
      </c>
      <c r="E81" s="52">
        <v>1000.1079</v>
      </c>
      <c r="F81" s="53">
        <v>1000.69</v>
      </c>
    </row>
    <row r="83" spans="3:6">
      <c r="C83" s="2" t="s">
        <v>74</v>
      </c>
      <c r="E83" s="11" t="s">
        <v>75</v>
      </c>
      <c r="F83" s="49" t="s">
        <v>76</v>
      </c>
    </row>
    <row r="84" spans="3:6">
      <c r="C84" s="2" t="s">
        <v>68</v>
      </c>
      <c r="E84" s="52">
        <v>5.4196687399999988</v>
      </c>
      <c r="F84" s="53">
        <v>5.4196687399999988</v>
      </c>
    </row>
    <row r="85" spans="3:6">
      <c r="C85" s="2" t="s">
        <v>70</v>
      </c>
      <c r="E85" s="52">
        <v>4.8478548300000002</v>
      </c>
      <c r="F85" s="53">
        <v>4.8478548300000002</v>
      </c>
    </row>
    <row r="86" spans="3:6">
      <c r="C86" s="2" t="s">
        <v>71</v>
      </c>
      <c r="E86" s="52">
        <v>5.5263175099999993</v>
      </c>
      <c r="F86" s="53">
        <v>5.5263175099999993</v>
      </c>
    </row>
    <row r="87" spans="3:6">
      <c r="C87" s="2" t="s">
        <v>73</v>
      </c>
      <c r="E87" s="52">
        <v>4.8911679199999991</v>
      </c>
      <c r="F87" s="53">
        <v>4.8911679199999991</v>
      </c>
    </row>
    <row r="89" spans="3:6">
      <c r="C89" s="2" t="s">
        <v>77</v>
      </c>
    </row>
    <row r="90" spans="3:6">
      <c r="C90" s="2" t="s">
        <v>78</v>
      </c>
    </row>
    <row r="91" spans="3:6">
      <c r="C91" s="2" t="s">
        <v>79</v>
      </c>
    </row>
    <row r="92" spans="3:6">
      <c r="C92" s="2" t="s">
        <v>80</v>
      </c>
    </row>
    <row r="93" spans="3:6">
      <c r="C93" s="2" t="s">
        <v>81</v>
      </c>
    </row>
    <row r="94" spans="3:6">
      <c r="C94" s="2" t="s">
        <v>82</v>
      </c>
    </row>
    <row r="95" spans="3:6">
      <c r="C95" s="2" t="s">
        <v>83</v>
      </c>
    </row>
    <row r="96" spans="3:6">
      <c r="C96" s="2" t="s">
        <v>84</v>
      </c>
    </row>
    <row r="97" spans="3:11">
      <c r="C97" s="2" t="s">
        <v>85</v>
      </c>
    </row>
    <row r="98" spans="3:11">
      <c r="C98" s="2" t="s">
        <v>86</v>
      </c>
    </row>
    <row r="99" spans="3:11">
      <c r="C99" s="2" t="s">
        <v>87</v>
      </c>
    </row>
    <row r="100" spans="3:11">
      <c r="C100" s="2" t="s">
        <v>88</v>
      </c>
    </row>
    <row r="101" spans="3:11">
      <c r="C101" s="2" t="s">
        <v>89</v>
      </c>
    </row>
    <row r="102" spans="3:11">
      <c r="C102" s="2" t="s">
        <v>90</v>
      </c>
    </row>
    <row r="103" spans="3:11" ht="14.4">
      <c r="C103" s="54"/>
      <c r="D103" s="54"/>
      <c r="E103" s="54"/>
      <c r="F103" s="54"/>
      <c r="G103" s="54"/>
      <c r="H103" s="54"/>
      <c r="I103" s="54"/>
      <c r="J103" s="54"/>
      <c r="K103" s="54"/>
    </row>
    <row r="122" spans="3:54" ht="14.4" thickBot="1"/>
    <row r="123" spans="3:54" ht="14.4" thickBot="1">
      <c r="C123" s="64" t="s">
        <v>91</v>
      </c>
      <c r="D123" s="65"/>
      <c r="E123" s="65"/>
      <c r="F123" s="66"/>
      <c r="L123" s="2"/>
      <c r="AH123" s="10"/>
      <c r="AI123" s="2"/>
      <c r="AU123" s="10"/>
      <c r="AV123" s="2"/>
      <c r="AW123" s="10"/>
      <c r="AX123" s="2"/>
      <c r="BA123" s="10"/>
      <c r="BB123" s="2"/>
    </row>
    <row r="124" spans="3:54" ht="14.4" thickBot="1">
      <c r="C124" s="55" t="s">
        <v>92</v>
      </c>
      <c r="D124" s="67" t="s">
        <v>93</v>
      </c>
      <c r="E124" s="67" t="s">
        <v>94</v>
      </c>
      <c r="F124" s="67" t="s">
        <v>95</v>
      </c>
      <c r="L124" s="2"/>
      <c r="AH124" s="10"/>
      <c r="AI124" s="2"/>
      <c r="AU124" s="10"/>
      <c r="AV124" s="2"/>
      <c r="AW124" s="10"/>
      <c r="AX124" s="2"/>
      <c r="BA124" s="10"/>
      <c r="BB124" s="2"/>
    </row>
    <row r="125" spans="3:54" ht="14.4" thickBot="1">
      <c r="C125" s="55" t="s">
        <v>96</v>
      </c>
      <c r="D125" s="68"/>
      <c r="E125" s="68"/>
      <c r="F125" s="68"/>
      <c r="L125" s="2"/>
      <c r="AH125" s="10"/>
      <c r="AI125" s="2"/>
      <c r="AU125" s="10"/>
      <c r="AV125" s="2"/>
      <c r="AW125" s="10"/>
      <c r="AX125" s="2"/>
      <c r="BA125" s="10"/>
      <c r="BB125" s="2"/>
    </row>
    <row r="126" spans="3:54" ht="14.4" thickBot="1">
      <c r="C126" s="56" t="s">
        <v>97</v>
      </c>
      <c r="D126" s="57" t="s">
        <v>98</v>
      </c>
      <c r="E126" s="58"/>
      <c r="F126" s="58"/>
      <c r="L126" s="2"/>
      <c r="AH126" s="10"/>
      <c r="AI126" s="2"/>
      <c r="AU126" s="10"/>
      <c r="AV126" s="2"/>
      <c r="AW126" s="10"/>
      <c r="AX126" s="2"/>
      <c r="BA126" s="10"/>
      <c r="BB126" s="2"/>
    </row>
    <row r="127" spans="3:54">
      <c r="C127" s="59" t="s">
        <v>99</v>
      </c>
      <c r="D127" s="62"/>
      <c r="E127" s="62"/>
      <c r="F127" s="62"/>
      <c r="L127" s="2"/>
      <c r="AH127" s="10"/>
      <c r="AI127" s="2"/>
      <c r="AU127" s="10"/>
      <c r="AV127" s="2"/>
      <c r="AW127" s="10"/>
      <c r="AX127" s="2"/>
      <c r="BA127" s="10"/>
      <c r="BB127" s="2"/>
    </row>
    <row r="128" spans="3:54" ht="14.4" thickBot="1">
      <c r="C128" s="56" t="s">
        <v>100</v>
      </c>
      <c r="D128" s="63"/>
      <c r="E128" s="63"/>
      <c r="F128" s="63"/>
      <c r="L128" s="2"/>
      <c r="AH128" s="10"/>
      <c r="AI128" s="2"/>
      <c r="AU128" s="10"/>
      <c r="AV128" s="2"/>
      <c r="AW128" s="10"/>
      <c r="AX128" s="2"/>
      <c r="BA128" s="10"/>
      <c r="BB128" s="2"/>
    </row>
    <row r="129" spans="3:54">
      <c r="C129" s="59" t="s">
        <v>101</v>
      </c>
      <c r="D129" s="62"/>
      <c r="E129" s="62"/>
      <c r="F129" s="62"/>
      <c r="L129" s="2"/>
      <c r="AH129" s="10"/>
      <c r="AI129" s="2"/>
      <c r="AU129" s="10"/>
      <c r="AV129" s="2"/>
      <c r="AW129" s="10"/>
      <c r="AX129" s="2"/>
      <c r="BA129" s="10"/>
      <c r="BB129" s="2"/>
    </row>
    <row r="130" spans="3:54" ht="14.4" thickBot="1">
      <c r="C130" s="56" t="s">
        <v>102</v>
      </c>
      <c r="D130" s="63"/>
      <c r="E130" s="63"/>
      <c r="F130" s="63"/>
      <c r="L130" s="2"/>
      <c r="AH130" s="10"/>
      <c r="AI130" s="2"/>
      <c r="AU130" s="10"/>
      <c r="AV130" s="2"/>
      <c r="AW130" s="10"/>
      <c r="AX130" s="2"/>
      <c r="BA130" s="10"/>
      <c r="BB130" s="2"/>
    </row>
    <row r="131" spans="3:54">
      <c r="C131" s="60" t="s">
        <v>103</v>
      </c>
      <c r="D131" s="61"/>
      <c r="E131" s="61"/>
      <c r="F131" s="61"/>
      <c r="L131" s="2"/>
      <c r="AH131" s="10"/>
      <c r="AI131" s="2"/>
      <c r="AU131" s="10"/>
      <c r="AV131" s="2"/>
      <c r="AW131" s="10"/>
      <c r="AX131" s="2"/>
      <c r="BA131" s="10"/>
      <c r="BB131" s="2"/>
    </row>
    <row r="132" spans="3:54">
      <c r="C132" s="2" t="s">
        <v>104</v>
      </c>
      <c r="L132" s="2"/>
      <c r="AH132" s="10"/>
      <c r="AI132" s="2"/>
      <c r="AU132" s="10"/>
      <c r="AV132" s="2"/>
      <c r="AW132" s="10"/>
      <c r="AX132" s="2"/>
      <c r="BA132" s="10"/>
      <c r="BB132" s="2"/>
    </row>
  </sheetData>
  <mergeCells count="10">
    <mergeCell ref="D129:D130"/>
    <mergeCell ref="E129:E130"/>
    <mergeCell ref="F129:F130"/>
    <mergeCell ref="C123:F123"/>
    <mergeCell ref="D124:D125"/>
    <mergeCell ref="E124:E125"/>
    <mergeCell ref="F124:F125"/>
    <mergeCell ref="D127:D128"/>
    <mergeCell ref="E127:E128"/>
    <mergeCell ref="F127:F128"/>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34"/>
  <sheetViews>
    <sheetView workbookViewId="0"/>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69" t="s">
        <v>105</v>
      </c>
      <c r="D2" s="70"/>
      <c r="E2" s="70"/>
      <c r="F2" s="70"/>
      <c r="G2" s="70"/>
      <c r="H2" s="70"/>
      <c r="I2" s="70"/>
      <c r="J2" s="70"/>
      <c r="K2" s="71"/>
      <c r="M2" s="9"/>
    </row>
    <row r="3" spans="1:54" ht="14.4" thickBot="1">
      <c r="C3" s="72"/>
      <c r="D3" s="73"/>
      <c r="E3" s="73"/>
      <c r="F3" s="73"/>
      <c r="G3" s="73"/>
      <c r="H3" s="73"/>
      <c r="I3" s="73"/>
      <c r="J3" s="73"/>
      <c r="K3" s="74"/>
    </row>
    <row r="4" spans="1:54" ht="14.4" thickBot="1">
      <c r="A4" s="1"/>
      <c r="C4" s="1"/>
      <c r="D4" s="1"/>
      <c r="E4" s="1"/>
      <c r="F4" s="3"/>
      <c r="G4" s="4"/>
      <c r="H4" s="4"/>
      <c r="I4" s="4"/>
      <c r="J4" s="4"/>
      <c r="K4" s="5"/>
      <c r="L4" s="2"/>
      <c r="AH4" s="5"/>
      <c r="AI4" s="2"/>
      <c r="AU4" s="5"/>
      <c r="AV4" s="2"/>
      <c r="AW4" s="5"/>
      <c r="AX4" s="2"/>
      <c r="BA4" s="5"/>
      <c r="BB4" s="2"/>
    </row>
    <row r="5" spans="1:54" ht="22.2" thickBot="1">
      <c r="C5" s="75" t="s">
        <v>106</v>
      </c>
      <c r="D5" s="76"/>
      <c r="E5" s="76"/>
      <c r="F5" s="76"/>
      <c r="G5" s="76"/>
      <c r="H5" s="76"/>
      <c r="I5" s="76"/>
      <c r="J5" s="76"/>
      <c r="K5" s="77"/>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C17" s="28" t="s">
        <v>19</v>
      </c>
      <c r="D17" s="29"/>
      <c r="E17" s="30"/>
      <c r="F17" s="31"/>
      <c r="G17" s="32"/>
      <c r="H17" s="32"/>
      <c r="I17" s="33"/>
      <c r="J17" s="33"/>
      <c r="K17" s="34"/>
    </row>
    <row r="18" spans="1:11">
      <c r="C18" s="21"/>
      <c r="D18" s="29"/>
      <c r="E18" s="30"/>
      <c r="F18" s="31"/>
      <c r="G18" s="32"/>
      <c r="H18" s="32"/>
      <c r="I18" s="33"/>
      <c r="J18" s="33"/>
      <c r="K18" s="34"/>
    </row>
    <row r="19" spans="1:11">
      <c r="C19" s="28" t="s">
        <v>20</v>
      </c>
      <c r="D19" s="29"/>
      <c r="E19" s="30"/>
      <c r="F19" s="31"/>
      <c r="G19" s="32" t="s">
        <v>16</v>
      </c>
      <c r="H19" s="32" t="s">
        <v>16</v>
      </c>
      <c r="I19" s="33"/>
      <c r="J19" s="33"/>
      <c r="K19" s="34"/>
    </row>
    <row r="20" spans="1:11">
      <c r="C20" s="21"/>
      <c r="D20" s="29"/>
      <c r="E20" s="30"/>
      <c r="F20" s="31"/>
      <c r="G20" s="32"/>
      <c r="H20" s="32"/>
      <c r="I20" s="33"/>
      <c r="J20" s="33"/>
      <c r="K20" s="34"/>
    </row>
    <row r="21" spans="1:11">
      <c r="C21" s="28" t="s">
        <v>21</v>
      </c>
      <c r="D21" s="29"/>
      <c r="E21" s="30"/>
      <c r="F21" s="31"/>
      <c r="G21" s="32" t="s">
        <v>16</v>
      </c>
      <c r="H21" s="32" t="s">
        <v>16</v>
      </c>
      <c r="I21" s="33"/>
      <c r="J21" s="33"/>
      <c r="K21" s="34"/>
    </row>
    <row r="22" spans="1:11">
      <c r="C22" s="21"/>
      <c r="D22" s="29"/>
      <c r="E22" s="30"/>
      <c r="F22" s="31"/>
      <c r="G22" s="32"/>
      <c r="H22" s="32"/>
      <c r="I22" s="33"/>
      <c r="J22" s="33"/>
      <c r="K22" s="34"/>
    </row>
    <row r="23" spans="1:11">
      <c r="C23" s="28" t="s">
        <v>22</v>
      </c>
      <c r="D23" s="29"/>
      <c r="E23" s="30"/>
      <c r="F23" s="31"/>
      <c r="G23" s="32" t="s">
        <v>16</v>
      </c>
      <c r="H23" s="32" t="s">
        <v>16</v>
      </c>
      <c r="I23" s="33"/>
      <c r="J23" s="33"/>
      <c r="K23" s="34"/>
    </row>
    <row r="24" spans="1:11">
      <c r="C24" s="21"/>
      <c r="D24" s="29"/>
      <c r="E24" s="30"/>
      <c r="F24" s="31"/>
      <c r="G24" s="32"/>
      <c r="H24" s="32"/>
      <c r="I24" s="33"/>
      <c r="J24" s="33"/>
      <c r="K24" s="34"/>
    </row>
    <row r="25" spans="1:11">
      <c r="C25" s="28" t="s">
        <v>23</v>
      </c>
      <c r="D25" s="29"/>
      <c r="E25" s="30"/>
      <c r="F25" s="31"/>
      <c r="G25" s="32" t="s">
        <v>16</v>
      </c>
      <c r="H25" s="32" t="s">
        <v>16</v>
      </c>
      <c r="I25" s="33"/>
      <c r="J25" s="33"/>
      <c r="K25" s="34"/>
    </row>
    <row r="26" spans="1:11">
      <c r="C26" s="21"/>
      <c r="D26" s="29"/>
      <c r="E26" s="30"/>
      <c r="F26" s="31"/>
      <c r="G26" s="32"/>
      <c r="H26" s="32"/>
      <c r="I26" s="33"/>
      <c r="J26" s="33"/>
      <c r="K26" s="34"/>
    </row>
    <row r="27" spans="1:11">
      <c r="C27" s="28" t="s">
        <v>24</v>
      </c>
      <c r="D27" s="29"/>
      <c r="E27" s="30"/>
      <c r="F27" s="31"/>
      <c r="G27" s="32" t="s">
        <v>16</v>
      </c>
      <c r="H27" s="32" t="s">
        <v>16</v>
      </c>
      <c r="I27" s="33"/>
      <c r="J27" s="33"/>
      <c r="K27" s="34"/>
    </row>
    <row r="28" spans="1:11">
      <c r="C28" s="21"/>
      <c r="D28" s="29"/>
      <c r="E28" s="30"/>
      <c r="F28" s="31"/>
      <c r="G28" s="32"/>
      <c r="H28" s="32"/>
      <c r="I28" s="33"/>
      <c r="J28" s="33"/>
      <c r="K28" s="34"/>
    </row>
    <row r="29" spans="1:11">
      <c r="A29" s="35"/>
      <c r="B29" s="36"/>
      <c r="C29" s="28" t="s">
        <v>25</v>
      </c>
      <c r="D29" s="29"/>
      <c r="E29" s="30"/>
      <c r="F29" s="31"/>
      <c r="G29" s="32"/>
      <c r="H29" s="32"/>
      <c r="I29" s="33"/>
      <c r="J29" s="33"/>
      <c r="K29" s="34"/>
    </row>
    <row r="30" spans="1:11">
      <c r="A30" s="36"/>
      <c r="B30" s="36"/>
      <c r="C30" s="28" t="s">
        <v>26</v>
      </c>
      <c r="D30" s="29"/>
      <c r="E30" s="30"/>
      <c r="F30" s="31"/>
      <c r="G30" s="32" t="s">
        <v>16</v>
      </c>
      <c r="H30" s="32" t="s">
        <v>16</v>
      </c>
      <c r="I30" s="33"/>
      <c r="J30" s="33"/>
      <c r="K30" s="34"/>
    </row>
    <row r="31" spans="1:11">
      <c r="A31" s="36"/>
      <c r="B31" s="36"/>
      <c r="C31" s="28"/>
      <c r="D31" s="29"/>
      <c r="E31" s="30"/>
      <c r="F31" s="31"/>
      <c r="G31" s="32"/>
      <c r="H31" s="32"/>
      <c r="I31" s="33"/>
      <c r="J31" s="33"/>
      <c r="K31" s="34"/>
    </row>
    <row r="32" spans="1:11">
      <c r="A32" s="36"/>
      <c r="B32" s="36"/>
      <c r="C32" s="28" t="s">
        <v>27</v>
      </c>
      <c r="D32" s="29"/>
      <c r="E32" s="30"/>
      <c r="F32" s="31"/>
      <c r="G32" s="32" t="s">
        <v>16</v>
      </c>
      <c r="H32" s="32" t="s">
        <v>16</v>
      </c>
      <c r="I32" s="33"/>
      <c r="J32" s="33"/>
      <c r="K32" s="34"/>
    </row>
    <row r="33" spans="1:11">
      <c r="A33" s="36"/>
      <c r="B33" s="36"/>
      <c r="C33" s="28"/>
      <c r="D33" s="29"/>
      <c r="E33" s="30"/>
      <c r="F33" s="31"/>
      <c r="G33" s="32"/>
      <c r="H33" s="32"/>
      <c r="I33" s="33"/>
      <c r="J33" s="33"/>
      <c r="K33" s="34"/>
    </row>
    <row r="34" spans="1:11">
      <c r="C34" s="37" t="s">
        <v>28</v>
      </c>
      <c r="D34" s="29"/>
      <c r="E34" s="30"/>
      <c r="F34" s="31"/>
      <c r="G34" s="32"/>
      <c r="H34" s="32"/>
      <c r="I34" s="33"/>
      <c r="J34" s="33"/>
      <c r="K34" s="34"/>
    </row>
    <row r="35" spans="1:11">
      <c r="B35" s="1" t="s">
        <v>29</v>
      </c>
      <c r="C35" s="21" t="s">
        <v>30</v>
      </c>
      <c r="D35" s="29" t="s">
        <v>31</v>
      </c>
      <c r="E35" s="30" t="s">
        <v>32</v>
      </c>
      <c r="F35" s="31">
        <v>500000</v>
      </c>
      <c r="G35" s="32">
        <v>498.27</v>
      </c>
      <c r="H35" s="32">
        <v>1.24</v>
      </c>
      <c r="I35" s="33">
        <v>6.6680000000000001</v>
      </c>
      <c r="J35" s="33"/>
      <c r="K35" s="34"/>
    </row>
    <row r="36" spans="1:11">
      <c r="B36" s="1" t="s">
        <v>33</v>
      </c>
      <c r="C36" s="21" t="s">
        <v>34</v>
      </c>
      <c r="D36" s="29" t="s">
        <v>35</v>
      </c>
      <c r="E36" s="30" t="s">
        <v>32</v>
      </c>
      <c r="F36" s="31">
        <v>500000</v>
      </c>
      <c r="G36" s="32">
        <v>497.63</v>
      </c>
      <c r="H36" s="32">
        <v>1.24</v>
      </c>
      <c r="I36" s="33">
        <v>6.6936999999999998</v>
      </c>
      <c r="J36" s="33"/>
      <c r="K36" s="34"/>
    </row>
    <row r="37" spans="1:11">
      <c r="C37" s="28" t="s">
        <v>36</v>
      </c>
      <c r="D37" s="29"/>
      <c r="E37" s="30"/>
      <c r="F37" s="31"/>
      <c r="G37" s="38">
        <v>995.9</v>
      </c>
      <c r="H37" s="38">
        <v>2.48</v>
      </c>
      <c r="I37" s="33"/>
      <c r="J37" s="33"/>
      <c r="K37" s="34"/>
    </row>
    <row r="38" spans="1:11">
      <c r="C38" s="21"/>
      <c r="D38" s="29"/>
      <c r="E38" s="30"/>
      <c r="F38" s="31"/>
      <c r="G38" s="32"/>
      <c r="H38" s="32"/>
      <c r="I38" s="33"/>
      <c r="J38" s="33"/>
      <c r="K38" s="34"/>
    </row>
    <row r="39" spans="1:11">
      <c r="C39" s="28" t="s">
        <v>37</v>
      </c>
      <c r="D39" s="29"/>
      <c r="E39" s="30"/>
      <c r="F39" s="31"/>
      <c r="G39" s="32" t="s">
        <v>16</v>
      </c>
      <c r="H39" s="32" t="s">
        <v>16</v>
      </c>
      <c r="I39" s="33"/>
      <c r="J39" s="33"/>
      <c r="K39" s="34"/>
    </row>
    <row r="40" spans="1:11">
      <c r="C40" s="21"/>
      <c r="D40" s="29"/>
      <c r="E40" s="30"/>
      <c r="F40" s="31"/>
      <c r="G40" s="32"/>
      <c r="H40" s="32"/>
      <c r="I40" s="33"/>
      <c r="J40" s="33"/>
      <c r="K40" s="34"/>
    </row>
    <row r="41" spans="1:11">
      <c r="A41" s="35"/>
      <c r="B41" s="36"/>
      <c r="C41" s="28" t="s">
        <v>38</v>
      </c>
      <c r="D41" s="29"/>
      <c r="E41" s="30"/>
      <c r="F41" s="31"/>
      <c r="G41" s="32"/>
      <c r="H41" s="32"/>
      <c r="I41" s="33"/>
      <c r="J41" s="33"/>
      <c r="K41" s="34"/>
    </row>
    <row r="42" spans="1:11">
      <c r="A42" s="36"/>
      <c r="B42" s="36"/>
      <c r="C42" s="28" t="s">
        <v>39</v>
      </c>
      <c r="D42" s="29"/>
      <c r="E42" s="30"/>
      <c r="F42" s="31"/>
      <c r="G42" s="32" t="s">
        <v>16</v>
      </c>
      <c r="H42" s="32" t="s">
        <v>16</v>
      </c>
      <c r="I42" s="33"/>
      <c r="J42" s="33"/>
      <c r="K42" s="34"/>
    </row>
    <row r="43" spans="1:11">
      <c r="A43" s="36"/>
      <c r="B43" s="36"/>
      <c r="C43" s="28"/>
      <c r="D43" s="29"/>
      <c r="E43" s="30"/>
      <c r="F43" s="31"/>
      <c r="G43" s="32"/>
      <c r="H43" s="32"/>
      <c r="I43" s="33"/>
      <c r="J43" s="33"/>
      <c r="K43" s="34"/>
    </row>
    <row r="44" spans="1:11">
      <c r="A44" s="36"/>
      <c r="B44" s="36"/>
      <c r="C44" s="28" t="s">
        <v>40</v>
      </c>
      <c r="D44" s="29"/>
      <c r="E44" s="30"/>
      <c r="F44" s="31"/>
      <c r="G44" s="32" t="s">
        <v>16</v>
      </c>
      <c r="H44" s="32" t="s">
        <v>16</v>
      </c>
      <c r="I44" s="33"/>
      <c r="J44" s="33"/>
      <c r="K44" s="34"/>
    </row>
    <row r="45" spans="1:11">
      <c r="A45" s="36"/>
      <c r="B45" s="36"/>
      <c r="C45" s="28"/>
      <c r="D45" s="29"/>
      <c r="E45" s="30"/>
      <c r="F45" s="31"/>
      <c r="G45" s="32"/>
      <c r="H45" s="32"/>
      <c r="I45" s="33"/>
      <c r="J45" s="33"/>
      <c r="K45" s="34"/>
    </row>
    <row r="46" spans="1:11">
      <c r="A46" s="36"/>
      <c r="B46" s="36"/>
      <c r="C46" s="28" t="s">
        <v>41</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42</v>
      </c>
      <c r="D48" s="29"/>
      <c r="E48" s="30"/>
      <c r="F48" s="31"/>
      <c r="G48" s="32" t="s">
        <v>16</v>
      </c>
      <c r="H48" s="32" t="s">
        <v>16</v>
      </c>
      <c r="I48" s="33"/>
      <c r="J48" s="33"/>
      <c r="K48" s="34"/>
    </row>
    <row r="49" spans="1:11">
      <c r="A49" s="36"/>
      <c r="B49" s="36"/>
      <c r="C49" s="28"/>
      <c r="D49" s="29"/>
      <c r="E49" s="30"/>
      <c r="F49" s="31"/>
      <c r="G49" s="32"/>
      <c r="H49" s="32"/>
      <c r="I49" s="33"/>
      <c r="J49" s="33"/>
      <c r="K49" s="34"/>
    </row>
    <row r="50" spans="1:11">
      <c r="C50" s="37" t="s">
        <v>43</v>
      </c>
      <c r="D50" s="29"/>
      <c r="E50" s="30"/>
      <c r="F50" s="31"/>
      <c r="G50" s="32"/>
      <c r="H50" s="32"/>
      <c r="I50" s="33"/>
      <c r="J50" s="33"/>
      <c r="K50" s="34"/>
    </row>
    <row r="51" spans="1:11">
      <c r="B51" s="1" t="s">
        <v>44</v>
      </c>
      <c r="C51" s="21" t="s">
        <v>45</v>
      </c>
      <c r="D51" s="29"/>
      <c r="E51" s="30"/>
      <c r="F51" s="31"/>
      <c r="G51" s="32">
        <v>29499.52</v>
      </c>
      <c r="H51" s="32">
        <v>73.3</v>
      </c>
      <c r="I51" s="33">
        <v>7.65</v>
      </c>
      <c r="J51" s="33"/>
      <c r="K51" s="34"/>
    </row>
    <row r="52" spans="1:11">
      <c r="B52" s="1" t="s">
        <v>46</v>
      </c>
      <c r="C52" s="21" t="s">
        <v>47</v>
      </c>
      <c r="D52" s="29"/>
      <c r="E52" s="30"/>
      <c r="F52" s="31"/>
      <c r="G52" s="32">
        <v>8275.49</v>
      </c>
      <c r="H52" s="32">
        <v>20.56</v>
      </c>
      <c r="I52" s="33">
        <v>7.14</v>
      </c>
      <c r="J52" s="33"/>
      <c r="K52" s="34"/>
    </row>
    <row r="53" spans="1:11">
      <c r="C53" s="28" t="s">
        <v>36</v>
      </c>
      <c r="D53" s="29"/>
      <c r="E53" s="30"/>
      <c r="F53" s="31"/>
      <c r="G53" s="38">
        <v>37775.01</v>
      </c>
      <c r="H53" s="38">
        <v>93.86</v>
      </c>
      <c r="I53" s="33"/>
      <c r="J53" s="33"/>
      <c r="K53" s="34"/>
    </row>
    <row r="54" spans="1:11">
      <c r="C54" s="21"/>
      <c r="D54" s="29"/>
      <c r="E54" s="30"/>
      <c r="F54" s="31"/>
      <c r="G54" s="32"/>
      <c r="H54" s="32"/>
      <c r="I54" s="33"/>
      <c r="J54" s="33"/>
      <c r="K54" s="34"/>
    </row>
    <row r="55" spans="1:11">
      <c r="A55" s="35"/>
      <c r="B55" s="36"/>
      <c r="C55" s="28" t="s">
        <v>48</v>
      </c>
      <c r="D55" s="29"/>
      <c r="E55" s="30"/>
      <c r="F55" s="31"/>
      <c r="G55" s="32"/>
      <c r="H55" s="32"/>
      <c r="I55" s="33"/>
      <c r="J55" s="33"/>
      <c r="K55" s="34"/>
    </row>
    <row r="56" spans="1:11">
      <c r="B56" s="1"/>
      <c r="C56" s="21" t="s">
        <v>49</v>
      </c>
      <c r="D56" s="29"/>
      <c r="E56" s="30"/>
      <c r="F56" s="31"/>
      <c r="G56" s="32">
        <v>1473.35</v>
      </c>
      <c r="H56" s="32">
        <v>3.66</v>
      </c>
      <c r="I56" s="33"/>
      <c r="J56" s="33"/>
      <c r="K56" s="34"/>
    </row>
    <row r="57" spans="1:11">
      <c r="C57" s="28" t="s">
        <v>36</v>
      </c>
      <c r="D57" s="29"/>
      <c r="E57" s="30"/>
      <c r="F57" s="31"/>
      <c r="G57" s="38">
        <v>1473.35</v>
      </c>
      <c r="H57" s="38">
        <v>3.66</v>
      </c>
      <c r="I57" s="33"/>
      <c r="J57" s="33"/>
      <c r="K57" s="34"/>
    </row>
    <row r="58" spans="1:11">
      <c r="C58" s="21"/>
      <c r="D58" s="29"/>
      <c r="E58" s="30"/>
      <c r="F58" s="31"/>
      <c r="G58" s="32"/>
      <c r="H58" s="32"/>
      <c r="I58" s="33"/>
      <c r="J58" s="33"/>
      <c r="K58" s="34"/>
    </row>
    <row r="59" spans="1:11" ht="14.4" thickBot="1">
      <c r="C59" s="39" t="s">
        <v>50</v>
      </c>
      <c r="D59" s="40"/>
      <c r="E59" s="41"/>
      <c r="F59" s="42"/>
      <c r="G59" s="43">
        <v>40244.26</v>
      </c>
      <c r="H59" s="43">
        <f>SUMIFS(H:H,C:C,"Total")</f>
        <v>100</v>
      </c>
      <c r="I59" s="44"/>
      <c r="J59" s="44"/>
      <c r="K59" s="45"/>
    </row>
    <row r="62" spans="1:11">
      <c r="C62" s="11" t="s">
        <v>51</v>
      </c>
    </row>
    <row r="63" spans="1:11">
      <c r="C63" s="2" t="s">
        <v>52</v>
      </c>
    </row>
    <row r="64" spans="1:11">
      <c r="C64" s="46" t="s">
        <v>53</v>
      </c>
    </row>
    <row r="65" spans="3:55">
      <c r="C65" s="2" t="s">
        <v>54</v>
      </c>
    </row>
    <row r="66" spans="3:55">
      <c r="C66" s="2" t="s">
        <v>55</v>
      </c>
    </row>
    <row r="67" spans="3:55">
      <c r="C67" s="2" t="s">
        <v>56</v>
      </c>
      <c r="D67" s="47"/>
      <c r="E67" s="47"/>
      <c r="F67" s="47"/>
      <c r="G67" s="48"/>
      <c r="H67" s="48"/>
    </row>
    <row r="68" spans="3:55">
      <c r="C68" s="2" t="s">
        <v>57</v>
      </c>
    </row>
    <row r="69" spans="3:55">
      <c r="C69" s="2" t="s">
        <v>58</v>
      </c>
    </row>
    <row r="70" spans="3:55">
      <c r="C70" s="2" t="s">
        <v>59</v>
      </c>
    </row>
    <row r="71" spans="3:55">
      <c r="C71" s="2" t="s">
        <v>60</v>
      </c>
    </row>
    <row r="72" spans="3:55" s="11" customFormat="1">
      <c r="C72" s="11" t="s">
        <v>61</v>
      </c>
      <c r="E72" s="11" t="s">
        <v>107</v>
      </c>
      <c r="F72" s="49" t="s">
        <v>63</v>
      </c>
      <c r="G72" s="50"/>
      <c r="H72" s="50"/>
      <c r="I72" s="50"/>
      <c r="J72" s="50"/>
      <c r="K72" s="51"/>
      <c r="L72" s="51"/>
      <c r="M72" s="51"/>
      <c r="AJ72" s="51"/>
      <c r="AW72" s="51"/>
      <c r="AY72" s="51"/>
      <c r="BC72" s="51"/>
    </row>
    <row r="73" spans="3:55">
      <c r="C73" s="2" t="s">
        <v>64</v>
      </c>
      <c r="E73" s="52">
        <v>1024.6007</v>
      </c>
      <c r="F73" s="53">
        <v>1056.2414000000001</v>
      </c>
      <c r="M73" s="10"/>
      <c r="AI73" s="2"/>
      <c r="AJ73" s="10"/>
      <c r="AV73" s="2"/>
      <c r="AW73" s="10"/>
      <c r="AX73" s="2"/>
      <c r="AY73" s="10"/>
      <c r="BB73" s="2"/>
      <c r="BC73" s="10"/>
    </row>
    <row r="74" spans="3:55">
      <c r="C74" s="2" t="s">
        <v>65</v>
      </c>
      <c r="E74" s="52">
        <v>1000</v>
      </c>
      <c r="F74" s="53">
        <v>1000</v>
      </c>
      <c r="M74" s="10"/>
      <c r="AI74" s="2"/>
      <c r="AJ74" s="10"/>
      <c r="AV74" s="2"/>
      <c r="AW74" s="10"/>
      <c r="AX74" s="2"/>
      <c r="AY74" s="10"/>
      <c r="BB74" s="2"/>
      <c r="BC74" s="10"/>
    </row>
    <row r="75" spans="3:55">
      <c r="C75" s="2" t="s">
        <v>66</v>
      </c>
      <c r="E75" s="52">
        <v>1024.6006</v>
      </c>
      <c r="F75" s="53">
        <v>1056.2412999999999</v>
      </c>
      <c r="M75" s="10"/>
      <c r="AI75" s="2"/>
      <c r="AJ75" s="10"/>
      <c r="AV75" s="2"/>
      <c r="AW75" s="10"/>
      <c r="AX75" s="2"/>
      <c r="AY75" s="10"/>
      <c r="BB75" s="2"/>
      <c r="BC75" s="10"/>
    </row>
    <row r="76" spans="3:55">
      <c r="C76" s="2" t="s">
        <v>67</v>
      </c>
      <c r="E76" s="52">
        <v>1000</v>
      </c>
      <c r="F76" s="53">
        <v>1000</v>
      </c>
      <c r="M76" s="10"/>
      <c r="AI76" s="2"/>
      <c r="AJ76" s="10"/>
      <c r="AV76" s="2"/>
      <c r="AW76" s="10"/>
      <c r="AX76" s="2"/>
      <c r="AY76" s="10"/>
      <c r="BB76" s="2"/>
      <c r="BC76" s="10"/>
    </row>
    <row r="77" spans="3:55">
      <c r="C77" s="2" t="s">
        <v>68</v>
      </c>
      <c r="E77" s="52">
        <v>1000.0018</v>
      </c>
      <c r="F77" s="53">
        <v>1000.0018</v>
      </c>
      <c r="M77" s="10"/>
      <c r="AI77" s="2"/>
      <c r="AJ77" s="10"/>
      <c r="AV77" s="2"/>
      <c r="AW77" s="10"/>
      <c r="AX77" s="2"/>
      <c r="AY77" s="10"/>
      <c r="BB77" s="2"/>
      <c r="BC77" s="10"/>
    </row>
    <row r="78" spans="3:55">
      <c r="C78" s="2" t="s">
        <v>69</v>
      </c>
      <c r="E78" s="52">
        <v>1139.7820999999999</v>
      </c>
      <c r="F78" s="53">
        <v>1174.6282000000001</v>
      </c>
      <c r="M78" s="10"/>
      <c r="AI78" s="2"/>
      <c r="AJ78" s="10"/>
      <c r="AV78" s="2"/>
      <c r="AW78" s="10"/>
      <c r="AX78" s="2"/>
      <c r="AY78" s="10"/>
      <c r="BB78" s="2"/>
      <c r="BC78" s="10"/>
    </row>
    <row r="79" spans="3:55">
      <c r="C79" s="2" t="s">
        <v>70</v>
      </c>
      <c r="E79" s="52">
        <v>1000.5533</v>
      </c>
      <c r="F79" s="53">
        <v>1000.6678000000001</v>
      </c>
      <c r="M79" s="10"/>
      <c r="AI79" s="2"/>
      <c r="AJ79" s="10"/>
      <c r="AV79" s="2"/>
      <c r="AW79" s="10"/>
      <c r="AX79" s="2"/>
      <c r="AY79" s="10"/>
      <c r="BB79" s="2"/>
      <c r="BC79" s="10"/>
    </row>
    <row r="80" spans="3:55">
      <c r="C80" s="2" t="s">
        <v>71</v>
      </c>
      <c r="E80" s="52">
        <v>1000.0028</v>
      </c>
      <c r="F80" s="53">
        <v>1000.0028</v>
      </c>
      <c r="M80" s="10"/>
      <c r="AI80" s="2"/>
      <c r="AJ80" s="10"/>
      <c r="AV80" s="2"/>
      <c r="AW80" s="10"/>
      <c r="AX80" s="2"/>
      <c r="AY80" s="10"/>
      <c r="BB80" s="2"/>
      <c r="BC80" s="10"/>
    </row>
    <row r="81" spans="3:55">
      <c r="C81" s="2" t="s">
        <v>72</v>
      </c>
      <c r="E81" s="52">
        <v>1141.9903999999999</v>
      </c>
      <c r="F81" s="53">
        <v>1177.2561000000001</v>
      </c>
      <c r="M81" s="10"/>
      <c r="AI81" s="2"/>
      <c r="AJ81" s="10"/>
      <c r="AV81" s="2"/>
      <c r="AW81" s="10"/>
      <c r="AX81" s="2"/>
      <c r="AY81" s="10"/>
      <c r="BB81" s="2"/>
      <c r="BC81" s="10"/>
    </row>
    <row r="82" spans="3:55">
      <c r="C82" s="2" t="s">
        <v>73</v>
      </c>
      <c r="E82" s="52">
        <v>1000.5753</v>
      </c>
      <c r="F82" s="53">
        <v>1000.69</v>
      </c>
      <c r="M82" s="10"/>
      <c r="AI82" s="2"/>
      <c r="AJ82" s="10"/>
      <c r="AV82" s="2"/>
      <c r="AW82" s="10"/>
      <c r="AX82" s="2"/>
      <c r="AY82" s="10"/>
      <c r="BB82" s="2"/>
      <c r="BC82" s="10"/>
    </row>
    <row r="83" spans="3:55">
      <c r="M83" s="10"/>
      <c r="AI83" s="2"/>
      <c r="AJ83" s="10"/>
      <c r="AV83" s="2"/>
      <c r="AW83" s="10"/>
      <c r="AX83" s="2"/>
      <c r="AY83" s="10"/>
      <c r="BB83" s="2"/>
      <c r="BC83" s="10"/>
    </row>
    <row r="84" spans="3:55">
      <c r="C84" s="2" t="s">
        <v>108</v>
      </c>
      <c r="E84" s="11" t="s">
        <v>75</v>
      </c>
      <c r="F84" s="49" t="s">
        <v>76</v>
      </c>
      <c r="M84" s="10"/>
      <c r="AI84" s="2"/>
      <c r="AJ84" s="10"/>
      <c r="AV84" s="2"/>
      <c r="AW84" s="10"/>
      <c r="AX84" s="2"/>
      <c r="AY84" s="10"/>
      <c r="BB84" s="2"/>
      <c r="BC84" s="10"/>
    </row>
    <row r="85" spans="3:55">
      <c r="C85" s="2" t="s">
        <v>68</v>
      </c>
      <c r="E85" s="52">
        <v>30.115112730000003</v>
      </c>
      <c r="F85" s="53">
        <v>30.115112730000003</v>
      </c>
      <c r="M85" s="10"/>
      <c r="AI85" s="2"/>
      <c r="AJ85" s="10"/>
      <c r="AV85" s="2"/>
      <c r="AW85" s="10"/>
      <c r="AX85" s="2"/>
      <c r="AY85" s="10"/>
      <c r="BB85" s="2"/>
      <c r="BC85" s="10"/>
    </row>
    <row r="86" spans="3:55">
      <c r="C86" s="2" t="s">
        <v>70</v>
      </c>
      <c r="E86" s="52">
        <v>30.041904529999996</v>
      </c>
      <c r="F86" s="53">
        <v>30.041904529999996</v>
      </c>
      <c r="M86" s="10"/>
      <c r="AI86" s="2"/>
      <c r="AJ86" s="10"/>
      <c r="AV86" s="2"/>
      <c r="AW86" s="10"/>
      <c r="AX86" s="2"/>
      <c r="AY86" s="10"/>
      <c r="BB86" s="2"/>
      <c r="BC86" s="10"/>
    </row>
    <row r="87" spans="3:55">
      <c r="C87" s="2" t="s">
        <v>71</v>
      </c>
      <c r="E87" s="52">
        <v>30.473471400000015</v>
      </c>
      <c r="F87" s="53">
        <v>30.473471400000015</v>
      </c>
      <c r="M87" s="10"/>
      <c r="AI87" s="2"/>
      <c r="AJ87" s="10"/>
      <c r="AV87" s="2"/>
      <c r="AW87" s="10"/>
      <c r="AX87" s="2"/>
      <c r="AY87" s="10"/>
      <c r="BB87" s="2"/>
      <c r="BC87" s="10"/>
    </row>
    <row r="88" spans="3:55">
      <c r="C88" s="2" t="s">
        <v>73</v>
      </c>
      <c r="E88" s="52">
        <v>30.324399149999994</v>
      </c>
      <c r="F88" s="53">
        <v>30.324399149999994</v>
      </c>
      <c r="M88" s="10"/>
      <c r="AI88" s="2"/>
      <c r="AJ88" s="10"/>
      <c r="AV88" s="2"/>
      <c r="AW88" s="10"/>
      <c r="AX88" s="2"/>
      <c r="AY88" s="10"/>
      <c r="BB88" s="2"/>
      <c r="BC88" s="10"/>
    </row>
    <row r="90" spans="3:55">
      <c r="C90" s="2" t="s">
        <v>109</v>
      </c>
    </row>
    <row r="91" spans="3:55">
      <c r="C91" s="2" t="s">
        <v>78</v>
      </c>
    </row>
    <row r="92" spans="3:55">
      <c r="C92" s="2" t="s">
        <v>79</v>
      </c>
    </row>
    <row r="93" spans="3:55">
      <c r="C93" s="2" t="s">
        <v>110</v>
      </c>
    </row>
    <row r="94" spans="3:55">
      <c r="C94" s="2" t="s">
        <v>81</v>
      </c>
    </row>
    <row r="95" spans="3:55">
      <c r="C95" s="2" t="s">
        <v>111</v>
      </c>
    </row>
    <row r="96" spans="3:55">
      <c r="C96" s="2" t="s">
        <v>83</v>
      </c>
    </row>
    <row r="97" spans="3:11">
      <c r="C97" s="2" t="s">
        <v>84</v>
      </c>
    </row>
    <row r="98" spans="3:11">
      <c r="C98" s="2" t="s">
        <v>112</v>
      </c>
    </row>
    <row r="99" spans="3:11">
      <c r="C99" s="2" t="s">
        <v>86</v>
      </c>
    </row>
    <row r="100" spans="3:11">
      <c r="C100" s="2" t="s">
        <v>87</v>
      </c>
    </row>
    <row r="101" spans="3:11">
      <c r="C101" s="2" t="s">
        <v>113</v>
      </c>
    </row>
    <row r="102" spans="3:11">
      <c r="C102" s="2" t="s">
        <v>89</v>
      </c>
    </row>
    <row r="103" spans="3:11">
      <c r="C103" s="2" t="s">
        <v>90</v>
      </c>
    </row>
    <row r="104" spans="3:11" ht="14.4">
      <c r="C104" s="54"/>
      <c r="D104" s="54"/>
      <c r="E104" s="54"/>
      <c r="F104" s="54"/>
      <c r="G104" s="54"/>
      <c r="H104" s="54"/>
      <c r="I104" s="54"/>
      <c r="J104" s="54"/>
      <c r="K104" s="54"/>
    </row>
    <row r="105" spans="3:11" ht="14.4">
      <c r="C105" s="54"/>
      <c r="D105" s="54"/>
      <c r="E105" s="54"/>
      <c r="F105" s="54"/>
      <c r="G105" s="54"/>
      <c r="H105" s="54"/>
      <c r="I105" s="54"/>
      <c r="J105" s="54"/>
      <c r="K105" s="54"/>
    </row>
    <row r="124" spans="3:54" ht="14.4" thickBot="1"/>
    <row r="125" spans="3:54" ht="14.4" thickBot="1">
      <c r="C125" s="64" t="s">
        <v>91</v>
      </c>
      <c r="D125" s="65"/>
      <c r="E125" s="65"/>
      <c r="F125" s="66"/>
      <c r="L125" s="2"/>
      <c r="AH125" s="10"/>
      <c r="AI125" s="2"/>
      <c r="AU125" s="10"/>
      <c r="AV125" s="2"/>
      <c r="AW125" s="10"/>
      <c r="AX125" s="2"/>
      <c r="BA125" s="10"/>
      <c r="BB125" s="2"/>
    </row>
    <row r="126" spans="3:54" ht="14.4" thickBot="1">
      <c r="C126" s="55" t="s">
        <v>92</v>
      </c>
      <c r="D126" s="67" t="s">
        <v>93</v>
      </c>
      <c r="E126" s="67" t="s">
        <v>94</v>
      </c>
      <c r="F126" s="67" t="s">
        <v>95</v>
      </c>
      <c r="L126" s="2"/>
      <c r="AH126" s="10"/>
      <c r="AI126" s="2"/>
      <c r="AU126" s="10"/>
      <c r="AV126" s="2"/>
      <c r="AW126" s="10"/>
      <c r="AX126" s="2"/>
      <c r="BA126" s="10"/>
      <c r="BB126" s="2"/>
    </row>
    <row r="127" spans="3:54" ht="14.4" thickBot="1">
      <c r="C127" s="55" t="s">
        <v>96</v>
      </c>
      <c r="D127" s="68"/>
      <c r="E127" s="68"/>
      <c r="F127" s="68"/>
      <c r="L127" s="2"/>
      <c r="AH127" s="10"/>
      <c r="AI127" s="2"/>
      <c r="AU127" s="10"/>
      <c r="AV127" s="2"/>
      <c r="AW127" s="10"/>
      <c r="AX127" s="2"/>
      <c r="BA127" s="10"/>
      <c r="BB127" s="2"/>
    </row>
    <row r="128" spans="3:54" ht="14.4" thickBot="1">
      <c r="C128" s="56" t="s">
        <v>97</v>
      </c>
      <c r="D128" s="57" t="s">
        <v>98</v>
      </c>
      <c r="E128" s="58"/>
      <c r="F128" s="58"/>
      <c r="L128" s="2"/>
      <c r="AH128" s="10"/>
      <c r="AI128" s="2"/>
      <c r="AU128" s="10"/>
      <c r="AV128" s="2"/>
      <c r="AW128" s="10"/>
      <c r="AX128" s="2"/>
      <c r="BA128" s="10"/>
      <c r="BB128" s="2"/>
    </row>
    <row r="129" spans="3:54">
      <c r="C129" s="59" t="s">
        <v>99</v>
      </c>
      <c r="D129" s="62"/>
      <c r="E129" s="62"/>
      <c r="F129" s="62"/>
      <c r="L129" s="2"/>
      <c r="AH129" s="10"/>
      <c r="AI129" s="2"/>
      <c r="AU129" s="10"/>
      <c r="AV129" s="2"/>
      <c r="AW129" s="10"/>
      <c r="AX129" s="2"/>
      <c r="BA129" s="10"/>
      <c r="BB129" s="2"/>
    </row>
    <row r="130" spans="3:54" ht="14.4" thickBot="1">
      <c r="C130" s="56" t="s">
        <v>100</v>
      </c>
      <c r="D130" s="63"/>
      <c r="E130" s="63"/>
      <c r="F130" s="63"/>
      <c r="L130" s="2"/>
      <c r="AH130" s="10"/>
      <c r="AI130" s="2"/>
      <c r="AU130" s="10"/>
      <c r="AV130" s="2"/>
      <c r="AW130" s="10"/>
      <c r="AX130" s="2"/>
      <c r="BA130" s="10"/>
      <c r="BB130" s="2"/>
    </row>
    <row r="131" spans="3:54">
      <c r="C131" s="59" t="s">
        <v>101</v>
      </c>
      <c r="D131" s="62"/>
      <c r="E131" s="62"/>
      <c r="F131" s="62"/>
      <c r="L131" s="2"/>
      <c r="AH131" s="10"/>
      <c r="AI131" s="2"/>
      <c r="AU131" s="10"/>
      <c r="AV131" s="2"/>
      <c r="AW131" s="10"/>
      <c r="AX131" s="2"/>
      <c r="BA131" s="10"/>
      <c r="BB131" s="2"/>
    </row>
    <row r="132" spans="3:54" ht="14.4" thickBot="1">
      <c r="C132" s="56" t="s">
        <v>102</v>
      </c>
      <c r="D132" s="63"/>
      <c r="E132" s="63"/>
      <c r="F132" s="63"/>
      <c r="L132" s="2"/>
      <c r="AH132" s="10"/>
      <c r="AI132" s="2"/>
      <c r="AU132" s="10"/>
      <c r="AV132" s="2"/>
      <c r="AW132" s="10"/>
      <c r="AX132" s="2"/>
      <c r="BA132" s="10"/>
      <c r="BB132" s="2"/>
    </row>
    <row r="133" spans="3:54">
      <c r="C133" s="60" t="s">
        <v>103</v>
      </c>
      <c r="D133" s="61"/>
      <c r="E133" s="61"/>
      <c r="F133" s="61"/>
      <c r="L133" s="2"/>
      <c r="AH133" s="10"/>
      <c r="AI133" s="2"/>
      <c r="AU133" s="10"/>
      <c r="AV133" s="2"/>
      <c r="AW133" s="10"/>
      <c r="AX133" s="2"/>
      <c r="BA133" s="10"/>
      <c r="BB133" s="2"/>
    </row>
    <row r="134" spans="3:54">
      <c r="C134" s="2" t="s">
        <v>104</v>
      </c>
      <c r="L134" s="2"/>
      <c r="AH134" s="10"/>
      <c r="AI134" s="2"/>
      <c r="AU134" s="10"/>
      <c r="AV134" s="2"/>
      <c r="AW134" s="10"/>
      <c r="AX134" s="2"/>
      <c r="BA134" s="10"/>
      <c r="BB134" s="2"/>
    </row>
  </sheetData>
  <mergeCells count="12">
    <mergeCell ref="D129:D130"/>
    <mergeCell ref="E129:E130"/>
    <mergeCell ref="F129:F130"/>
    <mergeCell ref="D131:D132"/>
    <mergeCell ref="E131:E132"/>
    <mergeCell ref="F131:F132"/>
    <mergeCell ref="C2:K3"/>
    <mergeCell ref="C5:K5"/>
    <mergeCell ref="C125:F125"/>
    <mergeCell ref="D126:D127"/>
    <mergeCell ref="E126:E127"/>
    <mergeCell ref="F126:F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35</vt:i4>
      </vt:variant>
    </vt:vector>
  </HeadingPairs>
  <TitlesOfParts>
    <vt:vector size="37" baseType="lpstr">
      <vt:lpstr>Monthly Portfolio</vt:lpstr>
      <vt:lpstr>Half Yearly Portfolio</vt:lpstr>
      <vt:lpstr>XDO_?CLASS_3?25?</vt:lpstr>
      <vt:lpstr>XDO_?FINAL_ISIN?116?</vt:lpstr>
      <vt:lpstr>XDO_?FINAL_ISIN?117?</vt:lpstr>
      <vt:lpstr>XDO_?FINAL_ISIN?118?</vt:lpstr>
      <vt:lpstr>XDO_?FINAL_MV?116?</vt:lpstr>
      <vt:lpstr>XDO_?FINAL_MV?117?</vt:lpstr>
      <vt:lpstr>XDO_?FINAL_MV?118?</vt:lpstr>
      <vt:lpstr>XDO_?FINAL_NAME?116?</vt:lpstr>
      <vt:lpstr>XDO_?FINAL_NAME?117?</vt:lpstr>
      <vt:lpstr>XDO_?FINAL_NAME?118?</vt:lpstr>
      <vt:lpstr>XDO_?FINAL_PER_NET?116?</vt:lpstr>
      <vt:lpstr>XDO_?FINAL_PER_NET?117?</vt:lpstr>
      <vt:lpstr>XDO_?FINAL_PER_NET?118?</vt:lpstr>
      <vt:lpstr>XDO_?FINAL_QUANTITE?116?</vt:lpstr>
      <vt:lpstr>XDO_?FINAL_QUANTITE?117?</vt:lpstr>
      <vt:lpstr>XDO_?FINAL_QUANTITE?118?</vt:lpstr>
      <vt:lpstr>XDO_?NAMCNAME?25?</vt:lpstr>
      <vt:lpstr>XDO_?NOVAL?116?</vt:lpstr>
      <vt:lpstr>XDO_?NOVAL?117?</vt:lpstr>
      <vt:lpstr>XDO_?NOVAL?118?</vt:lpstr>
      <vt:lpstr>XDO_?NPTF?25?</vt:lpstr>
      <vt:lpstr>XDO_?RATING?116?</vt:lpstr>
      <vt:lpstr>XDO_?RATING?117?</vt:lpstr>
      <vt:lpstr>XDO_?RATING?118?</vt:lpstr>
      <vt:lpstr>XDO_?REMARKS?116?</vt:lpstr>
      <vt:lpstr>XDO_?REMARKS?117?</vt:lpstr>
      <vt:lpstr>XDO_?REMARKS?118?</vt:lpstr>
      <vt:lpstr>XDO_?TITL?25?</vt:lpstr>
      <vt:lpstr>XDO_?YTM?116?</vt:lpstr>
      <vt:lpstr>XDO_?YTM?117?</vt:lpstr>
      <vt:lpstr>XDO_?YTM?118?</vt:lpstr>
      <vt:lpstr>XDO_GROUP_?G_2?25?</vt:lpstr>
      <vt:lpstr>XDO_GROUP_?G_3?25?</vt:lpstr>
      <vt:lpstr>XDO_GROUP_?G_4?116?</vt:lpstr>
      <vt:lpstr>XDO_GROUP_?G_4?118?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2023-04-05T12:36:26Z</dcterms:created>
  <dcterms:modified xsi:type="dcterms:W3CDTF">2023-04-08T12:45:07Z</dcterms:modified>
</cp:coreProperties>
</file>