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March 2023\Monthly Portfolio\Debt\"/>
    </mc:Choice>
  </mc:AlternateContent>
  <xr:revisionPtr revIDLastSave="0" documentId="13_ncr:1_{F3CB5C19-AB11-4E31-A1C9-F6D163E23641}" xr6:coauthVersionLast="47" xr6:coauthVersionMax="47" xr10:uidLastSave="{00000000-0000-0000-0000-000000000000}"/>
  <bookViews>
    <workbookView xWindow="-108" yWindow="-108" windowWidth="23256" windowHeight="12576" xr2:uid="{94954829-E6C6-4BF8-AFDF-11CCF26F0192}"/>
  </bookViews>
  <sheets>
    <sheet name="LW" sheetId="1" r:id="rId1"/>
  </sheets>
  <externalReferences>
    <externalReference r:id="rId2"/>
  </externalReferences>
  <definedNames>
    <definedName name="XDO_?CLASS_3?1?">LW!$C$16:$C$22</definedName>
    <definedName name="XDO_?FINAL_ISIN?1?">LW!$D$18:$D$22</definedName>
    <definedName name="XDO_?FINAL_ISIN?2?">LW!$D$18:$D$32</definedName>
    <definedName name="XDO_?FINAL_ISIN?3?">LW!$D$18:$D$41</definedName>
    <definedName name="XDO_?FINAL_ISIN?4?">LW!$D$18:$D$51</definedName>
    <definedName name="XDO_?FINAL_ISIN?5?">LW!$D$18:$D$68</definedName>
    <definedName name="XDO_?FINAL_ISIN?6?">LW!$D$18:$D$72</definedName>
    <definedName name="XDO_?FINAL_MV?1?">LW!$G$18:$G$22</definedName>
    <definedName name="XDO_?FINAL_MV?2?">LW!$G$18:$G$32</definedName>
    <definedName name="XDO_?FINAL_MV?3?">LW!$G$18:$G$41</definedName>
    <definedName name="XDO_?FINAL_MV?4?">LW!$G$18:$G$51</definedName>
    <definedName name="XDO_?FINAL_MV?5?">LW!$G$18:$G$68</definedName>
    <definedName name="XDO_?FINAL_MV?6?">LW!$G$18:$G$72</definedName>
    <definedName name="XDO_?FINAL_NAME?1?">LW!$C$18:$C$22</definedName>
    <definedName name="XDO_?FINAL_NAME?2?">LW!$C$18:$C$32</definedName>
    <definedName name="XDO_?FINAL_NAME?3?">LW!$C$18:$C$41</definedName>
    <definedName name="XDO_?FINAL_NAME?4?">LW!$C$18:$C$51</definedName>
    <definedName name="XDO_?FINAL_NAME?5?">LW!$C$18:$C$68</definedName>
    <definedName name="XDO_?FINAL_NAME?6?">LW!$C$18:$C$72</definedName>
    <definedName name="XDO_?FINAL_PER_NET?1?">LW!$H$18:$H$22</definedName>
    <definedName name="XDO_?FINAL_PER_NET?2?">LW!$H$18:$H$32</definedName>
    <definedName name="XDO_?FINAL_PER_NET?3?">LW!$H$18:$H$41</definedName>
    <definedName name="XDO_?FINAL_PER_NET?4?">LW!$H$18:$H$51</definedName>
    <definedName name="XDO_?FINAL_PER_NET?5?">LW!$H$18:$H$68</definedName>
    <definedName name="XDO_?FINAL_PER_NET?6?">LW!$H$18:$H$72</definedName>
    <definedName name="XDO_?FINAL_QUANTITE?1?">LW!$F$18:$F$22</definedName>
    <definedName name="XDO_?FINAL_QUANTITE?2?">LW!$F$18:$F$32</definedName>
    <definedName name="XDO_?FINAL_QUANTITE?3?">LW!$F$18:$F$41</definedName>
    <definedName name="XDO_?FINAL_QUANTITE?4?">LW!$F$18:$F$51</definedName>
    <definedName name="XDO_?FINAL_QUANTITE?5?">LW!$F$18:$F$68</definedName>
    <definedName name="XDO_?FINAL_QUANTITE?6?">LW!$F$18:$F$72</definedName>
    <definedName name="XDO_?NAMC?">[1]MT!#REF!</definedName>
    <definedName name="XDO_?NAMC?1?">LW!#REF!</definedName>
    <definedName name="XDO_?NAMC?10?">[1]SE!#REF!</definedName>
    <definedName name="XDO_?NAMC?11?">[1]FO!#REF!</definedName>
    <definedName name="XDO_?NAMC?12?">[1]IC!#REF!</definedName>
    <definedName name="XDO_?NAMC?13?">[1]AF!#REF!</definedName>
    <definedName name="XDO_?NAMC?14?">[1]FX!#REF!</definedName>
    <definedName name="XDO_?NAMC?15?">[1]MA!#REF!</definedName>
    <definedName name="XDO_?NAMC?16?">[1]GR!#REF!</definedName>
    <definedName name="XDO_?NAMC?17?">[1]GF!#REF!</definedName>
    <definedName name="XDO_?NAMC?18?">[1]LQ!#REF!</definedName>
    <definedName name="XDO_?NAMC?19?">[1]SI!#REF!</definedName>
    <definedName name="XDO_?NAMC?2?">[1]FL!#REF!</definedName>
    <definedName name="XDO_?NAMC?20?">[1]BS!#REF!</definedName>
    <definedName name="XDO_?NAMC?21?">[1]CO!#REF!</definedName>
    <definedName name="XDO_?NAMC?22?">[1]US!#REF!</definedName>
    <definedName name="XDO_?NAMC?23?">[1]DE!#REF!</definedName>
    <definedName name="XDO_?NAMC?24?">[1]ON!#REF!</definedName>
    <definedName name="XDO_?NAMC?25?">[1]BM!#REF!</definedName>
    <definedName name="XDO_?NAMC?26?">[1]ES!#REF!</definedName>
    <definedName name="XDO_?NAMC?27?">[1]LM!#REF!</definedName>
    <definedName name="XDO_?NAMC?28?">[1]BP!#REF!</definedName>
    <definedName name="XDO_?NAMC?29?">[1]BC!#REF!</definedName>
    <definedName name="XDO_?NAMC?3?">[1]CB!#REF!</definedName>
    <definedName name="XDO_?NAMC?4?">[1]NS!#REF!</definedName>
    <definedName name="XDO_?NAMC?5?">[1]MC!#REF!</definedName>
    <definedName name="XDO_?NAMC?6?">[1]LC!#REF!</definedName>
    <definedName name="XDO_?NAMC?7?">[1]TA!#REF!</definedName>
    <definedName name="XDO_?NAMC?8?">[1]CH!#REF!</definedName>
    <definedName name="XDO_?NAMC?9?">[1]AR!#REF!</definedName>
    <definedName name="XDO_?NAMCNAME?1?">LW!$C$2:$C$22</definedName>
    <definedName name="XDO_?NDATE?">[1]MT!#REF!</definedName>
    <definedName name="XDO_?NDATE?1?">LW!#REF!</definedName>
    <definedName name="XDO_?NDATE?10?">[1]SE!#REF!</definedName>
    <definedName name="XDO_?NDATE?11?">[1]FO!#REF!</definedName>
    <definedName name="XDO_?NDATE?12?">[1]IC!#REF!</definedName>
    <definedName name="XDO_?NDATE?13?">[1]AF!#REF!</definedName>
    <definedName name="XDO_?NDATE?14?">[1]FX!#REF!</definedName>
    <definedName name="XDO_?NDATE?15?">[1]MA!#REF!</definedName>
    <definedName name="XDO_?NDATE?16?">[1]GR!#REF!</definedName>
    <definedName name="XDO_?NDATE?17?">[1]GF!#REF!</definedName>
    <definedName name="XDO_?NDATE?18?">[1]LQ!#REF!</definedName>
    <definedName name="XDO_?NDATE?19?">[1]SI!#REF!</definedName>
    <definedName name="XDO_?NDATE?2?">[1]FL!#REF!</definedName>
    <definedName name="XDO_?NDATE?20?">[1]BS!#REF!</definedName>
    <definedName name="XDO_?NDATE?21?">[1]CO!#REF!</definedName>
    <definedName name="XDO_?NDATE?22?">[1]US!#REF!</definedName>
    <definedName name="XDO_?NDATE?23?">[1]DE!#REF!</definedName>
    <definedName name="XDO_?NDATE?24?">[1]ON!#REF!</definedName>
    <definedName name="XDO_?NDATE?25?">[1]BM!#REF!</definedName>
    <definedName name="XDO_?NDATE?26?">[1]ES!#REF!</definedName>
    <definedName name="XDO_?NDATE?27?">[1]LM!#REF!</definedName>
    <definedName name="XDO_?NDATE?28?">[1]BP!#REF!</definedName>
    <definedName name="XDO_?NDATE?29?">[1]BC!#REF!</definedName>
    <definedName name="XDO_?NDATE?3?">[1]CB!#REF!</definedName>
    <definedName name="XDO_?NDATE?4?">[1]NS!#REF!</definedName>
    <definedName name="XDO_?NDATE?5?">[1]MC!#REF!</definedName>
    <definedName name="XDO_?NDATE?6?">[1]LC!#REF!</definedName>
    <definedName name="XDO_?NDATE?7?">[1]TA!#REF!</definedName>
    <definedName name="XDO_?NDATE?8?">[1]CH!#REF!</definedName>
    <definedName name="XDO_?NDATE?9?">[1]AR!#REF!</definedName>
    <definedName name="XDO_?NNPTF?">[1]MT!#REF!</definedName>
    <definedName name="XDO_?NNPTF?1?">LW!#REF!</definedName>
    <definedName name="XDO_?NNPTF?10?">[1]SE!#REF!</definedName>
    <definedName name="XDO_?NNPTF?11?">[1]FO!#REF!</definedName>
    <definedName name="XDO_?NNPTF?12?">[1]IC!#REF!</definedName>
    <definedName name="XDO_?NNPTF?13?">[1]AF!#REF!</definedName>
    <definedName name="XDO_?NNPTF?14?">[1]FX!#REF!</definedName>
    <definedName name="XDO_?NNPTF?15?">[1]MA!#REF!</definedName>
    <definedName name="XDO_?NNPTF?16?">[1]GR!#REF!</definedName>
    <definedName name="XDO_?NNPTF?17?">[1]GF!#REF!</definedName>
    <definedName name="XDO_?NNPTF?18?">[1]LQ!#REF!</definedName>
    <definedName name="XDO_?NNPTF?19?">[1]SI!#REF!</definedName>
    <definedName name="XDO_?NNPTF?2?">[1]FL!#REF!</definedName>
    <definedName name="XDO_?NNPTF?20?">[1]BS!#REF!</definedName>
    <definedName name="XDO_?NNPTF?21?">[1]CO!#REF!</definedName>
    <definedName name="XDO_?NNPTF?22?">[1]US!#REF!</definedName>
    <definedName name="XDO_?NNPTF?23?">[1]DE!#REF!</definedName>
    <definedName name="XDO_?NNPTF?24?">[1]ON!#REF!</definedName>
    <definedName name="XDO_?NNPTF?25?">[1]BM!#REF!</definedName>
    <definedName name="XDO_?NNPTF?26?">[1]ES!#REF!</definedName>
    <definedName name="XDO_?NNPTF?27?">[1]LM!#REF!</definedName>
    <definedName name="XDO_?NNPTF?28?">[1]BP!#REF!</definedName>
    <definedName name="XDO_?NNPTF?29?">[1]BC!#REF!</definedName>
    <definedName name="XDO_?NNPTF?3?">[1]CB!#REF!</definedName>
    <definedName name="XDO_?NNPTF?4?">[1]NS!#REF!</definedName>
    <definedName name="XDO_?NNPTF?5?">[1]MC!#REF!</definedName>
    <definedName name="XDO_?NNPTF?6?">[1]LC!#REF!</definedName>
    <definedName name="XDO_?NNPTF?7?">[1]TA!#REF!</definedName>
    <definedName name="XDO_?NNPTF?8?">[1]CH!#REF!</definedName>
    <definedName name="XDO_?NNPTF?9?">[1]AR!#REF!</definedName>
    <definedName name="XDO_?NOVAL?1?">LW!$B$18:$B$22</definedName>
    <definedName name="XDO_?NOVAL?2?">LW!$B$18:$B$32</definedName>
    <definedName name="XDO_?NOVAL?3?">LW!$B$18:$B$41</definedName>
    <definedName name="XDO_?NOVAL?4?">LW!$B$18:$B$51</definedName>
    <definedName name="XDO_?NOVAL?5?">LW!$B$18:$B$68</definedName>
    <definedName name="XDO_?NOVAL?6?">LW!$B$18:$B$72</definedName>
    <definedName name="XDO_?NPTF?1?">LW!$D$2:$D$22</definedName>
    <definedName name="XDO_?RATING?1?">LW!$E$18:$E$22</definedName>
    <definedName name="XDO_?RATING?2?">LW!$E$18:$E$32</definedName>
    <definedName name="XDO_?RATING?3?">LW!$E$18:$E$41</definedName>
    <definedName name="XDO_?RATING?4?">LW!$E$18:$E$51</definedName>
    <definedName name="XDO_?RATING?5?">LW!$E$18:$E$68</definedName>
    <definedName name="XDO_?RATING?6?">LW!$E$18:$E$72</definedName>
    <definedName name="XDO_?REMARKS?1?">LW!$K$18:$K$22</definedName>
    <definedName name="XDO_?REMARKS?2?">LW!$K$18:$K$32</definedName>
    <definedName name="XDO_?REMARKS?3?">LW!$K$18:$K$41</definedName>
    <definedName name="XDO_?REMARKS?4?">LW!$K$18:$K$51</definedName>
    <definedName name="XDO_?REMARKS?5?">LW!$K$18:$K$68</definedName>
    <definedName name="XDO_?REMARKS?6?">LW!$K$18:$K$72</definedName>
    <definedName name="XDO_?TITL?1?">LW!$A$16:$A$22</definedName>
    <definedName name="XDO_?YTM?1?">LW!$I$18:$I$22</definedName>
    <definedName name="XDO_?YTM?2?">LW!$I$18:$I$32</definedName>
    <definedName name="XDO_?YTM?3?">LW!$I$18:$I$41</definedName>
    <definedName name="XDO_?YTM?4?">LW!$I$18:$I$51</definedName>
    <definedName name="XDO_?YTM?5?">LW!$I$18:$I$68</definedName>
    <definedName name="XDO_?YTM?6?">LW!$I$18:$I$72</definedName>
    <definedName name="XDO_GROUP_?G_2?1?">LW!$2:$48</definedName>
    <definedName name="XDO_GROUP_?G_3?1?">LW!$8:$47</definedName>
    <definedName name="XDO_GROUP_?G_4?1?">LW!$B$10:$IV$14</definedName>
    <definedName name="XDO_GROUP_?G_4?2?">LW!$B$16:$IV$18</definedName>
    <definedName name="XDO_GROUP_?G_4?28?">[1]TA!#REF!</definedName>
    <definedName name="XDO_GROUP_?G_4?3?">LW!$B$23:$IV$25</definedName>
    <definedName name="XDO_GROUP_?G_4?4?">LW!$B$29:$IV$35</definedName>
    <definedName name="XDO_GROUP_?G_4?5?">LW!$B$40:$IV$40</definedName>
    <definedName name="XDO_GROUP_?G_4?6?">LW!$B$45:$IV$45</definedName>
    <definedName name="XDO_GROUP_?G_4?71?">[1]GR!#REF!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5" i="1" l="1"/>
</calcChain>
</file>

<file path=xl/sharedStrings.xml><?xml version="1.0" encoding="utf-8"?>
<sst xmlns="http://schemas.openxmlformats.org/spreadsheetml/2006/main" count="222" uniqueCount="161">
  <si>
    <t>Baroda BNP Paribas Mutual Fund</t>
  </si>
  <si>
    <t>T0MD09</t>
  </si>
  <si>
    <t>SCHEME NAME :</t>
  </si>
  <si>
    <t xml:space="preserve">Baroda BNP Paribas Low Duration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</si>
  <si>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</si>
  <si>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</si>
  <si>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</si>
  <si>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</si>
  <si>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</si>
  <si>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</si>
  <si>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</si>
  <si>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</si>
  <si>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</si>
  <si>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</si>
  <si>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</si>
  <si>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</si>
  <si>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</si>
  <si>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</si>
  <si>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</si>
  <si>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</si>
  <si>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</si>
  <si>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703630</t>
  </si>
  <si>
    <t>8.50% Piramal Capital &amp; Housing Finance Ltd. 31-Jul-2023</t>
  </si>
  <si>
    <t>INE516Y07188</t>
  </si>
  <si>
    <t>[ICRA]AA</t>
  </si>
  <si>
    <t>N**</t>
  </si>
  <si>
    <t>703028</t>
  </si>
  <si>
    <t>6.25% Embassy Office Parks Reit 18-Oct-2024</t>
  </si>
  <si>
    <t>INE041007076</t>
  </si>
  <si>
    <t>CRISIL AAA</t>
  </si>
  <si>
    <t>703776</t>
  </si>
  <si>
    <t>7.00% Shriram Finance Ltd. 21-Feb-2024</t>
  </si>
  <si>
    <t>INE721A07QS8</t>
  </si>
  <si>
    <t>CRISIL AA+</t>
  </si>
  <si>
    <t>703915</t>
  </si>
  <si>
    <t>8.50% JM Financial Products Ltd. 16-May-2025</t>
  </si>
  <si>
    <t>INE523H07BV9</t>
  </si>
  <si>
    <t>702296</t>
  </si>
  <si>
    <t>7.12% REC Ltd. 31-Mar-2023</t>
  </si>
  <si>
    <t>INE020B08CH4</t>
  </si>
  <si>
    <t>Total</t>
  </si>
  <si>
    <t>b) Privately Placed/Unlisted</t>
  </si>
  <si>
    <t>c) Securitised Debt Instruments</t>
  </si>
  <si>
    <t>d) Central Government Securities</t>
  </si>
  <si>
    <t>900154</t>
  </si>
  <si>
    <t>7.42% Government of India 22-Sep-2033</t>
  </si>
  <si>
    <t>IN0020200120</t>
  </si>
  <si>
    <t>Sovereign</t>
  </si>
  <si>
    <t>900166</t>
  </si>
  <si>
    <t>7.69% Government of India 30-Oct-2034</t>
  </si>
  <si>
    <t>IN0020210137</t>
  </si>
  <si>
    <t>900145</t>
  </si>
  <si>
    <t>5.22% Government of India 15-Jun-2025</t>
  </si>
  <si>
    <t>IN0020200112</t>
  </si>
  <si>
    <t>e) State Government Securities</t>
  </si>
  <si>
    <t>MONEY MARKET INSTRUMENTS</t>
  </si>
  <si>
    <t>a) Commercial Paper</t>
  </si>
  <si>
    <t>1008570</t>
  </si>
  <si>
    <t>Housing Development Finance Corporation Ltd. 25-Jul-2023</t>
  </si>
  <si>
    <t>INE001A14ZE2</t>
  </si>
  <si>
    <t>CRISIL A1+</t>
  </si>
  <si>
    <t>1008641</t>
  </si>
  <si>
    <t>Kotak Mahindra Investments Ltd. 24-Jul-2023</t>
  </si>
  <si>
    <t>INE975F14XW3</t>
  </si>
  <si>
    <t>1008735</t>
  </si>
  <si>
    <t>Tata Capital Financial Services Ltd. 20-Feb-2024</t>
  </si>
  <si>
    <t>INE306N14VR9</t>
  </si>
  <si>
    <t>b) Certificate of Deposits</t>
  </si>
  <si>
    <t>1102042</t>
  </si>
  <si>
    <t>State Bank of India 12-Sep-2023</t>
  </si>
  <si>
    <t>INE062A16465</t>
  </si>
  <si>
    <t>IND A1+</t>
  </si>
  <si>
    <t>1102092</t>
  </si>
  <si>
    <t>ICICI Bank Ltd. 29-Sep-2023</t>
  </si>
  <si>
    <t>INE090A162Y1</t>
  </si>
  <si>
    <t>[ICRA]A1+</t>
  </si>
  <si>
    <t>1102113</t>
  </si>
  <si>
    <t>Small Industries Development Bank of India 21-Nov-2023</t>
  </si>
  <si>
    <t>INE556F16AB8</t>
  </si>
  <si>
    <t>1102183</t>
  </si>
  <si>
    <t>National Bank for Agriculture and Rural Development 23-Jan-2024</t>
  </si>
  <si>
    <t>INE261F16686</t>
  </si>
  <si>
    <t>1102015</t>
  </si>
  <si>
    <t>Kotak Mahindra Bank Ltd. 11-Aug-2023</t>
  </si>
  <si>
    <t>INE237A168P0</t>
  </si>
  <si>
    <t>1102018</t>
  </si>
  <si>
    <t>Export-Import Bank of India 17-Aug-2023</t>
  </si>
  <si>
    <t>INE514E16CC4</t>
  </si>
  <si>
    <t>1102049</t>
  </si>
  <si>
    <t>Kotak Mahindra Bank Ltd. 18-Aug-2023</t>
  </si>
  <si>
    <t>INE237A160Q5</t>
  </si>
  <si>
    <t>c) Treasury Bills</t>
  </si>
  <si>
    <t>d) Bills Re- Discounting</t>
  </si>
  <si>
    <t>OTHERS</t>
  </si>
  <si>
    <t>a) Mutual Fund Units / Exchange Traded Funds</t>
  </si>
  <si>
    <t>b) Gold</t>
  </si>
  <si>
    <t>c) Short Term Deposits</t>
  </si>
  <si>
    <t>d) Term Deposits Placed as Margins</t>
  </si>
  <si>
    <t>e) TREPS / Reverse Repo Investments</t>
  </si>
  <si>
    <t>103230100</t>
  </si>
  <si>
    <t>TREPS 01-Mar-2023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</si>
  <si>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</si>
  <si>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</si>
  <si>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</si>
  <si>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</si>
  <si>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 D**-&gt; This includes notional value of derivatives exposure</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</si>
  <si>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</si>
  <si>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</si>
  <si>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</si>
  <si>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</si>
  <si>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</si>
  <si>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February 28,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</si>
  <si>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</si>
  <si>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</si>
  <si>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</si>
  <si>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January 31, 2023</t>
  </si>
  <si>
    <t>As on February 28, 2023</t>
  </si>
  <si>
    <t>Regular Plan - Daily IDCW Option</t>
  </si>
  <si>
    <t>Regular Plan - Growth Option</t>
  </si>
  <si>
    <t>Regular Plan - Monthly IDCW Option</t>
  </si>
  <si>
    <t>Regular Plan - Weekly IDCW Option</t>
  </si>
  <si>
    <t>Defunct Plan - Daily IDCW Option</t>
  </si>
  <si>
    <t>Defunct Plan - Growth Option</t>
  </si>
  <si>
    <t>Defunct Plan - Monthly IDCW Option</t>
  </si>
  <si>
    <t>Defunct Plan - Weekly IDCW Option</t>
  </si>
  <si>
    <t>Direct Plan - Daily IDCW Option</t>
  </si>
  <si>
    <t>Direct Plan - Growth Option</t>
  </si>
  <si>
    <t>Direct Plan - Monthly IDCW Option</t>
  </si>
  <si>
    <t>Direct Plan - Weekly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</si>
  <si>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</si>
  <si>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</si>
  <si>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</si>
  <si>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February 28, 2023. Further there are no investments in derivative instruments as on February 28, 2023.</t>
  </si>
  <si>
    <t>(10) Total Market value of investments in Foreign Securities/American Depositary Receipts/Global Depositary Receipts as at  February 28, 2023 is Rs. Nil.</t>
  </si>
  <si>
    <t>(11)  The Average Maturity period of the portfolio has been 581 days.</t>
  </si>
  <si>
    <t>(12)  Details of repo transaction in corporate debt securities for the Month ended February 28, 2023 is Nil.</t>
  </si>
  <si>
    <t>(13)  Investments in debt instruments having structured obligations or credit enhancement features as at February 28, 2023 is Rs. Nil.</t>
  </si>
  <si>
    <t>(14) Investment in Partly paid Debentures during the Month ended  February 28, 2023 and as on  February 28,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</si>
  <si>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</si>
  <si>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</si>
  <si>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</si>
  <si>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</si>
  <si>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</si>
  <si>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February 28, 2023 : Rs. Nil</t>
  </si>
  <si>
    <t>(17) Macaulay Duration of the portfolio has been 241 days.</t>
  </si>
  <si>
    <t>(18) Annualised Portfolio YTM has been 7.2241.</t>
  </si>
  <si>
    <t>(19)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</si>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</sst>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19"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1">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0" fillId="0" borderId="0" xfId="0" applyAlignment="1">
      <alignment vertical="top"/>
    </xf>
    <xf numFmtId="0" fontId="3" fillId="0" borderId="0" xfId="0" applyFont="1" applyAlignment="1">
      <alignment vertical="top" wrapText="1"/>
    </xf>
    <xf numFmtId="0" fontId="0" fillId="0" borderId="0" xfId="0" applyAlignment="1">
      <alignment vertical="top" wrapText="1"/>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3" fillId="4" borderId="22" xfId="0" applyFont="1" applyFill="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0" borderId="24" xfId="0" applyFont="1" applyBorder="1" applyAlignment="1">
      <alignment vertical="center" wrapText="1"/>
    </xf>
    <xf numFmtId="0" fontId="17" fillId="5" borderId="24" xfId="0" applyFont="1" applyFill="1" applyBorder="1" applyAlignment="1">
      <alignment horizontal="center" vertical="center" wrapText="1"/>
    </xf>
    <xf numFmtId="0" fontId="14" fillId="4" borderId="25" xfId="0" applyFont="1" applyFill="1" applyBorder="1" applyAlignment="1">
      <alignment horizontal="center" vertical="center" wrapText="1"/>
    </xf>
    <xf numFmtId="0" fontId="17" fillId="0" borderId="23" xfId="0" applyFont="1" applyBorder="1" applyAlignment="1">
      <alignment vertical="center" wrapText="1"/>
    </xf>
    <xf numFmtId="0" fontId="17" fillId="0" borderId="22" xfId="0" applyFont="1" applyBorder="1" applyAlignment="1">
      <alignment vertical="center" wrapText="1"/>
    </xf>
    <xf numFmtId="0" fontId="18" fillId="0" borderId="0" xfId="0" applyFont="1"/>
    <xf numFmtId="0" fontId="17" fillId="0" borderId="0" xfId="0" applyFont="1"/>
  </cellXfs>
  <cellStyles count="6">
    <cellStyle name="Comma" xfId="1" builtinId="3"/>
    <cellStyle name="Comma 2" xfId="5" xr:uid="{679B7EA7-DD80-4C04-BB2E-46DD623A11DE}"/>
    <cellStyle name="Hyperlink" xfId="2" builtinId="8"/>
    <cellStyle name="Normal" xfId="0" builtinId="0"/>
    <cellStyle name="Normal 2" xfId="4" xr:uid="{7DFF3807-B4B2-4410-89AB-C0D050899E64}"/>
    <cellStyle name="Style 1" xfId="3" xr:uid="{AD51370E-CD1B-4FFC-9FDA-E511D923E60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127</xdr:row>
      <xdr:rowOff>0</xdr:rowOff>
    </xdr:from>
    <xdr:to>
      <xdr:col>5</xdr:col>
      <xdr:colOff>504275</xdr:colOff>
      <xdr:row>148</xdr:row>
      <xdr:rowOff>53171</xdr:rowOff>
    </xdr:to>
    <xdr:pic>
      <xdr:nvPicPr>
        <xdr:cNvPr id="3" name="Picture 2">
          <a:extLst>
            <a:ext uri="{FF2B5EF4-FFF2-40B4-BE49-F238E27FC236}">
              <a16:creationId xmlns:a16="http://schemas.microsoft.com/office/drawing/2014/main" id="{C8551D63-D7B0-E0FC-B51C-A9A0B1DE5AC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3274867"/>
          <a:ext cx="7455408" cy="38039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T:\18.%20BNPP%20MF\Reporting\Monthly\Monthly%20Portfolio%20ISIN\2022-23\February%202023\Month%20End%2028%20February%202023\Split%20Portfolio\BOBBNPMF_Monthly%20portfolio%2028-02-2023.xls" TargetMode="External"/><Relationship Id="rId1" Type="http://schemas.openxmlformats.org/officeDocument/2006/relationships/externalLinkPath" Target="file:///T:\18.%20BNPP%20MF\Reporting\Monthly\Monthly%20Portfolio%20ISIN\2022-23\February%202023\Month%20End%2028%20February%202023\Split%20Portfolio\BOBBNPMF_Monthly%20portfolio%2028-02-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MT"/>
      <sheetName val="LW"/>
      <sheetName val="FL"/>
      <sheetName val="CB"/>
      <sheetName val="NS"/>
      <sheetName val="MC"/>
      <sheetName val="LC"/>
      <sheetName val="TA"/>
      <sheetName val="CH"/>
      <sheetName val="AR"/>
      <sheetName val="SE"/>
      <sheetName val="FO"/>
      <sheetName val="IC"/>
      <sheetName val="AF"/>
      <sheetName val="FX"/>
      <sheetName val="MA"/>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413D8-A6DD-46FD-BAE1-66BC99711FED}">
  <dimension ref="A1:BC159"/>
  <sheetViews>
    <sheetView showGridLines="0" tabSelected="1" zoomScale="90" zoomScaleNormal="90" workbookViewId="0">
      <pane ySplit="6" topLeftCell="A7" activePane="bottomLeft" state="frozen"/>
      <selection activeCell="I2" sqref="I2"/>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I2" s="9"/>
    </row>
    <row r="3" spans="1:55" ht="16.2" x14ac:dyDescent="0.35">
      <c r="C3" s="11" t="s">
        <v>2</v>
      </c>
      <c r="D3" s="12" t="s">
        <v>3</v>
      </c>
    </row>
    <row r="4" spans="1:55" ht="15" x14ac:dyDescent="0.35">
      <c r="C4" s="11" t="s">
        <v>4</v>
      </c>
      <c r="D4" s="13">
        <v>44985</v>
      </c>
    </row>
    <row r="5" spans="1:55" ht="14.4" thickBot="1" x14ac:dyDescent="0.35">
      <c r="C5" s="11"/>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6"/>
      <c r="K7" s="27"/>
    </row>
    <row r="8" spans="1:55" x14ac:dyDescent="0.3">
      <c r="C8" s="28" t="s">
        <v>14</v>
      </c>
      <c r="D8" s="29"/>
      <c r="E8" s="30"/>
      <c r="F8" s="31"/>
      <c r="G8" s="32"/>
      <c r="H8" s="32"/>
      <c r="I8" s="33"/>
      <c r="J8" s="33"/>
      <c r="K8" s="34"/>
    </row>
    <row r="9" spans="1:55" x14ac:dyDescent="0.3">
      <c r="C9" s="21"/>
      <c r="D9" s="29"/>
      <c r="E9" s="30"/>
      <c r="F9" s="31"/>
      <c r="G9" s="32"/>
      <c r="H9" s="32"/>
      <c r="I9" s="33"/>
      <c r="J9" s="33"/>
      <c r="K9" s="34"/>
    </row>
    <row r="10" spans="1:55" x14ac:dyDescent="0.3">
      <c r="C10" s="28" t="s">
        <v>15</v>
      </c>
      <c r="D10" s="29"/>
      <c r="E10" s="30"/>
      <c r="F10" s="31"/>
      <c r="G10" s="32" t="s">
        <v>16</v>
      </c>
      <c r="H10" s="32" t="s">
        <v>16</v>
      </c>
      <c r="I10" s="33"/>
      <c r="J10" s="33"/>
      <c r="K10" s="34"/>
    </row>
    <row r="11" spans="1:55" x14ac:dyDescent="0.3">
      <c r="C11" s="21"/>
      <c r="D11" s="29"/>
      <c r="E11" s="30"/>
      <c r="F11" s="31"/>
      <c r="G11" s="32"/>
      <c r="H11" s="32"/>
      <c r="I11" s="33"/>
      <c r="J11" s="33"/>
      <c r="K11" s="34"/>
    </row>
    <row r="12" spans="1:55" x14ac:dyDescent="0.3">
      <c r="C12" s="28" t="s">
        <v>17</v>
      </c>
      <c r="D12" s="29"/>
      <c r="E12" s="30"/>
      <c r="F12" s="31"/>
      <c r="G12" s="32" t="s">
        <v>16</v>
      </c>
      <c r="H12" s="32" t="s">
        <v>16</v>
      </c>
      <c r="I12" s="33"/>
      <c r="J12" s="33"/>
      <c r="K12" s="34"/>
    </row>
    <row r="13" spans="1:55" x14ac:dyDescent="0.3">
      <c r="C13" s="21"/>
      <c r="D13" s="29"/>
      <c r="E13" s="30"/>
      <c r="F13" s="31"/>
      <c r="G13" s="32"/>
      <c r="H13" s="32"/>
      <c r="I13" s="33"/>
      <c r="J13" s="33"/>
      <c r="K13" s="34"/>
    </row>
    <row r="14" spans="1:55" x14ac:dyDescent="0.3">
      <c r="C14" s="28" t="s">
        <v>18</v>
      </c>
      <c r="D14" s="29"/>
      <c r="E14" s="30"/>
      <c r="F14" s="31"/>
      <c r="G14" s="32" t="s">
        <v>16</v>
      </c>
      <c r="H14" s="32" t="s">
        <v>16</v>
      </c>
      <c r="I14" s="33"/>
      <c r="J14" s="33"/>
      <c r="K14" s="34"/>
    </row>
    <row r="15" spans="1:55" x14ac:dyDescent="0.3">
      <c r="C15" s="21"/>
      <c r="D15" s="29"/>
      <c r="E15" s="30"/>
      <c r="F15" s="31"/>
      <c r="G15" s="32"/>
      <c r="H15" s="32"/>
      <c r="I15" s="33"/>
      <c r="J15" s="33"/>
      <c r="K15" s="34"/>
    </row>
    <row r="16" spans="1:55" x14ac:dyDescent="0.3">
      <c r="A16" s="35"/>
      <c r="B16" s="36"/>
      <c r="C16" s="28" t="s">
        <v>19</v>
      </c>
      <c r="D16" s="29"/>
      <c r="E16" s="30"/>
      <c r="F16" s="31"/>
      <c r="G16" s="32"/>
      <c r="H16" s="32"/>
      <c r="I16" s="33"/>
      <c r="J16" s="33"/>
      <c r="K16" s="34"/>
    </row>
    <row r="17" spans="2:11" x14ac:dyDescent="0.3">
      <c r="C17" s="37" t="s">
        <v>20</v>
      </c>
      <c r="D17" s="29"/>
      <c r="E17" s="30"/>
      <c r="F17" s="31"/>
      <c r="G17" s="32"/>
      <c r="H17" s="32"/>
      <c r="I17" s="33"/>
      <c r="J17" s="33"/>
      <c r="K17" s="34"/>
    </row>
    <row r="18" spans="2:11" x14ac:dyDescent="0.3">
      <c r="B18" s="1" t="s">
        <v>21</v>
      </c>
      <c r="C18" s="21" t="s">
        <v>22</v>
      </c>
      <c r="D18" s="29" t="s">
        <v>23</v>
      </c>
      <c r="E18" s="30" t="s">
        <v>24</v>
      </c>
      <c r="F18" s="31">
        <v>100</v>
      </c>
      <c r="G18" s="32">
        <v>998.43</v>
      </c>
      <c r="H18" s="32">
        <v>5.7</v>
      </c>
      <c r="I18" s="33">
        <v>8.6857000000000006</v>
      </c>
      <c r="J18" s="33"/>
      <c r="K18" s="34" t="s">
        <v>25</v>
      </c>
    </row>
    <row r="19" spans="2:11" x14ac:dyDescent="0.3">
      <c r="B19" s="1" t="s">
        <v>26</v>
      </c>
      <c r="C19" s="21" t="s">
        <v>27</v>
      </c>
      <c r="D19" s="29" t="s">
        <v>28</v>
      </c>
      <c r="E19" s="30" t="s">
        <v>29</v>
      </c>
      <c r="F19" s="31">
        <v>100</v>
      </c>
      <c r="G19" s="32">
        <v>973.31</v>
      </c>
      <c r="H19" s="32">
        <v>5.55</v>
      </c>
      <c r="I19" s="33">
        <v>8.2508999999999997</v>
      </c>
      <c r="J19" s="33"/>
      <c r="K19" s="34" t="s">
        <v>25</v>
      </c>
    </row>
    <row r="20" spans="2:11" x14ac:dyDescent="0.3">
      <c r="B20" s="1" t="s">
        <v>30</v>
      </c>
      <c r="C20" s="21" t="s">
        <v>31</v>
      </c>
      <c r="D20" s="29" t="s">
        <v>32</v>
      </c>
      <c r="E20" s="30" t="s">
        <v>33</v>
      </c>
      <c r="F20" s="31">
        <v>70</v>
      </c>
      <c r="G20" s="32">
        <v>690.69</v>
      </c>
      <c r="H20" s="32">
        <v>3.94</v>
      </c>
      <c r="I20" s="33">
        <v>8.4600000000000009</v>
      </c>
      <c r="J20" s="33"/>
      <c r="K20" s="34" t="s">
        <v>25</v>
      </c>
    </row>
    <row r="21" spans="2:11" x14ac:dyDescent="0.3">
      <c r="B21" s="1" t="s">
        <v>34</v>
      </c>
      <c r="C21" s="21" t="s">
        <v>35</v>
      </c>
      <c r="D21" s="29" t="s">
        <v>36</v>
      </c>
      <c r="E21" s="30" t="s">
        <v>24</v>
      </c>
      <c r="F21" s="31">
        <v>70</v>
      </c>
      <c r="G21" s="32">
        <v>686.76</v>
      </c>
      <c r="H21" s="32">
        <v>3.92</v>
      </c>
      <c r="I21" s="33">
        <v>9.4885999999999999</v>
      </c>
      <c r="J21" s="33"/>
      <c r="K21" s="34" t="s">
        <v>25</v>
      </c>
    </row>
    <row r="22" spans="2:11" x14ac:dyDescent="0.3">
      <c r="B22" s="1" t="s">
        <v>37</v>
      </c>
      <c r="C22" s="21" t="s">
        <v>38</v>
      </c>
      <c r="D22" s="29" t="s">
        <v>39</v>
      </c>
      <c r="E22" s="30" t="s">
        <v>29</v>
      </c>
      <c r="F22" s="31">
        <v>21</v>
      </c>
      <c r="G22" s="32">
        <v>209.9</v>
      </c>
      <c r="H22" s="32">
        <v>1.2</v>
      </c>
      <c r="I22" s="33">
        <v>7.2202999999999999</v>
      </c>
      <c r="J22" s="33"/>
      <c r="K22" s="34" t="s">
        <v>25</v>
      </c>
    </row>
    <row r="23" spans="2:11" x14ac:dyDescent="0.3">
      <c r="C23" s="28" t="s">
        <v>40</v>
      </c>
      <c r="D23" s="29"/>
      <c r="E23" s="30"/>
      <c r="F23" s="31"/>
      <c r="G23" s="38">
        <v>3559.09</v>
      </c>
      <c r="H23" s="38">
        <v>20.309999999999999</v>
      </c>
      <c r="I23" s="33"/>
      <c r="J23" s="33"/>
      <c r="K23" s="34"/>
    </row>
    <row r="24" spans="2:11" x14ac:dyDescent="0.3">
      <c r="C24" s="21"/>
      <c r="D24" s="29"/>
      <c r="E24" s="30"/>
      <c r="F24" s="31"/>
      <c r="G24" s="32"/>
      <c r="H24" s="32"/>
      <c r="I24" s="33"/>
      <c r="J24" s="33"/>
      <c r="K24" s="34"/>
    </row>
    <row r="25" spans="2:11" x14ac:dyDescent="0.3">
      <c r="C25" s="28" t="s">
        <v>41</v>
      </c>
      <c r="D25" s="29"/>
      <c r="E25" s="30"/>
      <c r="F25" s="31"/>
      <c r="G25" s="32" t="s">
        <v>16</v>
      </c>
      <c r="H25" s="32" t="s">
        <v>16</v>
      </c>
      <c r="I25" s="33"/>
      <c r="J25" s="33"/>
      <c r="K25" s="34"/>
    </row>
    <row r="26" spans="2:11" x14ac:dyDescent="0.3">
      <c r="C26" s="21"/>
      <c r="D26" s="29"/>
      <c r="E26" s="30"/>
      <c r="F26" s="31"/>
      <c r="G26" s="32"/>
      <c r="H26" s="32"/>
      <c r="I26" s="33"/>
      <c r="J26" s="33"/>
      <c r="K26" s="34"/>
    </row>
    <row r="27" spans="2:11" x14ac:dyDescent="0.3">
      <c r="C27" s="28" t="s">
        <v>42</v>
      </c>
      <c r="D27" s="29"/>
      <c r="E27" s="30"/>
      <c r="F27" s="31"/>
      <c r="G27" s="32" t="s">
        <v>16</v>
      </c>
      <c r="H27" s="32" t="s">
        <v>16</v>
      </c>
      <c r="I27" s="33"/>
      <c r="J27" s="33"/>
      <c r="K27" s="34"/>
    </row>
    <row r="28" spans="2:11" x14ac:dyDescent="0.3">
      <c r="C28" s="21"/>
      <c r="D28" s="29"/>
      <c r="E28" s="30"/>
      <c r="F28" s="31"/>
      <c r="G28" s="32"/>
      <c r="H28" s="32"/>
      <c r="I28" s="33"/>
      <c r="J28" s="33"/>
      <c r="K28" s="34"/>
    </row>
    <row r="29" spans="2:11" x14ac:dyDescent="0.3">
      <c r="C29" s="37" t="s">
        <v>43</v>
      </c>
      <c r="D29" s="29"/>
      <c r="E29" s="30"/>
      <c r="F29" s="31"/>
      <c r="G29" s="32"/>
      <c r="H29" s="32"/>
      <c r="I29" s="33"/>
      <c r="J29" s="33"/>
      <c r="K29" s="34"/>
    </row>
    <row r="30" spans="2:11" x14ac:dyDescent="0.3">
      <c r="B30" s="1" t="s">
        <v>44</v>
      </c>
      <c r="C30" s="21" t="s">
        <v>45</v>
      </c>
      <c r="D30" s="29" t="s">
        <v>46</v>
      </c>
      <c r="E30" s="30" t="s">
        <v>47</v>
      </c>
      <c r="F30" s="31">
        <v>1000000</v>
      </c>
      <c r="G30" s="32">
        <v>996.01</v>
      </c>
      <c r="H30" s="32">
        <v>5.68</v>
      </c>
      <c r="I30" s="33">
        <v>0</v>
      </c>
      <c r="J30" s="33"/>
      <c r="K30" s="34"/>
    </row>
    <row r="31" spans="2:11" x14ac:dyDescent="0.3">
      <c r="B31" s="1" t="s">
        <v>48</v>
      </c>
      <c r="C31" s="21" t="s">
        <v>49</v>
      </c>
      <c r="D31" s="29" t="s">
        <v>50</v>
      </c>
      <c r="E31" s="30" t="s">
        <v>47</v>
      </c>
      <c r="F31" s="31">
        <v>500000</v>
      </c>
      <c r="G31" s="32">
        <v>488.25</v>
      </c>
      <c r="H31" s="32">
        <v>2.79</v>
      </c>
      <c r="I31" s="33">
        <v>0</v>
      </c>
      <c r="J31" s="33"/>
      <c r="K31" s="34"/>
    </row>
    <row r="32" spans="2:11" x14ac:dyDescent="0.3">
      <c r="B32" s="1" t="s">
        <v>51</v>
      </c>
      <c r="C32" s="21" t="s">
        <v>52</v>
      </c>
      <c r="D32" s="29" t="s">
        <v>53</v>
      </c>
      <c r="E32" s="30" t="s">
        <v>47</v>
      </c>
      <c r="F32" s="31">
        <v>262000</v>
      </c>
      <c r="G32" s="32">
        <v>250.52</v>
      </c>
      <c r="H32" s="32">
        <v>1.43</v>
      </c>
      <c r="I32" s="33">
        <v>7.4610208</v>
      </c>
      <c r="J32" s="33"/>
      <c r="K32" s="34"/>
    </row>
    <row r="33" spans="1:11" x14ac:dyDescent="0.3">
      <c r="C33" s="28" t="s">
        <v>40</v>
      </c>
      <c r="D33" s="29"/>
      <c r="E33" s="30"/>
      <c r="F33" s="31"/>
      <c r="G33" s="38">
        <v>1734.78</v>
      </c>
      <c r="H33" s="38">
        <v>9.9</v>
      </c>
      <c r="I33" s="33"/>
      <c r="J33" s="33"/>
      <c r="K33" s="34"/>
    </row>
    <row r="34" spans="1:11" x14ac:dyDescent="0.3">
      <c r="C34" s="21"/>
      <c r="D34" s="29"/>
      <c r="E34" s="30"/>
      <c r="F34" s="31"/>
      <c r="G34" s="32"/>
      <c r="H34" s="32"/>
      <c r="I34" s="33"/>
      <c r="J34" s="33"/>
      <c r="K34" s="34"/>
    </row>
    <row r="35" spans="1:11" x14ac:dyDescent="0.3">
      <c r="C35" s="28" t="s">
        <v>54</v>
      </c>
      <c r="D35" s="29"/>
      <c r="E35" s="30"/>
      <c r="F35" s="31"/>
      <c r="G35" s="32" t="s">
        <v>16</v>
      </c>
      <c r="H35" s="32" t="s">
        <v>16</v>
      </c>
      <c r="I35" s="33"/>
      <c r="J35" s="33"/>
      <c r="K35" s="34"/>
    </row>
    <row r="36" spans="1:11" x14ac:dyDescent="0.3">
      <c r="C36" s="21"/>
      <c r="D36" s="29"/>
      <c r="E36" s="30"/>
      <c r="F36" s="31"/>
      <c r="G36" s="32"/>
      <c r="H36" s="32"/>
      <c r="I36" s="33"/>
      <c r="J36" s="33"/>
      <c r="K36" s="34"/>
    </row>
    <row r="37" spans="1:11" x14ac:dyDescent="0.3">
      <c r="A37" s="35"/>
      <c r="B37" s="36"/>
      <c r="C37" s="28" t="s">
        <v>55</v>
      </c>
      <c r="D37" s="29"/>
      <c r="E37" s="30"/>
      <c r="F37" s="31"/>
      <c r="G37" s="32"/>
      <c r="H37" s="32"/>
      <c r="I37" s="33"/>
      <c r="J37" s="33"/>
      <c r="K37" s="34"/>
    </row>
    <row r="38" spans="1:11" x14ac:dyDescent="0.3">
      <c r="C38" s="37" t="s">
        <v>56</v>
      </c>
      <c r="D38" s="29"/>
      <c r="E38" s="30"/>
      <c r="F38" s="31"/>
      <c r="G38" s="32"/>
      <c r="H38" s="32"/>
      <c r="I38" s="33"/>
      <c r="J38" s="33"/>
      <c r="K38" s="34"/>
    </row>
    <row r="39" spans="1:11" x14ac:dyDescent="0.3">
      <c r="B39" s="1" t="s">
        <v>57</v>
      </c>
      <c r="C39" s="21" t="s">
        <v>58</v>
      </c>
      <c r="D39" s="29" t="s">
        <v>59</v>
      </c>
      <c r="E39" s="30" t="s">
        <v>60</v>
      </c>
      <c r="F39" s="31">
        <v>200</v>
      </c>
      <c r="G39" s="32">
        <v>969.56</v>
      </c>
      <c r="H39" s="32">
        <v>5.53</v>
      </c>
      <c r="I39" s="33">
        <v>7.85</v>
      </c>
      <c r="J39" s="33"/>
      <c r="K39" s="34" t="s">
        <v>25</v>
      </c>
    </row>
    <row r="40" spans="1:11" x14ac:dyDescent="0.3">
      <c r="B40" s="1" t="s">
        <v>61</v>
      </c>
      <c r="C40" s="21" t="s">
        <v>62</v>
      </c>
      <c r="D40" s="29" t="s">
        <v>63</v>
      </c>
      <c r="E40" s="30" t="s">
        <v>60</v>
      </c>
      <c r="F40" s="31">
        <v>200</v>
      </c>
      <c r="G40" s="32">
        <v>969.27</v>
      </c>
      <c r="H40" s="32">
        <v>5.53</v>
      </c>
      <c r="I40" s="33">
        <v>7.9798999999999998</v>
      </c>
      <c r="J40" s="33"/>
      <c r="K40" s="34" t="s">
        <v>25</v>
      </c>
    </row>
    <row r="41" spans="1:11" x14ac:dyDescent="0.3">
      <c r="B41" s="1" t="s">
        <v>64</v>
      </c>
      <c r="C41" s="21" t="s">
        <v>65</v>
      </c>
      <c r="D41" s="29" t="s">
        <v>66</v>
      </c>
      <c r="E41" s="30" t="s">
        <v>60</v>
      </c>
      <c r="F41" s="31">
        <v>200</v>
      </c>
      <c r="G41" s="32">
        <v>926.66</v>
      </c>
      <c r="H41" s="32">
        <v>5.29</v>
      </c>
      <c r="I41" s="33">
        <v>8.1150000000000002</v>
      </c>
      <c r="J41" s="33"/>
      <c r="K41" s="34" t="s">
        <v>25</v>
      </c>
    </row>
    <row r="42" spans="1:11" x14ac:dyDescent="0.3">
      <c r="C42" s="28" t="s">
        <v>40</v>
      </c>
      <c r="D42" s="29"/>
      <c r="E42" s="30"/>
      <c r="F42" s="31"/>
      <c r="G42" s="38">
        <v>2865.49</v>
      </c>
      <c r="H42" s="38">
        <v>16.350000000000001</v>
      </c>
      <c r="I42" s="33"/>
      <c r="J42" s="33"/>
      <c r="K42" s="34"/>
    </row>
    <row r="43" spans="1:11" x14ac:dyDescent="0.3">
      <c r="C43" s="21"/>
      <c r="D43" s="29"/>
      <c r="E43" s="30"/>
      <c r="F43" s="31"/>
      <c r="G43" s="32"/>
      <c r="H43" s="32"/>
      <c r="I43" s="33"/>
      <c r="J43" s="33"/>
      <c r="K43" s="34"/>
    </row>
    <row r="44" spans="1:11" x14ac:dyDescent="0.3">
      <c r="C44" s="37" t="s">
        <v>67</v>
      </c>
      <c r="D44" s="29"/>
      <c r="E44" s="30"/>
      <c r="F44" s="31"/>
      <c r="G44" s="32"/>
      <c r="H44" s="32"/>
      <c r="I44" s="33"/>
      <c r="J44" s="33"/>
      <c r="K44" s="34"/>
    </row>
    <row r="45" spans="1:11" x14ac:dyDescent="0.3">
      <c r="B45" s="1" t="s">
        <v>68</v>
      </c>
      <c r="C45" s="21" t="s">
        <v>69</v>
      </c>
      <c r="D45" s="29" t="s">
        <v>70</v>
      </c>
      <c r="E45" s="30" t="s">
        <v>71</v>
      </c>
      <c r="F45" s="31">
        <v>300</v>
      </c>
      <c r="G45" s="32">
        <v>1441.01</v>
      </c>
      <c r="H45" s="32">
        <v>8.2200000000000006</v>
      </c>
      <c r="I45" s="33">
        <v>7.6619000000000002</v>
      </c>
      <c r="J45" s="33"/>
      <c r="K45" s="34"/>
    </row>
    <row r="46" spans="1:11" x14ac:dyDescent="0.3">
      <c r="B46" s="1" t="s">
        <v>72</v>
      </c>
      <c r="C46" s="21" t="s">
        <v>73</v>
      </c>
      <c r="D46" s="29" t="s">
        <v>74</v>
      </c>
      <c r="E46" s="30" t="s">
        <v>75</v>
      </c>
      <c r="F46" s="31">
        <v>300</v>
      </c>
      <c r="G46" s="32">
        <v>1435.71</v>
      </c>
      <c r="H46" s="32">
        <v>8.19</v>
      </c>
      <c r="I46" s="33">
        <v>7.7100999999999997</v>
      </c>
      <c r="J46" s="33"/>
      <c r="K46" s="34" t="s">
        <v>25</v>
      </c>
    </row>
    <row r="47" spans="1:11" x14ac:dyDescent="0.3">
      <c r="B47" s="1" t="s">
        <v>76</v>
      </c>
      <c r="C47" s="21" t="s">
        <v>77</v>
      </c>
      <c r="D47" s="29" t="s">
        <v>78</v>
      </c>
      <c r="E47" s="30" t="s">
        <v>60</v>
      </c>
      <c r="F47" s="31">
        <v>300</v>
      </c>
      <c r="G47" s="32">
        <v>1419.71</v>
      </c>
      <c r="H47" s="32">
        <v>8.1</v>
      </c>
      <c r="I47" s="33">
        <v>7.79</v>
      </c>
      <c r="J47" s="33"/>
      <c r="K47" s="34" t="s">
        <v>25</v>
      </c>
    </row>
    <row r="48" spans="1:11" x14ac:dyDescent="0.3">
      <c r="B48" s="1" t="s">
        <v>79</v>
      </c>
      <c r="C48" s="21" t="s">
        <v>80</v>
      </c>
      <c r="D48" s="29" t="s">
        <v>81</v>
      </c>
      <c r="E48" s="30" t="s">
        <v>60</v>
      </c>
      <c r="F48" s="31">
        <v>300</v>
      </c>
      <c r="G48" s="32">
        <v>1401.01</v>
      </c>
      <c r="H48" s="32">
        <v>7.99</v>
      </c>
      <c r="I48" s="33">
        <v>7.8624999999999998</v>
      </c>
      <c r="J48" s="33"/>
      <c r="K48" s="34" t="s">
        <v>25</v>
      </c>
    </row>
    <row r="49" spans="1:11" x14ac:dyDescent="0.3">
      <c r="B49" s="1" t="s">
        <v>82</v>
      </c>
      <c r="C49" s="21" t="s">
        <v>83</v>
      </c>
      <c r="D49" s="29" t="s">
        <v>84</v>
      </c>
      <c r="E49" s="30" t="s">
        <v>60</v>
      </c>
      <c r="F49" s="31">
        <v>240</v>
      </c>
      <c r="G49" s="32">
        <v>1160.33</v>
      </c>
      <c r="H49" s="32">
        <v>6.62</v>
      </c>
      <c r="I49" s="33">
        <v>7.6548999999999996</v>
      </c>
      <c r="J49" s="33"/>
      <c r="K49" s="34" t="s">
        <v>25</v>
      </c>
    </row>
    <row r="50" spans="1:11" x14ac:dyDescent="0.3">
      <c r="B50" s="1" t="s">
        <v>85</v>
      </c>
      <c r="C50" s="21" t="s">
        <v>86</v>
      </c>
      <c r="D50" s="29" t="s">
        <v>87</v>
      </c>
      <c r="E50" s="30" t="s">
        <v>60</v>
      </c>
      <c r="F50" s="31">
        <v>240</v>
      </c>
      <c r="G50" s="32">
        <v>1158.8499999999999</v>
      </c>
      <c r="H50" s="32">
        <v>6.61</v>
      </c>
      <c r="I50" s="33">
        <v>7.6700999999999997</v>
      </c>
      <c r="J50" s="33"/>
      <c r="K50" s="34" t="s">
        <v>25</v>
      </c>
    </row>
    <row r="51" spans="1:11" x14ac:dyDescent="0.3">
      <c r="B51" s="1" t="s">
        <v>88</v>
      </c>
      <c r="C51" s="21" t="s">
        <v>89</v>
      </c>
      <c r="D51" s="29" t="s">
        <v>90</v>
      </c>
      <c r="E51" s="30" t="s">
        <v>60</v>
      </c>
      <c r="F51" s="31">
        <v>100</v>
      </c>
      <c r="G51" s="32">
        <v>482.79</v>
      </c>
      <c r="H51" s="32">
        <v>2.75</v>
      </c>
      <c r="I51" s="33">
        <v>7.6550000000000002</v>
      </c>
      <c r="J51" s="33"/>
      <c r="K51" s="34" t="s">
        <v>25</v>
      </c>
    </row>
    <row r="52" spans="1:11" x14ac:dyDescent="0.3">
      <c r="C52" s="28" t="s">
        <v>40</v>
      </c>
      <c r="D52" s="29"/>
      <c r="E52" s="30"/>
      <c r="F52" s="31"/>
      <c r="G52" s="38">
        <v>8499.41</v>
      </c>
      <c r="H52" s="38">
        <v>48.48</v>
      </c>
      <c r="I52" s="33"/>
      <c r="J52" s="33"/>
      <c r="K52" s="34"/>
    </row>
    <row r="53" spans="1:11" x14ac:dyDescent="0.3">
      <c r="C53" s="21"/>
      <c r="D53" s="29"/>
      <c r="E53" s="30"/>
      <c r="F53" s="31"/>
      <c r="G53" s="32"/>
      <c r="H53" s="32"/>
      <c r="I53" s="33"/>
      <c r="J53" s="33"/>
      <c r="K53" s="34"/>
    </row>
    <row r="54" spans="1:11" x14ac:dyDescent="0.3">
      <c r="C54" s="28" t="s">
        <v>91</v>
      </c>
      <c r="D54" s="29"/>
      <c r="E54" s="30"/>
      <c r="F54" s="31"/>
      <c r="G54" s="32" t="s">
        <v>16</v>
      </c>
      <c r="H54" s="32" t="s">
        <v>16</v>
      </c>
      <c r="I54" s="33"/>
      <c r="J54" s="33"/>
      <c r="K54" s="34"/>
    </row>
    <row r="55" spans="1:11" x14ac:dyDescent="0.3">
      <c r="C55" s="21"/>
      <c r="D55" s="29"/>
      <c r="E55" s="30"/>
      <c r="F55" s="31"/>
      <c r="G55" s="32"/>
      <c r="H55" s="32"/>
      <c r="I55" s="33"/>
      <c r="J55" s="33"/>
      <c r="K55" s="34"/>
    </row>
    <row r="56" spans="1:11" x14ac:dyDescent="0.3">
      <c r="C56" s="28" t="s">
        <v>92</v>
      </c>
      <c r="D56" s="29"/>
      <c r="E56" s="30"/>
      <c r="F56" s="31"/>
      <c r="G56" s="32" t="s">
        <v>16</v>
      </c>
      <c r="H56" s="32" t="s">
        <v>16</v>
      </c>
      <c r="I56" s="33"/>
      <c r="J56" s="33"/>
      <c r="K56" s="34"/>
    </row>
    <row r="57" spans="1:11" x14ac:dyDescent="0.3">
      <c r="C57" s="21"/>
      <c r="D57" s="29"/>
      <c r="E57" s="30"/>
      <c r="F57" s="31"/>
      <c r="G57" s="32"/>
      <c r="H57" s="32"/>
      <c r="I57" s="33"/>
      <c r="J57" s="33"/>
      <c r="K57" s="34"/>
    </row>
    <row r="58" spans="1:11" x14ac:dyDescent="0.3">
      <c r="A58" s="35"/>
      <c r="B58" s="36"/>
      <c r="C58" s="28" t="s">
        <v>93</v>
      </c>
      <c r="D58" s="29"/>
      <c r="E58" s="30"/>
      <c r="F58" s="31"/>
      <c r="G58" s="32"/>
      <c r="H58" s="32"/>
      <c r="I58" s="33"/>
      <c r="J58" s="33"/>
      <c r="K58" s="34"/>
    </row>
    <row r="59" spans="1:11" x14ac:dyDescent="0.3">
      <c r="A59" s="36"/>
      <c r="B59" s="36"/>
      <c r="C59" s="28" t="s">
        <v>94</v>
      </c>
      <c r="D59" s="29"/>
      <c r="E59" s="30"/>
      <c r="F59" s="31"/>
      <c r="G59" s="32" t="s">
        <v>16</v>
      </c>
      <c r="H59" s="32" t="s">
        <v>16</v>
      </c>
      <c r="I59" s="33"/>
      <c r="J59" s="33"/>
      <c r="K59" s="34"/>
    </row>
    <row r="60" spans="1:11" x14ac:dyDescent="0.3">
      <c r="A60" s="36"/>
      <c r="B60" s="36"/>
      <c r="C60" s="28"/>
      <c r="D60" s="29"/>
      <c r="E60" s="30"/>
      <c r="F60" s="31"/>
      <c r="G60" s="32"/>
      <c r="H60" s="32"/>
      <c r="I60" s="33"/>
      <c r="J60" s="33"/>
      <c r="K60" s="34"/>
    </row>
    <row r="61" spans="1:11" x14ac:dyDescent="0.3">
      <c r="A61" s="36"/>
      <c r="B61" s="36"/>
      <c r="C61" s="28" t="s">
        <v>95</v>
      </c>
      <c r="D61" s="29"/>
      <c r="E61" s="30"/>
      <c r="F61" s="31"/>
      <c r="G61" s="32" t="s">
        <v>16</v>
      </c>
      <c r="H61" s="32" t="s">
        <v>16</v>
      </c>
      <c r="I61" s="33"/>
      <c r="J61" s="33"/>
      <c r="K61" s="34"/>
    </row>
    <row r="62" spans="1:11" x14ac:dyDescent="0.3">
      <c r="A62" s="36"/>
      <c r="B62" s="36"/>
      <c r="C62" s="28"/>
      <c r="D62" s="29"/>
      <c r="E62" s="30"/>
      <c r="F62" s="31"/>
      <c r="G62" s="32"/>
      <c r="H62" s="32"/>
      <c r="I62" s="33"/>
      <c r="J62" s="33"/>
      <c r="K62" s="34"/>
    </row>
    <row r="63" spans="1:11" x14ac:dyDescent="0.3">
      <c r="A63" s="36"/>
      <c r="B63" s="36"/>
      <c r="C63" s="28" t="s">
        <v>96</v>
      </c>
      <c r="D63" s="29"/>
      <c r="E63" s="30"/>
      <c r="F63" s="31"/>
      <c r="G63" s="32" t="s">
        <v>16</v>
      </c>
      <c r="H63" s="32" t="s">
        <v>16</v>
      </c>
      <c r="I63" s="33"/>
      <c r="J63" s="33"/>
      <c r="K63" s="34"/>
    </row>
    <row r="64" spans="1:11" x14ac:dyDescent="0.3">
      <c r="A64" s="36"/>
      <c r="B64" s="36"/>
      <c r="C64" s="28"/>
      <c r="D64" s="29"/>
      <c r="E64" s="30"/>
      <c r="F64" s="31"/>
      <c r="G64" s="32"/>
      <c r="H64" s="32"/>
      <c r="I64" s="33"/>
      <c r="J64" s="33"/>
      <c r="K64" s="34"/>
    </row>
    <row r="65" spans="1:11" x14ac:dyDescent="0.3">
      <c r="A65" s="36"/>
      <c r="B65" s="36"/>
      <c r="C65" s="28" t="s">
        <v>97</v>
      </c>
      <c r="D65" s="29"/>
      <c r="E65" s="30"/>
      <c r="F65" s="31"/>
      <c r="G65" s="32" t="s">
        <v>16</v>
      </c>
      <c r="H65" s="32" t="s">
        <v>16</v>
      </c>
      <c r="I65" s="33"/>
      <c r="J65" s="33"/>
      <c r="K65" s="34"/>
    </row>
    <row r="66" spans="1:11" x14ac:dyDescent="0.3">
      <c r="A66" s="36"/>
      <c r="B66" s="36"/>
      <c r="C66" s="28"/>
      <c r="D66" s="29"/>
      <c r="E66" s="30"/>
      <c r="F66" s="31"/>
      <c r="G66" s="32"/>
      <c r="H66" s="32"/>
      <c r="I66" s="33"/>
      <c r="J66" s="33"/>
      <c r="K66" s="34"/>
    </row>
    <row r="67" spans="1:11" x14ac:dyDescent="0.3">
      <c r="C67" s="37" t="s">
        <v>98</v>
      </c>
      <c r="D67" s="29"/>
      <c r="E67" s="30"/>
      <c r="F67" s="31"/>
      <c r="G67" s="32"/>
      <c r="H67" s="32"/>
      <c r="I67" s="33"/>
      <c r="J67" s="33"/>
      <c r="K67" s="34"/>
    </row>
    <row r="68" spans="1:11" x14ac:dyDescent="0.3">
      <c r="B68" s="1" t="s">
        <v>99</v>
      </c>
      <c r="C68" s="21" t="s">
        <v>100</v>
      </c>
      <c r="D68" s="29"/>
      <c r="E68" s="30"/>
      <c r="F68" s="31"/>
      <c r="G68" s="32">
        <v>670.96</v>
      </c>
      <c r="H68" s="32">
        <v>3.83</v>
      </c>
      <c r="I68" s="33">
        <v>6.51</v>
      </c>
      <c r="J68" s="33"/>
      <c r="K68" s="34"/>
    </row>
    <row r="69" spans="1:11" x14ac:dyDescent="0.3">
      <c r="C69" s="28" t="s">
        <v>40</v>
      </c>
      <c r="D69" s="29"/>
      <c r="E69" s="30"/>
      <c r="F69" s="31"/>
      <c r="G69" s="38">
        <v>670.96</v>
      </c>
      <c r="H69" s="38">
        <v>3.83</v>
      </c>
      <c r="I69" s="33"/>
      <c r="J69" s="33"/>
      <c r="K69" s="34"/>
    </row>
    <row r="70" spans="1:11" x14ac:dyDescent="0.3">
      <c r="C70" s="21"/>
      <c r="D70" s="29"/>
      <c r="E70" s="30"/>
      <c r="F70" s="31"/>
      <c r="G70" s="32"/>
      <c r="H70" s="32"/>
      <c r="I70" s="33"/>
      <c r="J70" s="33"/>
      <c r="K70" s="34"/>
    </row>
    <row r="71" spans="1:11" x14ac:dyDescent="0.3">
      <c r="A71" s="35"/>
      <c r="B71" s="36"/>
      <c r="C71" s="28" t="s">
        <v>101</v>
      </c>
      <c r="D71" s="29"/>
      <c r="E71" s="30"/>
      <c r="F71" s="31"/>
      <c r="G71" s="32"/>
      <c r="H71" s="32"/>
      <c r="I71" s="33"/>
      <c r="J71" s="33"/>
      <c r="K71" s="34"/>
    </row>
    <row r="72" spans="1:11" x14ac:dyDescent="0.3">
      <c r="B72" s="1"/>
      <c r="C72" s="21" t="s">
        <v>102</v>
      </c>
      <c r="D72" s="29"/>
      <c r="E72" s="30"/>
      <c r="F72" s="31"/>
      <c r="G72" s="32">
        <v>195.51</v>
      </c>
      <c r="H72" s="32">
        <v>1.1300000000000001</v>
      </c>
      <c r="I72" s="33"/>
      <c r="J72" s="33"/>
      <c r="K72" s="34"/>
    </row>
    <row r="73" spans="1:11" x14ac:dyDescent="0.3">
      <c r="C73" s="28" t="s">
        <v>40</v>
      </c>
      <c r="D73" s="29"/>
      <c r="E73" s="30"/>
      <c r="F73" s="31"/>
      <c r="G73" s="38">
        <v>195.51</v>
      </c>
      <c r="H73" s="38">
        <v>1.1300000000000001</v>
      </c>
      <c r="I73" s="33"/>
      <c r="J73" s="33"/>
      <c r="K73" s="34"/>
    </row>
    <row r="74" spans="1:11" x14ac:dyDescent="0.3">
      <c r="C74" s="21"/>
      <c r="D74" s="29"/>
      <c r="E74" s="30"/>
      <c r="F74" s="31"/>
      <c r="G74" s="32"/>
      <c r="H74" s="32"/>
      <c r="I74" s="33"/>
      <c r="J74" s="33"/>
      <c r="K74" s="34"/>
    </row>
    <row r="75" spans="1:11" ht="14.4" thickBot="1" x14ac:dyDescent="0.35">
      <c r="C75" s="39" t="s">
        <v>103</v>
      </c>
      <c r="D75" s="40"/>
      <c r="E75" s="41"/>
      <c r="F75" s="42"/>
      <c r="G75" s="43">
        <v>17525.240000000002</v>
      </c>
      <c r="H75" s="43">
        <f>SUMIFS(H:H,C:C,"Total")</f>
        <v>99.999999999999986</v>
      </c>
      <c r="I75" s="44"/>
      <c r="J75" s="44"/>
      <c r="K75" s="45"/>
    </row>
    <row r="78" spans="1:11" x14ac:dyDescent="0.3">
      <c r="C78" s="11" t="s">
        <v>104</v>
      </c>
    </row>
    <row r="79" spans="1:11" x14ac:dyDescent="0.3">
      <c r="C79" s="2" t="s">
        <v>105</v>
      </c>
    </row>
    <row r="80" spans="1:11" x14ac:dyDescent="0.3">
      <c r="C80" s="46" t="s">
        <v>106</v>
      </c>
    </row>
    <row r="81" spans="3:55" x14ac:dyDescent="0.3">
      <c r="C81" s="2" t="s">
        <v>107</v>
      </c>
    </row>
    <row r="82" spans="3:55" x14ac:dyDescent="0.3">
      <c r="C82" s="2" t="s">
        <v>108</v>
      </c>
    </row>
    <row r="83" spans="3:55" x14ac:dyDescent="0.3">
      <c r="C83" s="2" t="s">
        <v>109</v>
      </c>
      <c r="D83" s="47"/>
      <c r="E83" s="47"/>
      <c r="F83" s="47"/>
      <c r="G83" s="48"/>
      <c r="H83" s="48"/>
    </row>
    <row r="84" spans="3:55" x14ac:dyDescent="0.3">
      <c r="C84" s="2" t="s">
        <v>110</v>
      </c>
    </row>
    <row r="85" spans="3:55" x14ac:dyDescent="0.3">
      <c r="C85" s="2" t="s">
        <v>111</v>
      </c>
    </row>
    <row r="86" spans="3:55" x14ac:dyDescent="0.3">
      <c r="C86" s="2" t="s">
        <v>112</v>
      </c>
    </row>
    <row r="87" spans="3:55" x14ac:dyDescent="0.3">
      <c r="C87" s="2" t="s">
        <v>113</v>
      </c>
    </row>
    <row r="88" spans="3:55" s="11" customFormat="1" x14ac:dyDescent="0.3">
      <c r="C88" s="11" t="s">
        <v>114</v>
      </c>
      <c r="E88" s="11" t="s">
        <v>115</v>
      </c>
      <c r="F88" s="49" t="s">
        <v>116</v>
      </c>
      <c r="G88" s="50"/>
      <c r="H88" s="50"/>
      <c r="I88" s="50"/>
      <c r="J88" s="50"/>
      <c r="K88" s="51"/>
      <c r="L88" s="51"/>
      <c r="M88" s="51"/>
      <c r="AJ88" s="51"/>
      <c r="AW88" s="51"/>
      <c r="AY88" s="51"/>
      <c r="BC88" s="51"/>
    </row>
    <row r="89" spans="3:55" x14ac:dyDescent="0.3">
      <c r="C89" s="2" t="s">
        <v>117</v>
      </c>
      <c r="E89" s="52">
        <v>10.059799999999999</v>
      </c>
      <c r="F89" s="53">
        <v>10.0604</v>
      </c>
    </row>
    <row r="90" spans="3:55" x14ac:dyDescent="0.3">
      <c r="C90" s="2" t="s">
        <v>118</v>
      </c>
      <c r="E90" s="52">
        <v>33.968400000000003</v>
      </c>
      <c r="F90" s="53">
        <v>34.117400000000004</v>
      </c>
    </row>
    <row r="91" spans="3:55" x14ac:dyDescent="0.3">
      <c r="C91" s="2" t="s">
        <v>119</v>
      </c>
      <c r="E91" s="52">
        <v>10.240399999999999</v>
      </c>
      <c r="F91" s="53">
        <v>10.2356</v>
      </c>
    </row>
    <row r="92" spans="3:55" x14ac:dyDescent="0.3">
      <c r="C92" s="2" t="s">
        <v>120</v>
      </c>
      <c r="E92" s="52">
        <v>10.010199999999999</v>
      </c>
      <c r="F92" s="53">
        <v>10.010199999999999</v>
      </c>
    </row>
    <row r="93" spans="3:55" x14ac:dyDescent="0.3">
      <c r="C93" s="2" t="s">
        <v>121</v>
      </c>
      <c r="E93" s="52">
        <v>10.049300000000001</v>
      </c>
      <c r="F93" s="53">
        <v>10.049899999999999</v>
      </c>
    </row>
    <row r="94" spans="3:55" x14ac:dyDescent="0.3">
      <c r="C94" s="2" t="s">
        <v>122</v>
      </c>
      <c r="E94" s="52">
        <v>33.9953</v>
      </c>
      <c r="F94" s="53">
        <v>34.144399999999997</v>
      </c>
    </row>
    <row r="95" spans="3:55" x14ac:dyDescent="0.3">
      <c r="C95" s="2" t="s">
        <v>123</v>
      </c>
      <c r="E95" s="52">
        <v>10.4171</v>
      </c>
      <c r="F95" s="53">
        <v>10.412800000000001</v>
      </c>
    </row>
    <row r="96" spans="3:55" x14ac:dyDescent="0.3">
      <c r="C96" s="2" t="s">
        <v>124</v>
      </c>
      <c r="E96" s="52">
        <v>10.010199999999999</v>
      </c>
      <c r="F96" s="53">
        <v>10.010199999999999</v>
      </c>
    </row>
    <row r="97" spans="3:6" x14ac:dyDescent="0.3">
      <c r="C97" s="2" t="s">
        <v>125</v>
      </c>
      <c r="E97" s="52">
        <v>10.0831</v>
      </c>
      <c r="F97" s="53">
        <v>10.083500000000001</v>
      </c>
    </row>
    <row r="98" spans="3:6" x14ac:dyDescent="0.3">
      <c r="C98" s="2" t="s">
        <v>126</v>
      </c>
      <c r="E98" s="52">
        <v>36.526800000000001</v>
      </c>
      <c r="F98" s="53">
        <v>36.704799999999999</v>
      </c>
    </row>
    <row r="99" spans="3:6" x14ac:dyDescent="0.3">
      <c r="C99" s="2" t="s">
        <v>127</v>
      </c>
      <c r="E99" s="52">
        <v>10.108499999999999</v>
      </c>
      <c r="F99" s="53">
        <v>10.109</v>
      </c>
    </row>
    <row r="100" spans="3:6" x14ac:dyDescent="0.3">
      <c r="C100" s="2" t="s">
        <v>128</v>
      </c>
      <c r="E100" s="52">
        <v>10.010199999999999</v>
      </c>
      <c r="F100" s="53">
        <v>10.010199999999999</v>
      </c>
    </row>
    <row r="102" spans="3:6" x14ac:dyDescent="0.3">
      <c r="C102" s="2" t="s">
        <v>129</v>
      </c>
      <c r="E102" s="11" t="s">
        <v>130</v>
      </c>
      <c r="F102" s="49" t="s">
        <v>131</v>
      </c>
    </row>
    <row r="103" spans="3:6" x14ac:dyDescent="0.3">
      <c r="C103" s="2" t="s">
        <v>117</v>
      </c>
      <c r="E103" s="52">
        <v>4.3419569999999998E-2</v>
      </c>
      <c r="F103" s="53">
        <v>4.3419569999999998E-2</v>
      </c>
    </row>
    <row r="104" spans="3:6" x14ac:dyDescent="0.3">
      <c r="C104" s="2" t="s">
        <v>119</v>
      </c>
      <c r="E104" s="52">
        <v>0.05</v>
      </c>
      <c r="F104" s="53">
        <v>0.05</v>
      </c>
    </row>
    <row r="105" spans="3:6" x14ac:dyDescent="0.3">
      <c r="C105" s="2" t="s">
        <v>120</v>
      </c>
      <c r="E105" s="52">
        <v>4.384035E-2</v>
      </c>
      <c r="F105" s="53">
        <v>4.384035E-2</v>
      </c>
    </row>
    <row r="106" spans="3:6" x14ac:dyDescent="0.3">
      <c r="C106" s="2" t="s">
        <v>121</v>
      </c>
      <c r="E106" s="52">
        <v>4.3374800000000005E-2</v>
      </c>
      <c r="F106" s="53">
        <v>4.3374800000000005E-2</v>
      </c>
    </row>
    <row r="107" spans="3:6" x14ac:dyDescent="0.3">
      <c r="C107" s="2" t="s">
        <v>123</v>
      </c>
      <c r="E107" s="52">
        <v>0.05</v>
      </c>
      <c r="F107" s="53">
        <v>0.05</v>
      </c>
    </row>
    <row r="108" spans="3:6" x14ac:dyDescent="0.3">
      <c r="C108" s="2" t="s">
        <v>124</v>
      </c>
      <c r="E108" s="52">
        <v>4.3841159999999997E-2</v>
      </c>
      <c r="F108" s="53">
        <v>4.3841159999999997E-2</v>
      </c>
    </row>
    <row r="109" spans="3:6" x14ac:dyDescent="0.3">
      <c r="C109" s="2" t="s">
        <v>125</v>
      </c>
      <c r="E109" s="52">
        <v>4.8567989999999998E-2</v>
      </c>
      <c r="F109" s="53">
        <v>4.8567989999999998E-2</v>
      </c>
    </row>
    <row r="110" spans="3:6" x14ac:dyDescent="0.3">
      <c r="C110" s="2" t="s">
        <v>127</v>
      </c>
      <c r="E110" s="52">
        <v>0.05</v>
      </c>
      <c r="F110" s="53">
        <v>0.05</v>
      </c>
    </row>
    <row r="111" spans="3:6" x14ac:dyDescent="0.3">
      <c r="C111" s="2" t="s">
        <v>128</v>
      </c>
      <c r="E111" s="52">
        <v>4.8627169999999997E-2</v>
      </c>
      <c r="F111" s="53">
        <v>4.8627169999999997E-2</v>
      </c>
    </row>
    <row r="113" spans="3:11" x14ac:dyDescent="0.3">
      <c r="C113" s="2" t="s">
        <v>132</v>
      </c>
    </row>
    <row r="114" spans="3:11" x14ac:dyDescent="0.3">
      <c r="C114" s="2" t="s">
        <v>133</v>
      </c>
    </row>
    <row r="115" spans="3:11" x14ac:dyDescent="0.3">
      <c r="C115" s="2" t="s">
        <v>134</v>
      </c>
    </row>
    <row r="116" spans="3:11" x14ac:dyDescent="0.3">
      <c r="C116" s="2" t="s">
        <v>135</v>
      </c>
    </row>
    <row r="117" spans="3:11" x14ac:dyDescent="0.3">
      <c r="C117" s="2" t="s">
        <v>136</v>
      </c>
    </row>
    <row r="118" spans="3:11" x14ac:dyDescent="0.3">
      <c r="C118" s="2" t="s">
        <v>137</v>
      </c>
    </row>
    <row r="119" spans="3:11" x14ac:dyDescent="0.3">
      <c r="C119" s="2" t="s">
        <v>138</v>
      </c>
    </row>
    <row r="120" spans="3:11" x14ac:dyDescent="0.3">
      <c r="C120" s="2" t="s">
        <v>139</v>
      </c>
    </row>
    <row r="121" spans="3:11" x14ac:dyDescent="0.3">
      <c r="C121" s="2" t="s">
        <v>140</v>
      </c>
    </row>
    <row r="122" spans="3:11" x14ac:dyDescent="0.3">
      <c r="C122" s="2" t="s">
        <v>141</v>
      </c>
    </row>
    <row r="123" spans="3:11" x14ac:dyDescent="0.3">
      <c r="C123" s="2" t="s">
        <v>142</v>
      </c>
    </row>
    <row r="124" spans="3:11" x14ac:dyDescent="0.3">
      <c r="C124" s="2" t="s">
        <v>143</v>
      </c>
    </row>
    <row r="125" spans="3:11" x14ac:dyDescent="0.3">
      <c r="C125" s="2" t="s">
        <v>144</v>
      </c>
    </row>
    <row r="126" spans="3:11" x14ac:dyDescent="0.3">
      <c r="C126" s="2" t="s">
        <v>145</v>
      </c>
    </row>
    <row r="127" spans="3:11" ht="46.5" customHeight="1" x14ac:dyDescent="0.3">
      <c r="C127" s="55" t="s">
        <v>146</v>
      </c>
      <c r="D127" s="56"/>
      <c r="E127" s="56"/>
      <c r="F127" s="56"/>
      <c r="G127" s="56"/>
      <c r="H127" s="56"/>
      <c r="I127" s="56"/>
      <c r="J127" s="56"/>
      <c r="K127" s="56"/>
    </row>
    <row r="128" spans="3:11" ht="14.4" x14ac:dyDescent="0.3">
      <c r="C128" s="54"/>
      <c r="D128" s="54"/>
      <c r="E128" s="54"/>
      <c r="F128" s="54"/>
      <c r="G128" s="54"/>
      <c r="H128" s="54"/>
      <c r="I128" s="54"/>
      <c r="J128" s="54"/>
      <c r="K128" s="54"/>
    </row>
    <row r="129" spans="3:11" ht="14.4" x14ac:dyDescent="0.3">
      <c r="C129" s="54"/>
      <c r="D129" s="54"/>
      <c r="E129" s="54"/>
      <c r="F129" s="54"/>
      <c r="G129" s="54"/>
      <c r="H129" s="54"/>
      <c r="I129" s="54"/>
      <c r="J129" s="54"/>
      <c r="K129" s="54"/>
    </row>
    <row r="149" spans="3:6" ht="14.4" thickBot="1" x14ac:dyDescent="0.35"/>
    <row r="150" spans="3:6" ht="15" thickBot="1" x14ac:dyDescent="0.35">
      <c r="C150" s="57" t="s">
        <v>147</v>
      </c>
      <c r="D150" s="58"/>
      <c r="E150" s="58"/>
      <c r="F150" s="59"/>
    </row>
    <row r="151" spans="3:6" ht="15" thickBot="1" x14ac:dyDescent="0.35">
      <c r="C151" s="60" t="s">
        <v>148</v>
      </c>
      <c r="D151" s="61" t="s">
        <v>149</v>
      </c>
      <c r="E151" s="61" t="s">
        <v>150</v>
      </c>
      <c r="F151" s="61" t="s">
        <v>151</v>
      </c>
    </row>
    <row r="152" spans="3:6" ht="15" thickBot="1" x14ac:dyDescent="0.35">
      <c r="C152" s="60" t="s">
        <v>152</v>
      </c>
      <c r="D152" s="62"/>
      <c r="E152" s="62"/>
      <c r="F152" s="62"/>
    </row>
    <row r="153" spans="3:6" ht="15" thickBot="1" x14ac:dyDescent="0.35">
      <c r="C153" s="63" t="s">
        <v>153</v>
      </c>
      <c r="D153" s="64"/>
      <c r="E153" s="65" t="s">
        <v>154</v>
      </c>
      <c r="F153" s="64"/>
    </row>
    <row r="154" spans="3:6" ht="14.4" x14ac:dyDescent="0.3">
      <c r="C154" s="66" t="s">
        <v>155</v>
      </c>
      <c r="D154" s="67"/>
      <c r="E154" s="67"/>
      <c r="F154" s="67"/>
    </row>
    <row r="155" spans="3:6" ht="15" thickBot="1" x14ac:dyDescent="0.35">
      <c r="C155" s="63" t="s">
        <v>156</v>
      </c>
      <c r="D155" s="68"/>
      <c r="E155" s="68"/>
      <c r="F155" s="68"/>
    </row>
    <row r="156" spans="3:6" ht="14.4" x14ac:dyDescent="0.3">
      <c r="C156" s="66" t="s">
        <v>157</v>
      </c>
      <c r="D156" s="67"/>
      <c r="E156" s="67"/>
      <c r="F156" s="67"/>
    </row>
    <row r="157" spans="3:6" ht="15" thickBot="1" x14ac:dyDescent="0.35">
      <c r="C157" s="63" t="s">
        <v>158</v>
      </c>
      <c r="D157" s="68"/>
      <c r="E157" s="68"/>
      <c r="F157" s="68"/>
    </row>
    <row r="158" spans="3:6" ht="14.4" x14ac:dyDescent="0.35">
      <c r="C158" s="69" t="s">
        <v>159</v>
      </c>
      <c r="D158" s="70"/>
      <c r="E158" s="70"/>
      <c r="F158" s="70"/>
    </row>
    <row r="159" spans="3:6" ht="14.4" x14ac:dyDescent="0.3">
      <c r="C159" s="2" t="s">
        <v>160</v>
      </c>
      <c r="D159"/>
      <c r="E159"/>
      <c r="F159"/>
    </row>
  </sheetData>
  <mergeCells count="11">
    <mergeCell ref="D154:D155"/>
    <mergeCell ref="E154:E155"/>
    <mergeCell ref="F154:F155"/>
    <mergeCell ref="D156:D157"/>
    <mergeCell ref="E156:E157"/>
    <mergeCell ref="F156:F157"/>
    <mergeCell ref="C127:K127"/>
    <mergeCell ref="C150:F150"/>
    <mergeCell ref="D151:D152"/>
    <mergeCell ref="E151:E152"/>
    <mergeCell ref="F151:F152"/>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66</vt:i4>
      </vt:variant>
    </vt:vector>
  </HeadingPairs>
  <TitlesOfParts>
    <vt:vector size="67" baseType="lpstr">
      <vt:lpstr>LW</vt:lpstr>
      <vt:lpstr>XDO_?CLASS_3?1?</vt:lpstr>
      <vt:lpstr>XDO_?FINAL_ISIN?1?</vt:lpstr>
      <vt:lpstr>XDO_?FINAL_ISIN?2?</vt:lpstr>
      <vt:lpstr>XDO_?FINAL_ISIN?3?</vt:lpstr>
      <vt:lpstr>XDO_?FINAL_ISIN?4?</vt:lpstr>
      <vt:lpstr>XDO_?FINAL_ISIN?5?</vt:lpstr>
      <vt:lpstr>XDO_?FINAL_ISIN?6?</vt:lpstr>
      <vt:lpstr>XDO_?FINAL_MV?1?</vt:lpstr>
      <vt:lpstr>XDO_?FINAL_MV?2?</vt:lpstr>
      <vt:lpstr>XDO_?FINAL_MV?3?</vt:lpstr>
      <vt:lpstr>XDO_?FINAL_MV?4?</vt:lpstr>
      <vt:lpstr>XDO_?FINAL_MV?5?</vt:lpstr>
      <vt:lpstr>XDO_?FINAL_MV?6?</vt:lpstr>
      <vt:lpstr>XDO_?FINAL_NAME?1?</vt:lpstr>
      <vt:lpstr>XDO_?FINAL_NAME?2?</vt:lpstr>
      <vt:lpstr>XDO_?FINAL_NAME?3?</vt:lpstr>
      <vt:lpstr>XDO_?FINAL_NAME?4?</vt:lpstr>
      <vt:lpstr>XDO_?FINAL_NAME?5?</vt:lpstr>
      <vt:lpstr>XDO_?FINAL_NAME?6?</vt:lpstr>
      <vt:lpstr>XDO_?FINAL_PER_NET?1?</vt:lpstr>
      <vt:lpstr>XDO_?FINAL_PER_NET?2?</vt:lpstr>
      <vt:lpstr>XDO_?FINAL_PER_NET?3?</vt:lpstr>
      <vt:lpstr>XDO_?FINAL_PER_NET?4?</vt:lpstr>
      <vt:lpstr>XDO_?FINAL_PER_NET?5?</vt:lpstr>
      <vt:lpstr>XDO_?FINAL_PER_NET?6?</vt:lpstr>
      <vt:lpstr>XDO_?FINAL_QUANTITE?1?</vt:lpstr>
      <vt:lpstr>XDO_?FINAL_QUANTITE?2?</vt:lpstr>
      <vt:lpstr>XDO_?FINAL_QUANTITE?3?</vt:lpstr>
      <vt:lpstr>XDO_?FINAL_QUANTITE?4?</vt:lpstr>
      <vt:lpstr>XDO_?FINAL_QUANTITE?5?</vt:lpstr>
      <vt:lpstr>XDO_?FINAL_QUANTITE?6?</vt:lpstr>
      <vt:lpstr>XDO_?NAMCNAME?1?</vt:lpstr>
      <vt:lpstr>XDO_?NOVAL?1?</vt:lpstr>
      <vt:lpstr>XDO_?NOVAL?2?</vt:lpstr>
      <vt:lpstr>XDO_?NOVAL?3?</vt:lpstr>
      <vt:lpstr>XDO_?NOVAL?4?</vt:lpstr>
      <vt:lpstr>XDO_?NOVAL?5?</vt:lpstr>
      <vt:lpstr>XDO_?NOVAL?6?</vt:lpstr>
      <vt:lpstr>XDO_?NPTF?1?</vt:lpstr>
      <vt:lpstr>XDO_?RATING?1?</vt:lpstr>
      <vt:lpstr>XDO_?RATING?2?</vt:lpstr>
      <vt:lpstr>XDO_?RATING?3?</vt:lpstr>
      <vt:lpstr>XDO_?RATING?4?</vt:lpstr>
      <vt:lpstr>XDO_?RATING?5?</vt:lpstr>
      <vt:lpstr>XDO_?RATING?6?</vt:lpstr>
      <vt:lpstr>XDO_?REMARKS?1?</vt:lpstr>
      <vt:lpstr>XDO_?REMARKS?2?</vt:lpstr>
      <vt:lpstr>XDO_?REMARKS?3?</vt:lpstr>
      <vt:lpstr>XDO_?REMARKS?4?</vt:lpstr>
      <vt:lpstr>XDO_?REMARKS?5?</vt:lpstr>
      <vt:lpstr>XDO_?REMARKS?6?</vt:lpstr>
      <vt:lpstr>XDO_?TITL?1?</vt:lpstr>
      <vt:lpstr>XDO_?YTM?1?</vt:lpstr>
      <vt:lpstr>XDO_?YTM?2?</vt:lpstr>
      <vt:lpstr>XDO_?YTM?3?</vt:lpstr>
      <vt:lpstr>XDO_?YTM?4?</vt:lpstr>
      <vt:lpstr>XDO_?YTM?5?</vt:lpstr>
      <vt:lpstr>XDO_?YTM?6?</vt:lpstr>
      <vt:lpstr>XDO_GROUP_?G_2?1?</vt:lpstr>
      <vt:lpstr>XDO_GROUP_?G_3?1?</vt:lpstr>
      <vt:lpstr>XDO_GROUP_?G_4?1?</vt:lpstr>
      <vt:lpstr>XDO_GROUP_?G_4?2?</vt:lpstr>
      <vt:lpstr>XDO_GROUP_?G_4?3?</vt:lpstr>
      <vt:lpstr>XDO_GROUP_?G_4?4?</vt:lpstr>
      <vt:lpstr>XDO_GROUP_?G_4?5?</vt:lpstr>
      <vt:lpstr>XDO_GROUP_?G_4?6?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2023-03-06T13:25:22Z</dcterms:created>
  <dcterms:modified xsi:type="dcterms:W3CDTF">2023-03-09T10:14:46Z</dcterms:modified>
</cp:coreProperties>
</file>