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Oct-2023\BOBBNPMF_Monthly portfolio_split Portfolio_31-10-2023\"/>
    </mc:Choice>
  </mc:AlternateContent>
  <xr:revisionPtr revIDLastSave="0" documentId="13_ncr:1_{B2DC7C0C-78A8-4A3A-B491-CDF2E2380A84}" xr6:coauthVersionLast="47" xr6:coauthVersionMax="47" xr10:uidLastSave="{00000000-0000-0000-0000-000000000000}"/>
  <bookViews>
    <workbookView xWindow="-108" yWindow="-108" windowWidth="23256" windowHeight="12456" xr2:uid="{32113662-C88E-45A1-B0EA-B55F75AB96DB}"/>
  </bookViews>
  <sheets>
    <sheet name="GF" sheetId="1" r:id="rId1"/>
  </sheets>
  <externalReferences>
    <externalReference r:id="rId2"/>
  </externalReferences>
  <definedNames>
    <definedName name="XDO_?CLASS_3?21?">GF!$C$20:$C$30</definedName>
    <definedName name="XDO_?FINAL_ISIN?113?">GF!$D$28:$D$30</definedName>
    <definedName name="XDO_?FINAL_ISIN?114?">GF!$D$28:$D$47</definedName>
    <definedName name="XDO_?FINAL_ISIN?115?">GF!$D$28:$D$70</definedName>
    <definedName name="XDO_?FINAL_ISIN?116?">GF!$D$28:$D$74</definedName>
    <definedName name="XDO_?FINAL_MV?113?">GF!$G$28:$G$30</definedName>
    <definedName name="XDO_?FINAL_MV?114?">GF!$G$28:$G$47</definedName>
    <definedName name="XDO_?FINAL_MV?115?">GF!$G$28:$G$70</definedName>
    <definedName name="XDO_?FINAL_MV?116?">GF!$G$28:$G$74</definedName>
    <definedName name="XDO_?FINAL_NAME?113?">GF!$C$28:$C$30</definedName>
    <definedName name="XDO_?FINAL_NAME?114?">GF!$C$28:$C$47</definedName>
    <definedName name="XDO_?FINAL_NAME?115?">GF!$C$28:$C$70</definedName>
    <definedName name="XDO_?FINAL_NAME?116?">GF!$C$28:$C$74</definedName>
    <definedName name="XDO_?FINAL_PER_NET?113?">GF!$H$28:$H$30</definedName>
    <definedName name="XDO_?FINAL_PER_NET?114?">GF!$H$28:$H$47</definedName>
    <definedName name="XDO_?FINAL_PER_NET?115?">GF!$H$28:$H$70</definedName>
    <definedName name="XDO_?FINAL_PER_NET?116?">GF!$H$28:$H$74</definedName>
    <definedName name="XDO_?FINAL_QUANTITE?113?">GF!$F$28:$F$30</definedName>
    <definedName name="XDO_?FINAL_QUANTITE?114?">GF!$F$28:$F$47</definedName>
    <definedName name="XDO_?FINAL_QUANTITE?115?">GF!$F$28:$F$70</definedName>
    <definedName name="XDO_?FINAL_QUANTITE?116?">GF!$F$28:$F$74</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GF!#REF!</definedName>
    <definedName name="XDO_?NAMC?22?">[1]LQ!#REF!</definedName>
    <definedName name="XDO_?NAMC?23?">[1]SI!#REF!</definedName>
    <definedName name="XDO_?NAMC?24?">[1]BS!#REF!</definedName>
    <definedName name="XDO_?NAMC?25?">[1]CO!#REF!</definedName>
    <definedName name="XDO_?NAMC?26?">[1]US!#REF!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1?">GF!$C$2:$C$30</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GF!#REF!</definedName>
    <definedName name="XDO_?NDATE?22?">[1]LQ!#REF!</definedName>
    <definedName name="XDO_?NDATE?23?">[1]SI!#REF!</definedName>
    <definedName name="XDO_?NDATE?24?">[1]BS!#REF!</definedName>
    <definedName name="XDO_?NDATE?25?">[1]CO!#REF!</definedName>
    <definedName name="XDO_?NDATE?26?">[1]US!#REF!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GF!#REF!</definedName>
    <definedName name="XDO_?NNPTF?22?">[1]LQ!#REF!</definedName>
    <definedName name="XDO_?NNPTF?23?">[1]SI!#REF!</definedName>
    <definedName name="XDO_?NNPTF?24?">[1]BS!#REF!</definedName>
    <definedName name="XDO_?NNPTF?25?">[1]CO!#REF!</definedName>
    <definedName name="XDO_?NNPTF?26?">[1]US!#REF!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13?">GF!$B$28:$B$30</definedName>
    <definedName name="XDO_?NOVAL?114?">GF!$B$28:$B$47</definedName>
    <definedName name="XDO_?NOVAL?115?">GF!$B$28:$B$70</definedName>
    <definedName name="XDO_?NOVAL?116?">GF!$B$28:$B$74</definedName>
    <definedName name="XDO_?NPTF?21?">GF!$D$2:$D$30</definedName>
    <definedName name="XDO_?RATING?113?">GF!$E$28:$E$30</definedName>
    <definedName name="XDO_?RATING?114?">GF!$E$28:$E$47</definedName>
    <definedName name="XDO_?RATING?115?">GF!$E$28:$E$70</definedName>
    <definedName name="XDO_?RATING?116?">GF!$E$28:$E$74</definedName>
    <definedName name="XDO_?REMARKS?113?">GF!$K$28:$K$30</definedName>
    <definedName name="XDO_?REMARKS?114?">GF!$K$28:$K$47</definedName>
    <definedName name="XDO_?REMARKS?115?">GF!$K$28:$K$70</definedName>
    <definedName name="XDO_?REMARKS?116?">GF!$K$28:$K$74</definedName>
    <definedName name="XDO_?TITL?21?">GF!$A$20:$A$30</definedName>
    <definedName name="XDO_?YTM?113?">GF!$I$28:$I$30</definedName>
    <definedName name="XDO_?YTM?114?">GF!$I$28:$I$47</definedName>
    <definedName name="XDO_?YTM?115?">GF!$I$28:$I$70</definedName>
    <definedName name="XDO_?YTM?116?">GF!$I$28:$I$74</definedName>
    <definedName name="XDO_GROUP_?G_2?21?">GF!$2:$42</definedName>
    <definedName name="XDO_GROUP_?G_3?21?">GF!$8:$41</definedName>
    <definedName name="XDO_GROUP_?G_4?113?">GF!$B$10:$IV$12</definedName>
    <definedName name="XDO_GROUP_?G_4?114?">GF!$B$18:$IV$29</definedName>
    <definedName name="XDO_GROUP_?G_4?115?">GF!$B$34:$IV$34</definedName>
    <definedName name="XDO_GROUP_?G_4?116?">GF!$B$39:$IV$39</definedName>
    <definedName name="XDO_GROUP_?G_4?42?">[1]TA!#REF!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7" i="1" l="1"/>
</calcChain>
</file>

<file path=xl/sharedStrings.xml><?xml version="1.0" encoding="utf-8"?>
<sst xmlns="http://schemas.openxmlformats.org/spreadsheetml/2006/main" count="192" uniqueCount="142">
  <si>
    <t>Baroda BNP Paribas Mutual Fund</t>
  </si>
  <si>
    <t>YR07</t>
  </si>
  <si>
    <t>SCHEME NAME :</t>
  </si>
  <si>
    <t xml:space="preserve">Baroda BNP Paribas Gilt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</si>
  <si>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</si>
  <si>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</si>
  <si>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</si>
  <si>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</si>
  <si>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</si>
  <si>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</si>
  <si>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</si>
  <si>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</si>
  <si>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</si>
  <si>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</si>
  <si>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</si>
  <si>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</si>
  <si>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</si>
  <si>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</si>
  <si>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</si>
  <si>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</si>
  <si>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</si>
  <si>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</si>
  <si>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</si>
  <si>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b) Privately Placed/Unlisted</t>
  </si>
  <si>
    <t>c) Securitised Debt Instruments</t>
  </si>
  <si>
    <t>d) Central Government Securities</t>
  </si>
  <si>
    <t>900288</t>
  </si>
  <si>
    <t>7.26% Government of India 06-Feb-2033</t>
  </si>
  <si>
    <t>IN0020220151</t>
  </si>
  <si>
    <t>Sovereign</t>
  </si>
  <si>
    <t>900299</t>
  </si>
  <si>
    <t>7.18% Government of India 14-Aug-2033</t>
  </si>
  <si>
    <t>IN0020230085</t>
  </si>
  <si>
    <t>900283</t>
  </si>
  <si>
    <t>7.26% Government of India 22-Aug-2032</t>
  </si>
  <si>
    <t>IN0020220060</t>
  </si>
  <si>
    <t>Total</t>
  </si>
  <si>
    <t>e) State Government Securities</t>
  </si>
  <si>
    <t>1901691</t>
  </si>
  <si>
    <t>6.91% State Government of Maharashtra 15-Sep-2033</t>
  </si>
  <si>
    <t>IN2220210248</t>
  </si>
  <si>
    <t>1904832</t>
  </si>
  <si>
    <t>7.39% State Government of Tamil Nadu 10-May-2033</t>
  </si>
  <si>
    <t>IN3120230021</t>
  </si>
  <si>
    <t>1903372</t>
  </si>
  <si>
    <t>6.58% State Government of Karnataka 03-Jun-2030</t>
  </si>
  <si>
    <t>IN1920200053</t>
  </si>
  <si>
    <t>1904833</t>
  </si>
  <si>
    <t>7.65% State Government of Gujarat 01-Feb-2033</t>
  </si>
  <si>
    <t>IN1520220212</t>
  </si>
  <si>
    <t>1904828</t>
  </si>
  <si>
    <t>7.72% State Government of Maharashtra 01-Mar-2031</t>
  </si>
  <si>
    <t>IN2220220171</t>
  </si>
  <si>
    <t>1904994</t>
  </si>
  <si>
    <t>7.65% State Government of Tamil Nadu 18-Oct-2033</t>
  </si>
  <si>
    <t>IN3120230260</t>
  </si>
  <si>
    <t>1904724</t>
  </si>
  <si>
    <t>7.71% State Government of Gujarat 08-Mar-2034</t>
  </si>
  <si>
    <t>IN1520220279</t>
  </si>
  <si>
    <t>1902068</t>
  </si>
  <si>
    <t>7.04% State Government of Gujarat 18-Mar-2030</t>
  </si>
  <si>
    <t>IN1520190217</t>
  </si>
  <si>
    <t>1904737</t>
  </si>
  <si>
    <t>7.70% State Government of Maharashtra 08-Mar-2033</t>
  </si>
  <si>
    <t>IN2220220205</t>
  </si>
  <si>
    <t>1904677</t>
  </si>
  <si>
    <t>7.64% State Government of Maharashtra 25-Jan-2033</t>
  </si>
  <si>
    <t>IN2220220163</t>
  </si>
  <si>
    <t>1904711</t>
  </si>
  <si>
    <t>7.65% State Government of Tamil Nadu 25-Jan-2033</t>
  </si>
  <si>
    <t>IN3120220279</t>
  </si>
  <si>
    <t>1904920</t>
  </si>
  <si>
    <t>7.33% State Government of Maharashtra 31-May-2031</t>
  </si>
  <si>
    <t>IN2220230055</t>
  </si>
  <si>
    <t>1902100</t>
  </si>
  <si>
    <t>7.18% State Government of Karnataka 05-Jan-2033</t>
  </si>
  <si>
    <t>IN1920210227</t>
  </si>
  <si>
    <t>1904471</t>
  </si>
  <si>
    <t>8.05% State Government of Rajasthan 27-Jul-2037</t>
  </si>
  <si>
    <t>IN2920220109</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</si>
  <si>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</si>
  <si>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</si>
  <si>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</si>
  <si>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</si>
  <si>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</si>
  <si>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</si>
  <si>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</si>
  <si>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</si>
  <si>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</si>
  <si>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</si>
  <si>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</si>
  <si>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111230100</t>
  </si>
  <si>
    <t>TREPS 01-Nov-2023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</si>
  <si>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</si>
  <si>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</si>
  <si>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</si>
  <si>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</si>
  <si>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</si>
  <si>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</si>
  <si>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</si>
  <si>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</si>
  <si>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</si>
  <si>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</si>
  <si>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</si>
  <si>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</si>
  <si>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</si>
  <si>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</si>
  <si>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29, 2023</t>
  </si>
  <si>
    <t>As on October 31, 2023</t>
  </si>
  <si>
    <t>Regular Plan - IDCW Option</t>
  </si>
  <si>
    <t>Regular Plan - Growth Option</t>
  </si>
  <si>
    <t>Direct Plan - IDCW Option</t>
  </si>
  <si>
    <t>Direct Plan - Growth Option</t>
  </si>
  <si>
    <t>(8) No Dividend declared during the Month ended October 31, 2023</t>
  </si>
  <si>
    <t>(9) There were no investments made in derivative instruments and no such derivative instrument was squared off/ expired /exercised during the Month ended October 31, 2023. Further there are no investments in derivative instruments as on October 31, 2023.</t>
  </si>
  <si>
    <t>(10) Total Market value of investments in Foreign Securities/American Depositary Receipts/Global Depositary Receipts as at  October 31, 2023 is Rs. Nil.</t>
  </si>
  <si>
    <t>(11)  The Average Maturity period of the portfolio has been 3112 days.</t>
  </si>
  <si>
    <t>(12)  Details of repo transaction in corporate debt securities for the Month ended October 31, 2023 is Nil.</t>
  </si>
  <si>
    <t>(13)  Investments in debt instruments having structured obligations or credit enhancement features as at October 31, 2023 is Rs. Nil.</t>
  </si>
  <si>
    <t>(14) Investment in Partly paid Debentures during the Month ended  October 31, 2023 and as on  October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</si>
  <si>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</si>
  <si>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</si>
  <si>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</si>
  <si>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</si>
  <si>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</si>
  <si>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 31, 2023 : Rs. Nil</t>
  </si>
  <si>
    <t>(17) Macaulay Duration of the portfolio has been 2265 days.</t>
  </si>
  <si>
    <t>(18) Annualised Portfolio YTM has been 7.5257.</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</si>
  <si>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</si>
  <si>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</si>
  <si>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</si>
  <si>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</si>
  <si>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</si>
  <si>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</si>
  <si>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</si>
  <si>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</si>
  <si>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</si>
  <si>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</si>
  <si>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A-III</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</si>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</sst>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7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7" fillId="5" borderId="23" xfId="0" applyFont="1" applyFill="1" applyBorder="1" applyAlignment="1">
      <alignment horizontal="center" vertical="center" wrapText="1"/>
    </xf>
    <xf numFmtId="0" fontId="17" fillId="5" borderId="22" xfId="0" applyFont="1" applyFill="1" applyBorder="1" applyAlignment="1">
      <alignment horizontal="center" vertical="center" wrapText="1"/>
    </xf>
    <xf numFmtId="0" fontId="18" fillId="0" borderId="0" xfId="0" applyFont="1" applyAlignment="1">
      <alignment horizontal="justify" vertical="center"/>
    </xf>
    <xf numFmtId="0" fontId="17" fillId="0" borderId="0" xfId="0" applyFont="1"/>
  </cellXfs>
  <cellStyles count="6">
    <cellStyle name="Comma" xfId="1" builtinId="3"/>
    <cellStyle name="Comma 2" xfId="5" xr:uid="{5E8205EB-0B85-4FCC-9D0E-2474EF22224B}"/>
    <cellStyle name="Hyperlink" xfId="2" builtinId="8"/>
    <cellStyle name="Normal" xfId="0" builtinId="0"/>
    <cellStyle name="Normal 2" xfId="4" xr:uid="{8355439E-5FDC-4F08-B9FB-612485AD8803}"/>
    <cellStyle name="Style 1" xfId="3" xr:uid="{DAF7ED8E-CB7E-485A-B162-C904252107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112</xdr:row>
      <xdr:rowOff>0</xdr:rowOff>
    </xdr:from>
    <xdr:to>
      <xdr:col>5</xdr:col>
      <xdr:colOff>504275</xdr:colOff>
      <xdr:row>130</xdr:row>
      <xdr:rowOff>158496</xdr:rowOff>
    </xdr:to>
    <xdr:pic>
      <xdr:nvPicPr>
        <xdr:cNvPr id="2" name="Picture 1">
          <a:extLst>
            <a:ext uri="{FF2B5EF4-FFF2-40B4-BE49-F238E27FC236}">
              <a16:creationId xmlns:a16="http://schemas.microsoft.com/office/drawing/2014/main" id="{7645019B-99F6-43F4-B0DD-784FB352B44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19933920"/>
          <a:ext cx="7453715" cy="331317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October%202023\Month%20End%2031%20October%202023\Split%20Portfolio\BOBBNPMF_Monthly%20portfolio%2031-1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BFB2D-8451-4985-AED6-EB3565007B4C}">
  <sheetPr codeName="Sheet121"/>
  <dimension ref="A1:BC142"/>
  <sheetViews>
    <sheetView showGridLines="0" tabSelected="1" zoomScale="90" zoomScaleNormal="90" workbookViewId="0">
      <pane ySplit="6" topLeftCell="A100" activePane="bottomLeft" state="frozen"/>
      <selection activeCell="I2" sqref="I2"/>
      <selection pane="bottomLeft" activeCell="F108" sqref="F10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45230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35" t="s">
        <v>19</v>
      </c>
      <c r="D16" s="29"/>
      <c r="E16" s="30"/>
      <c r="F16" s="31"/>
      <c r="G16" s="32" t="s">
        <v>16</v>
      </c>
      <c r="H16" s="32" t="s">
        <v>16</v>
      </c>
      <c r="I16" s="33"/>
      <c r="J16" s="33"/>
      <c r="K16" s="34"/>
    </row>
    <row r="17" spans="1:11" x14ac:dyDescent="0.3">
      <c r="C17" s="35"/>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6"/>
      <c r="B20" s="37"/>
      <c r="C20" s="28" t="s">
        <v>21</v>
      </c>
      <c r="D20" s="29"/>
      <c r="E20" s="30"/>
      <c r="F20" s="31"/>
      <c r="G20" s="32"/>
      <c r="H20" s="32"/>
      <c r="I20" s="33"/>
      <c r="J20" s="33"/>
      <c r="K20" s="34"/>
    </row>
    <row r="21" spans="1:11" x14ac:dyDescent="0.3">
      <c r="A21" s="37"/>
      <c r="B21" s="37"/>
      <c r="C21" s="28" t="s">
        <v>22</v>
      </c>
      <c r="D21" s="29"/>
      <c r="E21" s="30"/>
      <c r="F21" s="31"/>
      <c r="G21" s="32" t="s">
        <v>16</v>
      </c>
      <c r="H21" s="32" t="s">
        <v>16</v>
      </c>
      <c r="I21" s="33"/>
      <c r="J21" s="33"/>
      <c r="K21" s="34"/>
    </row>
    <row r="22" spans="1:11" x14ac:dyDescent="0.3">
      <c r="A22" s="37"/>
      <c r="B22" s="37"/>
      <c r="C22" s="28"/>
      <c r="D22" s="29"/>
      <c r="E22" s="30"/>
      <c r="F22" s="31"/>
      <c r="G22" s="32"/>
      <c r="H22" s="32"/>
      <c r="I22" s="33"/>
      <c r="J22" s="33"/>
      <c r="K22" s="34"/>
    </row>
    <row r="23" spans="1:11" x14ac:dyDescent="0.3">
      <c r="A23" s="37"/>
      <c r="B23" s="37"/>
      <c r="C23" s="28" t="s">
        <v>23</v>
      </c>
      <c r="D23" s="29"/>
      <c r="E23" s="30"/>
      <c r="F23" s="31"/>
      <c r="G23" s="32" t="s">
        <v>16</v>
      </c>
      <c r="H23" s="32" t="s">
        <v>16</v>
      </c>
      <c r="I23" s="33"/>
      <c r="J23" s="33"/>
      <c r="K23" s="34"/>
    </row>
    <row r="24" spans="1:11" x14ac:dyDescent="0.3">
      <c r="A24" s="37"/>
      <c r="B24" s="37"/>
      <c r="C24" s="28"/>
      <c r="D24" s="29"/>
      <c r="E24" s="30"/>
      <c r="F24" s="31"/>
      <c r="G24" s="32"/>
      <c r="H24" s="32"/>
      <c r="I24" s="33"/>
      <c r="J24" s="33"/>
      <c r="K24" s="34"/>
    </row>
    <row r="25" spans="1:11" x14ac:dyDescent="0.3">
      <c r="A25" s="37"/>
      <c r="B25" s="37"/>
      <c r="C25" s="28" t="s">
        <v>24</v>
      </c>
      <c r="D25" s="29"/>
      <c r="E25" s="30"/>
      <c r="F25" s="31"/>
      <c r="G25" s="32" t="s">
        <v>16</v>
      </c>
      <c r="H25" s="32" t="s">
        <v>16</v>
      </c>
      <c r="I25" s="33"/>
      <c r="J25" s="33"/>
      <c r="K25" s="34"/>
    </row>
    <row r="26" spans="1:11" x14ac:dyDescent="0.3">
      <c r="A26" s="37"/>
      <c r="B26" s="37"/>
      <c r="C26" s="28"/>
      <c r="D26" s="29"/>
      <c r="E26" s="30"/>
      <c r="F26" s="31"/>
      <c r="G26" s="32"/>
      <c r="H26" s="32"/>
      <c r="I26" s="33"/>
      <c r="J26" s="33"/>
      <c r="K26" s="34"/>
    </row>
    <row r="27" spans="1:11" x14ac:dyDescent="0.3">
      <c r="C27" s="35" t="s">
        <v>25</v>
      </c>
      <c r="D27" s="29"/>
      <c r="E27" s="30"/>
      <c r="F27" s="31"/>
      <c r="G27" s="32"/>
      <c r="H27" s="32"/>
      <c r="I27" s="33"/>
      <c r="J27" s="33"/>
      <c r="K27" s="34"/>
    </row>
    <row r="28" spans="1:11" x14ac:dyDescent="0.3">
      <c r="B28" s="1" t="s">
        <v>26</v>
      </c>
      <c r="C28" s="21" t="s">
        <v>27</v>
      </c>
      <c r="D28" s="29" t="s">
        <v>28</v>
      </c>
      <c r="E28" s="30" t="s">
        <v>29</v>
      </c>
      <c r="F28" s="31">
        <v>40500000</v>
      </c>
      <c r="G28" s="32">
        <v>40134.53</v>
      </c>
      <c r="H28" s="32">
        <v>32.75</v>
      </c>
      <c r="I28" s="33">
        <v>7.5304852999999996</v>
      </c>
      <c r="J28" s="33"/>
      <c r="K28" s="34"/>
    </row>
    <row r="29" spans="1:11" x14ac:dyDescent="0.3">
      <c r="B29" s="1" t="s">
        <v>30</v>
      </c>
      <c r="C29" s="21" t="s">
        <v>31</v>
      </c>
      <c r="D29" s="29" t="s">
        <v>32</v>
      </c>
      <c r="E29" s="30" t="s">
        <v>29</v>
      </c>
      <c r="F29" s="31">
        <v>39477500</v>
      </c>
      <c r="G29" s="32">
        <v>39007.089999999997</v>
      </c>
      <c r="H29" s="32">
        <v>31.83</v>
      </c>
      <c r="I29" s="33">
        <v>7.4856892000000004</v>
      </c>
      <c r="J29" s="33"/>
      <c r="K29" s="34"/>
    </row>
    <row r="30" spans="1:11" x14ac:dyDescent="0.3">
      <c r="B30" s="1" t="s">
        <v>33</v>
      </c>
      <c r="C30" s="21" t="s">
        <v>34</v>
      </c>
      <c r="D30" s="29" t="s">
        <v>35</v>
      </c>
      <c r="E30" s="30" t="s">
        <v>29</v>
      </c>
      <c r="F30" s="31">
        <v>1700000</v>
      </c>
      <c r="G30" s="32">
        <v>1682.82</v>
      </c>
      <c r="H30" s="32">
        <v>1.37</v>
      </c>
      <c r="I30" s="33">
        <v>7.5532925999999998</v>
      </c>
      <c r="J30" s="33"/>
      <c r="K30" s="34"/>
    </row>
    <row r="31" spans="1:11" x14ac:dyDescent="0.3">
      <c r="C31" s="28" t="s">
        <v>36</v>
      </c>
      <c r="D31" s="29"/>
      <c r="E31" s="30"/>
      <c r="F31" s="31"/>
      <c r="G31" s="38">
        <v>80824.44</v>
      </c>
      <c r="H31" s="38">
        <v>65.95</v>
      </c>
      <c r="I31" s="33"/>
      <c r="J31" s="33"/>
      <c r="K31" s="34"/>
    </row>
    <row r="32" spans="1:11" x14ac:dyDescent="0.3">
      <c r="C32" s="21"/>
      <c r="D32" s="29"/>
      <c r="E32" s="30"/>
      <c r="F32" s="31"/>
      <c r="G32" s="32"/>
      <c r="H32" s="32"/>
      <c r="I32" s="33"/>
      <c r="J32" s="33"/>
      <c r="K32" s="34"/>
    </row>
    <row r="33" spans="2:11" x14ac:dyDescent="0.3">
      <c r="C33" s="35" t="s">
        <v>37</v>
      </c>
      <c r="D33" s="29"/>
      <c r="E33" s="30"/>
      <c r="F33" s="31"/>
      <c r="G33" s="32"/>
      <c r="H33" s="32"/>
      <c r="I33" s="33"/>
      <c r="J33" s="33"/>
      <c r="K33" s="34"/>
    </row>
    <row r="34" spans="2:11" x14ac:dyDescent="0.3">
      <c r="B34" s="1" t="s">
        <v>38</v>
      </c>
      <c r="C34" s="21" t="s">
        <v>39</v>
      </c>
      <c r="D34" s="29" t="s">
        <v>40</v>
      </c>
      <c r="E34" s="30" t="s">
        <v>29</v>
      </c>
      <c r="F34" s="31">
        <v>6400000</v>
      </c>
      <c r="G34" s="32">
        <v>6068.77</v>
      </c>
      <c r="H34" s="32">
        <v>4.95</v>
      </c>
      <c r="I34" s="33">
        <v>7.8119899999999998</v>
      </c>
      <c r="J34" s="33"/>
      <c r="K34" s="34"/>
    </row>
    <row r="35" spans="2:11" x14ac:dyDescent="0.3">
      <c r="B35" s="1" t="s">
        <v>41</v>
      </c>
      <c r="C35" s="21" t="s">
        <v>42</v>
      </c>
      <c r="D35" s="29" t="s">
        <v>43</v>
      </c>
      <c r="E35" s="30" t="s">
        <v>29</v>
      </c>
      <c r="F35" s="31">
        <v>5004800</v>
      </c>
      <c r="G35" s="32">
        <v>4907.74</v>
      </c>
      <c r="H35" s="32">
        <v>4.01</v>
      </c>
      <c r="I35" s="33">
        <v>7.8277817000000001</v>
      </c>
      <c r="J35" s="33"/>
      <c r="K35" s="34"/>
    </row>
    <row r="36" spans="2:11" x14ac:dyDescent="0.3">
      <c r="B36" s="1" t="s">
        <v>44</v>
      </c>
      <c r="C36" s="21" t="s">
        <v>45</v>
      </c>
      <c r="D36" s="29" t="s">
        <v>46</v>
      </c>
      <c r="E36" s="30" t="s">
        <v>29</v>
      </c>
      <c r="F36" s="31">
        <v>4500000</v>
      </c>
      <c r="G36" s="32">
        <v>4247.84</v>
      </c>
      <c r="H36" s="32">
        <v>3.47</v>
      </c>
      <c r="I36" s="33">
        <v>7.8251336</v>
      </c>
      <c r="J36" s="33"/>
      <c r="K36" s="34"/>
    </row>
    <row r="37" spans="2:11" x14ac:dyDescent="0.3">
      <c r="B37" s="1" t="s">
        <v>47</v>
      </c>
      <c r="C37" s="21" t="s">
        <v>48</v>
      </c>
      <c r="D37" s="29" t="s">
        <v>49</v>
      </c>
      <c r="E37" s="30" t="s">
        <v>29</v>
      </c>
      <c r="F37" s="31">
        <v>3500000</v>
      </c>
      <c r="G37" s="32">
        <v>3489.3</v>
      </c>
      <c r="H37" s="32">
        <v>2.85</v>
      </c>
      <c r="I37" s="33">
        <v>7.8420335999999997</v>
      </c>
      <c r="J37" s="33"/>
      <c r="K37" s="34"/>
    </row>
    <row r="38" spans="2:11" x14ac:dyDescent="0.3">
      <c r="B38" s="1" t="s">
        <v>50</v>
      </c>
      <c r="C38" s="21" t="s">
        <v>51</v>
      </c>
      <c r="D38" s="29" t="s">
        <v>52</v>
      </c>
      <c r="E38" s="30" t="s">
        <v>29</v>
      </c>
      <c r="F38" s="31">
        <v>2500000</v>
      </c>
      <c r="G38" s="32">
        <v>2505.44</v>
      </c>
      <c r="H38" s="32">
        <v>2.04</v>
      </c>
      <c r="I38" s="33">
        <v>7.8251689999999998</v>
      </c>
      <c r="J38" s="33"/>
      <c r="K38" s="34"/>
    </row>
    <row r="39" spans="2:11" x14ac:dyDescent="0.3">
      <c r="B39" s="1" t="s">
        <v>53</v>
      </c>
      <c r="C39" s="21" t="s">
        <v>54</v>
      </c>
      <c r="D39" s="29" t="s">
        <v>55</v>
      </c>
      <c r="E39" s="30" t="s">
        <v>29</v>
      </c>
      <c r="F39" s="31">
        <v>2500000</v>
      </c>
      <c r="G39" s="32">
        <v>2492.1</v>
      </c>
      <c r="H39" s="32">
        <v>2.0299999999999998</v>
      </c>
      <c r="I39" s="33">
        <v>7.8433317000000002</v>
      </c>
      <c r="J39" s="33"/>
      <c r="K39" s="34"/>
    </row>
    <row r="40" spans="2:11" x14ac:dyDescent="0.3">
      <c r="B40" s="1" t="s">
        <v>56</v>
      </c>
      <c r="C40" s="21" t="s">
        <v>57</v>
      </c>
      <c r="D40" s="29" t="s">
        <v>58</v>
      </c>
      <c r="E40" s="30" t="s">
        <v>29</v>
      </c>
      <c r="F40" s="31">
        <v>1500000</v>
      </c>
      <c r="G40" s="32">
        <v>1497.96</v>
      </c>
      <c r="H40" s="32">
        <v>1.22</v>
      </c>
      <c r="I40" s="33">
        <v>7.8764972000000002</v>
      </c>
      <c r="J40" s="33"/>
      <c r="K40" s="34"/>
    </row>
    <row r="41" spans="2:11" x14ac:dyDescent="0.3">
      <c r="B41" s="1" t="s">
        <v>59</v>
      </c>
      <c r="C41" s="21" t="s">
        <v>60</v>
      </c>
      <c r="D41" s="29" t="s">
        <v>61</v>
      </c>
      <c r="E41" s="30" t="s">
        <v>29</v>
      </c>
      <c r="F41" s="31">
        <v>1500000</v>
      </c>
      <c r="G41" s="32">
        <v>1451.58</v>
      </c>
      <c r="H41" s="32">
        <v>1.18</v>
      </c>
      <c r="I41" s="33">
        <v>7.8349028000000001</v>
      </c>
      <c r="J41" s="33"/>
      <c r="K41" s="34"/>
    </row>
    <row r="42" spans="2:11" x14ac:dyDescent="0.3">
      <c r="B42" s="1" t="s">
        <v>62</v>
      </c>
      <c r="C42" s="21" t="s">
        <v>63</v>
      </c>
      <c r="D42" s="29" t="s">
        <v>64</v>
      </c>
      <c r="E42" s="30" t="s">
        <v>29</v>
      </c>
      <c r="F42" s="31">
        <v>1000000</v>
      </c>
      <c r="G42" s="32">
        <v>1000.83</v>
      </c>
      <c r="H42" s="32">
        <v>0.82</v>
      </c>
      <c r="I42" s="33">
        <v>7.8327400000000003</v>
      </c>
      <c r="J42" s="33"/>
      <c r="K42" s="34"/>
    </row>
    <row r="43" spans="2:11" x14ac:dyDescent="0.3">
      <c r="B43" s="1" t="s">
        <v>65</v>
      </c>
      <c r="C43" s="21" t="s">
        <v>66</v>
      </c>
      <c r="D43" s="29" t="s">
        <v>67</v>
      </c>
      <c r="E43" s="30" t="s">
        <v>29</v>
      </c>
      <c r="F43" s="31">
        <v>1000000</v>
      </c>
      <c r="G43" s="32">
        <v>996.88</v>
      </c>
      <c r="H43" s="32">
        <v>0.81</v>
      </c>
      <c r="I43" s="33">
        <v>7.8327400000000003</v>
      </c>
      <c r="J43" s="33"/>
      <c r="K43" s="34"/>
    </row>
    <row r="44" spans="2:11" x14ac:dyDescent="0.3">
      <c r="B44" s="1" t="s">
        <v>68</v>
      </c>
      <c r="C44" s="21" t="s">
        <v>69</v>
      </c>
      <c r="D44" s="29" t="s">
        <v>70</v>
      </c>
      <c r="E44" s="30" t="s">
        <v>29</v>
      </c>
      <c r="F44" s="31">
        <v>1000000</v>
      </c>
      <c r="G44" s="32">
        <v>996.87</v>
      </c>
      <c r="H44" s="32">
        <v>0.81</v>
      </c>
      <c r="I44" s="33">
        <v>7.8433317000000002</v>
      </c>
      <c r="J44" s="33"/>
      <c r="K44" s="34"/>
    </row>
    <row r="45" spans="2:11" x14ac:dyDescent="0.3">
      <c r="B45" s="1" t="s">
        <v>71</v>
      </c>
      <c r="C45" s="21" t="s">
        <v>72</v>
      </c>
      <c r="D45" s="29" t="s">
        <v>73</v>
      </c>
      <c r="E45" s="30" t="s">
        <v>29</v>
      </c>
      <c r="F45" s="31">
        <v>1000000</v>
      </c>
      <c r="G45" s="32">
        <v>982</v>
      </c>
      <c r="H45" s="32">
        <v>0.8</v>
      </c>
      <c r="I45" s="33">
        <v>7.7917189999999996</v>
      </c>
      <c r="J45" s="33"/>
      <c r="K45" s="34"/>
    </row>
    <row r="46" spans="2:11" x14ac:dyDescent="0.3">
      <c r="B46" s="1" t="s">
        <v>74</v>
      </c>
      <c r="C46" s="21" t="s">
        <v>75</v>
      </c>
      <c r="D46" s="29" t="s">
        <v>76</v>
      </c>
      <c r="E46" s="30" t="s">
        <v>29</v>
      </c>
      <c r="F46" s="31">
        <v>500000</v>
      </c>
      <c r="G46" s="32">
        <v>483.64</v>
      </c>
      <c r="H46" s="32">
        <v>0.39</v>
      </c>
      <c r="I46" s="33">
        <v>7.8284567000000003</v>
      </c>
      <c r="J46" s="33"/>
      <c r="K46" s="34"/>
    </row>
    <row r="47" spans="2:11" x14ac:dyDescent="0.3">
      <c r="B47" s="1" t="s">
        <v>77</v>
      </c>
      <c r="C47" s="21" t="s">
        <v>78</v>
      </c>
      <c r="D47" s="29" t="s">
        <v>79</v>
      </c>
      <c r="E47" s="30" t="s">
        <v>29</v>
      </c>
      <c r="F47" s="31">
        <v>40800</v>
      </c>
      <c r="G47" s="32">
        <v>41.85</v>
      </c>
      <c r="H47" s="32">
        <v>0.03</v>
      </c>
      <c r="I47" s="33">
        <v>7.8902298000000002</v>
      </c>
      <c r="J47" s="33"/>
      <c r="K47" s="34"/>
    </row>
    <row r="48" spans="2:11" x14ac:dyDescent="0.3">
      <c r="C48" s="28" t="s">
        <v>36</v>
      </c>
      <c r="D48" s="29"/>
      <c r="E48" s="30"/>
      <c r="F48" s="31"/>
      <c r="G48" s="38">
        <v>31162.799999999999</v>
      </c>
      <c r="H48" s="38">
        <v>25.41</v>
      </c>
      <c r="I48" s="33"/>
      <c r="J48" s="33"/>
      <c r="K48" s="34"/>
    </row>
    <row r="49" spans="1:11" x14ac:dyDescent="0.3">
      <c r="C49" s="21"/>
      <c r="D49" s="29"/>
      <c r="E49" s="30"/>
      <c r="F49" s="31"/>
      <c r="G49" s="32"/>
      <c r="H49" s="32"/>
      <c r="I49" s="33"/>
      <c r="J49" s="33"/>
      <c r="K49" s="34"/>
    </row>
    <row r="50" spans="1:11" x14ac:dyDescent="0.3">
      <c r="C50" s="28" t="s">
        <v>80</v>
      </c>
      <c r="D50" s="29"/>
      <c r="E50" s="30"/>
      <c r="F50" s="31"/>
      <c r="G50" s="32"/>
      <c r="H50" s="32"/>
      <c r="I50" s="33"/>
      <c r="J50" s="33"/>
      <c r="K50" s="34"/>
    </row>
    <row r="51" spans="1:11" x14ac:dyDescent="0.3">
      <c r="C51" s="21"/>
      <c r="D51" s="29"/>
      <c r="E51" s="30"/>
      <c r="F51" s="31"/>
      <c r="G51" s="32"/>
      <c r="H51" s="32"/>
      <c r="I51" s="33"/>
      <c r="J51" s="33"/>
      <c r="K51" s="34"/>
    </row>
    <row r="52" spans="1:11" x14ac:dyDescent="0.3">
      <c r="C52" s="28" t="s">
        <v>81</v>
      </c>
      <c r="D52" s="29"/>
      <c r="E52" s="30"/>
      <c r="F52" s="31"/>
      <c r="G52" s="32" t="s">
        <v>16</v>
      </c>
      <c r="H52" s="32" t="s">
        <v>16</v>
      </c>
      <c r="I52" s="33"/>
      <c r="J52" s="33"/>
      <c r="K52" s="34"/>
    </row>
    <row r="53" spans="1:11" x14ac:dyDescent="0.3">
      <c r="C53" s="21"/>
      <c r="D53" s="29"/>
      <c r="E53" s="30"/>
      <c r="F53" s="31"/>
      <c r="G53" s="32"/>
      <c r="H53" s="32"/>
      <c r="I53" s="33"/>
      <c r="J53" s="33"/>
      <c r="K53" s="34"/>
    </row>
    <row r="54" spans="1:11" x14ac:dyDescent="0.3">
      <c r="C54" s="28" t="s">
        <v>82</v>
      </c>
      <c r="D54" s="29"/>
      <c r="E54" s="30"/>
      <c r="F54" s="31"/>
      <c r="G54" s="32" t="s">
        <v>16</v>
      </c>
      <c r="H54" s="32" t="s">
        <v>16</v>
      </c>
      <c r="I54" s="33"/>
      <c r="J54" s="33"/>
      <c r="K54" s="34"/>
    </row>
    <row r="55" spans="1:11" x14ac:dyDescent="0.3">
      <c r="C55" s="21"/>
      <c r="D55" s="29"/>
      <c r="E55" s="30"/>
      <c r="F55" s="31"/>
      <c r="G55" s="32"/>
      <c r="H55" s="32"/>
      <c r="I55" s="33"/>
      <c r="J55" s="33"/>
      <c r="K55" s="34"/>
    </row>
    <row r="56" spans="1:11" x14ac:dyDescent="0.3">
      <c r="C56" s="28" t="s">
        <v>83</v>
      </c>
      <c r="D56" s="29"/>
      <c r="E56" s="30"/>
      <c r="F56" s="31"/>
      <c r="G56" s="32" t="s">
        <v>16</v>
      </c>
      <c r="H56" s="32" t="s">
        <v>16</v>
      </c>
      <c r="I56" s="33"/>
      <c r="J56" s="33"/>
      <c r="K56" s="34"/>
    </row>
    <row r="57" spans="1:11" x14ac:dyDescent="0.3">
      <c r="C57" s="21"/>
      <c r="D57" s="29"/>
      <c r="E57" s="30"/>
      <c r="F57" s="31"/>
      <c r="G57" s="32"/>
      <c r="H57" s="32"/>
      <c r="I57" s="33"/>
      <c r="J57" s="33"/>
      <c r="K57" s="34"/>
    </row>
    <row r="58" spans="1:11" x14ac:dyDescent="0.3">
      <c r="C58" s="28" t="s">
        <v>84</v>
      </c>
      <c r="D58" s="29"/>
      <c r="E58" s="30"/>
      <c r="F58" s="31"/>
      <c r="G58" s="32" t="s">
        <v>16</v>
      </c>
      <c r="H58" s="32" t="s">
        <v>16</v>
      </c>
      <c r="I58" s="33"/>
      <c r="J58" s="33"/>
      <c r="K58" s="34"/>
    </row>
    <row r="59" spans="1:11" x14ac:dyDescent="0.3">
      <c r="C59" s="21"/>
      <c r="D59" s="29"/>
      <c r="E59" s="30"/>
      <c r="F59" s="31"/>
      <c r="G59" s="32"/>
      <c r="H59" s="32"/>
      <c r="I59" s="33"/>
      <c r="J59" s="33"/>
      <c r="K59" s="34"/>
    </row>
    <row r="60" spans="1:11" x14ac:dyDescent="0.3">
      <c r="A60" s="36"/>
      <c r="B60" s="37"/>
      <c r="C60" s="28" t="s">
        <v>85</v>
      </c>
      <c r="D60" s="29"/>
      <c r="E60" s="30"/>
      <c r="F60" s="31"/>
      <c r="G60" s="32"/>
      <c r="H60" s="32"/>
      <c r="I60" s="33"/>
      <c r="J60" s="33"/>
      <c r="K60" s="34"/>
    </row>
    <row r="61" spans="1:11" x14ac:dyDescent="0.3">
      <c r="A61" s="37"/>
      <c r="B61" s="37"/>
      <c r="C61" s="28" t="s">
        <v>86</v>
      </c>
      <c r="D61" s="29"/>
      <c r="E61" s="30"/>
      <c r="F61" s="31"/>
      <c r="G61" s="32" t="s">
        <v>16</v>
      </c>
      <c r="H61" s="32" t="s">
        <v>16</v>
      </c>
      <c r="I61" s="33"/>
      <c r="J61" s="33"/>
      <c r="K61" s="34"/>
    </row>
    <row r="62" spans="1:11" x14ac:dyDescent="0.3">
      <c r="A62" s="37"/>
      <c r="B62" s="37"/>
      <c r="C62" s="28"/>
      <c r="D62" s="29"/>
      <c r="E62" s="30"/>
      <c r="F62" s="31"/>
      <c r="G62" s="32"/>
      <c r="H62" s="32"/>
      <c r="I62" s="33"/>
      <c r="J62" s="33"/>
      <c r="K62" s="34"/>
    </row>
    <row r="63" spans="1:11" x14ac:dyDescent="0.3">
      <c r="A63" s="37"/>
      <c r="B63" s="37"/>
      <c r="C63" s="28" t="s">
        <v>87</v>
      </c>
      <c r="D63" s="29"/>
      <c r="E63" s="30"/>
      <c r="F63" s="31"/>
      <c r="G63" s="32" t="s">
        <v>16</v>
      </c>
      <c r="H63" s="32" t="s">
        <v>16</v>
      </c>
      <c r="I63" s="33"/>
      <c r="J63" s="33"/>
      <c r="K63" s="34"/>
    </row>
    <row r="64" spans="1:11" x14ac:dyDescent="0.3">
      <c r="A64" s="37"/>
      <c r="B64" s="37"/>
      <c r="C64" s="28"/>
      <c r="D64" s="29"/>
      <c r="E64" s="30"/>
      <c r="F64" s="31"/>
      <c r="G64" s="32"/>
      <c r="H64" s="32"/>
      <c r="I64" s="33"/>
      <c r="J64" s="33"/>
      <c r="K64" s="34"/>
    </row>
    <row r="65" spans="1:11" x14ac:dyDescent="0.3">
      <c r="A65" s="37"/>
      <c r="B65" s="37"/>
      <c r="C65" s="28" t="s">
        <v>88</v>
      </c>
      <c r="D65" s="29"/>
      <c r="E65" s="30"/>
      <c r="F65" s="31"/>
      <c r="G65" s="32" t="s">
        <v>16</v>
      </c>
      <c r="H65" s="32" t="s">
        <v>16</v>
      </c>
      <c r="I65" s="33"/>
      <c r="J65" s="33"/>
      <c r="K65" s="34"/>
    </row>
    <row r="66" spans="1:11" x14ac:dyDescent="0.3">
      <c r="A66" s="37"/>
      <c r="B66" s="37"/>
      <c r="C66" s="28"/>
      <c r="D66" s="29"/>
      <c r="E66" s="30"/>
      <c r="F66" s="31"/>
      <c r="G66" s="32"/>
      <c r="H66" s="32"/>
      <c r="I66" s="33"/>
      <c r="J66" s="33"/>
      <c r="K66" s="34"/>
    </row>
    <row r="67" spans="1:11" x14ac:dyDescent="0.3">
      <c r="A67" s="37"/>
      <c r="B67" s="37"/>
      <c r="C67" s="28" t="s">
        <v>89</v>
      </c>
      <c r="D67" s="29"/>
      <c r="E67" s="30"/>
      <c r="F67" s="31"/>
      <c r="G67" s="32" t="s">
        <v>16</v>
      </c>
      <c r="H67" s="32" t="s">
        <v>16</v>
      </c>
      <c r="I67" s="33"/>
      <c r="J67" s="33"/>
      <c r="K67" s="34"/>
    </row>
    <row r="68" spans="1:11" x14ac:dyDescent="0.3">
      <c r="A68" s="37"/>
      <c r="B68" s="37"/>
      <c r="C68" s="28"/>
      <c r="D68" s="29"/>
      <c r="E68" s="30"/>
      <c r="F68" s="31"/>
      <c r="G68" s="32"/>
      <c r="H68" s="32"/>
      <c r="I68" s="33"/>
      <c r="J68" s="33"/>
      <c r="K68" s="34"/>
    </row>
    <row r="69" spans="1:11" x14ac:dyDescent="0.3">
      <c r="C69" s="35" t="s">
        <v>90</v>
      </c>
      <c r="D69" s="29"/>
      <c r="E69" s="30"/>
      <c r="F69" s="31"/>
      <c r="G69" s="32"/>
      <c r="H69" s="32"/>
      <c r="I69" s="33"/>
      <c r="J69" s="33"/>
      <c r="K69" s="34"/>
    </row>
    <row r="70" spans="1:11" x14ac:dyDescent="0.3">
      <c r="B70" s="1" t="s">
        <v>91</v>
      </c>
      <c r="C70" s="21" t="s">
        <v>92</v>
      </c>
      <c r="D70" s="29"/>
      <c r="E70" s="30"/>
      <c r="F70" s="31"/>
      <c r="G70" s="32">
        <v>18649.8</v>
      </c>
      <c r="H70" s="32">
        <v>15.22</v>
      </c>
      <c r="I70" s="33">
        <v>6.76</v>
      </c>
      <c r="J70" s="33"/>
      <c r="K70" s="34"/>
    </row>
    <row r="71" spans="1:11" x14ac:dyDescent="0.3">
      <c r="C71" s="28" t="s">
        <v>36</v>
      </c>
      <c r="D71" s="29"/>
      <c r="E71" s="30"/>
      <c r="F71" s="31"/>
      <c r="G71" s="38">
        <v>18649.8</v>
      </c>
      <c r="H71" s="38">
        <v>15.22</v>
      </c>
      <c r="I71" s="33"/>
      <c r="J71" s="33"/>
      <c r="K71" s="34"/>
    </row>
    <row r="72" spans="1:11" x14ac:dyDescent="0.3">
      <c r="C72" s="21"/>
      <c r="D72" s="29"/>
      <c r="E72" s="30"/>
      <c r="F72" s="31"/>
      <c r="G72" s="32"/>
      <c r="H72" s="32"/>
      <c r="I72" s="33"/>
      <c r="J72" s="33"/>
      <c r="K72" s="34"/>
    </row>
    <row r="73" spans="1:11" x14ac:dyDescent="0.3">
      <c r="A73" s="36"/>
      <c r="B73" s="37"/>
      <c r="C73" s="28" t="s">
        <v>93</v>
      </c>
      <c r="D73" s="29"/>
      <c r="E73" s="30"/>
      <c r="F73" s="31"/>
      <c r="G73" s="32"/>
      <c r="H73" s="32"/>
      <c r="I73" s="33"/>
      <c r="J73" s="33"/>
      <c r="K73" s="34"/>
    </row>
    <row r="74" spans="1:11" x14ac:dyDescent="0.3">
      <c r="B74" s="1"/>
      <c r="C74" s="21" t="s">
        <v>94</v>
      </c>
      <c r="D74" s="29"/>
      <c r="E74" s="30"/>
      <c r="F74" s="31"/>
      <c r="G74" s="32">
        <v>-8100.95</v>
      </c>
      <c r="H74" s="32">
        <v>-6.58</v>
      </c>
      <c r="I74" s="33"/>
      <c r="J74" s="33"/>
      <c r="K74" s="34"/>
    </row>
    <row r="75" spans="1:11" x14ac:dyDescent="0.3">
      <c r="C75" s="28" t="s">
        <v>36</v>
      </c>
      <c r="D75" s="29"/>
      <c r="E75" s="30"/>
      <c r="F75" s="31"/>
      <c r="G75" s="38">
        <v>-8100.95</v>
      </c>
      <c r="H75" s="38">
        <v>-6.58</v>
      </c>
      <c r="I75" s="33"/>
      <c r="J75" s="33"/>
      <c r="K75" s="34"/>
    </row>
    <row r="76" spans="1:11" x14ac:dyDescent="0.3">
      <c r="C76" s="21"/>
      <c r="D76" s="29"/>
      <c r="E76" s="30"/>
      <c r="F76" s="31"/>
      <c r="G76" s="32"/>
      <c r="H76" s="32"/>
      <c r="I76" s="33"/>
      <c r="J76" s="33"/>
      <c r="K76" s="34"/>
    </row>
    <row r="77" spans="1:11" ht="14.4" thickBot="1" x14ac:dyDescent="0.35">
      <c r="C77" s="39" t="s">
        <v>95</v>
      </c>
      <c r="D77" s="40"/>
      <c r="E77" s="41"/>
      <c r="F77" s="42"/>
      <c r="G77" s="43">
        <v>122536.09</v>
      </c>
      <c r="H77" s="43">
        <f>SUMIFS(H:H,C:C,"Total")</f>
        <v>100</v>
      </c>
      <c r="I77" s="44"/>
      <c r="J77" s="44"/>
      <c r="K77" s="45"/>
    </row>
    <row r="80" spans="1:11" x14ac:dyDescent="0.3">
      <c r="C80" s="11" t="s">
        <v>96</v>
      </c>
    </row>
    <row r="81" spans="3:55" x14ac:dyDescent="0.3">
      <c r="C81" s="2" t="s">
        <v>97</v>
      </c>
    </row>
    <row r="82" spans="3:55" x14ac:dyDescent="0.3">
      <c r="C82" s="46" t="s">
        <v>98</v>
      </c>
    </row>
    <row r="83" spans="3:55" x14ac:dyDescent="0.3">
      <c r="C83" s="2" t="s">
        <v>99</v>
      </c>
    </row>
    <row r="84" spans="3:55" x14ac:dyDescent="0.3">
      <c r="C84" s="2" t="s">
        <v>100</v>
      </c>
    </row>
    <row r="85" spans="3:55" x14ac:dyDescent="0.3">
      <c r="C85" s="2" t="s">
        <v>101</v>
      </c>
      <c r="D85" s="47"/>
      <c r="E85" s="47"/>
      <c r="F85" s="47"/>
      <c r="G85" s="48"/>
      <c r="H85" s="48"/>
    </row>
    <row r="86" spans="3:55" x14ac:dyDescent="0.3">
      <c r="C86" s="2" t="s">
        <v>102</v>
      </c>
    </row>
    <row r="87" spans="3:55" x14ac:dyDescent="0.3">
      <c r="C87" s="2" t="s">
        <v>103</v>
      </c>
    </row>
    <row r="88" spans="3:55" x14ac:dyDescent="0.3">
      <c r="C88" s="2" t="s">
        <v>104</v>
      </c>
    </row>
    <row r="89" spans="3:55" x14ac:dyDescent="0.3">
      <c r="C89" s="2" t="s">
        <v>105</v>
      </c>
    </row>
    <row r="90" spans="3:55" s="11" customFormat="1" x14ac:dyDescent="0.3">
      <c r="C90" s="11" t="s">
        <v>106</v>
      </c>
      <c r="E90" s="11" t="s">
        <v>107</v>
      </c>
      <c r="F90" s="49" t="s">
        <v>108</v>
      </c>
      <c r="G90" s="50"/>
      <c r="H90" s="50"/>
      <c r="I90" s="50"/>
      <c r="J90" s="50"/>
      <c r="K90" s="51"/>
      <c r="L90" s="51"/>
      <c r="M90" s="51"/>
      <c r="AJ90" s="51"/>
      <c r="AW90" s="51"/>
      <c r="AY90" s="51"/>
      <c r="BC90" s="51"/>
    </row>
    <row r="91" spans="3:55" x14ac:dyDescent="0.3">
      <c r="C91" s="2" t="s">
        <v>109</v>
      </c>
      <c r="E91" s="52">
        <v>23.365600000000001</v>
      </c>
      <c r="F91" s="53">
        <v>23.263300000000001</v>
      </c>
    </row>
    <row r="92" spans="3:55" x14ac:dyDescent="0.3">
      <c r="C92" s="2" t="s">
        <v>110</v>
      </c>
      <c r="E92" s="52">
        <v>36.622500000000002</v>
      </c>
      <c r="F92" s="53">
        <v>36.462200000000003</v>
      </c>
    </row>
    <row r="93" spans="3:55" x14ac:dyDescent="0.3">
      <c r="C93" s="2" t="s">
        <v>111</v>
      </c>
      <c r="E93" s="52">
        <v>31.5366</v>
      </c>
      <c r="F93" s="53">
        <v>31.4071</v>
      </c>
    </row>
    <row r="94" spans="3:55" x14ac:dyDescent="0.3">
      <c r="C94" s="2" t="s">
        <v>112</v>
      </c>
      <c r="E94" s="52">
        <v>39.965499999999999</v>
      </c>
      <c r="F94" s="53">
        <v>39.801299999999998</v>
      </c>
    </row>
    <row r="96" spans="3:55" x14ac:dyDescent="0.3">
      <c r="C96" s="2" t="s">
        <v>113</v>
      </c>
    </row>
    <row r="98" spans="3:11" x14ac:dyDescent="0.3">
      <c r="C98" s="2" t="s">
        <v>114</v>
      </c>
    </row>
    <row r="99" spans="3:11" x14ac:dyDescent="0.3">
      <c r="C99" s="2" t="s">
        <v>115</v>
      </c>
    </row>
    <row r="100" spans="3:11" x14ac:dyDescent="0.3">
      <c r="C100" s="2" t="s">
        <v>116</v>
      </c>
    </row>
    <row r="101" spans="3:11" x14ac:dyDescent="0.3">
      <c r="C101" s="2" t="s">
        <v>117</v>
      </c>
    </row>
    <row r="102" spans="3:11" x14ac:dyDescent="0.3">
      <c r="C102" s="2" t="s">
        <v>118</v>
      </c>
    </row>
    <row r="103" spans="3:11" x14ac:dyDescent="0.3">
      <c r="C103" s="2" t="s">
        <v>119</v>
      </c>
    </row>
    <row r="104" spans="3:11" x14ac:dyDescent="0.3">
      <c r="C104" s="2" t="s">
        <v>120</v>
      </c>
    </row>
    <row r="105" spans="3:11" x14ac:dyDescent="0.3">
      <c r="C105" s="2" t="s">
        <v>121</v>
      </c>
    </row>
    <row r="106" spans="3:11" x14ac:dyDescent="0.3">
      <c r="C106" s="2" t="s">
        <v>122</v>
      </c>
    </row>
    <row r="107" spans="3:11" x14ac:dyDescent="0.3">
      <c r="C107" s="2" t="s">
        <v>123</v>
      </c>
    </row>
    <row r="108" spans="3:11" x14ac:dyDescent="0.3">
      <c r="C108" s="2" t="s">
        <v>124</v>
      </c>
    </row>
    <row r="109" spans="3:11" x14ac:dyDescent="0.3">
      <c r="C109" s="2" t="s">
        <v>125</v>
      </c>
    </row>
    <row r="110" spans="3:11" ht="14.4" x14ac:dyDescent="0.3">
      <c r="C110" s="2" t="s">
        <v>126</v>
      </c>
      <c r="E110" s="54"/>
      <c r="F110" s="54"/>
      <c r="G110" s="54"/>
      <c r="H110" s="54"/>
      <c r="I110" s="54"/>
      <c r="J110" s="54"/>
      <c r="K110" s="54"/>
    </row>
    <row r="111" spans="3:11" ht="14.4" x14ac:dyDescent="0.3">
      <c r="C111" s="2" t="s">
        <v>127</v>
      </c>
      <c r="D111" s="54"/>
      <c r="E111" s="54"/>
      <c r="F111" s="54"/>
      <c r="G111" s="54"/>
      <c r="H111" s="54"/>
      <c r="I111" s="54"/>
      <c r="J111" s="54"/>
      <c r="K111" s="54"/>
    </row>
    <row r="112" spans="3:11" ht="14.4" x14ac:dyDescent="0.3">
      <c r="D112" s="54"/>
      <c r="E112" s="54"/>
      <c r="F112" s="54"/>
      <c r="G112" s="54"/>
      <c r="H112" s="54"/>
      <c r="I112" s="54"/>
      <c r="J112" s="54"/>
      <c r="K112" s="54"/>
    </row>
    <row r="132" spans="3:6" ht="14.4" thickBot="1" x14ac:dyDescent="0.35"/>
    <row r="133" spans="3:6" ht="15" thickBot="1" x14ac:dyDescent="0.35">
      <c r="C133" s="55" t="s">
        <v>128</v>
      </c>
      <c r="D133" s="56"/>
      <c r="E133" s="56"/>
      <c r="F133" s="57"/>
    </row>
    <row r="134" spans="3:6" ht="15" thickBot="1" x14ac:dyDescent="0.35">
      <c r="C134" s="58" t="s">
        <v>129</v>
      </c>
      <c r="D134" s="59" t="s">
        <v>130</v>
      </c>
      <c r="E134" s="59" t="s">
        <v>131</v>
      </c>
      <c r="F134" s="59" t="s">
        <v>132</v>
      </c>
    </row>
    <row r="135" spans="3:6" ht="15" thickBot="1" x14ac:dyDescent="0.35">
      <c r="C135" s="58" t="s">
        <v>133</v>
      </c>
      <c r="D135" s="60"/>
      <c r="E135" s="60"/>
      <c r="F135" s="60"/>
    </row>
    <row r="136" spans="3:6" ht="15" thickBot="1" x14ac:dyDescent="0.35">
      <c r="C136" s="61" t="s">
        <v>134</v>
      </c>
      <c r="D136" s="62"/>
      <c r="E136" s="62"/>
      <c r="F136" s="62"/>
    </row>
    <row r="137" spans="3:6" ht="14.4" x14ac:dyDescent="0.3">
      <c r="C137" s="63" t="s">
        <v>135</v>
      </c>
      <c r="D137" s="64"/>
      <c r="E137" s="64"/>
      <c r="F137" s="64"/>
    </row>
    <row r="138" spans="3:6" ht="15" thickBot="1" x14ac:dyDescent="0.35">
      <c r="C138" s="61" t="s">
        <v>136</v>
      </c>
      <c r="D138" s="65"/>
      <c r="E138" s="65"/>
      <c r="F138" s="65"/>
    </row>
    <row r="139" spans="3:6" ht="14.4" x14ac:dyDescent="0.3">
      <c r="C139" s="63" t="s">
        <v>137</v>
      </c>
      <c r="D139" s="66" t="s">
        <v>138</v>
      </c>
      <c r="E139" s="64"/>
      <c r="F139" s="64"/>
    </row>
    <row r="140" spans="3:6" ht="15" thickBot="1" x14ac:dyDescent="0.35">
      <c r="C140" s="61" t="s">
        <v>139</v>
      </c>
      <c r="D140" s="67"/>
      <c r="E140" s="65"/>
      <c r="F140" s="65"/>
    </row>
    <row r="141" spans="3:6" ht="14.4" x14ac:dyDescent="0.35">
      <c r="C141" s="68" t="s">
        <v>140</v>
      </c>
      <c r="D141" s="69"/>
      <c r="E141" s="69"/>
      <c r="F141" s="69"/>
    </row>
    <row r="142" spans="3:6" ht="14.4" x14ac:dyDescent="0.35">
      <c r="C142" s="2" t="s">
        <v>141</v>
      </c>
      <c r="D142" s="69"/>
      <c r="E142" s="69"/>
      <c r="F142" s="69"/>
    </row>
  </sheetData>
  <mergeCells count="10">
    <mergeCell ref="D139:D140"/>
    <mergeCell ref="E139:E140"/>
    <mergeCell ref="F139:F140"/>
    <mergeCell ref="C133:F133"/>
    <mergeCell ref="D134:D135"/>
    <mergeCell ref="E134:E135"/>
    <mergeCell ref="F134:F135"/>
    <mergeCell ref="D137:D138"/>
    <mergeCell ref="E137:E138"/>
    <mergeCell ref="F137:F13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46</vt:i4>
      </vt:variant>
    </vt:vector>
  </HeadingPairs>
  <TitlesOfParts>
    <vt:vector size="47" baseType="lpstr">
      <vt:lpstr>GF</vt:lpstr>
      <vt:lpstr>XDO_?CLASS_3?21?</vt:lpstr>
      <vt:lpstr>XDO_?FINAL_ISIN?113?</vt:lpstr>
      <vt:lpstr>XDO_?FINAL_ISIN?114?</vt:lpstr>
      <vt:lpstr>XDO_?FINAL_ISIN?115?</vt:lpstr>
      <vt:lpstr>XDO_?FINAL_ISIN?116?</vt:lpstr>
      <vt:lpstr>XDO_?FINAL_MV?113?</vt:lpstr>
      <vt:lpstr>XDO_?FINAL_MV?114?</vt:lpstr>
      <vt:lpstr>XDO_?FINAL_MV?115?</vt:lpstr>
      <vt:lpstr>XDO_?FINAL_MV?116?</vt:lpstr>
      <vt:lpstr>XDO_?FINAL_NAME?113?</vt:lpstr>
      <vt:lpstr>XDO_?FINAL_NAME?114?</vt:lpstr>
      <vt:lpstr>XDO_?FINAL_NAME?115?</vt:lpstr>
      <vt:lpstr>XDO_?FINAL_NAME?116?</vt:lpstr>
      <vt:lpstr>XDO_?FINAL_PER_NET?113?</vt:lpstr>
      <vt:lpstr>XDO_?FINAL_PER_NET?114?</vt:lpstr>
      <vt:lpstr>XDO_?FINAL_PER_NET?115?</vt:lpstr>
      <vt:lpstr>XDO_?FINAL_PER_NET?116?</vt:lpstr>
      <vt:lpstr>XDO_?FINAL_QUANTITE?113?</vt:lpstr>
      <vt:lpstr>XDO_?FINAL_QUANTITE?114?</vt:lpstr>
      <vt:lpstr>XDO_?FINAL_QUANTITE?115?</vt:lpstr>
      <vt:lpstr>XDO_?FINAL_QUANTITE?116?</vt:lpstr>
      <vt:lpstr>XDO_?NAMCNAME?21?</vt:lpstr>
      <vt:lpstr>XDO_?NOVAL?113?</vt:lpstr>
      <vt:lpstr>XDO_?NOVAL?114?</vt:lpstr>
      <vt:lpstr>XDO_?NOVAL?115?</vt:lpstr>
      <vt:lpstr>XDO_?NOVAL?116?</vt:lpstr>
      <vt:lpstr>XDO_?NPTF?21?</vt:lpstr>
      <vt:lpstr>XDO_?RATING?113?</vt:lpstr>
      <vt:lpstr>XDO_?RATING?114?</vt:lpstr>
      <vt:lpstr>XDO_?RATING?115?</vt:lpstr>
      <vt:lpstr>XDO_?RATING?116?</vt:lpstr>
      <vt:lpstr>XDO_?REMARKS?113?</vt:lpstr>
      <vt:lpstr>XDO_?REMARKS?114?</vt:lpstr>
      <vt:lpstr>XDO_?REMARKS?115?</vt:lpstr>
      <vt:lpstr>XDO_?REMARKS?116?</vt:lpstr>
      <vt:lpstr>XDO_?TITL?21?</vt:lpstr>
      <vt:lpstr>XDO_?YTM?113?</vt:lpstr>
      <vt:lpstr>XDO_?YTM?114?</vt:lpstr>
      <vt:lpstr>XDO_?YTM?115?</vt:lpstr>
      <vt:lpstr>XDO_?YTM?116?</vt:lpstr>
      <vt:lpstr>XDO_GROUP_?G_2?21?</vt:lpstr>
      <vt:lpstr>XDO_GROUP_?G_3?21?</vt:lpstr>
      <vt:lpstr>XDO_GROUP_?G_4?113?</vt:lpstr>
      <vt:lpstr>XDO_GROUP_?G_4?114?</vt:lpstr>
      <vt:lpstr>XDO_GROUP_?G_4?115?</vt:lpstr>
      <vt:lpstr>XDO_GROUP_?G_4?116?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Celest Technologies Support</cp:lastModifiedBy>
  <dcterms:created xsi:type="dcterms:W3CDTF">2023-11-08T10:27:18Z</dcterms:created>
  <dcterms:modified xsi:type="dcterms:W3CDTF">2023-11-09T08:04:22Z</dcterms:modified>
</cp:coreProperties>
</file>