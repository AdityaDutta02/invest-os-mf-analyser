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BS" sheetId="1" r:id="rId1"/>
  </sheets>
  <externalReferences>
    <externalReference r:id="rId2"/>
  </externalReferences>
  <definedNames>
    <definedName name="XDO_?CLASS_3?23?">BS!$C$8:$C$38</definedName>
    <definedName name="XDO_?FINAL_ISIN?108?">BS!$D$10:$D$38</definedName>
    <definedName name="XDO_?FINAL_ISIN?109?">BS!$D$10:$D$63</definedName>
    <definedName name="XDO_?FINAL_ISIN?110?">BS!$D$10:$D$78</definedName>
    <definedName name="XDO_?FINAL_ISIN?111?">BS!$D$10:$D$82</definedName>
    <definedName name="XDO_?FINAL_MV?108?">BS!$G$10:$G$38</definedName>
    <definedName name="XDO_?FINAL_MV?109?">BS!$G$10:$G$63</definedName>
    <definedName name="XDO_?FINAL_MV?110?">BS!$G$10:$G$78</definedName>
    <definedName name="XDO_?FINAL_MV?111?">BS!$G$10:$G$82</definedName>
    <definedName name="XDO_?FINAL_NAME?108?">BS!$C$10:$C$38</definedName>
    <definedName name="XDO_?FINAL_NAME?109?">BS!$C$10:$C$63</definedName>
    <definedName name="XDO_?FINAL_NAME?110?">BS!$C$10:$C$78</definedName>
    <definedName name="XDO_?FINAL_NAME?111?">BS!$C$10:$C$82</definedName>
    <definedName name="XDO_?FINAL_PER_NET?108?">BS!$H$10:$H$38</definedName>
    <definedName name="XDO_?FINAL_PER_NET?109?">BS!$H$10:$H$63</definedName>
    <definedName name="XDO_?FINAL_PER_NET?110?">BS!$H$10:$H$78</definedName>
    <definedName name="XDO_?FINAL_PER_NET?111?">BS!$H$10:$H$82</definedName>
    <definedName name="XDO_?FINAL_QUANTITE?108?">BS!$F$10:$F$38</definedName>
    <definedName name="XDO_?FINAL_QUANTITE?109?">BS!$F$10:$F$63</definedName>
    <definedName name="XDO_?FINAL_QUANTITE?110?">BS!$F$10:$F$78</definedName>
    <definedName name="XDO_?FINAL_QUANTITE?111?">BS!$F$10:$F$82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3?">BS!$C$2:$C$38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8?">BS!$B$10:$B$38</definedName>
    <definedName name="XDO_?NOVAL?109?">BS!$B$10:$B$63</definedName>
    <definedName name="XDO_?NOVAL?110?">BS!$B$10:$B$78</definedName>
    <definedName name="XDO_?NOVAL?111?">BS!$B$10:$B$82</definedName>
    <definedName name="XDO_?NPTF?23?">BS!$D$2:$D$38</definedName>
    <definedName name="XDO_?RATING?108?">BS!$E$10:$E$38</definedName>
    <definedName name="XDO_?RATING?109?">BS!$E$10:$E$63</definedName>
    <definedName name="XDO_?RATING?110?">BS!$E$10:$E$78</definedName>
    <definedName name="XDO_?RATING?111?">BS!$E$10:$E$82</definedName>
    <definedName name="XDO_?REMARKS?108?">BS!$K$10:$K$38</definedName>
    <definedName name="XDO_?REMARKS?109?">BS!$K$10:$K$63</definedName>
    <definedName name="XDO_?REMARKS?110?">BS!$K$10:$K$78</definedName>
    <definedName name="XDO_?REMARKS?111?">BS!$K$10:$K$82</definedName>
    <definedName name="XDO_?TITL?23?">BS!$A$8:$A$38</definedName>
    <definedName name="XDO_?YTM?108?">BS!$I$10:$I$38</definedName>
    <definedName name="XDO_?YTM?109?">BS!$I$10:$I$63</definedName>
    <definedName name="XDO_?YTM?110?">BS!$I$10:$I$78</definedName>
    <definedName name="XDO_?YTM?111?">BS!$I$10:$I$82</definedName>
    <definedName name="XDO_GROUP_?G_2?23?">BS!$2:$54</definedName>
    <definedName name="XDO_GROUP_?G_3?23?">BS!$8:$53</definedName>
    <definedName name="XDO_GROUP_?G_4?108?">BS!$B$10:$IV$38</definedName>
    <definedName name="XDO_GROUP_?G_4?109?">BS!$B$43:$IV$43</definedName>
    <definedName name="XDO_GROUP_?G_4?110?">BS!$B$46:$IV$46</definedName>
    <definedName name="XDO_GROUP_?G_4?111?">BS!$B$51:$IV$51</definedName>
    <definedName name="XDO_GROUP_?G_4?135?">[1]ON!#REF!</definedName>
    <definedName name="XDO_GROUP_?G_4?41?">[1]TA!#REF!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" l="1"/>
</calcChain>
</file>

<file path=xl/sharedStrings.xml><?xml version="1.0" encoding="utf-8"?>
<sst xmlns="http://schemas.openxmlformats.org/spreadsheetml/2006/main" count="254" uniqueCount="190">
  <si>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</si>
  <si>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</si>
  <si>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</si>
  <si>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</si>
  <si>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</si>
  <si>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</si>
  <si>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</si>
  <si>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</si>
  <si>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</si>
  <si>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</si>
  <si>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</si>
  <si>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</si>
  <si>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</si>
  <si>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</si>
  <si>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</si>
  <si>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</si>
  <si>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</si>
  <si>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</si>
  <si>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</si>
  <si>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</si>
  <si>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</si>
  <si>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</si>
  <si>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</si>
  <si>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</si>
  <si>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</si>
  <si>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</si>
  <si>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</si>
  <si>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</si>
  <si>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</si>
  <si>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</si>
  <si>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</si>
  <si>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</si>
  <si>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100001</t>
  </si>
  <si>
    <t>Housing Development Finance Corporation Ltd.</t>
  </si>
  <si>
    <t>INE001A01036</t>
  </si>
  <si>
    <t>Finance</t>
  </si>
  <si>
    <t>100125</t>
  </si>
  <si>
    <t>Bajaj Finance Ltd.</t>
  </si>
  <si>
    <t>INE296A01024</t>
  </si>
  <si>
    <t>100013</t>
  </si>
  <si>
    <t>IndusInd Bank Ltd.</t>
  </si>
  <si>
    <t>INE095A01012</t>
  </si>
  <si>
    <t>100254</t>
  </si>
  <si>
    <t>Karur Vysya Bank Ltd.</t>
  </si>
  <si>
    <t>INE036D01028</t>
  </si>
  <si>
    <t>100380</t>
  </si>
  <si>
    <t>Bajaj Finserv Ltd.</t>
  </si>
  <si>
    <t>INE918I01026</t>
  </si>
  <si>
    <t>100116</t>
  </si>
  <si>
    <t>Sundaram Finance Ltd.</t>
  </si>
  <si>
    <t>INE660A01013</t>
  </si>
  <si>
    <t>100231</t>
  </si>
  <si>
    <t>Muthoot Finance Ltd.</t>
  </si>
  <si>
    <t>INE414G01012</t>
  </si>
  <si>
    <t>100399</t>
  </si>
  <si>
    <t>Cholamandalam Investment &amp; Finance Co. Ltd.</t>
  </si>
  <si>
    <t>INE121A01024</t>
  </si>
  <si>
    <t>101469</t>
  </si>
  <si>
    <t>Equitas Small Finance Bank Ltd.</t>
  </si>
  <si>
    <t>INE063P01018</t>
  </si>
  <si>
    <t>100033</t>
  </si>
  <si>
    <t>Indian Bank</t>
  </si>
  <si>
    <t>INE562A01011</t>
  </si>
  <si>
    <t>100682</t>
  </si>
  <si>
    <t>ICICI Lombard General Insurance Company Ltd.</t>
  </si>
  <si>
    <t>INE765G01017</t>
  </si>
  <si>
    <t>Insurance</t>
  </si>
  <si>
    <t>100684</t>
  </si>
  <si>
    <t>SBI Life Insurance Co. Ltd.</t>
  </si>
  <si>
    <t>INE123W01016</t>
  </si>
  <si>
    <t>100477</t>
  </si>
  <si>
    <t>PNB Housing Finance Ltd.</t>
  </si>
  <si>
    <t>INE572E01012</t>
  </si>
  <si>
    <t>101432</t>
  </si>
  <si>
    <t>Star Health &amp; Allied Insurance Co. Ltd.</t>
  </si>
  <si>
    <t>INE575P01011</t>
  </si>
  <si>
    <t>100505</t>
  </si>
  <si>
    <t>ICICI Prudential Life Insurance Company Ltd.</t>
  </si>
  <si>
    <t>INE726G01019</t>
  </si>
  <si>
    <t>101783</t>
  </si>
  <si>
    <t>Five Star Business Finance Ltd.</t>
  </si>
  <si>
    <t>INE128S01021</t>
  </si>
  <si>
    <t>100240</t>
  </si>
  <si>
    <t>Can Fin Homes Ltd.</t>
  </si>
  <si>
    <t>INE477A01020</t>
  </si>
  <si>
    <t>100194</t>
  </si>
  <si>
    <t>Power Finance Corporation Ltd.</t>
  </si>
  <si>
    <t>INE134E01011</t>
  </si>
  <si>
    <t>100055</t>
  </si>
  <si>
    <t>The Federal Bank Ltd.</t>
  </si>
  <si>
    <t>INE171A01029</t>
  </si>
  <si>
    <t>100109</t>
  </si>
  <si>
    <t>Piramal Enterprises Ltd.</t>
  </si>
  <si>
    <t>INE140A01024</t>
  </si>
  <si>
    <t>100114</t>
  </si>
  <si>
    <t>Shriram Finance Ltd.</t>
  </si>
  <si>
    <t>INE721A01013</t>
  </si>
  <si>
    <t>101119</t>
  </si>
  <si>
    <t>SBI Cards &amp; Payment Services Ltd.</t>
  </si>
  <si>
    <t>INE018E01016</t>
  </si>
  <si>
    <t>101181</t>
  </si>
  <si>
    <t>UTI Asset Management Co. Ltd.</t>
  </si>
  <si>
    <t>INE094J01016</t>
  </si>
  <si>
    <t>Capital Markets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</si>
  <si>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</si>
  <si>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</si>
  <si>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</si>
  <si>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</si>
  <si>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</si>
  <si>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</si>
  <si>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</si>
  <si>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</si>
  <si>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</si>
  <si>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</si>
  <si>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</si>
  <si>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</si>
  <si>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</si>
  <si>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</si>
  <si>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</si>
  <si>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</si>
  <si>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 (Placed As Margin)</t>
  </si>
  <si>
    <t>1800976</t>
  </si>
  <si>
    <t>182 DAY T-BILL 31-Aug-2023</t>
  </si>
  <si>
    <t>IN002022Y492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</si>
  <si>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</si>
  <si>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</si>
  <si>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</si>
  <si>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</si>
  <si>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</si>
  <si>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</si>
  <si>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</si>
  <si>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</si>
  <si>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</si>
  <si>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</si>
  <si>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</si>
  <si>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</si>
  <si>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</si>
  <si>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 xml:space="preserve">Hedging Positions through Futures as on June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</si>
  <si>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</si>
  <si>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</si>
  <si>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</si>
  <si>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</si>
  <si>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</si>
  <si>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</si>
  <si>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</si>
  <si>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</si>
  <si>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June 30,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</si>
  <si>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</si>
  <si>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</si>
  <si>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</si>
  <si>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</si>
  <si>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</si>
  <si>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June 30, 2023:</t>
  </si>
  <si>
    <t>Number of Contracts</t>
  </si>
  <si>
    <t>Total Exposure through Futures(other than hedging positions) is 0.00% age of net assets</t>
  </si>
  <si>
    <t>For the month ended June 30, 2023 with regard to Other than hedging transactions through futures which have already been squared off/expired specify:</t>
  </si>
  <si>
    <t>Total Number of contracts where futures were sold : 11</t>
  </si>
  <si>
    <t>Gross Notional Value of contracts where futures were sold: 80.98 lacs</t>
  </si>
  <si>
    <t>Net Profit/Loss on all contracts combined :-6.13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</si>
  <si>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</si>
  <si>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</si>
  <si>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</si>
  <si>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</si>
  <si>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</si>
  <si>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</si>
  <si>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</si>
  <si>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</si>
  <si>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</si>
  <si>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</si>
  <si>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</si>
  <si>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</si>
  <si>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</si>
  <si>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</si>
  <si>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</si>
  <si>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</si>
  <si>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</si>
  <si>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</si>
  <si>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</si>
  <si>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are no investments in derivative instruments as on June,30 2023.</t>
  </si>
  <si>
    <t>(10) Total Market value of investments in Foreign Securities/American Depositary Receipts/Global Depositary Receipts as at  June 30, 2023 is Rs. Nil.</t>
  </si>
  <si>
    <t>(11)  During the period, the portfolio turnover ratio is  0.10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</si>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</sst>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name val="Franklin Gothic Book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1" fillId="4" borderId="0" xfId="0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4" fontId="11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5</xdr:col>
      <xdr:colOff>572008</xdr:colOff>
      <xdr:row>163</xdr:row>
      <xdr:rowOff>85344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228040"/>
          <a:ext cx="7452868" cy="27294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8"/>
  <sheetViews>
    <sheetView showGridLines="0" tabSelected="1" zoomScale="90" zoomScaleNormal="90" workbookViewId="0">
      <pane ySplit="6" topLeftCell="A143" activePane="bottomLeft" state="frozen"/>
      <selection activeCell="E119" sqref="E119"/>
      <selection pane="bottomLeft" activeCell="G149" sqref="G14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2.6640625" style="2" bestFit="1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2.6640625" style="2" bestFit="1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2.6640625" style="2" bestFit="1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2.6640625" style="2" bestFit="1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2.6640625" style="2" bestFit="1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2.6640625" style="2" bestFit="1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2.6640625" style="2" bestFit="1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2.6640625" style="2" bestFit="1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2.6640625" style="2" bestFit="1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2.6640625" style="2" bestFit="1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2.6640625" style="2" bestFit="1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2.6640625" style="2" bestFit="1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2.6640625" style="2" bestFit="1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2.6640625" style="2" bestFit="1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2.6640625" style="2" bestFit="1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2.6640625" style="2" bestFit="1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2.6640625" style="2" bestFit="1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2.6640625" style="2" bestFit="1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2.6640625" style="2" bestFit="1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2.6640625" style="2" bestFit="1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2.6640625" style="2" bestFit="1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2.6640625" style="2" bestFit="1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2.6640625" style="2" bestFit="1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2.6640625" style="2" bestFit="1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2.6640625" style="2" bestFit="1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2.6640625" style="2" bestFit="1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2.6640625" style="2" bestFit="1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2.6640625" style="2" bestFit="1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2.6640625" style="2" bestFit="1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2.6640625" style="2" bestFit="1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2.6640625" style="2" bestFit="1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2.6640625" style="2" bestFit="1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2.6640625" style="2" bestFit="1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2.6640625" style="2" bestFit="1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2.6640625" style="2" bestFit="1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2.6640625" style="2" bestFit="1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2.6640625" style="2" bestFit="1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2.6640625" style="2" bestFit="1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2.6640625" style="2" bestFit="1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2.6640625" style="2" bestFit="1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2.6640625" style="2" bestFit="1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2.6640625" style="2" bestFit="1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2.6640625" style="2" bestFit="1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2.6640625" style="2" bestFit="1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2.6640625" style="2" bestFit="1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2.6640625" style="2" bestFit="1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2.6640625" style="2" bestFit="1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2.6640625" style="2" bestFit="1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2.6640625" style="2" bestFit="1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2.6640625" style="2" bestFit="1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2.6640625" style="2" bestFit="1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2.6640625" style="2" bestFit="1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2.6640625" style="2" bestFit="1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2.6640625" style="2" bestFit="1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2.6640625" style="2" bestFit="1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2.6640625" style="2" bestFit="1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2.6640625" style="2" bestFit="1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2.6640625" style="2" bestFit="1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2.6640625" style="2" bestFit="1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2.6640625" style="2" bestFit="1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2.6640625" style="2" bestFit="1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2.6640625" style="2" bestFit="1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2.6640625" style="2" bestFit="1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2.6640625" style="2" bestFit="1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161000</v>
      </c>
      <c r="G10" s="34">
        <v>1504.71</v>
      </c>
      <c r="H10" s="34">
        <v>17.72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88000</v>
      </c>
      <c r="G11" s="34">
        <v>1497.23</v>
      </c>
      <c r="H11" s="34">
        <v>17.63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68500</v>
      </c>
      <c r="G12" s="34">
        <v>676.4</v>
      </c>
      <c r="H12" s="34">
        <v>7.96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19</v>
      </c>
      <c r="F13" s="33">
        <v>105500</v>
      </c>
      <c r="G13" s="34">
        <v>604.36</v>
      </c>
      <c r="H13" s="34">
        <v>7.12</v>
      </c>
      <c r="I13" s="35"/>
      <c r="J13" s="35"/>
      <c r="K13" s="36"/>
    </row>
    <row r="14" spans="1:55" x14ac:dyDescent="0.3">
      <c r="B14" s="1" t="s">
        <v>29</v>
      </c>
      <c r="C14" s="21" t="s">
        <v>30</v>
      </c>
      <c r="D14" s="31" t="s">
        <v>31</v>
      </c>
      <c r="E14" s="32" t="s">
        <v>19</v>
      </c>
      <c r="F14" s="33">
        <v>25400</v>
      </c>
      <c r="G14" s="34">
        <v>469.02</v>
      </c>
      <c r="H14" s="34">
        <v>5.52</v>
      </c>
      <c r="I14" s="35"/>
      <c r="J14" s="35"/>
      <c r="K14" s="36"/>
    </row>
    <row r="15" spans="1:55" x14ac:dyDescent="0.3">
      <c r="B15" s="1" t="s">
        <v>32</v>
      </c>
      <c r="C15" s="21" t="s">
        <v>33</v>
      </c>
      <c r="D15" s="31" t="s">
        <v>34</v>
      </c>
      <c r="E15" s="32" t="s">
        <v>35</v>
      </c>
      <c r="F15" s="33">
        <v>12000</v>
      </c>
      <c r="G15" s="34">
        <v>338.63</v>
      </c>
      <c r="H15" s="34">
        <v>3.99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35</v>
      </c>
      <c r="F16" s="33">
        <v>4400</v>
      </c>
      <c r="G16" s="34">
        <v>315.07</v>
      </c>
      <c r="H16" s="34">
        <v>3.71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19</v>
      </c>
      <c r="F17" s="33">
        <v>22500</v>
      </c>
      <c r="G17" s="34">
        <v>309.3</v>
      </c>
      <c r="H17" s="34">
        <v>3.64</v>
      </c>
      <c r="I17" s="35"/>
      <c r="J17" s="35"/>
      <c r="K17" s="36"/>
    </row>
    <row r="18" spans="2:11" x14ac:dyDescent="0.3">
      <c r="B18" s="1" t="s">
        <v>42</v>
      </c>
      <c r="C18" s="21" t="s">
        <v>43</v>
      </c>
      <c r="D18" s="31" t="s">
        <v>44</v>
      </c>
      <c r="E18" s="32" t="s">
        <v>19</v>
      </c>
      <c r="F18" s="33">
        <v>155000</v>
      </c>
      <c r="G18" s="34">
        <v>193.21</v>
      </c>
      <c r="H18" s="34">
        <v>2.27</v>
      </c>
      <c r="I18" s="35"/>
      <c r="J18" s="35"/>
      <c r="K18" s="36"/>
    </row>
    <row r="19" spans="2:11" x14ac:dyDescent="0.3">
      <c r="B19" s="1" t="s">
        <v>45</v>
      </c>
      <c r="C19" s="21" t="s">
        <v>46</v>
      </c>
      <c r="D19" s="31" t="s">
        <v>47</v>
      </c>
      <c r="E19" s="32" t="s">
        <v>35</v>
      </c>
      <c r="F19" s="33">
        <v>12500</v>
      </c>
      <c r="G19" s="34">
        <v>191</v>
      </c>
      <c r="H19" s="34">
        <v>2.25</v>
      </c>
      <c r="I19" s="35"/>
      <c r="J19" s="35"/>
      <c r="K19" s="36"/>
    </row>
    <row r="20" spans="2:11" x14ac:dyDescent="0.3">
      <c r="B20" s="1" t="s">
        <v>48</v>
      </c>
      <c r="C20" s="21" t="s">
        <v>49</v>
      </c>
      <c r="D20" s="31" t="s">
        <v>50</v>
      </c>
      <c r="E20" s="32" t="s">
        <v>35</v>
      </c>
      <c r="F20" s="33">
        <v>6500</v>
      </c>
      <c r="G20" s="34">
        <v>169.65</v>
      </c>
      <c r="H20" s="34">
        <v>2</v>
      </c>
      <c r="I20" s="35"/>
      <c r="J20" s="35"/>
      <c r="K20" s="36"/>
    </row>
    <row r="21" spans="2:11" x14ac:dyDescent="0.3">
      <c r="B21" s="1" t="s">
        <v>51</v>
      </c>
      <c r="C21" s="21" t="s">
        <v>52</v>
      </c>
      <c r="D21" s="31" t="s">
        <v>53</v>
      </c>
      <c r="E21" s="32" t="s">
        <v>35</v>
      </c>
      <c r="F21" s="33">
        <v>12000</v>
      </c>
      <c r="G21" s="34">
        <v>148.76</v>
      </c>
      <c r="H21" s="34">
        <v>1.75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35</v>
      </c>
      <c r="F22" s="33">
        <v>12500</v>
      </c>
      <c r="G22" s="34">
        <v>142.75</v>
      </c>
      <c r="H22" s="34">
        <v>1.68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19</v>
      </c>
      <c r="F23" s="33">
        <v>150000</v>
      </c>
      <c r="G23" s="34">
        <v>135.15</v>
      </c>
      <c r="H23" s="34">
        <v>1.59</v>
      </c>
      <c r="I23" s="35"/>
      <c r="J23" s="35"/>
      <c r="K23" s="36"/>
    </row>
    <row r="24" spans="2:11" x14ac:dyDescent="0.3">
      <c r="B24" s="1" t="s">
        <v>60</v>
      </c>
      <c r="C24" s="21" t="s">
        <v>61</v>
      </c>
      <c r="D24" s="31" t="s">
        <v>62</v>
      </c>
      <c r="E24" s="32" t="s">
        <v>19</v>
      </c>
      <c r="F24" s="33">
        <v>45000</v>
      </c>
      <c r="G24" s="34">
        <v>131.65</v>
      </c>
      <c r="H24" s="34">
        <v>1.55</v>
      </c>
      <c r="I24" s="35"/>
      <c r="J24" s="35"/>
      <c r="K24" s="36"/>
    </row>
    <row r="25" spans="2:11" x14ac:dyDescent="0.3">
      <c r="B25" s="1" t="s">
        <v>63</v>
      </c>
      <c r="C25" s="21" t="s">
        <v>64</v>
      </c>
      <c r="D25" s="31" t="s">
        <v>65</v>
      </c>
      <c r="E25" s="32" t="s">
        <v>66</v>
      </c>
      <c r="F25" s="33">
        <v>9500</v>
      </c>
      <c r="G25" s="34">
        <v>127.72</v>
      </c>
      <c r="H25" s="34">
        <v>1.5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66</v>
      </c>
      <c r="F26" s="33">
        <v>9500</v>
      </c>
      <c r="G26" s="34">
        <v>124.16</v>
      </c>
      <c r="H26" s="34">
        <v>1.46</v>
      </c>
      <c r="I26" s="35"/>
      <c r="J26" s="35"/>
      <c r="K26" s="36"/>
    </row>
    <row r="27" spans="2:11" x14ac:dyDescent="0.3">
      <c r="B27" s="1" t="s">
        <v>70</v>
      </c>
      <c r="C27" s="21" t="s">
        <v>71</v>
      </c>
      <c r="D27" s="31" t="s">
        <v>72</v>
      </c>
      <c r="E27" s="32" t="s">
        <v>35</v>
      </c>
      <c r="F27" s="33">
        <v>21500</v>
      </c>
      <c r="G27" s="34">
        <v>121.99</v>
      </c>
      <c r="H27" s="34">
        <v>1.44</v>
      </c>
      <c r="I27" s="35"/>
      <c r="J27" s="35"/>
      <c r="K27" s="36"/>
    </row>
    <row r="28" spans="2:11" x14ac:dyDescent="0.3">
      <c r="B28" s="1" t="s">
        <v>73</v>
      </c>
      <c r="C28" s="21" t="s">
        <v>74</v>
      </c>
      <c r="D28" s="31" t="s">
        <v>75</v>
      </c>
      <c r="E28" s="32" t="s">
        <v>66</v>
      </c>
      <c r="F28" s="33">
        <v>20000</v>
      </c>
      <c r="G28" s="34">
        <v>117.02</v>
      </c>
      <c r="H28" s="34">
        <v>1.38</v>
      </c>
      <c r="I28" s="35"/>
      <c r="J28" s="35"/>
      <c r="K28" s="36"/>
    </row>
    <row r="29" spans="2:11" x14ac:dyDescent="0.3">
      <c r="B29" s="1" t="s">
        <v>76</v>
      </c>
      <c r="C29" s="21" t="s">
        <v>77</v>
      </c>
      <c r="D29" s="31" t="s">
        <v>78</v>
      </c>
      <c r="E29" s="32" t="s">
        <v>66</v>
      </c>
      <c r="F29" s="33">
        <v>20000</v>
      </c>
      <c r="G29" s="34">
        <v>114.5</v>
      </c>
      <c r="H29" s="34">
        <v>1.35</v>
      </c>
      <c r="I29" s="35"/>
      <c r="J29" s="35"/>
      <c r="K29" s="36"/>
    </row>
    <row r="30" spans="2:11" x14ac:dyDescent="0.3">
      <c r="B30" s="1" t="s">
        <v>79</v>
      </c>
      <c r="C30" s="21" t="s">
        <v>80</v>
      </c>
      <c r="D30" s="31" t="s">
        <v>81</v>
      </c>
      <c r="E30" s="32" t="s">
        <v>35</v>
      </c>
      <c r="F30" s="33">
        <v>17080</v>
      </c>
      <c r="G30" s="34">
        <v>110.64</v>
      </c>
      <c r="H30" s="34">
        <v>1.3</v>
      </c>
      <c r="I30" s="35"/>
      <c r="J30" s="35"/>
      <c r="K30" s="36"/>
    </row>
    <row r="31" spans="2:11" x14ac:dyDescent="0.3">
      <c r="B31" s="1" t="s">
        <v>82</v>
      </c>
      <c r="C31" s="21" t="s">
        <v>83</v>
      </c>
      <c r="D31" s="31" t="s">
        <v>84</v>
      </c>
      <c r="E31" s="32" t="s">
        <v>35</v>
      </c>
      <c r="F31" s="33">
        <v>14000</v>
      </c>
      <c r="G31" s="34">
        <v>108.83</v>
      </c>
      <c r="H31" s="34">
        <v>1.28</v>
      </c>
      <c r="I31" s="35"/>
      <c r="J31" s="35"/>
      <c r="K31" s="36"/>
    </row>
    <row r="32" spans="2:11" x14ac:dyDescent="0.3">
      <c r="B32" s="1" t="s">
        <v>85</v>
      </c>
      <c r="C32" s="21" t="s">
        <v>86</v>
      </c>
      <c r="D32" s="31" t="s">
        <v>87</v>
      </c>
      <c r="E32" s="32" t="s">
        <v>35</v>
      </c>
      <c r="F32" s="33">
        <v>50000</v>
      </c>
      <c r="G32" s="34">
        <v>107.95</v>
      </c>
      <c r="H32" s="34">
        <v>1.27</v>
      </c>
      <c r="I32" s="35"/>
      <c r="J32" s="35"/>
      <c r="K32" s="36"/>
    </row>
    <row r="33" spans="2:11" x14ac:dyDescent="0.3">
      <c r="B33" s="1" t="s">
        <v>88</v>
      </c>
      <c r="C33" s="21" t="s">
        <v>89</v>
      </c>
      <c r="D33" s="31" t="s">
        <v>90</v>
      </c>
      <c r="E33" s="32" t="s">
        <v>19</v>
      </c>
      <c r="F33" s="33">
        <v>75000</v>
      </c>
      <c r="G33" s="34">
        <v>94.61</v>
      </c>
      <c r="H33" s="34">
        <v>1.1100000000000001</v>
      </c>
      <c r="I33" s="35"/>
      <c r="J33" s="35"/>
      <c r="K33" s="36"/>
    </row>
    <row r="34" spans="2:11" x14ac:dyDescent="0.3">
      <c r="B34" s="1" t="s">
        <v>91</v>
      </c>
      <c r="C34" s="21" t="s">
        <v>92</v>
      </c>
      <c r="D34" s="31" t="s">
        <v>93</v>
      </c>
      <c r="E34" s="32" t="s">
        <v>35</v>
      </c>
      <c r="F34" s="33">
        <v>9500</v>
      </c>
      <c r="G34" s="34">
        <v>89.52</v>
      </c>
      <c r="H34" s="34">
        <v>1.05</v>
      </c>
      <c r="I34" s="35"/>
      <c r="J34" s="35"/>
      <c r="K34" s="36"/>
    </row>
    <row r="35" spans="2:11" x14ac:dyDescent="0.3">
      <c r="B35" s="1" t="s">
        <v>94</v>
      </c>
      <c r="C35" s="21" t="s">
        <v>95</v>
      </c>
      <c r="D35" s="31" t="s">
        <v>96</v>
      </c>
      <c r="E35" s="32" t="s">
        <v>35</v>
      </c>
      <c r="F35" s="33">
        <v>5000</v>
      </c>
      <c r="G35" s="34">
        <v>86.76</v>
      </c>
      <c r="H35" s="34">
        <v>1.02</v>
      </c>
      <c r="I35" s="35"/>
      <c r="J35" s="35"/>
      <c r="K35" s="36"/>
    </row>
    <row r="36" spans="2:11" x14ac:dyDescent="0.3">
      <c r="B36" s="1" t="s">
        <v>97</v>
      </c>
      <c r="C36" s="21" t="s">
        <v>98</v>
      </c>
      <c r="D36" s="31" t="s">
        <v>99</v>
      </c>
      <c r="E36" s="32" t="s">
        <v>35</v>
      </c>
      <c r="F36" s="33">
        <v>10000</v>
      </c>
      <c r="G36" s="34">
        <v>84.72</v>
      </c>
      <c r="H36" s="34">
        <v>1</v>
      </c>
      <c r="I36" s="35"/>
      <c r="J36" s="35"/>
      <c r="K36" s="36"/>
    </row>
    <row r="37" spans="2:11" x14ac:dyDescent="0.3">
      <c r="B37" s="1" t="s">
        <v>100</v>
      </c>
      <c r="C37" s="21" t="s">
        <v>101</v>
      </c>
      <c r="D37" s="31" t="s">
        <v>102</v>
      </c>
      <c r="E37" s="32" t="s">
        <v>103</v>
      </c>
      <c r="F37" s="33">
        <v>10000</v>
      </c>
      <c r="G37" s="34">
        <v>78.510000000000005</v>
      </c>
      <c r="H37" s="34">
        <v>0.92</v>
      </c>
      <c r="I37" s="35"/>
      <c r="J37" s="35"/>
      <c r="K37" s="36"/>
    </row>
    <row r="38" spans="2:11" x14ac:dyDescent="0.3">
      <c r="B38" s="1" t="s">
        <v>104</v>
      </c>
      <c r="C38" s="21" t="s">
        <v>33</v>
      </c>
      <c r="D38" s="31" t="s">
        <v>105</v>
      </c>
      <c r="E38" s="32" t="s">
        <v>35</v>
      </c>
      <c r="F38" s="33">
        <v>9600</v>
      </c>
      <c r="G38" s="34">
        <v>61.2</v>
      </c>
      <c r="H38" s="34">
        <v>0.72</v>
      </c>
      <c r="I38" s="35"/>
      <c r="J38" s="35"/>
      <c r="K38" s="36" t="s">
        <v>106</v>
      </c>
    </row>
    <row r="39" spans="2:11" x14ac:dyDescent="0.3">
      <c r="C39" s="30" t="s">
        <v>107</v>
      </c>
      <c r="D39" s="31"/>
      <c r="E39" s="32"/>
      <c r="F39" s="33"/>
      <c r="G39" s="38">
        <v>8255.02</v>
      </c>
      <c r="H39" s="38">
        <v>97.18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108</v>
      </c>
      <c r="D41" s="31"/>
      <c r="E41" s="32"/>
      <c r="F41" s="33"/>
      <c r="G41" s="34" t="s">
        <v>109</v>
      </c>
      <c r="H41" s="34" t="s">
        <v>109</v>
      </c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110</v>
      </c>
      <c r="D43" s="31"/>
      <c r="E43" s="32"/>
      <c r="F43" s="33"/>
      <c r="G43" s="34" t="s">
        <v>109</v>
      </c>
      <c r="H43" s="34" t="s">
        <v>109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111</v>
      </c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112</v>
      </c>
      <c r="D47" s="31"/>
      <c r="E47" s="32"/>
      <c r="F47" s="33"/>
      <c r="G47" s="34" t="s">
        <v>109</v>
      </c>
      <c r="H47" s="34" t="s">
        <v>109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113</v>
      </c>
      <c r="D49" s="31"/>
      <c r="E49" s="32"/>
      <c r="F49" s="33"/>
      <c r="G49" s="34" t="s">
        <v>109</v>
      </c>
      <c r="H49" s="34" t="s">
        <v>109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114</v>
      </c>
      <c r="D51" s="31"/>
      <c r="E51" s="32"/>
      <c r="F51" s="33"/>
      <c r="G51" s="34" t="s">
        <v>109</v>
      </c>
      <c r="H51" s="34" t="s">
        <v>109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115</v>
      </c>
      <c r="D53" s="31"/>
      <c r="E53" s="32"/>
      <c r="F53" s="33"/>
      <c r="G53" s="34" t="s">
        <v>109</v>
      </c>
      <c r="H53" s="34" t="s">
        <v>109</v>
      </c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116</v>
      </c>
      <c r="D55" s="31"/>
      <c r="E55" s="32"/>
      <c r="F55" s="33"/>
      <c r="G55" s="34" t="s">
        <v>109</v>
      </c>
      <c r="H55" s="34" t="s">
        <v>109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A57" s="28"/>
      <c r="B57" s="29"/>
      <c r="C57" s="30" t="s">
        <v>117</v>
      </c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9"/>
      <c r="B58" s="29"/>
      <c r="C58" s="30" t="s">
        <v>118</v>
      </c>
      <c r="D58" s="31"/>
      <c r="E58" s="32"/>
      <c r="F58" s="33"/>
      <c r="G58" s="34" t="s">
        <v>109</v>
      </c>
      <c r="H58" s="34" t="s">
        <v>109</v>
      </c>
      <c r="I58" s="35"/>
      <c r="J58" s="35"/>
      <c r="K58" s="36"/>
    </row>
    <row r="59" spans="1:11" x14ac:dyDescent="0.3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A60" s="29"/>
      <c r="B60" s="29"/>
      <c r="C60" s="30" t="s">
        <v>119</v>
      </c>
      <c r="D60" s="31"/>
      <c r="E60" s="32"/>
      <c r="F60" s="33"/>
      <c r="G60" s="34" t="s">
        <v>109</v>
      </c>
      <c r="H60" s="34" t="s">
        <v>109</v>
      </c>
      <c r="I60" s="35"/>
      <c r="J60" s="35"/>
      <c r="K60" s="36"/>
    </row>
    <row r="61" spans="1:11" x14ac:dyDescent="0.3">
      <c r="A61" s="29"/>
      <c r="B61" s="29"/>
      <c r="C61" s="30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C62" s="37" t="s">
        <v>120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B63" s="1" t="s">
        <v>121</v>
      </c>
      <c r="C63" s="21" t="s">
        <v>122</v>
      </c>
      <c r="D63" s="31" t="s">
        <v>123</v>
      </c>
      <c r="E63" s="32" t="s">
        <v>124</v>
      </c>
      <c r="F63" s="33">
        <v>50000</v>
      </c>
      <c r="G63" s="34">
        <v>49.44</v>
      </c>
      <c r="H63" s="34">
        <v>0.57999999999999996</v>
      </c>
      <c r="I63" s="35">
        <v>6.7350000000000003</v>
      </c>
      <c r="J63" s="35"/>
      <c r="K63" s="36"/>
    </row>
    <row r="64" spans="1:11" x14ac:dyDescent="0.3">
      <c r="C64" s="30" t="s">
        <v>107</v>
      </c>
      <c r="D64" s="31"/>
      <c r="E64" s="32"/>
      <c r="F64" s="33"/>
      <c r="G64" s="38">
        <v>49.44</v>
      </c>
      <c r="H64" s="38">
        <v>0.57999999999999996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125</v>
      </c>
      <c r="D66" s="31"/>
      <c r="E66" s="32"/>
      <c r="F66" s="33"/>
      <c r="G66" s="34" t="s">
        <v>109</v>
      </c>
      <c r="H66" s="34" t="s">
        <v>109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8"/>
      <c r="B68" s="29"/>
      <c r="C68" s="30" t="s">
        <v>126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127</v>
      </c>
      <c r="D69" s="31"/>
      <c r="E69" s="32"/>
      <c r="F69" s="33"/>
      <c r="G69" s="34" t="s">
        <v>109</v>
      </c>
      <c r="H69" s="34" t="s">
        <v>109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128</v>
      </c>
      <c r="D71" s="31"/>
      <c r="E71" s="32"/>
      <c r="F71" s="33"/>
      <c r="G71" s="34" t="s">
        <v>109</v>
      </c>
      <c r="H71" s="34" t="s">
        <v>109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129</v>
      </c>
      <c r="D73" s="31"/>
      <c r="E73" s="32"/>
      <c r="F73" s="33"/>
      <c r="G73" s="34" t="s">
        <v>109</v>
      </c>
      <c r="H73" s="34" t="s">
        <v>109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130</v>
      </c>
      <c r="D75" s="31"/>
      <c r="E75" s="32"/>
      <c r="F75" s="33"/>
      <c r="G75" s="34" t="s">
        <v>109</v>
      </c>
      <c r="H75" s="34" t="s">
        <v>109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7" t="s">
        <v>131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B78" s="1" t="s">
        <v>132</v>
      </c>
      <c r="C78" s="21" t="s">
        <v>133</v>
      </c>
      <c r="D78" s="31"/>
      <c r="E78" s="32"/>
      <c r="F78" s="33"/>
      <c r="G78" s="34">
        <v>152.32</v>
      </c>
      <c r="H78" s="34">
        <v>1.79</v>
      </c>
      <c r="I78" s="35">
        <v>6.78</v>
      </c>
      <c r="J78" s="35"/>
      <c r="K78" s="36"/>
    </row>
    <row r="79" spans="1:11" x14ac:dyDescent="0.3">
      <c r="C79" s="30" t="s">
        <v>107</v>
      </c>
      <c r="D79" s="31"/>
      <c r="E79" s="32"/>
      <c r="F79" s="33"/>
      <c r="G79" s="38">
        <v>152.32</v>
      </c>
      <c r="H79" s="38">
        <v>1.79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8"/>
      <c r="B81" s="29"/>
      <c r="C81" s="30" t="s">
        <v>134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B82" s="1"/>
      <c r="C82" s="21" t="s">
        <v>135</v>
      </c>
      <c r="D82" s="31"/>
      <c r="E82" s="32"/>
      <c r="F82" s="33"/>
      <c r="G82" s="34">
        <v>36.93</v>
      </c>
      <c r="H82" s="34">
        <v>0.45</v>
      </c>
      <c r="I82" s="35"/>
      <c r="J82" s="35"/>
      <c r="K82" s="36"/>
    </row>
    <row r="83" spans="1:11" x14ac:dyDescent="0.3">
      <c r="C83" s="30" t="s">
        <v>107</v>
      </c>
      <c r="D83" s="31"/>
      <c r="E83" s="32"/>
      <c r="F83" s="33"/>
      <c r="G83" s="38">
        <v>36.93</v>
      </c>
      <c r="H83" s="38">
        <v>0.45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ht="14.4" thickBot="1" x14ac:dyDescent="0.35">
      <c r="C85" s="39" t="s">
        <v>136</v>
      </c>
      <c r="D85" s="40"/>
      <c r="E85" s="41"/>
      <c r="F85" s="42"/>
      <c r="G85" s="43">
        <v>8493.7099999999991</v>
      </c>
      <c r="H85" s="43">
        <f>SUMIFS(H:H,C:C,"Total")</f>
        <v>100.00000000000001</v>
      </c>
      <c r="I85" s="44"/>
      <c r="J85" s="44"/>
      <c r="K85" s="45"/>
    </row>
    <row r="87" spans="1:11" x14ac:dyDescent="0.3">
      <c r="C87" s="46" t="s">
        <v>137</v>
      </c>
      <c r="D87" s="47"/>
      <c r="E87" s="47"/>
      <c r="F87" s="47"/>
      <c r="G87" s="48"/>
      <c r="H87" s="48"/>
      <c r="I87" s="49"/>
    </row>
    <row r="88" spans="1:11" x14ac:dyDescent="0.3">
      <c r="C88" s="46"/>
      <c r="D88" s="47"/>
      <c r="E88" s="47"/>
      <c r="F88" s="47"/>
      <c r="G88" s="48"/>
      <c r="H88" s="48"/>
      <c r="I88" s="49"/>
    </row>
    <row r="89" spans="1:11" x14ac:dyDescent="0.3">
      <c r="C89" s="50" t="s">
        <v>138</v>
      </c>
      <c r="D89" s="50" t="s">
        <v>139</v>
      </c>
      <c r="E89" s="51" t="s">
        <v>140</v>
      </c>
      <c r="F89" s="52" t="s">
        <v>141</v>
      </c>
      <c r="G89" s="52" t="s">
        <v>142</v>
      </c>
      <c r="H89" s="52" t="s">
        <v>143</v>
      </c>
      <c r="I89" s="49"/>
    </row>
    <row r="90" spans="1:11" x14ac:dyDescent="0.3">
      <c r="C90" s="72" t="s">
        <v>144</v>
      </c>
      <c r="D90" s="73"/>
      <c r="E90" s="73"/>
      <c r="F90" s="73"/>
      <c r="G90" s="73"/>
      <c r="H90" s="74"/>
      <c r="I90" s="49"/>
    </row>
    <row r="91" spans="1:11" x14ac:dyDescent="0.3">
      <c r="C91" s="46"/>
      <c r="D91" s="47"/>
      <c r="E91" s="47"/>
      <c r="F91" s="47"/>
      <c r="G91" s="48"/>
      <c r="H91" s="48"/>
      <c r="I91" s="49"/>
    </row>
    <row r="92" spans="1:11" x14ac:dyDescent="0.3">
      <c r="C92" s="47" t="s">
        <v>145</v>
      </c>
      <c r="D92" s="47"/>
      <c r="E92" s="47"/>
      <c r="F92" s="53"/>
      <c r="G92" s="48"/>
      <c r="H92" s="48"/>
      <c r="I92" s="49"/>
    </row>
    <row r="93" spans="1:11" x14ac:dyDescent="0.3">
      <c r="C93" s="54"/>
      <c r="D93" s="47"/>
      <c r="E93" s="47"/>
      <c r="F93" s="53"/>
      <c r="G93" s="48"/>
      <c r="H93" s="48"/>
      <c r="I93" s="49"/>
    </row>
    <row r="94" spans="1:11" x14ac:dyDescent="0.3">
      <c r="C94" s="46" t="s">
        <v>146</v>
      </c>
      <c r="D94" s="47"/>
      <c r="E94" s="47"/>
      <c r="F94" s="53"/>
      <c r="G94" s="48"/>
      <c r="H94" s="48"/>
      <c r="I94" s="49"/>
    </row>
    <row r="95" spans="1:11" x14ac:dyDescent="0.3">
      <c r="C95" s="55" t="s">
        <v>147</v>
      </c>
      <c r="D95" s="47"/>
      <c r="E95" s="47"/>
      <c r="F95" s="53"/>
      <c r="G95" s="48"/>
      <c r="H95" s="48"/>
      <c r="I95" s="49"/>
    </row>
    <row r="96" spans="1:11" x14ac:dyDescent="0.3">
      <c r="C96" s="55" t="s">
        <v>148</v>
      </c>
      <c r="D96" s="47"/>
      <c r="E96" s="47"/>
      <c r="F96" s="53"/>
      <c r="G96" s="48"/>
      <c r="H96" s="48"/>
      <c r="I96" s="49"/>
    </row>
    <row r="97" spans="3:9" x14ac:dyDescent="0.3">
      <c r="C97" s="55" t="s">
        <v>149</v>
      </c>
      <c r="D97" s="53"/>
      <c r="E97" s="47"/>
      <c r="F97" s="53"/>
      <c r="G97" s="48"/>
      <c r="H97" s="48"/>
      <c r="I97" s="49"/>
    </row>
    <row r="98" spans="3:9" x14ac:dyDescent="0.3">
      <c r="C98" s="55" t="s">
        <v>150</v>
      </c>
      <c r="D98" s="53"/>
      <c r="E98" s="53"/>
      <c r="F98" s="53"/>
      <c r="G98" s="48"/>
      <c r="H98" s="48"/>
      <c r="I98" s="49"/>
    </row>
    <row r="99" spans="3:9" x14ac:dyDescent="0.3">
      <c r="C99" s="56" t="s">
        <v>151</v>
      </c>
      <c r="D99" s="53"/>
      <c r="E99" s="57"/>
      <c r="F99" s="53"/>
      <c r="G99" s="48"/>
      <c r="H99" s="48"/>
      <c r="I99" s="49"/>
    </row>
    <row r="100" spans="3:9" x14ac:dyDescent="0.3">
      <c r="C100" s="54"/>
      <c r="D100" s="47"/>
      <c r="E100" s="47"/>
      <c r="F100" s="53"/>
      <c r="G100" s="48"/>
      <c r="H100" s="48"/>
      <c r="I100" s="49"/>
    </row>
    <row r="101" spans="3:9" x14ac:dyDescent="0.3">
      <c r="C101" s="54"/>
      <c r="D101" s="47"/>
      <c r="E101" s="47"/>
      <c r="F101" s="53"/>
      <c r="G101" s="48"/>
      <c r="H101" s="48"/>
      <c r="I101" s="49"/>
    </row>
    <row r="102" spans="3:9" x14ac:dyDescent="0.3">
      <c r="C102" s="46" t="s">
        <v>152</v>
      </c>
      <c r="D102" s="55"/>
      <c r="E102" s="55"/>
      <c r="F102" s="55"/>
      <c r="G102" s="55"/>
      <c r="H102" s="58"/>
      <c r="I102" s="49"/>
    </row>
    <row r="103" spans="3:9" x14ac:dyDescent="0.3">
      <c r="C103" s="50" t="s">
        <v>138</v>
      </c>
      <c r="D103" s="50" t="s">
        <v>139</v>
      </c>
      <c r="E103" s="52" t="s">
        <v>153</v>
      </c>
      <c r="F103" s="52" t="s">
        <v>141</v>
      </c>
      <c r="G103" s="52" t="s">
        <v>142</v>
      </c>
      <c r="H103" s="52" t="s">
        <v>143</v>
      </c>
      <c r="I103" s="49"/>
    </row>
    <row r="104" spans="3:9" x14ac:dyDescent="0.3">
      <c r="C104" s="72" t="s">
        <v>144</v>
      </c>
      <c r="D104" s="73"/>
      <c r="E104" s="73"/>
      <c r="F104" s="73"/>
      <c r="G104" s="73"/>
      <c r="H104" s="74"/>
      <c r="I104" s="49"/>
    </row>
    <row r="105" spans="3:9" x14ac:dyDescent="0.3">
      <c r="C105" s="59"/>
      <c r="D105" s="59"/>
      <c r="E105" s="59"/>
      <c r="F105" s="59"/>
      <c r="G105" s="59"/>
      <c r="H105" s="59"/>
      <c r="I105" s="49"/>
    </row>
    <row r="106" spans="3:9" x14ac:dyDescent="0.3">
      <c r="C106" s="55" t="s">
        <v>154</v>
      </c>
      <c r="D106" s="59"/>
      <c r="E106" s="59"/>
      <c r="F106" s="59"/>
      <c r="G106" s="59"/>
      <c r="H106" s="59"/>
      <c r="I106" s="49"/>
    </row>
    <row r="107" spans="3:9" x14ac:dyDescent="0.3">
      <c r="C107" s="59"/>
      <c r="D107" s="59"/>
      <c r="E107" s="59"/>
      <c r="F107" s="59"/>
      <c r="G107" s="59"/>
      <c r="H107" s="59"/>
      <c r="I107" s="49"/>
    </row>
    <row r="108" spans="3:9" x14ac:dyDescent="0.3">
      <c r="C108" s="46" t="s">
        <v>155</v>
      </c>
      <c r="D108" s="59"/>
      <c r="E108" s="59"/>
      <c r="F108" s="59"/>
      <c r="G108" s="59"/>
      <c r="H108" s="59"/>
      <c r="I108" s="49"/>
    </row>
    <row r="109" spans="3:9" x14ac:dyDescent="0.3">
      <c r="C109" s="55" t="s">
        <v>147</v>
      </c>
      <c r="D109" s="59"/>
      <c r="E109" s="59"/>
      <c r="F109" s="59"/>
      <c r="G109" s="59"/>
      <c r="H109" s="59"/>
      <c r="I109" s="49"/>
    </row>
    <row r="110" spans="3:9" x14ac:dyDescent="0.3">
      <c r="C110" s="55" t="s">
        <v>156</v>
      </c>
      <c r="D110" s="59"/>
      <c r="E110" s="59"/>
      <c r="F110" s="59"/>
      <c r="G110" s="59"/>
      <c r="H110" s="59"/>
      <c r="I110" s="49"/>
    </row>
    <row r="111" spans="3:9" x14ac:dyDescent="0.3">
      <c r="C111" s="55" t="s">
        <v>149</v>
      </c>
      <c r="D111" s="60"/>
      <c r="E111" s="61"/>
      <c r="F111" s="59"/>
      <c r="G111" s="59"/>
      <c r="H111" s="59"/>
      <c r="I111" s="49"/>
    </row>
    <row r="112" spans="3:9" x14ac:dyDescent="0.3">
      <c r="C112" s="55" t="s">
        <v>157</v>
      </c>
      <c r="D112" s="60"/>
      <c r="E112" s="59"/>
      <c r="F112" s="59"/>
      <c r="G112" s="59"/>
      <c r="H112" s="59"/>
      <c r="I112" s="49"/>
    </row>
    <row r="113" spans="3:55" x14ac:dyDescent="0.3">
      <c r="C113" s="56" t="s">
        <v>158</v>
      </c>
      <c r="D113" s="60"/>
      <c r="E113" s="57"/>
      <c r="F113" s="57"/>
      <c r="G113" s="59"/>
      <c r="H113" s="59"/>
      <c r="I113" s="49"/>
    </row>
    <row r="114" spans="3:55" x14ac:dyDescent="0.3">
      <c r="C114" s="59"/>
      <c r="D114" s="59"/>
      <c r="E114" s="59"/>
      <c r="F114" s="59"/>
      <c r="G114" s="59"/>
      <c r="H114" s="59"/>
      <c r="I114" s="49"/>
    </row>
    <row r="115" spans="3:55" x14ac:dyDescent="0.3">
      <c r="C115" s="47"/>
      <c r="D115" s="57"/>
      <c r="E115" s="57"/>
      <c r="F115" s="57"/>
      <c r="G115" s="48"/>
      <c r="H115" s="48"/>
      <c r="I115" s="49"/>
    </row>
    <row r="116" spans="3:55" x14ac:dyDescent="0.3">
      <c r="C116" s="62" t="s">
        <v>159</v>
      </c>
      <c r="D116" s="57"/>
      <c r="E116" s="57"/>
      <c r="F116" s="47"/>
      <c r="G116" s="48"/>
      <c r="H116" s="48"/>
      <c r="I116" s="49"/>
    </row>
    <row r="118" spans="3:55" x14ac:dyDescent="0.3">
      <c r="C118" s="11" t="s">
        <v>160</v>
      </c>
    </row>
    <row r="119" spans="3:55" x14ac:dyDescent="0.3">
      <c r="C119" s="2" t="s">
        <v>161</v>
      </c>
    </row>
    <row r="120" spans="3:55" x14ac:dyDescent="0.3">
      <c r="C120" s="63" t="s">
        <v>162</v>
      </c>
    </row>
    <row r="121" spans="3:55" x14ac:dyDescent="0.3">
      <c r="C121" s="2" t="s">
        <v>163</v>
      </c>
    </row>
    <row r="122" spans="3:55" x14ac:dyDescent="0.3">
      <c r="C122" s="2" t="s">
        <v>164</v>
      </c>
    </row>
    <row r="123" spans="3:55" x14ac:dyDescent="0.3">
      <c r="C123" s="2" t="s">
        <v>165</v>
      </c>
      <c r="D123" s="49"/>
      <c r="E123" s="49"/>
      <c r="F123" s="49"/>
      <c r="G123" s="64"/>
      <c r="H123" s="64"/>
    </row>
    <row r="124" spans="3:55" x14ac:dyDescent="0.3">
      <c r="C124" s="2" t="s">
        <v>166</v>
      </c>
    </row>
    <row r="125" spans="3:55" x14ac:dyDescent="0.3">
      <c r="C125" s="2" t="s">
        <v>167</v>
      </c>
    </row>
    <row r="126" spans="3:55" x14ac:dyDescent="0.3">
      <c r="C126" s="2" t="s">
        <v>168</v>
      </c>
    </row>
    <row r="127" spans="3:55" x14ac:dyDescent="0.3">
      <c r="C127" s="2" t="s">
        <v>169</v>
      </c>
    </row>
    <row r="128" spans="3:55" s="11" customFormat="1" x14ac:dyDescent="0.3">
      <c r="C128" s="11" t="s">
        <v>170</v>
      </c>
      <c r="E128" s="11" t="s">
        <v>171</v>
      </c>
      <c r="F128" s="65" t="s">
        <v>172</v>
      </c>
      <c r="G128" s="66"/>
      <c r="H128" s="66"/>
      <c r="I128" s="66"/>
      <c r="J128" s="66"/>
      <c r="K128" s="67"/>
      <c r="L128" s="67"/>
      <c r="M128" s="67"/>
      <c r="AJ128" s="67"/>
      <c r="AW128" s="67"/>
      <c r="AY128" s="67"/>
      <c r="BC128" s="67"/>
    </row>
    <row r="129" spans="3:6" x14ac:dyDescent="0.3">
      <c r="C129" s="2" t="s">
        <v>173</v>
      </c>
      <c r="E129" s="68">
        <v>17.4377</v>
      </c>
      <c r="F129" s="69">
        <v>18.023900000000001</v>
      </c>
    </row>
    <row r="130" spans="3:6" x14ac:dyDescent="0.3">
      <c r="C130" s="2" t="s">
        <v>174</v>
      </c>
      <c r="E130" s="68">
        <v>32.337699999999998</v>
      </c>
      <c r="F130" s="69">
        <v>33.424799999999998</v>
      </c>
    </row>
    <row r="131" spans="3:6" x14ac:dyDescent="0.3">
      <c r="C131" s="2" t="s">
        <v>175</v>
      </c>
      <c r="E131" s="68">
        <v>19.3614</v>
      </c>
      <c r="F131" s="69">
        <v>20.029299999999999</v>
      </c>
    </row>
    <row r="132" spans="3:6" x14ac:dyDescent="0.3">
      <c r="C132" s="2" t="s">
        <v>176</v>
      </c>
      <c r="E132" s="68">
        <v>35.142800000000001</v>
      </c>
      <c r="F132" s="69">
        <v>36.355200000000004</v>
      </c>
    </row>
    <row r="134" spans="3:6" x14ac:dyDescent="0.3">
      <c r="C134" s="2" t="s">
        <v>177</v>
      </c>
    </row>
    <row r="136" spans="3:6" x14ac:dyDescent="0.3">
      <c r="C136" s="2" t="s">
        <v>178</v>
      </c>
    </row>
    <row r="137" spans="3:6" x14ac:dyDescent="0.3">
      <c r="C137" s="2" t="s">
        <v>179</v>
      </c>
    </row>
    <row r="138" spans="3:6" x14ac:dyDescent="0.3">
      <c r="C138" s="2" t="s">
        <v>180</v>
      </c>
    </row>
    <row r="139" spans="3:6" x14ac:dyDescent="0.3">
      <c r="C139" s="2" t="s">
        <v>181</v>
      </c>
    </row>
    <row r="140" spans="3:6" x14ac:dyDescent="0.3">
      <c r="C140" s="2" t="s">
        <v>182</v>
      </c>
    </row>
    <row r="141" spans="3:6" x14ac:dyDescent="0.3">
      <c r="C141" s="2" t="s">
        <v>183</v>
      </c>
    </row>
    <row r="142" spans="3:6" x14ac:dyDescent="0.3">
      <c r="C142" s="2" t="s">
        <v>184</v>
      </c>
    </row>
    <row r="143" spans="3:6" x14ac:dyDescent="0.3">
      <c r="C143" s="2" t="s">
        <v>185</v>
      </c>
    </row>
    <row r="144" spans="3:6" x14ac:dyDescent="0.3">
      <c r="C144" s="2" t="s">
        <v>186</v>
      </c>
    </row>
    <row r="145" spans="3:11" x14ac:dyDescent="0.3">
      <c r="C145" s="2" t="s">
        <v>187</v>
      </c>
    </row>
    <row r="146" spans="3:11" x14ac:dyDescent="0.3">
      <c r="C146" s="2" t="s">
        <v>188</v>
      </c>
    </row>
    <row r="147" spans="3:11" x14ac:dyDescent="0.3">
      <c r="C147" s="2" t="s">
        <v>189</v>
      </c>
    </row>
    <row r="148" spans="3:11" ht="14.4" x14ac:dyDescent="0.3">
      <c r="C148" s="70"/>
      <c r="D148" s="70"/>
      <c r="E148" s="71"/>
      <c r="F148" s="71"/>
      <c r="G148" s="71"/>
      <c r="H148" s="71"/>
      <c r="I148" s="71"/>
      <c r="J148" s="71"/>
      <c r="K148" s="71"/>
    </row>
  </sheetData>
  <mergeCells count="2">
    <mergeCell ref="C90:H90"/>
    <mergeCell ref="C104:H10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BS</vt:lpstr>
      <vt:lpstr>XDO_?CLASS_3?23?</vt:lpstr>
      <vt:lpstr>XDO_?FINAL_ISIN?108?</vt:lpstr>
      <vt:lpstr>XDO_?FINAL_ISIN?109?</vt:lpstr>
      <vt:lpstr>XDO_?FINAL_ISIN?110?</vt:lpstr>
      <vt:lpstr>XDO_?FINAL_ISIN?111?</vt:lpstr>
      <vt:lpstr>XDO_?FINAL_MV?108?</vt:lpstr>
      <vt:lpstr>XDO_?FINAL_MV?109?</vt:lpstr>
      <vt:lpstr>XDO_?FINAL_MV?110?</vt:lpstr>
      <vt:lpstr>XDO_?FINAL_MV?111?</vt:lpstr>
      <vt:lpstr>XDO_?FINAL_NAME?108?</vt:lpstr>
      <vt:lpstr>XDO_?FINAL_NAME?109?</vt:lpstr>
      <vt:lpstr>XDO_?FINAL_NAME?110?</vt:lpstr>
      <vt:lpstr>XDO_?FINAL_NAME?111?</vt:lpstr>
      <vt:lpstr>XDO_?FINAL_PER_NET?108?</vt:lpstr>
      <vt:lpstr>XDO_?FINAL_PER_NET?109?</vt:lpstr>
      <vt:lpstr>XDO_?FINAL_PER_NET?110?</vt:lpstr>
      <vt:lpstr>XDO_?FINAL_PER_NET?111?</vt:lpstr>
      <vt:lpstr>XDO_?FINAL_QUANTITE?108?</vt:lpstr>
      <vt:lpstr>XDO_?FINAL_QUANTITE?109?</vt:lpstr>
      <vt:lpstr>XDO_?FINAL_QUANTITE?110?</vt:lpstr>
      <vt:lpstr>XDO_?FINAL_QUANTITE?111?</vt:lpstr>
      <vt:lpstr>XDO_?NAMCNAME?23?</vt:lpstr>
      <vt:lpstr>XDO_?NOVAL?108?</vt:lpstr>
      <vt:lpstr>XDO_?NOVAL?109?</vt:lpstr>
      <vt:lpstr>XDO_?NOVAL?110?</vt:lpstr>
      <vt:lpstr>XDO_?NOVAL?111?</vt:lpstr>
      <vt:lpstr>XDO_?NPTF?23?</vt:lpstr>
      <vt:lpstr>XDO_?RATING?108?</vt:lpstr>
      <vt:lpstr>XDO_?RATING?109?</vt:lpstr>
      <vt:lpstr>XDO_?RATING?110?</vt:lpstr>
      <vt:lpstr>XDO_?RATING?111?</vt:lpstr>
      <vt:lpstr>XDO_?REMARKS?108?</vt:lpstr>
      <vt:lpstr>XDO_?REMARKS?109?</vt:lpstr>
      <vt:lpstr>XDO_?REMARKS?110?</vt:lpstr>
      <vt:lpstr>XDO_?REMARKS?111?</vt:lpstr>
      <vt:lpstr>XDO_?TITL?23?</vt:lpstr>
      <vt:lpstr>XDO_?YTM?108?</vt:lpstr>
      <vt:lpstr>XDO_?YTM?109?</vt:lpstr>
      <vt:lpstr>XDO_?YTM?110?</vt:lpstr>
      <vt:lpstr>XDO_?YTM?111?</vt:lpstr>
      <vt:lpstr>XDO_GROUP_?G_2?23?</vt:lpstr>
      <vt:lpstr>XDO_GROUP_?G_3?23?</vt:lpstr>
      <vt:lpstr>XDO_GROUP_?G_4?108?</vt:lpstr>
      <vt:lpstr>XDO_GROUP_?G_4?109?</vt:lpstr>
      <vt:lpstr>XDO_GROUP_?G_4?110?</vt:lpstr>
      <vt:lpstr>XDO_GROUP_?G_4?111?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2023-07-07T05:40:57Z</dcterms:created>
  <dcterms:modified xsi:type="dcterms:W3CDTF">2023-07-07T12:26:21Z</dcterms:modified>
</cp:coreProperties>
</file>