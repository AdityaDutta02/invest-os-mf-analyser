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CC5ACEE8-6C99-4B80-88A3-9117DB54D843}" xr6:coauthVersionLast="47" xr6:coauthVersionMax="47" xr10:uidLastSave="{00000000-0000-0000-0000-000000000000}"/>
  <bookViews>
    <workbookView xWindow="-108" yWindow="-108" windowWidth="23256" windowHeight="12456" xr2:uid="{B04EBCCC-D7D8-4E7E-A147-9B333802FA4F}"/>
  </bookViews>
  <sheets>
    <sheet name="LW" sheetId="1" r:id="rId1"/>
  </sheets>
  <externalReferences>
    <externalReference r:id="rId2"/>
  </externalReferences>
  <definedNames>
    <definedName name="XDO_?CLASS_3?1?">LW!$C$16:$C$25</definedName>
    <definedName name="XDO_?FINAL_ISIN?1?">LW!$D$18:$D$25</definedName>
    <definedName name="XDO_?FINAL_ISIN?2?">LW!$D$18:$D$33</definedName>
    <definedName name="XDO_?FINAL_ISIN?3?">LW!$D$18:$D$37</definedName>
    <definedName name="XDO_?FINAL_ISIN?4?">LW!$D$18:$D$49</definedName>
    <definedName name="XDO_?FINAL_ISIN?5?">LW!$D$18:$D$60</definedName>
    <definedName name="XDO_?FINAL_ISIN?6?">LW!$D$18:$D$70</definedName>
    <definedName name="XDO_?FINAL_ISIN?7?">LW!$D$18:$D$74</definedName>
    <definedName name="XDO_?FINAL_MV?1?">LW!$G$18:$G$25</definedName>
    <definedName name="XDO_?FINAL_MV?2?">LW!$G$18:$G$33</definedName>
    <definedName name="XDO_?FINAL_MV?3?">LW!$G$18:$G$37</definedName>
    <definedName name="XDO_?FINAL_MV?4?">LW!$G$18:$G$49</definedName>
    <definedName name="XDO_?FINAL_MV?5?">LW!$G$18:$G$60</definedName>
    <definedName name="XDO_?FINAL_MV?6?">LW!$G$18:$G$70</definedName>
    <definedName name="XDO_?FINAL_MV?7?">LW!$G$18:$G$74</definedName>
    <definedName name="XDO_?FINAL_NAME?1?">LW!$C$18:$C$25</definedName>
    <definedName name="XDO_?FINAL_NAME?2?">LW!$C$18:$C$33</definedName>
    <definedName name="XDO_?FINAL_NAME?3?">LW!$C$18:$C$37</definedName>
    <definedName name="XDO_?FINAL_NAME?4?">LW!$C$18:$C$49</definedName>
    <definedName name="XDO_?FINAL_NAME?5?">LW!$C$18:$C$60</definedName>
    <definedName name="XDO_?FINAL_NAME?6?">LW!$C$18:$C$70</definedName>
    <definedName name="XDO_?FINAL_NAME?7?">LW!$C$18:$C$74</definedName>
    <definedName name="XDO_?FINAL_PER_NET?1?">LW!$H$18:$H$25</definedName>
    <definedName name="XDO_?FINAL_PER_NET?2?">LW!$H$18:$H$33</definedName>
    <definedName name="XDO_?FINAL_PER_NET?3?">LW!$H$18:$H$37</definedName>
    <definedName name="XDO_?FINAL_PER_NET?4?">LW!$H$18:$H$49</definedName>
    <definedName name="XDO_?FINAL_PER_NET?5?">LW!$H$18:$H$60</definedName>
    <definedName name="XDO_?FINAL_PER_NET?6?">LW!$H$18:$H$70</definedName>
    <definedName name="XDO_?FINAL_PER_NET?7?">LW!$H$18:$H$74</definedName>
    <definedName name="XDO_?FINAL_QUANTITE?1?">LW!$F$18:$F$25</definedName>
    <definedName name="XDO_?FINAL_QUANTITE?2?">LW!$F$18:$F$33</definedName>
    <definedName name="XDO_?FINAL_QUANTITE?3?">LW!$F$18:$F$37</definedName>
    <definedName name="XDO_?FINAL_QUANTITE?4?">LW!$F$18:$F$49</definedName>
    <definedName name="XDO_?FINAL_QUANTITE?5?">LW!$F$18:$F$60</definedName>
    <definedName name="XDO_?FINAL_QUANTITE?6?">LW!$F$18:$F$70</definedName>
    <definedName name="XDO_?FINAL_QUANTITE?7?">LW!$F$18:$F$74</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LW!$C$2:$C$25</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LW!$B$18:$B$25</definedName>
    <definedName name="XDO_?NOVAL?2?">LW!$B$18:$B$33</definedName>
    <definedName name="XDO_?NOVAL?3?">LW!$B$18:$B$37</definedName>
    <definedName name="XDO_?NOVAL?4?">LW!$B$18:$B$49</definedName>
    <definedName name="XDO_?NOVAL?5?">LW!$B$18:$B$60</definedName>
    <definedName name="XDO_?NOVAL?6?">LW!$B$18:$B$70</definedName>
    <definedName name="XDO_?NOVAL?7?">LW!$B$18:$B$74</definedName>
    <definedName name="XDO_?NPTF?1?">LW!$D$2:$D$25</definedName>
    <definedName name="XDO_?RATING?1?">LW!$E$18:$E$25</definedName>
    <definedName name="XDO_?RATING?2?">LW!$E$18:$E$33</definedName>
    <definedName name="XDO_?RATING?3?">LW!$E$18:$E$37</definedName>
    <definedName name="XDO_?RATING?4?">LW!$E$18:$E$49</definedName>
    <definedName name="XDO_?RATING?5?">LW!$E$18:$E$60</definedName>
    <definedName name="XDO_?RATING?6?">LW!$E$18:$E$70</definedName>
    <definedName name="XDO_?RATING?7?">LW!$E$18:$E$74</definedName>
    <definedName name="XDO_?REMARKS?1?">LW!$K$18:$K$25</definedName>
    <definedName name="XDO_?REMARKS?2?">LW!$K$18:$K$33</definedName>
    <definedName name="XDO_?REMARKS?3?">LW!$K$18:$K$37</definedName>
    <definedName name="XDO_?REMARKS?4?">LW!$K$18:$K$49</definedName>
    <definedName name="XDO_?REMARKS?5?">LW!$K$18:$K$60</definedName>
    <definedName name="XDO_?REMARKS?6?">LW!$K$18:$K$70</definedName>
    <definedName name="XDO_?REMARKS?7?">LW!$K$18:$K$74</definedName>
    <definedName name="XDO_?TITL?1?">LW!$A$16:$A$25</definedName>
    <definedName name="XDO_?YTM?1?">LW!$I$18:$I$25</definedName>
    <definedName name="XDO_?YTM?2?">LW!$I$18:$I$33</definedName>
    <definedName name="XDO_?YTM?3?">LW!$I$18:$I$37</definedName>
    <definedName name="XDO_?YTM?4?">LW!$I$18:$I$49</definedName>
    <definedName name="XDO_?YTM?5?">LW!$I$18:$I$60</definedName>
    <definedName name="XDO_?YTM?6?">LW!$I$18:$I$70</definedName>
    <definedName name="XDO_?YTM?7?">LW!$I$18:$I$74</definedName>
    <definedName name="XDO_GROUP_?G_2?1?">LW!$2:$48</definedName>
    <definedName name="XDO_GROUP_?G_3?1?">LW!$8:$47</definedName>
    <definedName name="XDO_GROUP_?G_4?1?">LW!$B$10:$IV$15</definedName>
    <definedName name="XDO_GROUP_?G_4?103?">[1]SC!#REF!</definedName>
    <definedName name="XDO_GROUP_?G_4?160?">[1]BM!#REF!</definedName>
    <definedName name="XDO_GROUP_?G_4?175?">[1]LM!#REF!</definedName>
    <definedName name="XDO_GROUP_?G_4?2?">LW!$B$17:$IV$17</definedName>
    <definedName name="XDO_GROUP_?G_4?23?">[1]N2!#REF!</definedName>
    <definedName name="XDO_GROUP_?G_4?3?">LW!$B$21:$IV$21</definedName>
    <definedName name="XDO_GROUP_?G_4?31?">[1]MC!#REF!</definedName>
    <definedName name="XDO_GROUP_?G_4?4?">LW!$B$26:$IV$31</definedName>
    <definedName name="XDO_GROUP_?G_4?41?">[1]TA!#REF!</definedName>
    <definedName name="XDO_GROUP_?G_4?5?">LW!$B$36:$IV$36</definedName>
    <definedName name="XDO_GROUP_?G_4?6?">LW!$B$40:$IV$40</definedName>
    <definedName name="XDO_GROUP_?G_4?7?">LW!$B$45:$IV$45</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7" i="1" l="1"/>
</calcChain>
</file>

<file path=xl/sharedStrings.xml><?xml version="1.0" encoding="utf-8"?>
<sst xmlns="http://schemas.openxmlformats.org/spreadsheetml/2006/main" count="218" uniqueCount="159">
  <si>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</si>
  <si>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</si>
  <si>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</si>
  <si>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</si>
  <si>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</si>
  <si>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</si>
  <si>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</si>
  <si>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</si>
  <si>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</si>
  <si>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</si>
  <si>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</si>
  <si>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</si>
  <si>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</si>
  <si>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</si>
  <si>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</si>
  <si>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</si>
  <si>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</si>
  <si>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</si>
  <si>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</si>
  <si>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</si>
  <si>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</si>
  <si>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702738</t>
  </si>
  <si>
    <t>5.35% National Housing Bank 12-Feb-2024</t>
  </si>
  <si>
    <t>INE557F08FL1</t>
  </si>
  <si>
    <t>CRISIL AAA</t>
  </si>
  <si>
    <t>N**</t>
  </si>
  <si>
    <t>704436</t>
  </si>
  <si>
    <t>9.00% Shriram Finance Ltd. 24-Jun-2024</t>
  </si>
  <si>
    <t>INE721A07RJ5</t>
  </si>
  <si>
    <t>CRISIL AA+</t>
  </si>
  <si>
    <t>702448</t>
  </si>
  <si>
    <t>7.40% Reliance Industries Ltd. 25-Apr-2025</t>
  </si>
  <si>
    <t>INE002A08617</t>
  </si>
  <si>
    <t>703784</t>
  </si>
  <si>
    <t>7.13% Power Finance Corporation Ltd. 08-Aug-2025</t>
  </si>
  <si>
    <t>INE134E08LO4</t>
  </si>
  <si>
    <t>703028</t>
  </si>
  <si>
    <t>6.25% Embassy Office Parks Reit 18-Oct-2024</t>
  </si>
  <si>
    <t>INE041007076</t>
  </si>
  <si>
    <t>703915</t>
  </si>
  <si>
    <t>8.50% JM Financial Products Ltd. 16-May-2025</t>
  </si>
  <si>
    <t>INE523H07BV9</t>
  </si>
  <si>
    <t>[ICRA]AA</t>
  </si>
  <si>
    <t>704352</t>
  </si>
  <si>
    <t>8.80% Piramal Capital &amp; Housing Finance Ltd. 30-Dec-2024</t>
  </si>
  <si>
    <t>INE516Y07477</t>
  </si>
  <si>
    <t>CARE AA</t>
  </si>
  <si>
    <t>702380</t>
  </si>
  <si>
    <t>6.39% Indian Oil Corporation Ltd. 06-Mar-2025</t>
  </si>
  <si>
    <t>INE242A08452</t>
  </si>
  <si>
    <t>Total</t>
  </si>
  <si>
    <t>b) Privately Placed/Unlisted</t>
  </si>
  <si>
    <t>c) Securitised Debt Instruments</t>
  </si>
  <si>
    <t>d) Central Government Securities</t>
  </si>
  <si>
    <t>900145</t>
  </si>
  <si>
    <t>5.22% Government of India 15-Jun-2025</t>
  </si>
  <si>
    <t>IN0020200112</t>
  </si>
  <si>
    <t>Sovereign</t>
  </si>
  <si>
    <t>e) State Government Securities</t>
  </si>
  <si>
    <t>1900796</t>
  </si>
  <si>
    <t>7.08% State Government of Karnataka 14-Dec-2026</t>
  </si>
  <si>
    <t>IN1920160059</t>
  </si>
  <si>
    <t>MONEY MARKET INSTRUMENTS</t>
  </si>
  <si>
    <t>a) Commercial Paper</t>
  </si>
  <si>
    <t>b) Certificate of Deposits</t>
  </si>
  <si>
    <t>1102280</t>
  </si>
  <si>
    <t>State Bank of India 17-May-2024</t>
  </si>
  <si>
    <t>INE062A16499</t>
  </si>
  <si>
    <t>IND A1+</t>
  </si>
  <si>
    <t>1102389</t>
  </si>
  <si>
    <t>Kotak Mahindra Bank Ltd. 27-Sep-2024</t>
  </si>
  <si>
    <t>INE237A168U0</t>
  </si>
  <si>
    <t>CRISIL A1+</t>
  </si>
  <si>
    <t>1102372</t>
  </si>
  <si>
    <t>HDFC Bank Ltd. 13-Sep-2024</t>
  </si>
  <si>
    <t>INE040A16DX2</t>
  </si>
  <si>
    <t>1102396</t>
  </si>
  <si>
    <t>ICICI Bank Ltd. 18-Sep-2024</t>
  </si>
  <si>
    <t>INE090AD6055</t>
  </si>
  <si>
    <t>[ICRA]A1+</t>
  </si>
  <si>
    <t>1102296</t>
  </si>
  <si>
    <t>Small Industries Development Bank of India 06-Jun-2024</t>
  </si>
  <si>
    <t>INE556F16AK9</t>
  </si>
  <si>
    <t>1102349</t>
  </si>
  <si>
    <t>Axis Bank Ltd. 19-Jun-2024</t>
  </si>
  <si>
    <t>INE238AD6454</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</si>
  <si>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</si>
  <si>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</si>
  <si>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</si>
  <si>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</si>
  <si>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</si>
  <si>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</si>
  <si>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</si>
  <si>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</si>
  <si>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</si>
  <si>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</si>
  <si>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</si>
  <si>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</si>
  <si>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</si>
  <si>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</si>
  <si>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</si>
  <si>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</si>
  <si>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</si>
  <si>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</si>
  <si>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</si>
  <si>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</si>
  <si>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</si>
  <si>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</si>
  <si>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</si>
  <si>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</si>
  <si>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</si>
  <si>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</si>
  <si>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</si>
  <si>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</si>
  <si>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</si>
  <si>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</si>
  <si>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</si>
  <si>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</si>
  <si>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</si>
  <si>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</si>
  <si>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</si>
  <si>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</si>
  <si>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</si>
  <si>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</si>
  <si>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</si>
  <si>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</si>
  <si>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</si>
  <si>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</si>
  <si>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</si>
  <si>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</si>
  <si>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</si>
  <si>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</si>
  <si>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</si>
  <si>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302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</si>
  <si>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</si>
  <si>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</si>
  <si>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</si>
  <si>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</si>
  <si>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</si>
  <si>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</si>
  <si>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</si>
  <si>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</si>
  <si>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</si>
  <si>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289 days.</t>
  </si>
  <si>
    <t>(18) Annualised Portfolio YTM has been 7.6836.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</si>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</sst>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0" xfId="0" applyFont="1"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FD519F79-BDAA-4CEE-8AE0-13095C79E2E3}"/>
    <cellStyle name="Hyperlink" xfId="2" builtinId="8"/>
    <cellStyle name="Normal" xfId="0" builtinId="0"/>
    <cellStyle name="Normal 2" xfId="4" xr:uid="{613AFF7B-63CE-4822-9F7C-C8FD2945B4C0}"/>
    <cellStyle name="Style 1" xfId="3" xr:uid="{067222C0-A886-4D63-83FD-2FA8B44EF2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5</xdr:col>
      <xdr:colOff>510540</xdr:colOff>
      <xdr:row>150</xdr:row>
      <xdr:rowOff>68580</xdr:rowOff>
    </xdr:to>
    <xdr:pic>
      <xdr:nvPicPr>
        <xdr:cNvPr id="2" name="Picture 2">
          <a:extLst>
            <a:ext uri="{FF2B5EF4-FFF2-40B4-BE49-F238E27FC236}">
              <a16:creationId xmlns:a16="http://schemas.microsoft.com/office/drawing/2014/main" id="{76CF4870-39F6-4EFA-9A17-A0F471F2B3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2905720"/>
          <a:ext cx="7459980" cy="3756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E0BF-6EFF-44EB-B75B-6140D5FBDF41}">
  <sheetPr codeName="Sheet12"/>
  <dimension ref="A1:BC161"/>
  <sheetViews>
    <sheetView showGridLines="0" tabSelected="1" zoomScale="90" zoomScaleNormal="90" workbookViewId="0">
      <pane ySplit="6" topLeftCell="A124" activePane="bottomLeft" state="frozen"/>
      <selection activeCell="I2" sqref="I2"/>
      <selection pane="bottomLeft" activeCell="I133" sqref="I13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130</v>
      </c>
      <c r="G18" s="32">
        <v>1294.18</v>
      </c>
      <c r="H18" s="32">
        <v>6.93</v>
      </c>
      <c r="I18" s="33">
        <v>7.3075999999999999</v>
      </c>
      <c r="J18" s="33"/>
      <c r="K18" s="34" t="s">
        <v>25</v>
      </c>
    </row>
    <row r="19" spans="2:11" x14ac:dyDescent="0.3">
      <c r="B19" s="1" t="s">
        <v>26</v>
      </c>
      <c r="C19" s="21" t="s">
        <v>27</v>
      </c>
      <c r="D19" s="29" t="s">
        <v>28</v>
      </c>
      <c r="E19" s="30" t="s">
        <v>29</v>
      </c>
      <c r="F19" s="31">
        <v>1000</v>
      </c>
      <c r="G19" s="32">
        <v>1001.86</v>
      </c>
      <c r="H19" s="32">
        <v>5.37</v>
      </c>
      <c r="I19" s="33">
        <v>8.6112000000000002</v>
      </c>
      <c r="J19" s="33"/>
      <c r="K19" s="34" t="s">
        <v>25</v>
      </c>
    </row>
    <row r="20" spans="2:11" x14ac:dyDescent="0.3">
      <c r="B20" s="1" t="s">
        <v>30</v>
      </c>
      <c r="C20" s="21" t="s">
        <v>31</v>
      </c>
      <c r="D20" s="29" t="s">
        <v>32</v>
      </c>
      <c r="E20" s="30" t="s">
        <v>24</v>
      </c>
      <c r="F20" s="31">
        <v>100</v>
      </c>
      <c r="G20" s="32">
        <v>994.74</v>
      </c>
      <c r="H20" s="32">
        <v>5.33</v>
      </c>
      <c r="I20" s="33">
        <v>7.76</v>
      </c>
      <c r="J20" s="33"/>
      <c r="K20" s="34" t="s">
        <v>25</v>
      </c>
    </row>
    <row r="21" spans="2:11" x14ac:dyDescent="0.3">
      <c r="B21" s="1" t="s">
        <v>33</v>
      </c>
      <c r="C21" s="21" t="s">
        <v>34</v>
      </c>
      <c r="D21" s="29" t="s">
        <v>35</v>
      </c>
      <c r="E21" s="30" t="s">
        <v>24</v>
      </c>
      <c r="F21" s="31">
        <v>100</v>
      </c>
      <c r="G21" s="32">
        <v>989.23</v>
      </c>
      <c r="H21" s="32">
        <v>5.3</v>
      </c>
      <c r="I21" s="33">
        <v>7.8</v>
      </c>
      <c r="J21" s="33"/>
      <c r="K21" s="34" t="s">
        <v>25</v>
      </c>
    </row>
    <row r="22" spans="2:11" x14ac:dyDescent="0.3">
      <c r="B22" s="1" t="s">
        <v>36</v>
      </c>
      <c r="C22" s="21" t="s">
        <v>37</v>
      </c>
      <c r="D22" s="29" t="s">
        <v>38</v>
      </c>
      <c r="E22" s="30" t="s">
        <v>24</v>
      </c>
      <c r="F22" s="31">
        <v>100</v>
      </c>
      <c r="G22" s="32">
        <v>985.89</v>
      </c>
      <c r="H22" s="32">
        <v>5.28</v>
      </c>
      <c r="I22" s="33">
        <v>8.51</v>
      </c>
      <c r="J22" s="33"/>
      <c r="K22" s="34" t="s">
        <v>25</v>
      </c>
    </row>
    <row r="23" spans="2:11" x14ac:dyDescent="0.3">
      <c r="B23" s="1" t="s">
        <v>39</v>
      </c>
      <c r="C23" s="21" t="s">
        <v>40</v>
      </c>
      <c r="D23" s="29" t="s">
        <v>41</v>
      </c>
      <c r="E23" s="30" t="s">
        <v>42</v>
      </c>
      <c r="F23" s="31">
        <v>70</v>
      </c>
      <c r="G23" s="32">
        <v>693.35</v>
      </c>
      <c r="H23" s="32">
        <v>3.71</v>
      </c>
      <c r="I23" s="33">
        <v>9.2799999999999994</v>
      </c>
      <c r="J23" s="33"/>
      <c r="K23" s="34" t="s">
        <v>25</v>
      </c>
    </row>
    <row r="24" spans="2:11" x14ac:dyDescent="0.3">
      <c r="B24" s="1" t="s">
        <v>43</v>
      </c>
      <c r="C24" s="21" t="s">
        <v>44</v>
      </c>
      <c r="D24" s="29" t="s">
        <v>45</v>
      </c>
      <c r="E24" s="30" t="s">
        <v>46</v>
      </c>
      <c r="F24" s="31">
        <v>500</v>
      </c>
      <c r="G24" s="32">
        <v>500.19</v>
      </c>
      <c r="H24" s="32">
        <v>2.68</v>
      </c>
      <c r="I24" s="33">
        <v>8.7586999999999993</v>
      </c>
      <c r="J24" s="33"/>
      <c r="K24" s="34" t="s">
        <v>25</v>
      </c>
    </row>
    <row r="25" spans="2:11" x14ac:dyDescent="0.3">
      <c r="B25" s="1" t="s">
        <v>47</v>
      </c>
      <c r="C25" s="21" t="s">
        <v>48</v>
      </c>
      <c r="D25" s="29" t="s">
        <v>49</v>
      </c>
      <c r="E25" s="30" t="s">
        <v>24</v>
      </c>
      <c r="F25" s="31">
        <v>50</v>
      </c>
      <c r="G25" s="32">
        <v>492.4</v>
      </c>
      <c r="H25" s="32">
        <v>2.64</v>
      </c>
      <c r="I25" s="33">
        <v>7.66</v>
      </c>
      <c r="J25" s="33"/>
      <c r="K25" s="34" t="s">
        <v>25</v>
      </c>
    </row>
    <row r="26" spans="2:11" x14ac:dyDescent="0.3">
      <c r="C26" s="28" t="s">
        <v>50</v>
      </c>
      <c r="D26" s="29"/>
      <c r="E26" s="30"/>
      <c r="F26" s="31"/>
      <c r="G26" s="38">
        <v>6951.84</v>
      </c>
      <c r="H26" s="38">
        <v>37.24</v>
      </c>
      <c r="I26" s="33"/>
      <c r="J26" s="33"/>
      <c r="K26" s="34"/>
    </row>
    <row r="27" spans="2:11" x14ac:dyDescent="0.3">
      <c r="C27" s="21"/>
      <c r="D27" s="29"/>
      <c r="E27" s="30"/>
      <c r="F27" s="31"/>
      <c r="G27" s="32"/>
      <c r="H27" s="32"/>
      <c r="I27" s="33"/>
      <c r="J27" s="33"/>
      <c r="K27" s="34"/>
    </row>
    <row r="28" spans="2:11" x14ac:dyDescent="0.3">
      <c r="C28" s="28" t="s">
        <v>51</v>
      </c>
      <c r="D28" s="29"/>
      <c r="E28" s="30"/>
      <c r="F28" s="31"/>
      <c r="G28" s="32" t="s">
        <v>16</v>
      </c>
      <c r="H28" s="32" t="s">
        <v>16</v>
      </c>
      <c r="I28" s="33"/>
      <c r="J28" s="33"/>
      <c r="K28" s="34"/>
    </row>
    <row r="29" spans="2:11" x14ac:dyDescent="0.3">
      <c r="C29" s="21"/>
      <c r="D29" s="29"/>
      <c r="E29" s="30"/>
      <c r="F29" s="31"/>
      <c r="G29" s="32"/>
      <c r="H29" s="32"/>
      <c r="I29" s="33"/>
      <c r="J29" s="33"/>
      <c r="K29" s="34"/>
    </row>
    <row r="30" spans="2:11" x14ac:dyDescent="0.3">
      <c r="C30" s="28" t="s">
        <v>52</v>
      </c>
      <c r="D30" s="29"/>
      <c r="E30" s="30"/>
      <c r="F30" s="31"/>
      <c r="G30" s="32" t="s">
        <v>16</v>
      </c>
      <c r="H30" s="32" t="s">
        <v>16</v>
      </c>
      <c r="I30" s="33"/>
      <c r="J30" s="33"/>
      <c r="K30" s="34"/>
    </row>
    <row r="31" spans="2:11" x14ac:dyDescent="0.3">
      <c r="C31" s="21"/>
      <c r="D31" s="29"/>
      <c r="E31" s="30"/>
      <c r="F31" s="31"/>
      <c r="G31" s="32"/>
      <c r="H31" s="32"/>
      <c r="I31" s="33"/>
      <c r="J31" s="33"/>
      <c r="K31" s="34"/>
    </row>
    <row r="32" spans="2:11" x14ac:dyDescent="0.3">
      <c r="C32" s="37" t="s">
        <v>53</v>
      </c>
      <c r="D32" s="29"/>
      <c r="E32" s="30"/>
      <c r="F32" s="31"/>
      <c r="G32" s="32"/>
      <c r="H32" s="32"/>
      <c r="I32" s="33"/>
      <c r="J32" s="33"/>
      <c r="K32" s="34"/>
    </row>
    <row r="33" spans="1:11" x14ac:dyDescent="0.3">
      <c r="B33" s="1" t="s">
        <v>54</v>
      </c>
      <c r="C33" s="21" t="s">
        <v>55</v>
      </c>
      <c r="D33" s="29" t="s">
        <v>56</v>
      </c>
      <c r="E33" s="30" t="s">
        <v>57</v>
      </c>
      <c r="F33" s="31">
        <v>262000</v>
      </c>
      <c r="G33" s="32">
        <v>254.46</v>
      </c>
      <c r="H33" s="32">
        <v>1.36</v>
      </c>
      <c r="I33" s="33">
        <v>7.3575869000000003</v>
      </c>
      <c r="J33" s="33"/>
      <c r="K33" s="34"/>
    </row>
    <row r="34" spans="1:11" x14ac:dyDescent="0.3">
      <c r="C34" s="28" t="s">
        <v>50</v>
      </c>
      <c r="D34" s="29"/>
      <c r="E34" s="30"/>
      <c r="F34" s="31"/>
      <c r="G34" s="38">
        <v>254.46</v>
      </c>
      <c r="H34" s="38">
        <v>1.36</v>
      </c>
      <c r="I34" s="33"/>
      <c r="J34" s="33"/>
      <c r="K34" s="34"/>
    </row>
    <row r="35" spans="1:11" x14ac:dyDescent="0.3">
      <c r="C35" s="21"/>
      <c r="D35" s="29"/>
      <c r="E35" s="30"/>
      <c r="F35" s="31"/>
      <c r="G35" s="32"/>
      <c r="H35" s="32"/>
      <c r="I35" s="33"/>
      <c r="J35" s="33"/>
      <c r="K35" s="34"/>
    </row>
    <row r="36" spans="1:11" x14ac:dyDescent="0.3">
      <c r="C36" s="37" t="s">
        <v>58</v>
      </c>
      <c r="D36" s="29"/>
      <c r="E36" s="30"/>
      <c r="F36" s="31"/>
      <c r="G36" s="32"/>
      <c r="H36" s="32"/>
      <c r="I36" s="33"/>
      <c r="J36" s="33"/>
      <c r="K36" s="34"/>
    </row>
    <row r="37" spans="1:11" x14ac:dyDescent="0.3">
      <c r="B37" s="1" t="s">
        <v>59</v>
      </c>
      <c r="C37" s="21" t="s">
        <v>60</v>
      </c>
      <c r="D37" s="29" t="s">
        <v>61</v>
      </c>
      <c r="E37" s="30" t="s">
        <v>57</v>
      </c>
      <c r="F37" s="31">
        <v>1000000</v>
      </c>
      <c r="G37" s="32">
        <v>988.02</v>
      </c>
      <c r="H37" s="32">
        <v>5.29</v>
      </c>
      <c r="I37" s="33">
        <v>7.6689226000000001</v>
      </c>
      <c r="J37" s="33"/>
      <c r="K37" s="34"/>
    </row>
    <row r="38" spans="1:11" x14ac:dyDescent="0.3">
      <c r="C38" s="28" t="s">
        <v>50</v>
      </c>
      <c r="D38" s="29"/>
      <c r="E38" s="30"/>
      <c r="F38" s="31"/>
      <c r="G38" s="38">
        <v>988.02</v>
      </c>
      <c r="H38" s="38">
        <v>5.29</v>
      </c>
      <c r="I38" s="33"/>
      <c r="J38" s="33"/>
      <c r="K38" s="34"/>
    </row>
    <row r="39" spans="1:11" x14ac:dyDescent="0.3">
      <c r="C39" s="21"/>
      <c r="D39" s="29"/>
      <c r="E39" s="30"/>
      <c r="F39" s="31"/>
      <c r="G39" s="32"/>
      <c r="H39" s="32"/>
      <c r="I39" s="33"/>
      <c r="J39" s="33"/>
      <c r="K39" s="34"/>
    </row>
    <row r="40" spans="1:11" x14ac:dyDescent="0.3">
      <c r="A40" s="35"/>
      <c r="B40" s="36"/>
      <c r="C40" s="28" t="s">
        <v>62</v>
      </c>
      <c r="D40" s="29"/>
      <c r="E40" s="30"/>
      <c r="F40" s="31"/>
      <c r="G40" s="32"/>
      <c r="H40" s="32"/>
      <c r="I40" s="33"/>
      <c r="J40" s="33"/>
      <c r="K40" s="34"/>
    </row>
    <row r="41" spans="1:11" x14ac:dyDescent="0.3">
      <c r="A41" s="36"/>
      <c r="B41" s="36"/>
      <c r="C41" s="28" t="s">
        <v>63</v>
      </c>
      <c r="D41" s="29"/>
      <c r="E41" s="30"/>
      <c r="F41" s="31"/>
      <c r="G41" s="32" t="s">
        <v>16</v>
      </c>
      <c r="H41" s="32" t="s">
        <v>16</v>
      </c>
      <c r="I41" s="33"/>
      <c r="J41" s="33"/>
      <c r="K41" s="34"/>
    </row>
    <row r="42" spans="1:11" x14ac:dyDescent="0.3">
      <c r="A42" s="36"/>
      <c r="B42" s="36"/>
      <c r="C42" s="28"/>
      <c r="D42" s="29"/>
      <c r="E42" s="30"/>
      <c r="F42" s="31"/>
      <c r="G42" s="32"/>
      <c r="H42" s="32"/>
      <c r="I42" s="33"/>
      <c r="J42" s="33"/>
      <c r="K42" s="34"/>
    </row>
    <row r="43" spans="1:11" x14ac:dyDescent="0.3">
      <c r="C43" s="37" t="s">
        <v>64</v>
      </c>
      <c r="D43" s="29"/>
      <c r="E43" s="30"/>
      <c r="F43" s="31"/>
      <c r="G43" s="32"/>
      <c r="H43" s="32"/>
      <c r="I43" s="33"/>
      <c r="J43" s="33"/>
      <c r="K43" s="34"/>
    </row>
    <row r="44" spans="1:11" x14ac:dyDescent="0.3">
      <c r="B44" s="1" t="s">
        <v>65</v>
      </c>
      <c r="C44" s="21" t="s">
        <v>66</v>
      </c>
      <c r="D44" s="29" t="s">
        <v>67</v>
      </c>
      <c r="E44" s="30" t="s">
        <v>68</v>
      </c>
      <c r="F44" s="31">
        <v>300</v>
      </c>
      <c r="G44" s="32">
        <v>1449.95</v>
      </c>
      <c r="H44" s="32">
        <v>7.77</v>
      </c>
      <c r="I44" s="33">
        <v>7.5000999999999998</v>
      </c>
      <c r="J44" s="33"/>
      <c r="K44" s="34" t="s">
        <v>25</v>
      </c>
    </row>
    <row r="45" spans="1:11" x14ac:dyDescent="0.3">
      <c r="B45" s="1" t="s">
        <v>69</v>
      </c>
      <c r="C45" s="21" t="s">
        <v>70</v>
      </c>
      <c r="D45" s="29" t="s">
        <v>71</v>
      </c>
      <c r="E45" s="30" t="s">
        <v>72</v>
      </c>
      <c r="F45" s="31">
        <v>300</v>
      </c>
      <c r="G45" s="32">
        <v>1410.88</v>
      </c>
      <c r="H45" s="32">
        <v>7.56</v>
      </c>
      <c r="I45" s="33">
        <v>7.6600999999999999</v>
      </c>
      <c r="J45" s="33"/>
      <c r="K45" s="34" t="s">
        <v>25</v>
      </c>
    </row>
    <row r="46" spans="1:11" x14ac:dyDescent="0.3">
      <c r="B46" s="1" t="s">
        <v>73</v>
      </c>
      <c r="C46" s="21" t="s">
        <v>74</v>
      </c>
      <c r="D46" s="29" t="s">
        <v>75</v>
      </c>
      <c r="E46" s="30" t="s">
        <v>72</v>
      </c>
      <c r="F46" s="31">
        <v>280</v>
      </c>
      <c r="G46" s="32">
        <v>1320.03</v>
      </c>
      <c r="H46" s="32">
        <v>7.07</v>
      </c>
      <c r="I46" s="33">
        <v>7.7050000000000001</v>
      </c>
      <c r="J46" s="33"/>
      <c r="K46" s="34" t="s">
        <v>25</v>
      </c>
    </row>
    <row r="47" spans="1:11" x14ac:dyDescent="0.3">
      <c r="B47" s="1" t="s">
        <v>76</v>
      </c>
      <c r="C47" s="21" t="s">
        <v>77</v>
      </c>
      <c r="D47" s="29" t="s">
        <v>78</v>
      </c>
      <c r="E47" s="30" t="s">
        <v>79</v>
      </c>
      <c r="F47" s="31">
        <v>280</v>
      </c>
      <c r="G47" s="32">
        <v>1319.31</v>
      </c>
      <c r="H47" s="32">
        <v>7.07</v>
      </c>
      <c r="I47" s="33">
        <v>7.6451000000000002</v>
      </c>
      <c r="J47" s="33"/>
      <c r="K47" s="34" t="s">
        <v>25</v>
      </c>
    </row>
    <row r="48" spans="1:11" x14ac:dyDescent="0.3">
      <c r="B48" s="1" t="s">
        <v>80</v>
      </c>
      <c r="C48" s="21" t="s">
        <v>81</v>
      </c>
      <c r="D48" s="29" t="s">
        <v>82</v>
      </c>
      <c r="E48" s="30" t="s">
        <v>72</v>
      </c>
      <c r="F48" s="31">
        <v>240</v>
      </c>
      <c r="G48" s="32">
        <v>1154.4000000000001</v>
      </c>
      <c r="H48" s="32">
        <v>6.18</v>
      </c>
      <c r="I48" s="33">
        <v>7.6699000000000002</v>
      </c>
      <c r="J48" s="33"/>
      <c r="K48" s="34" t="s">
        <v>25</v>
      </c>
    </row>
    <row r="49" spans="1:11" x14ac:dyDescent="0.3">
      <c r="B49" s="1" t="s">
        <v>83</v>
      </c>
      <c r="C49" s="21" t="s">
        <v>84</v>
      </c>
      <c r="D49" s="29" t="s">
        <v>85</v>
      </c>
      <c r="E49" s="30" t="s">
        <v>72</v>
      </c>
      <c r="F49" s="31">
        <v>200</v>
      </c>
      <c r="G49" s="32">
        <v>959.63</v>
      </c>
      <c r="H49" s="32">
        <v>5.14</v>
      </c>
      <c r="I49" s="33">
        <v>7.6398999999999999</v>
      </c>
      <c r="J49" s="33"/>
      <c r="K49" s="34" t="s">
        <v>25</v>
      </c>
    </row>
    <row r="50" spans="1:11" x14ac:dyDescent="0.3">
      <c r="C50" s="28" t="s">
        <v>50</v>
      </c>
      <c r="D50" s="29"/>
      <c r="E50" s="30"/>
      <c r="F50" s="31"/>
      <c r="G50" s="38">
        <v>7614.2</v>
      </c>
      <c r="H50" s="38">
        <v>40.79</v>
      </c>
      <c r="I50" s="33"/>
      <c r="J50" s="33"/>
      <c r="K50" s="34"/>
    </row>
    <row r="51" spans="1:11" x14ac:dyDescent="0.3">
      <c r="C51" s="21"/>
      <c r="D51" s="29"/>
      <c r="E51" s="30"/>
      <c r="F51" s="31"/>
      <c r="G51" s="32"/>
      <c r="H51" s="32"/>
      <c r="I51" s="33"/>
      <c r="J51" s="33"/>
      <c r="K51" s="34"/>
    </row>
    <row r="52" spans="1:11" x14ac:dyDescent="0.3">
      <c r="C52" s="28" t="s">
        <v>86</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87</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A56" s="35"/>
      <c r="B56" s="36"/>
      <c r="C56" s="28" t="s">
        <v>88</v>
      </c>
      <c r="D56" s="29"/>
      <c r="E56" s="30"/>
      <c r="F56" s="31"/>
      <c r="G56" s="32"/>
      <c r="H56" s="32"/>
      <c r="I56" s="33"/>
      <c r="J56" s="33"/>
      <c r="K56" s="34"/>
    </row>
    <row r="57" spans="1:11" x14ac:dyDescent="0.3">
      <c r="C57" s="37" t="s">
        <v>89</v>
      </c>
      <c r="D57" s="29"/>
      <c r="E57" s="30"/>
      <c r="F57" s="31"/>
      <c r="G57" s="32" t="s">
        <v>16</v>
      </c>
      <c r="H57" s="32" t="s">
        <v>16</v>
      </c>
      <c r="I57" s="33"/>
      <c r="J57" s="33"/>
      <c r="K57" s="34"/>
    </row>
    <row r="58" spans="1:11" x14ac:dyDescent="0.3">
      <c r="C58" s="37"/>
      <c r="D58" s="29"/>
      <c r="E58" s="30"/>
      <c r="F58" s="31"/>
      <c r="G58" s="32"/>
      <c r="H58" s="32"/>
      <c r="I58" s="33"/>
      <c r="J58" s="33"/>
      <c r="K58" s="34"/>
    </row>
    <row r="59" spans="1:11" x14ac:dyDescent="0.3">
      <c r="C59" s="37" t="s">
        <v>90</v>
      </c>
      <c r="D59" s="29"/>
      <c r="E59" s="30"/>
      <c r="F59" s="31"/>
      <c r="G59" s="32"/>
      <c r="H59" s="32"/>
      <c r="I59" s="33"/>
      <c r="J59" s="33"/>
      <c r="K59" s="34"/>
    </row>
    <row r="60" spans="1:11" x14ac:dyDescent="0.3">
      <c r="B60" s="1" t="s">
        <v>91</v>
      </c>
      <c r="C60" s="21" t="s">
        <v>92</v>
      </c>
      <c r="D60" s="29" t="s">
        <v>93</v>
      </c>
      <c r="E60" s="30"/>
      <c r="F60" s="31">
        <v>465.67700000000002</v>
      </c>
      <c r="G60" s="32">
        <v>46.76</v>
      </c>
      <c r="H60" s="32">
        <v>0.25</v>
      </c>
      <c r="I60" s="33">
        <v>7.26</v>
      </c>
      <c r="J60" s="33"/>
      <c r="K60" s="34"/>
    </row>
    <row r="61" spans="1:11" x14ac:dyDescent="0.3">
      <c r="C61" s="28" t="s">
        <v>50</v>
      </c>
      <c r="D61" s="29"/>
      <c r="E61" s="30"/>
      <c r="F61" s="31"/>
      <c r="G61" s="38">
        <v>46.76</v>
      </c>
      <c r="H61" s="38">
        <v>0.25</v>
      </c>
      <c r="I61" s="33"/>
      <c r="J61" s="33"/>
      <c r="K61" s="34"/>
    </row>
    <row r="62" spans="1:11" x14ac:dyDescent="0.3">
      <c r="C62" s="21"/>
      <c r="D62" s="29"/>
      <c r="E62" s="30"/>
      <c r="F62" s="31"/>
      <c r="G62" s="32"/>
      <c r="H62" s="32"/>
      <c r="I62" s="33"/>
      <c r="J62" s="33"/>
      <c r="K62" s="34"/>
    </row>
    <row r="63" spans="1:11" x14ac:dyDescent="0.3">
      <c r="C63" s="28" t="s">
        <v>94</v>
      </c>
      <c r="D63" s="29"/>
      <c r="E63" s="30"/>
      <c r="F63" s="31"/>
      <c r="G63" s="32" t="s">
        <v>16</v>
      </c>
      <c r="H63" s="32" t="s">
        <v>16</v>
      </c>
      <c r="I63" s="33"/>
      <c r="J63" s="33"/>
      <c r="K63" s="34"/>
    </row>
    <row r="64" spans="1:11" x14ac:dyDescent="0.3">
      <c r="C64" s="21"/>
      <c r="D64" s="29"/>
      <c r="E64" s="30"/>
      <c r="F64" s="31"/>
      <c r="G64" s="32"/>
      <c r="H64" s="32"/>
      <c r="I64" s="33"/>
      <c r="J64" s="33"/>
      <c r="K64" s="34"/>
    </row>
    <row r="65" spans="1:11" x14ac:dyDescent="0.3">
      <c r="C65" s="28" t="s">
        <v>95</v>
      </c>
      <c r="D65" s="29"/>
      <c r="E65" s="30"/>
      <c r="F65" s="31"/>
      <c r="G65" s="32" t="s">
        <v>16</v>
      </c>
      <c r="H65" s="32" t="s">
        <v>16</v>
      </c>
      <c r="I65" s="33"/>
      <c r="J65" s="33"/>
      <c r="K65" s="34"/>
    </row>
    <row r="66" spans="1:11" x14ac:dyDescent="0.3">
      <c r="C66" s="21"/>
      <c r="D66" s="29"/>
      <c r="E66" s="30"/>
      <c r="F66" s="31"/>
      <c r="G66" s="32"/>
      <c r="H66" s="32"/>
      <c r="I66" s="33"/>
      <c r="J66" s="33"/>
      <c r="K66" s="34"/>
    </row>
    <row r="67" spans="1:11" x14ac:dyDescent="0.3">
      <c r="C67" s="28" t="s">
        <v>96</v>
      </c>
      <c r="D67" s="29"/>
      <c r="E67" s="30"/>
      <c r="F67" s="31"/>
      <c r="G67" s="32" t="s">
        <v>16</v>
      </c>
      <c r="H67" s="32" t="s">
        <v>16</v>
      </c>
      <c r="I67" s="33"/>
      <c r="J67" s="33"/>
      <c r="K67" s="34"/>
    </row>
    <row r="68" spans="1:11" x14ac:dyDescent="0.3">
      <c r="C68" s="21"/>
      <c r="D68" s="29"/>
      <c r="E68" s="30"/>
      <c r="F68" s="31"/>
      <c r="G68" s="32"/>
      <c r="H68" s="32"/>
      <c r="I68" s="33"/>
      <c r="J68" s="33"/>
      <c r="K68" s="34"/>
    </row>
    <row r="69" spans="1:11" x14ac:dyDescent="0.3">
      <c r="C69" s="37" t="s">
        <v>97</v>
      </c>
      <c r="D69" s="29"/>
      <c r="E69" s="30"/>
      <c r="F69" s="31"/>
      <c r="G69" s="32"/>
      <c r="H69" s="32"/>
      <c r="I69" s="33"/>
      <c r="J69" s="33"/>
      <c r="K69" s="34"/>
    </row>
    <row r="70" spans="1:11" x14ac:dyDescent="0.3">
      <c r="B70" s="1" t="s">
        <v>98</v>
      </c>
      <c r="C70" s="21" t="s">
        <v>99</v>
      </c>
      <c r="D70" s="29"/>
      <c r="E70" s="30"/>
      <c r="F70" s="31"/>
      <c r="G70" s="32">
        <v>2536.23</v>
      </c>
      <c r="H70" s="32">
        <v>13.58</v>
      </c>
      <c r="I70" s="33">
        <v>6.76</v>
      </c>
      <c r="J70" s="33"/>
      <c r="K70" s="34"/>
    </row>
    <row r="71" spans="1:11" x14ac:dyDescent="0.3">
      <c r="C71" s="28" t="s">
        <v>50</v>
      </c>
      <c r="D71" s="29"/>
      <c r="E71" s="30"/>
      <c r="F71" s="31"/>
      <c r="G71" s="38">
        <v>2536.23</v>
      </c>
      <c r="H71" s="38">
        <v>13.58</v>
      </c>
      <c r="I71" s="33"/>
      <c r="J71" s="33"/>
      <c r="K71" s="34"/>
    </row>
    <row r="72" spans="1:11" x14ac:dyDescent="0.3">
      <c r="C72" s="21"/>
      <c r="D72" s="29"/>
      <c r="E72" s="30"/>
      <c r="F72" s="31"/>
      <c r="G72" s="32"/>
      <c r="H72" s="32"/>
      <c r="I72" s="33"/>
      <c r="J72" s="33"/>
      <c r="K72" s="34"/>
    </row>
    <row r="73" spans="1:11" x14ac:dyDescent="0.3">
      <c r="A73" s="35"/>
      <c r="B73" s="36"/>
      <c r="C73" s="28" t="s">
        <v>100</v>
      </c>
      <c r="D73" s="29"/>
      <c r="E73" s="30"/>
      <c r="F73" s="31"/>
      <c r="G73" s="32"/>
      <c r="H73" s="32"/>
      <c r="I73" s="33"/>
      <c r="J73" s="33"/>
      <c r="K73" s="34"/>
    </row>
    <row r="74" spans="1:11" x14ac:dyDescent="0.3">
      <c r="B74" s="1"/>
      <c r="C74" s="21" t="s">
        <v>101</v>
      </c>
      <c r="D74" s="29"/>
      <c r="E74" s="30"/>
      <c r="F74" s="31"/>
      <c r="G74" s="32">
        <v>279.95999999999998</v>
      </c>
      <c r="H74" s="32">
        <v>1.49</v>
      </c>
      <c r="I74" s="33"/>
      <c r="J74" s="33"/>
      <c r="K74" s="34"/>
    </row>
    <row r="75" spans="1:11" x14ac:dyDescent="0.3">
      <c r="C75" s="28" t="s">
        <v>50</v>
      </c>
      <c r="D75" s="29"/>
      <c r="E75" s="30"/>
      <c r="F75" s="31"/>
      <c r="G75" s="38">
        <v>279.95999999999998</v>
      </c>
      <c r="H75" s="38">
        <v>1.49</v>
      </c>
      <c r="I75" s="33"/>
      <c r="J75" s="33"/>
      <c r="K75" s="34"/>
    </row>
    <row r="76" spans="1:11" x14ac:dyDescent="0.3">
      <c r="C76" s="21"/>
      <c r="D76" s="29"/>
      <c r="E76" s="30"/>
      <c r="F76" s="31"/>
      <c r="G76" s="32"/>
      <c r="H76" s="32"/>
      <c r="I76" s="33"/>
      <c r="J76" s="33"/>
      <c r="K76" s="34"/>
    </row>
    <row r="77" spans="1:11" ht="14.4" thickBot="1" x14ac:dyDescent="0.35">
      <c r="C77" s="39" t="s">
        <v>102</v>
      </c>
      <c r="D77" s="40"/>
      <c r="E77" s="41"/>
      <c r="F77" s="42"/>
      <c r="G77" s="43">
        <v>18671.47</v>
      </c>
      <c r="H77" s="43">
        <f>SUMIFS(H:H,C:C,"Total")</f>
        <v>100</v>
      </c>
      <c r="I77" s="44"/>
      <c r="J77" s="44"/>
      <c r="K77" s="45"/>
    </row>
    <row r="80" spans="1:11" x14ac:dyDescent="0.3">
      <c r="C80" s="11" t="s">
        <v>103</v>
      </c>
    </row>
    <row r="81" spans="3:55" x14ac:dyDescent="0.3">
      <c r="C81" s="2" t="s">
        <v>104</v>
      </c>
    </row>
    <row r="82" spans="3:55" x14ac:dyDescent="0.3">
      <c r="C82" s="46" t="s">
        <v>105</v>
      </c>
    </row>
    <row r="83" spans="3:55" x14ac:dyDescent="0.3">
      <c r="C83" s="2" t="s">
        <v>106</v>
      </c>
    </row>
    <row r="84" spans="3:55" x14ac:dyDescent="0.3">
      <c r="C84" s="2" t="s">
        <v>107</v>
      </c>
    </row>
    <row r="85" spans="3:55" x14ac:dyDescent="0.3">
      <c r="C85" s="2" t="s">
        <v>108</v>
      </c>
      <c r="D85" s="47"/>
      <c r="E85" s="47"/>
      <c r="F85" s="47"/>
      <c r="G85" s="48"/>
      <c r="H85" s="48"/>
    </row>
    <row r="86" spans="3:55" x14ac:dyDescent="0.3">
      <c r="C86" s="2" t="s">
        <v>109</v>
      </c>
    </row>
    <row r="87" spans="3:55" x14ac:dyDescent="0.3">
      <c r="C87" s="2" t="s">
        <v>110</v>
      </c>
    </row>
    <row r="88" spans="3:55" x14ac:dyDescent="0.3">
      <c r="C88" s="2" t="s">
        <v>111</v>
      </c>
    </row>
    <row r="89" spans="3:55" x14ac:dyDescent="0.3">
      <c r="C89" s="2" t="s">
        <v>112</v>
      </c>
    </row>
    <row r="90" spans="3:55" s="11" customFormat="1" x14ac:dyDescent="0.3">
      <c r="C90" s="11" t="s">
        <v>113</v>
      </c>
      <c r="E90" s="11" t="s">
        <v>114</v>
      </c>
      <c r="F90" s="49" t="s">
        <v>115</v>
      </c>
      <c r="G90" s="50"/>
      <c r="H90" s="50"/>
      <c r="I90" s="50"/>
      <c r="J90" s="50"/>
      <c r="K90" s="51"/>
      <c r="L90" s="51"/>
      <c r="M90" s="51"/>
      <c r="AJ90" s="51"/>
      <c r="AW90" s="51"/>
      <c r="AY90" s="51"/>
      <c r="BC90" s="51"/>
    </row>
    <row r="91" spans="3:55" x14ac:dyDescent="0.3">
      <c r="C91" s="2" t="s">
        <v>116</v>
      </c>
      <c r="E91" s="52">
        <v>10.0604</v>
      </c>
      <c r="F91" s="53">
        <v>10.0604</v>
      </c>
    </row>
    <row r="92" spans="3:55" x14ac:dyDescent="0.3">
      <c r="C92" s="2" t="s">
        <v>117</v>
      </c>
      <c r="E92" s="52">
        <v>35.699800000000003</v>
      </c>
      <c r="F92" s="53">
        <v>35.894300000000001</v>
      </c>
    </row>
    <row r="93" spans="3:55" x14ac:dyDescent="0.3">
      <c r="C93" s="2" t="s">
        <v>118</v>
      </c>
      <c r="E93" s="52">
        <v>10.305</v>
      </c>
      <c r="F93" s="53">
        <v>10.311500000000001</v>
      </c>
    </row>
    <row r="94" spans="3:55" x14ac:dyDescent="0.3">
      <c r="C94" s="2" t="s">
        <v>119</v>
      </c>
      <c r="E94" s="52">
        <v>10.010199999999999</v>
      </c>
      <c r="F94" s="53">
        <v>10.0137</v>
      </c>
    </row>
    <row r="95" spans="3:55" x14ac:dyDescent="0.3">
      <c r="C95" s="2" t="s">
        <v>120</v>
      </c>
      <c r="E95" s="52">
        <v>10.049899999999999</v>
      </c>
      <c r="F95" s="53">
        <v>10.049899999999999</v>
      </c>
    </row>
    <row r="96" spans="3:55" x14ac:dyDescent="0.3">
      <c r="C96" s="2" t="s">
        <v>121</v>
      </c>
      <c r="E96" s="52">
        <v>35.7395</v>
      </c>
      <c r="F96" s="53">
        <v>35.934399999999997</v>
      </c>
    </row>
    <row r="97" spans="3:6" x14ac:dyDescent="0.3">
      <c r="C97" s="2" t="s">
        <v>122</v>
      </c>
      <c r="E97" s="52">
        <v>10.4915</v>
      </c>
      <c r="F97" s="53">
        <v>10.498699999999999</v>
      </c>
    </row>
    <row r="98" spans="3:6" x14ac:dyDescent="0.3">
      <c r="C98" s="2" t="s">
        <v>123</v>
      </c>
      <c r="E98" s="52">
        <v>10.010199999999999</v>
      </c>
      <c r="F98" s="53">
        <v>10.0137</v>
      </c>
    </row>
    <row r="99" spans="3:6" x14ac:dyDescent="0.3">
      <c r="C99" s="2" t="s">
        <v>124</v>
      </c>
      <c r="E99" s="52">
        <v>10.083500000000001</v>
      </c>
      <c r="F99" s="53">
        <v>10.083500000000001</v>
      </c>
    </row>
    <row r="100" spans="3:6" x14ac:dyDescent="0.3">
      <c r="C100" s="2" t="s">
        <v>125</v>
      </c>
      <c r="E100" s="52">
        <v>38.597900000000003</v>
      </c>
      <c r="F100" s="53">
        <v>38.831200000000003</v>
      </c>
    </row>
    <row r="101" spans="3:6" x14ac:dyDescent="0.3">
      <c r="C101" s="2" t="s">
        <v>126</v>
      </c>
      <c r="E101" s="52">
        <v>10.2254</v>
      </c>
      <c r="F101" s="53">
        <v>10.237</v>
      </c>
    </row>
    <row r="102" spans="3:6" x14ac:dyDescent="0.3">
      <c r="C102" s="2" t="s">
        <v>127</v>
      </c>
      <c r="E102" s="52">
        <v>10.010199999999999</v>
      </c>
      <c r="F102" s="53">
        <v>10.014099999999999</v>
      </c>
    </row>
    <row r="104" spans="3:6" x14ac:dyDescent="0.3">
      <c r="C104" s="2" t="s">
        <v>128</v>
      </c>
      <c r="E104" s="11" t="s">
        <v>129</v>
      </c>
      <c r="F104" s="49" t="s">
        <v>130</v>
      </c>
    </row>
    <row r="105" spans="3:6" x14ac:dyDescent="0.3">
      <c r="C105" s="2" t="s">
        <v>116</v>
      </c>
      <c r="E105" s="52">
        <v>5.4728609999999997E-2</v>
      </c>
      <c r="F105" s="53">
        <v>5.4728609999999997E-2</v>
      </c>
    </row>
    <row r="106" spans="3:6" x14ac:dyDescent="0.3">
      <c r="C106" s="2" t="s">
        <v>118</v>
      </c>
      <c r="E106" s="52">
        <v>0.05</v>
      </c>
      <c r="F106" s="53">
        <v>0.05</v>
      </c>
    </row>
    <row r="107" spans="3:6" x14ac:dyDescent="0.3">
      <c r="C107" s="2" t="s">
        <v>119</v>
      </c>
      <c r="E107" s="52">
        <v>5.0934879999999995E-2</v>
      </c>
      <c r="F107" s="53">
        <v>5.0934879999999995E-2</v>
      </c>
    </row>
    <row r="108" spans="3:6" x14ac:dyDescent="0.3">
      <c r="C108" s="2" t="s">
        <v>120</v>
      </c>
      <c r="E108" s="52">
        <v>5.4670969999999999E-2</v>
      </c>
      <c r="F108" s="53">
        <v>5.4670969999999999E-2</v>
      </c>
    </row>
    <row r="109" spans="3:6" x14ac:dyDescent="0.3">
      <c r="C109" s="2" t="s">
        <v>122</v>
      </c>
      <c r="E109" s="52">
        <v>0.05</v>
      </c>
      <c r="F109" s="53">
        <v>0.05</v>
      </c>
    </row>
    <row r="110" spans="3:6" x14ac:dyDescent="0.3">
      <c r="C110" s="2" t="s">
        <v>123</v>
      </c>
      <c r="E110" s="52">
        <v>5.0934530000000006E-2</v>
      </c>
      <c r="F110" s="53">
        <v>5.0934530000000006E-2</v>
      </c>
    </row>
    <row r="111" spans="3:6" x14ac:dyDescent="0.3">
      <c r="C111" s="2" t="s">
        <v>124</v>
      </c>
      <c r="E111" s="52">
        <v>6.0793920000000008E-2</v>
      </c>
      <c r="F111" s="53">
        <v>6.0793920000000008E-2</v>
      </c>
    </row>
    <row r="112" spans="3:6" x14ac:dyDescent="0.3">
      <c r="C112" s="2" t="s">
        <v>126</v>
      </c>
      <c r="E112" s="52">
        <v>0.05</v>
      </c>
      <c r="F112" s="53">
        <v>0.05</v>
      </c>
    </row>
    <row r="113" spans="3:11" x14ac:dyDescent="0.3">
      <c r="C113" s="2" t="s">
        <v>127</v>
      </c>
      <c r="E113" s="52">
        <v>5.6455860000000004E-2</v>
      </c>
      <c r="F113" s="53">
        <v>5.6455860000000004E-2</v>
      </c>
    </row>
    <row r="115" spans="3:11" x14ac:dyDescent="0.3">
      <c r="C115" s="2" t="s">
        <v>131</v>
      </c>
    </row>
    <row r="116" spans="3:11" x14ac:dyDescent="0.3">
      <c r="C116" s="2" t="s">
        <v>132</v>
      </c>
    </row>
    <row r="117" spans="3:11" x14ac:dyDescent="0.3">
      <c r="C117" s="2" t="s">
        <v>133</v>
      </c>
    </row>
    <row r="118" spans="3:11" x14ac:dyDescent="0.3">
      <c r="C118" s="2" t="s">
        <v>134</v>
      </c>
    </row>
    <row r="119" spans="3:11" x14ac:dyDescent="0.3">
      <c r="C119" s="2" t="s">
        <v>135</v>
      </c>
    </row>
    <row r="120" spans="3:11" x14ac:dyDescent="0.3">
      <c r="C120" s="2" t="s">
        <v>136</v>
      </c>
    </row>
    <row r="121" spans="3:11" x14ac:dyDescent="0.3">
      <c r="C121" s="2" t="s">
        <v>137</v>
      </c>
    </row>
    <row r="122" spans="3:11" x14ac:dyDescent="0.3">
      <c r="C122" s="2" t="s">
        <v>138</v>
      </c>
    </row>
    <row r="123" spans="3:11" x14ac:dyDescent="0.3">
      <c r="C123" s="2" t="s">
        <v>139</v>
      </c>
    </row>
    <row r="124" spans="3:11" x14ac:dyDescent="0.3">
      <c r="C124" s="2" t="s">
        <v>140</v>
      </c>
    </row>
    <row r="125" spans="3:11" x14ac:dyDescent="0.3">
      <c r="C125" s="2" t="s">
        <v>141</v>
      </c>
    </row>
    <row r="126" spans="3:11" x14ac:dyDescent="0.3">
      <c r="C126" s="2" t="s">
        <v>142</v>
      </c>
    </row>
    <row r="127" spans="3:11" ht="14.4" x14ac:dyDescent="0.3">
      <c r="C127" s="2" t="s">
        <v>143</v>
      </c>
      <c r="E127" s="54"/>
      <c r="F127" s="54"/>
      <c r="G127" s="54"/>
      <c r="H127" s="54"/>
      <c r="I127" s="54"/>
      <c r="J127" s="54"/>
      <c r="K127" s="54"/>
    </row>
    <row r="128" spans="3:11" x14ac:dyDescent="0.3">
      <c r="C128" s="2" t="s">
        <v>144</v>
      </c>
      <c r="D128" s="55"/>
      <c r="E128" s="55"/>
      <c r="F128" s="55"/>
      <c r="G128" s="55"/>
      <c r="H128" s="55"/>
      <c r="I128" s="55"/>
      <c r="J128" s="55"/>
      <c r="K128" s="55"/>
    </row>
    <row r="129" spans="3:11" ht="14.4" x14ac:dyDescent="0.3">
      <c r="C129" s="54"/>
      <c r="D129" s="54"/>
      <c r="E129" s="54"/>
      <c r="F129" s="54"/>
      <c r="G129" s="54"/>
      <c r="H129" s="54"/>
      <c r="I129" s="54"/>
      <c r="J129" s="54"/>
      <c r="K129" s="54"/>
    </row>
    <row r="130" spans="3:11" ht="14.4" x14ac:dyDescent="0.3">
      <c r="C130" s="54"/>
      <c r="D130" s="54"/>
      <c r="E130" s="54"/>
      <c r="F130" s="54"/>
      <c r="G130" s="54"/>
      <c r="H130" s="54"/>
      <c r="I130" s="54"/>
      <c r="J130" s="54"/>
      <c r="K130" s="54"/>
    </row>
    <row r="151" spans="3:6" ht="14.4" thickBot="1" x14ac:dyDescent="0.35"/>
    <row r="152" spans="3:6" ht="15" thickBot="1" x14ac:dyDescent="0.35">
      <c r="C152" s="56" t="s">
        <v>145</v>
      </c>
      <c r="D152" s="57"/>
      <c r="E152" s="57"/>
      <c r="F152" s="58"/>
    </row>
    <row r="153" spans="3:6" ht="15" thickBot="1" x14ac:dyDescent="0.35">
      <c r="C153" s="59" t="s">
        <v>146</v>
      </c>
      <c r="D153" s="60" t="s">
        <v>147</v>
      </c>
      <c r="E153" s="60" t="s">
        <v>148</v>
      </c>
      <c r="F153" s="60" t="s">
        <v>149</v>
      </c>
    </row>
    <row r="154" spans="3:6" ht="15" thickBot="1" x14ac:dyDescent="0.35">
      <c r="C154" s="59" t="s">
        <v>150</v>
      </c>
      <c r="D154" s="61"/>
      <c r="E154" s="61"/>
      <c r="F154" s="61"/>
    </row>
    <row r="155" spans="3:6" ht="15" thickBot="1" x14ac:dyDescent="0.35">
      <c r="C155" s="62" t="s">
        <v>151</v>
      </c>
      <c r="D155" s="63"/>
      <c r="E155" s="64" t="s">
        <v>152</v>
      </c>
      <c r="F155" s="63"/>
    </row>
    <row r="156" spans="3:6" ht="14.4" x14ac:dyDescent="0.3">
      <c r="C156" s="65" t="s">
        <v>153</v>
      </c>
      <c r="D156" s="66"/>
      <c r="E156" s="66"/>
      <c r="F156" s="66"/>
    </row>
    <row r="157" spans="3:6" ht="15" thickBot="1" x14ac:dyDescent="0.35">
      <c r="C157" s="62" t="s">
        <v>154</v>
      </c>
      <c r="D157" s="67"/>
      <c r="E157" s="67"/>
      <c r="F157" s="67"/>
    </row>
    <row r="158" spans="3:6" ht="14.4" x14ac:dyDescent="0.3">
      <c r="C158" s="65" t="s">
        <v>155</v>
      </c>
      <c r="D158" s="66"/>
      <c r="E158" s="66"/>
      <c r="F158" s="66"/>
    </row>
    <row r="159" spans="3:6" ht="15" thickBot="1" x14ac:dyDescent="0.35">
      <c r="C159" s="62" t="s">
        <v>156</v>
      </c>
      <c r="D159" s="67"/>
      <c r="E159" s="67"/>
      <c r="F159" s="67"/>
    </row>
    <row r="160" spans="3:6" ht="14.4" x14ac:dyDescent="0.35">
      <c r="C160" s="68" t="s">
        <v>157</v>
      </c>
      <c r="D160" s="69"/>
      <c r="E160" s="69"/>
      <c r="F160" s="69"/>
    </row>
    <row r="161" spans="3:6" ht="14.4" x14ac:dyDescent="0.3">
      <c r="C161" s="2" t="s">
        <v>158</v>
      </c>
      <c r="D161"/>
      <c r="E161"/>
      <c r="F161"/>
    </row>
  </sheetData>
  <mergeCells count="10">
    <mergeCell ref="D158:D159"/>
    <mergeCell ref="E158:E159"/>
    <mergeCell ref="F158:F159"/>
    <mergeCell ref="C152:F152"/>
    <mergeCell ref="D153:D154"/>
    <mergeCell ref="E153:E154"/>
    <mergeCell ref="F153:F154"/>
    <mergeCell ref="D156:D157"/>
    <mergeCell ref="E156:E157"/>
    <mergeCell ref="F156:F15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2023-12-07T09:47:54Z</dcterms:created>
  <dcterms:modified xsi:type="dcterms:W3CDTF">2023-12-07T13:46:58Z</dcterms:modified>
</cp:coreProperties>
</file>