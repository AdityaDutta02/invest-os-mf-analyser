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19?">'Monthly Portfolio'!$C$18:$C$28</definedName>
    <definedName name="XDO_?FINAL_ISIN?95?">'Monthly Portfolio'!$D$26:$D$28</definedName>
    <definedName name="XDO_?FINAL_ISIN?96?">'Monthly Portfolio'!$D$26:$D$45</definedName>
    <definedName name="XDO_?FINAL_ISIN?97?">'Monthly Portfolio'!$D$26:$D$68</definedName>
    <definedName name="XDO_?FINAL_ISIN?98?">'Monthly Portfolio'!$D$26:$D$72</definedName>
    <definedName name="XDO_?FINAL_MV?95?">'Monthly Portfolio'!$G$26:$G$28</definedName>
    <definedName name="XDO_?FINAL_MV?96?">'Monthly Portfolio'!$G$26:$G$45</definedName>
    <definedName name="XDO_?FINAL_MV?97?">'Monthly Portfolio'!$G$26:$G$68</definedName>
    <definedName name="XDO_?FINAL_MV?98?">'Monthly Portfolio'!$G$26:$G$72</definedName>
    <definedName name="XDO_?FINAL_NAME?95?">'Monthly Portfolio'!$C$26:$C$28</definedName>
    <definedName name="XDO_?FINAL_NAME?96?">'Monthly Portfolio'!$C$26:$C$45</definedName>
    <definedName name="XDO_?FINAL_NAME?97?">'Monthly Portfolio'!$C$26:$C$68</definedName>
    <definedName name="XDO_?FINAL_NAME?98?">'Monthly Portfolio'!$C$26:$C$72</definedName>
    <definedName name="XDO_?FINAL_PER_NET?95?">'Monthly Portfolio'!$H$26:$H$28</definedName>
    <definedName name="XDO_?FINAL_PER_NET?96?">'Monthly Portfolio'!$H$26:$H$45</definedName>
    <definedName name="XDO_?FINAL_PER_NET?97?">'Monthly Portfolio'!$H$26:$H$68</definedName>
    <definedName name="XDO_?FINAL_PER_NET?98?">'Monthly Portfolio'!$H$26:$H$72</definedName>
    <definedName name="XDO_?FINAL_QUANTITE?95?">'Monthly Portfolio'!$F$26:$F$28</definedName>
    <definedName name="XDO_?FINAL_QUANTITE?96?">'Monthly Portfolio'!$F$26:$F$45</definedName>
    <definedName name="XDO_?FINAL_QUANTITE?97?">'Monthly Portfolio'!$F$26:$F$68</definedName>
    <definedName name="XDO_?FINAL_QUANTITE?98?">'Monthly Portfolio'!$F$26:$F$72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'Monthly Portfolio'!#REF!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9?">'Monthly Portfolio'!$C$2:$C$28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'Monthly Portfolio'!#REF!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'Monthly Portfolio'!#REF!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95?">'Monthly Portfolio'!$B$26:$B$28</definedName>
    <definedName name="XDO_?NOVAL?96?">'Monthly Portfolio'!$B$26:$B$45</definedName>
    <definedName name="XDO_?NOVAL?97?">'Monthly Portfolio'!$B$26:$B$68</definedName>
    <definedName name="XDO_?NOVAL?98?">'Monthly Portfolio'!$B$26:$B$72</definedName>
    <definedName name="XDO_?NPTF?19?">'Monthly Portfolio'!$D$2:$D$28</definedName>
    <definedName name="XDO_?RATING?95?">'Monthly Portfolio'!$E$26:$E$28</definedName>
    <definedName name="XDO_?RATING?96?">'Monthly Portfolio'!$E$26:$E$45</definedName>
    <definedName name="XDO_?RATING?97?">'Monthly Portfolio'!$E$26:$E$68</definedName>
    <definedName name="XDO_?RATING?98?">'Monthly Portfolio'!$E$26:$E$72</definedName>
    <definedName name="XDO_?REMARKS?95?">'Monthly Portfolio'!$K$26:$K$28</definedName>
    <definedName name="XDO_?REMARKS?96?">'Monthly Portfolio'!$K$26:$K$45</definedName>
    <definedName name="XDO_?REMARKS?97?">'Monthly Portfolio'!$K$26:$K$68</definedName>
    <definedName name="XDO_?REMARKS?98?">'Monthly Portfolio'!$K$26:$K$72</definedName>
    <definedName name="XDO_?TITL?19?">'Monthly Portfolio'!$A$18:$A$28</definedName>
    <definedName name="XDO_?YTM?95?">'Monthly Portfolio'!$I$26:$I$28</definedName>
    <definedName name="XDO_?YTM?96?">'Monthly Portfolio'!$I$26:$I$45</definedName>
    <definedName name="XDO_?YTM?97?">'Monthly Portfolio'!$I$26:$I$68</definedName>
    <definedName name="XDO_?YTM?98?">'Monthly Portfolio'!$I$26:$I$72</definedName>
    <definedName name="XDO_GROUP_?G_2?19?">'Monthly Portfolio'!$2:$40</definedName>
    <definedName name="XDO_GROUP_?G_3?19?">'Monthly Portfolio'!$8:$39</definedName>
    <definedName name="XDO_GROUP_?G_4?140?">[1]BM!#REF!</definedName>
    <definedName name="XDO_GROUP_?G_4?40?">[1]TA!#REF!</definedName>
    <definedName name="XDO_GROUP_?G_4?93?">[1]GR!#REF!</definedName>
    <definedName name="XDO_GROUP_?G_4?95?">'Monthly Portfolio'!$B$10:$IV$12</definedName>
    <definedName name="XDO_GROUP_?G_4?96?">'Monthly Portfolio'!$B$16:$IV$27</definedName>
    <definedName name="XDO_GROUP_?G_4?97?">'Monthly Portfolio'!$B$32:$IV$32</definedName>
    <definedName name="XDO_GROUP_?G_4?98?">'Monthly Portfolio'!$B$37:$IV$37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 i="2" l="1"/>
  <c r="H75" i="1" l="1"/>
</calcChain>
</file>

<file path=xl/sharedStrings.xml><?xml version="1.0" encoding="utf-8"?>
<sst xmlns="http://schemas.openxmlformats.org/spreadsheetml/2006/main" count="375" uniqueCount="150">
  <si>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</si>
  <si>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</si>
  <si>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</si>
  <si>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</si>
  <si>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</si>
  <si>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</si>
  <si>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</si>
  <si>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</si>
  <si>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</si>
  <si>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</si>
  <si>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</si>
  <si>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</si>
  <si>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</si>
  <si>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</si>
  <si>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</si>
  <si>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</si>
  <si>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</si>
  <si>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</si>
  <si>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</si>
  <si>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</si>
  <si>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</si>
  <si>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</si>
  <si>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</si>
  <si>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</si>
  <si>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</si>
  <si>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900288</t>
  </si>
  <si>
    <t>7.26% Government of India 06-Feb-2033</t>
  </si>
  <si>
    <t>IN0020220151</t>
  </si>
  <si>
    <t>Sovereign</t>
  </si>
  <si>
    <t>900299</t>
  </si>
  <si>
    <t>7.18% Government of India 14-Aug-2033</t>
  </si>
  <si>
    <t>IN0020230085</t>
  </si>
  <si>
    <t>900283</t>
  </si>
  <si>
    <t>7.26% Government of India 22-Aug-2032</t>
  </si>
  <si>
    <t>IN0020220060</t>
  </si>
  <si>
    <t>Total</t>
  </si>
  <si>
    <t>e) State Government Securities</t>
  </si>
  <si>
    <t>1901691</t>
  </si>
  <si>
    <t>6.91% State Government of Maharashtra 15-Sep-2033</t>
  </si>
  <si>
    <t>IN2220210248</t>
  </si>
  <si>
    <t>1903372</t>
  </si>
  <si>
    <t>6.58% State Government of Karnataka 03-Jun-2030</t>
  </si>
  <si>
    <t>IN1920200053</t>
  </si>
  <si>
    <t>1904833</t>
  </si>
  <si>
    <t>7.65% State Government of Gujarat 01-Feb-2033</t>
  </si>
  <si>
    <t>IN1520220212</t>
  </si>
  <si>
    <t>1904828</t>
  </si>
  <si>
    <t>7.72% State Government of Maharashtra 01-Mar-2031</t>
  </si>
  <si>
    <t>IN2220220171</t>
  </si>
  <si>
    <t>1904677</t>
  </si>
  <si>
    <t>7.64% State Government of Maharashtra 25-Jan-2033</t>
  </si>
  <si>
    <t>IN2220220163</t>
  </si>
  <si>
    <t>1904724</t>
  </si>
  <si>
    <t>7.71% State Government of Gujarat 08-Mar-2034</t>
  </si>
  <si>
    <t>IN1520220279</t>
  </si>
  <si>
    <t>1902068</t>
  </si>
  <si>
    <t>7.04% State Government of Gujarat 18-Mar-2030</t>
  </si>
  <si>
    <t>IN1520190217</t>
  </si>
  <si>
    <t>1904737</t>
  </si>
  <si>
    <t>7.70% State Government of Maharashtra 08-Mar-2033</t>
  </si>
  <si>
    <t>IN2220220205</t>
  </si>
  <si>
    <t>1904711</t>
  </si>
  <si>
    <t>7.65% State Government of Tamil Nadu 25-Jan-2033</t>
  </si>
  <si>
    <t>IN3120220279</t>
  </si>
  <si>
    <t>1904920</t>
  </si>
  <si>
    <t>7.33% State Government of Maharashtra 31-May-2031</t>
  </si>
  <si>
    <t>IN2220230055</t>
  </si>
  <si>
    <t>1902100</t>
  </si>
  <si>
    <t>7.18% State Government of Karnataka 05-Jan-2033</t>
  </si>
  <si>
    <t>IN1920210227</t>
  </si>
  <si>
    <t>1904598</t>
  </si>
  <si>
    <t>7.85% State Government of Bihar 27-Oct-2032</t>
  </si>
  <si>
    <t>IN1320220107</t>
  </si>
  <si>
    <t>1904471</t>
  </si>
  <si>
    <t>8.05% State Government of Rajasthan 27-Jul-2037</t>
  </si>
  <si>
    <t>IN2920220109</t>
  </si>
  <si>
    <t>1904832</t>
  </si>
  <si>
    <t>7.39% State Government of Tamil Nadu 10-May-2033</t>
  </si>
  <si>
    <t>IN3120230021</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</si>
  <si>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</si>
  <si>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</si>
  <si>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</si>
  <si>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</si>
  <si>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</si>
  <si>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</si>
  <si>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</si>
  <si>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</si>
  <si>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</si>
  <si>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</si>
  <si>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</si>
  <si>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</si>
  <si>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</si>
  <si>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</si>
  <si>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</si>
  <si>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</si>
  <si>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</si>
  <si>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</si>
  <si>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</si>
  <si>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</si>
  <si>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</si>
  <si>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</si>
  <si>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</si>
  <si>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</si>
  <si>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</si>
  <si>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</si>
  <si>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</si>
  <si>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</si>
  <si>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</si>
  <si>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IDCW Option</t>
  </si>
  <si>
    <t>Regular Plan - Growth Option</t>
  </si>
  <si>
    <t>Direct Plan - IDCW Option</t>
  </si>
  <si>
    <t>Direct Plan - Growth Option</t>
  </si>
  <si>
    <t>(8) No Dividend declared during the Month ended September 30, 2023</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</si>
  <si>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</si>
  <si>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</si>
  <si>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3244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</si>
  <si>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</si>
  <si>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</si>
  <si>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</si>
  <si>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</si>
  <si>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</si>
  <si>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</si>
  <si>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</si>
  <si>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</si>
  <si>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</si>
  <si>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2388 days.</t>
  </si>
  <si>
    <t>(18) Annualised Portfolio YTM has been 7.4167.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</si>
  <si>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</si>
  <si>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</si>
  <si>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</si>
  <si>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</si>
  <si>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</si>
  <si>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</si>
  <si>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</si>
  <si>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</si>
  <si>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</si>
  <si>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</si>
  <si>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</si>
  <si>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</si>
  <si>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</si>
  <si>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</si>
  <si>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GILT FUND
(An open-ended debt scheme investing in government securities across maturity. A Relatively High Interest Rate Risk and Low Credit Risk)</t>
  </si>
  <si>
    <t>HALF YEARLY PORTFOLIO STATEMENT AS ON SEPTEMBER 30, 2023
(Pursuant to the provisions of Regulation 59A of the Securities and Exchange Board of India (Mutual Funds) Regulations, 1996)</t>
  </si>
  <si>
    <t>As on March 31, 2023</t>
  </si>
  <si>
    <t>(8) No Dividend declared during the Half Year ended September 30, 2023</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</si>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</sst>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5</xdr:col>
      <xdr:colOff>504275</xdr:colOff>
      <xdr:row>128</xdr:row>
      <xdr:rowOff>141563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871267"/>
          <a:ext cx="7455408" cy="3358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5</xdr:col>
      <xdr:colOff>504275</xdr:colOff>
      <xdr:row>130</xdr:row>
      <xdr:rowOff>141563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9598640"/>
          <a:ext cx="7453715" cy="33114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0"/>
  <sheetViews>
    <sheetView showGridLines="0" tabSelected="1" zoomScale="90" zoomScaleNormal="90" workbookViewId="0">
      <pane ySplit="6" topLeftCell="A97" activePane="bottomLeft" state="frozen"/>
      <selection activeCell="I2" sqref="I2"/>
      <selection pane="bottomLeft" activeCell="H107" sqref="H10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46500000</v>
      </c>
      <c r="G26" s="32">
        <v>46536.04</v>
      </c>
      <c r="H26" s="32">
        <v>53.02</v>
      </c>
      <c r="I26" s="33">
        <v>7.3776878999999997</v>
      </c>
      <c r="J26" s="33"/>
      <c r="K26" s="34"/>
    </row>
    <row r="27" spans="1:11" x14ac:dyDescent="0.3">
      <c r="B27" s="1" t="s">
        <v>29</v>
      </c>
      <c r="C27" s="21" t="s">
        <v>30</v>
      </c>
      <c r="D27" s="29" t="s">
        <v>31</v>
      </c>
      <c r="E27" s="30" t="s">
        <v>28</v>
      </c>
      <c r="F27" s="31">
        <v>11000000</v>
      </c>
      <c r="G27" s="32">
        <v>10976.02</v>
      </c>
      <c r="H27" s="32">
        <v>12.51</v>
      </c>
      <c r="I27" s="33">
        <v>7.3394211</v>
      </c>
      <c r="J27" s="33"/>
      <c r="K27" s="34"/>
    </row>
    <row r="28" spans="1:11" x14ac:dyDescent="0.3">
      <c r="B28" s="1" t="s">
        <v>32</v>
      </c>
      <c r="C28" s="21" t="s">
        <v>33</v>
      </c>
      <c r="D28" s="29" t="s">
        <v>34</v>
      </c>
      <c r="E28" s="30" t="s">
        <v>28</v>
      </c>
      <c r="F28" s="31">
        <v>1700000</v>
      </c>
      <c r="G28" s="32">
        <v>1699.5</v>
      </c>
      <c r="H28" s="32">
        <v>1.94</v>
      </c>
      <c r="I28" s="33">
        <v>7.3947871000000003</v>
      </c>
      <c r="J28" s="33"/>
      <c r="K28" s="34"/>
    </row>
    <row r="29" spans="1:11" x14ac:dyDescent="0.3">
      <c r="C29" s="28" t="s">
        <v>35</v>
      </c>
      <c r="D29" s="29"/>
      <c r="E29" s="30"/>
      <c r="F29" s="31"/>
      <c r="G29" s="38">
        <v>59211.56</v>
      </c>
      <c r="H29" s="38">
        <v>67.47</v>
      </c>
      <c r="I29" s="33"/>
      <c r="J29" s="33"/>
      <c r="K29" s="34"/>
    </row>
    <row r="30" spans="1:11" x14ac:dyDescent="0.3">
      <c r="C30" s="21"/>
      <c r="D30" s="29"/>
      <c r="E30" s="30"/>
      <c r="F30" s="31"/>
      <c r="G30" s="32"/>
      <c r="H30" s="32"/>
      <c r="I30" s="33"/>
      <c r="J30" s="33"/>
      <c r="K30" s="34"/>
    </row>
    <row r="31" spans="1:11" x14ac:dyDescent="0.3">
      <c r="C31" s="37" t="s">
        <v>36</v>
      </c>
      <c r="D31" s="29"/>
      <c r="E31" s="30"/>
      <c r="F31" s="31"/>
      <c r="G31" s="32"/>
      <c r="H31" s="32"/>
      <c r="I31" s="33"/>
      <c r="J31" s="33"/>
      <c r="K31" s="34"/>
    </row>
    <row r="32" spans="1:11" x14ac:dyDescent="0.3">
      <c r="B32" s="1" t="s">
        <v>37</v>
      </c>
      <c r="C32" s="21" t="s">
        <v>38</v>
      </c>
      <c r="D32" s="29" t="s">
        <v>39</v>
      </c>
      <c r="E32" s="30" t="s">
        <v>28</v>
      </c>
      <c r="F32" s="31">
        <v>6400000</v>
      </c>
      <c r="G32" s="32">
        <v>6159.37</v>
      </c>
      <c r="H32" s="32">
        <v>7.02</v>
      </c>
      <c r="I32" s="33">
        <v>7.5896461999999998</v>
      </c>
      <c r="J32" s="33"/>
      <c r="K32" s="34"/>
    </row>
    <row r="33" spans="2:11" x14ac:dyDescent="0.3">
      <c r="B33" s="1" t="s">
        <v>40</v>
      </c>
      <c r="C33" s="21" t="s">
        <v>41</v>
      </c>
      <c r="D33" s="29" t="s">
        <v>42</v>
      </c>
      <c r="E33" s="30" t="s">
        <v>28</v>
      </c>
      <c r="F33" s="31">
        <v>4500000</v>
      </c>
      <c r="G33" s="32">
        <v>4296.54</v>
      </c>
      <c r="H33" s="32">
        <v>4.9000000000000004</v>
      </c>
      <c r="I33" s="33">
        <v>7.5883495999999999</v>
      </c>
      <c r="J33" s="33"/>
      <c r="K33" s="34"/>
    </row>
    <row r="34" spans="2:11" x14ac:dyDescent="0.3">
      <c r="B34" s="1" t="s">
        <v>43</v>
      </c>
      <c r="C34" s="21" t="s">
        <v>44</v>
      </c>
      <c r="D34" s="29" t="s">
        <v>45</v>
      </c>
      <c r="E34" s="30" t="s">
        <v>28</v>
      </c>
      <c r="F34" s="31">
        <v>3500000</v>
      </c>
      <c r="G34" s="32">
        <v>3542.43</v>
      </c>
      <c r="H34" s="32">
        <v>4.04</v>
      </c>
      <c r="I34" s="33">
        <v>7.6043281</v>
      </c>
      <c r="J34" s="33"/>
      <c r="K34" s="34"/>
    </row>
    <row r="35" spans="2:11" x14ac:dyDescent="0.3">
      <c r="B35" s="1" t="s">
        <v>46</v>
      </c>
      <c r="C35" s="21" t="s">
        <v>47</v>
      </c>
      <c r="D35" s="29" t="s">
        <v>48</v>
      </c>
      <c r="E35" s="30" t="s">
        <v>28</v>
      </c>
      <c r="F35" s="31">
        <v>2500000</v>
      </c>
      <c r="G35" s="32">
        <v>2531.63</v>
      </c>
      <c r="H35" s="32">
        <v>2.88</v>
      </c>
      <c r="I35" s="33">
        <v>7.6331946000000004</v>
      </c>
      <c r="J35" s="33"/>
      <c r="K35" s="34"/>
    </row>
    <row r="36" spans="2:11" x14ac:dyDescent="0.3">
      <c r="B36" s="1" t="s">
        <v>49</v>
      </c>
      <c r="C36" s="21" t="s">
        <v>50</v>
      </c>
      <c r="D36" s="29" t="s">
        <v>51</v>
      </c>
      <c r="E36" s="30" t="s">
        <v>28</v>
      </c>
      <c r="F36" s="31">
        <v>2000000</v>
      </c>
      <c r="G36" s="32">
        <v>2022.09</v>
      </c>
      <c r="H36" s="32">
        <v>2.2999999999999998</v>
      </c>
      <c r="I36" s="33">
        <v>7.6103962000000003</v>
      </c>
      <c r="J36" s="33"/>
      <c r="K36" s="34"/>
    </row>
    <row r="37" spans="2:11" x14ac:dyDescent="0.3">
      <c r="B37" s="1" t="s">
        <v>52</v>
      </c>
      <c r="C37" s="21" t="s">
        <v>53</v>
      </c>
      <c r="D37" s="29" t="s">
        <v>54</v>
      </c>
      <c r="E37" s="30" t="s">
        <v>28</v>
      </c>
      <c r="F37" s="31">
        <v>1500000</v>
      </c>
      <c r="G37" s="32">
        <v>1528.01</v>
      </c>
      <c r="H37" s="32">
        <v>1.74</v>
      </c>
      <c r="I37" s="33">
        <v>7.5870448000000001</v>
      </c>
      <c r="J37" s="33"/>
      <c r="K37" s="34"/>
    </row>
    <row r="38" spans="2:11" x14ac:dyDescent="0.3">
      <c r="B38" s="1" t="s">
        <v>55</v>
      </c>
      <c r="C38" s="21" t="s">
        <v>56</v>
      </c>
      <c r="D38" s="29" t="s">
        <v>57</v>
      </c>
      <c r="E38" s="30" t="s">
        <v>28</v>
      </c>
      <c r="F38" s="31">
        <v>1500000</v>
      </c>
      <c r="G38" s="32">
        <v>1468.85</v>
      </c>
      <c r="H38" s="32">
        <v>1.67</v>
      </c>
      <c r="I38" s="33">
        <v>7.5885707</v>
      </c>
      <c r="J38" s="33"/>
      <c r="K38" s="34"/>
    </row>
    <row r="39" spans="2:11" x14ac:dyDescent="0.3">
      <c r="B39" s="1" t="s">
        <v>58</v>
      </c>
      <c r="C39" s="21" t="s">
        <v>59</v>
      </c>
      <c r="D39" s="29" t="s">
        <v>60</v>
      </c>
      <c r="E39" s="30" t="s">
        <v>28</v>
      </c>
      <c r="F39" s="31">
        <v>1000000</v>
      </c>
      <c r="G39" s="32">
        <v>1015.24</v>
      </c>
      <c r="H39" s="32">
        <v>1.1599999999999999</v>
      </c>
      <c r="I39" s="33">
        <v>7.6103962000000003</v>
      </c>
      <c r="J39" s="33"/>
      <c r="K39" s="34"/>
    </row>
    <row r="40" spans="2:11" x14ac:dyDescent="0.3">
      <c r="B40" s="1" t="s">
        <v>61</v>
      </c>
      <c r="C40" s="21" t="s">
        <v>62</v>
      </c>
      <c r="D40" s="29" t="s">
        <v>63</v>
      </c>
      <c r="E40" s="30" t="s">
        <v>28</v>
      </c>
      <c r="F40" s="31">
        <v>1000000</v>
      </c>
      <c r="G40" s="32">
        <v>1011.94</v>
      </c>
      <c r="H40" s="32">
        <v>1.1499999999999999</v>
      </c>
      <c r="I40" s="33">
        <v>7.6068693999999999</v>
      </c>
      <c r="J40" s="33"/>
      <c r="K40" s="34"/>
    </row>
    <row r="41" spans="2:11" x14ac:dyDescent="0.3">
      <c r="B41" s="1" t="s">
        <v>64</v>
      </c>
      <c r="C41" s="21" t="s">
        <v>65</v>
      </c>
      <c r="D41" s="29" t="s">
        <v>66</v>
      </c>
      <c r="E41" s="30" t="s">
        <v>28</v>
      </c>
      <c r="F41" s="31">
        <v>1000000</v>
      </c>
      <c r="G41" s="32">
        <v>990.89</v>
      </c>
      <c r="H41" s="32">
        <v>1.1299999999999999</v>
      </c>
      <c r="I41" s="33">
        <v>7.6257945999999999</v>
      </c>
      <c r="J41" s="33"/>
      <c r="K41" s="34"/>
    </row>
    <row r="42" spans="2:11" x14ac:dyDescent="0.3">
      <c r="B42" s="1" t="s">
        <v>67</v>
      </c>
      <c r="C42" s="21" t="s">
        <v>68</v>
      </c>
      <c r="D42" s="29" t="s">
        <v>69</v>
      </c>
      <c r="E42" s="30" t="s">
        <v>28</v>
      </c>
      <c r="F42" s="31">
        <v>500000</v>
      </c>
      <c r="G42" s="32">
        <v>490.84</v>
      </c>
      <c r="H42" s="32">
        <v>0.56000000000000005</v>
      </c>
      <c r="I42" s="33">
        <v>7.5939645000000002</v>
      </c>
      <c r="J42" s="33"/>
      <c r="K42" s="34"/>
    </row>
    <row r="43" spans="2:11" x14ac:dyDescent="0.3">
      <c r="B43" s="1" t="s">
        <v>70</v>
      </c>
      <c r="C43" s="21" t="s">
        <v>71</v>
      </c>
      <c r="D43" s="29" t="s">
        <v>72</v>
      </c>
      <c r="E43" s="30" t="s">
        <v>28</v>
      </c>
      <c r="F43" s="31">
        <v>300000</v>
      </c>
      <c r="G43" s="32">
        <v>306.79000000000002</v>
      </c>
      <c r="H43" s="32">
        <v>0.35</v>
      </c>
      <c r="I43" s="33">
        <v>7.6409492999999999</v>
      </c>
      <c r="J43" s="33"/>
      <c r="K43" s="34"/>
    </row>
    <row r="44" spans="2:11" x14ac:dyDescent="0.3">
      <c r="B44" s="1" t="s">
        <v>73</v>
      </c>
      <c r="C44" s="21" t="s">
        <v>74</v>
      </c>
      <c r="D44" s="29" t="s">
        <v>75</v>
      </c>
      <c r="E44" s="30" t="s">
        <v>28</v>
      </c>
      <c r="F44" s="31">
        <v>40800</v>
      </c>
      <c r="G44" s="32">
        <v>42.79</v>
      </c>
      <c r="H44" s="32">
        <v>0.05</v>
      </c>
      <c r="I44" s="33">
        <v>7.6159074000000002</v>
      </c>
      <c r="J44" s="33"/>
      <c r="K44" s="34"/>
    </row>
    <row r="45" spans="2:11" x14ac:dyDescent="0.3">
      <c r="B45" s="1" t="s">
        <v>76</v>
      </c>
      <c r="C45" s="21" t="s">
        <v>77</v>
      </c>
      <c r="D45" s="29" t="s">
        <v>78</v>
      </c>
      <c r="E45" s="30" t="s">
        <v>28</v>
      </c>
      <c r="F45" s="31">
        <v>4800</v>
      </c>
      <c r="G45" s="32">
        <v>4.78</v>
      </c>
      <c r="H45" s="32">
        <v>0.01</v>
      </c>
      <c r="I45" s="33">
        <v>7.5913193999999997</v>
      </c>
      <c r="J45" s="33"/>
      <c r="K45" s="34"/>
    </row>
    <row r="46" spans="2:11" x14ac:dyDescent="0.3">
      <c r="C46" s="28" t="s">
        <v>35</v>
      </c>
      <c r="D46" s="29"/>
      <c r="E46" s="30"/>
      <c r="F46" s="31"/>
      <c r="G46" s="38">
        <v>25412.19</v>
      </c>
      <c r="H46" s="38">
        <v>28.96</v>
      </c>
      <c r="I46" s="33"/>
      <c r="J46" s="33"/>
      <c r="K46" s="34"/>
    </row>
    <row r="47" spans="2:11" x14ac:dyDescent="0.3">
      <c r="C47" s="21"/>
      <c r="D47" s="29"/>
      <c r="E47" s="30"/>
      <c r="F47" s="31"/>
      <c r="G47" s="32"/>
      <c r="H47" s="32"/>
      <c r="I47" s="33"/>
      <c r="J47" s="33"/>
      <c r="K47" s="34"/>
    </row>
    <row r="48" spans="2:11" x14ac:dyDescent="0.3">
      <c r="C48" s="28" t="s">
        <v>79</v>
      </c>
      <c r="D48" s="29"/>
      <c r="E48" s="30"/>
      <c r="F48" s="31"/>
      <c r="G48" s="32"/>
      <c r="H48" s="32"/>
      <c r="I48" s="33"/>
      <c r="J48" s="33"/>
      <c r="K48" s="34"/>
    </row>
    <row r="49" spans="1:11" x14ac:dyDescent="0.3">
      <c r="C49" s="21"/>
      <c r="D49" s="29"/>
      <c r="E49" s="30"/>
      <c r="F49" s="31"/>
      <c r="G49" s="32"/>
      <c r="H49" s="32"/>
      <c r="I49" s="33"/>
      <c r="J49" s="33"/>
      <c r="K49" s="34"/>
    </row>
    <row r="50" spans="1:11" x14ac:dyDescent="0.3">
      <c r="C50" s="28" t="s">
        <v>80</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81</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82</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83</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A58" s="35"/>
      <c r="B58" s="36"/>
      <c r="C58" s="28" t="s">
        <v>84</v>
      </c>
      <c r="D58" s="29"/>
      <c r="E58" s="30"/>
      <c r="F58" s="31"/>
      <c r="G58" s="32"/>
      <c r="H58" s="32"/>
      <c r="I58" s="33"/>
      <c r="J58" s="33"/>
      <c r="K58" s="34"/>
    </row>
    <row r="59" spans="1:11" x14ac:dyDescent="0.3">
      <c r="A59" s="36"/>
      <c r="B59" s="36"/>
      <c r="C59" s="28" t="s">
        <v>85</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86</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87</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88</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C67" s="37" t="s">
        <v>89</v>
      </c>
      <c r="D67" s="29"/>
      <c r="E67" s="30"/>
      <c r="F67" s="31"/>
      <c r="G67" s="32"/>
      <c r="H67" s="32"/>
      <c r="I67" s="33"/>
      <c r="J67" s="33"/>
      <c r="K67" s="34"/>
    </row>
    <row r="68" spans="1:11" x14ac:dyDescent="0.3">
      <c r="B68" s="1" t="s">
        <v>90</v>
      </c>
      <c r="C68" s="21" t="s">
        <v>91</v>
      </c>
      <c r="D68" s="29"/>
      <c r="E68" s="30"/>
      <c r="F68" s="31"/>
      <c r="G68" s="32">
        <v>5740.98</v>
      </c>
      <c r="H68" s="32">
        <v>6.54</v>
      </c>
      <c r="I68" s="33">
        <v>6.79</v>
      </c>
      <c r="J68" s="33"/>
      <c r="K68" s="34"/>
    </row>
    <row r="69" spans="1:11" x14ac:dyDescent="0.3">
      <c r="C69" s="28" t="s">
        <v>35</v>
      </c>
      <c r="D69" s="29"/>
      <c r="E69" s="30"/>
      <c r="F69" s="31"/>
      <c r="G69" s="38">
        <v>5740.98</v>
      </c>
      <c r="H69" s="38">
        <v>6.54</v>
      </c>
      <c r="I69" s="33"/>
      <c r="J69" s="33"/>
      <c r="K69" s="34"/>
    </row>
    <row r="70" spans="1:11" x14ac:dyDescent="0.3">
      <c r="C70" s="21"/>
      <c r="D70" s="29"/>
      <c r="E70" s="30"/>
      <c r="F70" s="31"/>
      <c r="G70" s="32"/>
      <c r="H70" s="32"/>
      <c r="I70" s="33"/>
      <c r="J70" s="33"/>
      <c r="K70" s="34"/>
    </row>
    <row r="71" spans="1:11" x14ac:dyDescent="0.3">
      <c r="A71" s="35"/>
      <c r="B71" s="36"/>
      <c r="C71" s="28" t="s">
        <v>92</v>
      </c>
      <c r="D71" s="29"/>
      <c r="E71" s="30"/>
      <c r="F71" s="31"/>
      <c r="G71" s="32"/>
      <c r="H71" s="32"/>
      <c r="I71" s="33"/>
      <c r="J71" s="33"/>
      <c r="K71" s="34"/>
    </row>
    <row r="72" spans="1:11" x14ac:dyDescent="0.3">
      <c r="B72" s="1"/>
      <c r="C72" s="21" t="s">
        <v>93</v>
      </c>
      <c r="D72" s="29"/>
      <c r="E72" s="30"/>
      <c r="F72" s="31"/>
      <c r="G72" s="32">
        <v>-2596.44</v>
      </c>
      <c r="H72" s="32">
        <v>-2.9699999999999998</v>
      </c>
      <c r="I72" s="33"/>
      <c r="J72" s="33"/>
      <c r="K72" s="34"/>
    </row>
    <row r="73" spans="1:11" x14ac:dyDescent="0.3">
      <c r="C73" s="28" t="s">
        <v>35</v>
      </c>
      <c r="D73" s="29"/>
      <c r="E73" s="30"/>
      <c r="F73" s="31"/>
      <c r="G73" s="38">
        <v>-2596.44</v>
      </c>
      <c r="H73" s="38">
        <v>-2.9699999999999998</v>
      </c>
      <c r="I73" s="33"/>
      <c r="J73" s="33"/>
      <c r="K73" s="34"/>
    </row>
    <row r="74" spans="1:11" x14ac:dyDescent="0.3">
      <c r="C74" s="21"/>
      <c r="D74" s="29"/>
      <c r="E74" s="30"/>
      <c r="F74" s="31"/>
      <c r="G74" s="32"/>
      <c r="H74" s="32"/>
      <c r="I74" s="33"/>
      <c r="J74" s="33"/>
      <c r="K74" s="34"/>
    </row>
    <row r="75" spans="1:11" ht="14.4" thickBot="1" x14ac:dyDescent="0.35">
      <c r="C75" s="39" t="s">
        <v>94</v>
      </c>
      <c r="D75" s="40"/>
      <c r="E75" s="41"/>
      <c r="F75" s="42"/>
      <c r="G75" s="43">
        <v>87768.29</v>
      </c>
      <c r="H75" s="43">
        <f>SUMIFS(H:H,C:C,"Total")</f>
        <v>100.00000000000001</v>
      </c>
      <c r="I75" s="44"/>
      <c r="J75" s="44"/>
      <c r="K75" s="45"/>
    </row>
    <row r="78" spans="1:11" x14ac:dyDescent="0.3">
      <c r="C78" s="11" t="s">
        <v>95</v>
      </c>
    </row>
    <row r="79" spans="1:11" x14ac:dyDescent="0.3">
      <c r="C79" s="2" t="s">
        <v>96</v>
      </c>
    </row>
    <row r="80" spans="1:11" x14ac:dyDescent="0.3">
      <c r="C80" s="46" t="s">
        <v>97</v>
      </c>
    </row>
    <row r="81" spans="3:55" x14ac:dyDescent="0.3">
      <c r="C81" s="2" t="s">
        <v>98</v>
      </c>
    </row>
    <row r="82" spans="3:55" x14ac:dyDescent="0.3">
      <c r="C82" s="2" t="s">
        <v>99</v>
      </c>
    </row>
    <row r="83" spans="3:55" x14ac:dyDescent="0.3">
      <c r="C83" s="2" t="s">
        <v>100</v>
      </c>
      <c r="D83" s="47"/>
      <c r="E83" s="47"/>
      <c r="F83" s="47"/>
      <c r="G83" s="48"/>
      <c r="H83" s="48"/>
    </row>
    <row r="84" spans="3:55" x14ac:dyDescent="0.3">
      <c r="C84" s="2" t="s">
        <v>101</v>
      </c>
    </row>
    <row r="85" spans="3:55" x14ac:dyDescent="0.3">
      <c r="C85" s="2" t="s">
        <v>102</v>
      </c>
    </row>
    <row r="86" spans="3:55" x14ac:dyDescent="0.3">
      <c r="C86" s="2" t="s">
        <v>103</v>
      </c>
    </row>
    <row r="87" spans="3:55" x14ac:dyDescent="0.3">
      <c r="C87" s="2" t="s">
        <v>104</v>
      </c>
    </row>
    <row r="88" spans="3:55" s="11" customFormat="1" x14ac:dyDescent="0.3">
      <c r="C88" s="11" t="s">
        <v>105</v>
      </c>
      <c r="E88" s="11" t="s">
        <v>106</v>
      </c>
      <c r="F88" s="49" t="s">
        <v>107</v>
      </c>
      <c r="G88" s="50"/>
      <c r="H88" s="50"/>
      <c r="I88" s="50"/>
      <c r="J88" s="50"/>
      <c r="K88" s="51"/>
      <c r="L88" s="51"/>
      <c r="M88" s="51"/>
      <c r="AJ88" s="51"/>
      <c r="AW88" s="51"/>
      <c r="AY88" s="51"/>
      <c r="BC88" s="51"/>
    </row>
    <row r="89" spans="3:55" x14ac:dyDescent="0.3">
      <c r="C89" s="2" t="s">
        <v>108</v>
      </c>
      <c r="E89" s="52">
        <v>23.338699999999999</v>
      </c>
      <c r="F89" s="53">
        <v>23.365600000000001</v>
      </c>
    </row>
    <row r="90" spans="3:55" x14ac:dyDescent="0.3">
      <c r="C90" s="2" t="s">
        <v>109</v>
      </c>
      <c r="E90" s="52">
        <v>36.580300000000001</v>
      </c>
      <c r="F90" s="53">
        <v>36.622500000000002</v>
      </c>
    </row>
    <row r="91" spans="3:55" x14ac:dyDescent="0.3">
      <c r="C91" s="2" t="s">
        <v>110</v>
      </c>
      <c r="E91" s="52">
        <v>31.4925</v>
      </c>
      <c r="F91" s="53">
        <v>31.5366</v>
      </c>
    </row>
    <row r="92" spans="3:55" x14ac:dyDescent="0.3">
      <c r="C92" s="2" t="s">
        <v>111</v>
      </c>
      <c r="E92" s="52">
        <v>39.909599999999998</v>
      </c>
      <c r="F92" s="53">
        <v>39.965499999999999</v>
      </c>
    </row>
    <row r="94" spans="3:55" x14ac:dyDescent="0.3">
      <c r="C94" s="2" t="s">
        <v>112</v>
      </c>
    </row>
    <row r="96" spans="3:55" x14ac:dyDescent="0.3">
      <c r="C96" s="2" t="s">
        <v>113</v>
      </c>
    </row>
    <row r="97" spans="3:11" x14ac:dyDescent="0.3">
      <c r="C97" s="2" t="s">
        <v>114</v>
      </c>
    </row>
    <row r="98" spans="3:11" x14ac:dyDescent="0.3">
      <c r="C98" s="2" t="s">
        <v>115</v>
      </c>
    </row>
    <row r="99" spans="3:11" x14ac:dyDescent="0.3">
      <c r="C99" s="2" t="s">
        <v>116</v>
      </c>
    </row>
    <row r="100" spans="3:11" x14ac:dyDescent="0.3">
      <c r="C100" s="2" t="s">
        <v>117</v>
      </c>
    </row>
    <row r="101" spans="3:11" x14ac:dyDescent="0.3">
      <c r="C101" s="2" t="s">
        <v>118</v>
      </c>
    </row>
    <row r="102" spans="3:11" x14ac:dyDescent="0.3">
      <c r="C102" s="2" t="s">
        <v>119</v>
      </c>
    </row>
    <row r="103" spans="3:11" x14ac:dyDescent="0.3">
      <c r="C103" s="2" t="s">
        <v>120</v>
      </c>
    </row>
    <row r="104" spans="3:11" x14ac:dyDescent="0.3">
      <c r="C104" s="2" t="s">
        <v>121</v>
      </c>
    </row>
    <row r="105" spans="3:11" x14ac:dyDescent="0.3">
      <c r="C105" s="2" t="s">
        <v>122</v>
      </c>
    </row>
    <row r="106" spans="3:11" x14ac:dyDescent="0.3">
      <c r="C106" s="2" t="s">
        <v>123</v>
      </c>
    </row>
    <row r="107" spans="3:11" x14ac:dyDescent="0.3">
      <c r="C107" s="2" t="s">
        <v>124</v>
      </c>
    </row>
    <row r="108" spans="3:11" ht="14.4" x14ac:dyDescent="0.3">
      <c r="C108" s="2" t="s">
        <v>125</v>
      </c>
      <c r="D108" s="54"/>
      <c r="E108" s="55"/>
      <c r="F108" s="55"/>
      <c r="G108" s="55"/>
      <c r="H108" s="55"/>
      <c r="I108" s="55"/>
      <c r="J108" s="55"/>
      <c r="K108" s="55"/>
    </row>
    <row r="109" spans="3:11" ht="14.4" x14ac:dyDescent="0.3">
      <c r="C109" s="2" t="s">
        <v>126</v>
      </c>
      <c r="D109" s="55"/>
      <c r="E109" s="55"/>
      <c r="F109" s="55"/>
      <c r="G109" s="55"/>
      <c r="H109" s="55"/>
      <c r="I109" s="55"/>
      <c r="J109" s="55"/>
      <c r="K109" s="55"/>
    </row>
    <row r="110" spans="3:11" ht="14.4" x14ac:dyDescent="0.3">
      <c r="C110" s="54"/>
      <c r="D110" s="54"/>
      <c r="E110" s="55"/>
      <c r="F110" s="55"/>
      <c r="G110" s="55"/>
      <c r="H110" s="55"/>
      <c r="I110" s="55"/>
      <c r="J110" s="55"/>
      <c r="K110" s="55"/>
    </row>
    <row r="111" spans="3:11" ht="14.4" x14ac:dyDescent="0.3">
      <c r="C111" s="55"/>
      <c r="D111" s="55"/>
      <c r="E111" s="55"/>
      <c r="F111" s="55"/>
      <c r="G111" s="55"/>
      <c r="H111" s="55"/>
      <c r="I111" s="55"/>
      <c r="J111" s="55"/>
      <c r="K111" s="55"/>
    </row>
    <row r="112" spans="3:11" ht="14.4" x14ac:dyDescent="0.3">
      <c r="C112" s="55"/>
      <c r="D112" s="55"/>
      <c r="E112" s="55"/>
      <c r="F112" s="55"/>
      <c r="G112" s="55"/>
      <c r="H112" s="55"/>
      <c r="I112" s="55"/>
      <c r="J112" s="55"/>
      <c r="K112" s="55"/>
    </row>
    <row r="130" spans="3:6" ht="14.4" thickBot="1" x14ac:dyDescent="0.35"/>
    <row r="131" spans="3:6" ht="15" thickBot="1" x14ac:dyDescent="0.35">
      <c r="C131" s="66" t="s">
        <v>127</v>
      </c>
      <c r="D131" s="67"/>
      <c r="E131" s="67"/>
      <c r="F131" s="68"/>
    </row>
    <row r="132" spans="3:6" ht="15" thickBot="1" x14ac:dyDescent="0.35">
      <c r="C132" s="56" t="s">
        <v>128</v>
      </c>
      <c r="D132" s="69" t="s">
        <v>129</v>
      </c>
      <c r="E132" s="69" t="s">
        <v>130</v>
      </c>
      <c r="F132" s="69" t="s">
        <v>131</v>
      </c>
    </row>
    <row r="133" spans="3:6" ht="15" thickBot="1" x14ac:dyDescent="0.35">
      <c r="C133" s="56" t="s">
        <v>132</v>
      </c>
      <c r="D133" s="70"/>
      <c r="E133" s="70"/>
      <c r="F133" s="70"/>
    </row>
    <row r="134" spans="3:6" ht="15" thickBot="1" x14ac:dyDescent="0.35">
      <c r="C134" s="57" t="s">
        <v>133</v>
      </c>
      <c r="D134" s="58"/>
      <c r="E134" s="58"/>
      <c r="F134" s="58"/>
    </row>
    <row r="135" spans="3:6" ht="14.4" x14ac:dyDescent="0.3">
      <c r="C135" s="59" t="s">
        <v>134</v>
      </c>
      <c r="D135" s="64"/>
      <c r="E135" s="64"/>
      <c r="F135" s="64"/>
    </row>
    <row r="136" spans="3:6" ht="15" thickBot="1" x14ac:dyDescent="0.35">
      <c r="C136" s="57" t="s">
        <v>135</v>
      </c>
      <c r="D136" s="65"/>
      <c r="E136" s="65"/>
      <c r="F136" s="65"/>
    </row>
    <row r="137" spans="3:6" ht="14.4" x14ac:dyDescent="0.3">
      <c r="C137" s="59" t="s">
        <v>136</v>
      </c>
      <c r="D137" s="62" t="s">
        <v>137</v>
      </c>
      <c r="E137" s="64"/>
      <c r="F137" s="64"/>
    </row>
    <row r="138" spans="3:6" ht="15" thickBot="1" x14ac:dyDescent="0.35">
      <c r="C138" s="57" t="s">
        <v>138</v>
      </c>
      <c r="D138" s="63"/>
      <c r="E138" s="65"/>
      <c r="F138" s="65"/>
    </row>
    <row r="139" spans="3:6" ht="14.4" x14ac:dyDescent="0.35">
      <c r="C139" s="60" t="s">
        <v>139</v>
      </c>
      <c r="D139" s="61"/>
      <c r="E139" s="61"/>
      <c r="F139" s="61"/>
    </row>
    <row r="140" spans="3:6" ht="14.4" x14ac:dyDescent="0.35">
      <c r="C140" s="2" t="s">
        <v>140</v>
      </c>
      <c r="D140" s="61"/>
      <c r="E140" s="61"/>
      <c r="F140" s="61"/>
    </row>
  </sheetData>
  <mergeCells count="10">
    <mergeCell ref="D137:D138"/>
    <mergeCell ref="E137:E138"/>
    <mergeCell ref="F137:F138"/>
    <mergeCell ref="C131:F131"/>
    <mergeCell ref="D132:D133"/>
    <mergeCell ref="E132:E133"/>
    <mergeCell ref="F132:F133"/>
    <mergeCell ref="D135:D136"/>
    <mergeCell ref="E135:E136"/>
    <mergeCell ref="F135:F136"/>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2"/>
  <sheetViews>
    <sheetView topLeftCell="A100" workbookViewId="0">
      <selection activeCell="G116" sqref="G11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1" t="s">
        <v>141</v>
      </c>
      <c r="D3" s="72"/>
      <c r="E3" s="72"/>
      <c r="F3" s="72"/>
      <c r="G3" s="72"/>
      <c r="H3" s="72"/>
      <c r="I3" s="72"/>
      <c r="J3" s="72"/>
      <c r="K3" s="73"/>
      <c r="M3" s="9"/>
    </row>
    <row r="4" spans="1:55" ht="39" customHeight="1" thickBot="1" x14ac:dyDescent="0.35">
      <c r="C4" s="74"/>
      <c r="D4" s="75"/>
      <c r="E4" s="75"/>
      <c r="F4" s="75"/>
      <c r="G4" s="75"/>
      <c r="H4" s="75"/>
      <c r="I4" s="75"/>
      <c r="J4" s="75"/>
      <c r="K4" s="76"/>
    </row>
    <row r="5" spans="1:55" ht="14.4" thickBot="1" x14ac:dyDescent="0.35">
      <c r="C5" s="11"/>
    </row>
    <row r="6" spans="1:55" ht="57" customHeight="1" thickBot="1" x14ac:dyDescent="0.5">
      <c r="C6" s="77" t="s">
        <v>142</v>
      </c>
      <c r="D6" s="78"/>
      <c r="E6" s="78"/>
      <c r="F6" s="78"/>
      <c r="G6" s="78"/>
      <c r="H6" s="78"/>
      <c r="I6" s="78"/>
      <c r="J6" s="78"/>
      <c r="K6" s="79"/>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A21" s="36"/>
      <c r="B21" s="36"/>
      <c r="C21" s="28" t="s">
        <v>21</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22</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A25" s="36"/>
      <c r="B25" s="36"/>
      <c r="C25" s="28" t="s">
        <v>23</v>
      </c>
      <c r="D25" s="29"/>
      <c r="E25" s="30"/>
      <c r="F25" s="31"/>
      <c r="G25" s="32" t="s">
        <v>16</v>
      </c>
      <c r="H25" s="32" t="s">
        <v>16</v>
      </c>
      <c r="I25" s="33"/>
      <c r="J25" s="33"/>
      <c r="K25" s="34"/>
    </row>
    <row r="26" spans="1:11" x14ac:dyDescent="0.3">
      <c r="A26" s="36"/>
      <c r="B26" s="36"/>
      <c r="C26" s="28"/>
      <c r="D26" s="29"/>
      <c r="E26" s="30"/>
      <c r="F26" s="31"/>
      <c r="G26" s="32"/>
      <c r="H26" s="32"/>
      <c r="I26" s="33"/>
      <c r="J26" s="33"/>
      <c r="K26" s="34"/>
    </row>
    <row r="27" spans="1:11" x14ac:dyDescent="0.3">
      <c r="C27" s="37" t="s">
        <v>24</v>
      </c>
      <c r="D27" s="29"/>
      <c r="E27" s="30"/>
      <c r="F27" s="31"/>
      <c r="G27" s="32"/>
      <c r="H27" s="32"/>
      <c r="I27" s="33"/>
      <c r="J27" s="33"/>
      <c r="K27" s="34"/>
    </row>
    <row r="28" spans="1:11" x14ac:dyDescent="0.3">
      <c r="B28" s="1" t="s">
        <v>25</v>
      </c>
      <c r="C28" s="21" t="s">
        <v>26</v>
      </c>
      <c r="D28" s="29" t="s">
        <v>27</v>
      </c>
      <c r="E28" s="30" t="s">
        <v>28</v>
      </c>
      <c r="F28" s="31">
        <v>46500000</v>
      </c>
      <c r="G28" s="32">
        <v>46536.04</v>
      </c>
      <c r="H28" s="32">
        <v>53.02</v>
      </c>
      <c r="I28" s="33">
        <v>7.3776878999999997</v>
      </c>
      <c r="J28" s="33"/>
      <c r="K28" s="34"/>
    </row>
    <row r="29" spans="1:11" x14ac:dyDescent="0.3">
      <c r="B29" s="1" t="s">
        <v>29</v>
      </c>
      <c r="C29" s="21" t="s">
        <v>30</v>
      </c>
      <c r="D29" s="29" t="s">
        <v>31</v>
      </c>
      <c r="E29" s="30" t="s">
        <v>28</v>
      </c>
      <c r="F29" s="31">
        <v>11000000</v>
      </c>
      <c r="G29" s="32">
        <v>10976.02</v>
      </c>
      <c r="H29" s="32">
        <v>12.51</v>
      </c>
      <c r="I29" s="33">
        <v>7.3394211</v>
      </c>
      <c r="J29" s="33"/>
      <c r="K29" s="34"/>
    </row>
    <row r="30" spans="1:11" x14ac:dyDescent="0.3">
      <c r="B30" s="1" t="s">
        <v>32</v>
      </c>
      <c r="C30" s="21" t="s">
        <v>33</v>
      </c>
      <c r="D30" s="29" t="s">
        <v>34</v>
      </c>
      <c r="E30" s="30" t="s">
        <v>28</v>
      </c>
      <c r="F30" s="31">
        <v>1700000</v>
      </c>
      <c r="G30" s="32">
        <v>1699.5</v>
      </c>
      <c r="H30" s="32">
        <v>1.94</v>
      </c>
      <c r="I30" s="33">
        <v>7.3947871000000003</v>
      </c>
      <c r="J30" s="33"/>
      <c r="K30" s="34"/>
    </row>
    <row r="31" spans="1:11" x14ac:dyDescent="0.3">
      <c r="C31" s="28" t="s">
        <v>35</v>
      </c>
      <c r="D31" s="29"/>
      <c r="E31" s="30"/>
      <c r="F31" s="31"/>
      <c r="G31" s="38">
        <v>59211.56</v>
      </c>
      <c r="H31" s="38">
        <v>67.47</v>
      </c>
      <c r="I31" s="33"/>
      <c r="J31" s="33"/>
      <c r="K31" s="34"/>
    </row>
    <row r="32" spans="1:11" x14ac:dyDescent="0.3">
      <c r="C32" s="21"/>
      <c r="D32" s="29"/>
      <c r="E32" s="30"/>
      <c r="F32" s="31"/>
      <c r="G32" s="32"/>
      <c r="H32" s="32"/>
      <c r="I32" s="33"/>
      <c r="J32" s="33"/>
      <c r="K32" s="34"/>
    </row>
    <row r="33" spans="2:11" x14ac:dyDescent="0.3">
      <c r="C33" s="37" t="s">
        <v>36</v>
      </c>
      <c r="D33" s="29"/>
      <c r="E33" s="30"/>
      <c r="F33" s="31"/>
      <c r="G33" s="32"/>
      <c r="H33" s="32"/>
      <c r="I33" s="33"/>
      <c r="J33" s="33"/>
      <c r="K33" s="34"/>
    </row>
    <row r="34" spans="2:11" x14ac:dyDescent="0.3">
      <c r="B34" s="1" t="s">
        <v>37</v>
      </c>
      <c r="C34" s="21" t="s">
        <v>38</v>
      </c>
      <c r="D34" s="29" t="s">
        <v>39</v>
      </c>
      <c r="E34" s="30" t="s">
        <v>28</v>
      </c>
      <c r="F34" s="31">
        <v>6400000</v>
      </c>
      <c r="G34" s="32">
        <v>6159.37</v>
      </c>
      <c r="H34" s="32">
        <v>7.02</v>
      </c>
      <c r="I34" s="33">
        <v>7.5896461999999998</v>
      </c>
      <c r="J34" s="33"/>
      <c r="K34" s="34"/>
    </row>
    <row r="35" spans="2:11" x14ac:dyDescent="0.3">
      <c r="B35" s="1" t="s">
        <v>40</v>
      </c>
      <c r="C35" s="21" t="s">
        <v>41</v>
      </c>
      <c r="D35" s="29" t="s">
        <v>42</v>
      </c>
      <c r="E35" s="30" t="s">
        <v>28</v>
      </c>
      <c r="F35" s="31">
        <v>4500000</v>
      </c>
      <c r="G35" s="32">
        <v>4296.54</v>
      </c>
      <c r="H35" s="32">
        <v>4.9000000000000004</v>
      </c>
      <c r="I35" s="33">
        <v>7.5883495999999999</v>
      </c>
      <c r="J35" s="33"/>
      <c r="K35" s="34"/>
    </row>
    <row r="36" spans="2:11" x14ac:dyDescent="0.3">
      <c r="B36" s="1" t="s">
        <v>43</v>
      </c>
      <c r="C36" s="21" t="s">
        <v>44</v>
      </c>
      <c r="D36" s="29" t="s">
        <v>45</v>
      </c>
      <c r="E36" s="30" t="s">
        <v>28</v>
      </c>
      <c r="F36" s="31">
        <v>3500000</v>
      </c>
      <c r="G36" s="32">
        <v>3542.43</v>
      </c>
      <c r="H36" s="32">
        <v>4.04</v>
      </c>
      <c r="I36" s="33">
        <v>7.6043281</v>
      </c>
      <c r="J36" s="33"/>
      <c r="K36" s="34"/>
    </row>
    <row r="37" spans="2:11" x14ac:dyDescent="0.3">
      <c r="B37" s="1" t="s">
        <v>46</v>
      </c>
      <c r="C37" s="21" t="s">
        <v>47</v>
      </c>
      <c r="D37" s="29" t="s">
        <v>48</v>
      </c>
      <c r="E37" s="30" t="s">
        <v>28</v>
      </c>
      <c r="F37" s="31">
        <v>2500000</v>
      </c>
      <c r="G37" s="32">
        <v>2531.63</v>
      </c>
      <c r="H37" s="32">
        <v>2.88</v>
      </c>
      <c r="I37" s="33">
        <v>7.6331946000000004</v>
      </c>
      <c r="J37" s="33"/>
      <c r="K37" s="34"/>
    </row>
    <row r="38" spans="2:11" x14ac:dyDescent="0.3">
      <c r="B38" s="1" t="s">
        <v>49</v>
      </c>
      <c r="C38" s="21" t="s">
        <v>50</v>
      </c>
      <c r="D38" s="29" t="s">
        <v>51</v>
      </c>
      <c r="E38" s="30" t="s">
        <v>28</v>
      </c>
      <c r="F38" s="31">
        <v>2000000</v>
      </c>
      <c r="G38" s="32">
        <v>2022.09</v>
      </c>
      <c r="H38" s="32">
        <v>2.2999999999999998</v>
      </c>
      <c r="I38" s="33">
        <v>7.6103962000000003</v>
      </c>
      <c r="J38" s="33"/>
      <c r="K38" s="34"/>
    </row>
    <row r="39" spans="2:11" x14ac:dyDescent="0.3">
      <c r="B39" s="1" t="s">
        <v>52</v>
      </c>
      <c r="C39" s="21" t="s">
        <v>53</v>
      </c>
      <c r="D39" s="29" t="s">
        <v>54</v>
      </c>
      <c r="E39" s="30" t="s">
        <v>28</v>
      </c>
      <c r="F39" s="31">
        <v>1500000</v>
      </c>
      <c r="G39" s="32">
        <v>1528.01</v>
      </c>
      <c r="H39" s="32">
        <v>1.74</v>
      </c>
      <c r="I39" s="33">
        <v>7.5870448000000001</v>
      </c>
      <c r="J39" s="33"/>
      <c r="K39" s="34"/>
    </row>
    <row r="40" spans="2:11" x14ac:dyDescent="0.3">
      <c r="B40" s="1" t="s">
        <v>55</v>
      </c>
      <c r="C40" s="21" t="s">
        <v>56</v>
      </c>
      <c r="D40" s="29" t="s">
        <v>57</v>
      </c>
      <c r="E40" s="30" t="s">
        <v>28</v>
      </c>
      <c r="F40" s="31">
        <v>1500000</v>
      </c>
      <c r="G40" s="32">
        <v>1468.85</v>
      </c>
      <c r="H40" s="32">
        <v>1.67</v>
      </c>
      <c r="I40" s="33">
        <v>7.5885707</v>
      </c>
      <c r="J40" s="33"/>
      <c r="K40" s="34"/>
    </row>
    <row r="41" spans="2:11" x14ac:dyDescent="0.3">
      <c r="B41" s="1" t="s">
        <v>58</v>
      </c>
      <c r="C41" s="21" t="s">
        <v>59</v>
      </c>
      <c r="D41" s="29" t="s">
        <v>60</v>
      </c>
      <c r="E41" s="30" t="s">
        <v>28</v>
      </c>
      <c r="F41" s="31">
        <v>1000000</v>
      </c>
      <c r="G41" s="32">
        <v>1015.24</v>
      </c>
      <c r="H41" s="32">
        <v>1.1599999999999999</v>
      </c>
      <c r="I41" s="33">
        <v>7.6103962000000003</v>
      </c>
      <c r="J41" s="33"/>
      <c r="K41" s="34"/>
    </row>
    <row r="42" spans="2:11" x14ac:dyDescent="0.3">
      <c r="B42" s="1" t="s">
        <v>61</v>
      </c>
      <c r="C42" s="21" t="s">
        <v>62</v>
      </c>
      <c r="D42" s="29" t="s">
        <v>63</v>
      </c>
      <c r="E42" s="30" t="s">
        <v>28</v>
      </c>
      <c r="F42" s="31">
        <v>1000000</v>
      </c>
      <c r="G42" s="32">
        <v>1011.94</v>
      </c>
      <c r="H42" s="32">
        <v>1.1499999999999999</v>
      </c>
      <c r="I42" s="33">
        <v>7.6068693999999999</v>
      </c>
      <c r="J42" s="33"/>
      <c r="K42" s="34"/>
    </row>
    <row r="43" spans="2:11" x14ac:dyDescent="0.3">
      <c r="B43" s="1" t="s">
        <v>64</v>
      </c>
      <c r="C43" s="21" t="s">
        <v>65</v>
      </c>
      <c r="D43" s="29" t="s">
        <v>66</v>
      </c>
      <c r="E43" s="30" t="s">
        <v>28</v>
      </c>
      <c r="F43" s="31">
        <v>1000000</v>
      </c>
      <c r="G43" s="32">
        <v>990.89</v>
      </c>
      <c r="H43" s="32">
        <v>1.1299999999999999</v>
      </c>
      <c r="I43" s="33">
        <v>7.6257945999999999</v>
      </c>
      <c r="J43" s="33"/>
      <c r="K43" s="34"/>
    </row>
    <row r="44" spans="2:11" x14ac:dyDescent="0.3">
      <c r="B44" s="1" t="s">
        <v>67</v>
      </c>
      <c r="C44" s="21" t="s">
        <v>68</v>
      </c>
      <c r="D44" s="29" t="s">
        <v>69</v>
      </c>
      <c r="E44" s="30" t="s">
        <v>28</v>
      </c>
      <c r="F44" s="31">
        <v>500000</v>
      </c>
      <c r="G44" s="32">
        <v>490.84</v>
      </c>
      <c r="H44" s="32">
        <v>0.56000000000000005</v>
      </c>
      <c r="I44" s="33">
        <v>7.5939645000000002</v>
      </c>
      <c r="J44" s="33"/>
      <c r="K44" s="34"/>
    </row>
    <row r="45" spans="2:11" x14ac:dyDescent="0.3">
      <c r="B45" s="1" t="s">
        <v>70</v>
      </c>
      <c r="C45" s="21" t="s">
        <v>71</v>
      </c>
      <c r="D45" s="29" t="s">
        <v>72</v>
      </c>
      <c r="E45" s="30" t="s">
        <v>28</v>
      </c>
      <c r="F45" s="31">
        <v>300000</v>
      </c>
      <c r="G45" s="32">
        <v>306.79000000000002</v>
      </c>
      <c r="H45" s="32">
        <v>0.35</v>
      </c>
      <c r="I45" s="33">
        <v>7.6409492999999999</v>
      </c>
      <c r="J45" s="33"/>
      <c r="K45" s="34"/>
    </row>
    <row r="46" spans="2:11" x14ac:dyDescent="0.3">
      <c r="B46" s="1" t="s">
        <v>73</v>
      </c>
      <c r="C46" s="21" t="s">
        <v>74</v>
      </c>
      <c r="D46" s="29" t="s">
        <v>75</v>
      </c>
      <c r="E46" s="30" t="s">
        <v>28</v>
      </c>
      <c r="F46" s="31">
        <v>40800</v>
      </c>
      <c r="G46" s="32">
        <v>42.79</v>
      </c>
      <c r="H46" s="32">
        <v>0.05</v>
      </c>
      <c r="I46" s="33">
        <v>7.6159074000000002</v>
      </c>
      <c r="J46" s="33"/>
      <c r="K46" s="34"/>
    </row>
    <row r="47" spans="2:11" x14ac:dyDescent="0.3">
      <c r="B47" s="1" t="s">
        <v>76</v>
      </c>
      <c r="C47" s="21" t="s">
        <v>77</v>
      </c>
      <c r="D47" s="29" t="s">
        <v>78</v>
      </c>
      <c r="E47" s="30" t="s">
        <v>28</v>
      </c>
      <c r="F47" s="31">
        <v>4800</v>
      </c>
      <c r="G47" s="32">
        <v>4.78</v>
      </c>
      <c r="H47" s="32">
        <v>0.01</v>
      </c>
      <c r="I47" s="33">
        <v>7.5913193999999997</v>
      </c>
      <c r="J47" s="33"/>
      <c r="K47" s="34"/>
    </row>
    <row r="48" spans="2:11" x14ac:dyDescent="0.3">
      <c r="C48" s="28" t="s">
        <v>35</v>
      </c>
      <c r="D48" s="29"/>
      <c r="E48" s="30"/>
      <c r="F48" s="31"/>
      <c r="G48" s="38">
        <v>25412.19</v>
      </c>
      <c r="H48" s="38">
        <v>28.96</v>
      </c>
      <c r="I48" s="33"/>
      <c r="J48" s="33"/>
      <c r="K48" s="34"/>
    </row>
    <row r="49" spans="1:11" x14ac:dyDescent="0.3">
      <c r="C49" s="21"/>
      <c r="D49" s="29"/>
      <c r="E49" s="30"/>
      <c r="F49" s="31"/>
      <c r="G49" s="32"/>
      <c r="H49" s="32"/>
      <c r="I49" s="33"/>
      <c r="J49" s="33"/>
      <c r="K49" s="34"/>
    </row>
    <row r="50" spans="1:11" x14ac:dyDescent="0.3">
      <c r="C50" s="28" t="s">
        <v>79</v>
      </c>
      <c r="D50" s="29"/>
      <c r="E50" s="30"/>
      <c r="F50" s="31"/>
      <c r="G50" s="32"/>
      <c r="H50" s="32"/>
      <c r="I50" s="33"/>
      <c r="J50" s="33"/>
      <c r="K50" s="34"/>
    </row>
    <row r="51" spans="1:11" x14ac:dyDescent="0.3">
      <c r="C51" s="21"/>
      <c r="D51" s="29"/>
      <c r="E51" s="30"/>
      <c r="F51" s="31"/>
      <c r="G51" s="32"/>
      <c r="H51" s="32"/>
      <c r="I51" s="33"/>
      <c r="J51" s="33"/>
      <c r="K51" s="34"/>
    </row>
    <row r="52" spans="1:11" x14ac:dyDescent="0.3">
      <c r="C52" s="28" t="s">
        <v>80</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81</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82</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83</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A60" s="35"/>
      <c r="B60" s="36"/>
      <c r="C60" s="28" t="s">
        <v>84</v>
      </c>
      <c r="D60" s="29"/>
      <c r="E60" s="30"/>
      <c r="F60" s="31"/>
      <c r="G60" s="32"/>
      <c r="H60" s="32"/>
      <c r="I60" s="33"/>
      <c r="J60" s="33"/>
      <c r="K60" s="34"/>
    </row>
    <row r="61" spans="1:11" x14ac:dyDescent="0.3">
      <c r="A61" s="36"/>
      <c r="B61" s="36"/>
      <c r="C61" s="28" t="s">
        <v>85</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86</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87</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A67" s="36"/>
      <c r="B67" s="36"/>
      <c r="C67" s="28" t="s">
        <v>88</v>
      </c>
      <c r="D67" s="29"/>
      <c r="E67" s="30"/>
      <c r="F67" s="31"/>
      <c r="G67" s="32" t="s">
        <v>16</v>
      </c>
      <c r="H67" s="32" t="s">
        <v>16</v>
      </c>
      <c r="I67" s="33"/>
      <c r="J67" s="33"/>
      <c r="K67" s="34"/>
    </row>
    <row r="68" spans="1:11" x14ac:dyDescent="0.3">
      <c r="A68" s="36"/>
      <c r="B68" s="36"/>
      <c r="C68" s="28"/>
      <c r="D68" s="29"/>
      <c r="E68" s="30"/>
      <c r="F68" s="31"/>
      <c r="G68" s="32"/>
      <c r="H68" s="32"/>
      <c r="I68" s="33"/>
      <c r="J68" s="33"/>
      <c r="K68" s="34"/>
    </row>
    <row r="69" spans="1:11" x14ac:dyDescent="0.3">
      <c r="C69" s="37" t="s">
        <v>89</v>
      </c>
      <c r="D69" s="29"/>
      <c r="E69" s="30"/>
      <c r="F69" s="31"/>
      <c r="G69" s="32"/>
      <c r="H69" s="32"/>
      <c r="I69" s="33"/>
      <c r="J69" s="33"/>
      <c r="K69" s="34"/>
    </row>
    <row r="70" spans="1:11" x14ac:dyDescent="0.3">
      <c r="B70" s="1" t="s">
        <v>90</v>
      </c>
      <c r="C70" s="21" t="s">
        <v>91</v>
      </c>
      <c r="D70" s="29"/>
      <c r="E70" s="30"/>
      <c r="F70" s="31"/>
      <c r="G70" s="32">
        <v>5740.98</v>
      </c>
      <c r="H70" s="32">
        <v>6.54</v>
      </c>
      <c r="I70" s="33">
        <v>6.79</v>
      </c>
      <c r="J70" s="33"/>
      <c r="K70" s="34"/>
    </row>
    <row r="71" spans="1:11" x14ac:dyDescent="0.3">
      <c r="C71" s="28" t="s">
        <v>35</v>
      </c>
      <c r="D71" s="29"/>
      <c r="E71" s="30"/>
      <c r="F71" s="31"/>
      <c r="G71" s="38">
        <v>5740.98</v>
      </c>
      <c r="H71" s="38">
        <v>6.54</v>
      </c>
      <c r="I71" s="33"/>
      <c r="J71" s="33"/>
      <c r="K71" s="34"/>
    </row>
    <row r="72" spans="1:11" x14ac:dyDescent="0.3">
      <c r="C72" s="21"/>
      <c r="D72" s="29"/>
      <c r="E72" s="30"/>
      <c r="F72" s="31"/>
      <c r="G72" s="32"/>
      <c r="H72" s="32"/>
      <c r="I72" s="33"/>
      <c r="J72" s="33"/>
      <c r="K72" s="34"/>
    </row>
    <row r="73" spans="1:11" x14ac:dyDescent="0.3">
      <c r="A73" s="35"/>
      <c r="B73" s="36"/>
      <c r="C73" s="28" t="s">
        <v>92</v>
      </c>
      <c r="D73" s="29"/>
      <c r="E73" s="30"/>
      <c r="F73" s="31"/>
      <c r="G73" s="32"/>
      <c r="H73" s="32"/>
      <c r="I73" s="33"/>
      <c r="J73" s="33"/>
      <c r="K73" s="34"/>
    </row>
    <row r="74" spans="1:11" x14ac:dyDescent="0.3">
      <c r="B74" s="1"/>
      <c r="C74" s="21" t="s">
        <v>93</v>
      </c>
      <c r="D74" s="29"/>
      <c r="E74" s="30"/>
      <c r="F74" s="31"/>
      <c r="G74" s="32">
        <v>-2596.44</v>
      </c>
      <c r="H74" s="32">
        <v>-2.9699999999999998</v>
      </c>
      <c r="I74" s="33"/>
      <c r="J74" s="33"/>
      <c r="K74" s="34"/>
    </row>
    <row r="75" spans="1:11" x14ac:dyDescent="0.3">
      <c r="C75" s="28" t="s">
        <v>35</v>
      </c>
      <c r="D75" s="29"/>
      <c r="E75" s="30"/>
      <c r="F75" s="31"/>
      <c r="G75" s="38">
        <v>-2596.44</v>
      </c>
      <c r="H75" s="38">
        <v>-2.9699999999999998</v>
      </c>
      <c r="I75" s="33"/>
      <c r="J75" s="33"/>
      <c r="K75" s="34"/>
    </row>
    <row r="76" spans="1:11" x14ac:dyDescent="0.3">
      <c r="C76" s="21"/>
      <c r="D76" s="29"/>
      <c r="E76" s="30"/>
      <c r="F76" s="31"/>
      <c r="G76" s="32"/>
      <c r="H76" s="32"/>
      <c r="I76" s="33"/>
      <c r="J76" s="33"/>
      <c r="K76" s="34"/>
    </row>
    <row r="77" spans="1:11" ht="14.4" thickBot="1" x14ac:dyDescent="0.35">
      <c r="C77" s="39" t="s">
        <v>94</v>
      </c>
      <c r="D77" s="40"/>
      <c r="E77" s="41"/>
      <c r="F77" s="42"/>
      <c r="G77" s="43">
        <v>87768.29</v>
      </c>
      <c r="H77" s="43">
        <f>SUMIFS(H:H,C:C,"Total")</f>
        <v>100.00000000000001</v>
      </c>
      <c r="I77" s="44"/>
      <c r="J77" s="44"/>
      <c r="K77" s="45"/>
    </row>
    <row r="80" spans="1:11" x14ac:dyDescent="0.3">
      <c r="C80" s="11" t="s">
        <v>95</v>
      </c>
    </row>
    <row r="81" spans="3:55" x14ac:dyDescent="0.3">
      <c r="C81" s="2" t="s">
        <v>96</v>
      </c>
    </row>
    <row r="82" spans="3:55" x14ac:dyDescent="0.3">
      <c r="C82" s="46" t="s">
        <v>97</v>
      </c>
    </row>
    <row r="83" spans="3:55" x14ac:dyDescent="0.3">
      <c r="C83" s="2" t="s">
        <v>98</v>
      </c>
    </row>
    <row r="84" spans="3:55" x14ac:dyDescent="0.3">
      <c r="C84" s="2" t="s">
        <v>99</v>
      </c>
    </row>
    <row r="85" spans="3:55" x14ac:dyDescent="0.3">
      <c r="C85" s="2" t="s">
        <v>100</v>
      </c>
      <c r="D85" s="47"/>
      <c r="E85" s="47"/>
      <c r="F85" s="47"/>
      <c r="G85" s="48"/>
      <c r="H85" s="48"/>
    </row>
    <row r="86" spans="3:55" x14ac:dyDescent="0.3">
      <c r="C86" s="2" t="s">
        <v>101</v>
      </c>
    </row>
    <row r="87" spans="3:55" x14ac:dyDescent="0.3">
      <c r="C87" s="2" t="s">
        <v>102</v>
      </c>
    </row>
    <row r="88" spans="3:55" x14ac:dyDescent="0.3">
      <c r="C88" s="2" t="s">
        <v>103</v>
      </c>
    </row>
    <row r="89" spans="3:55" x14ac:dyDescent="0.3">
      <c r="C89" s="2" t="s">
        <v>104</v>
      </c>
    </row>
    <row r="90" spans="3:55" s="11" customFormat="1" x14ac:dyDescent="0.3">
      <c r="C90" s="11" t="s">
        <v>105</v>
      </c>
      <c r="E90" s="11" t="s">
        <v>143</v>
      </c>
      <c r="F90" s="49" t="s">
        <v>107</v>
      </c>
      <c r="G90" s="50"/>
      <c r="H90" s="50"/>
      <c r="I90" s="50"/>
      <c r="J90" s="50"/>
      <c r="K90" s="51"/>
      <c r="L90" s="51"/>
      <c r="M90" s="51"/>
      <c r="AJ90" s="51"/>
      <c r="AW90" s="51"/>
      <c r="AY90" s="51"/>
      <c r="BC90" s="51"/>
    </row>
    <row r="91" spans="3:55" x14ac:dyDescent="0.3">
      <c r="C91" s="2" t="s">
        <v>108</v>
      </c>
      <c r="E91" s="52">
        <v>22.507000000000001</v>
      </c>
      <c r="F91" s="53">
        <v>23.365600000000001</v>
      </c>
    </row>
    <row r="92" spans="3:55" x14ac:dyDescent="0.3">
      <c r="C92" s="2" t="s">
        <v>109</v>
      </c>
      <c r="E92" s="52">
        <v>35.276699999999998</v>
      </c>
      <c r="F92" s="53">
        <v>36.622500000000002</v>
      </c>
    </row>
    <row r="93" spans="3:55" x14ac:dyDescent="0.3">
      <c r="C93" s="2" t="s">
        <v>110</v>
      </c>
      <c r="E93" s="52">
        <v>30.330200000000001</v>
      </c>
      <c r="F93" s="53">
        <v>31.5366</v>
      </c>
    </row>
    <row r="94" spans="3:55" x14ac:dyDescent="0.3">
      <c r="C94" s="2" t="s">
        <v>111</v>
      </c>
      <c r="E94" s="52">
        <v>38.436599999999999</v>
      </c>
      <c r="F94" s="53">
        <v>39.965499999999999</v>
      </c>
    </row>
    <row r="96" spans="3:55" x14ac:dyDescent="0.3">
      <c r="C96" s="2" t="s">
        <v>144</v>
      </c>
    </row>
    <row r="98" spans="3:11" x14ac:dyDescent="0.3">
      <c r="C98" s="2" t="s">
        <v>145</v>
      </c>
    </row>
    <row r="99" spans="3:11" x14ac:dyDescent="0.3">
      <c r="C99" s="2" t="s">
        <v>114</v>
      </c>
    </row>
    <row r="100" spans="3:11" x14ac:dyDescent="0.3">
      <c r="C100" s="2" t="s">
        <v>115</v>
      </c>
    </row>
    <row r="101" spans="3:11" x14ac:dyDescent="0.3">
      <c r="C101" s="2" t="s">
        <v>146</v>
      </c>
    </row>
    <row r="102" spans="3:11" x14ac:dyDescent="0.3">
      <c r="C102" s="2" t="s">
        <v>117</v>
      </c>
    </row>
    <row r="103" spans="3:11" x14ac:dyDescent="0.3">
      <c r="C103" s="2" t="s">
        <v>147</v>
      </c>
    </row>
    <row r="104" spans="3:11" x14ac:dyDescent="0.3">
      <c r="C104" s="2" t="s">
        <v>119</v>
      </c>
    </row>
    <row r="105" spans="3:11" x14ac:dyDescent="0.3">
      <c r="C105" s="2" t="s">
        <v>120</v>
      </c>
    </row>
    <row r="106" spans="3:11" x14ac:dyDescent="0.3">
      <c r="C106" s="2" t="s">
        <v>148</v>
      </c>
    </row>
    <row r="107" spans="3:11" x14ac:dyDescent="0.3">
      <c r="C107" s="2" t="s">
        <v>122</v>
      </c>
    </row>
    <row r="108" spans="3:11" x14ac:dyDescent="0.3">
      <c r="C108" s="2" t="s">
        <v>123</v>
      </c>
    </row>
    <row r="109" spans="3:11" x14ac:dyDescent="0.3">
      <c r="C109" s="2" t="s">
        <v>149</v>
      </c>
    </row>
    <row r="110" spans="3:11" ht="14.4" x14ac:dyDescent="0.3">
      <c r="C110" s="2" t="s">
        <v>125</v>
      </c>
      <c r="D110" s="54"/>
      <c r="E110" s="55"/>
      <c r="F110" s="55"/>
      <c r="G110" s="55"/>
      <c r="H110" s="55"/>
      <c r="I110" s="55"/>
      <c r="J110" s="55"/>
      <c r="K110" s="55"/>
    </row>
    <row r="111" spans="3:11" ht="14.4" x14ac:dyDescent="0.3">
      <c r="C111" s="2" t="s">
        <v>126</v>
      </c>
      <c r="D111" s="55"/>
      <c r="E111" s="55"/>
      <c r="F111" s="55"/>
      <c r="G111" s="55"/>
      <c r="H111" s="55"/>
      <c r="I111" s="55"/>
      <c r="J111" s="55"/>
      <c r="K111" s="55"/>
    </row>
    <row r="112" spans="3:11" ht="14.4" x14ac:dyDescent="0.3">
      <c r="C112" s="54"/>
      <c r="D112" s="54"/>
      <c r="E112" s="55"/>
      <c r="F112" s="55"/>
      <c r="G112" s="55"/>
      <c r="H112" s="55"/>
      <c r="I112" s="55"/>
      <c r="J112" s="55"/>
      <c r="K112" s="55"/>
    </row>
    <row r="113" spans="3:11" ht="14.4" x14ac:dyDescent="0.3">
      <c r="C113" s="55"/>
      <c r="D113" s="55"/>
      <c r="E113" s="55"/>
      <c r="F113" s="55"/>
      <c r="G113" s="55"/>
      <c r="H113" s="55"/>
      <c r="I113" s="55"/>
      <c r="J113" s="55"/>
      <c r="K113" s="55"/>
    </row>
    <row r="114" spans="3:11" ht="14.4" x14ac:dyDescent="0.3">
      <c r="C114" s="55"/>
      <c r="D114" s="55"/>
      <c r="E114" s="55"/>
      <c r="F114" s="55"/>
      <c r="G114" s="55"/>
      <c r="H114" s="55"/>
      <c r="I114" s="55"/>
      <c r="J114" s="55"/>
      <c r="K114" s="55"/>
    </row>
    <row r="132" spans="3:6" ht="14.4" thickBot="1" x14ac:dyDescent="0.35"/>
    <row r="133" spans="3:6" ht="15" thickBot="1" x14ac:dyDescent="0.35">
      <c r="C133" s="66" t="s">
        <v>127</v>
      </c>
      <c r="D133" s="67"/>
      <c r="E133" s="67"/>
      <c r="F133" s="68"/>
    </row>
    <row r="134" spans="3:6" ht="15" thickBot="1" x14ac:dyDescent="0.35">
      <c r="C134" s="56" t="s">
        <v>128</v>
      </c>
      <c r="D134" s="69" t="s">
        <v>129</v>
      </c>
      <c r="E134" s="69" t="s">
        <v>130</v>
      </c>
      <c r="F134" s="69" t="s">
        <v>131</v>
      </c>
    </row>
    <row r="135" spans="3:6" ht="15" thickBot="1" x14ac:dyDescent="0.35">
      <c r="C135" s="56" t="s">
        <v>132</v>
      </c>
      <c r="D135" s="70"/>
      <c r="E135" s="70"/>
      <c r="F135" s="70"/>
    </row>
    <row r="136" spans="3:6" ht="15" thickBot="1" x14ac:dyDescent="0.35">
      <c r="C136" s="57" t="s">
        <v>133</v>
      </c>
      <c r="D136" s="58"/>
      <c r="E136" s="58"/>
      <c r="F136" s="58"/>
    </row>
    <row r="137" spans="3:6" ht="14.4" x14ac:dyDescent="0.3">
      <c r="C137" s="59" t="s">
        <v>134</v>
      </c>
      <c r="D137" s="64"/>
      <c r="E137" s="64"/>
      <c r="F137" s="64"/>
    </row>
    <row r="138" spans="3:6" ht="15" thickBot="1" x14ac:dyDescent="0.35">
      <c r="C138" s="57" t="s">
        <v>135</v>
      </c>
      <c r="D138" s="65"/>
      <c r="E138" s="65"/>
      <c r="F138" s="65"/>
    </row>
    <row r="139" spans="3:6" ht="14.4" x14ac:dyDescent="0.3">
      <c r="C139" s="59" t="s">
        <v>136</v>
      </c>
      <c r="D139" s="62" t="s">
        <v>137</v>
      </c>
      <c r="E139" s="64"/>
      <c r="F139" s="64"/>
    </row>
    <row r="140" spans="3:6" ht="15" thickBot="1" x14ac:dyDescent="0.35">
      <c r="C140" s="57" t="s">
        <v>138</v>
      </c>
      <c r="D140" s="63"/>
      <c r="E140" s="65"/>
      <c r="F140" s="65"/>
    </row>
    <row r="141" spans="3:6" ht="14.4" x14ac:dyDescent="0.35">
      <c r="C141" s="60" t="s">
        <v>139</v>
      </c>
      <c r="D141" s="61"/>
      <c r="E141" s="61"/>
      <c r="F141" s="61"/>
    </row>
    <row r="142" spans="3:6" ht="14.4" x14ac:dyDescent="0.35">
      <c r="C142" s="2" t="s">
        <v>140</v>
      </c>
      <c r="D142" s="61"/>
      <c r="E142" s="61"/>
      <c r="F142" s="61"/>
    </row>
  </sheetData>
  <mergeCells count="12">
    <mergeCell ref="C3:K4"/>
    <mergeCell ref="C6:K6"/>
    <mergeCell ref="C133:F133"/>
    <mergeCell ref="D134:D135"/>
    <mergeCell ref="E134:E135"/>
    <mergeCell ref="F134:F135"/>
    <mergeCell ref="D137:D138"/>
    <mergeCell ref="E137:E138"/>
    <mergeCell ref="F137:F138"/>
    <mergeCell ref="D139:D140"/>
    <mergeCell ref="E139:E140"/>
    <mergeCell ref="F139:F1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XDO_?CLASS_3?19?</vt:lpstr>
      <vt:lpstr>XDO_?FINAL_ISIN?95?</vt:lpstr>
      <vt:lpstr>XDO_?FINAL_ISIN?96?</vt:lpstr>
      <vt:lpstr>XDO_?FINAL_ISIN?97?</vt:lpstr>
      <vt:lpstr>XDO_?FINAL_ISIN?98?</vt:lpstr>
      <vt:lpstr>XDO_?FINAL_MV?95?</vt:lpstr>
      <vt:lpstr>XDO_?FINAL_MV?96?</vt:lpstr>
      <vt:lpstr>XDO_?FINAL_MV?97?</vt:lpstr>
      <vt:lpstr>XDO_?FINAL_MV?98?</vt:lpstr>
      <vt:lpstr>XDO_?FINAL_NAME?95?</vt:lpstr>
      <vt:lpstr>XDO_?FINAL_NAME?96?</vt:lpstr>
      <vt:lpstr>XDO_?FINAL_NAME?97?</vt:lpstr>
      <vt:lpstr>XDO_?FINAL_NAME?98?</vt:lpstr>
      <vt:lpstr>XDO_?FINAL_PER_NET?95?</vt:lpstr>
      <vt:lpstr>XDO_?FINAL_PER_NET?96?</vt:lpstr>
      <vt:lpstr>XDO_?FINAL_PER_NET?97?</vt:lpstr>
      <vt:lpstr>XDO_?FINAL_PER_NET?98?</vt:lpstr>
      <vt:lpstr>XDO_?FINAL_QUANTITE?95?</vt:lpstr>
      <vt:lpstr>XDO_?FINAL_QUANTITE?96?</vt:lpstr>
      <vt:lpstr>XDO_?FINAL_QUANTITE?97?</vt:lpstr>
      <vt:lpstr>XDO_?FINAL_QUANTITE?98?</vt:lpstr>
      <vt:lpstr>XDO_?NAMCNAME?19?</vt:lpstr>
      <vt:lpstr>XDO_?NOVAL?95?</vt:lpstr>
      <vt:lpstr>XDO_?NOVAL?96?</vt:lpstr>
      <vt:lpstr>XDO_?NOVAL?97?</vt:lpstr>
      <vt:lpstr>XDO_?NOVAL?98?</vt:lpstr>
      <vt:lpstr>XDO_?NPTF?19?</vt:lpstr>
      <vt:lpstr>XDO_?RATING?95?</vt:lpstr>
      <vt:lpstr>XDO_?RATING?96?</vt:lpstr>
      <vt:lpstr>XDO_?RATING?97?</vt:lpstr>
      <vt:lpstr>XDO_?RATING?98?</vt:lpstr>
      <vt:lpstr>XDO_?REMARKS?95?</vt:lpstr>
      <vt:lpstr>XDO_?REMARKS?96?</vt:lpstr>
      <vt:lpstr>XDO_?REMARKS?97?</vt:lpstr>
      <vt:lpstr>XDO_?REMARKS?98?</vt:lpstr>
      <vt:lpstr>XDO_?TITL?19?</vt:lpstr>
      <vt:lpstr>XDO_?YTM?95?</vt:lpstr>
      <vt:lpstr>XDO_?YTM?96?</vt:lpstr>
      <vt:lpstr>XDO_?YTM?97?</vt:lpstr>
      <vt:lpstr>XDO_?YTM?98?</vt:lpstr>
      <vt:lpstr>XDO_GROUP_?G_2?19?</vt:lpstr>
      <vt:lpstr>XDO_GROUP_?G_3?19?</vt:lpstr>
      <vt:lpstr>XDO_GROUP_?G_4?95?</vt:lpstr>
      <vt:lpstr>XDO_GROUP_?G_4?96?</vt:lpstr>
      <vt:lpstr>XDO_GROUP_?G_4?97?</vt:lpstr>
      <vt:lpstr>XDO_GROUP_?G_4?98?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2023-10-05T12:54:18Z</dcterms:created>
  <dcterms:modified xsi:type="dcterms:W3CDTF">2023-10-09T11:21:14Z</dcterms:modified>
</cp:coreProperties>
</file>