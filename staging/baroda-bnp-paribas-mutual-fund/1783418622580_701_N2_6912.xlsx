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Baroda-uploading\Monthly-portfolio-30-April-2024\"/>
    </mc:Choice>
  </mc:AlternateContent>
  <xr:revisionPtr revIDLastSave="0" documentId="13_ncr:1_{93185888-D998-4432-B944-E6C6D8560E2A}" xr6:coauthVersionLast="47" xr6:coauthVersionMax="47" xr10:uidLastSave="{00000000-0000-0000-0000-000000000000}"/>
  <bookViews>
    <workbookView xWindow="-108" yWindow="-108" windowWidth="23256" windowHeight="12456" xr2:uid="{DE9E93FD-FB49-4E96-AEAC-6871EE905863}"/>
  </bookViews>
  <sheets>
    <sheet name="N2" sheetId="1" r:id="rId1"/>
  </sheets>
  <externalReferences>
    <externalReference r:id="rId2"/>
  </externalReferences>
  <definedNames>
    <definedName name="XDO_?CLASS_3?5?">'N2'!$C$16:$C$24</definedName>
    <definedName name="XDO_?FINAL_ISIN?23?">'N2'!$D$24</definedName>
    <definedName name="XDO_?FINAL_ISIN?24?">'N2'!$D$24:$D$32</definedName>
    <definedName name="XDO_?FINAL_ISIN?25?">'N2'!$D$24:$D$57</definedName>
    <definedName name="XDO_?FINAL_ISIN?26?">'N2'!$D$24:$D$61</definedName>
    <definedName name="XDO_?FINAL_MV?23?">'N2'!$G$24</definedName>
    <definedName name="XDO_?FINAL_MV?24?">'N2'!$G$24:$G$32</definedName>
    <definedName name="XDO_?FINAL_MV?25?">'N2'!$G$24:$G$57</definedName>
    <definedName name="XDO_?FINAL_MV?26?">'N2'!$G$24:$G$61</definedName>
    <definedName name="XDO_?FINAL_NAME?23?">'N2'!$C$24</definedName>
    <definedName name="XDO_?FINAL_NAME?24?">'N2'!$C$24:$C$32</definedName>
    <definedName name="XDO_?FINAL_NAME?25?">'N2'!$C$24:$C$57</definedName>
    <definedName name="XDO_?FINAL_NAME?26?">'N2'!$C$24:$C$61</definedName>
    <definedName name="XDO_?FINAL_PER_NET?23?">'N2'!$H$24</definedName>
    <definedName name="XDO_?FINAL_PER_NET?24?">'N2'!$H$24:$H$32</definedName>
    <definedName name="XDO_?FINAL_PER_NET?25?">'N2'!$H$24:$H$57</definedName>
    <definedName name="XDO_?FINAL_PER_NET?26?">'N2'!$H$24:$H$61</definedName>
    <definedName name="XDO_?FINAL_QUANTITE?23?">'N2'!$F$24</definedName>
    <definedName name="XDO_?FINAL_QUANTITE?24?">'N2'!$F$24:$F$32</definedName>
    <definedName name="XDO_?FINAL_QUANTITE?25?">'N2'!$F$24:$F$57</definedName>
    <definedName name="XDO_?FINAL_QUANTITE?26?">'N2'!$F$24:$F$61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[1]GE!#REF!</definedName>
    <definedName name="XDO_?NAMC?2?">[1]FL!#REF!</definedName>
    <definedName name="XDO_?NAMC?20?">[1]SC!#REF!</definedName>
    <definedName name="XDO_?NAMC?21?">[1]NF!#REF!</definedName>
    <definedName name="XDO_?NAMC?22?">[1]IV!#REF!</definedName>
    <definedName name="XDO_?NAMC?23?">[1]GR!#REF!</definedName>
    <definedName name="XDO_?NAMC?24?">[1]GF!#REF!</definedName>
    <definedName name="XDO_?NAMC?25?">[1]LQ!#REF!</definedName>
    <definedName name="XDO_?NAMC?26?">[1]SI!#REF!</definedName>
    <definedName name="XDO_?NAMC?27?">[1]BS!#REF!</definedName>
    <definedName name="XDO_?NAMC?28?">[1]CO!#REF!</definedName>
    <definedName name="XDO_?NAMC?29?">[1]US!#REF!</definedName>
    <definedName name="XDO_?NAMC?3?">[1]CB!#REF!</definedName>
    <definedName name="XDO_?NAMC?30?">[1]DE!#REF!</definedName>
    <definedName name="XDO_?NAMC?31?">[1]ON!#REF!</definedName>
    <definedName name="XDO_?NAMC?32?">[1]BM!#REF!</definedName>
    <definedName name="XDO_?NAMC?33?">[1]ES!#REF!</definedName>
    <definedName name="XDO_?NAMC?34?">[1]LM!#REF!</definedName>
    <definedName name="XDO_?NAMC?35?">[1]BP!#REF!</definedName>
    <definedName name="XDO_?NAMC?36?">[1]BC!#REF!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[1]GE!#REF!</definedName>
    <definedName name="XDO_?NDATE?2?">[1]FL!#REF!</definedName>
    <definedName name="XDO_?NDATE?20?">[1]SC!#REF!</definedName>
    <definedName name="XDO_?NDATE?21?">[1]NF!#REF!</definedName>
    <definedName name="XDO_?NDATE?22?">[1]IV!#REF!</definedName>
    <definedName name="XDO_?NDATE?23?">[1]GR!#REF!</definedName>
    <definedName name="XDO_?NDATE?24?">[1]GF!#REF!</definedName>
    <definedName name="XDO_?NDATE?25?">[1]LQ!#REF!</definedName>
    <definedName name="XDO_?NDATE?26?">[1]SI!#REF!</definedName>
    <definedName name="XDO_?NDATE?27?">[1]BS!#REF!</definedName>
    <definedName name="XDO_?NDATE?28?">[1]CO!#REF!</definedName>
    <definedName name="XDO_?NDATE?29?">[1]US!#REF!</definedName>
    <definedName name="XDO_?NDATE?3?">[1]CB!#REF!</definedName>
    <definedName name="XDO_?NDATE?30?">[1]DE!#REF!</definedName>
    <definedName name="XDO_?NDATE?31?">[1]ON!#REF!</definedName>
    <definedName name="XDO_?NDATE?32?">[1]BM!#REF!</definedName>
    <definedName name="XDO_?NDATE?33?">[1]ES!#REF!</definedName>
    <definedName name="XDO_?NDATE?34?">[1]LM!#REF!</definedName>
    <definedName name="XDO_?NDATE?35?">[1]BP!#REF!</definedName>
    <definedName name="XDO_?NDATE?36?">[1]BC!#REF!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[1]GE!#REF!</definedName>
    <definedName name="XDO_?NNPTF?2?">[1]FL!#REF!</definedName>
    <definedName name="XDO_?NNPTF?20?">[1]SC!#REF!</definedName>
    <definedName name="XDO_?NNPTF?21?">[1]NF!#REF!</definedName>
    <definedName name="XDO_?NNPTF?22?">[1]IV!#REF!</definedName>
    <definedName name="XDO_?NNPTF?23?">[1]GR!#REF!</definedName>
    <definedName name="XDO_?NNPTF?24?">[1]GF!#REF!</definedName>
    <definedName name="XDO_?NNPTF?25?">[1]LQ!#REF!</definedName>
    <definedName name="XDO_?NNPTF?26?">[1]SI!#REF!</definedName>
    <definedName name="XDO_?NNPTF?27?">[1]BS!#REF!</definedName>
    <definedName name="XDO_?NNPTF?28?">[1]CO!#REF!</definedName>
    <definedName name="XDO_?NNPTF?29?">[1]US!#REF!</definedName>
    <definedName name="XDO_?NNPTF?3?">[1]CB!#REF!</definedName>
    <definedName name="XDO_?NNPTF?30?">[1]DE!#REF!</definedName>
    <definedName name="XDO_?NNPTF?31?">[1]ON!#REF!</definedName>
    <definedName name="XDO_?NNPTF?32?">[1]BM!#REF!</definedName>
    <definedName name="XDO_?NNPTF?33?">[1]ES!#REF!</definedName>
    <definedName name="XDO_?NNPTF?34?">[1]LM!#REF!</definedName>
    <definedName name="XDO_?NNPTF?35?">[1]BP!#REF!</definedName>
    <definedName name="XDO_?NNPTF?36?">[1]BC!#REF!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3?">'N2'!$B$24</definedName>
    <definedName name="XDO_?NOVAL?24?">'N2'!$B$24:$B$32</definedName>
    <definedName name="XDO_?NOVAL?25?">'N2'!$B$24:$B$57</definedName>
    <definedName name="XDO_?NOVAL?26?">'N2'!$B$24:$B$61</definedName>
    <definedName name="XDO_?NPTF?5?">'N2'!$D$2:$D$24</definedName>
    <definedName name="XDO_?RATING?23?">'N2'!$E$24</definedName>
    <definedName name="XDO_?RATING?24?">'N2'!$E$24:$E$32</definedName>
    <definedName name="XDO_?RATING?25?">'N2'!$E$24:$E$57</definedName>
    <definedName name="XDO_?RATING?26?">'N2'!$E$24:$E$61</definedName>
    <definedName name="XDO_?REMARKS?23?">'N2'!$K$24</definedName>
    <definedName name="XDO_?REMARKS?24?">'N2'!$K$24:$K$32</definedName>
    <definedName name="XDO_?REMARKS?25?">'N2'!$K$24:$K$57</definedName>
    <definedName name="XDO_?REMARKS?26?">'N2'!$K$24:$K$61</definedName>
    <definedName name="XDO_?TITL?5?">'N2'!$A$16:$A$24</definedName>
    <definedName name="XDO_?YTM?23?">'N2'!$I$24</definedName>
    <definedName name="XDO_?YTM?24?">'N2'!$I$24:$I$32</definedName>
    <definedName name="XDO_?YTM?25?">'N2'!$I$24:$I$57</definedName>
    <definedName name="XDO_?YTM?26?">'N2'!$I$24:$I$61</definedName>
    <definedName name="XDO_GROUP_?G_2?5?">'N2'!$2:$27</definedName>
    <definedName name="XDO_GROUP_?G_3?5?">'N2'!$8:$26</definedName>
    <definedName name="XDO_GROUP_?G_4?101?">[1]VF!#REF!</definedName>
    <definedName name="XDO_GROUP_?G_4?105?">[1]GE!#REF!</definedName>
    <definedName name="XDO_GROUP_?G_4?108?">[1]SC!#REF!</definedName>
    <definedName name="XDO_GROUP_?G_4?111?">[1]NF!#REF!</definedName>
    <definedName name="XDO_GROUP_?G_4?114?">[1]IV!#REF!</definedName>
    <definedName name="XDO_GROUP_?G_4?118?">[1]GR!#REF!</definedName>
    <definedName name="XDO_GROUP_?G_4?169?">[1]ON!#REF!</definedName>
    <definedName name="XDO_GROUP_?G_4?172?">[1]BM!#REF!</definedName>
    <definedName name="XDO_GROUP_?G_4?185?">[1]LM!#REF!</definedName>
    <definedName name="XDO_GROUP_?G_4?23?">'N2'!$B$10:$IV$10</definedName>
    <definedName name="XDO_GROUP_?G_4?24?">'N2'!$B$14:$IV$15</definedName>
    <definedName name="XDO_GROUP_?G_4?25?">'N2'!$B$19:$IV$19</definedName>
    <definedName name="XDO_GROUP_?G_4?26?">'N2'!$B$24:$IV$24</definedName>
    <definedName name="XDO_GROUP_?G_4?29?">[1]FT!#REF!</definedName>
    <definedName name="XDO_GROUP_?G_4?33?">[1]MC!#REF!</definedName>
    <definedName name="XDO_GROUP_?G_4?44?">[1]TA!#REF!</definedName>
    <definedName name="XDO_GROUP_?G_4?76?">[1]FO!#REF!</definedName>
    <definedName name="XDO_GROUP_?G_4?84?">[1]AF!#REF!</definedName>
    <definedName name="XDO_GROUP_?G_4?87?">[1]FX!#REF!</definedName>
    <definedName name="XDO_GROUP_?G_4?9?">[1]FL!#REF!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<sst xmlns="http://schemas.openxmlformats.org/spreadsheetml/2006/main" count="145" uniqueCount="108">
  <si>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</si>
  <si>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</si>
  <si>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</si>
  <si>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</si>
  <si>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</si>
  <si>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</si>
  <si>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</si>
  <si>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</si>
  <si>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</si>
  <si>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</si>
  <si>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</si>
  <si>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</si>
  <si>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</si>
  <si>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</si>
  <si>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</si>
  <si>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</si>
  <si>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</si>
  <si>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</si>
  <si>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</si>
  <si>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</si>
  <si>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</si>
  <si>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</si>
  <si>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</si>
  <si>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</si>
  <si>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900301</t>
  </si>
  <si>
    <t>7.37% Government of India 23-Oct-2028</t>
  </si>
  <si>
    <t>IN0020230101</t>
  </si>
  <si>
    <t>Sovereign</t>
  </si>
  <si>
    <t>Total</t>
  </si>
  <si>
    <t>e) State Government Securities</t>
  </si>
  <si>
    <t>1900285</t>
  </si>
  <si>
    <t>8.08% State Government of Maharashtra 26-Dec-2028</t>
  </si>
  <si>
    <t>IN2220180052</t>
  </si>
  <si>
    <t>1900364</t>
  </si>
  <si>
    <t>8.08% State Government of Gujarat 26-Dec-2028</t>
  </si>
  <si>
    <t>IN1520180234</t>
  </si>
  <si>
    <t>1901362</t>
  </si>
  <si>
    <t>8.18% State Government of Tamil Nadu 19-Dec-2028</t>
  </si>
  <si>
    <t>IN3120180192</t>
  </si>
  <si>
    <t>1900283</t>
  </si>
  <si>
    <t>8.08% State Government of Tamil Nadu 26-Dec-2028</t>
  </si>
  <si>
    <t>IN3120180200</t>
  </si>
  <si>
    <t>1900261</t>
  </si>
  <si>
    <t>8.08% State Government of Karnataka 26-Dec-2028</t>
  </si>
  <si>
    <t>IN1920180115</t>
  </si>
  <si>
    <t>MONEY MARKET INSTRUMENTS</t>
  </si>
  <si>
    <t>a) Commercial Paper</t>
  </si>
  <si>
    <t>b) Certificate of Deposits</t>
  </si>
  <si>
    <t>c) Treasury Bills</t>
  </si>
  <si>
    <t>d) Bills Re- Discounting</t>
  </si>
  <si>
    <t>OTHERS</t>
  </si>
  <si>
    <t>a) Mutual Fund Units / Exchange Traded Funds</t>
  </si>
  <si>
    <t>b) Alternative Investment Funds</t>
  </si>
  <si>
    <t>c) Gold</t>
  </si>
  <si>
    <t>d) Short Term Deposits</t>
  </si>
  <si>
    <t>e) Term Deposits Placed as Margins</t>
  </si>
  <si>
    <t>f) TREPS / Reverse Repo Investments</t>
  </si>
  <si>
    <t>205240100</t>
  </si>
  <si>
    <t>TREPS 02-May-2024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</si>
  <si>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</si>
  <si>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</si>
  <si>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</si>
  <si>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</si>
  <si>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</si>
  <si>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</si>
  <si>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</si>
  <si>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</si>
  <si>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</si>
  <si>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</si>
  <si>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</si>
  <si>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</si>
  <si>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</si>
  <si>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</si>
  <si>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</si>
  <si>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April 30, 2024</t>
  </si>
  <si>
    <t>Regular Plan - IDCW Option</t>
  </si>
  <si>
    <t>Regular Plan - Growth Option</t>
  </si>
  <si>
    <t>Direct Plan - IDCW Option</t>
  </si>
  <si>
    <t>Direct Plan - Growth Option</t>
  </si>
  <si>
    <t>(8) No Dividend declared during the Month ended April 30, 2024</t>
  </si>
  <si>
    <t>(9) There were no investments made in derivative instruments and no such derivative instrument was squared off/ expired /exercised during the Month ended April 30, 2024. Further there are no investments in derivative instruments as on April 30, 2024.</t>
  </si>
  <si>
    <t>(10) Total Market value of investments in Foreign Securities/American Depositary Receipts/Global Depositary Receipts as at  April 30, 2024 is Rs. Nil.</t>
  </si>
  <si>
    <t>(11)  The Average Maturity period of the portfolio has been 1588 days.</t>
  </si>
  <si>
    <t>(12)  Details of repo transaction in corporate debt securities for the Month ended April 30, 2024 is Nil.</t>
  </si>
  <si>
    <t>(13)  Investments in debt instruments having structured obligations or credit enhancement features as at April 30, 2024 is Rs. Nil.</t>
  </si>
  <si>
    <t>(14) Investment in Partly paid Debentures during the Month ended  April 30, 2024 and as on  April 30,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</si>
  <si>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</si>
  <si>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</si>
  <si>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</si>
  <si>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</si>
  <si>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</si>
  <si>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2024 : Rs. Nil</t>
  </si>
  <si>
    <t>(17) Macaulay Duration of the portfolio has been 1321 days.</t>
  </si>
  <si>
    <t>(18) Annualised Portfolio YTM has been 7.5493.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</si>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</sst>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68B4949E-9ADC-48DE-A577-D1C6413EA44C}"/>
    <cellStyle name="Hyperlink" xfId="2" builtinId="8"/>
    <cellStyle name="Normal" xfId="0" builtinId="0"/>
    <cellStyle name="Normal 2" xfId="4" xr:uid="{EE9ED441-FFF5-4590-8BC7-B7C094D2E237}"/>
    <cellStyle name="Style 1" xfId="3" xr:uid="{C34282A1-3A9C-433B-84F8-7F86C506B4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4</xdr:col>
      <xdr:colOff>1532975</xdr:colOff>
      <xdr:row>114</xdr:row>
      <xdr:rowOff>172890</xdr:rowOff>
    </xdr:to>
    <xdr:pic>
      <xdr:nvPicPr>
        <xdr:cNvPr id="2" name="Picture 1">
          <a:extLst>
            <a:ext uri="{FF2B5EF4-FFF2-40B4-BE49-F238E27FC236}">
              <a16:creationId xmlns:a16="http://schemas.microsoft.com/office/drawing/2014/main" id="{82342002-9CC0-48EE-A547-0402515F94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647920"/>
          <a:ext cx="7453715" cy="28017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_Monthly%20portfolio%20Report__30-04-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IV"/>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E500-0478-43DE-9601-54151BBF2BAD}">
  <dimension ref="A1:BC126"/>
  <sheetViews>
    <sheetView showGridLines="0" tabSelected="1" zoomScale="90" zoomScaleNormal="90" workbookViewId="0">
      <pane ySplit="6" topLeftCell="A89" activePane="bottomLeft" state="frozen"/>
      <selection activeCell="I108" sqref="I108"/>
      <selection pane="bottomLeft" activeCell="H102" sqref="H102"/>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ustomWidth="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bestFit="1"/>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bestFit="1"/>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bestFit="1"/>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bestFit="1"/>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bestFit="1"/>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bestFit="1"/>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bestFit="1"/>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bestFit="1"/>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bestFit="1"/>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bestFit="1"/>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bestFit="1"/>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bestFit="1"/>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bestFit="1"/>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bestFit="1"/>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bestFit="1"/>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bestFit="1"/>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bestFit="1"/>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bestFit="1"/>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bestFit="1"/>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bestFit="1"/>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bestFit="1"/>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bestFit="1"/>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bestFit="1"/>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bestFit="1"/>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bestFit="1"/>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bestFit="1"/>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bestFit="1"/>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bestFit="1"/>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bestFit="1"/>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bestFit="1"/>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bestFit="1"/>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bestFit="1"/>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bestFit="1"/>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bestFit="1"/>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bestFit="1"/>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bestFit="1"/>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bestFit="1"/>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bestFit="1"/>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bestFit="1"/>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bestFit="1"/>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bestFit="1"/>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bestFit="1"/>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bestFit="1"/>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bestFit="1"/>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bestFit="1"/>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bestFit="1"/>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bestFit="1"/>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bestFit="1"/>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bestFit="1"/>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bestFit="1"/>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bestFit="1"/>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bestFit="1"/>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bestFit="1"/>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bestFit="1"/>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bestFit="1"/>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bestFit="1"/>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bestFit="1"/>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bestFit="1"/>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bestFit="1"/>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bestFit="1"/>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bestFit="1"/>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bestFit="1"/>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bestFit="1"/>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45412</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150000</v>
      </c>
      <c r="G24" s="32">
        <v>150.97</v>
      </c>
      <c r="H24" s="32">
        <v>3.21</v>
      </c>
      <c r="I24" s="33">
        <v>7.3274122000000004</v>
      </c>
      <c r="J24" s="33"/>
      <c r="K24" s="34"/>
    </row>
    <row r="25" spans="1:11">
      <c r="C25" s="28" t="s">
        <v>28</v>
      </c>
      <c r="D25" s="29"/>
      <c r="E25" s="30"/>
      <c r="F25" s="31"/>
      <c r="G25" s="38">
        <v>150.97</v>
      </c>
      <c r="H25" s="38">
        <v>3.21</v>
      </c>
      <c r="I25" s="33"/>
      <c r="J25" s="33"/>
      <c r="K25" s="34"/>
    </row>
    <row r="26" spans="1:11">
      <c r="C26" s="21"/>
      <c r="D26" s="29"/>
      <c r="E26" s="30"/>
      <c r="F26" s="31"/>
      <c r="G26" s="32"/>
      <c r="H26" s="32"/>
      <c r="I26" s="33"/>
      <c r="J26" s="33"/>
      <c r="K26" s="34"/>
    </row>
    <row r="27" spans="1:11">
      <c r="C27" s="37" t="s">
        <v>29</v>
      </c>
      <c r="D27" s="29"/>
      <c r="E27" s="30"/>
      <c r="F27" s="31"/>
      <c r="G27" s="32"/>
      <c r="H27" s="32"/>
      <c r="I27" s="33"/>
      <c r="J27" s="33"/>
      <c r="K27" s="34"/>
    </row>
    <row r="28" spans="1:11">
      <c r="B28" s="1" t="s">
        <v>30</v>
      </c>
      <c r="C28" s="21" t="s">
        <v>31</v>
      </c>
      <c r="D28" s="29" t="s">
        <v>32</v>
      </c>
      <c r="E28" s="30" t="s">
        <v>27</v>
      </c>
      <c r="F28" s="31">
        <v>1349000</v>
      </c>
      <c r="G28" s="32">
        <v>1380.26</v>
      </c>
      <c r="H28" s="32">
        <v>29.34</v>
      </c>
      <c r="I28" s="33">
        <v>7.6167628000000001</v>
      </c>
      <c r="J28" s="33"/>
      <c r="K28" s="34"/>
    </row>
    <row r="29" spans="1:11">
      <c r="B29" s="1" t="s">
        <v>33</v>
      </c>
      <c r="C29" s="21" t="s">
        <v>34</v>
      </c>
      <c r="D29" s="29" t="s">
        <v>35</v>
      </c>
      <c r="E29" s="30" t="s">
        <v>27</v>
      </c>
      <c r="F29" s="31">
        <v>1000000</v>
      </c>
      <c r="G29" s="32">
        <v>1023.17</v>
      </c>
      <c r="H29" s="32">
        <v>21.75</v>
      </c>
      <c r="I29" s="33">
        <v>7.6170222000000001</v>
      </c>
      <c r="J29" s="33"/>
      <c r="K29" s="34"/>
    </row>
    <row r="30" spans="1:11">
      <c r="B30" s="1" t="s">
        <v>36</v>
      </c>
      <c r="C30" s="21" t="s">
        <v>37</v>
      </c>
      <c r="D30" s="29" t="s">
        <v>38</v>
      </c>
      <c r="E30" s="30" t="s">
        <v>27</v>
      </c>
      <c r="F30" s="31">
        <v>750000</v>
      </c>
      <c r="G30" s="32">
        <v>769.87</v>
      </c>
      <c r="H30" s="32">
        <v>16.37</v>
      </c>
      <c r="I30" s="33">
        <v>7.6291858000000001</v>
      </c>
      <c r="J30" s="33"/>
      <c r="K30" s="34"/>
    </row>
    <row r="31" spans="1:11">
      <c r="B31" s="1" t="s">
        <v>39</v>
      </c>
      <c r="C31" s="21" t="s">
        <v>40</v>
      </c>
      <c r="D31" s="29" t="s">
        <v>41</v>
      </c>
      <c r="E31" s="30" t="s">
        <v>27</v>
      </c>
      <c r="F31" s="31">
        <v>700000</v>
      </c>
      <c r="G31" s="32">
        <v>716.17</v>
      </c>
      <c r="H31" s="32">
        <v>15.23</v>
      </c>
      <c r="I31" s="33">
        <v>7.6187858000000004</v>
      </c>
      <c r="J31" s="33"/>
      <c r="K31" s="34"/>
    </row>
    <row r="32" spans="1:11">
      <c r="B32" s="1" t="s">
        <v>42</v>
      </c>
      <c r="C32" s="21" t="s">
        <v>43</v>
      </c>
      <c r="D32" s="29" t="s">
        <v>44</v>
      </c>
      <c r="E32" s="30" t="s">
        <v>27</v>
      </c>
      <c r="F32" s="31">
        <v>350000</v>
      </c>
      <c r="G32" s="32">
        <v>358.09</v>
      </c>
      <c r="H32" s="32">
        <v>7.61</v>
      </c>
      <c r="I32" s="33">
        <v>7.6181115000000004</v>
      </c>
      <c r="J32" s="33"/>
      <c r="K32" s="34"/>
    </row>
    <row r="33" spans="1:11">
      <c r="C33" s="28" t="s">
        <v>28</v>
      </c>
      <c r="D33" s="29"/>
      <c r="E33" s="30"/>
      <c r="F33" s="31"/>
      <c r="G33" s="38">
        <v>4247.5600000000004</v>
      </c>
      <c r="H33" s="38">
        <v>90.3</v>
      </c>
      <c r="I33" s="33"/>
      <c r="J33" s="33"/>
      <c r="K33" s="34"/>
    </row>
    <row r="34" spans="1:11">
      <c r="C34" s="21"/>
      <c r="D34" s="29"/>
      <c r="E34" s="30"/>
      <c r="F34" s="31"/>
      <c r="G34" s="32"/>
      <c r="H34" s="32"/>
      <c r="I34" s="33"/>
      <c r="J34" s="33"/>
      <c r="K34" s="34"/>
    </row>
    <row r="35" spans="1:11">
      <c r="C35" s="28" t="s">
        <v>45</v>
      </c>
      <c r="D35" s="29"/>
      <c r="E35" s="30"/>
      <c r="F35" s="31"/>
      <c r="G35" s="32"/>
      <c r="H35" s="32"/>
      <c r="I35" s="33"/>
      <c r="J35" s="33"/>
      <c r="K35" s="34"/>
    </row>
    <row r="36" spans="1:11">
      <c r="C36" s="21"/>
      <c r="D36" s="29"/>
      <c r="E36" s="30"/>
      <c r="F36" s="31"/>
      <c r="G36" s="32"/>
      <c r="H36" s="32"/>
      <c r="I36" s="33"/>
      <c r="J36" s="33"/>
      <c r="K36" s="34"/>
    </row>
    <row r="37" spans="1:11">
      <c r="C37" s="28" t="s">
        <v>46</v>
      </c>
      <c r="D37" s="29"/>
      <c r="E37" s="30"/>
      <c r="F37" s="31"/>
      <c r="G37" s="32" t="s">
        <v>16</v>
      </c>
      <c r="H37" s="32" t="s">
        <v>16</v>
      </c>
      <c r="I37" s="33"/>
      <c r="J37" s="33"/>
      <c r="K37" s="34"/>
    </row>
    <row r="38" spans="1:11">
      <c r="C38" s="21"/>
      <c r="D38" s="29"/>
      <c r="E38" s="30"/>
      <c r="F38" s="31"/>
      <c r="G38" s="32"/>
      <c r="H38" s="32"/>
      <c r="I38" s="33"/>
      <c r="J38" s="33"/>
      <c r="K38" s="34"/>
    </row>
    <row r="39" spans="1:11">
      <c r="C39" s="28" t="s">
        <v>47</v>
      </c>
      <c r="D39" s="29"/>
      <c r="E39" s="30"/>
      <c r="F39" s="31"/>
      <c r="G39" s="32" t="s">
        <v>16</v>
      </c>
      <c r="H39" s="32" t="s">
        <v>16</v>
      </c>
      <c r="I39" s="33"/>
      <c r="J39" s="33"/>
      <c r="K39" s="34"/>
    </row>
    <row r="40" spans="1:11">
      <c r="C40" s="21"/>
      <c r="D40" s="29"/>
      <c r="E40" s="30"/>
      <c r="F40" s="31"/>
      <c r="G40" s="32"/>
      <c r="H40" s="32"/>
      <c r="I40" s="33"/>
      <c r="J40" s="33"/>
      <c r="K40" s="34"/>
    </row>
    <row r="41" spans="1:11">
      <c r="C41" s="28" t="s">
        <v>48</v>
      </c>
      <c r="D41" s="29"/>
      <c r="E41" s="30"/>
      <c r="F41" s="31"/>
      <c r="G41" s="32" t="s">
        <v>16</v>
      </c>
      <c r="H41" s="32" t="s">
        <v>16</v>
      </c>
      <c r="I41" s="33"/>
      <c r="J41" s="33"/>
      <c r="K41" s="34"/>
    </row>
    <row r="42" spans="1:11">
      <c r="C42" s="21"/>
      <c r="D42" s="29"/>
      <c r="E42" s="30"/>
      <c r="F42" s="31"/>
      <c r="G42" s="32"/>
      <c r="H42" s="32"/>
      <c r="I42" s="33"/>
      <c r="J42" s="33"/>
      <c r="K42" s="34"/>
    </row>
    <row r="43" spans="1:11">
      <c r="C43" s="28" t="s">
        <v>49</v>
      </c>
      <c r="D43" s="29"/>
      <c r="E43" s="30"/>
      <c r="F43" s="31"/>
      <c r="G43" s="32" t="s">
        <v>16</v>
      </c>
      <c r="H43" s="32" t="s">
        <v>16</v>
      </c>
      <c r="I43" s="33"/>
      <c r="J43" s="33"/>
      <c r="K43" s="34"/>
    </row>
    <row r="44" spans="1:11">
      <c r="C44" s="21"/>
      <c r="D44" s="29"/>
      <c r="E44" s="30"/>
      <c r="F44" s="31"/>
      <c r="G44" s="32"/>
      <c r="H44" s="32"/>
      <c r="I44" s="33"/>
      <c r="J44" s="33"/>
      <c r="K44" s="34"/>
    </row>
    <row r="45" spans="1:11">
      <c r="A45" s="35"/>
      <c r="B45" s="36"/>
      <c r="C45" s="28" t="s">
        <v>50</v>
      </c>
      <c r="D45" s="29"/>
      <c r="E45" s="30"/>
      <c r="F45" s="31"/>
      <c r="G45" s="32"/>
      <c r="H45" s="32"/>
      <c r="I45" s="33"/>
      <c r="J45" s="33"/>
      <c r="K45" s="34"/>
    </row>
    <row r="46" spans="1:11">
      <c r="A46" s="36"/>
      <c r="B46" s="36"/>
      <c r="C46" s="28" t="s">
        <v>51</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52</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53</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54</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55</v>
      </c>
      <c r="D54" s="29"/>
      <c r="E54" s="30"/>
      <c r="F54" s="31"/>
      <c r="G54" s="32" t="s">
        <v>16</v>
      </c>
      <c r="H54" s="32" t="s">
        <v>16</v>
      </c>
      <c r="I54" s="33"/>
      <c r="J54" s="33"/>
      <c r="K54" s="34"/>
    </row>
    <row r="55" spans="1:11">
      <c r="A55" s="36"/>
      <c r="B55" s="36"/>
      <c r="C55" s="28"/>
      <c r="D55" s="29"/>
      <c r="E55" s="30"/>
      <c r="F55" s="31"/>
      <c r="G55" s="32"/>
      <c r="H55" s="32"/>
      <c r="I55" s="33"/>
      <c r="J55" s="33"/>
      <c r="K55" s="34"/>
    </row>
    <row r="56" spans="1:11">
      <c r="C56" s="37" t="s">
        <v>56</v>
      </c>
      <c r="D56" s="29"/>
      <c r="E56" s="30"/>
      <c r="F56" s="31"/>
      <c r="G56" s="32"/>
      <c r="H56" s="32"/>
      <c r="I56" s="33"/>
      <c r="J56" s="33"/>
      <c r="K56" s="34"/>
    </row>
    <row r="57" spans="1:11">
      <c r="B57" s="1" t="s">
        <v>57</v>
      </c>
      <c r="C57" s="21" t="s">
        <v>58</v>
      </c>
      <c r="D57" s="29"/>
      <c r="E57" s="30"/>
      <c r="F57" s="31"/>
      <c r="G57" s="32">
        <v>203.02</v>
      </c>
      <c r="H57" s="32">
        <v>4.32</v>
      </c>
      <c r="I57" s="33">
        <v>6.68</v>
      </c>
      <c r="J57" s="33"/>
      <c r="K57" s="34"/>
    </row>
    <row r="58" spans="1:11">
      <c r="C58" s="28" t="s">
        <v>28</v>
      </c>
      <c r="D58" s="29"/>
      <c r="E58" s="30"/>
      <c r="F58" s="31"/>
      <c r="G58" s="38">
        <v>203.02</v>
      </c>
      <c r="H58" s="38">
        <v>4.32</v>
      </c>
      <c r="I58" s="33"/>
      <c r="J58" s="33"/>
      <c r="K58" s="34"/>
    </row>
    <row r="59" spans="1:11">
      <c r="C59" s="21"/>
      <c r="D59" s="29"/>
      <c r="E59" s="30"/>
      <c r="F59" s="31"/>
      <c r="G59" s="32"/>
      <c r="H59" s="32"/>
      <c r="I59" s="33"/>
      <c r="J59" s="33"/>
      <c r="K59" s="34"/>
    </row>
    <row r="60" spans="1:11">
      <c r="A60" s="35"/>
      <c r="B60" s="36"/>
      <c r="C60" s="28" t="s">
        <v>59</v>
      </c>
      <c r="D60" s="29"/>
      <c r="E60" s="30"/>
      <c r="F60" s="31"/>
      <c r="G60" s="32"/>
      <c r="H60" s="32"/>
      <c r="I60" s="33"/>
      <c r="J60" s="33"/>
      <c r="K60" s="34"/>
    </row>
    <row r="61" spans="1:11">
      <c r="B61" s="1"/>
      <c r="C61" s="21" t="s">
        <v>60</v>
      </c>
      <c r="D61" s="29"/>
      <c r="E61" s="30"/>
      <c r="F61" s="31"/>
      <c r="G61" s="32">
        <v>102.17</v>
      </c>
      <c r="H61" s="32">
        <v>2.17</v>
      </c>
      <c r="I61" s="33"/>
      <c r="J61" s="33"/>
      <c r="K61" s="34"/>
    </row>
    <row r="62" spans="1:11">
      <c r="C62" s="28" t="s">
        <v>28</v>
      </c>
      <c r="D62" s="29"/>
      <c r="E62" s="30"/>
      <c r="F62" s="31"/>
      <c r="G62" s="38">
        <v>102.17</v>
      </c>
      <c r="H62" s="38">
        <v>2.17</v>
      </c>
      <c r="I62" s="33"/>
      <c r="J62" s="33"/>
      <c r="K62" s="34"/>
    </row>
    <row r="63" spans="1:11">
      <c r="C63" s="21"/>
      <c r="D63" s="29"/>
      <c r="E63" s="30"/>
      <c r="F63" s="31"/>
      <c r="G63" s="32"/>
      <c r="H63" s="32"/>
      <c r="I63" s="33"/>
      <c r="J63" s="33"/>
      <c r="K63" s="34"/>
    </row>
    <row r="64" spans="1:11" ht="14.4" thickBot="1">
      <c r="C64" s="39" t="s">
        <v>61</v>
      </c>
      <c r="D64" s="40"/>
      <c r="E64" s="41"/>
      <c r="F64" s="42"/>
      <c r="G64" s="43">
        <v>4703.72</v>
      </c>
      <c r="H64" s="43">
        <f>SUMIFS(H:H,C:C,"Total")</f>
        <v>99.999999999999986</v>
      </c>
      <c r="I64" s="44"/>
      <c r="J64" s="44"/>
      <c r="K64" s="45"/>
    </row>
    <row r="67" spans="3:55">
      <c r="C67" s="11" t="s">
        <v>62</v>
      </c>
    </row>
    <row r="68" spans="3:55">
      <c r="C68" s="2" t="s">
        <v>63</v>
      </c>
    </row>
    <row r="69" spans="3:55">
      <c r="C69" s="46" t="s">
        <v>64</v>
      </c>
    </row>
    <row r="70" spans="3:55">
      <c r="C70" s="2" t="s">
        <v>65</v>
      </c>
    </row>
    <row r="71" spans="3:55">
      <c r="C71" s="2" t="s">
        <v>66</v>
      </c>
    </row>
    <row r="72" spans="3:55">
      <c r="C72" s="2" t="s">
        <v>67</v>
      </c>
      <c r="D72" s="47"/>
      <c r="E72" s="47"/>
      <c r="F72" s="47"/>
      <c r="G72" s="48"/>
      <c r="H72" s="48"/>
    </row>
    <row r="73" spans="3:55">
      <c r="C73" s="2" t="s">
        <v>68</v>
      </c>
    </row>
    <row r="74" spans="3:55">
      <c r="C74" s="2" t="s">
        <v>69</v>
      </c>
    </row>
    <row r="75" spans="3:55">
      <c r="C75" s="2" t="s">
        <v>70</v>
      </c>
    </row>
    <row r="76" spans="3:55">
      <c r="C76" s="2" t="s">
        <v>71</v>
      </c>
    </row>
    <row r="77" spans="3:55" s="11" customFormat="1">
      <c r="C77" s="11" t="s">
        <v>72</v>
      </c>
      <c r="E77" s="11" t="s">
        <v>73</v>
      </c>
      <c r="F77" s="49" t="s">
        <v>74</v>
      </c>
      <c r="G77" s="50"/>
      <c r="H77" s="50"/>
      <c r="I77" s="50"/>
      <c r="J77" s="50"/>
      <c r="K77" s="51"/>
      <c r="L77" s="51"/>
      <c r="M77" s="51"/>
      <c r="AJ77" s="51"/>
      <c r="AW77" s="51"/>
      <c r="AY77" s="51"/>
      <c r="BC77" s="51"/>
    </row>
    <row r="78" spans="3:55">
      <c r="C78" s="2" t="s">
        <v>75</v>
      </c>
      <c r="E78" s="52">
        <v>10.078799999999999</v>
      </c>
      <c r="F78" s="53">
        <v>10.097899999999999</v>
      </c>
    </row>
    <row r="79" spans="3:55">
      <c r="C79" s="2" t="s">
        <v>76</v>
      </c>
      <c r="E79" s="52">
        <v>10.8088</v>
      </c>
      <c r="F79" s="53">
        <v>10.8293</v>
      </c>
    </row>
    <row r="80" spans="3:55">
      <c r="C80" s="2" t="s">
        <v>77</v>
      </c>
      <c r="E80" s="52">
        <v>10.171799999999999</v>
      </c>
      <c r="F80" s="53">
        <v>10.1936</v>
      </c>
    </row>
    <row r="81" spans="3:6">
      <c r="C81" s="2" t="s">
        <v>78</v>
      </c>
      <c r="E81" s="52">
        <v>10.8421</v>
      </c>
      <c r="F81" s="53">
        <v>10.8653</v>
      </c>
    </row>
    <row r="83" spans="3:6">
      <c r="C83" s="2" t="s">
        <v>79</v>
      </c>
    </row>
    <row r="85" spans="3:6">
      <c r="C85" s="2" t="s">
        <v>80</v>
      </c>
    </row>
    <row r="86" spans="3:6">
      <c r="C86" s="2" t="s">
        <v>81</v>
      </c>
    </row>
    <row r="87" spans="3:6">
      <c r="C87" s="2" t="s">
        <v>82</v>
      </c>
    </row>
    <row r="88" spans="3:6">
      <c r="C88" s="2" t="s">
        <v>83</v>
      </c>
    </row>
    <row r="89" spans="3:6">
      <c r="C89" s="2" t="s">
        <v>84</v>
      </c>
    </row>
    <row r="90" spans="3:6">
      <c r="C90" s="2" t="s">
        <v>85</v>
      </c>
    </row>
    <row r="91" spans="3:6">
      <c r="C91" s="2" t="s">
        <v>86</v>
      </c>
    </row>
    <row r="92" spans="3:6">
      <c r="C92" s="2" t="s">
        <v>87</v>
      </c>
    </row>
    <row r="93" spans="3:6">
      <c r="C93" s="2" t="s">
        <v>88</v>
      </c>
    </row>
    <row r="94" spans="3:6">
      <c r="C94" s="2" t="s">
        <v>89</v>
      </c>
    </row>
    <row r="95" spans="3:6">
      <c r="C95" s="2" t="s">
        <v>90</v>
      </c>
    </row>
    <row r="96" spans="3:6">
      <c r="C96" s="2" t="s">
        <v>91</v>
      </c>
    </row>
    <row r="97" spans="3:11">
      <c r="C97" s="2" t="s">
        <v>92</v>
      </c>
    </row>
    <row r="98" spans="3:11">
      <c r="C98" s="2" t="s">
        <v>93</v>
      </c>
    </row>
    <row r="99" spans="3:11">
      <c r="C99" s="54"/>
      <c r="D99" s="54"/>
      <c r="E99" s="54"/>
      <c r="F99" s="54"/>
      <c r="G99" s="54"/>
      <c r="H99" s="54"/>
      <c r="I99" s="54"/>
      <c r="J99" s="54"/>
      <c r="K99" s="54"/>
    </row>
    <row r="100" spans="3:11">
      <c r="C100" s="54"/>
      <c r="D100" s="54"/>
      <c r="E100" s="54"/>
      <c r="F100" s="54"/>
      <c r="G100" s="54"/>
      <c r="H100" s="54"/>
      <c r="I100" s="54"/>
      <c r="J100" s="54"/>
      <c r="K100" s="54"/>
    </row>
    <row r="116" spans="3:6" ht="14.4" thickBot="1"/>
    <row r="117" spans="3:6" ht="15" thickBot="1">
      <c r="C117" s="55" t="s">
        <v>94</v>
      </c>
      <c r="D117" s="56"/>
      <c r="E117" s="56"/>
      <c r="F117" s="57"/>
    </row>
    <row r="118" spans="3:6" ht="15" thickBot="1">
      <c r="C118" s="58" t="s">
        <v>95</v>
      </c>
      <c r="D118" s="59" t="s">
        <v>96</v>
      </c>
      <c r="E118" s="59" t="s">
        <v>97</v>
      </c>
      <c r="F118" s="59" t="s">
        <v>98</v>
      </c>
    </row>
    <row r="119" spans="3:6" ht="15" thickBot="1">
      <c r="C119" s="58" t="s">
        <v>99</v>
      </c>
      <c r="D119" s="60"/>
      <c r="E119" s="60"/>
      <c r="F119" s="60"/>
    </row>
    <row r="120" spans="3:6" ht="15" thickBot="1">
      <c r="C120" s="61" t="s">
        <v>100</v>
      </c>
      <c r="D120" s="62" t="s">
        <v>101</v>
      </c>
      <c r="E120" s="63"/>
      <c r="F120" s="63"/>
    </row>
    <row r="121" spans="3:6" ht="14.4">
      <c r="C121" s="64" t="s">
        <v>102</v>
      </c>
      <c r="D121" s="65"/>
      <c r="E121" s="65"/>
      <c r="F121" s="65"/>
    </row>
    <row r="122" spans="3:6" ht="15" thickBot="1">
      <c r="C122" s="61" t="s">
        <v>103</v>
      </c>
      <c r="D122" s="66"/>
      <c r="E122" s="66"/>
      <c r="F122" s="66"/>
    </row>
    <row r="123" spans="3:6" ht="14.4">
      <c r="C123" s="64" t="s">
        <v>104</v>
      </c>
      <c r="D123" s="65"/>
      <c r="E123" s="65"/>
      <c r="F123" s="65"/>
    </row>
    <row r="124" spans="3:6" ht="15" thickBot="1">
      <c r="C124" s="61" t="s">
        <v>105</v>
      </c>
      <c r="D124" s="66"/>
      <c r="E124" s="66"/>
      <c r="F124" s="66"/>
    </row>
    <row r="125" spans="3:6" ht="14.4">
      <c r="C125" s="67" t="s">
        <v>106</v>
      </c>
      <c r="D125" s="68"/>
      <c r="E125" s="68"/>
      <c r="F125" s="68"/>
    </row>
    <row r="126" spans="3:6" ht="14.4">
      <c r="C126" s="2" t="s">
        <v>107</v>
      </c>
      <c r="D126"/>
      <c r="E126"/>
      <c r="F126"/>
    </row>
  </sheetData>
  <mergeCells count="10">
    <mergeCell ref="D123:D124"/>
    <mergeCell ref="E123:E124"/>
    <mergeCell ref="F123:F124"/>
    <mergeCell ref="C117:F117"/>
    <mergeCell ref="D118:D119"/>
    <mergeCell ref="E118:E119"/>
    <mergeCell ref="F118:F119"/>
    <mergeCell ref="D121:D122"/>
    <mergeCell ref="E121:E122"/>
    <mergeCell ref="F121:F12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N2</vt:lpstr>
      <vt:lpstr>XDO_?CLASS_3?5?</vt:lpstr>
      <vt:lpstr>XDO_?FINAL_ISIN?23?</vt:lpstr>
      <vt:lpstr>XDO_?FINAL_ISIN?24?</vt:lpstr>
      <vt:lpstr>XDO_?FINAL_ISIN?25?</vt:lpstr>
      <vt:lpstr>XDO_?FINAL_ISIN?26?</vt:lpstr>
      <vt:lpstr>XDO_?FINAL_MV?23?</vt:lpstr>
      <vt:lpstr>XDO_?FINAL_MV?24?</vt:lpstr>
      <vt:lpstr>XDO_?FINAL_MV?25?</vt:lpstr>
      <vt:lpstr>XDO_?FINAL_MV?26?</vt:lpstr>
      <vt:lpstr>XDO_?FINAL_NAME?23?</vt:lpstr>
      <vt:lpstr>XDO_?FINAL_NAME?24?</vt:lpstr>
      <vt:lpstr>XDO_?FINAL_NAME?25?</vt:lpstr>
      <vt:lpstr>XDO_?FINAL_NAME?26?</vt:lpstr>
      <vt:lpstr>XDO_?FINAL_PER_NET?23?</vt:lpstr>
      <vt:lpstr>XDO_?FINAL_PER_NET?24?</vt:lpstr>
      <vt:lpstr>XDO_?FINAL_PER_NET?25?</vt:lpstr>
      <vt:lpstr>XDO_?FINAL_PER_NET?26?</vt:lpstr>
      <vt:lpstr>XDO_?FINAL_QUANTITE?23?</vt:lpstr>
      <vt:lpstr>XDO_?FINAL_QUANTITE?24?</vt:lpstr>
      <vt:lpstr>XDO_?FINAL_QUANTITE?25?</vt:lpstr>
      <vt:lpstr>XDO_?FINAL_QUANTITE?26?</vt:lpstr>
      <vt:lpstr>XDO_?NAMCNAME?5?</vt:lpstr>
      <vt:lpstr>XDO_?NOVAL?23?</vt:lpstr>
      <vt:lpstr>XDO_?NOVAL?24?</vt:lpstr>
      <vt:lpstr>XDO_?NOVAL?25?</vt:lpstr>
      <vt:lpstr>XDO_?NOVAL?26?</vt:lpstr>
      <vt:lpstr>XDO_?NPTF?5?</vt:lpstr>
      <vt:lpstr>XDO_?RATING?23?</vt:lpstr>
      <vt:lpstr>XDO_?RATING?24?</vt:lpstr>
      <vt:lpstr>XDO_?RATING?25?</vt:lpstr>
      <vt:lpstr>XDO_?RATING?26?</vt:lpstr>
      <vt:lpstr>XDO_?REMARKS?23?</vt:lpstr>
      <vt:lpstr>XDO_?REMARKS?24?</vt:lpstr>
      <vt:lpstr>XDO_?REMARKS?25?</vt:lpstr>
      <vt:lpstr>XDO_?REMARKS?26?</vt:lpstr>
      <vt:lpstr>XDO_?TITL?5?</vt:lpstr>
      <vt:lpstr>XDO_?YTM?23?</vt:lpstr>
      <vt:lpstr>XDO_?YTM?24?</vt:lpstr>
      <vt:lpstr>XDO_?YTM?25?</vt:lpstr>
      <vt:lpstr>XDO_?YTM?26?</vt:lpstr>
      <vt:lpstr>XDO_GROUP_?G_2?5?</vt:lpstr>
      <vt:lpstr>XDO_GROUP_?G_3?5?</vt:lpstr>
      <vt:lpstr>XDO_GROUP_?G_4?23?</vt:lpstr>
      <vt:lpstr>XDO_GROUP_?G_4?24?</vt:lpstr>
      <vt:lpstr>XDO_GROUP_?G_4?25?</vt:lpstr>
      <vt:lpstr>XDO_GROUP_?G_4?26?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2024-05-07T13:10:01Z</dcterms:created>
  <dcterms:modified xsi:type="dcterms:W3CDTF">2024-05-08T06:55:44Z</dcterms:modified>
</cp:coreProperties>
</file>