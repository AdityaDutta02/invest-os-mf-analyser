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E38EFE59-132C-4A6C-A316-8532F635FAC7}" xr6:coauthVersionLast="47" xr6:coauthVersionMax="47" xr10:uidLastSave="{00000000-0000-0000-0000-000000000000}"/>
  <bookViews>
    <workbookView xWindow="-108" yWindow="-108" windowWidth="23256" windowHeight="12456" xr2:uid="{467AB305-2774-4937-95D2-403C73BDB4BB}"/>
  </bookViews>
  <sheets>
    <sheet name="T0ME38" sheetId="1" r:id="rId1"/>
  </sheets>
  <definedNames>
    <definedName name="JR_PAGE_ANCHOR_0_26">T0ME38!$A$1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" i="1" l="1"/>
  <c r="G52" i="1"/>
</calcChain>
</file>

<file path=xl/sharedStrings.xml><?xml version="1.0" encoding="utf-8"?>
<sst xmlns="http://schemas.openxmlformats.org/spreadsheetml/2006/main" count="316" uniqueCount="264">
  <si>
    <t>Baroda BNP Paribas Dividend Yield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</si>
  <si>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</si>
  <si>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</si>
  <si>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</si>
  <si>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</si>
  <si>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</si>
  <si>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</si>
  <si>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</si>
  <si>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</si>
  <si>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</si>
  <si>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</si>
  <si>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</si>
  <si>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</si>
  <si>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</si>
  <si>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</si>
  <si>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</si>
  <si>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</si>
  <si>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</si>
  <si>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</si>
  <si>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</si>
  <si>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</si>
  <si>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</si>
  <si>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</si>
  <si>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</si>
  <si>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</si>
  <si>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</si>
  <si>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</si>
  <si>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</si>
  <si>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</si>
  <si>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</si>
  <si>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</si>
  <si>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</si>
  <si>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</si>
  <si>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JBCH03</t>
  </si>
  <si>
    <t>JB Chemicals &amp; Pharmaceuticals Limited</t>
  </si>
  <si>
    <t>INE572A01036</t>
  </si>
  <si>
    <t>Pharmaceuticals &amp; Biotechnology</t>
  </si>
  <si>
    <t>DIVI02</t>
  </si>
  <si>
    <t>Divi's Laboratories Limited</t>
  </si>
  <si>
    <t>INE361B01024</t>
  </si>
  <si>
    <t>SPIL03</t>
  </si>
  <si>
    <t>Sun Pharmaceutical Industries Limited</t>
  </si>
  <si>
    <t>INE044A01036</t>
  </si>
  <si>
    <t>INFS02</t>
  </si>
  <si>
    <t>Infosys Limited</t>
  </si>
  <si>
    <t>INE009A01021</t>
  </si>
  <si>
    <t>IT - Software</t>
  </si>
  <si>
    <t>NACL03</t>
  </si>
  <si>
    <t>National Aluminium Company Limited</t>
  </si>
  <si>
    <t>INE139A01034</t>
  </si>
  <si>
    <t>Non - Ferrous Metals</t>
  </si>
  <si>
    <t>HERO02</t>
  </si>
  <si>
    <t>Hero MotoCorp Limited</t>
  </si>
  <si>
    <t>INE158A01026</t>
  </si>
  <si>
    <t>Automobiles</t>
  </si>
  <si>
    <t>NEST02</t>
  </si>
  <si>
    <t>Nestle India Limited</t>
  </si>
  <si>
    <t>INE239A01024</t>
  </si>
  <si>
    <t>Food Products</t>
  </si>
  <si>
    <t>BHFO02</t>
  </si>
  <si>
    <t>Bharat Forge Limited</t>
  </si>
  <si>
    <t>INE465A01025</t>
  </si>
  <si>
    <t>Auto Components</t>
  </si>
  <si>
    <t>RAKH02</t>
  </si>
  <si>
    <t>Radico Khaitan Limited</t>
  </si>
  <si>
    <t>INE944F01028</t>
  </si>
  <si>
    <t>Beverages</t>
  </si>
  <si>
    <t>GLAX01</t>
  </si>
  <si>
    <t>GlaxoSmithKline Pharmaceuticals Limited</t>
  </si>
  <si>
    <t>INE159A01016</t>
  </si>
  <si>
    <t>KOMA03</t>
  </si>
  <si>
    <t>Kotak Mahindra Bank Limited</t>
  </si>
  <si>
    <t>INE237A01036</t>
  </si>
  <si>
    <t>ULCC01</t>
  </si>
  <si>
    <t>UltraTech Cement Limited</t>
  </si>
  <si>
    <t>INE481G01011</t>
  </si>
  <si>
    <t>Cement &amp; Cement Products</t>
  </si>
  <si>
    <t>OIIL01</t>
  </si>
  <si>
    <t>Oil India Limited</t>
  </si>
  <si>
    <t>INE274J01014</t>
  </si>
  <si>
    <t>Oil</t>
  </si>
  <si>
    <t>BAFL03</t>
  </si>
  <si>
    <t>Bajaj Finance Limited</t>
  </si>
  <si>
    <t>INE296A01032</t>
  </si>
  <si>
    <t>Finance</t>
  </si>
  <si>
    <t>SBAI02</t>
  </si>
  <si>
    <t>State Bank of India</t>
  </si>
  <si>
    <t>INE062A01020</t>
  </si>
  <si>
    <t>TEMA02</t>
  </si>
  <si>
    <t>Tech Mahindra Limited</t>
  </si>
  <si>
    <t>INE669C01036</t>
  </si>
  <si>
    <t>CANB02</t>
  </si>
  <si>
    <t>Canara Bank</t>
  </si>
  <si>
    <t>INE476A01022</t>
  </si>
  <si>
    <t>NHPC01</t>
  </si>
  <si>
    <t>NHPC Limited</t>
  </si>
  <si>
    <t>INE848E01016</t>
  </si>
  <si>
    <t>Power</t>
  </si>
  <si>
    <t>MAHE01</t>
  </si>
  <si>
    <t>Max Healthcare Institute Limited</t>
  </si>
  <si>
    <t>INE027H01010</t>
  </si>
  <si>
    <t>Healthcare Services</t>
  </si>
  <si>
    <t>TENN01</t>
  </si>
  <si>
    <t>Tenneco Clean Air India Limited</t>
  </si>
  <si>
    <t>INE19RI01016</t>
  </si>
  <si>
    <t>EIML02</t>
  </si>
  <si>
    <t>Eicher Motors Limited</t>
  </si>
  <si>
    <t>INE066A01021</t>
  </si>
  <si>
    <t>IFEL01</t>
  </si>
  <si>
    <t>Oracle Financial Services Software Limited</t>
  </si>
  <si>
    <t>INE881D01027</t>
  </si>
  <si>
    <t>HZIN02</t>
  </si>
  <si>
    <t>Hindustan Zinc Limited</t>
  </si>
  <si>
    <t>INE267A01025</t>
  </si>
  <si>
    <t>IIFM02</t>
  </si>
  <si>
    <t>360 One WAM Limited</t>
  </si>
  <si>
    <t>INE466L01038</t>
  </si>
  <si>
    <t>Capital Markets</t>
  </si>
  <si>
    <t>ONGC02</t>
  </si>
  <si>
    <t>Oil &amp; Natural Gas Corporation Limited</t>
  </si>
  <si>
    <t>INE213A01029</t>
  </si>
  <si>
    <t>BRIT03</t>
  </si>
  <si>
    <t>Britannia Industries Limited</t>
  </si>
  <si>
    <t>INE216A01030</t>
  </si>
  <si>
    <t>ESCO01</t>
  </si>
  <si>
    <t>Escorts Kubota Limited</t>
  </si>
  <si>
    <t>INE042A01014</t>
  </si>
  <si>
    <t>Agricultural, Commercial &amp; Construction Vehicles</t>
  </si>
  <si>
    <t>MOTI02</t>
  </si>
  <si>
    <t>Bosch Limited</t>
  </si>
  <si>
    <t>INE323A01026</t>
  </si>
  <si>
    <t>LGEL01</t>
  </si>
  <si>
    <t>LG Electronics India Ltd</t>
  </si>
  <si>
    <t>INE324D01010</t>
  </si>
  <si>
    <t>Consumer Durables</t>
  </si>
  <si>
    <t>SJVN01</t>
  </si>
  <si>
    <t>SJVN Limited</t>
  </si>
  <si>
    <t>INE002L01015</t>
  </si>
  <si>
    <t>ITCL02</t>
  </si>
  <si>
    <t>ITC Limited</t>
  </si>
  <si>
    <t>INE154A01025</t>
  </si>
  <si>
    <t>Diversified FMCG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</si>
  <si>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</si>
  <si>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</si>
  <si>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</si>
  <si>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</si>
  <si>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</si>
  <si>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</si>
  <si>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</si>
  <si>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</si>
  <si>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</si>
  <si>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</si>
  <si>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</si>
  <si>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</si>
  <si>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</si>
  <si>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HCLT02</t>
  </si>
  <si>
    <t>HCL Technologies Limited</t>
  </si>
  <si>
    <t>INE860A01027</t>
  </si>
  <si>
    <t>Malco Energy Limited **</t>
  </si>
  <si>
    <t>INE704J01044</t>
  </si>
  <si>
    <t>Vedanta Aluminium Metal Limited **</t>
  </si>
  <si>
    <t>INE1CDF01017</t>
  </si>
  <si>
    <t>Vedanta Iron And Steel Limited **</t>
  </si>
  <si>
    <t>INE1CLE01013</t>
  </si>
  <si>
    <t>Ferrous Metals</t>
  </si>
  <si>
    <t>Talwandi Sabo Power Limited **</t>
  </si>
  <si>
    <t>INE694L01019</t>
  </si>
  <si>
    <t>Sub Total</t>
  </si>
  <si>
    <t>(b) Unlisted</t>
  </si>
  <si>
    <t>NIL</t>
  </si>
  <si>
    <t>Total</t>
  </si>
  <si>
    <t>Derivatives</t>
  </si>
  <si>
    <t>Index / Stock Futures</t>
  </si>
  <si>
    <t>MCEXJUN26</t>
  </si>
  <si>
    <t>Multi Commodity Exchange of India Limited June 2026 Future</t>
  </si>
  <si>
    <t xml:space="preserve"> </t>
  </si>
  <si>
    <t>ULCCJUN26</t>
  </si>
  <si>
    <t>UltraTech Cement Limited June 2026 Future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</si>
  <si>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</si>
  <si>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</si>
  <si>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</si>
  <si>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</si>
  <si>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</si>
  <si>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</si>
  <si>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</si>
  <si>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</si>
  <si>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</si>
  <si>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</si>
  <si>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</si>
  <si>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</si>
  <si>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</si>
  <si>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</si>
  <si>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</si>
  <si>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</si>
  <si>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</si>
  <si>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</si>
  <si>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</si>
  <si>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</si>
  <si>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</si>
  <si>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Limited_30/06/2026</t>
  </si>
  <si>
    <t>Short</t>
  </si>
  <si>
    <t>UltraTech Cement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</si>
  <si>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</si>
  <si>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</si>
  <si>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</si>
  <si>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</si>
  <si>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</si>
  <si>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</si>
  <si>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</si>
  <si>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</si>
  <si>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</si>
  <si>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</si>
  <si>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</si>
  <si>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</si>
  <si>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</si>
  <si>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</si>
  <si>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</si>
  <si>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</si>
  <si>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</si>
  <si>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</si>
  <si>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 Total outstanding exposure in derivative instruments as on May 31, 2026 is 850.43 Lacs.</t>
  </si>
  <si>
    <t>(10) Total Market value of investments in Foreign Securities/American Depositary Receipts/Global Depositary Receipts as at  May 31, 2026 is Rs. Nil.</t>
  </si>
  <si>
    <t>(11)  During the period, the portfolio turnover ratio is 0.50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</si>
  <si>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</si>
  <si>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</si>
  <si>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</si>
  <si>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</si>
  <si>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</si>
  <si>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</si>
  <si>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</si>
  <si>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</si>
  <si>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</si>
  <si>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</si>
  <si>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</si>
  <si>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</si>
  <si>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</si>
  <si>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</si>
  <si>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</si>
  <si>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</si>
  <si>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</si>
  <si>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0.25%.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</si>
  <si>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</si>
  <si>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</si>
  <si>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</si>
  <si>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</si>
  <si>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</si>
  <si>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</si>
  <si>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</si>
  <si>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</si>
  <si>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Multi Commodity Exchange of India Limited</t>
  </si>
  <si>
    <t>Total exposure due to futures (non hedging positions) as a % of net assets: 1.62%.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</si>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</sst>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#,##0.0000"/>
    <numFmt numFmtId="169" formatCode="_(* #,##0_);_(* \(#,##0\);_(* &quot;-&quot;??_);_(@_)"/>
    <numFmt numFmtId="170" formatCode="0.0000"/>
    <numFmt numFmtId="171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0" fillId="0" borderId="0" xfId="0" applyNumberFormat="1"/>
    <xf numFmtId="0" fontId="9" fillId="0" borderId="0" xfId="0" applyFont="1"/>
    <xf numFmtId="0" fontId="10" fillId="0" borderId="0" xfId="0" applyFont="1"/>
    <xf numFmtId="169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70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1" fontId="10" fillId="0" borderId="0" xfId="0" applyNumberFormat="1" applyFont="1"/>
    <xf numFmtId="0" fontId="12" fillId="0" borderId="0" xfId="0" applyFont="1"/>
    <xf numFmtId="171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/>
    <xf numFmtId="164" fontId="10" fillId="0" borderId="0" xfId="1" applyFont="1" applyFill="1"/>
    <xf numFmtId="4" fontId="0" fillId="0" borderId="15" xfId="0" applyNumberForma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D171BA72-14B7-4143-B1C1-96CC25B94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4</xdr:col>
      <xdr:colOff>498348</xdr:colOff>
      <xdr:row>162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2D8F2-62B8-42A5-8CDA-3F9CBB2F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71272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534D-A5D3-47D2-A24B-D7E5D1F86686}">
  <sheetPr codeName="Sheet26">
    <outlinePr summaryBelow="0"/>
  </sheetPr>
  <dimension ref="A1:BB16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59" t="s">
        <v>0</v>
      </c>
      <c r="C1" s="5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7"/>
      <c r="C2" s="6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68" t="s">
        <v>2</v>
      </c>
      <c r="C3" s="68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69" t="s">
        <v>3</v>
      </c>
      <c r="C4" s="6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3" t="s">
        <v>12</v>
      </c>
      <c r="C5" s="6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3" t="s">
        <v>13</v>
      </c>
      <c r="C6" s="6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4" t="s">
        <v>15</v>
      </c>
      <c r="C7" s="64"/>
      <c r="D7" s="6" t="s">
        <v>16</v>
      </c>
      <c r="E7" s="6" t="s">
        <v>17</v>
      </c>
      <c r="F7" s="9">
        <v>342000</v>
      </c>
      <c r="G7" s="10">
        <v>4518.5</v>
      </c>
      <c r="H7" s="11">
        <v>7.2499999999999995E-2</v>
      </c>
      <c r="I7" s="12"/>
      <c r="J7" s="12"/>
      <c r="K7" s="1"/>
    </row>
    <row r="8" spans="1:11" ht="13.05" customHeight="1">
      <c r="A8" s="8" t="s">
        <v>18</v>
      </c>
      <c r="B8" s="64" t="s">
        <v>19</v>
      </c>
      <c r="C8" s="64"/>
      <c r="D8" s="6" t="s">
        <v>20</v>
      </c>
      <c r="E8" s="6" t="s">
        <v>21</v>
      </c>
      <c r="F8" s="9">
        <v>432000</v>
      </c>
      <c r="G8" s="10">
        <v>3216.46</v>
      </c>
      <c r="H8" s="11">
        <v>5.16E-2</v>
      </c>
      <c r="I8" s="12"/>
      <c r="J8" s="12"/>
      <c r="K8" s="1"/>
    </row>
    <row r="9" spans="1:11" ht="13.05" customHeight="1">
      <c r="A9" s="8" t="s">
        <v>22</v>
      </c>
      <c r="B9" s="64" t="s">
        <v>23</v>
      </c>
      <c r="C9" s="64"/>
      <c r="D9" s="6" t="s">
        <v>24</v>
      </c>
      <c r="E9" s="6" t="s">
        <v>25</v>
      </c>
      <c r="F9" s="9">
        <v>76500</v>
      </c>
      <c r="G9" s="10">
        <v>3118.52</v>
      </c>
      <c r="H9" s="11">
        <v>0.05</v>
      </c>
      <c r="I9" s="12"/>
      <c r="J9" s="12"/>
      <c r="K9" s="1"/>
    </row>
    <row r="10" spans="1:11" ht="13.05" customHeight="1">
      <c r="A10" s="8" t="s">
        <v>26</v>
      </c>
      <c r="B10" s="64" t="s">
        <v>27</v>
      </c>
      <c r="C10" s="64"/>
      <c r="D10" s="6" t="s">
        <v>28</v>
      </c>
      <c r="E10" s="6" t="s">
        <v>21</v>
      </c>
      <c r="F10" s="9">
        <v>221200</v>
      </c>
      <c r="G10" s="10">
        <v>2779.16</v>
      </c>
      <c r="H10" s="11">
        <v>4.4600000000000001E-2</v>
      </c>
      <c r="I10" s="12"/>
      <c r="J10" s="12"/>
      <c r="K10" s="1"/>
    </row>
    <row r="11" spans="1:11" ht="13.05" customHeight="1">
      <c r="A11" s="8" t="s">
        <v>29</v>
      </c>
      <c r="B11" s="64" t="s">
        <v>30</v>
      </c>
      <c r="C11" s="64"/>
      <c r="D11" s="6" t="s">
        <v>31</v>
      </c>
      <c r="E11" s="6" t="s">
        <v>32</v>
      </c>
      <c r="F11" s="9">
        <v>49500</v>
      </c>
      <c r="G11" s="10">
        <v>2548.56</v>
      </c>
      <c r="H11" s="11">
        <v>4.0899999999999999E-2</v>
      </c>
      <c r="I11" s="12"/>
      <c r="J11" s="12"/>
      <c r="K11" s="1"/>
    </row>
    <row r="12" spans="1:11" ht="13.05" customHeight="1">
      <c r="A12" s="8" t="s">
        <v>33</v>
      </c>
      <c r="B12" s="64" t="s">
        <v>34</v>
      </c>
      <c r="C12" s="64"/>
      <c r="D12" s="6" t="s">
        <v>35</v>
      </c>
      <c r="E12" s="6" t="s">
        <v>36</v>
      </c>
      <c r="F12" s="9">
        <v>108000</v>
      </c>
      <c r="G12" s="10">
        <v>2340.79</v>
      </c>
      <c r="H12" s="11">
        <v>3.7600000000000001E-2</v>
      </c>
      <c r="I12" s="12"/>
      <c r="J12" s="12"/>
      <c r="K12" s="1"/>
    </row>
    <row r="13" spans="1:11" ht="13.05" customHeight="1">
      <c r="A13" s="8" t="s">
        <v>37</v>
      </c>
      <c r="B13" s="64" t="s">
        <v>38</v>
      </c>
      <c r="C13" s="64"/>
      <c r="D13" s="6" t="s">
        <v>39</v>
      </c>
      <c r="E13" s="6" t="s">
        <v>36</v>
      </c>
      <c r="F13" s="9">
        <v>24300</v>
      </c>
      <c r="G13" s="10">
        <v>1620.08</v>
      </c>
      <c r="H13" s="11">
        <v>2.5999999999999999E-2</v>
      </c>
      <c r="I13" s="12"/>
      <c r="J13" s="12"/>
      <c r="K13" s="1"/>
    </row>
    <row r="14" spans="1:11" ht="13.05" customHeight="1">
      <c r="A14" s="8" t="s">
        <v>40</v>
      </c>
      <c r="B14" s="64" t="s">
        <v>41</v>
      </c>
      <c r="C14" s="64"/>
      <c r="D14" s="6" t="s">
        <v>42</v>
      </c>
      <c r="E14" s="6" t="s">
        <v>36</v>
      </c>
      <c r="F14" s="9">
        <v>90000</v>
      </c>
      <c r="G14" s="10">
        <v>1619.28</v>
      </c>
      <c r="H14" s="11">
        <v>2.5999999999999999E-2</v>
      </c>
      <c r="I14" s="12"/>
      <c r="J14" s="12"/>
      <c r="K14" s="1"/>
    </row>
    <row r="15" spans="1:11" ht="13.05" customHeight="1">
      <c r="A15" s="8" t="s">
        <v>43</v>
      </c>
      <c r="B15" s="64" t="s">
        <v>44</v>
      </c>
      <c r="C15" s="64"/>
      <c r="D15" s="6" t="s">
        <v>45</v>
      </c>
      <c r="E15" s="6" t="s">
        <v>46</v>
      </c>
      <c r="F15" s="9">
        <v>135000</v>
      </c>
      <c r="G15" s="10">
        <v>1567.22</v>
      </c>
      <c r="H15" s="11">
        <v>2.5100000000000001E-2</v>
      </c>
      <c r="I15" s="12"/>
      <c r="J15" s="12"/>
      <c r="K15" s="1"/>
    </row>
    <row r="16" spans="1:11" ht="13.05" customHeight="1">
      <c r="A16" s="8" t="s">
        <v>47</v>
      </c>
      <c r="B16" s="64" t="s">
        <v>48</v>
      </c>
      <c r="C16" s="64"/>
      <c r="D16" s="6" t="s">
        <v>49</v>
      </c>
      <c r="E16" s="6" t="s">
        <v>50</v>
      </c>
      <c r="F16" s="9">
        <v>360000</v>
      </c>
      <c r="G16" s="10">
        <v>1528.02</v>
      </c>
      <c r="H16" s="11">
        <v>2.4500000000000001E-2</v>
      </c>
      <c r="I16" s="12"/>
      <c r="J16" s="12"/>
      <c r="K16" s="1"/>
    </row>
    <row r="17" spans="1:11" ht="13.05" customHeight="1">
      <c r="A17" s="8" t="s">
        <v>51</v>
      </c>
      <c r="B17" s="64" t="s">
        <v>52</v>
      </c>
      <c r="C17" s="64"/>
      <c r="D17" s="6" t="s">
        <v>53</v>
      </c>
      <c r="E17" s="6" t="s">
        <v>54</v>
      </c>
      <c r="F17" s="9">
        <v>29700</v>
      </c>
      <c r="G17" s="10">
        <v>1456.19</v>
      </c>
      <c r="H17" s="11">
        <v>2.3400000000000001E-2</v>
      </c>
      <c r="I17" s="12"/>
      <c r="J17" s="12"/>
      <c r="K17" s="1"/>
    </row>
    <row r="18" spans="1:11" ht="13.05" customHeight="1">
      <c r="A18" s="8" t="s">
        <v>55</v>
      </c>
      <c r="B18" s="64" t="s">
        <v>56</v>
      </c>
      <c r="C18" s="64"/>
      <c r="D18" s="6" t="s">
        <v>57</v>
      </c>
      <c r="E18" s="6" t="s">
        <v>58</v>
      </c>
      <c r="F18" s="9">
        <v>100000</v>
      </c>
      <c r="G18" s="10">
        <v>1421.5</v>
      </c>
      <c r="H18" s="11">
        <v>2.2800000000000001E-2</v>
      </c>
      <c r="I18" s="12"/>
      <c r="J18" s="12"/>
      <c r="K18" s="1"/>
    </row>
    <row r="19" spans="1:11" ht="13.05" customHeight="1">
      <c r="A19" s="8" t="s">
        <v>59</v>
      </c>
      <c r="B19" s="64" t="s">
        <v>60</v>
      </c>
      <c r="C19" s="64"/>
      <c r="D19" s="6" t="s">
        <v>61</v>
      </c>
      <c r="E19" s="6" t="s">
        <v>62</v>
      </c>
      <c r="F19" s="9">
        <v>72000</v>
      </c>
      <c r="G19" s="10">
        <v>1409.18</v>
      </c>
      <c r="H19" s="11">
        <v>2.2599999999999999E-2</v>
      </c>
      <c r="I19" s="12"/>
      <c r="J19" s="12"/>
      <c r="K19" s="1"/>
    </row>
    <row r="20" spans="1:11" ht="13.05" customHeight="1">
      <c r="A20" s="8" t="s">
        <v>63</v>
      </c>
      <c r="B20" s="64" t="s">
        <v>64</v>
      </c>
      <c r="C20" s="64"/>
      <c r="D20" s="6" t="s">
        <v>65</v>
      </c>
      <c r="E20" s="6" t="s">
        <v>66</v>
      </c>
      <c r="F20" s="9">
        <v>39600</v>
      </c>
      <c r="G20" s="10">
        <v>1393.37</v>
      </c>
      <c r="H20" s="11">
        <v>2.24E-2</v>
      </c>
      <c r="I20" s="12"/>
      <c r="J20" s="12"/>
      <c r="K20" s="1"/>
    </row>
    <row r="21" spans="1:11" ht="13.05" customHeight="1">
      <c r="A21" s="8" t="s">
        <v>67</v>
      </c>
      <c r="B21" s="64" t="s">
        <v>68</v>
      </c>
      <c r="C21" s="64"/>
      <c r="D21" s="6" t="s">
        <v>69</v>
      </c>
      <c r="E21" s="6" t="s">
        <v>36</v>
      </c>
      <c r="F21" s="9">
        <v>63000</v>
      </c>
      <c r="G21" s="10">
        <v>1392.43</v>
      </c>
      <c r="H21" s="11">
        <v>2.23E-2</v>
      </c>
      <c r="I21" s="12"/>
      <c r="J21" s="12"/>
      <c r="K21" s="1"/>
    </row>
    <row r="22" spans="1:11" ht="13.05" customHeight="1">
      <c r="A22" s="8" t="s">
        <v>70</v>
      </c>
      <c r="B22" s="64" t="s">
        <v>71</v>
      </c>
      <c r="C22" s="64"/>
      <c r="D22" s="6" t="s">
        <v>72</v>
      </c>
      <c r="E22" s="6" t="s">
        <v>21</v>
      </c>
      <c r="F22" s="9">
        <v>351400</v>
      </c>
      <c r="G22" s="10">
        <v>1350.08</v>
      </c>
      <c r="H22" s="11">
        <v>2.1700000000000001E-2</v>
      </c>
      <c r="I22" s="12"/>
      <c r="J22" s="12"/>
      <c r="K22" s="1"/>
    </row>
    <row r="23" spans="1:11" ht="13.05" customHeight="1">
      <c r="A23" s="8" t="s">
        <v>73</v>
      </c>
      <c r="B23" s="64" t="s">
        <v>74</v>
      </c>
      <c r="C23" s="64"/>
      <c r="D23" s="6" t="s">
        <v>75</v>
      </c>
      <c r="E23" s="6" t="s">
        <v>76</v>
      </c>
      <c r="F23" s="9">
        <v>11700</v>
      </c>
      <c r="G23" s="10">
        <v>1343.39</v>
      </c>
      <c r="H23" s="11">
        <v>2.1600000000000001E-2</v>
      </c>
      <c r="I23" s="12"/>
      <c r="J23" s="12"/>
      <c r="K23" s="1"/>
    </row>
    <row r="24" spans="1:11" ht="13.05" customHeight="1">
      <c r="A24" s="8" t="s">
        <v>77</v>
      </c>
      <c r="B24" s="64" t="s">
        <v>78</v>
      </c>
      <c r="C24" s="64"/>
      <c r="D24" s="6" t="s">
        <v>79</v>
      </c>
      <c r="E24" s="6" t="s">
        <v>80</v>
      </c>
      <c r="F24" s="9">
        <v>270000</v>
      </c>
      <c r="G24" s="10">
        <v>1285.6099999999999</v>
      </c>
      <c r="H24" s="11">
        <v>2.06E-2</v>
      </c>
      <c r="I24" s="12"/>
      <c r="J24" s="12"/>
      <c r="K24" s="1"/>
    </row>
    <row r="25" spans="1:11" ht="13.05" customHeight="1">
      <c r="A25" s="8" t="s">
        <v>81</v>
      </c>
      <c r="B25" s="64" t="s">
        <v>82</v>
      </c>
      <c r="C25" s="64"/>
      <c r="D25" s="6" t="s">
        <v>83</v>
      </c>
      <c r="E25" s="6" t="s">
        <v>84</v>
      </c>
      <c r="F25" s="9">
        <v>135000</v>
      </c>
      <c r="G25" s="10">
        <v>1226.1400000000001</v>
      </c>
      <c r="H25" s="11">
        <v>1.9699999999999999E-2</v>
      </c>
      <c r="I25" s="12"/>
      <c r="J25" s="12"/>
      <c r="K25" s="1"/>
    </row>
    <row r="26" spans="1:11" ht="13.05" customHeight="1">
      <c r="A26" s="8" t="s">
        <v>85</v>
      </c>
      <c r="B26" s="64" t="s">
        <v>86</v>
      </c>
      <c r="C26" s="64"/>
      <c r="D26" s="6" t="s">
        <v>87</v>
      </c>
      <c r="E26" s="6" t="s">
        <v>21</v>
      </c>
      <c r="F26" s="9">
        <v>126000</v>
      </c>
      <c r="G26" s="10">
        <v>1215.1400000000001</v>
      </c>
      <c r="H26" s="11">
        <v>1.95E-2</v>
      </c>
      <c r="I26" s="12"/>
      <c r="J26" s="12"/>
      <c r="K26" s="1"/>
    </row>
    <row r="27" spans="1:11" ht="13.05" customHeight="1">
      <c r="A27" s="8" t="s">
        <v>88</v>
      </c>
      <c r="B27" s="64" t="s">
        <v>89</v>
      </c>
      <c r="C27" s="64"/>
      <c r="D27" s="6" t="s">
        <v>90</v>
      </c>
      <c r="E27" s="6" t="s">
        <v>46</v>
      </c>
      <c r="F27" s="9">
        <v>81000</v>
      </c>
      <c r="G27" s="10">
        <v>1201.96</v>
      </c>
      <c r="H27" s="11">
        <v>1.9300000000000001E-2</v>
      </c>
      <c r="I27" s="12"/>
      <c r="J27" s="12"/>
      <c r="K27" s="1"/>
    </row>
    <row r="28" spans="1:11" ht="13.05" customHeight="1">
      <c r="A28" s="8" t="s">
        <v>91</v>
      </c>
      <c r="B28" s="64" t="s">
        <v>92</v>
      </c>
      <c r="C28" s="64"/>
      <c r="D28" s="6" t="s">
        <v>93</v>
      </c>
      <c r="E28" s="6" t="s">
        <v>21</v>
      </c>
      <c r="F28" s="9">
        <v>900000</v>
      </c>
      <c r="G28" s="10">
        <v>1177.2</v>
      </c>
      <c r="H28" s="11">
        <v>1.89E-2</v>
      </c>
      <c r="I28" s="12"/>
      <c r="J28" s="12"/>
      <c r="K28" s="1"/>
    </row>
    <row r="29" spans="1:11" ht="13.05" customHeight="1">
      <c r="A29" s="8" t="s">
        <v>94</v>
      </c>
      <c r="B29" s="64" t="s">
        <v>95</v>
      </c>
      <c r="C29" s="64"/>
      <c r="D29" s="6" t="s">
        <v>96</v>
      </c>
      <c r="E29" s="6" t="s">
        <v>97</v>
      </c>
      <c r="F29" s="9">
        <v>1440000</v>
      </c>
      <c r="G29" s="10">
        <v>1135.73</v>
      </c>
      <c r="H29" s="11">
        <v>1.8200000000000001E-2</v>
      </c>
      <c r="I29" s="12"/>
      <c r="J29" s="12"/>
      <c r="K29" s="1"/>
    </row>
    <row r="30" spans="1:11" ht="13.05" customHeight="1">
      <c r="A30" s="8" t="s">
        <v>98</v>
      </c>
      <c r="B30" s="64" t="s">
        <v>99</v>
      </c>
      <c r="C30" s="64"/>
      <c r="D30" s="6" t="s">
        <v>100</v>
      </c>
      <c r="E30" s="6" t="s">
        <v>101</v>
      </c>
      <c r="F30" s="9">
        <v>117000</v>
      </c>
      <c r="G30" s="10">
        <v>1129.17</v>
      </c>
      <c r="H30" s="11">
        <v>1.8100000000000002E-2</v>
      </c>
      <c r="I30" s="12"/>
      <c r="J30" s="12"/>
      <c r="K30" s="1"/>
    </row>
    <row r="31" spans="1:11" ht="13.05" customHeight="1">
      <c r="A31" s="8" t="s">
        <v>102</v>
      </c>
      <c r="B31" s="64" t="s">
        <v>103</v>
      </c>
      <c r="C31" s="64"/>
      <c r="D31" s="6" t="s">
        <v>104</v>
      </c>
      <c r="E31" s="6" t="s">
        <v>62</v>
      </c>
      <c r="F31" s="9">
        <v>189000</v>
      </c>
      <c r="G31" s="10">
        <v>1111.8900000000001</v>
      </c>
      <c r="H31" s="11">
        <v>1.78E-2</v>
      </c>
      <c r="I31" s="12"/>
      <c r="J31" s="12"/>
      <c r="K31" s="1"/>
    </row>
    <row r="32" spans="1:11" ht="13.05" customHeight="1">
      <c r="A32" s="8" t="s">
        <v>105</v>
      </c>
      <c r="B32" s="64" t="s">
        <v>106</v>
      </c>
      <c r="C32" s="64"/>
      <c r="D32" s="6" t="s">
        <v>107</v>
      </c>
      <c r="E32" s="6" t="s">
        <v>54</v>
      </c>
      <c r="F32" s="9">
        <v>15000</v>
      </c>
      <c r="G32" s="10">
        <v>1076.55</v>
      </c>
      <c r="H32" s="11">
        <v>1.7299999999999999E-2</v>
      </c>
      <c r="I32" s="12"/>
      <c r="J32" s="12"/>
      <c r="K32" s="1"/>
    </row>
    <row r="33" spans="1:11" ht="13.05" customHeight="1">
      <c r="A33" s="8" t="s">
        <v>108</v>
      </c>
      <c r="B33" s="64" t="s">
        <v>109</v>
      </c>
      <c r="C33" s="64"/>
      <c r="D33" s="6" t="s">
        <v>110</v>
      </c>
      <c r="E33" s="6" t="s">
        <v>46</v>
      </c>
      <c r="F33" s="9">
        <v>10620</v>
      </c>
      <c r="G33" s="10">
        <v>1058.18</v>
      </c>
      <c r="H33" s="11">
        <v>1.7000000000000001E-2</v>
      </c>
      <c r="I33" s="12"/>
      <c r="J33" s="12"/>
      <c r="K33" s="1"/>
    </row>
    <row r="34" spans="1:11" ht="13.05" customHeight="1">
      <c r="A34" s="8" t="s">
        <v>111</v>
      </c>
      <c r="B34" s="64" t="s">
        <v>112</v>
      </c>
      <c r="C34" s="64"/>
      <c r="D34" s="6" t="s">
        <v>113</v>
      </c>
      <c r="E34" s="6" t="s">
        <v>50</v>
      </c>
      <c r="F34" s="9">
        <v>157500</v>
      </c>
      <c r="G34" s="10">
        <v>996.9</v>
      </c>
      <c r="H34" s="11">
        <v>1.6E-2</v>
      </c>
      <c r="I34" s="12"/>
      <c r="J34" s="12"/>
      <c r="K34" s="1"/>
    </row>
    <row r="35" spans="1:11" ht="13.05" customHeight="1">
      <c r="A35" s="8" t="s">
        <v>114</v>
      </c>
      <c r="B35" s="64" t="s">
        <v>115</v>
      </c>
      <c r="C35" s="64"/>
      <c r="D35" s="6" t="s">
        <v>116</v>
      </c>
      <c r="E35" s="6" t="s">
        <v>117</v>
      </c>
      <c r="F35" s="9">
        <v>90000</v>
      </c>
      <c r="G35" s="10">
        <v>994.05</v>
      </c>
      <c r="H35" s="11">
        <v>1.5900000000000001E-2</v>
      </c>
      <c r="I35" s="12"/>
      <c r="J35" s="12"/>
      <c r="K35" s="1"/>
    </row>
    <row r="36" spans="1:11" ht="13.05" customHeight="1">
      <c r="A36" s="8" t="s">
        <v>118</v>
      </c>
      <c r="B36" s="64" t="s">
        <v>119</v>
      </c>
      <c r="C36" s="64"/>
      <c r="D36" s="6" t="s">
        <v>120</v>
      </c>
      <c r="E36" s="6" t="s">
        <v>80</v>
      </c>
      <c r="F36" s="9">
        <v>360000</v>
      </c>
      <c r="G36" s="10">
        <v>955.44</v>
      </c>
      <c r="H36" s="11">
        <v>1.5299999999999999E-2</v>
      </c>
      <c r="I36" s="12"/>
      <c r="J36" s="12"/>
      <c r="K36" s="1"/>
    </row>
    <row r="37" spans="1:11" ht="13.05" customHeight="1">
      <c r="A37" s="8" t="s">
        <v>121</v>
      </c>
      <c r="B37" s="64" t="s">
        <v>122</v>
      </c>
      <c r="C37" s="64"/>
      <c r="D37" s="6" t="s">
        <v>123</v>
      </c>
      <c r="E37" s="6" t="s">
        <v>58</v>
      </c>
      <c r="F37" s="9">
        <v>18000</v>
      </c>
      <c r="G37" s="10">
        <v>936.81</v>
      </c>
      <c r="H37" s="11">
        <v>1.4999999999999999E-2</v>
      </c>
      <c r="I37" s="12"/>
      <c r="J37" s="12"/>
      <c r="K37" s="1"/>
    </row>
    <row r="38" spans="1:11" ht="13.05" customHeight="1">
      <c r="A38" s="8" t="s">
        <v>124</v>
      </c>
      <c r="B38" s="64" t="s">
        <v>125</v>
      </c>
      <c r="C38" s="64"/>
      <c r="D38" s="6" t="s">
        <v>126</v>
      </c>
      <c r="E38" s="6" t="s">
        <v>127</v>
      </c>
      <c r="F38" s="9">
        <v>30600</v>
      </c>
      <c r="G38" s="10">
        <v>875.1</v>
      </c>
      <c r="H38" s="11">
        <v>1.4E-2</v>
      </c>
      <c r="I38" s="12"/>
      <c r="J38" s="12"/>
      <c r="K38" s="1"/>
    </row>
    <row r="39" spans="1:11" ht="13.05" customHeight="1">
      <c r="A39" s="8" t="s">
        <v>128</v>
      </c>
      <c r="B39" s="64" t="s">
        <v>129</v>
      </c>
      <c r="C39" s="64"/>
      <c r="D39" s="6" t="s">
        <v>130</v>
      </c>
      <c r="E39" s="6" t="s">
        <v>62</v>
      </c>
      <c r="F39" s="9">
        <v>2250</v>
      </c>
      <c r="G39" s="10">
        <v>824.06</v>
      </c>
      <c r="H39" s="11">
        <v>1.32E-2</v>
      </c>
      <c r="I39" s="12"/>
      <c r="J39" s="12"/>
      <c r="K39" s="1"/>
    </row>
    <row r="40" spans="1:11" ht="13.05" customHeight="1">
      <c r="A40" s="8" t="s">
        <v>131</v>
      </c>
      <c r="B40" s="64" t="s">
        <v>132</v>
      </c>
      <c r="C40" s="64"/>
      <c r="D40" s="6" t="s">
        <v>133</v>
      </c>
      <c r="E40" s="6" t="s">
        <v>134</v>
      </c>
      <c r="F40" s="9">
        <v>54000</v>
      </c>
      <c r="G40" s="10">
        <v>822.91</v>
      </c>
      <c r="H40" s="11">
        <v>1.32E-2</v>
      </c>
      <c r="I40" s="12"/>
      <c r="J40" s="12"/>
      <c r="K40" s="1"/>
    </row>
    <row r="41" spans="1:11" ht="13.05" customHeight="1">
      <c r="A41" s="8" t="s">
        <v>135</v>
      </c>
      <c r="B41" s="64" t="s">
        <v>136</v>
      </c>
      <c r="C41" s="64"/>
      <c r="D41" s="6" t="s">
        <v>137</v>
      </c>
      <c r="E41" s="6" t="s">
        <v>97</v>
      </c>
      <c r="F41" s="9">
        <v>1080000</v>
      </c>
      <c r="G41" s="10">
        <v>811.73</v>
      </c>
      <c r="H41" s="11">
        <v>1.2999999999999999E-2</v>
      </c>
      <c r="I41" s="12"/>
      <c r="J41" s="12"/>
      <c r="K41" s="1"/>
    </row>
    <row r="42" spans="1:11" ht="13.05" customHeight="1">
      <c r="A42" s="8" t="s">
        <v>138</v>
      </c>
      <c r="B42" s="64" t="s">
        <v>139</v>
      </c>
      <c r="C42" s="64"/>
      <c r="D42" s="6" t="s">
        <v>140</v>
      </c>
      <c r="E42" s="6" t="s">
        <v>141</v>
      </c>
      <c r="F42" s="9">
        <v>270000</v>
      </c>
      <c r="G42" s="10">
        <v>774.63</v>
      </c>
      <c r="H42" s="11">
        <v>1.24E-2</v>
      </c>
      <c r="I42" s="12"/>
      <c r="J42" s="12"/>
      <c r="K42" s="1"/>
    </row>
    <row r="43" spans="1:11" ht="13.05" customHeight="1">
      <c r="A43" s="8" t="s">
        <v>142</v>
      </c>
      <c r="B43" s="64" t="s">
        <v>143</v>
      </c>
      <c r="C43" s="64"/>
      <c r="D43" s="6" t="s">
        <v>144</v>
      </c>
      <c r="E43" s="6" t="s">
        <v>84</v>
      </c>
      <c r="F43" s="9">
        <v>49500</v>
      </c>
      <c r="G43" s="10">
        <v>761.16</v>
      </c>
      <c r="H43" s="11">
        <v>1.2200000000000001E-2</v>
      </c>
      <c r="I43" s="12"/>
      <c r="J43" s="12"/>
      <c r="K43" s="1"/>
    </row>
    <row r="44" spans="1:11" ht="13.05" customHeight="1">
      <c r="A44" s="8" t="s">
        <v>145</v>
      </c>
      <c r="B44" s="64" t="s">
        <v>146</v>
      </c>
      <c r="C44" s="64"/>
      <c r="D44" s="6" t="s">
        <v>147</v>
      </c>
      <c r="E44" s="6" t="s">
        <v>46</v>
      </c>
      <c r="F44" s="9">
        <v>31500</v>
      </c>
      <c r="G44" s="10">
        <v>711.55</v>
      </c>
      <c r="H44" s="11">
        <v>1.14E-2</v>
      </c>
      <c r="I44" s="12"/>
      <c r="J44" s="12"/>
      <c r="K44" s="1"/>
    </row>
    <row r="45" spans="1:11" ht="13.05" customHeight="1">
      <c r="A45" s="8" t="s">
        <v>148</v>
      </c>
      <c r="B45" s="64" t="s">
        <v>149</v>
      </c>
      <c r="C45" s="64"/>
      <c r="D45" s="6" t="s">
        <v>150</v>
      </c>
      <c r="E45" s="6" t="s">
        <v>151</v>
      </c>
      <c r="F45" s="9">
        <v>153000</v>
      </c>
      <c r="G45" s="10">
        <v>700.59</v>
      </c>
      <c r="H45" s="11">
        <v>1.12E-2</v>
      </c>
      <c r="I45" s="12"/>
      <c r="J45" s="12"/>
      <c r="K45" s="1"/>
    </row>
    <row r="46" spans="1:11" ht="13.05" customHeight="1">
      <c r="A46" s="8" t="s">
        <v>152</v>
      </c>
      <c r="B46" s="64" t="s">
        <v>153</v>
      </c>
      <c r="C46" s="64"/>
      <c r="D46" s="6" t="s">
        <v>154</v>
      </c>
      <c r="E46" s="6" t="s">
        <v>46</v>
      </c>
      <c r="F46" s="9">
        <v>324000</v>
      </c>
      <c r="G46" s="10">
        <v>661.77</v>
      </c>
      <c r="H46" s="11">
        <v>1.06E-2</v>
      </c>
      <c r="I46" s="12"/>
      <c r="J46" s="12"/>
      <c r="K46" s="1"/>
    </row>
    <row r="47" spans="1:11" ht="13.05" customHeight="1">
      <c r="A47" s="8" t="s">
        <v>155</v>
      </c>
      <c r="B47" s="64" t="s">
        <v>156</v>
      </c>
      <c r="C47" s="64"/>
      <c r="D47" s="6" t="s">
        <v>157</v>
      </c>
      <c r="E47" s="6" t="s">
        <v>46</v>
      </c>
      <c r="F47" s="9">
        <v>54000</v>
      </c>
      <c r="G47" s="10">
        <v>639.25</v>
      </c>
      <c r="H47" s="11">
        <v>1.03E-2</v>
      </c>
      <c r="I47" s="12"/>
      <c r="J47" s="12"/>
      <c r="K47" s="1"/>
    </row>
    <row r="48" spans="1:11" ht="13.05" customHeight="1">
      <c r="A48" s="8"/>
      <c r="B48" s="64" t="s">
        <v>158</v>
      </c>
      <c r="C48" s="64"/>
      <c r="D48" s="6" t="s">
        <v>159</v>
      </c>
      <c r="E48" s="6" t="s">
        <v>80</v>
      </c>
      <c r="F48" s="9">
        <v>315000</v>
      </c>
      <c r="G48" s="10">
        <v>381.24</v>
      </c>
      <c r="H48" s="11">
        <v>6.1000000000000004E-3</v>
      </c>
      <c r="I48" s="12"/>
      <c r="J48" s="12"/>
      <c r="K48" s="1"/>
    </row>
    <row r="49" spans="1:11" ht="13.05" customHeight="1">
      <c r="A49" s="8"/>
      <c r="B49" s="64" t="s">
        <v>160</v>
      </c>
      <c r="C49" s="64"/>
      <c r="D49" s="6" t="s">
        <v>161</v>
      </c>
      <c r="E49" s="6" t="s">
        <v>50</v>
      </c>
      <c r="F49" s="9">
        <v>315000</v>
      </c>
      <c r="G49" s="10">
        <v>381.24</v>
      </c>
      <c r="H49" s="11">
        <v>6.1000000000000004E-3</v>
      </c>
      <c r="I49" s="12"/>
      <c r="J49" s="12"/>
      <c r="K49" s="1"/>
    </row>
    <row r="50" spans="1:11" ht="13.05" customHeight="1">
      <c r="A50" s="8"/>
      <c r="B50" s="64" t="s">
        <v>162</v>
      </c>
      <c r="C50" s="64"/>
      <c r="D50" s="6" t="s">
        <v>163</v>
      </c>
      <c r="E50" s="6" t="s">
        <v>164</v>
      </c>
      <c r="F50" s="9">
        <v>315000</v>
      </c>
      <c r="G50" s="10">
        <v>381.24</v>
      </c>
      <c r="H50" s="11">
        <v>6.1000000000000004E-3</v>
      </c>
      <c r="I50" s="12"/>
      <c r="J50" s="12"/>
      <c r="K50" s="1"/>
    </row>
    <row r="51" spans="1:11" ht="13.05" customHeight="1">
      <c r="A51" s="8"/>
      <c r="B51" s="64" t="s">
        <v>165</v>
      </c>
      <c r="C51" s="64"/>
      <c r="D51" s="6" t="s">
        <v>166</v>
      </c>
      <c r="E51" s="6" t="s">
        <v>97</v>
      </c>
      <c r="F51" s="9">
        <v>315000</v>
      </c>
      <c r="G51" s="10">
        <v>381.24</v>
      </c>
      <c r="H51" s="11">
        <v>6.1000000000000004E-3</v>
      </c>
      <c r="I51" s="12"/>
      <c r="J51" s="12"/>
      <c r="K51" s="1"/>
    </row>
    <row r="52" spans="1:11" ht="13.05" customHeight="1">
      <c r="A52" s="1"/>
      <c r="B52" s="65" t="s">
        <v>167</v>
      </c>
      <c r="C52" s="65"/>
      <c r="D52" s="13"/>
      <c r="E52" s="13"/>
      <c r="F52" s="13"/>
      <c r="G52" s="14">
        <f>SUM(G7:G51)</f>
        <v>59231.209999999992</v>
      </c>
      <c r="H52" s="15">
        <f>SUM(H7:H51)</f>
        <v>0.95010000000000006</v>
      </c>
      <c r="I52" s="16"/>
      <c r="J52" s="16"/>
      <c r="K52" s="1"/>
    </row>
    <row r="53" spans="1:11" ht="13.05" customHeight="1">
      <c r="A53" s="1"/>
      <c r="B53" s="65" t="s">
        <v>168</v>
      </c>
      <c r="C53" s="65"/>
      <c r="D53" s="13"/>
      <c r="E53" s="13"/>
      <c r="F53" s="13"/>
      <c r="G53" s="16" t="s">
        <v>169</v>
      </c>
      <c r="H53" s="16" t="s">
        <v>169</v>
      </c>
      <c r="I53" s="16"/>
      <c r="J53" s="16"/>
      <c r="K53" s="1"/>
    </row>
    <row r="54" spans="1:11" ht="13.05" customHeight="1">
      <c r="A54" s="1"/>
      <c r="B54" s="65" t="s">
        <v>167</v>
      </c>
      <c r="C54" s="65"/>
      <c r="D54" s="13"/>
      <c r="E54" s="13"/>
      <c r="F54" s="13"/>
      <c r="G54" s="16" t="s">
        <v>169</v>
      </c>
      <c r="H54" s="16" t="s">
        <v>169</v>
      </c>
      <c r="I54" s="16"/>
      <c r="J54" s="16"/>
      <c r="K54" s="1"/>
    </row>
    <row r="55" spans="1:11" ht="13.05" customHeight="1">
      <c r="A55" s="1"/>
      <c r="B55" s="65" t="s">
        <v>170</v>
      </c>
      <c r="C55" s="65"/>
      <c r="D55" s="17"/>
      <c r="E55" s="13"/>
      <c r="F55" s="17"/>
      <c r="G55" s="14">
        <v>59231.21</v>
      </c>
      <c r="H55" s="15">
        <v>0.95009999999999994</v>
      </c>
      <c r="I55" s="16"/>
      <c r="J55" s="16"/>
      <c r="K55" s="1"/>
    </row>
    <row r="56" spans="1:11" ht="13.05" customHeight="1">
      <c r="A56" s="1"/>
      <c r="B56" s="63" t="s">
        <v>171</v>
      </c>
      <c r="C56" s="63"/>
      <c r="D56" s="6"/>
      <c r="E56" s="6"/>
      <c r="F56" s="6"/>
      <c r="G56" s="6"/>
      <c r="H56" s="6"/>
      <c r="I56" s="7"/>
      <c r="J56" s="7"/>
      <c r="K56" s="1"/>
    </row>
    <row r="57" spans="1:11" ht="13.05" customHeight="1">
      <c r="A57" s="1"/>
      <c r="B57" s="63" t="s">
        <v>172</v>
      </c>
      <c r="C57" s="63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173</v>
      </c>
      <c r="B58" s="64" t="s">
        <v>174</v>
      </c>
      <c r="C58" s="64"/>
      <c r="D58" s="6"/>
      <c r="E58" s="6" t="s">
        <v>175</v>
      </c>
      <c r="F58" s="9">
        <v>33750</v>
      </c>
      <c r="G58" s="10">
        <v>1007.24</v>
      </c>
      <c r="H58" s="11">
        <v>1.6199999999999999E-2</v>
      </c>
      <c r="I58" s="12"/>
      <c r="J58" s="12"/>
      <c r="K58" s="1"/>
    </row>
    <row r="59" spans="1:11" ht="13.05" customHeight="1">
      <c r="A59" s="8" t="s">
        <v>176</v>
      </c>
      <c r="B59" s="64" t="s">
        <v>177</v>
      </c>
      <c r="C59" s="64"/>
      <c r="D59" s="6"/>
      <c r="E59" s="6" t="s">
        <v>175</v>
      </c>
      <c r="F59" s="9">
        <v>-1350</v>
      </c>
      <c r="G59" s="10">
        <v>-156.80000000000001</v>
      </c>
      <c r="H59" s="11">
        <v>-2.5000000000000001E-3</v>
      </c>
      <c r="I59" s="12"/>
      <c r="J59" s="12"/>
      <c r="K59" s="1"/>
    </row>
    <row r="60" spans="1:11" ht="13.05" customHeight="1">
      <c r="A60" s="1"/>
      <c r="B60" s="65" t="s">
        <v>167</v>
      </c>
      <c r="C60" s="65"/>
      <c r="D60" s="13"/>
      <c r="E60" s="13"/>
      <c r="F60" s="13"/>
      <c r="G60" s="14">
        <v>850.44</v>
      </c>
      <c r="H60" s="15">
        <v>1.37E-2</v>
      </c>
      <c r="I60" s="16"/>
      <c r="J60" s="16"/>
      <c r="K60" s="1"/>
    </row>
    <row r="61" spans="1:11" ht="13.05" customHeight="1">
      <c r="A61" s="1"/>
      <c r="B61" s="65" t="s">
        <v>170</v>
      </c>
      <c r="C61" s="65"/>
      <c r="D61" s="17"/>
      <c r="E61" s="13"/>
      <c r="F61" s="17"/>
      <c r="G61" s="14">
        <v>850.44</v>
      </c>
      <c r="H61" s="15">
        <v>1.37E-2</v>
      </c>
      <c r="I61" s="16"/>
      <c r="J61" s="16"/>
      <c r="K61" s="1"/>
    </row>
    <row r="62" spans="1:11" ht="13.05" customHeight="1">
      <c r="A62" s="1"/>
      <c r="B62" s="63" t="s">
        <v>178</v>
      </c>
      <c r="C62" s="63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63" t="s">
        <v>179</v>
      </c>
      <c r="C63" s="63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180</v>
      </c>
      <c r="B64" s="64" t="s">
        <v>181</v>
      </c>
      <c r="C64" s="64"/>
      <c r="D64" s="6" t="s">
        <v>182</v>
      </c>
      <c r="E64" s="6" t="s">
        <v>183</v>
      </c>
      <c r="F64" s="9">
        <v>1000000</v>
      </c>
      <c r="G64" s="10">
        <v>998.55</v>
      </c>
      <c r="H64" s="11">
        <v>1.6E-2</v>
      </c>
      <c r="I64" s="18">
        <v>5.2999999999999999E-2</v>
      </c>
      <c r="J64" s="12"/>
      <c r="K64" s="1"/>
    </row>
    <row r="65" spans="1:11" ht="13.05" customHeight="1">
      <c r="A65" s="1"/>
      <c r="B65" s="65" t="s">
        <v>167</v>
      </c>
      <c r="C65" s="65"/>
      <c r="D65" s="13"/>
      <c r="E65" s="13"/>
      <c r="F65" s="13"/>
      <c r="G65" s="14">
        <v>998.55</v>
      </c>
      <c r="H65" s="15">
        <v>1.6E-2</v>
      </c>
      <c r="I65" s="16"/>
      <c r="J65" s="16"/>
      <c r="K65" s="1"/>
    </row>
    <row r="66" spans="1:11" ht="13.05" customHeight="1">
      <c r="A66" s="1"/>
      <c r="B66" s="65" t="s">
        <v>170</v>
      </c>
      <c r="C66" s="65"/>
      <c r="D66" s="17"/>
      <c r="E66" s="13"/>
      <c r="F66" s="17"/>
      <c r="G66" s="14">
        <v>998.55</v>
      </c>
      <c r="H66" s="15">
        <v>1.6E-2</v>
      </c>
      <c r="I66" s="16"/>
      <c r="J66" s="16"/>
      <c r="K66" s="1"/>
    </row>
    <row r="67" spans="1:11" ht="13.05" customHeight="1">
      <c r="A67" s="1"/>
      <c r="B67" s="63" t="s">
        <v>184</v>
      </c>
      <c r="C67" s="63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8" t="s">
        <v>185</v>
      </c>
      <c r="B68" s="64" t="s">
        <v>186</v>
      </c>
      <c r="C68" s="64"/>
      <c r="D68" s="6"/>
      <c r="E68" s="6" t="s">
        <v>175</v>
      </c>
      <c r="F68" s="9"/>
      <c r="G68" s="10">
        <v>2132.06</v>
      </c>
      <c r="H68" s="11">
        <v>3.4200000000000001E-2</v>
      </c>
      <c r="I68" s="18">
        <v>0.16103456217995774</v>
      </c>
      <c r="J68" s="12"/>
      <c r="K68" s="1"/>
    </row>
    <row r="69" spans="1:11" ht="13.05" customHeight="1">
      <c r="A69" s="1"/>
      <c r="B69" s="65" t="s">
        <v>167</v>
      </c>
      <c r="C69" s="65"/>
      <c r="D69" s="13"/>
      <c r="E69" s="13"/>
      <c r="F69" s="13"/>
      <c r="G69" s="14">
        <v>2132.06</v>
      </c>
      <c r="H69" s="15">
        <v>3.4200000000000001E-2</v>
      </c>
      <c r="I69" s="16"/>
      <c r="J69" s="16"/>
      <c r="K69" s="1"/>
    </row>
    <row r="70" spans="1:11" ht="13.05" customHeight="1">
      <c r="A70" s="1"/>
      <c r="B70" s="65" t="s">
        <v>170</v>
      </c>
      <c r="C70" s="65"/>
      <c r="D70" s="17"/>
      <c r="E70" s="13"/>
      <c r="F70" s="17"/>
      <c r="G70" s="14">
        <v>2132.06</v>
      </c>
      <c r="H70" s="15">
        <v>3.4200000000000001E-2</v>
      </c>
      <c r="I70" s="16"/>
      <c r="J70" s="16"/>
      <c r="K70" s="1"/>
    </row>
    <row r="71" spans="1:11" ht="13.05" customHeight="1">
      <c r="A71" s="1"/>
      <c r="B71" s="65" t="s">
        <v>187</v>
      </c>
      <c r="C71" s="65"/>
      <c r="D71" s="6"/>
      <c r="E71" s="13"/>
      <c r="F71" s="6"/>
      <c r="G71" s="19">
        <v>-887.75</v>
      </c>
      <c r="H71" s="15">
        <v>-1.4E-2</v>
      </c>
      <c r="I71" s="16"/>
      <c r="J71" s="16"/>
      <c r="K71" s="1"/>
    </row>
    <row r="72" spans="1:11" ht="13.05" customHeight="1" thickBot="1">
      <c r="A72" s="1"/>
      <c r="B72" s="66" t="s">
        <v>188</v>
      </c>
      <c r="C72" s="66"/>
      <c r="D72" s="20"/>
      <c r="E72" s="20"/>
      <c r="F72" s="20"/>
      <c r="G72" s="21">
        <v>62324.51</v>
      </c>
      <c r="H72" s="22">
        <v>1</v>
      </c>
      <c r="I72" s="23"/>
      <c r="J72" s="23"/>
      <c r="K72" s="1"/>
    </row>
    <row r="73" spans="1:11" ht="13.05" customHeight="1">
      <c r="A73" s="1"/>
      <c r="B73" s="62"/>
      <c r="C73" s="62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59"/>
      <c r="C74" s="59"/>
      <c r="D74" s="59"/>
      <c r="E74" s="59"/>
      <c r="F74" s="59"/>
      <c r="G74" s="59"/>
      <c r="H74" s="59"/>
      <c r="I74" s="59"/>
      <c r="J74" s="1"/>
      <c r="K74" s="1"/>
    </row>
    <row r="75" spans="1:11" ht="13.05" customHeight="1">
      <c r="A75" s="1"/>
      <c r="B75" s="59"/>
      <c r="C75" s="59"/>
      <c r="D75" s="59"/>
      <c r="E75" s="59"/>
      <c r="F75" s="59"/>
      <c r="G75" s="59"/>
      <c r="H75" s="59"/>
      <c r="I75" s="59"/>
      <c r="J75" s="1"/>
      <c r="K75" s="1"/>
    </row>
    <row r="76" spans="1:11" ht="13.05" customHeight="1">
      <c r="A76" s="1"/>
      <c r="B76" s="59" t="s">
        <v>175</v>
      </c>
      <c r="C76" s="59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59" t="s">
        <v>189</v>
      </c>
      <c r="C77" s="5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59" t="s">
        <v>190</v>
      </c>
      <c r="C78" s="59"/>
      <c r="D78" s="1"/>
      <c r="E78" s="1"/>
      <c r="F78" s="1"/>
      <c r="G78" s="1"/>
      <c r="H78" s="1"/>
      <c r="I78" s="1"/>
      <c r="J78" s="1"/>
      <c r="K78" s="1"/>
    </row>
    <row r="79" spans="1:11" ht="26.25" customHeight="1">
      <c r="A79" s="1"/>
      <c r="B79" s="59" t="s">
        <v>191</v>
      </c>
      <c r="C79" s="59"/>
      <c r="D79" s="59"/>
      <c r="E79" s="59"/>
      <c r="F79" s="59"/>
      <c r="G79" s="59"/>
      <c r="H79" s="59"/>
      <c r="I79" s="59"/>
      <c r="J79" s="1"/>
      <c r="K79" s="1"/>
    </row>
    <row r="80" spans="1:11" ht="13.05" customHeight="1">
      <c r="A80" s="1"/>
      <c r="B80" s="24" t="s">
        <v>192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60" t="s">
        <v>193</v>
      </c>
      <c r="C81" s="60"/>
      <c r="D81" s="25" t="s">
        <v>3</v>
      </c>
      <c r="E81" s="25" t="s">
        <v>194</v>
      </c>
      <c r="F81" s="25" t="s">
        <v>195</v>
      </c>
      <c r="G81" s="25" t="s">
        <v>196</v>
      </c>
      <c r="H81" s="25" t="s">
        <v>197</v>
      </c>
      <c r="I81" s="1"/>
      <c r="J81" s="1"/>
      <c r="K81" s="1"/>
    </row>
    <row r="82" spans="1:11" ht="13.05" customHeight="1">
      <c r="A82" s="1"/>
      <c r="B82" s="61" t="s">
        <v>198</v>
      </c>
      <c r="C82" s="61"/>
      <c r="D82" s="13" t="s">
        <v>199</v>
      </c>
      <c r="E82" s="13" t="s">
        <v>117</v>
      </c>
      <c r="F82" s="26">
        <v>33750</v>
      </c>
      <c r="G82" s="27">
        <v>1007.235</v>
      </c>
      <c r="H82" s="28">
        <v>1.6199999999999999E-2</v>
      </c>
      <c r="I82" s="1"/>
      <c r="J82" s="1"/>
      <c r="K82" s="1"/>
    </row>
    <row r="83" spans="1:11" ht="13.05" customHeight="1">
      <c r="A83" s="1"/>
      <c r="B83" s="61" t="s">
        <v>200</v>
      </c>
      <c r="C83" s="61"/>
      <c r="D83" s="13" t="s">
        <v>201</v>
      </c>
      <c r="E83" s="13" t="s">
        <v>76</v>
      </c>
      <c r="F83" s="26">
        <v>1350</v>
      </c>
      <c r="G83" s="27">
        <v>156.80250000000001</v>
      </c>
      <c r="H83" s="28">
        <v>2.5000000000000001E-3</v>
      </c>
      <c r="I83" s="1"/>
      <c r="J83" s="1"/>
      <c r="K83" s="1"/>
    </row>
    <row r="85" spans="1:11">
      <c r="G85" s="29"/>
    </row>
    <row r="87" spans="1:11">
      <c r="B87" s="30" t="s">
        <v>202</v>
      </c>
      <c r="C87" s="31"/>
      <c r="D87" s="31"/>
      <c r="E87" s="32"/>
    </row>
    <row r="88" spans="1:11">
      <c r="B88" s="31" t="s">
        <v>203</v>
      </c>
      <c r="C88" s="31"/>
      <c r="D88" s="31"/>
      <c r="E88" s="32"/>
    </row>
    <row r="89" spans="1:11">
      <c r="B89" s="33" t="s">
        <v>204</v>
      </c>
      <c r="C89" s="31"/>
      <c r="D89" s="31"/>
      <c r="E89" s="32"/>
    </row>
    <row r="90" spans="1:11">
      <c r="B90" s="31" t="s">
        <v>205</v>
      </c>
      <c r="C90" s="31"/>
      <c r="D90" s="31"/>
      <c r="E90" s="32"/>
    </row>
    <row r="91" spans="1:11">
      <c r="B91" s="31" t="s">
        <v>206</v>
      </c>
      <c r="C91" s="31"/>
      <c r="D91" s="31"/>
      <c r="E91" s="32"/>
    </row>
    <row r="92" spans="1:11">
      <c r="B92" s="31" t="s">
        <v>207</v>
      </c>
      <c r="C92" s="34"/>
      <c r="D92" s="34"/>
      <c r="E92" s="34"/>
    </row>
    <row r="93" spans="1:11">
      <c r="B93" s="31" t="s">
        <v>208</v>
      </c>
      <c r="C93" s="31"/>
      <c r="D93" s="31"/>
      <c r="E93" s="32"/>
    </row>
    <row r="94" spans="1:11">
      <c r="B94" s="31" t="s">
        <v>209</v>
      </c>
      <c r="C94" s="31"/>
      <c r="D94" s="31"/>
      <c r="E94" s="32"/>
    </row>
    <row r="95" spans="1:11">
      <c r="B95" s="31" t="s">
        <v>210</v>
      </c>
      <c r="C95" s="31"/>
      <c r="D95" s="31"/>
      <c r="E95" s="32"/>
    </row>
    <row r="96" spans="1:11">
      <c r="B96" s="31" t="s">
        <v>211</v>
      </c>
      <c r="C96" s="31"/>
      <c r="D96" s="31"/>
      <c r="E96" s="32"/>
    </row>
    <row r="97" spans="2:5">
      <c r="B97" s="30" t="s">
        <v>212</v>
      </c>
      <c r="C97" s="30"/>
      <c r="D97" s="30" t="s">
        <v>213</v>
      </c>
      <c r="E97" s="30" t="s">
        <v>214</v>
      </c>
    </row>
    <row r="98" spans="2:5">
      <c r="B98" s="31" t="s">
        <v>215</v>
      </c>
      <c r="C98" s="31"/>
      <c r="D98" s="35">
        <v>9.4925999999999995</v>
      </c>
      <c r="E98" s="35">
        <v>9.3940000000000001</v>
      </c>
    </row>
    <row r="99" spans="2:5">
      <c r="B99" s="31" t="s">
        <v>216</v>
      </c>
      <c r="C99" s="31"/>
      <c r="D99" s="35">
        <v>9.4925999999999995</v>
      </c>
      <c r="E99" s="35">
        <v>9.3940000000000001</v>
      </c>
    </row>
    <row r="100" spans="2:5">
      <c r="B100" s="31" t="s">
        <v>217</v>
      </c>
      <c r="C100" s="31"/>
      <c r="D100" s="35">
        <v>9.7384000000000004</v>
      </c>
      <c r="E100" s="35">
        <v>9.6465999999999994</v>
      </c>
    </row>
    <row r="101" spans="2:5">
      <c r="B101" s="31" t="s">
        <v>218</v>
      </c>
      <c r="C101" s="31"/>
      <c r="D101" s="35">
        <v>9.7384000000000004</v>
      </c>
      <c r="E101" s="35">
        <v>9.6465999999999994</v>
      </c>
    </row>
    <row r="102" spans="2:5">
      <c r="B102" s="31"/>
      <c r="C102" s="31"/>
      <c r="D102" s="31"/>
      <c r="E102" s="32"/>
    </row>
    <row r="103" spans="2:5">
      <c r="B103" s="31" t="s">
        <v>219</v>
      </c>
      <c r="C103" s="31"/>
      <c r="D103" s="31"/>
      <c r="E103" s="32"/>
    </row>
    <row r="104" spans="2:5">
      <c r="B104" t="s">
        <v>220</v>
      </c>
      <c r="C104" s="31"/>
      <c r="D104" s="31"/>
      <c r="E104" s="32"/>
    </row>
    <row r="105" spans="2:5">
      <c r="B105" s="31" t="s">
        <v>221</v>
      </c>
      <c r="C105" s="31"/>
      <c r="D105" s="31"/>
      <c r="E105" s="32"/>
    </row>
    <row r="106" spans="2:5">
      <c r="B106" s="31" t="s">
        <v>222</v>
      </c>
      <c r="C106" s="31"/>
      <c r="D106" s="31"/>
      <c r="E106" s="32"/>
    </row>
    <row r="107" spans="2:5">
      <c r="B107" s="31" t="s">
        <v>223</v>
      </c>
      <c r="C107" s="31"/>
      <c r="D107" s="31"/>
      <c r="E107" s="32"/>
    </row>
    <row r="108" spans="2:5">
      <c r="B108" s="31" t="s">
        <v>224</v>
      </c>
      <c r="C108" s="31"/>
      <c r="D108" s="31"/>
      <c r="E108" s="32"/>
    </row>
    <row r="109" spans="2:5">
      <c r="B109" s="31" t="s">
        <v>225</v>
      </c>
      <c r="C109" s="31"/>
      <c r="D109" s="31"/>
      <c r="E109" s="32"/>
    </row>
    <row r="110" spans="2:5">
      <c r="B110" s="31" t="s">
        <v>226</v>
      </c>
      <c r="C110" s="31"/>
      <c r="D110" s="31"/>
      <c r="E110" s="32"/>
    </row>
    <row r="111" spans="2:5">
      <c r="B111" s="31" t="s">
        <v>227</v>
      </c>
      <c r="C111" s="31"/>
      <c r="D111" s="31"/>
      <c r="E111" s="32"/>
    </row>
    <row r="112" spans="2:5">
      <c r="B112" s="31" t="s">
        <v>228</v>
      </c>
      <c r="C112" s="31"/>
      <c r="D112" s="31"/>
      <c r="E112" s="32"/>
    </row>
    <row r="113" spans="1:54">
      <c r="B113" s="31" t="s">
        <v>229</v>
      </c>
      <c r="C113" s="31"/>
      <c r="D113" s="31"/>
      <c r="E113" s="32"/>
    </row>
    <row r="114" spans="1:54">
      <c r="B114" s="31" t="s">
        <v>230</v>
      </c>
      <c r="C114" s="31"/>
      <c r="D114" s="31"/>
      <c r="E114" s="32"/>
    </row>
    <row r="115" spans="1:54">
      <c r="B115" s="31" t="s">
        <v>231</v>
      </c>
      <c r="C115" s="31"/>
      <c r="D115" s="31"/>
      <c r="E115" s="32"/>
    </row>
    <row r="117" spans="1:54">
      <c r="A117" t="s">
        <v>232</v>
      </c>
      <c r="B117" s="36" t="s">
        <v>233</v>
      </c>
      <c r="C117" s="37"/>
      <c r="D117" s="38"/>
      <c r="E117" s="38"/>
      <c r="F117" s="38"/>
      <c r="G117" s="38"/>
      <c r="H117" s="39"/>
      <c r="I117" s="39"/>
      <c r="J117" s="40"/>
      <c r="K117" s="40"/>
      <c r="L117" s="40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41"/>
      <c r="AD117" s="41"/>
      <c r="AE117" s="41"/>
      <c r="AF117" s="41"/>
      <c r="AG117" s="41"/>
      <c r="AH117" s="41"/>
      <c r="AI117" s="42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2"/>
      <c r="AW117" s="41"/>
      <c r="AX117" s="42"/>
      <c r="AY117" s="41"/>
      <c r="AZ117" s="41"/>
      <c r="BA117" s="41"/>
      <c r="BB117" s="42"/>
    </row>
    <row r="118" spans="1:54">
      <c r="B118" s="38"/>
      <c r="C118" s="38"/>
      <c r="D118" s="38"/>
      <c r="E118" s="38"/>
      <c r="F118" s="38"/>
      <c r="G118" s="38"/>
      <c r="H118" s="43"/>
      <c r="I118" s="43"/>
      <c r="J118" s="43"/>
      <c r="K118" s="40"/>
      <c r="L118" s="40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41"/>
      <c r="AD118" s="41"/>
      <c r="AE118" s="41"/>
      <c r="AF118" s="41"/>
      <c r="AG118" s="41"/>
      <c r="AH118" s="41"/>
      <c r="AI118" s="42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2"/>
      <c r="AW118" s="41"/>
      <c r="AX118" s="42"/>
      <c r="AY118" s="41"/>
      <c r="AZ118" s="41"/>
      <c r="BA118" s="41"/>
      <c r="BB118" s="42"/>
    </row>
    <row r="119" spans="1:54" ht="43.2">
      <c r="B119" s="44" t="s">
        <v>234</v>
      </c>
      <c r="C119" s="44" t="s">
        <v>235</v>
      </c>
      <c r="D119" s="45" t="s">
        <v>236</v>
      </c>
      <c r="E119" s="44" t="s">
        <v>237</v>
      </c>
      <c r="F119" s="44" t="s">
        <v>238</v>
      </c>
      <c r="G119" s="44" t="s">
        <v>239</v>
      </c>
      <c r="H119" s="43"/>
      <c r="I119" s="43"/>
      <c r="J119" s="43"/>
      <c r="K119" s="40"/>
      <c r="L119" s="40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41"/>
      <c r="AD119" s="41"/>
      <c r="AE119" s="41"/>
      <c r="AF119" s="41"/>
      <c r="AG119" s="41"/>
      <c r="AH119" s="41"/>
      <c r="AI119" s="42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2"/>
      <c r="AW119" s="41"/>
      <c r="AX119" s="42"/>
      <c r="AY119" s="41"/>
      <c r="AZ119" s="41"/>
      <c r="BA119" s="41"/>
      <c r="BB119" s="42"/>
    </row>
    <row r="120" spans="1:54">
      <c r="B120" s="46" t="s">
        <v>74</v>
      </c>
      <c r="C120" s="46" t="s">
        <v>200</v>
      </c>
      <c r="D120" s="47">
        <v>-27</v>
      </c>
      <c r="E120" s="48">
        <v>11553</v>
      </c>
      <c r="F120" s="48">
        <v>11615</v>
      </c>
      <c r="G120" s="49">
        <v>27.77</v>
      </c>
      <c r="H120" s="43"/>
      <c r="I120" s="43"/>
      <c r="J120" s="43"/>
      <c r="K120" s="40"/>
      <c r="L120" s="40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41"/>
      <c r="AD120" s="41"/>
      <c r="AE120" s="41"/>
      <c r="AF120" s="41"/>
      <c r="AG120" s="41"/>
      <c r="AH120" s="41"/>
      <c r="AI120" s="42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2"/>
      <c r="AW120" s="41"/>
      <c r="AX120" s="42"/>
      <c r="AY120" s="41"/>
      <c r="AZ120" s="41"/>
      <c r="BA120" s="41"/>
      <c r="BB120" s="42"/>
    </row>
    <row r="121" spans="1:54">
      <c r="H121" s="39"/>
      <c r="I121" s="39"/>
      <c r="J121" s="40"/>
      <c r="K121" s="40"/>
      <c r="L121" s="40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41"/>
      <c r="AD121" s="41"/>
      <c r="AE121" s="41"/>
      <c r="AF121" s="41"/>
      <c r="AG121" s="41"/>
      <c r="AH121" s="41"/>
      <c r="AI121" s="42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2"/>
      <c r="AW121" s="41"/>
      <c r="AX121" s="42"/>
      <c r="AY121" s="41"/>
      <c r="AZ121" s="41"/>
      <c r="BA121" s="41"/>
      <c r="BB121" s="42"/>
    </row>
    <row r="122" spans="1:54">
      <c r="B122" t="s">
        <v>240</v>
      </c>
      <c r="H122" s="39"/>
      <c r="I122" s="39"/>
      <c r="J122" s="40"/>
      <c r="K122" s="40"/>
      <c r="L122" s="40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41"/>
      <c r="AD122" s="41"/>
      <c r="AE122" s="41"/>
      <c r="AF122" s="41"/>
      <c r="AG122" s="41"/>
      <c r="AH122" s="41"/>
      <c r="AI122" s="42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2"/>
      <c r="AW122" s="41"/>
      <c r="AX122" s="42"/>
      <c r="AY122" s="41"/>
      <c r="AZ122" s="41"/>
      <c r="BA122" s="41"/>
      <c r="BB122" s="42"/>
    </row>
    <row r="123" spans="1:54">
      <c r="B123" t="s">
        <v>241</v>
      </c>
      <c r="H123" s="39"/>
      <c r="I123" s="39"/>
      <c r="J123" s="40"/>
      <c r="K123" s="40"/>
      <c r="L123" s="40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41"/>
      <c r="AD123" s="41"/>
      <c r="AE123" s="41"/>
      <c r="AF123" s="41"/>
      <c r="AG123" s="41"/>
      <c r="AH123" s="41"/>
      <c r="AI123" s="42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2"/>
      <c r="AW123" s="41"/>
      <c r="AX123" s="42"/>
      <c r="AY123" s="41"/>
      <c r="AZ123" s="41"/>
      <c r="BA123" s="41"/>
      <c r="BB123" s="42"/>
    </row>
    <row r="124" spans="1:54" ht="48">
      <c r="B124" s="50" t="s">
        <v>242</v>
      </c>
      <c r="C124" s="50" t="s">
        <v>243</v>
      </c>
      <c r="D124" s="50" t="s">
        <v>244</v>
      </c>
      <c r="E124" s="50" t="s">
        <v>245</v>
      </c>
      <c r="F124" s="50" t="s">
        <v>246</v>
      </c>
      <c r="H124" s="39"/>
      <c r="I124" s="39"/>
      <c r="J124" s="40"/>
      <c r="K124" s="40"/>
      <c r="L124" s="40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41"/>
      <c r="AD124" s="41"/>
      <c r="AE124" s="41"/>
      <c r="AF124" s="41"/>
      <c r="AG124" s="41"/>
      <c r="AH124" s="41"/>
      <c r="AI124" s="42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2"/>
      <c r="AW124" s="41"/>
      <c r="AX124" s="42"/>
      <c r="AY124" s="41"/>
      <c r="AZ124" s="41"/>
      <c r="BA124" s="41"/>
      <c r="BB124" s="42"/>
    </row>
    <row r="125" spans="1:54">
      <c r="B125" s="51">
        <v>27</v>
      </c>
      <c r="C125" s="51">
        <v>0</v>
      </c>
      <c r="D125" s="51">
        <v>15503400</v>
      </c>
      <c r="E125" s="51">
        <v>0</v>
      </c>
      <c r="F125" s="51">
        <v>512450</v>
      </c>
      <c r="H125" s="52"/>
      <c r="I125" s="52"/>
      <c r="J125" s="40"/>
      <c r="K125" s="40"/>
      <c r="L125" s="40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41"/>
      <c r="AD125" s="41"/>
      <c r="AE125" s="41"/>
      <c r="AF125" s="41"/>
      <c r="AG125" s="41"/>
      <c r="AH125" s="41"/>
      <c r="AI125" s="42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2"/>
      <c r="AW125" s="41"/>
      <c r="AX125" s="42"/>
      <c r="AY125" s="41"/>
      <c r="AZ125" s="41"/>
      <c r="BA125" s="41"/>
      <c r="BB125" s="42"/>
    </row>
    <row r="126" spans="1:54">
      <c r="H126" s="39"/>
      <c r="I126" s="39"/>
      <c r="J126" s="40"/>
      <c r="K126" s="40"/>
      <c r="L126" s="40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41"/>
      <c r="AD126" s="41"/>
      <c r="AE126" s="41"/>
      <c r="AF126" s="41"/>
      <c r="AG126" s="41"/>
      <c r="AH126" s="41"/>
      <c r="AI126" s="42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2"/>
      <c r="AW126" s="41"/>
      <c r="AX126" s="42"/>
      <c r="AY126" s="41"/>
      <c r="AZ126" s="41"/>
      <c r="BA126" s="41"/>
      <c r="BB126" s="42"/>
    </row>
    <row r="127" spans="1:54">
      <c r="A127" t="s">
        <v>247</v>
      </c>
      <c r="B127" s="36" t="s">
        <v>248</v>
      </c>
      <c r="H127" s="39"/>
      <c r="I127" s="39"/>
      <c r="J127" s="40"/>
      <c r="K127" s="40"/>
      <c r="L127" s="40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41"/>
      <c r="AD127" s="41"/>
      <c r="AE127" s="41"/>
      <c r="AF127" s="41"/>
      <c r="AG127" s="41"/>
      <c r="AH127" s="41"/>
      <c r="AI127" s="42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2"/>
      <c r="AW127" s="41"/>
      <c r="AX127" s="42"/>
      <c r="AY127" s="41"/>
      <c r="AZ127" s="41"/>
      <c r="BA127" s="41"/>
      <c r="BB127" s="42"/>
    </row>
    <row r="128" spans="1:54" ht="43.2">
      <c r="B128" s="44" t="s">
        <v>234</v>
      </c>
      <c r="C128" s="44" t="s">
        <v>235</v>
      </c>
      <c r="D128" s="45" t="s">
        <v>236</v>
      </c>
      <c r="E128" s="44" t="s">
        <v>237</v>
      </c>
      <c r="F128" s="44" t="s">
        <v>238</v>
      </c>
      <c r="G128" s="44" t="s">
        <v>239</v>
      </c>
      <c r="H128" s="39"/>
      <c r="I128" s="39"/>
      <c r="J128" s="40"/>
      <c r="K128" s="40"/>
      <c r="L128" s="40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41"/>
      <c r="AD128" s="41"/>
      <c r="AE128" s="41"/>
      <c r="AF128" s="41"/>
      <c r="AG128" s="41"/>
      <c r="AH128" s="41"/>
      <c r="AI128" s="42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2"/>
      <c r="AW128" s="41"/>
      <c r="AX128" s="42"/>
      <c r="AY128" s="41"/>
      <c r="AZ128" s="41"/>
      <c r="BA128" s="41"/>
      <c r="BB128" s="42"/>
    </row>
    <row r="129" spans="1:54">
      <c r="B129" s="46" t="s">
        <v>249</v>
      </c>
      <c r="C129" s="46" t="s">
        <v>198</v>
      </c>
      <c r="D129" s="47">
        <v>54</v>
      </c>
      <c r="E129" s="48">
        <v>3385.9907001481483</v>
      </c>
      <c r="F129" s="48">
        <v>2984.4</v>
      </c>
      <c r="G129" s="53">
        <v>257.89999999999998</v>
      </c>
      <c r="H129" s="43"/>
      <c r="I129" s="43"/>
      <c r="J129" s="43"/>
      <c r="K129" s="40"/>
      <c r="L129" s="40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41"/>
      <c r="AD129" s="41"/>
      <c r="AE129" s="41"/>
      <c r="AF129" s="41"/>
      <c r="AG129" s="41"/>
      <c r="AH129" s="41"/>
      <c r="AI129" s="42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2"/>
      <c r="AW129" s="41"/>
      <c r="AX129" s="42"/>
      <c r="AY129" s="41"/>
      <c r="AZ129" s="41"/>
      <c r="BA129" s="41"/>
      <c r="BB129" s="42"/>
    </row>
    <row r="130" spans="1:54">
      <c r="D130" s="54"/>
      <c r="E130" s="55"/>
      <c r="F130" s="55"/>
      <c r="G130" s="56"/>
      <c r="H130" s="43"/>
      <c r="I130" s="43"/>
      <c r="J130" s="43"/>
      <c r="K130" s="40"/>
      <c r="L130" s="40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41"/>
      <c r="AD130" s="41"/>
      <c r="AE130" s="41"/>
      <c r="AF130" s="41"/>
      <c r="AG130" s="41"/>
      <c r="AH130" s="41"/>
      <c r="AI130" s="42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2"/>
      <c r="AW130" s="41"/>
      <c r="AX130" s="42"/>
      <c r="AY130" s="41"/>
      <c r="AZ130" s="41"/>
      <c r="BA130" s="41"/>
      <c r="BB130" s="42"/>
    </row>
    <row r="131" spans="1:54">
      <c r="B131" t="s">
        <v>250</v>
      </c>
    </row>
    <row r="132" spans="1:54">
      <c r="B132" t="s">
        <v>251</v>
      </c>
    </row>
    <row r="133" spans="1:54" ht="48">
      <c r="B133" s="50" t="s">
        <v>242</v>
      </c>
      <c r="C133" s="50" t="s">
        <v>243</v>
      </c>
      <c r="D133" s="50" t="s">
        <v>244</v>
      </c>
      <c r="E133" s="50" t="s">
        <v>245</v>
      </c>
      <c r="F133" s="50" t="s">
        <v>252</v>
      </c>
    </row>
    <row r="134" spans="1:54">
      <c r="B134" s="57">
        <v>59</v>
      </c>
      <c r="C134" s="57">
        <v>113</v>
      </c>
      <c r="D134" s="57">
        <v>30551201</v>
      </c>
      <c r="E134" s="57">
        <v>143423983</v>
      </c>
      <c r="F134" s="57">
        <v>18399782</v>
      </c>
    </row>
    <row r="136" spans="1:54">
      <c r="A136" t="s">
        <v>253</v>
      </c>
      <c r="B136" s="36" t="s">
        <v>254</v>
      </c>
    </row>
    <row r="137" spans="1:54">
      <c r="B137" t="s">
        <v>255</v>
      </c>
    </row>
    <row r="138" spans="1:54" ht="14.55" customHeight="1">
      <c r="B138" t="s">
        <v>256</v>
      </c>
      <c r="C138" s="58"/>
      <c r="D138" s="58"/>
      <c r="E138" s="58"/>
    </row>
    <row r="140" spans="1:54">
      <c r="A140" t="s">
        <v>257</v>
      </c>
      <c r="B140" s="36" t="s">
        <v>258</v>
      </c>
    </row>
    <row r="141" spans="1:54">
      <c r="B141" t="s">
        <v>259</v>
      </c>
    </row>
    <row r="142" spans="1:54">
      <c r="B142" t="s">
        <v>260</v>
      </c>
    </row>
    <row r="144" spans="1:54">
      <c r="A144" t="s">
        <v>261</v>
      </c>
      <c r="B144" s="36" t="s">
        <v>262</v>
      </c>
    </row>
    <row r="165" spans="2:2">
      <c r="B165" t="s">
        <v>263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83:C83"/>
    <mergeCell ref="B73:C73"/>
    <mergeCell ref="B74:I74"/>
    <mergeCell ref="B75:I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2026-06-07T11:10:24Z</dcterms:created>
  <dcterms:modified xsi:type="dcterms:W3CDTF">2026-06-09T10:01:27Z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2026-06-07T11:10:25Z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546c34b3-c94f-4385-b5fa-c9a172e0b466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