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GF" sheetId="1" r:id="rId1"/>
  </sheets>
  <externalReferences>
    <externalReference r:id="rId2"/>
  </externalReferences>
  <definedNames>
    <definedName name="XDO_?CLASS_3?19?">GF!$C$16:$C$26</definedName>
    <definedName name="XDO_?FINAL_ISIN?85?">GF!$D$24:$D$26</definedName>
    <definedName name="XDO_?FINAL_ISIN?86?">GF!$D$24:$D$43</definedName>
    <definedName name="XDO_?FINAL_ISIN?87?">GF!$D$24:$D$66</definedName>
    <definedName name="XDO_?FINAL_ISIN?88?">GF!$D$24:$D$70</definedName>
    <definedName name="XDO_?FINAL_MV?85?">GF!$G$24:$G$26</definedName>
    <definedName name="XDO_?FINAL_MV?86?">GF!$G$24:$G$43</definedName>
    <definedName name="XDO_?FINAL_MV?87?">GF!$G$24:$G$66</definedName>
    <definedName name="XDO_?FINAL_MV?88?">GF!$G$24:$G$70</definedName>
    <definedName name="XDO_?FINAL_NAME?85?">GF!$C$24:$C$26</definedName>
    <definedName name="XDO_?FINAL_NAME?86?">GF!$C$24:$C$43</definedName>
    <definedName name="XDO_?FINAL_NAME?87?">GF!$C$24:$C$66</definedName>
    <definedName name="XDO_?FINAL_NAME?88?">GF!$C$24:$C$70</definedName>
    <definedName name="XDO_?FINAL_PER_NET?85?">GF!$H$24:$H$26</definedName>
    <definedName name="XDO_?FINAL_PER_NET?86?">GF!$H$24:$H$43</definedName>
    <definedName name="XDO_?FINAL_PER_NET?87?">GF!$H$24:$H$66</definedName>
    <definedName name="XDO_?FINAL_PER_NET?88?">GF!$H$24:$H$70</definedName>
    <definedName name="XDO_?FINAL_QUANTITE?85?">GF!$F$24:$F$26</definedName>
    <definedName name="XDO_?FINAL_QUANTITE?86?">GF!$F$24:$F$43</definedName>
    <definedName name="XDO_?FINAL_QUANTITE?87?">GF!$F$24:$F$66</definedName>
    <definedName name="XDO_?FINAL_QUANTITE?88?">GF!$F$24:$F$70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9?">GF!$C$2:$C$26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85?">GF!$B$24:$B$26</definedName>
    <definedName name="XDO_?NOVAL?86?">GF!$B$24:$B$43</definedName>
    <definedName name="XDO_?NOVAL?87?">GF!$B$24:$B$66</definedName>
    <definedName name="XDO_?NOVAL?88?">GF!$B$24:$B$70</definedName>
    <definedName name="XDO_?NPTF?19?">GF!$D$2:$D$26</definedName>
    <definedName name="XDO_?RATING?85?">GF!$E$24:$E$26</definedName>
    <definedName name="XDO_?RATING?86?">GF!$E$24:$E$43</definedName>
    <definedName name="XDO_?RATING?87?">GF!$E$24:$E$66</definedName>
    <definedName name="XDO_?RATING?88?">GF!$E$24:$E$70</definedName>
    <definedName name="XDO_?REMARKS?85?">GF!$K$24:$K$26</definedName>
    <definedName name="XDO_?REMARKS?86?">GF!$K$24:$K$43</definedName>
    <definedName name="XDO_?REMARKS?87?">GF!$K$24:$K$66</definedName>
    <definedName name="XDO_?REMARKS?88?">GF!$K$24:$K$70</definedName>
    <definedName name="XDO_?TITL?19?">GF!$A$16:$A$26</definedName>
    <definedName name="XDO_?YTM?85?">GF!$I$24:$I$26</definedName>
    <definedName name="XDO_?YTM?86?">GF!$I$24:$I$43</definedName>
    <definedName name="XDO_?YTM?87?">GF!$I$24:$I$66</definedName>
    <definedName name="XDO_?YTM?88?">GF!$I$24:$I$70</definedName>
    <definedName name="XDO_GROUP_?G_2?19?">GF!$2:$40</definedName>
    <definedName name="XDO_GROUP_?G_3?19?">GF!$8:$39</definedName>
    <definedName name="XDO_GROUP_?G_4?110?">[1]US!#REF!</definedName>
    <definedName name="XDO_GROUP_?G_4?2?">[1]LW!#REF!</definedName>
    <definedName name="XDO_GROUP_?G_4?37?">[1]TA!#REF!</definedName>
    <definedName name="XDO_GROUP_?G_4?49?">[1]AR!#REF!</definedName>
    <definedName name="XDO_GROUP_?G_4?83?">[1]GR!#REF!</definedName>
    <definedName name="XDO_GROUP_?G_4?85?">GF!$B$10:$IV$12</definedName>
    <definedName name="XDO_GROUP_?G_4?86?">GF!$B$16:$IV$27</definedName>
    <definedName name="XDO_GROUP_?G_4?87?">GF!$B$32:$IV$32</definedName>
    <definedName name="XDO_GROUP_?G_4?88?">GF!$B$37:$IV$37</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calcChain>
</file>

<file path=xl/sharedStrings.xml><?xml version="1.0" encoding="utf-8"?>
<sst xmlns="http://schemas.openxmlformats.org/spreadsheetml/2006/main" count="186" uniqueCount="140">
  <si>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</si>
  <si>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</si>
  <si>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</si>
  <si>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</si>
  <si>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</si>
  <si>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</si>
  <si>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</si>
  <si>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</si>
  <si>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</si>
  <si>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</si>
  <si>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</si>
  <si>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</si>
  <si>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</si>
  <si>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</si>
  <si>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</si>
  <si>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</si>
  <si>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</si>
  <si>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</si>
  <si>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</si>
  <si>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</si>
  <si>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</si>
  <si>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</si>
  <si>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</si>
  <si>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</si>
  <si>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900283</t>
  </si>
  <si>
    <t>7.26% Government of India 22-Aug-2032</t>
  </si>
  <si>
    <t>IN0020220060</t>
  </si>
  <si>
    <t>Sovereign</t>
  </si>
  <si>
    <t>900288</t>
  </si>
  <si>
    <t>7.26% Government of India 06-Feb-2033</t>
  </si>
  <si>
    <t>IN0020220151</t>
  </si>
  <si>
    <t>900008</t>
  </si>
  <si>
    <t>7.88% Government of India 19-Mar-2030</t>
  </si>
  <si>
    <t>IN0020150028</t>
  </si>
  <si>
    <t>Total</t>
  </si>
  <si>
    <t>e) State Government Securities</t>
  </si>
  <si>
    <t>1904786</t>
  </si>
  <si>
    <t>7.76% State Government of Himachal Pradesh 23-Mar-2033</t>
  </si>
  <si>
    <t>IN1720220210</t>
  </si>
  <si>
    <t>1904807</t>
  </si>
  <si>
    <t>7.79% State Government of Uttar Pradesh 29-Mar-2033</t>
  </si>
  <si>
    <t>IN3320220186</t>
  </si>
  <si>
    <t>1903480</t>
  </si>
  <si>
    <t>7.70% State Government of Maharashtra 25-May-2032</t>
  </si>
  <si>
    <t>IN2220220064</t>
  </si>
  <si>
    <t>1901691</t>
  </si>
  <si>
    <t>6.91% State Government of Maharashtra 15-Sep-2033</t>
  </si>
  <si>
    <t>IN2220210248</t>
  </si>
  <si>
    <t>1904720</t>
  </si>
  <si>
    <t>7.74% State Government of Maharashtra 01-Mar-2033</t>
  </si>
  <si>
    <t>IN2220220189</t>
  </si>
  <si>
    <t>1904724</t>
  </si>
  <si>
    <t>7.71% State Government of Gujarat 08-Mar-2034</t>
  </si>
  <si>
    <t>IN1520220279</t>
  </si>
  <si>
    <t>1904737</t>
  </si>
  <si>
    <t>7.70% State Government of Maharashtra 08-Mar-2033</t>
  </si>
  <si>
    <t>IN2220220205</t>
  </si>
  <si>
    <t>1904828</t>
  </si>
  <si>
    <t>7.72% State Government of Maharashtra 01-Mar-2031</t>
  </si>
  <si>
    <t>IN2220220171</t>
  </si>
  <si>
    <t>1904677</t>
  </si>
  <si>
    <t>7.64% State Government of Maharashtra 25-Jan-2033</t>
  </si>
  <si>
    <t>IN2220220163</t>
  </si>
  <si>
    <t>1904711</t>
  </si>
  <si>
    <t>7.65% State Government of Tamil Nadu 25-Jan-2033</t>
  </si>
  <si>
    <t>IN3120220279</t>
  </si>
  <si>
    <t>1902100</t>
  </si>
  <si>
    <t>7.18% State Government of Karnataka 05-Jan-2033</t>
  </si>
  <si>
    <t>IN1920210227</t>
  </si>
  <si>
    <t>1904742</t>
  </si>
  <si>
    <t>7.68% State Government of Gujarat 15-Mar-2033</t>
  </si>
  <si>
    <t>IN1520220287</t>
  </si>
  <si>
    <t>1904598</t>
  </si>
  <si>
    <t>7.85% State Government of Bihar 27-Oct-2032</t>
  </si>
  <si>
    <t>IN1320220107</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</si>
  <si>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</si>
  <si>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</si>
  <si>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</si>
  <si>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</si>
  <si>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</si>
  <si>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</si>
  <si>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</si>
  <si>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</si>
  <si>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</si>
  <si>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</si>
  <si>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</si>
  <si>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</si>
  <si>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</si>
  <si>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</si>
  <si>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</si>
  <si>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</si>
  <si>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</si>
  <si>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</si>
  <si>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</si>
  <si>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</si>
  <si>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</si>
  <si>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</si>
  <si>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</si>
  <si>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</si>
  <si>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</si>
  <si>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</si>
  <si>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</si>
  <si>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</si>
  <si>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</si>
  <si>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</si>
  <si>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</si>
  <si>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28, 2023</t>
  </si>
  <si>
    <t>Regular Plan - IDCW Option</t>
  </si>
  <si>
    <t>Regular Plan - Growth Option</t>
  </si>
  <si>
    <t>Direct Plan - IDCW Option</t>
  </si>
  <si>
    <t>Direct Plan - Growth Option</t>
  </si>
  <si>
    <t>(8) No Dividend declared during the Month ended April 30, 2023</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</si>
  <si>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</si>
  <si>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</si>
  <si>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3403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</si>
  <si>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</si>
  <si>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</si>
  <si>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</si>
  <si>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</si>
  <si>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</si>
  <si>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</si>
  <si>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</si>
  <si>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</si>
  <si>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</si>
  <si>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2465 days.</t>
  </si>
  <si>
    <t>(18) Annualised Portfolio YTM has been 7.3761.</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</si>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</sst>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84667</xdr:colOff>
      <xdr:row>107</xdr:row>
      <xdr:rowOff>76200</xdr:rowOff>
    </xdr:from>
    <xdr:to>
      <xdr:col>5</xdr:col>
      <xdr:colOff>394208</xdr:colOff>
      <xdr:row>126</xdr:row>
      <xdr:rowOff>48429</xdr:rowOff>
    </xdr:to>
    <xdr:pic>
      <xdr:nvPicPr>
        <xdr:cNvPr id="2" name="Picture 1" descr="Baroda BNP Paribas Gilt Fund.jpg"/>
        <xdr:cNvPicPr>
          <a:picLocks noChangeAspect="1"/>
        </xdr:cNvPicPr>
      </xdr:nvPicPr>
      <xdr:blipFill>
        <a:blip xmlns:r="http://schemas.openxmlformats.org/officeDocument/2006/relationships" r:embed="rId1"/>
        <a:stretch>
          <a:fillRect/>
        </a:stretch>
      </xdr:blipFill>
      <xdr:spPr>
        <a:xfrm>
          <a:off x="84667" y="19405600"/>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37"/>
  <sheetViews>
    <sheetView showGridLines="0" tabSelected="1" zoomScale="90" zoomScaleNormal="90" workbookViewId="0">
      <pane ySplit="6" topLeftCell="A7" activePane="bottomLeft" state="frozen"/>
      <selection activeCell="I2" sqref="I2"/>
      <selection pane="bottomLeft" activeCell="C10" sqref="C10"/>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37100000</v>
      </c>
      <c r="G24" s="32">
        <v>37356.769999999997</v>
      </c>
      <c r="H24" s="32">
        <v>46.74</v>
      </c>
      <c r="I24" s="33">
        <v>7.2812853999999998</v>
      </c>
      <c r="J24" s="33"/>
      <c r="K24" s="34"/>
    </row>
    <row r="25" spans="1:11">
      <c r="B25" s="1" t="s">
        <v>28</v>
      </c>
      <c r="C25" s="21" t="s">
        <v>29</v>
      </c>
      <c r="D25" s="29" t="s">
        <v>30</v>
      </c>
      <c r="E25" s="30" t="s">
        <v>27</v>
      </c>
      <c r="F25" s="31">
        <v>11000000</v>
      </c>
      <c r="G25" s="32">
        <v>11108.67</v>
      </c>
      <c r="H25" s="32">
        <v>13.9</v>
      </c>
      <c r="I25" s="33">
        <v>7.2409860999999998</v>
      </c>
      <c r="J25" s="33"/>
      <c r="K25" s="34"/>
    </row>
    <row r="26" spans="1:11">
      <c r="B26" s="1" t="s">
        <v>31</v>
      </c>
      <c r="C26" s="21" t="s">
        <v>32</v>
      </c>
      <c r="D26" s="29" t="s">
        <v>33</v>
      </c>
      <c r="E26" s="30" t="s">
        <v>27</v>
      </c>
      <c r="F26" s="31">
        <v>5900</v>
      </c>
      <c r="G26" s="32">
        <v>6.14</v>
      </c>
      <c r="H26" s="32">
        <v>0.01</v>
      </c>
      <c r="I26" s="33">
        <v>7.2557273000000002</v>
      </c>
      <c r="J26" s="33"/>
      <c r="K26" s="34"/>
    </row>
    <row r="27" spans="1:11">
      <c r="C27" s="28" t="s">
        <v>34</v>
      </c>
      <c r="D27" s="29"/>
      <c r="E27" s="30"/>
      <c r="F27" s="31"/>
      <c r="G27" s="38">
        <v>48471.58</v>
      </c>
      <c r="H27" s="38">
        <v>60.65</v>
      </c>
      <c r="I27" s="33"/>
      <c r="J27" s="33"/>
      <c r="K27" s="34"/>
    </row>
    <row r="28" spans="1:11">
      <c r="C28" s="21"/>
      <c r="D28" s="29"/>
      <c r="E28" s="30"/>
      <c r="F28" s="31"/>
      <c r="G28" s="32"/>
      <c r="H28" s="32"/>
      <c r="I28" s="33"/>
      <c r="J28" s="33"/>
      <c r="K28" s="34"/>
    </row>
    <row r="29" spans="1:11">
      <c r="C29" s="37" t="s">
        <v>35</v>
      </c>
      <c r="D29" s="29"/>
      <c r="E29" s="30"/>
      <c r="F29" s="31"/>
      <c r="G29" s="32"/>
      <c r="H29" s="32"/>
      <c r="I29" s="33"/>
      <c r="J29" s="33"/>
      <c r="K29" s="34"/>
    </row>
    <row r="30" spans="1:11">
      <c r="B30" s="1" t="s">
        <v>36</v>
      </c>
      <c r="C30" s="21" t="s">
        <v>37</v>
      </c>
      <c r="D30" s="29" t="s">
        <v>38</v>
      </c>
      <c r="E30" s="30" t="s">
        <v>27</v>
      </c>
      <c r="F30" s="31">
        <v>5500000</v>
      </c>
      <c r="G30" s="32">
        <v>5603.49</v>
      </c>
      <c r="H30" s="32">
        <v>7.01</v>
      </c>
      <c r="I30" s="33">
        <v>7.6258013</v>
      </c>
      <c r="J30" s="33"/>
      <c r="K30" s="34"/>
    </row>
    <row r="31" spans="1:11">
      <c r="B31" s="1" t="s">
        <v>39</v>
      </c>
      <c r="C31" s="21" t="s">
        <v>40</v>
      </c>
      <c r="D31" s="29" t="s">
        <v>41</v>
      </c>
      <c r="E31" s="30" t="s">
        <v>27</v>
      </c>
      <c r="F31" s="31">
        <v>5000000</v>
      </c>
      <c r="G31" s="32">
        <v>5113.6400000000003</v>
      </c>
      <c r="H31" s="32">
        <v>6.4</v>
      </c>
      <c r="I31" s="33">
        <v>7.5991144999999998</v>
      </c>
      <c r="J31" s="33"/>
      <c r="K31" s="34"/>
    </row>
    <row r="32" spans="1:11">
      <c r="B32" s="1" t="s">
        <v>42</v>
      </c>
      <c r="C32" s="21" t="s">
        <v>43</v>
      </c>
      <c r="D32" s="29" t="s">
        <v>44</v>
      </c>
      <c r="E32" s="30" t="s">
        <v>27</v>
      </c>
      <c r="F32" s="31">
        <v>5000000</v>
      </c>
      <c r="G32" s="32">
        <v>5086.66</v>
      </c>
      <c r="H32" s="32">
        <v>6.36</v>
      </c>
      <c r="I32" s="33">
        <v>7.5707170000000001</v>
      </c>
      <c r="J32" s="33"/>
      <c r="K32" s="34"/>
    </row>
    <row r="33" spans="2:11">
      <c r="B33" s="1" t="s">
        <v>45</v>
      </c>
      <c r="C33" s="21" t="s">
        <v>46</v>
      </c>
      <c r="D33" s="29" t="s">
        <v>47</v>
      </c>
      <c r="E33" s="30" t="s">
        <v>27</v>
      </c>
      <c r="F33" s="31">
        <v>4400000</v>
      </c>
      <c r="G33" s="32">
        <v>4238.78</v>
      </c>
      <c r="H33" s="32">
        <v>5.3</v>
      </c>
      <c r="I33" s="33">
        <v>7.5587239999999998</v>
      </c>
      <c r="J33" s="33"/>
      <c r="K33" s="34"/>
    </row>
    <row r="34" spans="2:11">
      <c r="B34" s="1" t="s">
        <v>48</v>
      </c>
      <c r="C34" s="21" t="s">
        <v>49</v>
      </c>
      <c r="D34" s="29" t="s">
        <v>50</v>
      </c>
      <c r="E34" s="30" t="s">
        <v>27</v>
      </c>
      <c r="F34" s="31">
        <v>2500000</v>
      </c>
      <c r="G34" s="32">
        <v>2551.09</v>
      </c>
      <c r="H34" s="32">
        <v>3.19</v>
      </c>
      <c r="I34" s="33">
        <v>7.5794740000000003</v>
      </c>
      <c r="J34" s="33"/>
      <c r="K34" s="34"/>
    </row>
    <row r="35" spans="2:11">
      <c r="B35" s="1" t="s">
        <v>51</v>
      </c>
      <c r="C35" s="21" t="s">
        <v>52</v>
      </c>
      <c r="D35" s="29" t="s">
        <v>53</v>
      </c>
      <c r="E35" s="30" t="s">
        <v>27</v>
      </c>
      <c r="F35" s="31">
        <v>1500000</v>
      </c>
      <c r="G35" s="32">
        <v>1526.18</v>
      </c>
      <c r="H35" s="32">
        <v>1.91</v>
      </c>
      <c r="I35" s="33">
        <v>7.6099679</v>
      </c>
      <c r="J35" s="33"/>
      <c r="K35" s="34"/>
    </row>
    <row r="36" spans="2:11">
      <c r="B36" s="1" t="s">
        <v>54</v>
      </c>
      <c r="C36" s="21" t="s">
        <v>55</v>
      </c>
      <c r="D36" s="29" t="s">
        <v>56</v>
      </c>
      <c r="E36" s="30" t="s">
        <v>27</v>
      </c>
      <c r="F36" s="31">
        <v>1000000</v>
      </c>
      <c r="G36" s="32">
        <v>1017.72</v>
      </c>
      <c r="H36" s="32">
        <v>1.27</v>
      </c>
      <c r="I36" s="33">
        <v>7.5794740000000003</v>
      </c>
      <c r="J36" s="33"/>
      <c r="K36" s="34"/>
    </row>
    <row r="37" spans="2:11">
      <c r="B37" s="1" t="s">
        <v>57</v>
      </c>
      <c r="C37" s="21" t="s">
        <v>58</v>
      </c>
      <c r="D37" s="29" t="s">
        <v>59</v>
      </c>
      <c r="E37" s="30" t="s">
        <v>27</v>
      </c>
      <c r="F37" s="31">
        <v>1000000</v>
      </c>
      <c r="G37" s="32">
        <v>1017.52</v>
      </c>
      <c r="H37" s="32">
        <v>1.27</v>
      </c>
      <c r="I37" s="33">
        <v>7.5560426999999999</v>
      </c>
      <c r="J37" s="33"/>
      <c r="K37" s="34"/>
    </row>
    <row r="38" spans="2:11">
      <c r="B38" s="1" t="s">
        <v>60</v>
      </c>
      <c r="C38" s="21" t="s">
        <v>61</v>
      </c>
      <c r="D38" s="29" t="s">
        <v>62</v>
      </c>
      <c r="E38" s="30" t="s">
        <v>27</v>
      </c>
      <c r="F38" s="31">
        <v>1000000</v>
      </c>
      <c r="G38" s="32">
        <v>1013.44</v>
      </c>
      <c r="H38" s="32">
        <v>1.27</v>
      </c>
      <c r="I38" s="33">
        <v>7.5794740000000003</v>
      </c>
      <c r="J38" s="33"/>
      <c r="K38" s="34"/>
    </row>
    <row r="39" spans="2:11">
      <c r="B39" s="1" t="s">
        <v>63</v>
      </c>
      <c r="C39" s="21" t="s">
        <v>64</v>
      </c>
      <c r="D39" s="29" t="s">
        <v>65</v>
      </c>
      <c r="E39" s="30" t="s">
        <v>27</v>
      </c>
      <c r="F39" s="31">
        <v>1000000</v>
      </c>
      <c r="G39" s="32">
        <v>1012.67</v>
      </c>
      <c r="H39" s="32">
        <v>1.27</v>
      </c>
      <c r="I39" s="33">
        <v>7.6012025999999997</v>
      </c>
      <c r="J39" s="33"/>
      <c r="K39" s="34"/>
    </row>
    <row r="40" spans="2:11">
      <c r="B40" s="1" t="s">
        <v>66</v>
      </c>
      <c r="C40" s="21" t="s">
        <v>67</v>
      </c>
      <c r="D40" s="29" t="s">
        <v>68</v>
      </c>
      <c r="E40" s="30" t="s">
        <v>27</v>
      </c>
      <c r="F40" s="31">
        <v>500000</v>
      </c>
      <c r="G40" s="32">
        <v>490.52</v>
      </c>
      <c r="H40" s="32">
        <v>0.61</v>
      </c>
      <c r="I40" s="33">
        <v>7.5953515999999999</v>
      </c>
      <c r="J40" s="33"/>
      <c r="K40" s="34"/>
    </row>
    <row r="41" spans="2:11">
      <c r="B41" s="1" t="s">
        <v>69</v>
      </c>
      <c r="C41" s="21" t="s">
        <v>70</v>
      </c>
      <c r="D41" s="29" t="s">
        <v>71</v>
      </c>
      <c r="E41" s="30" t="s">
        <v>27</v>
      </c>
      <c r="F41" s="31">
        <v>400000</v>
      </c>
      <c r="G41" s="32">
        <v>405.41</v>
      </c>
      <c r="H41" s="32">
        <v>0.51</v>
      </c>
      <c r="I41" s="33">
        <v>7.6218462999999996</v>
      </c>
      <c r="J41" s="33"/>
      <c r="K41" s="34"/>
    </row>
    <row r="42" spans="2:11">
      <c r="B42" s="1" t="s">
        <v>72</v>
      </c>
      <c r="C42" s="21" t="s">
        <v>73</v>
      </c>
      <c r="D42" s="29" t="s">
        <v>74</v>
      </c>
      <c r="E42" s="30" t="s">
        <v>27</v>
      </c>
      <c r="F42" s="31">
        <v>300000</v>
      </c>
      <c r="G42" s="32">
        <v>307.33999999999997</v>
      </c>
      <c r="H42" s="32">
        <v>0.38</v>
      </c>
      <c r="I42" s="33">
        <v>7.6251398999999997</v>
      </c>
      <c r="J42" s="33"/>
      <c r="K42" s="34"/>
    </row>
    <row r="43" spans="2:11">
      <c r="B43" s="1" t="s">
        <v>75</v>
      </c>
      <c r="C43" s="21" t="s">
        <v>76</v>
      </c>
      <c r="D43" s="29" t="s">
        <v>77</v>
      </c>
      <c r="E43" s="30" t="s">
        <v>27</v>
      </c>
      <c r="F43" s="31">
        <v>40800</v>
      </c>
      <c r="G43" s="32">
        <v>42.77</v>
      </c>
      <c r="H43" s="32">
        <v>0.05</v>
      </c>
      <c r="I43" s="33">
        <v>7.6303682000000004</v>
      </c>
      <c r="J43" s="33"/>
      <c r="K43" s="34"/>
    </row>
    <row r="44" spans="2:11">
      <c r="C44" s="28" t="s">
        <v>34</v>
      </c>
      <c r="D44" s="29"/>
      <c r="E44" s="30"/>
      <c r="F44" s="31"/>
      <c r="G44" s="38">
        <v>29427.23</v>
      </c>
      <c r="H44" s="38">
        <v>36.799999999999997</v>
      </c>
      <c r="I44" s="33"/>
      <c r="J44" s="33"/>
      <c r="K44" s="34"/>
    </row>
    <row r="45" spans="2:11">
      <c r="C45" s="21"/>
      <c r="D45" s="29"/>
      <c r="E45" s="30"/>
      <c r="F45" s="31"/>
      <c r="G45" s="32"/>
      <c r="H45" s="32"/>
      <c r="I45" s="33"/>
      <c r="J45" s="33"/>
      <c r="K45" s="34"/>
    </row>
    <row r="46" spans="2:11">
      <c r="C46" s="28" t="s">
        <v>78</v>
      </c>
      <c r="D46" s="29"/>
      <c r="E46" s="30"/>
      <c r="F46" s="31"/>
      <c r="G46" s="32"/>
      <c r="H46" s="32"/>
      <c r="I46" s="33"/>
      <c r="J46" s="33"/>
      <c r="K46" s="34"/>
    </row>
    <row r="47" spans="2:11">
      <c r="C47" s="21"/>
      <c r="D47" s="29"/>
      <c r="E47" s="30"/>
      <c r="F47" s="31"/>
      <c r="G47" s="32"/>
      <c r="H47" s="32"/>
      <c r="I47" s="33"/>
      <c r="J47" s="33"/>
      <c r="K47" s="34"/>
    </row>
    <row r="48" spans="2:11">
      <c r="C48" s="28" t="s">
        <v>79</v>
      </c>
      <c r="D48" s="29"/>
      <c r="E48" s="30"/>
      <c r="F48" s="31"/>
      <c r="G48" s="32" t="s">
        <v>16</v>
      </c>
      <c r="H48" s="32" t="s">
        <v>16</v>
      </c>
      <c r="I48" s="33"/>
      <c r="J48" s="33"/>
      <c r="K48" s="34"/>
    </row>
    <row r="49" spans="1:11">
      <c r="C49" s="21"/>
      <c r="D49" s="29"/>
      <c r="E49" s="30"/>
      <c r="F49" s="31"/>
      <c r="G49" s="32"/>
      <c r="H49" s="32"/>
      <c r="I49" s="33"/>
      <c r="J49" s="33"/>
      <c r="K49" s="34"/>
    </row>
    <row r="50" spans="1:11">
      <c r="C50" s="28" t="s">
        <v>80</v>
      </c>
      <c r="D50" s="29"/>
      <c r="E50" s="30"/>
      <c r="F50" s="31"/>
      <c r="G50" s="32" t="s">
        <v>16</v>
      </c>
      <c r="H50" s="32" t="s">
        <v>16</v>
      </c>
      <c r="I50" s="33"/>
      <c r="J50" s="33"/>
      <c r="K50" s="34"/>
    </row>
    <row r="51" spans="1:11">
      <c r="C51" s="21"/>
      <c r="D51" s="29"/>
      <c r="E51" s="30"/>
      <c r="F51" s="31"/>
      <c r="G51" s="32"/>
      <c r="H51" s="32"/>
      <c r="I51" s="33"/>
      <c r="J51" s="33"/>
      <c r="K51" s="34"/>
    </row>
    <row r="52" spans="1:11">
      <c r="C52" s="28" t="s">
        <v>81</v>
      </c>
      <c r="D52" s="29"/>
      <c r="E52" s="30"/>
      <c r="F52" s="31"/>
      <c r="G52" s="32" t="s">
        <v>16</v>
      </c>
      <c r="H52" s="32" t="s">
        <v>16</v>
      </c>
      <c r="I52" s="33"/>
      <c r="J52" s="33"/>
      <c r="K52" s="34"/>
    </row>
    <row r="53" spans="1:11">
      <c r="C53" s="21"/>
      <c r="D53" s="29"/>
      <c r="E53" s="30"/>
      <c r="F53" s="31"/>
      <c r="G53" s="32"/>
      <c r="H53" s="32"/>
      <c r="I53" s="33"/>
      <c r="J53" s="33"/>
      <c r="K53" s="34"/>
    </row>
    <row r="54" spans="1:11">
      <c r="C54" s="28" t="s">
        <v>82</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83</v>
      </c>
      <c r="D56" s="29"/>
      <c r="E56" s="30"/>
      <c r="F56" s="31"/>
      <c r="G56" s="32"/>
      <c r="H56" s="32"/>
      <c r="I56" s="33"/>
      <c r="J56" s="33"/>
      <c r="K56" s="34"/>
    </row>
    <row r="57" spans="1:11">
      <c r="A57" s="36"/>
      <c r="B57" s="36"/>
      <c r="C57" s="28" t="s">
        <v>84</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85</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86</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87</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88</v>
      </c>
      <c r="D65" s="29"/>
      <c r="E65" s="30"/>
      <c r="F65" s="31"/>
      <c r="G65" s="32"/>
      <c r="H65" s="32"/>
      <c r="I65" s="33"/>
      <c r="J65" s="33"/>
      <c r="K65" s="34"/>
    </row>
    <row r="66" spans="1:11">
      <c r="B66" s="1" t="s">
        <v>89</v>
      </c>
      <c r="C66" s="21" t="s">
        <v>90</v>
      </c>
      <c r="D66" s="29"/>
      <c r="E66" s="30"/>
      <c r="F66" s="31"/>
      <c r="G66" s="32">
        <v>761.91</v>
      </c>
      <c r="H66" s="32">
        <v>0.95</v>
      </c>
      <c r="I66" s="33">
        <v>6.76</v>
      </c>
      <c r="J66" s="33"/>
      <c r="K66" s="34"/>
    </row>
    <row r="67" spans="1:11">
      <c r="C67" s="28" t="s">
        <v>34</v>
      </c>
      <c r="D67" s="29"/>
      <c r="E67" s="30"/>
      <c r="F67" s="31"/>
      <c r="G67" s="38">
        <v>761.91</v>
      </c>
      <c r="H67" s="38">
        <v>0.95</v>
      </c>
      <c r="I67" s="33"/>
      <c r="J67" s="33"/>
      <c r="K67" s="34"/>
    </row>
    <row r="68" spans="1:11">
      <c r="C68" s="21"/>
      <c r="D68" s="29"/>
      <c r="E68" s="30"/>
      <c r="F68" s="31"/>
      <c r="G68" s="32"/>
      <c r="H68" s="32"/>
      <c r="I68" s="33"/>
      <c r="J68" s="33"/>
      <c r="K68" s="34"/>
    </row>
    <row r="69" spans="1:11">
      <c r="A69" s="35"/>
      <c r="B69" s="36"/>
      <c r="C69" s="28" t="s">
        <v>91</v>
      </c>
      <c r="D69" s="29"/>
      <c r="E69" s="30"/>
      <c r="F69" s="31"/>
      <c r="G69" s="32"/>
      <c r="H69" s="32"/>
      <c r="I69" s="33"/>
      <c r="J69" s="33"/>
      <c r="K69" s="34"/>
    </row>
    <row r="70" spans="1:11">
      <c r="B70" s="1"/>
      <c r="C70" s="21" t="s">
        <v>92</v>
      </c>
      <c r="D70" s="29"/>
      <c r="E70" s="30"/>
      <c r="F70" s="31"/>
      <c r="G70" s="32">
        <v>1257.1600000000001</v>
      </c>
      <c r="H70" s="32">
        <v>1.6</v>
      </c>
      <c r="I70" s="33"/>
      <c r="J70" s="33"/>
      <c r="K70" s="34"/>
    </row>
    <row r="71" spans="1:11">
      <c r="C71" s="28" t="s">
        <v>34</v>
      </c>
      <c r="D71" s="29"/>
      <c r="E71" s="30"/>
      <c r="F71" s="31"/>
      <c r="G71" s="38">
        <v>1257.1600000000001</v>
      </c>
      <c r="H71" s="38">
        <v>1.6</v>
      </c>
      <c r="I71" s="33"/>
      <c r="J71" s="33"/>
      <c r="K71" s="34"/>
    </row>
    <row r="72" spans="1:11">
      <c r="C72" s="21"/>
      <c r="D72" s="29"/>
      <c r="E72" s="30"/>
      <c r="F72" s="31"/>
      <c r="G72" s="32"/>
      <c r="H72" s="32"/>
      <c r="I72" s="33"/>
      <c r="J72" s="33"/>
      <c r="K72" s="34"/>
    </row>
    <row r="73" spans="1:11" ht="14.4" thickBot="1">
      <c r="C73" s="39" t="s">
        <v>93</v>
      </c>
      <c r="D73" s="40"/>
      <c r="E73" s="41"/>
      <c r="F73" s="42"/>
      <c r="G73" s="43">
        <v>79917.88</v>
      </c>
      <c r="H73" s="43">
        <f>SUMIFS(H:H,C:C,"Total")</f>
        <v>99.999999999999986</v>
      </c>
      <c r="I73" s="44"/>
      <c r="J73" s="44"/>
      <c r="K73" s="45"/>
    </row>
    <row r="76" spans="1:11">
      <c r="C76" s="11" t="s">
        <v>94</v>
      </c>
    </row>
    <row r="77" spans="1:11">
      <c r="C77" s="2" t="s">
        <v>95</v>
      </c>
    </row>
    <row r="78" spans="1:11">
      <c r="C78" s="46" t="s">
        <v>96</v>
      </c>
    </row>
    <row r="79" spans="1:11">
      <c r="C79" s="2" t="s">
        <v>97</v>
      </c>
    </row>
    <row r="80" spans="1:11">
      <c r="C80" s="2" t="s">
        <v>98</v>
      </c>
    </row>
    <row r="81" spans="3:55">
      <c r="C81" s="2" t="s">
        <v>99</v>
      </c>
      <c r="D81" s="47"/>
      <c r="E81" s="47"/>
      <c r="F81" s="47"/>
      <c r="G81" s="48"/>
      <c r="H81" s="48"/>
    </row>
    <row r="82" spans="3:55">
      <c r="C82" s="2" t="s">
        <v>100</v>
      </c>
    </row>
    <row r="83" spans="3:55">
      <c r="C83" s="2" t="s">
        <v>101</v>
      </c>
    </row>
    <row r="84" spans="3:55">
      <c r="C84" s="2" t="s">
        <v>102</v>
      </c>
    </row>
    <row r="85" spans="3:55">
      <c r="C85" s="2" t="s">
        <v>103</v>
      </c>
    </row>
    <row r="86" spans="3:55" s="11" customFormat="1">
      <c r="C86" s="11" t="s">
        <v>104</v>
      </c>
      <c r="E86" s="11" t="s">
        <v>105</v>
      </c>
      <c r="F86" s="49" t="s">
        <v>106</v>
      </c>
      <c r="G86" s="50"/>
      <c r="H86" s="50"/>
      <c r="I86" s="50"/>
      <c r="J86" s="50"/>
      <c r="K86" s="51"/>
      <c r="L86" s="51"/>
      <c r="M86" s="51"/>
      <c r="AJ86" s="51"/>
      <c r="AW86" s="51"/>
      <c r="AY86" s="51"/>
      <c r="BC86" s="51"/>
    </row>
    <row r="87" spans="3:55">
      <c r="C87" s="2" t="s">
        <v>107</v>
      </c>
      <c r="E87" s="52">
        <v>22.507000000000001</v>
      </c>
      <c r="F87" s="53">
        <v>22.867699999999999</v>
      </c>
    </row>
    <row r="88" spans="3:55">
      <c r="C88" s="2" t="s">
        <v>108</v>
      </c>
      <c r="E88" s="52">
        <v>35.276699999999998</v>
      </c>
      <c r="F88" s="53">
        <v>35.841999999999999</v>
      </c>
    </row>
    <row r="89" spans="3:55">
      <c r="C89" s="2" t="s">
        <v>109</v>
      </c>
      <c r="E89" s="52">
        <v>30.330200000000001</v>
      </c>
      <c r="F89" s="53">
        <v>30.823699999999999</v>
      </c>
    </row>
    <row r="90" spans="3:55">
      <c r="C90" s="2" t="s">
        <v>110</v>
      </c>
      <c r="E90" s="52">
        <v>38.436599999999999</v>
      </c>
      <c r="F90" s="53">
        <v>39.061900000000001</v>
      </c>
    </row>
    <row r="92" spans="3:55">
      <c r="C92" s="2" t="s">
        <v>111</v>
      </c>
    </row>
    <row r="94" spans="3:55">
      <c r="C94" s="2" t="s">
        <v>112</v>
      </c>
    </row>
    <row r="95" spans="3:55">
      <c r="C95" s="2" t="s">
        <v>113</v>
      </c>
    </row>
    <row r="96" spans="3:55">
      <c r="C96" s="2" t="s">
        <v>114</v>
      </c>
    </row>
    <row r="97" spans="3:11">
      <c r="C97" s="2" t="s">
        <v>115</v>
      </c>
    </row>
    <row r="98" spans="3:11">
      <c r="C98" s="2" t="s">
        <v>116</v>
      </c>
    </row>
    <row r="99" spans="3:11">
      <c r="C99" s="2" t="s">
        <v>117</v>
      </c>
    </row>
    <row r="100" spans="3:11">
      <c r="C100" s="2" t="s">
        <v>118</v>
      </c>
    </row>
    <row r="101" spans="3:11">
      <c r="C101" s="2" t="s">
        <v>119</v>
      </c>
    </row>
    <row r="102" spans="3:11">
      <c r="C102" s="2" t="s">
        <v>120</v>
      </c>
    </row>
    <row r="103" spans="3:11">
      <c r="C103" s="2" t="s">
        <v>121</v>
      </c>
    </row>
    <row r="104" spans="3:11">
      <c r="C104" s="2" t="s">
        <v>122</v>
      </c>
    </row>
    <row r="105" spans="3:11">
      <c r="C105" s="2" t="s">
        <v>123</v>
      </c>
    </row>
    <row r="106" spans="3:11" ht="14.4">
      <c r="C106" s="54" t="s">
        <v>124</v>
      </c>
      <c r="D106" s="54"/>
      <c r="E106" s="55"/>
      <c r="F106" s="55"/>
      <c r="G106" s="55"/>
      <c r="H106" s="55"/>
      <c r="I106" s="55"/>
      <c r="J106" s="55"/>
      <c r="K106" s="55"/>
    </row>
    <row r="107" spans="3:11" ht="14.4">
      <c r="C107" s="55" t="s">
        <v>125</v>
      </c>
      <c r="D107" s="55"/>
      <c r="E107" s="55"/>
      <c r="F107" s="55"/>
      <c r="G107" s="55"/>
      <c r="H107" s="55"/>
      <c r="I107" s="55"/>
      <c r="J107" s="55"/>
      <c r="K107" s="55"/>
    </row>
    <row r="108" spans="3:11" ht="14.4">
      <c r="C108" s="55"/>
      <c r="D108" s="55"/>
      <c r="E108" s="55"/>
      <c r="F108" s="55"/>
      <c r="G108" s="55"/>
      <c r="H108" s="55"/>
      <c r="I108" s="55"/>
      <c r="J108" s="55"/>
      <c r="K108" s="55"/>
    </row>
    <row r="127" spans="3:6" ht="14.4" thickBot="1"/>
    <row r="128" spans="3:6" ht="14.4" thickBot="1">
      <c r="C128" s="56" t="s">
        <v>126</v>
      </c>
      <c r="D128" s="57"/>
      <c r="E128" s="57"/>
      <c r="F128" s="58"/>
    </row>
    <row r="129" spans="3:6" ht="14.4" thickBot="1">
      <c r="C129" s="59" t="s">
        <v>127</v>
      </c>
      <c r="D129" s="60" t="s">
        <v>128</v>
      </c>
      <c r="E129" s="60" t="s">
        <v>129</v>
      </c>
      <c r="F129" s="60" t="s">
        <v>130</v>
      </c>
    </row>
    <row r="130" spans="3:6" ht="14.4" thickBot="1">
      <c r="C130" s="59" t="s">
        <v>131</v>
      </c>
      <c r="D130" s="61"/>
      <c r="E130" s="61"/>
      <c r="F130" s="61"/>
    </row>
    <row r="131" spans="3:6" ht="14.4" thickBot="1">
      <c r="C131" s="62" t="s">
        <v>132</v>
      </c>
      <c r="D131" s="63"/>
      <c r="E131" s="63"/>
      <c r="F131" s="63"/>
    </row>
    <row r="132" spans="3:6">
      <c r="C132" s="64" t="s">
        <v>133</v>
      </c>
      <c r="D132" s="65"/>
      <c r="E132" s="65"/>
      <c r="F132" s="65"/>
    </row>
    <row r="133" spans="3:6" ht="14.4" thickBot="1">
      <c r="C133" s="62" t="s">
        <v>134</v>
      </c>
      <c r="D133" s="66"/>
      <c r="E133" s="66"/>
      <c r="F133" s="66"/>
    </row>
    <row r="134" spans="3:6">
      <c r="C134" s="64" t="s">
        <v>135</v>
      </c>
      <c r="D134" s="67" t="s">
        <v>136</v>
      </c>
      <c r="E134" s="65"/>
      <c r="F134" s="65"/>
    </row>
    <row r="135" spans="3:6" ht="14.4" thickBot="1">
      <c r="C135" s="62" t="s">
        <v>137</v>
      </c>
      <c r="D135" s="68"/>
      <c r="E135" s="66"/>
      <c r="F135" s="66"/>
    </row>
    <row r="136" spans="3:6">
      <c r="C136" s="69" t="s">
        <v>138</v>
      </c>
      <c r="D136" s="70"/>
      <c r="E136" s="70"/>
      <c r="F136" s="70"/>
    </row>
    <row r="137" spans="3:6">
      <c r="C137" s="2" t="s">
        <v>139</v>
      </c>
      <c r="D137" s="70"/>
      <c r="E137" s="70"/>
      <c r="F137" s="70"/>
    </row>
  </sheetData>
  <mergeCells count="10">
    <mergeCell ref="D134:D135"/>
    <mergeCell ref="E134:E135"/>
    <mergeCell ref="F134:F135"/>
    <mergeCell ref="C128:F128"/>
    <mergeCell ref="D129:D130"/>
    <mergeCell ref="E129:E130"/>
    <mergeCell ref="F129:F130"/>
    <mergeCell ref="D132:D133"/>
    <mergeCell ref="E132:E133"/>
    <mergeCell ref="F132:F13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XDO_?CLASS_3?19?</vt:lpstr>
      <vt:lpstr>XDO_?FINAL_ISIN?85?</vt:lpstr>
      <vt:lpstr>XDO_?FINAL_ISIN?86?</vt:lpstr>
      <vt:lpstr>XDO_?FINAL_ISIN?87?</vt:lpstr>
      <vt:lpstr>XDO_?FINAL_ISIN?88?</vt:lpstr>
      <vt:lpstr>XDO_?FINAL_MV?85?</vt:lpstr>
      <vt:lpstr>XDO_?FINAL_MV?86?</vt:lpstr>
      <vt:lpstr>XDO_?FINAL_MV?87?</vt:lpstr>
      <vt:lpstr>XDO_?FINAL_MV?88?</vt:lpstr>
      <vt:lpstr>XDO_?FINAL_NAME?85?</vt:lpstr>
      <vt:lpstr>XDO_?FINAL_NAME?86?</vt:lpstr>
      <vt:lpstr>XDO_?FINAL_NAME?87?</vt:lpstr>
      <vt:lpstr>XDO_?FINAL_NAME?88?</vt:lpstr>
      <vt:lpstr>XDO_?FINAL_PER_NET?85?</vt:lpstr>
      <vt:lpstr>XDO_?FINAL_PER_NET?86?</vt:lpstr>
      <vt:lpstr>XDO_?FINAL_PER_NET?87?</vt:lpstr>
      <vt:lpstr>XDO_?FINAL_PER_NET?88?</vt:lpstr>
      <vt:lpstr>XDO_?FINAL_QUANTITE?85?</vt:lpstr>
      <vt:lpstr>XDO_?FINAL_QUANTITE?86?</vt:lpstr>
      <vt:lpstr>XDO_?FINAL_QUANTITE?87?</vt:lpstr>
      <vt:lpstr>XDO_?FINAL_QUANTITE?88?</vt:lpstr>
      <vt:lpstr>XDO_?NAMCNAME?19?</vt:lpstr>
      <vt:lpstr>XDO_?NOVAL?85?</vt:lpstr>
      <vt:lpstr>XDO_?NOVAL?86?</vt:lpstr>
      <vt:lpstr>XDO_?NOVAL?87?</vt:lpstr>
      <vt:lpstr>XDO_?NOVAL?88?</vt:lpstr>
      <vt:lpstr>XDO_?NPTF?19?</vt:lpstr>
      <vt:lpstr>XDO_?RATING?85?</vt:lpstr>
      <vt:lpstr>XDO_?RATING?86?</vt:lpstr>
      <vt:lpstr>XDO_?RATING?87?</vt:lpstr>
      <vt:lpstr>XDO_?RATING?88?</vt:lpstr>
      <vt:lpstr>XDO_?REMARKS?85?</vt:lpstr>
      <vt:lpstr>XDO_?REMARKS?86?</vt:lpstr>
      <vt:lpstr>XDO_?REMARKS?87?</vt:lpstr>
      <vt:lpstr>XDO_?REMARKS?88?</vt:lpstr>
      <vt:lpstr>XDO_?TITL?19?</vt:lpstr>
      <vt:lpstr>XDO_?YTM?85?</vt:lpstr>
      <vt:lpstr>XDO_?YTM?86?</vt:lpstr>
      <vt:lpstr>XDO_?YTM?87?</vt:lpstr>
      <vt:lpstr>XDO_?YTM?88?</vt:lpstr>
      <vt:lpstr>XDO_GROUP_?G_2?19?</vt:lpstr>
      <vt:lpstr>XDO_GROUP_?G_3?19?</vt:lpstr>
      <vt:lpstr>XDO_GROUP_?G_4?85?</vt:lpstr>
      <vt:lpstr>XDO_GROUP_?G_4?86?</vt:lpstr>
      <vt:lpstr>XDO_GROUP_?G_4?87?</vt:lpstr>
      <vt:lpstr>XDO_GROUP_?G_4?88?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2023-05-05T11:12:28Z</dcterms:created>
  <dcterms:modified xsi:type="dcterms:W3CDTF">2023-05-06T08:13:04Z</dcterms:modified>
</cp:coreProperties>
</file>