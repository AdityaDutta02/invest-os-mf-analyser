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A91FD75D-8FB8-4B57-B911-FAABE9999737}" xr6:coauthVersionLast="47" xr6:coauthVersionMax="47" xr10:uidLastSave="{00000000-0000-0000-0000-000000000000}"/>
  <bookViews>
    <workbookView xWindow="-108" yWindow="-108" windowWidth="23256" windowHeight="12456" xr2:uid="{7A0F2B44-21E9-46C0-9874-93BBCD0ACA7A}"/>
  </bookViews>
  <sheets>
    <sheet name="SE" sheetId="1" r:id="rId1"/>
  </sheets>
  <externalReferences>
    <externalReference r:id="rId2"/>
  </externalReferences>
  <definedNames>
    <definedName name="XDO_?CLASS_3?12?">SE!$C$8:$C$47</definedName>
    <definedName name="XDO_?FINAL_ISIN?60?">SE!$D$10:$D$47</definedName>
    <definedName name="XDO_?FINAL_ISIN?61?">SE!$D$10:$D$59</definedName>
    <definedName name="XDO_?FINAL_ISIN?62?">SE!$D$10:$D$70</definedName>
    <definedName name="XDO_?FINAL_ISIN?63?">SE!$D$10:$D$64</definedName>
    <definedName name="XDO_?FINAL_ISIN?64?">SE!$D$10:$D$95</definedName>
    <definedName name="XDO_?FINAL_ISIN?65?">SE!$D$10:$D$104</definedName>
    <definedName name="XDO_?FINAL_ISIN?66?">SE!$D$10:$D$111</definedName>
    <definedName name="XDO_?FINAL_ISIN?67?">SE!$D$10:$D$116</definedName>
    <definedName name="XDO_?FINAL_ISIN?68?">SE!$D$10:$D$122</definedName>
    <definedName name="XDO_?FINAL_ISIN?69?">SE!$D$10:$D$137</definedName>
    <definedName name="XDO_?FINAL_ISIN?70?">SE!$D$10:$D$141</definedName>
    <definedName name="XDO_?FINAL_MV?60?">SE!$G$10:$G$47</definedName>
    <definedName name="XDO_?FINAL_MV?61?">SE!$G$10:$G$59</definedName>
    <definedName name="XDO_?FINAL_MV?62?">SE!$G$10:$G$70</definedName>
    <definedName name="XDO_?FINAL_MV?63?">SE!$G$10:$G$64</definedName>
    <definedName name="XDO_?FINAL_MV?64?">SE!$G$10:$G$95</definedName>
    <definedName name="XDO_?FINAL_MV?65?">SE!$G$10:$G$104</definedName>
    <definedName name="XDO_?FINAL_MV?66?">SE!$G$10:$G$111</definedName>
    <definedName name="XDO_?FINAL_MV?67?">SE!$G$10:$G$116</definedName>
    <definedName name="XDO_?FINAL_MV?68?">SE!$G$10:$G$122</definedName>
    <definedName name="XDO_?FINAL_MV?69?">SE!$G$10:$G$137</definedName>
    <definedName name="XDO_?FINAL_MV?70?">SE!$G$10:$G$141</definedName>
    <definedName name="XDO_?FINAL_NAME?60?">SE!$C$10:$C$47</definedName>
    <definedName name="XDO_?FINAL_NAME?61?">SE!$C$10:$C$59</definedName>
    <definedName name="XDO_?FINAL_NAME?62?">SE!$C$10:$C$70</definedName>
    <definedName name="XDO_?FINAL_NAME?63?">SE!$C$10:$C$64</definedName>
    <definedName name="XDO_?FINAL_NAME?64?">SE!$C$10:$C$95</definedName>
    <definedName name="XDO_?FINAL_NAME?65?">SE!$C$10:$C$104</definedName>
    <definedName name="XDO_?FINAL_NAME?66?">SE!$C$10:$C$111</definedName>
    <definedName name="XDO_?FINAL_NAME?67?">SE!$C$10:$C$116</definedName>
    <definedName name="XDO_?FINAL_NAME?68?">SE!$C$10:$C$122</definedName>
    <definedName name="XDO_?FINAL_NAME?69?">SE!$C$10:$C$137</definedName>
    <definedName name="XDO_?FINAL_NAME?70?">SE!$C$10:$C$141</definedName>
    <definedName name="XDO_?FINAL_PER_NET?60?">SE!$H$10:$H$47</definedName>
    <definedName name="XDO_?FINAL_PER_NET?61?">SE!$H$10:$H$59</definedName>
    <definedName name="XDO_?FINAL_PER_NET?62?">SE!$H$10:$H$70</definedName>
    <definedName name="XDO_?FINAL_PER_NET?63?">SE!$H$10:$H$64</definedName>
    <definedName name="XDO_?FINAL_PER_NET?64?">SE!$H$10:$H$95</definedName>
    <definedName name="XDO_?FINAL_PER_NET?65?">SE!$H$10:$H$104</definedName>
    <definedName name="XDO_?FINAL_PER_NET?66?">SE!$H$10:$H$111</definedName>
    <definedName name="XDO_?FINAL_PER_NET?67?">SE!$H$10:$H$116</definedName>
    <definedName name="XDO_?FINAL_PER_NET?68?">SE!$H$10:$H$122</definedName>
    <definedName name="XDO_?FINAL_PER_NET?69?">SE!$H$10:$H$137</definedName>
    <definedName name="XDO_?FINAL_PER_NET?70?">SE!$H$10:$H$141</definedName>
    <definedName name="XDO_?FINAL_QUANTITE?60?">SE!$F$10:$F$47</definedName>
    <definedName name="XDO_?FINAL_QUANTITE?61?">SE!$F$10:$F$59</definedName>
    <definedName name="XDO_?FINAL_QUANTITE?62?">SE!$F$10:$F$70</definedName>
    <definedName name="XDO_?FINAL_QUANTITE?63?">SE!$F$10:$F$64</definedName>
    <definedName name="XDO_?FINAL_QUANTITE?64?">SE!$F$10:$F$95</definedName>
    <definedName name="XDO_?FINAL_QUANTITE?65?">SE!$F$10:$F$104</definedName>
    <definedName name="XDO_?FINAL_QUANTITE?66?">SE!$F$10:$F$111</definedName>
    <definedName name="XDO_?FINAL_QUANTITE?67?">SE!$F$10:$F$116</definedName>
    <definedName name="XDO_?FINAL_QUANTITE?68?">SE!$F$10:$F$122</definedName>
    <definedName name="XDO_?FINAL_QUANTITE?69?">SE!$F$10:$F$137</definedName>
    <definedName name="XDO_?FINAL_QUANTITE?70?">SE!$F$10:$F$141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[1]LM!#REF!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12?">SE!$C$2:$C$47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[1]LM!#REF!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[1]LM!#REF!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60?">SE!$B$10:$B$47</definedName>
    <definedName name="XDO_?NOVAL?61?">SE!$B$10:$B$59</definedName>
    <definedName name="XDO_?NOVAL?62?">SE!$B$10:$B$70</definedName>
    <definedName name="XDO_?NOVAL?63?">SE!$B$10:$B$64</definedName>
    <definedName name="XDO_?NOVAL?64?">SE!$B$10:$B$95</definedName>
    <definedName name="XDO_?NOVAL?65?">SE!$B$10:$B$104</definedName>
    <definedName name="XDO_?NOVAL?66?">SE!$B$10:$B$111</definedName>
    <definedName name="XDO_?NOVAL?67?">SE!$B$10:$B$116</definedName>
    <definedName name="XDO_?NOVAL?68?">SE!$B$10:$B$122</definedName>
    <definedName name="XDO_?NOVAL?69?">SE!$B$10:$B$137</definedName>
    <definedName name="XDO_?NOVAL?70?">SE!$B$10:$B$141</definedName>
    <definedName name="XDO_?NPTF?12?">SE!$D$2:$D$47</definedName>
    <definedName name="XDO_?RATING?60?">SE!$E$10:$E$47</definedName>
    <definedName name="XDO_?RATING?61?">SE!$E$10:$E$59</definedName>
    <definedName name="XDO_?RATING?62?">SE!$E$10:$E$70</definedName>
    <definedName name="XDO_?RATING?63?">SE!$E$10:$E$64</definedName>
    <definedName name="XDO_?RATING?64?">SE!$E$10:$E$95</definedName>
    <definedName name="XDO_?RATING?65?">SE!$E$10:$E$104</definedName>
    <definedName name="XDO_?RATING?66?">SE!$E$10:$E$111</definedName>
    <definedName name="XDO_?RATING?67?">SE!$E$10:$E$116</definedName>
    <definedName name="XDO_?RATING?68?">SE!$E$10:$E$122</definedName>
    <definedName name="XDO_?RATING?69?">SE!$E$10:$E$137</definedName>
    <definedName name="XDO_?RATING?70?">SE!$E$10:$E$141</definedName>
    <definedName name="XDO_?REMARKS?60?">SE!$K$10:$K$47</definedName>
    <definedName name="XDO_?REMARKS?61?">SE!$K$10:$K$59</definedName>
    <definedName name="XDO_?REMARKS?62?">SE!$K$10:$K$70</definedName>
    <definedName name="XDO_?REMARKS?63?">SE!$K$10:$K$64</definedName>
    <definedName name="XDO_?REMARKS?64?">SE!$K$10:$K$95</definedName>
    <definedName name="XDO_?REMARKS?65?">SE!$K$10:$K$104</definedName>
    <definedName name="XDO_?REMARKS?66?">SE!$K$10:$K$111</definedName>
    <definedName name="XDO_?REMARKS?67?">SE!$K$10:$K$116</definedName>
    <definedName name="XDO_?REMARKS?68?">SE!$K$10:$K$122</definedName>
    <definedName name="XDO_?REMARKS?69?">SE!$K$10:$K$137</definedName>
    <definedName name="XDO_?REMARKS?70?">SE!$K$10:$K$141</definedName>
    <definedName name="XDO_?TITL?12?">SE!$A$8:$A$47</definedName>
    <definedName name="XDO_?YTM?60?">SE!$I$10:$I$47</definedName>
    <definedName name="XDO_?YTM?61?">SE!$I$10:$I$59</definedName>
    <definedName name="XDO_?YTM?62?">SE!$I$10:$I$70</definedName>
    <definedName name="XDO_?YTM?63?">SE!$I$10:$I$64</definedName>
    <definedName name="XDO_?YTM?64?">SE!$I$10:$I$95</definedName>
    <definedName name="XDO_?YTM?65?">SE!$I$10:$I$104</definedName>
    <definedName name="XDO_?YTM?66?">SE!$I$10:$I$111</definedName>
    <definedName name="XDO_?YTM?67?">SE!$I$10:$I$116</definedName>
    <definedName name="XDO_?YTM?68?">SE!$I$10:$I$122</definedName>
    <definedName name="XDO_?YTM?69?">SE!$I$10:$I$137</definedName>
    <definedName name="XDO_?YTM?70?">SE!$I$10:$I$141</definedName>
    <definedName name="XDO_GROUP_?G_2?12?">SE!$2:$123</definedName>
    <definedName name="XDO_GROUP_?G_3?12?">SE!$8:$122</definedName>
    <definedName name="XDO_GROUP_?G_4?42?">[1]TA!#REF!</definedName>
    <definedName name="XDO_GROUP_?G_4?60?">SE!$B$10:$IV$47</definedName>
    <definedName name="XDO_GROUP_?G_4?61?">SE!$B$59:$IV$59</definedName>
    <definedName name="XDO_GROUP_?G_4?62?">SE!$B$51:$IV$53</definedName>
    <definedName name="XDO_GROUP_?G_4?63?">SE!$B$70:$IV$71</definedName>
    <definedName name="XDO_GROUP_?G_4?64?">SE!$B$65:$IV$89</definedName>
    <definedName name="XDO_GROUP_?G_4?65?">SE!$B$93:$IV$94</definedName>
    <definedName name="XDO_GROUP_?G_4?66?">SE!$B$98:$IV$101</definedName>
    <definedName name="XDO_GROUP_?G_4?67?">SE!$B$106:$IV$106</definedName>
    <definedName name="XDO_GROUP_?G_4?68?">SE!$B$110:$IV$110</definedName>
    <definedName name="XDO_GROUP_?G_4?69?">SE!$B$115:$IV$115</definedName>
    <definedName name="XDO_GROUP_?G_4?70?">SE!$B$120:$IV$120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9" i="1" l="1"/>
  <c r="H144" i="1"/>
  <c r="H56" i="1"/>
  <c r="G56" i="1"/>
</calcChain>
</file>

<file path=xl/sharedStrings.xml><?xml version="1.0" encoding="utf-8"?>
<sst xmlns="http://schemas.openxmlformats.org/spreadsheetml/2006/main" count="450" uniqueCount="350">
  <si>
    <t>Baroda BNP Paribas Mutual Fund</t>
  </si>
  <si>
    <t>T0ME19</t>
  </si>
  <si>
    <t>SCHEME NAME :</t>
  </si>
  <si>
    <t xml:space="preserve">Baroda BNP Paribas Aggressive Hybrid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</si>
  <si>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</si>
  <si>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</si>
  <si>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</si>
  <si>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</si>
  <si>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</si>
  <si>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</si>
  <si>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</si>
  <si>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</si>
  <si>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</si>
  <si>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</si>
  <si>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</si>
  <si>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</si>
  <si>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</si>
  <si>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</si>
  <si>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</si>
  <si>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</si>
  <si>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</si>
  <si>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</si>
  <si>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</si>
  <si>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</si>
  <si>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</si>
  <si>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</si>
  <si>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</si>
  <si>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</si>
  <si>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</si>
  <si>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</si>
  <si>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</si>
  <si>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</si>
  <si>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</si>
  <si>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</si>
  <si>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</si>
  <si>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</si>
  <si>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</si>
  <si>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</si>
  <si>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</si>
  <si>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100003</t>
  </si>
  <si>
    <t>Infosys Ltd.</t>
  </si>
  <si>
    <t>INE009A01021</t>
  </si>
  <si>
    <t>100119</t>
  </si>
  <si>
    <t>Tata Motors Ltd.</t>
  </si>
  <si>
    <t>INE155A01022</t>
  </si>
  <si>
    <t>Automobiles</t>
  </si>
  <si>
    <t>100037</t>
  </si>
  <si>
    <t>HCL Technologies Ltd.</t>
  </si>
  <si>
    <t>INE860A01027</t>
  </si>
  <si>
    <t>100163</t>
  </si>
  <si>
    <t>Bosch Ltd.</t>
  </si>
  <si>
    <t>INE323A01026</t>
  </si>
  <si>
    <t>Auto Components</t>
  </si>
  <si>
    <t>101783</t>
  </si>
  <si>
    <t>Five Star Business Finance Ltd.</t>
  </si>
  <si>
    <t>INE128S01021</t>
  </si>
  <si>
    <t>Finance</t>
  </si>
  <si>
    <t>100168</t>
  </si>
  <si>
    <t>Escorts Kubota Ltd.</t>
  </si>
  <si>
    <t>INE042A01014</t>
  </si>
  <si>
    <t>Agricultural, Commercial &amp; Construction Vehicles</t>
  </si>
  <si>
    <t>100125</t>
  </si>
  <si>
    <t>Bajaj Finance Ltd.</t>
  </si>
  <si>
    <t>INE296A01024</t>
  </si>
  <si>
    <t>100575</t>
  </si>
  <si>
    <t>BSE Ltd.</t>
  </si>
  <si>
    <t>INE118H01025</t>
  </si>
  <si>
    <t>Capital Markets</t>
  </si>
  <si>
    <t>100050</t>
  </si>
  <si>
    <t>Trent Ltd.</t>
  </si>
  <si>
    <t>INE849A01020</t>
  </si>
  <si>
    <t>Retailing</t>
  </si>
  <si>
    <t>100095</t>
  </si>
  <si>
    <t>Bharti Airtel Ltd.</t>
  </si>
  <si>
    <t>INE397D01024</t>
  </si>
  <si>
    <t>Telecom - Services</t>
  </si>
  <si>
    <t>100267</t>
  </si>
  <si>
    <t>Oil India Ltd.</t>
  </si>
  <si>
    <t>INE274J01014</t>
  </si>
  <si>
    <t>Oil</t>
  </si>
  <si>
    <t>100008</t>
  </si>
  <si>
    <t>Sun Pharmaceutical Industries Ltd.</t>
  </si>
  <si>
    <t>INE044A01036</t>
  </si>
  <si>
    <t>Pharmaceuticals &amp; Biotechnology</t>
  </si>
  <si>
    <t>100222</t>
  </si>
  <si>
    <t>The Indian Hotels Company Ltd.</t>
  </si>
  <si>
    <t>INE053A01029</t>
  </si>
  <si>
    <t>Leisure Services</t>
  </si>
  <si>
    <t>100228</t>
  </si>
  <si>
    <t>The Jammu &amp; Kashmir Bank Ltd.</t>
  </si>
  <si>
    <t>INE168A01041</t>
  </si>
  <si>
    <t>100089</t>
  </si>
  <si>
    <t>Bharat Electronics Ltd.</t>
  </si>
  <si>
    <t>INE263A01024</t>
  </si>
  <si>
    <t>Aerospace &amp; Defense</t>
  </si>
  <si>
    <t>100367</t>
  </si>
  <si>
    <t>Exide Industries Ltd.</t>
  </si>
  <si>
    <t>INE302A01020</t>
  </si>
  <si>
    <t>100684</t>
  </si>
  <si>
    <t>SBI Life Insurance Co. Ltd.</t>
  </si>
  <si>
    <t>INE123W01016</t>
  </si>
  <si>
    <t>Insurance</t>
  </si>
  <si>
    <t>100004</t>
  </si>
  <si>
    <t>Zydus Lifesciences Ltd.</t>
  </si>
  <si>
    <t>INE010B01027</t>
  </si>
  <si>
    <t>100461</t>
  </si>
  <si>
    <t>Astral Ltd.</t>
  </si>
  <si>
    <t>INE006I01046</t>
  </si>
  <si>
    <t>Industrial Products</t>
  </si>
  <si>
    <t>100069</t>
  </si>
  <si>
    <t>CIE Automotive India Ltd.</t>
  </si>
  <si>
    <t>INE536H01010</t>
  </si>
  <si>
    <t>100104</t>
  </si>
  <si>
    <t>Kotak Mahindra Bank Ltd.</t>
  </si>
  <si>
    <t>INE237A01028</t>
  </si>
  <si>
    <t>100440</t>
  </si>
  <si>
    <t>Birla Corporation Ltd.</t>
  </si>
  <si>
    <t>INE340A01012</t>
  </si>
  <si>
    <t>Cement &amp; Cement Products</t>
  </si>
  <si>
    <t>100177</t>
  </si>
  <si>
    <t>Grasim Industries Ltd.</t>
  </si>
  <si>
    <t>INE047A01021</t>
  </si>
  <si>
    <t>100902</t>
  </si>
  <si>
    <t>Jtekt India Ltd.</t>
  </si>
  <si>
    <t>INE643A01035</t>
  </si>
  <si>
    <t>101403</t>
  </si>
  <si>
    <t>Tega Industries Ltd.</t>
  </si>
  <si>
    <t>INE011K01018</t>
  </si>
  <si>
    <t>Industrial Manufacturing</t>
  </si>
  <si>
    <t>101063</t>
  </si>
  <si>
    <t>Hitachi Energy India Ltd.</t>
  </si>
  <si>
    <t>INE07Y701011</t>
  </si>
  <si>
    <t>Electrical Equipment</t>
  </si>
  <si>
    <t>100179</t>
  </si>
  <si>
    <t>Hero MotoCorp Ltd.</t>
  </si>
  <si>
    <t>INE158A01026</t>
  </si>
  <si>
    <t>101889</t>
  </si>
  <si>
    <t>Jio Financial Services Ltd.</t>
  </si>
  <si>
    <t>INE758E01017</t>
  </si>
  <si>
    <t>100505</t>
  </si>
  <si>
    <t>ICICI Prudential Life Insurance Company Ltd.</t>
  </si>
  <si>
    <t>INE726G01019</t>
  </si>
  <si>
    <t>100176</t>
  </si>
  <si>
    <t>GAIL (India) Ltd.</t>
  </si>
  <si>
    <t>INE129A01019</t>
  </si>
  <si>
    <t>Gas</t>
  </si>
  <si>
    <t>100029</t>
  </si>
  <si>
    <t>Mphasis Ltd.</t>
  </si>
  <si>
    <t>INE356A01018</t>
  </si>
  <si>
    <t>100266</t>
  </si>
  <si>
    <t>Gujarat State Petronet Ltd.</t>
  </si>
  <si>
    <t>INE246F01010</t>
  </si>
  <si>
    <t>Total</t>
  </si>
  <si>
    <t>b) Unlisted</t>
  </si>
  <si>
    <t>NIL</t>
  </si>
  <si>
    <t>c) Foreign Securities and /or overseas ETF</t>
  </si>
  <si>
    <t>d) Complusory Convertible Debentures</t>
  </si>
  <si>
    <t>7.50% Cholamandalam Investment &amp; Finance Co. Ltd. 30-Sep-2026</t>
  </si>
  <si>
    <t>INE121A08PJ0</t>
  </si>
  <si>
    <t>N**</t>
  </si>
  <si>
    <t>e) Infrastructure Investment Trust</t>
  </si>
  <si>
    <t>3300007</t>
  </si>
  <si>
    <t>Intelligent Supply Chain Infrastructure Trust</t>
  </si>
  <si>
    <t>INE0QSW23016</t>
  </si>
  <si>
    <t>Warehousing</t>
  </si>
  <si>
    <t>f) Real Estate Investment Trust</t>
  </si>
  <si>
    <t>3200003</t>
  </si>
  <si>
    <t>Brookfield India Real Estate Trust</t>
  </si>
  <si>
    <t>INE0FDU25010</t>
  </si>
  <si>
    <t>3200002</t>
  </si>
  <si>
    <t>Embassy Office Parks Reit</t>
  </si>
  <si>
    <t>INE041025011</t>
  </si>
  <si>
    <t>g) Stock Futures</t>
  </si>
  <si>
    <t>2216044</t>
  </si>
  <si>
    <t>Short</t>
  </si>
  <si>
    <t>2216199</t>
  </si>
  <si>
    <t>IndusInd Bank Ltd.</t>
  </si>
  <si>
    <t>Long</t>
  </si>
  <si>
    <t>2216056</t>
  </si>
  <si>
    <t>PVR Inox Ltd.</t>
  </si>
  <si>
    <t>Entertainment</t>
  </si>
  <si>
    <t>Stock Futures Total</t>
  </si>
  <si>
    <t>h) Index Futures</t>
  </si>
  <si>
    <t>DEBT INSTRUMENTS</t>
  </si>
  <si>
    <t>a) Listed/awaiting listing on the stock exchanges</t>
  </si>
  <si>
    <t>704114</t>
  </si>
  <si>
    <t>8.50% Muthoot Finance Ltd. 29-Jan-2026</t>
  </si>
  <si>
    <t>INE414G07HK3</t>
  </si>
  <si>
    <t>CRISIL AA+</t>
  </si>
  <si>
    <t>703028</t>
  </si>
  <si>
    <t>6.25% Embassy Office Parks Reit 18-Oct-2024</t>
  </si>
  <si>
    <t>INE041007076</t>
  </si>
  <si>
    <t>CRISIL AAA</t>
  </si>
  <si>
    <t>702996</t>
  </si>
  <si>
    <t>6.75% Piramal Capital &amp; Housing Finance Ltd. 26-Sep-2031</t>
  </si>
  <si>
    <t>INE516Y07444</t>
  </si>
  <si>
    <t>[ICRA]AA</t>
  </si>
  <si>
    <t>703915</t>
  </si>
  <si>
    <t>8.50% JM Financial Products Ltd. 16-May-2025</t>
  </si>
  <si>
    <t>INE523H07BV9</t>
  </si>
  <si>
    <t>703945</t>
  </si>
  <si>
    <t>8.44% Hero FinCorp Ltd. 22-Nov-2024</t>
  </si>
  <si>
    <t>INE957N07716</t>
  </si>
  <si>
    <t>704384</t>
  </si>
  <si>
    <t>7.81% Sundaram Home Finance Ltd. 25-Aug-2026</t>
  </si>
  <si>
    <t>INE667F07IN0</t>
  </si>
  <si>
    <t>703784</t>
  </si>
  <si>
    <t>7.13% Power Finance Corporation Ltd. 08-Aug-2025</t>
  </si>
  <si>
    <t>INE134E08LO4</t>
  </si>
  <si>
    <t>704437</t>
  </si>
  <si>
    <t>9.95% Indostar Capital Finance Ltd. 21-Mar-2025</t>
  </si>
  <si>
    <t>INE896L07868</t>
  </si>
  <si>
    <t>CRISIL AA-</t>
  </si>
  <si>
    <t>704277</t>
  </si>
  <si>
    <t>8.43% Muthoot Finance Ltd. 31-Jul-2026</t>
  </si>
  <si>
    <t>INE414G07IG9</t>
  </si>
  <si>
    <t>704286</t>
  </si>
  <si>
    <t>7.50% National Bank for Agriculture and Rural Development 31-Aug-2026</t>
  </si>
  <si>
    <t>INE261F08EA6</t>
  </si>
  <si>
    <t>704121</t>
  </si>
  <si>
    <t>6.50% Tata Capital Housing Finance Ltd. 15-Jun-2026</t>
  </si>
  <si>
    <t>INE033L07HF1</t>
  </si>
  <si>
    <t>703012</t>
  </si>
  <si>
    <t>6.40% Jamnagar Utilities &amp; Power Pvt. Ltd. 29-Sep-2026</t>
  </si>
  <si>
    <t>INE936D07174</t>
  </si>
  <si>
    <t>701313</t>
  </si>
  <si>
    <t>8.37% National Highways Authority of India 20-Jan-2029</t>
  </si>
  <si>
    <t>INE906B07GN5</t>
  </si>
  <si>
    <t>704055</t>
  </si>
  <si>
    <t>8.30% Muthoot Finance Ltd. 06-Jan-2026</t>
  </si>
  <si>
    <t>INE414G07HI7</t>
  </si>
  <si>
    <t>704298</t>
  </si>
  <si>
    <t>7.23% Indian Railway Finance Corporation Ltd. 15-Oct-2026</t>
  </si>
  <si>
    <t>INE053F08304</t>
  </si>
  <si>
    <t>702501</t>
  </si>
  <si>
    <t>6.11% Bharat Petroleum Corporation Ltd. 04-Jul-2025</t>
  </si>
  <si>
    <t>INE029A08065</t>
  </si>
  <si>
    <t>703500</t>
  </si>
  <si>
    <t>6.63% REC Ltd. 28-Jan-2031</t>
  </si>
  <si>
    <t>INE020B08DN0</t>
  </si>
  <si>
    <t>703168</t>
  </si>
  <si>
    <t>8.45% ICICI Bank Ltd. 31-Mar-2025</t>
  </si>
  <si>
    <t>INE090A08TS0</t>
  </si>
  <si>
    <t>[ICRA]AAA</t>
  </si>
  <si>
    <t>702561</t>
  </si>
  <si>
    <t>6.24% State Bank of India 20-Sep-2030 ( Tier II Bond under Basel III )</t>
  </si>
  <si>
    <t>INE062A08256</t>
  </si>
  <si>
    <t>b) Privately Placed/Unlisted</t>
  </si>
  <si>
    <t>c) Securitised Debt Instruments</t>
  </si>
  <si>
    <t>d) Central Government Securities</t>
  </si>
  <si>
    <t>900163</t>
  </si>
  <si>
    <t>5.74% Government of India 15-Nov-2026 (Placed as Margin)</t>
  </si>
  <si>
    <t>IN0020210186</t>
  </si>
  <si>
    <t>Sovereign</t>
  </si>
  <si>
    <t>900145</t>
  </si>
  <si>
    <t>5.22% Government of India 15-Jun-2025</t>
  </si>
  <si>
    <t>IN0020200112</t>
  </si>
  <si>
    <t>e) State Government Securities</t>
  </si>
  <si>
    <t>1904044</t>
  </si>
  <si>
    <t>6.99% State Government of Maharashtra 09-Feb-2029</t>
  </si>
  <si>
    <t>IN2220210289</t>
  </si>
  <si>
    <t>1900314</t>
  </si>
  <si>
    <t>7.18% State Government of Maharashtra 28-Jun-2029</t>
  </si>
  <si>
    <t>IN2220170038</t>
  </si>
  <si>
    <t>1901376</t>
  </si>
  <si>
    <t>6.49% State Government of Gujarat 02-Dec-2029</t>
  </si>
  <si>
    <t>IN1520200222</t>
  </si>
  <si>
    <t>1901691</t>
  </si>
  <si>
    <t>6.91% State Government of Maharashtra 15-Sep-2033</t>
  </si>
  <si>
    <t>IN2220210248</t>
  </si>
  <si>
    <t>MONEY MARKET INSTRUMENTS</t>
  </si>
  <si>
    <t>a) Commercial Paper</t>
  </si>
  <si>
    <t>1009129</t>
  </si>
  <si>
    <t>Motilal Oswal Financial Services Ltd. 23-Aug-2024</t>
  </si>
  <si>
    <t>INE338I14FH6</t>
  </si>
  <si>
    <t>CRISIL A1+</t>
  </si>
  <si>
    <t>b) Certificate of Deposits</t>
  </si>
  <si>
    <t>c) Treasury Bills (Placed as Margin)</t>
  </si>
  <si>
    <t>1800961</t>
  </si>
  <si>
    <t>364 DAY T-BILL 08-Feb-2024</t>
  </si>
  <si>
    <t>IN002022Z457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</si>
  <si>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</si>
  <si>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</si>
  <si>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</si>
  <si>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</si>
  <si>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</si>
  <si>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</si>
  <si>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</si>
  <si>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</si>
  <si>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</si>
  <si>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</si>
  <si>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</si>
  <si>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</si>
  <si>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</si>
  <si>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</si>
  <si>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</si>
  <si>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</si>
  <si>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</si>
  <si>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</si>
  <si>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</si>
  <si>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-0.59% age of net assets</t>
  </si>
  <si>
    <t>For the Month ended October 31, 2023 with regard to hedging transactions through futures which have already been squared off/expired specify:</t>
  </si>
  <si>
    <t>Total Number of contracts where futures were bought : 90</t>
  </si>
  <si>
    <t>Total Number of contracts where futures were sold : 90</t>
  </si>
  <si>
    <t>Gross Notional Value of contracts where futures were bought : 494.01 lacs</t>
  </si>
  <si>
    <t>Gross Notional Value of contracts where futures were sold: 536.50 lacs</t>
  </si>
  <si>
    <t>Net Profit/Loss on all contracts combined : 42.49 lacs</t>
  </si>
  <si>
    <t>Other than Hedging Positions through futures as on October 31, 2023:</t>
  </si>
  <si>
    <t>Number of Contracts</t>
  </si>
  <si>
    <t xml:space="preserve">Long </t>
  </si>
  <si>
    <t>Total Exposure through Futures(other than hedging positions) is 1.10% age of net assets</t>
  </si>
  <si>
    <t>For the Month ended October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</si>
  <si>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</si>
  <si>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144</t>
  </si>
  <si>
    <t>Gross Notional Value of contracts where futures were bought : Nil</t>
  </si>
  <si>
    <t>Gross Notional Value of contracts where futures were sold: 986.75 lacs</t>
  </si>
  <si>
    <t>Net Profit/Loss on all contracts combined : -38.73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</si>
  <si>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</si>
  <si>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</si>
  <si>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</si>
  <si>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</si>
  <si>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</si>
  <si>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</si>
  <si>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</si>
  <si>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</si>
  <si>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</si>
  <si>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</si>
  <si>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</si>
  <si>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</si>
  <si>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</si>
  <si>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</si>
  <si>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</si>
  <si>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</si>
  <si>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</si>
  <si>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</si>
  <si>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month are as follows</t>
  </si>
  <si>
    <t>Individuals/HUF</t>
  </si>
  <si>
    <t>Others</t>
  </si>
  <si>
    <t>(9)  Total outstanding exposure in derivative instruments as on October 31, 2023 is 426.55 Lacs.</t>
  </si>
  <si>
    <t>(10) Total Market value of investments in Foreign Securities/American Depositary Receipts/Global Depositary Receipts as at  October 31, 2023 is Rs. Nil.</t>
  </si>
  <si>
    <t>(11)  During the period, the portfolio turnover ratio is  0.07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</si>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</sst>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Franklin Gothic Book"/>
      <family val="2"/>
    </font>
    <font>
      <sz val="9"/>
      <color theme="1"/>
      <name val="Franklin Gothic Book"/>
      <family val="2"/>
    </font>
    <font>
      <sz val="9"/>
      <name val="Franklin Gothic Book"/>
      <family val="2"/>
    </font>
    <font>
      <b/>
      <sz val="9"/>
      <color theme="1"/>
      <name val="Franklin Gothic Book"/>
      <family val="2"/>
    </font>
    <font>
      <sz val="11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164" fontId="10" fillId="2" borderId="14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0" borderId="15" xfId="0" applyFont="1" applyBorder="1"/>
    <xf numFmtId="0" fontId="10" fillId="2" borderId="16" xfId="0" applyFont="1" applyFill="1" applyBorder="1"/>
    <xf numFmtId="165" fontId="10" fillId="2" borderId="17" xfId="5" applyNumberFormat="1" applyFont="1" applyFill="1" applyBorder="1"/>
    <xf numFmtId="165" fontId="3" fillId="0" borderId="17" xfId="1" applyNumberFormat="1" applyFont="1" applyBorder="1"/>
    <xf numFmtId="164" fontId="6" fillId="0" borderId="18" xfId="1" applyFont="1" applyBorder="1" applyAlignment="1">
      <alignment horizontal="right"/>
    </xf>
    <xf numFmtId="164" fontId="3" fillId="0" borderId="17" xfId="1" applyFont="1" applyBorder="1"/>
    <xf numFmtId="166" fontId="3" fillId="0" borderId="19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4" fillId="3" borderId="13" xfId="0" applyFont="1" applyFill="1" applyBorder="1"/>
    <xf numFmtId="165" fontId="14" fillId="3" borderId="13" xfId="1" applyNumberFormat="1" applyFont="1" applyFill="1" applyBorder="1"/>
    <xf numFmtId="164" fontId="14" fillId="3" borderId="13" xfId="1" applyFont="1" applyFill="1" applyBorder="1" applyAlignment="1"/>
    <xf numFmtId="164" fontId="14" fillId="3" borderId="13" xfId="1" applyFont="1" applyFill="1" applyBorder="1"/>
    <xf numFmtId="164" fontId="13" fillId="4" borderId="0" xfId="1" applyFont="1" applyFill="1"/>
    <xf numFmtId="0" fontId="15" fillId="4" borderId="0" xfId="0" applyFont="1" applyFill="1"/>
    <xf numFmtId="0" fontId="14" fillId="3" borderId="0" xfId="0" applyFont="1" applyFill="1"/>
    <xf numFmtId="0" fontId="14" fillId="0" borderId="0" xfId="0" applyFont="1"/>
    <xf numFmtId="164" fontId="13" fillId="4" borderId="0" xfId="0" applyNumberFormat="1" applyFont="1" applyFill="1"/>
    <xf numFmtId="0" fontId="16" fillId="3" borderId="0" xfId="0" applyFont="1" applyFill="1"/>
    <xf numFmtId="4" fontId="12" fillId="3" borderId="0" xfId="0" applyNumberFormat="1" applyFont="1" applyFill="1"/>
    <xf numFmtId="0" fontId="14" fillId="3" borderId="13" xfId="0" applyFont="1" applyFill="1" applyBorder="1" applyAlignment="1">
      <alignment horizontal="right"/>
    </xf>
    <xf numFmtId="164" fontId="14" fillId="3" borderId="13" xfId="1" applyFont="1" applyFill="1" applyBorder="1" applyAlignment="1">
      <alignment horizontal="right"/>
    </xf>
    <xf numFmtId="0" fontId="12" fillId="3" borderId="0" xfId="0" applyFont="1" applyFill="1" applyAlignment="1">
      <alignment horizontal="center"/>
    </xf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0" fontId="17" fillId="4" borderId="0" xfId="0" applyFont="1" applyFill="1"/>
    <xf numFmtId="4" fontId="17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8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BED97438-D940-4081-A2EE-5A44597ACEA1}"/>
    <cellStyle name="Hyperlink" xfId="2" builtinId="8"/>
    <cellStyle name="Normal" xfId="0" builtinId="0"/>
    <cellStyle name="Normal 2" xfId="4" xr:uid="{878C0750-08FA-4422-AA5B-FC5E0943026E}"/>
    <cellStyle name="Style 1" xfId="3" xr:uid="{E677EC6C-A89F-462C-BA3E-31DC74735F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210</xdr:row>
      <xdr:rowOff>0</xdr:rowOff>
    </xdr:from>
    <xdr:to>
      <xdr:col>5</xdr:col>
      <xdr:colOff>504275</xdr:colOff>
      <xdr:row>225</xdr:row>
      <xdr:rowOff>126323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37D4F8-F241-4E91-8411-9BB9DFD0D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7124640"/>
          <a:ext cx="7453715" cy="2770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320D-DE6D-4F4C-8F5E-61ECC21B2227}">
  <sheetPr codeName="Sheet113"/>
  <dimension ref="A1:BC212"/>
  <sheetViews>
    <sheetView showGridLines="0" tabSelected="1" zoomScale="90" zoomScaleNormal="90" workbookViewId="0">
      <pane ySplit="6" topLeftCell="A204" activePane="bottomLeft" state="frozen"/>
      <selection activeCell="I2" sqref="I2"/>
      <selection pane="bottomLeft" activeCell="I211" sqref="I211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7.88671875" style="7" bestFit="1" customWidth="1"/>
    <col min="7" max="7" width="19.5546875" style="8" customWidth="1"/>
    <col min="8" max="8" width="30.4414062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7.88671875" style="2" bestFit="1" customWidth="1"/>
    <col min="263" max="263" width="19.5546875" style="2" customWidth="1"/>
    <col min="264" max="264" width="30.4414062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7.88671875" style="2" bestFit="1" customWidth="1"/>
    <col min="519" max="519" width="19.5546875" style="2" customWidth="1"/>
    <col min="520" max="520" width="30.4414062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7.88671875" style="2" bestFit="1" customWidth="1"/>
    <col min="775" max="775" width="19.5546875" style="2" customWidth="1"/>
    <col min="776" max="776" width="30.4414062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7.88671875" style="2" bestFit="1" customWidth="1"/>
    <col min="1031" max="1031" width="19.5546875" style="2" customWidth="1"/>
    <col min="1032" max="1032" width="30.4414062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7.88671875" style="2" bestFit="1" customWidth="1"/>
    <col min="1287" max="1287" width="19.5546875" style="2" customWidth="1"/>
    <col min="1288" max="1288" width="30.4414062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7.88671875" style="2" bestFit="1" customWidth="1"/>
    <col min="1543" max="1543" width="19.5546875" style="2" customWidth="1"/>
    <col min="1544" max="1544" width="30.4414062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7.88671875" style="2" bestFit="1" customWidth="1"/>
    <col min="1799" max="1799" width="19.5546875" style="2" customWidth="1"/>
    <col min="1800" max="1800" width="30.4414062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7.88671875" style="2" bestFit="1" customWidth="1"/>
    <col min="2055" max="2055" width="19.5546875" style="2" customWidth="1"/>
    <col min="2056" max="2056" width="30.4414062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7.88671875" style="2" bestFit="1" customWidth="1"/>
    <col min="2311" max="2311" width="19.5546875" style="2" customWidth="1"/>
    <col min="2312" max="2312" width="30.4414062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7.88671875" style="2" bestFit="1" customWidth="1"/>
    <col min="2567" max="2567" width="19.5546875" style="2" customWidth="1"/>
    <col min="2568" max="2568" width="30.4414062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7.88671875" style="2" bestFit="1" customWidth="1"/>
    <col min="2823" max="2823" width="19.5546875" style="2" customWidth="1"/>
    <col min="2824" max="2824" width="30.4414062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7.88671875" style="2" bestFit="1" customWidth="1"/>
    <col min="3079" max="3079" width="19.5546875" style="2" customWidth="1"/>
    <col min="3080" max="3080" width="30.4414062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7.88671875" style="2" bestFit="1" customWidth="1"/>
    <col min="3335" max="3335" width="19.5546875" style="2" customWidth="1"/>
    <col min="3336" max="3336" width="30.4414062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7.88671875" style="2" bestFit="1" customWidth="1"/>
    <col min="3591" max="3591" width="19.5546875" style="2" customWidth="1"/>
    <col min="3592" max="3592" width="30.4414062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7.88671875" style="2" bestFit="1" customWidth="1"/>
    <col min="3847" max="3847" width="19.5546875" style="2" customWidth="1"/>
    <col min="3848" max="3848" width="30.4414062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7.88671875" style="2" bestFit="1" customWidth="1"/>
    <col min="4103" max="4103" width="19.5546875" style="2" customWidth="1"/>
    <col min="4104" max="4104" width="30.4414062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7.88671875" style="2" bestFit="1" customWidth="1"/>
    <col min="4359" max="4359" width="19.5546875" style="2" customWidth="1"/>
    <col min="4360" max="4360" width="30.4414062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7.88671875" style="2" bestFit="1" customWidth="1"/>
    <col min="4615" max="4615" width="19.5546875" style="2" customWidth="1"/>
    <col min="4616" max="4616" width="30.4414062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7.88671875" style="2" bestFit="1" customWidth="1"/>
    <col min="4871" max="4871" width="19.5546875" style="2" customWidth="1"/>
    <col min="4872" max="4872" width="30.4414062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7.88671875" style="2" bestFit="1" customWidth="1"/>
    <col min="5127" max="5127" width="19.5546875" style="2" customWidth="1"/>
    <col min="5128" max="5128" width="30.4414062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7.88671875" style="2" bestFit="1" customWidth="1"/>
    <col min="5383" max="5383" width="19.5546875" style="2" customWidth="1"/>
    <col min="5384" max="5384" width="30.4414062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7.88671875" style="2" bestFit="1" customWidth="1"/>
    <col min="5639" max="5639" width="19.5546875" style="2" customWidth="1"/>
    <col min="5640" max="5640" width="30.4414062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7.88671875" style="2" bestFit="1" customWidth="1"/>
    <col min="5895" max="5895" width="19.5546875" style="2" customWidth="1"/>
    <col min="5896" max="5896" width="30.4414062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7.88671875" style="2" bestFit="1" customWidth="1"/>
    <col min="6151" max="6151" width="19.5546875" style="2" customWidth="1"/>
    <col min="6152" max="6152" width="30.4414062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7.88671875" style="2" bestFit="1" customWidth="1"/>
    <col min="6407" max="6407" width="19.5546875" style="2" customWidth="1"/>
    <col min="6408" max="6408" width="30.4414062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7.88671875" style="2" bestFit="1" customWidth="1"/>
    <col min="6663" max="6663" width="19.5546875" style="2" customWidth="1"/>
    <col min="6664" max="6664" width="30.4414062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7.88671875" style="2" bestFit="1" customWidth="1"/>
    <col min="6919" max="6919" width="19.5546875" style="2" customWidth="1"/>
    <col min="6920" max="6920" width="30.4414062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7.88671875" style="2" bestFit="1" customWidth="1"/>
    <col min="7175" max="7175" width="19.5546875" style="2" customWidth="1"/>
    <col min="7176" max="7176" width="30.4414062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7.88671875" style="2" bestFit="1" customWidth="1"/>
    <col min="7431" max="7431" width="19.5546875" style="2" customWidth="1"/>
    <col min="7432" max="7432" width="30.4414062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7.88671875" style="2" bestFit="1" customWidth="1"/>
    <col min="7687" max="7687" width="19.5546875" style="2" customWidth="1"/>
    <col min="7688" max="7688" width="30.4414062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7.88671875" style="2" bestFit="1" customWidth="1"/>
    <col min="7943" max="7943" width="19.5546875" style="2" customWidth="1"/>
    <col min="7944" max="7944" width="30.4414062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7.88671875" style="2" bestFit="1" customWidth="1"/>
    <col min="8199" max="8199" width="19.5546875" style="2" customWidth="1"/>
    <col min="8200" max="8200" width="30.4414062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7.88671875" style="2" bestFit="1" customWidth="1"/>
    <col min="8455" max="8455" width="19.5546875" style="2" customWidth="1"/>
    <col min="8456" max="8456" width="30.4414062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7.88671875" style="2" bestFit="1" customWidth="1"/>
    <col min="8711" max="8711" width="19.5546875" style="2" customWidth="1"/>
    <col min="8712" max="8712" width="30.4414062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7.88671875" style="2" bestFit="1" customWidth="1"/>
    <col min="8967" max="8967" width="19.5546875" style="2" customWidth="1"/>
    <col min="8968" max="8968" width="30.4414062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7.88671875" style="2" bestFit="1" customWidth="1"/>
    <col min="9223" max="9223" width="19.5546875" style="2" customWidth="1"/>
    <col min="9224" max="9224" width="30.4414062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7.88671875" style="2" bestFit="1" customWidth="1"/>
    <col min="9479" max="9479" width="19.5546875" style="2" customWidth="1"/>
    <col min="9480" max="9480" width="30.4414062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7.88671875" style="2" bestFit="1" customWidth="1"/>
    <col min="9735" max="9735" width="19.5546875" style="2" customWidth="1"/>
    <col min="9736" max="9736" width="30.4414062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7.88671875" style="2" bestFit="1" customWidth="1"/>
    <col min="9991" max="9991" width="19.5546875" style="2" customWidth="1"/>
    <col min="9992" max="9992" width="30.4414062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7.88671875" style="2" bestFit="1" customWidth="1"/>
    <col min="10247" max="10247" width="19.5546875" style="2" customWidth="1"/>
    <col min="10248" max="10248" width="30.4414062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7.88671875" style="2" bestFit="1" customWidth="1"/>
    <col min="10503" max="10503" width="19.5546875" style="2" customWidth="1"/>
    <col min="10504" max="10504" width="30.4414062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7.88671875" style="2" bestFit="1" customWidth="1"/>
    <col min="10759" max="10759" width="19.5546875" style="2" customWidth="1"/>
    <col min="10760" max="10760" width="30.4414062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7.88671875" style="2" bestFit="1" customWidth="1"/>
    <col min="11015" max="11015" width="19.5546875" style="2" customWidth="1"/>
    <col min="11016" max="11016" width="30.4414062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7.88671875" style="2" bestFit="1" customWidth="1"/>
    <col min="11271" max="11271" width="19.5546875" style="2" customWidth="1"/>
    <col min="11272" max="11272" width="30.4414062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7.88671875" style="2" bestFit="1" customWidth="1"/>
    <col min="11527" max="11527" width="19.5546875" style="2" customWidth="1"/>
    <col min="11528" max="11528" width="30.4414062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7.88671875" style="2" bestFit="1" customWidth="1"/>
    <col min="11783" max="11783" width="19.5546875" style="2" customWidth="1"/>
    <col min="11784" max="11784" width="30.4414062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7.88671875" style="2" bestFit="1" customWidth="1"/>
    <col min="12039" max="12039" width="19.5546875" style="2" customWidth="1"/>
    <col min="12040" max="12040" width="30.4414062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7.88671875" style="2" bestFit="1" customWidth="1"/>
    <col min="12295" max="12295" width="19.5546875" style="2" customWidth="1"/>
    <col min="12296" max="12296" width="30.4414062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7.88671875" style="2" bestFit="1" customWidth="1"/>
    <col min="12551" max="12551" width="19.5546875" style="2" customWidth="1"/>
    <col min="12552" max="12552" width="30.4414062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7.88671875" style="2" bestFit="1" customWidth="1"/>
    <col min="12807" max="12807" width="19.5546875" style="2" customWidth="1"/>
    <col min="12808" max="12808" width="30.4414062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7.88671875" style="2" bestFit="1" customWidth="1"/>
    <col min="13063" max="13063" width="19.5546875" style="2" customWidth="1"/>
    <col min="13064" max="13064" width="30.4414062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7.88671875" style="2" bestFit="1" customWidth="1"/>
    <col min="13319" max="13319" width="19.5546875" style="2" customWidth="1"/>
    <col min="13320" max="13320" width="30.4414062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7.88671875" style="2" bestFit="1" customWidth="1"/>
    <col min="13575" max="13575" width="19.5546875" style="2" customWidth="1"/>
    <col min="13576" max="13576" width="30.4414062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7.88671875" style="2" bestFit="1" customWidth="1"/>
    <col min="13831" max="13831" width="19.5546875" style="2" customWidth="1"/>
    <col min="13832" max="13832" width="30.4414062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7.88671875" style="2" bestFit="1" customWidth="1"/>
    <col min="14087" max="14087" width="19.5546875" style="2" customWidth="1"/>
    <col min="14088" max="14088" width="30.4414062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7.88671875" style="2" bestFit="1" customWidth="1"/>
    <col min="14343" max="14343" width="19.5546875" style="2" customWidth="1"/>
    <col min="14344" max="14344" width="30.4414062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7.88671875" style="2" bestFit="1" customWidth="1"/>
    <col min="14599" max="14599" width="19.5546875" style="2" customWidth="1"/>
    <col min="14600" max="14600" width="30.4414062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7.88671875" style="2" bestFit="1" customWidth="1"/>
    <col min="14855" max="14855" width="19.5546875" style="2" customWidth="1"/>
    <col min="14856" max="14856" width="30.4414062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7.88671875" style="2" bestFit="1" customWidth="1"/>
    <col min="15111" max="15111" width="19.5546875" style="2" customWidth="1"/>
    <col min="15112" max="15112" width="30.4414062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7.88671875" style="2" bestFit="1" customWidth="1"/>
    <col min="15367" max="15367" width="19.5546875" style="2" customWidth="1"/>
    <col min="15368" max="15368" width="30.4414062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7.88671875" style="2" bestFit="1" customWidth="1"/>
    <col min="15623" max="15623" width="19.5546875" style="2" customWidth="1"/>
    <col min="15624" max="15624" width="30.4414062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7.88671875" style="2" bestFit="1" customWidth="1"/>
    <col min="15879" max="15879" width="19.5546875" style="2" customWidth="1"/>
    <col min="15880" max="15880" width="30.4414062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7.88671875" style="2" bestFit="1" customWidth="1"/>
    <col min="16135" max="16135" width="19.5546875" style="2" customWidth="1"/>
    <col min="16136" max="16136" width="30.4414062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387000</v>
      </c>
      <c r="G10" s="34">
        <v>5714.06</v>
      </c>
      <c r="H10" s="34">
        <v>6.84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207000</v>
      </c>
      <c r="G11" s="34">
        <v>4735.95</v>
      </c>
      <c r="H11" s="34">
        <v>5.67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19</v>
      </c>
      <c r="F12" s="33">
        <v>504000</v>
      </c>
      <c r="G12" s="34">
        <v>4613.3599999999997</v>
      </c>
      <c r="H12" s="34">
        <v>5.52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144000</v>
      </c>
      <c r="G13" s="34">
        <v>4217.83</v>
      </c>
      <c r="H13" s="34">
        <v>5.05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99000</v>
      </c>
      <c r="G14" s="34">
        <v>3335.06</v>
      </c>
      <c r="H14" s="34">
        <v>3.99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720000</v>
      </c>
      <c r="G15" s="34">
        <v>3084.48</v>
      </c>
      <c r="H15" s="34">
        <v>3.69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34</v>
      </c>
      <c r="F16" s="33">
        <v>180000</v>
      </c>
      <c r="G16" s="34">
        <v>2463.12</v>
      </c>
      <c r="H16" s="34">
        <v>2.95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315000</v>
      </c>
      <c r="G17" s="34">
        <v>1980.25</v>
      </c>
      <c r="H17" s="34">
        <v>2.37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34</v>
      </c>
      <c r="F18" s="33">
        <v>117000</v>
      </c>
      <c r="G18" s="34">
        <v>1492.92</v>
      </c>
      <c r="H18" s="34">
        <v>1.79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7200</v>
      </c>
      <c r="G19" s="34">
        <v>1400.47</v>
      </c>
      <c r="H19" s="34">
        <v>1.68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180000</v>
      </c>
      <c r="G20" s="34">
        <v>1330.02</v>
      </c>
      <c r="H20" s="34">
        <v>1.59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40500</v>
      </c>
      <c r="G21" s="34">
        <v>1268.6600000000001</v>
      </c>
      <c r="H21" s="34">
        <v>1.52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56</v>
      </c>
      <c r="F22" s="33">
        <v>16200</v>
      </c>
      <c r="G22" s="34">
        <v>1213.81</v>
      </c>
      <c r="H22" s="34">
        <v>1.45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63000</v>
      </c>
      <c r="G23" s="34">
        <v>1173.69</v>
      </c>
      <c r="H23" s="34">
        <v>1.41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54000</v>
      </c>
      <c r="G24" s="34">
        <v>1163.54</v>
      </c>
      <c r="H24" s="34">
        <v>1.39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126000</v>
      </c>
      <c r="G25" s="34">
        <v>1152.1400000000001</v>
      </c>
      <c r="H25" s="34">
        <v>1.38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333000</v>
      </c>
      <c r="G26" s="34">
        <v>995.17</v>
      </c>
      <c r="H26" s="34">
        <v>1.19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90000</v>
      </c>
      <c r="G27" s="34">
        <v>979.74</v>
      </c>
      <c r="H27" s="34">
        <v>1.17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87</v>
      </c>
      <c r="F28" s="33">
        <v>252000</v>
      </c>
      <c r="G28" s="34">
        <v>966.17</v>
      </c>
      <c r="H28" s="34">
        <v>1.1599999999999999</v>
      </c>
      <c r="I28" s="35"/>
      <c r="J28" s="35"/>
      <c r="K28" s="36"/>
    </row>
    <row r="29" spans="2:11" x14ac:dyDescent="0.3">
      <c r="B29" s="1" t="s">
        <v>88</v>
      </c>
      <c r="C29" s="21" t="s">
        <v>89</v>
      </c>
      <c r="D29" s="31" t="s">
        <v>90</v>
      </c>
      <c r="E29" s="32" t="s">
        <v>19</v>
      </c>
      <c r="F29" s="33">
        <v>900000</v>
      </c>
      <c r="G29" s="34">
        <v>959.4</v>
      </c>
      <c r="H29" s="34">
        <v>1.1499999999999999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94</v>
      </c>
      <c r="F30" s="33">
        <v>675000</v>
      </c>
      <c r="G30" s="34">
        <v>899.44</v>
      </c>
      <c r="H30" s="34">
        <v>1.08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52</v>
      </c>
      <c r="F31" s="33">
        <v>342000</v>
      </c>
      <c r="G31" s="34">
        <v>873.47</v>
      </c>
      <c r="H31" s="34">
        <v>1.05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101</v>
      </c>
      <c r="F32" s="33">
        <v>63000</v>
      </c>
      <c r="G32" s="34">
        <v>861.75</v>
      </c>
      <c r="H32" s="34">
        <v>1.03</v>
      </c>
      <c r="I32" s="35"/>
      <c r="J32" s="35"/>
      <c r="K32" s="36"/>
    </row>
    <row r="33" spans="2:11" x14ac:dyDescent="0.3">
      <c r="B33" s="1" t="s">
        <v>102</v>
      </c>
      <c r="C33" s="21" t="s">
        <v>103</v>
      </c>
      <c r="D33" s="31" t="s">
        <v>104</v>
      </c>
      <c r="E33" s="32" t="s">
        <v>83</v>
      </c>
      <c r="F33" s="33">
        <v>148500</v>
      </c>
      <c r="G33" s="34">
        <v>851.72</v>
      </c>
      <c r="H33" s="34">
        <v>1.02</v>
      </c>
      <c r="I33" s="35"/>
      <c r="J33" s="35"/>
      <c r="K33" s="36"/>
    </row>
    <row r="34" spans="2:11" x14ac:dyDescent="0.3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45000</v>
      </c>
      <c r="G34" s="34">
        <v>832.84</v>
      </c>
      <c r="H34" s="34">
        <v>1</v>
      </c>
      <c r="I34" s="35"/>
      <c r="J34" s="35"/>
      <c r="K34" s="36"/>
    </row>
    <row r="35" spans="2:11" x14ac:dyDescent="0.3">
      <c r="B35" s="1" t="s">
        <v>109</v>
      </c>
      <c r="C35" s="21" t="s">
        <v>110</v>
      </c>
      <c r="D35" s="31" t="s">
        <v>111</v>
      </c>
      <c r="E35" s="32" t="s">
        <v>52</v>
      </c>
      <c r="F35" s="33">
        <v>180000</v>
      </c>
      <c r="G35" s="34">
        <v>828.27</v>
      </c>
      <c r="H35" s="34">
        <v>0.99</v>
      </c>
      <c r="I35" s="35"/>
      <c r="J35" s="35"/>
      <c r="K35" s="36"/>
    </row>
    <row r="36" spans="2:11" x14ac:dyDescent="0.3">
      <c r="B36" s="1" t="s">
        <v>112</v>
      </c>
      <c r="C36" s="21" t="s">
        <v>113</v>
      </c>
      <c r="D36" s="31" t="s">
        <v>114</v>
      </c>
      <c r="E36" s="32" t="s">
        <v>19</v>
      </c>
      <c r="F36" s="33">
        <v>45000</v>
      </c>
      <c r="G36" s="34">
        <v>782.73</v>
      </c>
      <c r="H36" s="34">
        <v>0.94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54000</v>
      </c>
      <c r="G37" s="34">
        <v>687.53</v>
      </c>
      <c r="H37" s="34">
        <v>0.82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118</v>
      </c>
      <c r="F38" s="33">
        <v>36000</v>
      </c>
      <c r="G38" s="34">
        <v>679.21</v>
      </c>
      <c r="H38" s="34">
        <v>0.81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52</v>
      </c>
      <c r="F39" s="33">
        <v>477000</v>
      </c>
      <c r="G39" s="34">
        <v>659.93</v>
      </c>
      <c r="H39" s="34">
        <v>0.79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128</v>
      </c>
      <c r="F40" s="33">
        <v>72000</v>
      </c>
      <c r="G40" s="34">
        <v>656.64</v>
      </c>
      <c r="H40" s="34">
        <v>0.79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15300</v>
      </c>
      <c r="G41" s="34">
        <v>633.89</v>
      </c>
      <c r="H41" s="34">
        <v>0.76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45</v>
      </c>
      <c r="F42" s="33">
        <v>18000</v>
      </c>
      <c r="G42" s="34">
        <v>555.9</v>
      </c>
      <c r="H42" s="34">
        <v>0.67</v>
      </c>
      <c r="I42" s="35"/>
      <c r="J42" s="35"/>
      <c r="K42" s="36"/>
    </row>
    <row r="43" spans="2:11" x14ac:dyDescent="0.3">
      <c r="B43" s="1" t="s">
        <v>136</v>
      </c>
      <c r="C43" s="21" t="s">
        <v>137</v>
      </c>
      <c r="D43" s="31" t="s">
        <v>138</v>
      </c>
      <c r="E43" s="32" t="s">
        <v>56</v>
      </c>
      <c r="F43" s="33">
        <v>243000</v>
      </c>
      <c r="G43" s="34">
        <v>532.16999999999996</v>
      </c>
      <c r="H43" s="34">
        <v>0.64</v>
      </c>
      <c r="I43" s="35"/>
      <c r="J43" s="35"/>
      <c r="K43" s="36"/>
    </row>
    <row r="44" spans="2:11" x14ac:dyDescent="0.3">
      <c r="B44" s="1" t="s">
        <v>139</v>
      </c>
      <c r="C44" s="21" t="s">
        <v>140</v>
      </c>
      <c r="D44" s="31" t="s">
        <v>141</v>
      </c>
      <c r="E44" s="32" t="s">
        <v>101</v>
      </c>
      <c r="F44" s="33">
        <v>90000</v>
      </c>
      <c r="G44" s="34">
        <v>472.73</v>
      </c>
      <c r="H44" s="34">
        <v>0.56999999999999995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145</v>
      </c>
      <c r="F45" s="33">
        <v>360000</v>
      </c>
      <c r="G45" s="34">
        <v>430.2</v>
      </c>
      <c r="H45" s="34">
        <v>0.52</v>
      </c>
      <c r="I45" s="35"/>
      <c r="J45" s="35"/>
      <c r="K45" s="36"/>
    </row>
    <row r="46" spans="2:11" x14ac:dyDescent="0.3">
      <c r="B46" s="1" t="s">
        <v>146</v>
      </c>
      <c r="C46" s="21" t="s">
        <v>147</v>
      </c>
      <c r="D46" s="31" t="s">
        <v>148</v>
      </c>
      <c r="E46" s="32" t="s">
        <v>34</v>
      </c>
      <c r="F46" s="33">
        <v>19800</v>
      </c>
      <c r="G46" s="34">
        <v>420.43</v>
      </c>
      <c r="H46" s="34">
        <v>0.5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145</v>
      </c>
      <c r="F47" s="33">
        <v>45000</v>
      </c>
      <c r="G47" s="34">
        <v>120.38</v>
      </c>
      <c r="H47" s="34">
        <v>0.14000000000000001</v>
      </c>
      <c r="I47" s="35"/>
      <c r="J47" s="35"/>
      <c r="K47" s="36"/>
    </row>
    <row r="48" spans="2:11" x14ac:dyDescent="0.3">
      <c r="C48" s="30" t="s">
        <v>152</v>
      </c>
      <c r="D48" s="31"/>
      <c r="E48" s="32"/>
      <c r="F48" s="33"/>
      <c r="G48" s="38">
        <v>56019.07</v>
      </c>
      <c r="H48" s="38">
        <v>67.080000000000013</v>
      </c>
      <c r="I48" s="35"/>
      <c r="J48" s="35"/>
      <c r="K48" s="36"/>
    </row>
    <row r="49" spans="2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2:11" x14ac:dyDescent="0.3">
      <c r="C50" s="30" t="s">
        <v>153</v>
      </c>
      <c r="D50" s="31"/>
      <c r="E50" s="32"/>
      <c r="F50" s="33"/>
      <c r="G50" s="34" t="s">
        <v>154</v>
      </c>
      <c r="H50" s="34" t="s">
        <v>154</v>
      </c>
      <c r="I50" s="35"/>
      <c r="J50" s="35"/>
      <c r="K50" s="36"/>
    </row>
    <row r="51" spans="2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C52" s="30" t="s">
        <v>155</v>
      </c>
      <c r="D52" s="31"/>
      <c r="E52" s="32"/>
      <c r="F52" s="33"/>
      <c r="G52" s="34" t="s">
        <v>154</v>
      </c>
      <c r="H52" s="34" t="s">
        <v>154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0" t="s">
        <v>156</v>
      </c>
      <c r="D54" s="31"/>
      <c r="E54" s="32"/>
      <c r="F54" s="33"/>
      <c r="G54" s="34"/>
      <c r="H54" s="34"/>
      <c r="I54" s="35"/>
      <c r="J54" s="35"/>
      <c r="K54" s="36"/>
    </row>
    <row r="55" spans="2:11" x14ac:dyDescent="0.3">
      <c r="C55" s="21" t="s">
        <v>157</v>
      </c>
      <c r="D55" s="31" t="s">
        <v>158</v>
      </c>
      <c r="E55" s="32" t="s">
        <v>56</v>
      </c>
      <c r="F55" s="33">
        <v>500</v>
      </c>
      <c r="G55" s="34">
        <v>476.86</v>
      </c>
      <c r="H55" s="34">
        <v>0.56999999999999995</v>
      </c>
      <c r="I55" s="35">
        <v>8.35</v>
      </c>
      <c r="J55" s="35"/>
      <c r="K55" s="36" t="s">
        <v>159</v>
      </c>
    </row>
    <row r="56" spans="2:11" x14ac:dyDescent="0.3">
      <c r="C56" s="30" t="s">
        <v>152</v>
      </c>
      <c r="D56" s="31"/>
      <c r="E56" s="32"/>
      <c r="F56" s="33"/>
      <c r="G56" s="38">
        <f>+G55</f>
        <v>476.86</v>
      </c>
      <c r="H56" s="38">
        <f>+H55</f>
        <v>0.56999999999999995</v>
      </c>
      <c r="I56" s="35"/>
      <c r="J56" s="35"/>
      <c r="K56" s="36"/>
    </row>
    <row r="57" spans="2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2:11" x14ac:dyDescent="0.3">
      <c r="C58" s="37" t="s">
        <v>160</v>
      </c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B59" s="1" t="s">
        <v>161</v>
      </c>
      <c r="C59" s="21" t="s">
        <v>162</v>
      </c>
      <c r="D59" s="31" t="s">
        <v>163</v>
      </c>
      <c r="E59" s="32" t="s">
        <v>164</v>
      </c>
      <c r="F59" s="33">
        <v>500000</v>
      </c>
      <c r="G59" s="34">
        <v>508.75</v>
      </c>
      <c r="H59" s="34">
        <v>0.61</v>
      </c>
      <c r="I59" s="35"/>
      <c r="J59" s="35"/>
      <c r="K59" s="36"/>
    </row>
    <row r="60" spans="2:11" x14ac:dyDescent="0.3">
      <c r="C60" s="30" t="s">
        <v>152</v>
      </c>
      <c r="D60" s="31"/>
      <c r="E60" s="32"/>
      <c r="F60" s="33"/>
      <c r="G60" s="38">
        <v>508.75</v>
      </c>
      <c r="H60" s="38">
        <v>0.61</v>
      </c>
      <c r="I60" s="35"/>
      <c r="J60" s="35"/>
      <c r="K60" s="36"/>
    </row>
    <row r="61" spans="2:11" x14ac:dyDescent="0.3">
      <c r="C61" s="30"/>
      <c r="D61" s="31"/>
      <c r="E61" s="32"/>
      <c r="F61" s="33"/>
      <c r="G61" s="39"/>
      <c r="H61" s="39"/>
      <c r="I61" s="35"/>
      <c r="J61" s="35"/>
      <c r="K61" s="36"/>
    </row>
    <row r="62" spans="2:11" x14ac:dyDescent="0.3">
      <c r="C62" s="37" t="s">
        <v>165</v>
      </c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B63" s="1" t="s">
        <v>166</v>
      </c>
      <c r="C63" s="21" t="s">
        <v>167</v>
      </c>
      <c r="D63" s="31" t="s">
        <v>168</v>
      </c>
      <c r="E63" s="32"/>
      <c r="F63" s="33">
        <v>198020</v>
      </c>
      <c r="G63" s="34">
        <v>481.84</v>
      </c>
      <c r="H63" s="34">
        <v>0.57999999999999996</v>
      </c>
      <c r="I63" s="35"/>
      <c r="J63" s="35"/>
      <c r="K63" s="36"/>
    </row>
    <row r="64" spans="2:11" x14ac:dyDescent="0.3">
      <c r="B64" s="1" t="s">
        <v>169</v>
      </c>
      <c r="C64" s="21" t="s">
        <v>170</v>
      </c>
      <c r="D64" s="31" t="s">
        <v>171</v>
      </c>
      <c r="E64" s="32"/>
      <c r="F64" s="33">
        <v>90000</v>
      </c>
      <c r="G64" s="34">
        <v>280.49</v>
      </c>
      <c r="H64" s="34">
        <v>0.34</v>
      </c>
      <c r="I64" s="35"/>
      <c r="J64" s="35"/>
      <c r="K64" s="36"/>
    </row>
    <row r="65" spans="1:11" x14ac:dyDescent="0.3">
      <c r="C65" s="30" t="s">
        <v>152</v>
      </c>
      <c r="D65" s="31"/>
      <c r="E65" s="32"/>
      <c r="F65" s="33"/>
      <c r="G65" s="38">
        <v>762.33</v>
      </c>
      <c r="H65" s="38">
        <v>0.92</v>
      </c>
      <c r="I65" s="35"/>
      <c r="J65" s="35"/>
      <c r="K65" s="36"/>
    </row>
    <row r="66" spans="1:11" x14ac:dyDescent="0.3">
      <c r="C66" s="30"/>
      <c r="D66" s="31"/>
      <c r="E66" s="32"/>
      <c r="F66" s="33"/>
      <c r="G66" s="39"/>
      <c r="H66" s="39"/>
      <c r="I66" s="35"/>
      <c r="J66" s="35"/>
      <c r="K66" s="36"/>
    </row>
    <row r="67" spans="1:11" x14ac:dyDescent="0.3">
      <c r="C67" s="37" t="s">
        <v>172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B68" s="1" t="s">
        <v>173</v>
      </c>
      <c r="C68" s="21" t="s">
        <v>40</v>
      </c>
      <c r="D68" s="31" t="s">
        <v>174</v>
      </c>
      <c r="E68" s="32" t="s">
        <v>34</v>
      </c>
      <c r="F68" s="33">
        <v>-36000</v>
      </c>
      <c r="G68" s="34">
        <v>-494.69</v>
      </c>
      <c r="H68" s="34">
        <v>-0.59</v>
      </c>
      <c r="I68" s="35"/>
      <c r="J68" s="35"/>
      <c r="K68" s="36"/>
    </row>
    <row r="69" spans="1:11" x14ac:dyDescent="0.3">
      <c r="B69" s="1" t="s">
        <v>175</v>
      </c>
      <c r="C69" s="21" t="s">
        <v>176</v>
      </c>
      <c r="D69" s="31" t="s">
        <v>177</v>
      </c>
      <c r="E69" s="32" t="s">
        <v>19</v>
      </c>
      <c r="F69" s="33">
        <v>27000</v>
      </c>
      <c r="G69" s="34">
        <v>390.54</v>
      </c>
      <c r="H69" s="34">
        <v>0.47</v>
      </c>
      <c r="I69" s="35"/>
      <c r="J69" s="35"/>
      <c r="K69" s="36"/>
    </row>
    <row r="70" spans="1:11" x14ac:dyDescent="0.3">
      <c r="B70" s="1" t="s">
        <v>178</v>
      </c>
      <c r="C70" s="21" t="s">
        <v>179</v>
      </c>
      <c r="D70" s="31" t="s">
        <v>177</v>
      </c>
      <c r="E70" s="32" t="s">
        <v>180</v>
      </c>
      <c r="F70" s="33">
        <v>32967</v>
      </c>
      <c r="G70" s="34">
        <v>530.70000000000005</v>
      </c>
      <c r="H70" s="34">
        <v>0.64</v>
      </c>
      <c r="I70" s="35"/>
      <c r="J70" s="35"/>
      <c r="K70" s="36"/>
    </row>
    <row r="71" spans="1:11" x14ac:dyDescent="0.3">
      <c r="C71" s="30" t="s">
        <v>181</v>
      </c>
      <c r="D71" s="31"/>
      <c r="E71" s="32"/>
      <c r="F71" s="33"/>
      <c r="G71" s="38">
        <v>426.55</v>
      </c>
      <c r="H71" s="38">
        <v>0.52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182</v>
      </c>
      <c r="D73" s="31"/>
      <c r="E73" s="32"/>
      <c r="F73" s="33"/>
      <c r="G73" s="34" t="s">
        <v>154</v>
      </c>
      <c r="H73" s="34" t="s">
        <v>154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8"/>
      <c r="B75" s="29"/>
      <c r="C75" s="30" t="s">
        <v>183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7" t="s">
        <v>184</v>
      </c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B77" s="1" t="s">
        <v>185</v>
      </c>
      <c r="C77" s="21" t="s">
        <v>186</v>
      </c>
      <c r="D77" s="31" t="s">
        <v>187</v>
      </c>
      <c r="E77" s="32" t="s">
        <v>188</v>
      </c>
      <c r="F77" s="33">
        <v>1500</v>
      </c>
      <c r="G77" s="34">
        <v>1494.42</v>
      </c>
      <c r="H77" s="34">
        <v>1.79</v>
      </c>
      <c r="I77" s="35">
        <v>8.6562999999999999</v>
      </c>
      <c r="J77" s="35"/>
      <c r="K77" s="36" t="s">
        <v>159</v>
      </c>
    </row>
    <row r="78" spans="1:11" x14ac:dyDescent="0.3">
      <c r="B78" s="1" t="s">
        <v>189</v>
      </c>
      <c r="C78" s="21" t="s">
        <v>190</v>
      </c>
      <c r="D78" s="31" t="s">
        <v>191</v>
      </c>
      <c r="E78" s="32" t="s">
        <v>192</v>
      </c>
      <c r="F78" s="33">
        <v>150</v>
      </c>
      <c r="G78" s="34">
        <v>1479.13</v>
      </c>
      <c r="H78" s="34">
        <v>1.77</v>
      </c>
      <c r="I78" s="35">
        <v>7.9896000000000003</v>
      </c>
      <c r="J78" s="35"/>
      <c r="K78" s="36" t="s">
        <v>159</v>
      </c>
    </row>
    <row r="79" spans="1:11" x14ac:dyDescent="0.3">
      <c r="B79" s="1" t="s">
        <v>193</v>
      </c>
      <c r="C79" s="21" t="s">
        <v>194</v>
      </c>
      <c r="D79" s="31" t="s">
        <v>195</v>
      </c>
      <c r="E79" s="32" t="s">
        <v>196</v>
      </c>
      <c r="F79" s="33">
        <v>188000</v>
      </c>
      <c r="G79" s="34">
        <v>1449.97</v>
      </c>
      <c r="H79" s="34">
        <v>1.74</v>
      </c>
      <c r="I79" s="35">
        <v>10.935499999999999</v>
      </c>
      <c r="J79" s="35"/>
      <c r="K79" s="36" t="s">
        <v>159</v>
      </c>
    </row>
    <row r="80" spans="1:11" x14ac:dyDescent="0.3">
      <c r="B80" s="1" t="s">
        <v>197</v>
      </c>
      <c r="C80" s="21" t="s">
        <v>198</v>
      </c>
      <c r="D80" s="31" t="s">
        <v>199</v>
      </c>
      <c r="E80" s="32" t="s">
        <v>196</v>
      </c>
      <c r="F80" s="33">
        <v>130</v>
      </c>
      <c r="G80" s="34">
        <v>1283.42</v>
      </c>
      <c r="H80" s="34">
        <v>1.54</v>
      </c>
      <c r="I80" s="35">
        <v>9.4803999999999995</v>
      </c>
      <c r="J80" s="35"/>
      <c r="K80" s="36" t="s">
        <v>159</v>
      </c>
    </row>
    <row r="81" spans="2:11" x14ac:dyDescent="0.3">
      <c r="B81" s="1" t="s">
        <v>200</v>
      </c>
      <c r="C81" s="21" t="s">
        <v>201</v>
      </c>
      <c r="D81" s="31" t="s">
        <v>202</v>
      </c>
      <c r="E81" s="32" t="s">
        <v>188</v>
      </c>
      <c r="F81" s="33">
        <v>100</v>
      </c>
      <c r="G81" s="34">
        <v>998.31</v>
      </c>
      <c r="H81" s="34">
        <v>1.2</v>
      </c>
      <c r="I81" s="35">
        <v>8.5946999999999996</v>
      </c>
      <c r="J81" s="35"/>
      <c r="K81" s="36" t="s">
        <v>159</v>
      </c>
    </row>
    <row r="82" spans="2:11" x14ac:dyDescent="0.3">
      <c r="B82" s="1" t="s">
        <v>203</v>
      </c>
      <c r="C82" s="21" t="s">
        <v>204</v>
      </c>
      <c r="D82" s="31" t="s">
        <v>205</v>
      </c>
      <c r="E82" s="32" t="s">
        <v>192</v>
      </c>
      <c r="F82" s="33">
        <v>1000</v>
      </c>
      <c r="G82" s="34">
        <v>995.9</v>
      </c>
      <c r="H82" s="34">
        <v>1.19</v>
      </c>
      <c r="I82" s="35">
        <v>7.96</v>
      </c>
      <c r="J82" s="35"/>
      <c r="K82" s="36" t="s">
        <v>159</v>
      </c>
    </row>
    <row r="83" spans="2:11" x14ac:dyDescent="0.3">
      <c r="B83" s="1" t="s">
        <v>206</v>
      </c>
      <c r="C83" s="21" t="s">
        <v>207</v>
      </c>
      <c r="D83" s="31" t="s">
        <v>208</v>
      </c>
      <c r="E83" s="32" t="s">
        <v>192</v>
      </c>
      <c r="F83" s="33">
        <v>100</v>
      </c>
      <c r="G83" s="34">
        <v>989.18</v>
      </c>
      <c r="H83" s="34">
        <v>1.18</v>
      </c>
      <c r="I83" s="35">
        <v>7.78</v>
      </c>
      <c r="J83" s="35"/>
      <c r="K83" s="36" t="s">
        <v>159</v>
      </c>
    </row>
    <row r="84" spans="2:11" x14ac:dyDescent="0.3">
      <c r="B84" s="1" t="s">
        <v>209</v>
      </c>
      <c r="C84" s="21" t="s">
        <v>210</v>
      </c>
      <c r="D84" s="31" t="s">
        <v>211</v>
      </c>
      <c r="E84" s="32" t="s">
        <v>212</v>
      </c>
      <c r="F84" s="33">
        <v>700</v>
      </c>
      <c r="G84" s="34">
        <v>696.28</v>
      </c>
      <c r="H84" s="34">
        <v>0.83</v>
      </c>
      <c r="I84" s="35">
        <v>10.777799999999999</v>
      </c>
      <c r="J84" s="35"/>
      <c r="K84" s="36" t="s">
        <v>159</v>
      </c>
    </row>
    <row r="85" spans="2:11" x14ac:dyDescent="0.3">
      <c r="B85" s="1" t="s">
        <v>213</v>
      </c>
      <c r="C85" s="21" t="s">
        <v>214</v>
      </c>
      <c r="D85" s="31" t="s">
        <v>215</v>
      </c>
      <c r="E85" s="32" t="s">
        <v>188</v>
      </c>
      <c r="F85" s="33">
        <v>700</v>
      </c>
      <c r="G85" s="34">
        <v>695.81</v>
      </c>
      <c r="H85" s="34">
        <v>0.83</v>
      </c>
      <c r="I85" s="35">
        <v>8.6562000000000001</v>
      </c>
      <c r="J85" s="35"/>
      <c r="K85" s="36" t="s">
        <v>159</v>
      </c>
    </row>
    <row r="86" spans="2:11" x14ac:dyDescent="0.3">
      <c r="B86" s="1" t="s">
        <v>216</v>
      </c>
      <c r="C86" s="21" t="s">
        <v>217</v>
      </c>
      <c r="D86" s="31" t="s">
        <v>218</v>
      </c>
      <c r="E86" s="32" t="s">
        <v>192</v>
      </c>
      <c r="F86" s="33">
        <v>700</v>
      </c>
      <c r="G86" s="34">
        <v>695</v>
      </c>
      <c r="H86" s="34">
        <v>0.83</v>
      </c>
      <c r="I86" s="35">
        <v>7.7750000000000004</v>
      </c>
      <c r="J86" s="35"/>
      <c r="K86" s="36"/>
    </row>
    <row r="87" spans="2:11" x14ac:dyDescent="0.3">
      <c r="B87" s="1" t="s">
        <v>219</v>
      </c>
      <c r="C87" s="21" t="s">
        <v>220</v>
      </c>
      <c r="D87" s="31" t="s">
        <v>221</v>
      </c>
      <c r="E87" s="32" t="s">
        <v>192</v>
      </c>
      <c r="F87" s="33">
        <v>70</v>
      </c>
      <c r="G87" s="34">
        <v>674.84</v>
      </c>
      <c r="H87" s="34">
        <v>0.81</v>
      </c>
      <c r="I87" s="35">
        <v>8.0500000000000007</v>
      </c>
      <c r="J87" s="35"/>
      <c r="K87" s="36"/>
    </row>
    <row r="88" spans="2:11" x14ac:dyDescent="0.3">
      <c r="B88" s="1" t="s">
        <v>222</v>
      </c>
      <c r="C88" s="21" t="s">
        <v>223</v>
      </c>
      <c r="D88" s="31" t="s">
        <v>224</v>
      </c>
      <c r="E88" s="32" t="s">
        <v>192</v>
      </c>
      <c r="F88" s="33">
        <v>70</v>
      </c>
      <c r="G88" s="34">
        <v>672.63</v>
      </c>
      <c r="H88" s="34">
        <v>0.81</v>
      </c>
      <c r="I88" s="35">
        <v>7.95</v>
      </c>
      <c r="J88" s="35"/>
      <c r="K88" s="36"/>
    </row>
    <row r="89" spans="2:11" x14ac:dyDescent="0.3">
      <c r="B89" s="1" t="s">
        <v>225</v>
      </c>
      <c r="C89" s="21" t="s">
        <v>226</v>
      </c>
      <c r="D89" s="31" t="s">
        <v>227</v>
      </c>
      <c r="E89" s="32" t="s">
        <v>192</v>
      </c>
      <c r="F89" s="33">
        <v>50</v>
      </c>
      <c r="G89" s="34">
        <v>514.91999999999996</v>
      </c>
      <c r="H89" s="34">
        <v>0.62</v>
      </c>
      <c r="I89" s="35">
        <v>7.6425000000000001</v>
      </c>
      <c r="J89" s="35"/>
      <c r="K89" s="36" t="s">
        <v>159</v>
      </c>
    </row>
    <row r="90" spans="2:11" x14ac:dyDescent="0.3">
      <c r="B90" s="1" t="s">
        <v>228</v>
      </c>
      <c r="C90" s="21" t="s">
        <v>229</v>
      </c>
      <c r="D90" s="31" t="s">
        <v>230</v>
      </c>
      <c r="E90" s="32" t="s">
        <v>188</v>
      </c>
      <c r="F90" s="33">
        <v>50</v>
      </c>
      <c r="G90" s="34">
        <v>496.34</v>
      </c>
      <c r="H90" s="34">
        <v>0.59</v>
      </c>
      <c r="I90" s="35">
        <v>8.6562999999999999</v>
      </c>
      <c r="J90" s="35"/>
      <c r="K90" s="36" t="s">
        <v>159</v>
      </c>
    </row>
    <row r="91" spans="2:11" x14ac:dyDescent="0.3">
      <c r="B91" s="1" t="s">
        <v>231</v>
      </c>
      <c r="C91" s="21" t="s">
        <v>232</v>
      </c>
      <c r="D91" s="31" t="s">
        <v>233</v>
      </c>
      <c r="E91" s="32" t="s">
        <v>192</v>
      </c>
      <c r="F91" s="33">
        <v>500</v>
      </c>
      <c r="G91" s="34">
        <v>494.57</v>
      </c>
      <c r="H91" s="34">
        <v>0.59</v>
      </c>
      <c r="I91" s="35">
        <v>7.66</v>
      </c>
      <c r="J91" s="35"/>
      <c r="K91" s="36" t="s">
        <v>159</v>
      </c>
    </row>
    <row r="92" spans="2:11" x14ac:dyDescent="0.3">
      <c r="B92" s="1" t="s">
        <v>234</v>
      </c>
      <c r="C92" s="21" t="s">
        <v>235</v>
      </c>
      <c r="D92" s="31" t="s">
        <v>236</v>
      </c>
      <c r="E92" s="32" t="s">
        <v>192</v>
      </c>
      <c r="F92" s="33">
        <v>35</v>
      </c>
      <c r="G92" s="34">
        <v>341.24</v>
      </c>
      <c r="H92" s="34">
        <v>0.41</v>
      </c>
      <c r="I92" s="35">
        <v>7.73</v>
      </c>
      <c r="J92" s="35"/>
      <c r="K92" s="36" t="s">
        <v>159</v>
      </c>
    </row>
    <row r="93" spans="2:11" x14ac:dyDescent="0.3">
      <c r="B93" s="1" t="s">
        <v>237</v>
      </c>
      <c r="C93" s="21" t="s">
        <v>238</v>
      </c>
      <c r="D93" s="31" t="s">
        <v>239</v>
      </c>
      <c r="E93" s="32" t="s">
        <v>192</v>
      </c>
      <c r="F93" s="33">
        <v>30</v>
      </c>
      <c r="G93" s="34">
        <v>283.85000000000002</v>
      </c>
      <c r="H93" s="34">
        <v>0.34</v>
      </c>
      <c r="I93" s="35">
        <v>7.7481999999999998</v>
      </c>
      <c r="J93" s="35"/>
      <c r="K93" s="36" t="s">
        <v>159</v>
      </c>
    </row>
    <row r="94" spans="2:11" x14ac:dyDescent="0.3">
      <c r="B94" s="1" t="s">
        <v>240</v>
      </c>
      <c r="C94" s="21" t="s">
        <v>241</v>
      </c>
      <c r="D94" s="31" t="s">
        <v>242</v>
      </c>
      <c r="E94" s="32" t="s">
        <v>243</v>
      </c>
      <c r="F94" s="33">
        <v>25</v>
      </c>
      <c r="G94" s="34">
        <v>251.81</v>
      </c>
      <c r="H94" s="34">
        <v>0.3</v>
      </c>
      <c r="I94" s="35">
        <v>7.8300999999999998</v>
      </c>
      <c r="J94" s="35"/>
      <c r="K94" s="36" t="s">
        <v>159</v>
      </c>
    </row>
    <row r="95" spans="2:11" x14ac:dyDescent="0.3">
      <c r="B95" s="1" t="s">
        <v>244</v>
      </c>
      <c r="C95" s="21" t="s">
        <v>245</v>
      </c>
      <c r="D95" s="31" t="s">
        <v>246</v>
      </c>
      <c r="E95" s="32" t="s">
        <v>192</v>
      </c>
      <c r="F95" s="33">
        <v>20</v>
      </c>
      <c r="G95" s="34">
        <v>193.52</v>
      </c>
      <c r="H95" s="34">
        <v>0.23</v>
      </c>
      <c r="I95" s="35">
        <v>6.8418000000000001</v>
      </c>
      <c r="J95" s="35">
        <v>8.1515407103499999</v>
      </c>
      <c r="K95" s="36"/>
    </row>
    <row r="96" spans="2:11" x14ac:dyDescent="0.3">
      <c r="C96" s="30" t="s">
        <v>152</v>
      </c>
      <c r="D96" s="31"/>
      <c r="E96" s="32"/>
      <c r="F96" s="33"/>
      <c r="G96" s="38">
        <v>14701.14</v>
      </c>
      <c r="H96" s="38">
        <v>17.600000000000001</v>
      </c>
      <c r="I96" s="35"/>
      <c r="J96" s="35"/>
      <c r="K96" s="36"/>
    </row>
    <row r="97" spans="2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2:11" x14ac:dyDescent="0.3">
      <c r="C98" s="30" t="s">
        <v>247</v>
      </c>
      <c r="D98" s="31"/>
      <c r="E98" s="32"/>
      <c r="F98" s="33"/>
      <c r="G98" s="34" t="s">
        <v>154</v>
      </c>
      <c r="H98" s="34" t="s">
        <v>154</v>
      </c>
      <c r="I98" s="35"/>
      <c r="J98" s="35"/>
      <c r="K98" s="36"/>
    </row>
    <row r="99" spans="2:11" x14ac:dyDescent="0.3">
      <c r="C99" s="21"/>
      <c r="D99" s="31"/>
      <c r="E99" s="32"/>
      <c r="F99" s="33"/>
      <c r="G99" s="34"/>
      <c r="H99" s="34"/>
      <c r="I99" s="35"/>
      <c r="J99" s="35"/>
      <c r="K99" s="36"/>
    </row>
    <row r="100" spans="2:11" x14ac:dyDescent="0.3">
      <c r="C100" s="30" t="s">
        <v>248</v>
      </c>
      <c r="D100" s="31"/>
      <c r="E100" s="32"/>
      <c r="F100" s="33"/>
      <c r="G100" s="34" t="s">
        <v>154</v>
      </c>
      <c r="H100" s="34" t="s">
        <v>154</v>
      </c>
      <c r="I100" s="35"/>
      <c r="J100" s="35"/>
      <c r="K100" s="36"/>
    </row>
    <row r="101" spans="2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2:11" x14ac:dyDescent="0.3">
      <c r="C102" s="37" t="s">
        <v>249</v>
      </c>
      <c r="D102" s="31"/>
      <c r="E102" s="32"/>
      <c r="F102" s="33"/>
      <c r="G102" s="34"/>
      <c r="H102" s="34"/>
      <c r="I102" s="35"/>
      <c r="J102" s="35"/>
      <c r="K102" s="36"/>
    </row>
    <row r="103" spans="2:11" x14ac:dyDescent="0.3">
      <c r="B103" s="1" t="s">
        <v>250</v>
      </c>
      <c r="C103" s="21" t="s">
        <v>251</v>
      </c>
      <c r="D103" s="31" t="s">
        <v>252</v>
      </c>
      <c r="E103" s="32" t="s">
        <v>253</v>
      </c>
      <c r="F103" s="33">
        <v>1000000</v>
      </c>
      <c r="G103" s="34">
        <v>957.08</v>
      </c>
      <c r="H103" s="34">
        <v>1.1499999999999999</v>
      </c>
      <c r="I103" s="35">
        <v>7.4747963000000004</v>
      </c>
      <c r="J103" s="35"/>
      <c r="K103" s="36"/>
    </row>
    <row r="104" spans="2:11" x14ac:dyDescent="0.3">
      <c r="B104" s="1" t="s">
        <v>254</v>
      </c>
      <c r="C104" s="21" t="s">
        <v>255</v>
      </c>
      <c r="D104" s="31" t="s">
        <v>256</v>
      </c>
      <c r="E104" s="32" t="s">
        <v>253</v>
      </c>
      <c r="F104" s="33">
        <v>602000</v>
      </c>
      <c r="G104" s="34">
        <v>582.83000000000004</v>
      </c>
      <c r="H104" s="34">
        <v>0.7</v>
      </c>
      <c r="I104" s="35">
        <v>7.4668051000000002</v>
      </c>
      <c r="J104" s="35"/>
      <c r="K104" s="36"/>
    </row>
    <row r="105" spans="2:11" x14ac:dyDescent="0.3">
      <c r="C105" s="30" t="s">
        <v>152</v>
      </c>
      <c r="D105" s="31"/>
      <c r="E105" s="32"/>
      <c r="F105" s="33"/>
      <c r="G105" s="38">
        <v>1539.91</v>
      </c>
      <c r="H105" s="38">
        <v>1.85</v>
      </c>
      <c r="I105" s="35"/>
      <c r="J105" s="35"/>
      <c r="K105" s="36"/>
    </row>
    <row r="106" spans="2:11" x14ac:dyDescent="0.3">
      <c r="C106" s="21"/>
      <c r="D106" s="31"/>
      <c r="E106" s="32"/>
      <c r="F106" s="33"/>
      <c r="G106" s="34"/>
      <c r="H106" s="34"/>
      <c r="I106" s="35"/>
      <c r="J106" s="35"/>
      <c r="K106" s="36"/>
    </row>
    <row r="107" spans="2:11" x14ac:dyDescent="0.3">
      <c r="C107" s="37" t="s">
        <v>257</v>
      </c>
      <c r="D107" s="31"/>
      <c r="E107" s="32"/>
      <c r="F107" s="33"/>
      <c r="G107" s="34"/>
      <c r="H107" s="34"/>
      <c r="I107" s="35"/>
      <c r="J107" s="35"/>
      <c r="K107" s="36"/>
    </row>
    <row r="108" spans="2:11" x14ac:dyDescent="0.3">
      <c r="B108" s="1" t="s">
        <v>258</v>
      </c>
      <c r="C108" s="21" t="s">
        <v>259</v>
      </c>
      <c r="D108" s="31" t="s">
        <v>260</v>
      </c>
      <c r="E108" s="32" t="s">
        <v>253</v>
      </c>
      <c r="F108" s="33">
        <v>2000000</v>
      </c>
      <c r="G108" s="34">
        <v>1944.54</v>
      </c>
      <c r="H108" s="34">
        <v>2.33</v>
      </c>
      <c r="I108" s="35">
        <v>7.7807012000000002</v>
      </c>
      <c r="J108" s="35"/>
      <c r="K108" s="36"/>
    </row>
    <row r="109" spans="2:11" x14ac:dyDescent="0.3">
      <c r="B109" s="1" t="s">
        <v>261</v>
      </c>
      <c r="C109" s="21" t="s">
        <v>262</v>
      </c>
      <c r="D109" s="31" t="s">
        <v>263</v>
      </c>
      <c r="E109" s="32" t="s">
        <v>253</v>
      </c>
      <c r="F109" s="33">
        <v>700000</v>
      </c>
      <c r="G109" s="34">
        <v>685.33</v>
      </c>
      <c r="H109" s="34">
        <v>0.82</v>
      </c>
      <c r="I109" s="35">
        <v>7.7858511999999997</v>
      </c>
      <c r="J109" s="35"/>
      <c r="K109" s="36"/>
    </row>
    <row r="110" spans="2:11" x14ac:dyDescent="0.3">
      <c r="B110" s="1" t="s">
        <v>264</v>
      </c>
      <c r="C110" s="21" t="s">
        <v>265</v>
      </c>
      <c r="D110" s="31" t="s">
        <v>266</v>
      </c>
      <c r="E110" s="32" t="s">
        <v>253</v>
      </c>
      <c r="F110" s="33">
        <v>500000</v>
      </c>
      <c r="G110" s="34">
        <v>472.39</v>
      </c>
      <c r="H110" s="34">
        <v>0.56999999999999995</v>
      </c>
      <c r="I110" s="35">
        <v>7.7857887999999997</v>
      </c>
      <c r="J110" s="35"/>
      <c r="K110" s="36"/>
    </row>
    <row r="111" spans="2:11" x14ac:dyDescent="0.3">
      <c r="B111" s="1" t="s">
        <v>267</v>
      </c>
      <c r="C111" s="21" t="s">
        <v>268</v>
      </c>
      <c r="D111" s="31" t="s">
        <v>269</v>
      </c>
      <c r="E111" s="32" t="s">
        <v>253</v>
      </c>
      <c r="F111" s="33">
        <v>200000</v>
      </c>
      <c r="G111" s="34">
        <v>189.65</v>
      </c>
      <c r="H111" s="34">
        <v>0.23</v>
      </c>
      <c r="I111" s="35">
        <v>7.8119899999999998</v>
      </c>
      <c r="J111" s="35"/>
      <c r="K111" s="36"/>
    </row>
    <row r="112" spans="2:11" x14ac:dyDescent="0.3">
      <c r="C112" s="30" t="s">
        <v>152</v>
      </c>
      <c r="D112" s="31"/>
      <c r="E112" s="32"/>
      <c r="F112" s="33"/>
      <c r="G112" s="38">
        <v>3291.91</v>
      </c>
      <c r="H112" s="38">
        <v>3.95</v>
      </c>
      <c r="I112" s="35"/>
      <c r="J112" s="35"/>
      <c r="K112" s="36"/>
    </row>
    <row r="113" spans="1:55" x14ac:dyDescent="0.3">
      <c r="C113" s="21"/>
      <c r="D113" s="31"/>
      <c r="E113" s="32"/>
      <c r="F113" s="33"/>
      <c r="G113" s="34"/>
      <c r="H113" s="34"/>
      <c r="I113" s="35"/>
      <c r="J113" s="35"/>
      <c r="K113" s="36"/>
    </row>
    <row r="114" spans="1:55" x14ac:dyDescent="0.3">
      <c r="A114" s="28"/>
      <c r="B114" s="29"/>
      <c r="C114" s="30" t="s">
        <v>270</v>
      </c>
      <c r="D114" s="31"/>
      <c r="E114" s="32"/>
      <c r="F114" s="33"/>
      <c r="G114" s="34"/>
      <c r="H114" s="34"/>
      <c r="I114" s="35"/>
      <c r="J114" s="35"/>
      <c r="K114" s="36"/>
    </row>
    <row r="115" spans="1:55" x14ac:dyDescent="0.3">
      <c r="C115" s="37" t="s">
        <v>271</v>
      </c>
      <c r="D115" s="31"/>
      <c r="E115" s="32"/>
      <c r="F115" s="33"/>
      <c r="G115" s="34"/>
      <c r="H115" s="34"/>
      <c r="I115" s="35"/>
      <c r="J115" s="35"/>
      <c r="K115" s="36"/>
    </row>
    <row r="116" spans="1:55" x14ac:dyDescent="0.3">
      <c r="B116" s="1" t="s">
        <v>272</v>
      </c>
      <c r="C116" s="21" t="s">
        <v>273</v>
      </c>
      <c r="D116" s="31" t="s">
        <v>274</v>
      </c>
      <c r="E116" s="32" t="s">
        <v>275</v>
      </c>
      <c r="F116" s="33">
        <v>200</v>
      </c>
      <c r="G116" s="34">
        <v>931.45</v>
      </c>
      <c r="H116" s="34">
        <v>1.1200000000000001</v>
      </c>
      <c r="I116" s="35">
        <v>9.0749999999999993</v>
      </c>
      <c r="J116" s="35"/>
      <c r="K116" s="36" t="s">
        <v>159</v>
      </c>
    </row>
    <row r="117" spans="1:55" x14ac:dyDescent="0.3">
      <c r="C117" s="30" t="s">
        <v>152</v>
      </c>
      <c r="D117" s="31"/>
      <c r="E117" s="32"/>
      <c r="F117" s="33"/>
      <c r="G117" s="38">
        <v>931.45</v>
      </c>
      <c r="H117" s="38">
        <v>1.1200000000000001</v>
      </c>
      <c r="I117" s="35"/>
      <c r="J117" s="35"/>
      <c r="K117" s="36"/>
    </row>
    <row r="118" spans="1:55" x14ac:dyDescent="0.3">
      <c r="C118" s="21"/>
      <c r="D118" s="31"/>
      <c r="E118" s="32"/>
      <c r="F118" s="33"/>
      <c r="G118" s="34"/>
      <c r="H118" s="34"/>
      <c r="I118" s="35"/>
      <c r="J118" s="35"/>
      <c r="K118" s="36"/>
    </row>
    <row r="119" spans="1:55" x14ac:dyDescent="0.3">
      <c r="C119" s="30" t="s">
        <v>276</v>
      </c>
      <c r="D119" s="31"/>
      <c r="E119" s="32"/>
      <c r="F119" s="33"/>
      <c r="G119" s="34" t="s">
        <v>154</v>
      </c>
      <c r="H119" s="34" t="s">
        <v>154</v>
      </c>
      <c r="I119" s="35"/>
      <c r="J119" s="35"/>
      <c r="K119" s="36"/>
    </row>
    <row r="120" spans="1:55" x14ac:dyDescent="0.3">
      <c r="C120" s="21"/>
      <c r="D120" s="31"/>
      <c r="E120" s="32"/>
      <c r="F120" s="33"/>
      <c r="G120" s="34"/>
      <c r="H120" s="34"/>
      <c r="I120" s="35"/>
      <c r="J120" s="35"/>
      <c r="K120" s="36"/>
    </row>
    <row r="121" spans="1:55" x14ac:dyDescent="0.3">
      <c r="C121" s="37" t="s">
        <v>277</v>
      </c>
      <c r="D121" s="31"/>
      <c r="E121" s="32"/>
      <c r="F121" s="33"/>
      <c r="G121" s="34"/>
      <c r="H121" s="34"/>
      <c r="I121" s="35"/>
      <c r="J121" s="35"/>
      <c r="K121" s="36"/>
    </row>
    <row r="122" spans="1:55" x14ac:dyDescent="0.3">
      <c r="B122" s="1" t="s">
        <v>278</v>
      </c>
      <c r="C122" s="21" t="s">
        <v>279</v>
      </c>
      <c r="D122" s="31" t="s">
        <v>280</v>
      </c>
      <c r="E122" s="32" t="s">
        <v>253</v>
      </c>
      <c r="F122" s="33">
        <v>300000</v>
      </c>
      <c r="G122" s="34">
        <v>294.41000000000003</v>
      </c>
      <c r="H122" s="34">
        <v>0.35</v>
      </c>
      <c r="I122" s="35">
        <v>7.0002000000000004</v>
      </c>
      <c r="J122" s="35"/>
      <c r="K122" s="36"/>
    </row>
    <row r="123" spans="1:55" x14ac:dyDescent="0.3">
      <c r="C123" s="30" t="s">
        <v>152</v>
      </c>
      <c r="D123" s="31"/>
      <c r="E123" s="32"/>
      <c r="F123" s="33"/>
      <c r="G123" s="38">
        <v>294.41000000000003</v>
      </c>
      <c r="H123" s="38">
        <v>0.35</v>
      </c>
      <c r="I123" s="35"/>
      <c r="J123" s="35"/>
      <c r="K123" s="36"/>
    </row>
    <row r="124" spans="1:55" x14ac:dyDescent="0.3">
      <c r="C124" s="21"/>
      <c r="D124" s="31"/>
      <c r="E124" s="32"/>
      <c r="F124" s="33"/>
      <c r="G124" s="34"/>
      <c r="H124" s="34"/>
      <c r="I124" s="35"/>
      <c r="J124" s="35"/>
      <c r="K124" s="36"/>
    </row>
    <row r="125" spans="1:55" s="40" customFormat="1" ht="15" x14ac:dyDescent="0.35">
      <c r="A125" s="2"/>
      <c r="B125" s="2"/>
      <c r="C125" s="30" t="s">
        <v>281</v>
      </c>
      <c r="D125" s="31"/>
      <c r="E125" s="32"/>
      <c r="F125" s="33"/>
      <c r="G125" s="34" t="s">
        <v>154</v>
      </c>
      <c r="H125" s="34" t="s">
        <v>154</v>
      </c>
      <c r="I125" s="35"/>
      <c r="J125" s="35"/>
      <c r="K125" s="36"/>
    </row>
    <row r="126" spans="1:55" s="41" customFormat="1" x14ac:dyDescent="0.3">
      <c r="A126" s="2"/>
      <c r="B126" s="2"/>
      <c r="C126" s="21"/>
      <c r="D126" s="31"/>
      <c r="E126" s="32"/>
      <c r="F126" s="33"/>
      <c r="G126" s="34"/>
      <c r="H126" s="34"/>
      <c r="I126" s="35"/>
      <c r="J126" s="35"/>
      <c r="K126" s="36"/>
    </row>
    <row r="127" spans="1:55" s="41" customFormat="1" x14ac:dyDescent="0.3">
      <c r="A127" s="28"/>
      <c r="B127" s="29"/>
      <c r="C127" s="30" t="s">
        <v>282</v>
      </c>
      <c r="D127" s="31"/>
      <c r="E127" s="32"/>
      <c r="F127" s="33"/>
      <c r="G127" s="34"/>
      <c r="H127" s="34"/>
      <c r="I127" s="35"/>
      <c r="J127" s="35"/>
      <c r="K127" s="36"/>
    </row>
    <row r="128" spans="1:55" x14ac:dyDescent="0.3">
      <c r="A128" s="29"/>
      <c r="B128" s="29"/>
      <c r="C128" s="30" t="s">
        <v>283</v>
      </c>
      <c r="D128" s="31"/>
      <c r="E128" s="32"/>
      <c r="F128" s="33"/>
      <c r="G128" s="34" t="s">
        <v>154</v>
      </c>
      <c r="H128" s="34" t="s">
        <v>154</v>
      </c>
      <c r="I128" s="35"/>
      <c r="J128" s="35"/>
      <c r="K128" s="36"/>
      <c r="L128" s="2"/>
      <c r="M128" s="2"/>
      <c r="AJ128" s="2"/>
      <c r="AW128" s="2"/>
      <c r="AY128" s="2"/>
      <c r="BC128" s="2"/>
    </row>
    <row r="129" spans="1:55" x14ac:dyDescent="0.3">
      <c r="A129" s="29"/>
      <c r="B129" s="29"/>
      <c r="C129" s="30"/>
      <c r="D129" s="31"/>
      <c r="E129" s="32"/>
      <c r="F129" s="33"/>
      <c r="G129" s="34"/>
      <c r="H129" s="34"/>
      <c r="I129" s="35"/>
      <c r="J129" s="35"/>
      <c r="K129" s="36"/>
      <c r="L129" s="2"/>
      <c r="M129" s="2"/>
      <c r="AJ129" s="2"/>
      <c r="AW129" s="2"/>
      <c r="AY129" s="2"/>
      <c r="BC129" s="2"/>
    </row>
    <row r="130" spans="1:55" x14ac:dyDescent="0.3">
      <c r="A130" s="29"/>
      <c r="B130" s="29"/>
      <c r="C130" s="30" t="s">
        <v>284</v>
      </c>
      <c r="D130" s="31"/>
      <c r="E130" s="32"/>
      <c r="F130" s="33"/>
      <c r="G130" s="34" t="s">
        <v>154</v>
      </c>
      <c r="H130" s="34" t="s">
        <v>154</v>
      </c>
      <c r="I130" s="35"/>
      <c r="J130" s="35"/>
      <c r="K130" s="36"/>
      <c r="L130" s="2"/>
      <c r="M130" s="2"/>
      <c r="AJ130" s="2"/>
      <c r="AW130" s="2"/>
      <c r="AY130" s="2"/>
      <c r="BC130" s="2"/>
    </row>
    <row r="131" spans="1:55" s="11" customFormat="1" x14ac:dyDescent="0.3">
      <c r="A131" s="29"/>
      <c r="B131" s="29"/>
      <c r="C131" s="30"/>
      <c r="D131" s="31"/>
      <c r="E131" s="32"/>
      <c r="F131" s="33"/>
      <c r="G131" s="34"/>
      <c r="H131" s="34"/>
      <c r="I131" s="35"/>
      <c r="J131" s="35"/>
      <c r="K131" s="36"/>
    </row>
    <row r="132" spans="1:55" x14ac:dyDescent="0.3">
      <c r="A132" s="29"/>
      <c r="B132" s="29"/>
      <c r="C132" s="30" t="s">
        <v>285</v>
      </c>
      <c r="D132" s="31"/>
      <c r="E132" s="32"/>
      <c r="F132" s="33"/>
      <c r="G132" s="34" t="s">
        <v>154</v>
      </c>
      <c r="H132" s="34" t="s">
        <v>154</v>
      </c>
      <c r="I132" s="35"/>
      <c r="J132" s="35"/>
      <c r="K132" s="36"/>
    </row>
    <row r="133" spans="1:55" x14ac:dyDescent="0.3">
      <c r="A133" s="29"/>
      <c r="B133" s="29"/>
      <c r="C133" s="30"/>
      <c r="D133" s="31"/>
      <c r="E133" s="32"/>
      <c r="F133" s="33"/>
      <c r="G133" s="34"/>
      <c r="H133" s="34"/>
      <c r="I133" s="35"/>
      <c r="J133" s="35"/>
      <c r="K133" s="36"/>
    </row>
    <row r="134" spans="1:55" x14ac:dyDescent="0.3">
      <c r="A134" s="29"/>
      <c r="B134" s="29"/>
      <c r="C134" s="30" t="s">
        <v>286</v>
      </c>
      <c r="D134" s="31"/>
      <c r="E134" s="32"/>
      <c r="F134" s="33"/>
      <c r="G134" s="34" t="s">
        <v>154</v>
      </c>
      <c r="H134" s="34" t="s">
        <v>154</v>
      </c>
      <c r="I134" s="35"/>
      <c r="J134" s="35"/>
      <c r="K134" s="36"/>
    </row>
    <row r="135" spans="1:55" x14ac:dyDescent="0.3">
      <c r="A135" s="29"/>
      <c r="B135" s="29"/>
      <c r="C135" s="30"/>
      <c r="D135" s="31"/>
      <c r="E135" s="32"/>
      <c r="F135" s="33"/>
      <c r="G135" s="34"/>
      <c r="H135" s="34"/>
      <c r="I135" s="35"/>
      <c r="J135" s="35"/>
      <c r="K135" s="36"/>
    </row>
    <row r="136" spans="1:55" x14ac:dyDescent="0.3">
      <c r="C136" s="37" t="s">
        <v>287</v>
      </c>
      <c r="D136" s="31"/>
      <c r="E136" s="32"/>
      <c r="F136" s="33"/>
      <c r="G136" s="34"/>
      <c r="H136" s="34"/>
      <c r="I136" s="35"/>
      <c r="J136" s="35"/>
      <c r="K136" s="36"/>
    </row>
    <row r="137" spans="1:55" x14ac:dyDescent="0.3">
      <c r="B137" s="1" t="s">
        <v>288</v>
      </c>
      <c r="C137" s="21" t="s">
        <v>289</v>
      </c>
      <c r="D137" s="31"/>
      <c r="E137" s="32"/>
      <c r="F137" s="33"/>
      <c r="G137" s="34">
        <v>4527.17</v>
      </c>
      <c r="H137" s="34">
        <v>5.42</v>
      </c>
      <c r="I137" s="35">
        <v>6.76</v>
      </c>
      <c r="J137" s="35"/>
      <c r="K137" s="36"/>
    </row>
    <row r="138" spans="1:55" x14ac:dyDescent="0.3">
      <c r="C138" s="30" t="s">
        <v>152</v>
      </c>
      <c r="D138" s="31"/>
      <c r="E138" s="32"/>
      <c r="F138" s="33"/>
      <c r="G138" s="38">
        <v>4527.17</v>
      </c>
      <c r="H138" s="38">
        <v>5.42</v>
      </c>
      <c r="I138" s="35"/>
      <c r="J138" s="35"/>
      <c r="K138" s="36"/>
    </row>
    <row r="139" spans="1:55" x14ac:dyDescent="0.3">
      <c r="C139" s="21"/>
      <c r="D139" s="31"/>
      <c r="E139" s="32"/>
      <c r="F139" s="33"/>
      <c r="G139" s="34"/>
      <c r="H139" s="34"/>
      <c r="I139" s="35"/>
      <c r="J139" s="35"/>
      <c r="K139" s="36"/>
    </row>
    <row r="140" spans="1:55" x14ac:dyDescent="0.3">
      <c r="A140" s="28"/>
      <c r="B140" s="29"/>
      <c r="C140" s="30" t="s">
        <v>290</v>
      </c>
      <c r="D140" s="31"/>
      <c r="E140" s="32"/>
      <c r="F140" s="33"/>
      <c r="G140" s="34"/>
      <c r="H140" s="34"/>
      <c r="I140" s="35"/>
      <c r="J140" s="35"/>
      <c r="K140" s="36"/>
    </row>
    <row r="141" spans="1:55" x14ac:dyDescent="0.3">
      <c r="B141" s="1"/>
      <c r="C141" s="21" t="s">
        <v>291</v>
      </c>
      <c r="D141" s="31"/>
      <c r="E141" s="32"/>
      <c r="F141" s="33"/>
      <c r="G141" s="34">
        <v>480.62</v>
      </c>
      <c r="H141" s="34">
        <v>0.52999999999999992</v>
      </c>
      <c r="I141" s="35"/>
      <c r="J141" s="35"/>
      <c r="K141" s="36"/>
    </row>
    <row r="142" spans="1:55" x14ac:dyDescent="0.3">
      <c r="C142" s="30" t="s">
        <v>152</v>
      </c>
      <c r="D142" s="31"/>
      <c r="E142" s="32"/>
      <c r="F142" s="33"/>
      <c r="G142" s="38">
        <v>480.62</v>
      </c>
      <c r="H142" s="38">
        <v>0.52999999999999992</v>
      </c>
      <c r="I142" s="35"/>
      <c r="J142" s="35"/>
      <c r="K142" s="36"/>
    </row>
    <row r="143" spans="1:55" x14ac:dyDescent="0.3">
      <c r="C143" s="21"/>
      <c r="D143" s="31"/>
      <c r="E143" s="32"/>
      <c r="F143" s="33"/>
      <c r="G143" s="34"/>
      <c r="H143" s="34"/>
      <c r="I143" s="35"/>
      <c r="J143" s="35"/>
      <c r="K143" s="36"/>
    </row>
    <row r="144" spans="1:55" ht="14.4" thickBot="1" x14ac:dyDescent="0.35">
      <c r="C144" s="42" t="s">
        <v>292</v>
      </c>
      <c r="D144" s="43"/>
      <c r="E144" s="44"/>
      <c r="F144" s="45"/>
      <c r="G144" s="46">
        <v>83533.62</v>
      </c>
      <c r="H144" s="46">
        <f>SUMIFS(H:H,C:C,"Total")</f>
        <v>100</v>
      </c>
      <c r="I144" s="47"/>
      <c r="J144" s="47"/>
      <c r="K144" s="48"/>
    </row>
    <row r="147" spans="3:9" x14ac:dyDescent="0.3">
      <c r="C147" s="49" t="s">
        <v>293</v>
      </c>
      <c r="D147" s="50"/>
      <c r="E147" s="50"/>
      <c r="F147" s="50"/>
      <c r="G147" s="51"/>
      <c r="H147" s="51"/>
      <c r="I147" s="50"/>
    </row>
    <row r="148" spans="3:9" x14ac:dyDescent="0.3">
      <c r="C148" s="49"/>
      <c r="D148" s="50"/>
      <c r="E148" s="50"/>
      <c r="F148" s="50"/>
      <c r="G148" s="51"/>
      <c r="H148" s="51"/>
      <c r="I148" s="50"/>
    </row>
    <row r="149" spans="3:9" x14ac:dyDescent="0.3">
      <c r="C149" s="52" t="s">
        <v>294</v>
      </c>
      <c r="D149" s="52" t="s">
        <v>295</v>
      </c>
      <c r="E149" s="53" t="s">
        <v>296</v>
      </c>
      <c r="F149" s="54" t="s">
        <v>297</v>
      </c>
      <c r="G149" s="54" t="s">
        <v>298</v>
      </c>
      <c r="H149" s="54" t="s">
        <v>299</v>
      </c>
      <c r="I149" s="50"/>
    </row>
    <row r="150" spans="3:9" x14ac:dyDescent="0.3">
      <c r="C150" s="55" t="s">
        <v>40</v>
      </c>
      <c r="D150" s="55" t="s">
        <v>174</v>
      </c>
      <c r="E150" s="56">
        <v>-90</v>
      </c>
      <c r="F150" s="57">
        <v>1379.4676999999999</v>
      </c>
      <c r="G150" s="55">
        <v>1374.15</v>
      </c>
      <c r="H150" s="58">
        <v>87.460290000000001</v>
      </c>
      <c r="I150" s="50"/>
    </row>
    <row r="151" spans="3:9" x14ac:dyDescent="0.3">
      <c r="C151" s="49"/>
      <c r="D151" s="50"/>
      <c r="E151" s="50"/>
      <c r="F151" s="50"/>
      <c r="G151" s="51"/>
      <c r="H151" s="51"/>
      <c r="I151" s="50"/>
    </row>
    <row r="152" spans="3:9" x14ac:dyDescent="0.3">
      <c r="C152" s="50" t="s">
        <v>300</v>
      </c>
      <c r="D152" s="50"/>
      <c r="E152" s="50"/>
      <c r="F152" s="59"/>
      <c r="G152" s="51"/>
      <c r="H152" s="51"/>
      <c r="I152" s="50"/>
    </row>
    <row r="153" spans="3:9" x14ac:dyDescent="0.3">
      <c r="C153" s="60"/>
      <c r="D153" s="50"/>
      <c r="E153" s="50"/>
      <c r="F153" s="59"/>
      <c r="G153" s="51"/>
      <c r="H153" s="51"/>
      <c r="I153" s="50"/>
    </row>
    <row r="154" spans="3:9" x14ac:dyDescent="0.3">
      <c r="C154" s="49" t="s">
        <v>301</v>
      </c>
      <c r="D154" s="50"/>
      <c r="E154" s="50"/>
      <c r="F154" s="59"/>
      <c r="G154" s="51"/>
      <c r="H154" s="51"/>
      <c r="I154" s="50"/>
    </row>
    <row r="155" spans="3:9" x14ac:dyDescent="0.3">
      <c r="C155" s="61" t="s">
        <v>302</v>
      </c>
      <c r="D155" s="50"/>
      <c r="E155" s="50"/>
      <c r="F155" s="59"/>
      <c r="G155" s="51"/>
      <c r="H155" s="51"/>
      <c r="I155" s="50"/>
    </row>
    <row r="156" spans="3:9" x14ac:dyDescent="0.3">
      <c r="C156" s="61" t="s">
        <v>303</v>
      </c>
      <c r="D156" s="50"/>
      <c r="E156" s="50"/>
      <c r="F156" s="59"/>
      <c r="G156" s="51"/>
      <c r="H156" s="51"/>
      <c r="I156" s="50"/>
    </row>
    <row r="157" spans="3:9" x14ac:dyDescent="0.3">
      <c r="C157" s="61" t="s">
        <v>304</v>
      </c>
      <c r="D157" s="59"/>
      <c r="E157" s="50"/>
      <c r="F157" s="59"/>
      <c r="G157" s="51"/>
      <c r="H157" s="51"/>
      <c r="I157" s="50"/>
    </row>
    <row r="158" spans="3:9" x14ac:dyDescent="0.3">
      <c r="C158" s="61" t="s">
        <v>305</v>
      </c>
      <c r="D158" s="59"/>
      <c r="E158" s="59"/>
      <c r="F158" s="59"/>
      <c r="G158" s="51"/>
      <c r="H158" s="51"/>
      <c r="I158" s="50"/>
    </row>
    <row r="159" spans="3:9" x14ac:dyDescent="0.3">
      <c r="C159" s="62" t="s">
        <v>306</v>
      </c>
      <c r="D159" s="59"/>
      <c r="E159" s="63"/>
      <c r="F159" s="59">
        <f>+D159-E159</f>
        <v>0</v>
      </c>
      <c r="G159" s="51"/>
      <c r="H159" s="51"/>
      <c r="I159" s="50"/>
    </row>
    <row r="160" spans="3:9" x14ac:dyDescent="0.3">
      <c r="C160" s="60"/>
      <c r="D160" s="50"/>
      <c r="E160" s="50"/>
      <c r="F160" s="59"/>
      <c r="G160" s="51"/>
      <c r="H160" s="51"/>
      <c r="I160" s="50"/>
    </row>
    <row r="161" spans="3:9" x14ac:dyDescent="0.3">
      <c r="C161" s="60"/>
      <c r="D161" s="50"/>
      <c r="E161" s="50"/>
      <c r="F161" s="59"/>
      <c r="G161" s="51"/>
      <c r="H161" s="51"/>
      <c r="I161" s="50"/>
    </row>
    <row r="162" spans="3:9" ht="15" x14ac:dyDescent="0.35">
      <c r="C162" s="49" t="s">
        <v>307</v>
      </c>
      <c r="D162" s="61"/>
      <c r="E162" s="64"/>
      <c r="F162" s="61"/>
      <c r="G162" s="61"/>
      <c r="H162" s="65"/>
      <c r="I162" s="50"/>
    </row>
    <row r="163" spans="3:9" x14ac:dyDescent="0.3">
      <c r="C163" s="52" t="s">
        <v>294</v>
      </c>
      <c r="D163" s="52" t="s">
        <v>295</v>
      </c>
      <c r="E163" s="54" t="s">
        <v>308</v>
      </c>
      <c r="F163" s="54" t="s">
        <v>297</v>
      </c>
      <c r="G163" s="54" t="s">
        <v>298</v>
      </c>
      <c r="H163" s="54" t="s">
        <v>299</v>
      </c>
      <c r="I163" s="50"/>
    </row>
    <row r="164" spans="3:9" x14ac:dyDescent="0.3">
      <c r="C164" s="55" t="s">
        <v>176</v>
      </c>
      <c r="D164" s="55" t="s">
        <v>177</v>
      </c>
      <c r="E164" s="66">
        <v>54</v>
      </c>
      <c r="F164" s="67">
        <v>1441.35</v>
      </c>
      <c r="G164" s="67">
        <v>1446.45</v>
      </c>
      <c r="H164" s="67">
        <v>78.088252499999996</v>
      </c>
      <c r="I164" s="50"/>
    </row>
    <row r="165" spans="3:9" x14ac:dyDescent="0.3">
      <c r="C165" s="55" t="s">
        <v>179</v>
      </c>
      <c r="D165" s="55" t="s">
        <v>309</v>
      </c>
      <c r="E165" s="55">
        <v>81</v>
      </c>
      <c r="F165" s="57">
        <v>1636.6864</v>
      </c>
      <c r="G165" s="58">
        <v>1609.8</v>
      </c>
      <c r="H165" s="58">
        <v>102.98330679999999</v>
      </c>
      <c r="I165" s="50"/>
    </row>
    <row r="166" spans="3:9" x14ac:dyDescent="0.3">
      <c r="C166" s="68"/>
      <c r="D166" s="68"/>
      <c r="E166" s="68"/>
      <c r="F166" s="68"/>
      <c r="G166" s="68"/>
      <c r="H166" s="68"/>
      <c r="I166" s="50"/>
    </row>
    <row r="167" spans="3:9" x14ac:dyDescent="0.3">
      <c r="C167" s="61" t="s">
        <v>310</v>
      </c>
      <c r="D167" s="68"/>
      <c r="E167" s="68"/>
      <c r="F167" s="68"/>
      <c r="G167" s="68"/>
      <c r="H167" s="68"/>
      <c r="I167" s="50"/>
    </row>
    <row r="168" spans="3:9" x14ac:dyDescent="0.3">
      <c r="C168" s="68"/>
      <c r="D168" s="68"/>
      <c r="E168" s="68"/>
      <c r="F168" s="68"/>
      <c r="G168" s="68"/>
      <c r="H168" s="68"/>
      <c r="I168" s="50"/>
    </row>
    <row r="169" spans="3:9" x14ac:dyDescent="0.3">
      <c r="C169" s="49" t="s">
        <v>311</v>
      </c>
      <c r="D169" s="68"/>
      <c r="E169" s="68"/>
      <c r="F169" s="68"/>
      <c r="G169" s="68"/>
      <c r="H169" s="68"/>
      <c r="I169" s="50"/>
    </row>
    <row r="170" spans="3:9" x14ac:dyDescent="0.3">
      <c r="C170" s="61" t="s">
        <v>312</v>
      </c>
      <c r="D170" s="68"/>
      <c r="E170" s="68"/>
      <c r="F170" s="68"/>
      <c r="G170" s="68"/>
      <c r="H170" s="68"/>
      <c r="I170" s="50"/>
    </row>
    <row r="171" spans="3:9" x14ac:dyDescent="0.3">
      <c r="C171" s="61" t="s">
        <v>313</v>
      </c>
      <c r="D171" s="68"/>
      <c r="E171" s="68"/>
      <c r="F171" s="68"/>
      <c r="G171" s="68"/>
      <c r="H171" s="68"/>
      <c r="I171" s="50"/>
    </row>
    <row r="172" spans="3:9" x14ac:dyDescent="0.3">
      <c r="C172" s="61" t="s">
        <v>314</v>
      </c>
      <c r="D172" s="69"/>
      <c r="E172" s="70"/>
      <c r="F172" s="68"/>
      <c r="G172" s="68"/>
      <c r="H172" s="68"/>
      <c r="I172" s="50"/>
    </row>
    <row r="173" spans="3:9" x14ac:dyDescent="0.3">
      <c r="C173" s="61" t="s">
        <v>315</v>
      </c>
      <c r="D173" s="69"/>
      <c r="E173" s="68"/>
      <c r="F173" s="68"/>
      <c r="G173" s="68"/>
      <c r="H173" s="68"/>
      <c r="I173" s="50"/>
    </row>
    <row r="174" spans="3:9" x14ac:dyDescent="0.3">
      <c r="C174" s="62" t="s">
        <v>316</v>
      </c>
      <c r="D174" s="69"/>
      <c r="E174" s="63"/>
      <c r="F174" s="63"/>
      <c r="G174" s="68"/>
      <c r="H174" s="68"/>
      <c r="I174" s="50"/>
    </row>
    <row r="175" spans="3:9" x14ac:dyDescent="0.3">
      <c r="C175" s="50"/>
      <c r="D175" s="63"/>
      <c r="E175" s="63"/>
      <c r="F175" s="63"/>
      <c r="G175" s="51"/>
      <c r="H175" s="51"/>
      <c r="I175" s="50"/>
    </row>
    <row r="176" spans="3:9" x14ac:dyDescent="0.3">
      <c r="C176" s="71" t="s">
        <v>317</v>
      </c>
      <c r="D176" s="63"/>
      <c r="E176" s="63"/>
      <c r="F176" s="50"/>
      <c r="G176" s="51"/>
      <c r="H176" s="51"/>
      <c r="I176" s="50"/>
    </row>
    <row r="178" spans="3:55" x14ac:dyDescent="0.3">
      <c r="C178" s="11" t="s">
        <v>318</v>
      </c>
    </row>
    <row r="179" spans="3:55" x14ac:dyDescent="0.3">
      <c r="C179" s="2" t="s">
        <v>319</v>
      </c>
    </row>
    <row r="180" spans="3:55" x14ac:dyDescent="0.3">
      <c r="C180" s="72" t="s">
        <v>320</v>
      </c>
    </row>
    <row r="181" spans="3:55" x14ac:dyDescent="0.3">
      <c r="C181" s="2" t="s">
        <v>321</v>
      </c>
    </row>
    <row r="182" spans="3:55" x14ac:dyDescent="0.3">
      <c r="C182" s="2" t="s">
        <v>322</v>
      </c>
    </row>
    <row r="183" spans="3:55" x14ac:dyDescent="0.3">
      <c r="C183" s="2" t="s">
        <v>323</v>
      </c>
      <c r="D183" s="73"/>
      <c r="E183" s="73"/>
      <c r="F183" s="73"/>
      <c r="G183" s="74"/>
      <c r="H183" s="74"/>
    </row>
    <row r="184" spans="3:55" x14ac:dyDescent="0.3">
      <c r="C184" s="2" t="s">
        <v>324</v>
      </c>
    </row>
    <row r="185" spans="3:55" x14ac:dyDescent="0.3">
      <c r="C185" s="2" t="s">
        <v>325</v>
      </c>
    </row>
    <row r="186" spans="3:55" x14ac:dyDescent="0.3">
      <c r="C186" s="2" t="s">
        <v>326</v>
      </c>
    </row>
    <row r="187" spans="3:55" x14ac:dyDescent="0.3">
      <c r="C187" s="2" t="s">
        <v>327</v>
      </c>
    </row>
    <row r="188" spans="3:55" s="11" customFormat="1" x14ac:dyDescent="0.3">
      <c r="C188" s="11" t="s">
        <v>328</v>
      </c>
      <c r="E188" s="11" t="s">
        <v>329</v>
      </c>
      <c r="F188" s="75" t="s">
        <v>330</v>
      </c>
      <c r="G188" s="76"/>
      <c r="H188" s="76"/>
      <c r="I188" s="76"/>
      <c r="J188" s="76"/>
      <c r="K188" s="77"/>
      <c r="L188" s="77"/>
      <c r="M188" s="77"/>
      <c r="AJ188" s="77"/>
      <c r="AW188" s="77"/>
      <c r="AY188" s="77"/>
      <c r="BC188" s="77"/>
    </row>
    <row r="189" spans="3:55" x14ac:dyDescent="0.3">
      <c r="C189" s="2" t="s">
        <v>331</v>
      </c>
      <c r="E189" s="78">
        <v>14.9491</v>
      </c>
      <c r="F189" s="79">
        <v>14.6714</v>
      </c>
    </row>
    <row r="190" spans="3:55" x14ac:dyDescent="0.3">
      <c r="C190" s="2" t="s">
        <v>332</v>
      </c>
      <c r="E190" s="78">
        <v>21.125900000000001</v>
      </c>
      <c r="F190" s="79">
        <v>20.8752</v>
      </c>
    </row>
    <row r="191" spans="3:55" x14ac:dyDescent="0.3">
      <c r="C191" s="2" t="s">
        <v>333</v>
      </c>
      <c r="E191" s="78">
        <v>16.552499999999998</v>
      </c>
      <c r="F191" s="79">
        <v>16.269100000000002</v>
      </c>
    </row>
    <row r="192" spans="3:55" x14ac:dyDescent="0.3">
      <c r="C192" s="2" t="s">
        <v>334</v>
      </c>
      <c r="E192" s="78">
        <v>23.4544</v>
      </c>
      <c r="F192" s="79">
        <v>23.209199999999999</v>
      </c>
    </row>
    <row r="194" spans="3:6" x14ac:dyDescent="0.3">
      <c r="C194" s="2" t="s">
        <v>335</v>
      </c>
      <c r="E194" s="11" t="s">
        <v>336</v>
      </c>
      <c r="F194" s="75" t="s">
        <v>337</v>
      </c>
    </row>
    <row r="195" spans="3:6" x14ac:dyDescent="0.3">
      <c r="C195" s="2" t="s">
        <v>331</v>
      </c>
      <c r="E195" s="78">
        <v>0.1</v>
      </c>
      <c r="F195" s="79">
        <v>0.1</v>
      </c>
    </row>
    <row r="196" spans="3:6" x14ac:dyDescent="0.3">
      <c r="C196" s="2" t="s">
        <v>333</v>
      </c>
      <c r="E196" s="78">
        <v>0.11</v>
      </c>
      <c r="F196" s="79">
        <v>0.11</v>
      </c>
    </row>
    <row r="198" spans="3:6" x14ac:dyDescent="0.3">
      <c r="C198" s="2" t="s">
        <v>338</v>
      </c>
    </row>
    <row r="199" spans="3:6" x14ac:dyDescent="0.3">
      <c r="C199" s="2" t="s">
        <v>339</v>
      </c>
    </row>
    <row r="200" spans="3:6" x14ac:dyDescent="0.3">
      <c r="C200" s="2" t="s">
        <v>340</v>
      </c>
    </row>
    <row r="201" spans="3:6" x14ac:dyDescent="0.3">
      <c r="C201" s="2" t="s">
        <v>341</v>
      </c>
    </row>
    <row r="202" spans="3:6" x14ac:dyDescent="0.3">
      <c r="C202" s="2" t="s">
        <v>342</v>
      </c>
    </row>
    <row r="203" spans="3:6" x14ac:dyDescent="0.3">
      <c r="C203" s="2" t="s">
        <v>343</v>
      </c>
    </row>
    <row r="204" spans="3:6" x14ac:dyDescent="0.3">
      <c r="C204" s="2" t="s">
        <v>344</v>
      </c>
    </row>
    <row r="205" spans="3:6" x14ac:dyDescent="0.3">
      <c r="C205" s="2" t="s">
        <v>345</v>
      </c>
    </row>
    <row r="206" spans="3:6" x14ac:dyDescent="0.3">
      <c r="C206" s="2" t="s">
        <v>346</v>
      </c>
    </row>
    <row r="207" spans="3:6" x14ac:dyDescent="0.3">
      <c r="C207" s="2" t="s">
        <v>347</v>
      </c>
    </row>
    <row r="208" spans="3:6" x14ac:dyDescent="0.3">
      <c r="C208" s="2" t="s">
        <v>348</v>
      </c>
    </row>
    <row r="209" spans="3:11" x14ac:dyDescent="0.3">
      <c r="C209" s="2" t="s">
        <v>349</v>
      </c>
    </row>
    <row r="210" spans="3:11" ht="14.4" x14ac:dyDescent="0.3">
      <c r="C210" s="80"/>
      <c r="D210" s="80"/>
      <c r="E210" s="81"/>
      <c r="F210" s="81"/>
      <c r="G210" s="81"/>
      <c r="H210" s="81"/>
      <c r="I210" s="81"/>
      <c r="J210" s="81"/>
      <c r="K210" s="81"/>
    </row>
    <row r="211" spans="3:11" ht="14.4" x14ac:dyDescent="0.3">
      <c r="C211" s="81"/>
      <c r="D211" s="81"/>
      <c r="E211" s="81"/>
      <c r="F211" s="81"/>
      <c r="G211" s="81"/>
      <c r="H211" s="81"/>
      <c r="I211" s="81"/>
      <c r="J211" s="81"/>
      <c r="K211" s="81"/>
    </row>
    <row r="212" spans="3:11" ht="14.4" x14ac:dyDescent="0.3">
      <c r="C212" s="81"/>
      <c r="D212" s="81"/>
      <c r="E212" s="81"/>
      <c r="F212" s="81"/>
      <c r="G212" s="81"/>
      <c r="H212" s="81"/>
      <c r="I212" s="81"/>
      <c r="J212" s="81"/>
      <c r="K212" s="81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116</vt:i4>
      </vt:variant>
    </vt:vector>
  </HeadingPairs>
  <TitlesOfParts>
    <vt:vector size="117" baseType="lpstr">
      <vt:lpstr>SE</vt:lpstr>
      <vt:lpstr>XDO_?CLASS_3?12?</vt:lpstr>
      <vt:lpstr>XDO_?FINAL_ISIN?60?</vt:lpstr>
      <vt:lpstr>XDO_?FINAL_ISIN?61?</vt:lpstr>
      <vt:lpstr>XDO_?FINAL_ISIN?62?</vt:lpstr>
      <vt:lpstr>XDO_?FINAL_ISIN?63?</vt:lpstr>
      <vt:lpstr>XDO_?FINAL_ISIN?64?</vt:lpstr>
      <vt:lpstr>XDO_?FINAL_ISIN?65?</vt:lpstr>
      <vt:lpstr>XDO_?FINAL_ISIN?66?</vt:lpstr>
      <vt:lpstr>XDO_?FINAL_ISIN?67?</vt:lpstr>
      <vt:lpstr>XDO_?FINAL_ISIN?68?</vt:lpstr>
      <vt:lpstr>XDO_?FINAL_ISIN?69?</vt:lpstr>
      <vt:lpstr>XDO_?FINAL_ISIN?70?</vt:lpstr>
      <vt:lpstr>XDO_?FINAL_MV?60?</vt:lpstr>
      <vt:lpstr>XDO_?FINAL_MV?61?</vt:lpstr>
      <vt:lpstr>XDO_?FINAL_MV?62?</vt:lpstr>
      <vt:lpstr>XDO_?FINAL_MV?63?</vt:lpstr>
      <vt:lpstr>XDO_?FINAL_MV?64?</vt:lpstr>
      <vt:lpstr>XDO_?FINAL_MV?65?</vt:lpstr>
      <vt:lpstr>XDO_?FINAL_MV?66?</vt:lpstr>
      <vt:lpstr>XDO_?FINAL_MV?67?</vt:lpstr>
      <vt:lpstr>XDO_?FINAL_MV?68?</vt:lpstr>
      <vt:lpstr>XDO_?FINAL_MV?69?</vt:lpstr>
      <vt:lpstr>XDO_?FINAL_MV?70?</vt:lpstr>
      <vt:lpstr>XDO_?FINAL_NAME?60?</vt:lpstr>
      <vt:lpstr>XDO_?FINAL_NAME?61?</vt:lpstr>
      <vt:lpstr>XDO_?FINAL_NAME?62?</vt:lpstr>
      <vt:lpstr>XDO_?FINAL_NAME?63?</vt:lpstr>
      <vt:lpstr>XDO_?FINAL_NAME?64?</vt:lpstr>
      <vt:lpstr>XDO_?FINAL_NAME?65?</vt:lpstr>
      <vt:lpstr>XDO_?FINAL_NAME?66?</vt:lpstr>
      <vt:lpstr>XDO_?FINAL_NAME?67?</vt:lpstr>
      <vt:lpstr>XDO_?FINAL_NAME?68?</vt:lpstr>
      <vt:lpstr>XDO_?FINAL_NAME?69?</vt:lpstr>
      <vt:lpstr>XDO_?FINAL_NAME?70?</vt:lpstr>
      <vt:lpstr>XDO_?FINAL_PER_NET?60?</vt:lpstr>
      <vt:lpstr>XDO_?FINAL_PER_NET?61?</vt:lpstr>
      <vt:lpstr>XDO_?FINAL_PER_NET?62?</vt:lpstr>
      <vt:lpstr>XDO_?FINAL_PER_NET?63?</vt:lpstr>
      <vt:lpstr>XDO_?FINAL_PER_NET?64?</vt:lpstr>
      <vt:lpstr>XDO_?FINAL_PER_NET?65?</vt:lpstr>
      <vt:lpstr>XDO_?FINAL_PER_NET?66?</vt:lpstr>
      <vt:lpstr>XDO_?FINAL_PER_NET?67?</vt:lpstr>
      <vt:lpstr>XDO_?FINAL_PER_NET?68?</vt:lpstr>
      <vt:lpstr>XDO_?FINAL_PER_NET?69?</vt:lpstr>
      <vt:lpstr>XDO_?FINAL_PER_NET?70?</vt:lpstr>
      <vt:lpstr>XDO_?FINAL_QUANTITE?60?</vt:lpstr>
      <vt:lpstr>XDO_?FINAL_QUANTITE?61?</vt:lpstr>
      <vt:lpstr>XDO_?FINAL_QUANTITE?62?</vt:lpstr>
      <vt:lpstr>XDO_?FINAL_QUANTITE?63?</vt:lpstr>
      <vt:lpstr>XDO_?FINAL_QUANTITE?64?</vt:lpstr>
      <vt:lpstr>XDO_?FINAL_QUANTITE?65?</vt:lpstr>
      <vt:lpstr>XDO_?FINAL_QUANTITE?66?</vt:lpstr>
      <vt:lpstr>XDO_?FINAL_QUANTITE?67?</vt:lpstr>
      <vt:lpstr>XDO_?FINAL_QUANTITE?68?</vt:lpstr>
      <vt:lpstr>XDO_?FINAL_QUANTITE?69?</vt:lpstr>
      <vt:lpstr>XDO_?FINAL_QUANTITE?70?</vt:lpstr>
      <vt:lpstr>XDO_?NAMCNAME?12?</vt:lpstr>
      <vt:lpstr>XDO_?NOVAL?60?</vt:lpstr>
      <vt:lpstr>XDO_?NOVAL?61?</vt:lpstr>
      <vt:lpstr>XDO_?NOVAL?62?</vt:lpstr>
      <vt:lpstr>XDO_?NOVAL?63?</vt:lpstr>
      <vt:lpstr>XDO_?NOVAL?64?</vt:lpstr>
      <vt:lpstr>XDO_?NOVAL?65?</vt:lpstr>
      <vt:lpstr>XDO_?NOVAL?66?</vt:lpstr>
      <vt:lpstr>XDO_?NOVAL?67?</vt:lpstr>
      <vt:lpstr>XDO_?NOVAL?68?</vt:lpstr>
      <vt:lpstr>XDO_?NOVAL?69?</vt:lpstr>
      <vt:lpstr>XDO_?NOVAL?70?</vt:lpstr>
      <vt:lpstr>XDO_?NPTF?12?</vt:lpstr>
      <vt:lpstr>XDO_?RATING?60?</vt:lpstr>
      <vt:lpstr>XDO_?RATING?61?</vt:lpstr>
      <vt:lpstr>XDO_?RATING?62?</vt:lpstr>
      <vt:lpstr>XDO_?RATING?63?</vt:lpstr>
      <vt:lpstr>XDO_?RATING?64?</vt:lpstr>
      <vt:lpstr>XDO_?RATING?65?</vt:lpstr>
      <vt:lpstr>XDO_?RATING?66?</vt:lpstr>
      <vt:lpstr>XDO_?RATING?67?</vt:lpstr>
      <vt:lpstr>XDO_?RATING?68?</vt:lpstr>
      <vt:lpstr>XDO_?RATING?69?</vt:lpstr>
      <vt:lpstr>XDO_?RATING?70?</vt:lpstr>
      <vt:lpstr>XDO_?REMARKS?60?</vt:lpstr>
      <vt:lpstr>XDO_?REMARKS?61?</vt:lpstr>
      <vt:lpstr>XDO_?REMARKS?62?</vt:lpstr>
      <vt:lpstr>XDO_?REMARKS?63?</vt:lpstr>
      <vt:lpstr>XDO_?REMARKS?64?</vt:lpstr>
      <vt:lpstr>XDO_?REMARKS?65?</vt:lpstr>
      <vt:lpstr>XDO_?REMARKS?66?</vt:lpstr>
      <vt:lpstr>XDO_?REMARKS?67?</vt:lpstr>
      <vt:lpstr>XDO_?REMARKS?68?</vt:lpstr>
      <vt:lpstr>XDO_?REMARKS?69?</vt:lpstr>
      <vt:lpstr>XDO_?REMARKS?70?</vt:lpstr>
      <vt:lpstr>XDO_?TITL?12?</vt:lpstr>
      <vt:lpstr>XDO_?YTM?60?</vt:lpstr>
      <vt:lpstr>XDO_?YTM?61?</vt:lpstr>
      <vt:lpstr>XDO_?YTM?62?</vt:lpstr>
      <vt:lpstr>XDO_?YTM?63?</vt:lpstr>
      <vt:lpstr>XDO_?YTM?64?</vt:lpstr>
      <vt:lpstr>XDO_?YTM?65?</vt:lpstr>
      <vt:lpstr>XDO_?YTM?66?</vt:lpstr>
      <vt:lpstr>XDO_?YTM?67?</vt:lpstr>
      <vt:lpstr>XDO_?YTM?68?</vt:lpstr>
      <vt:lpstr>XDO_?YTM?69?</vt:lpstr>
      <vt:lpstr>XDO_?YTM?70?</vt:lpstr>
      <vt:lpstr>XDO_GROUP_?G_2?12?</vt:lpstr>
      <vt:lpstr>XDO_GROUP_?G_3?12?</vt:lpstr>
      <vt:lpstr>XDO_GROUP_?G_4?60?</vt:lpstr>
      <vt:lpstr>XDO_GROUP_?G_4?61?</vt:lpstr>
      <vt:lpstr>XDO_GROUP_?G_4?62?</vt:lpstr>
      <vt:lpstr>XDO_GROUP_?G_4?63?</vt:lpstr>
      <vt:lpstr>XDO_GROUP_?G_4?64?</vt:lpstr>
      <vt:lpstr>XDO_GROUP_?G_4?65?</vt:lpstr>
      <vt:lpstr>XDO_GROUP_?G_4?66?</vt:lpstr>
      <vt:lpstr>XDO_GROUP_?G_4?67?</vt:lpstr>
      <vt:lpstr>XDO_GROUP_?G_4?68?</vt:lpstr>
      <vt:lpstr>XDO_GROUP_?G_4?69?</vt:lpstr>
      <vt:lpstr>XDO_GROUP_?G_4?70?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2023-11-08T10:27:10Z</dcterms:created>
  <dcterms:modified xsi:type="dcterms:W3CDTF">2023-11-09T08:12:57Z</dcterms:modified>
</cp:coreProperties>
</file>