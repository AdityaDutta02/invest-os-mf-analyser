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76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21?">'Monthly Portfolio'!$C$8:$C$31</definedName>
    <definedName name="XDO_?FINAL_ISIN?93?">'Monthly Portfolio'!$D$10:$D$31</definedName>
    <definedName name="XDO_?FINAL_ISIN?94?">'Monthly Portfolio'!$D$10:$D$70</definedName>
    <definedName name="XDO_?FINAL_ISIN?95?">'Monthly Portfolio'!$D$10:$D$74</definedName>
    <definedName name="XDO_?FINAL_MV?93?">'Monthly Portfolio'!$G$10:$G$31</definedName>
    <definedName name="XDO_?FINAL_MV?94?">'Monthly Portfolio'!$G$10:$G$70</definedName>
    <definedName name="XDO_?FINAL_MV?95?">'Monthly Portfolio'!$G$10:$G$74</definedName>
    <definedName name="XDO_?FINAL_NAME?93?">'Monthly Portfolio'!$C$10:$C$31</definedName>
    <definedName name="XDO_?FINAL_NAME?94?">'Monthly Portfolio'!$C$10:$C$70</definedName>
    <definedName name="XDO_?FINAL_NAME?95?">'Monthly Portfolio'!$C$10:$C$74</definedName>
    <definedName name="XDO_?FINAL_PER_NET?93?">'Monthly Portfolio'!$H$10:$H$31</definedName>
    <definedName name="XDO_?FINAL_PER_NET?94?">'Monthly Portfolio'!$H$10:$H$70</definedName>
    <definedName name="XDO_?FINAL_PER_NET?95?">'Monthly Portfolio'!$H$10:$H$74</definedName>
    <definedName name="XDO_?FINAL_QUANTITE?93?">'Monthly Portfolio'!$F$10:$F$31</definedName>
    <definedName name="XDO_?FINAL_QUANTITE?94?">'Monthly Portfolio'!$F$10:$F$70</definedName>
    <definedName name="XDO_?FINAL_QUANTITE?95?">'Monthly Portfolio'!$F$10:$F$74</definedName>
    <definedName name="XDO_?NAMC?">[1]MT!#REF!</definedName>
    <definedName name="XDO_?NAMC?1?">[1]LW!#REF!</definedName>
    <definedName name="XDO_?NAMC?10?">[1]AR!#REF!</definedName>
    <definedName name="XDO_?NAMC?11?">[1]SE!#REF!</definedName>
    <definedName name="XDO_?NAMC?12?">[1]FO!#REF!</definedName>
    <definedName name="XDO_?NAMC?13?">[1]IC!#REF!</definedName>
    <definedName name="XDO_?NAMC?14?">[1]AF!#REF!</definedName>
    <definedName name="XDO_?NAMC?15?">[1]FX!#REF!</definedName>
    <definedName name="XDO_?NAMC?16?">[1]MA!#REF!</definedName>
    <definedName name="XDO_?NAMC?17?">[1]GR!#REF!</definedName>
    <definedName name="XDO_?NAMC?18?">[1]GF!#REF!</definedName>
    <definedName name="XDO_?NAMC?19?">[1]LQ!#REF!</definedName>
    <definedName name="XDO_?NAMC?2?">[1]FL!#REF!</definedName>
    <definedName name="XDO_?NAMC?20?">[1]SI!#REF!</definedName>
    <definedName name="XDO_?NAMC?21?">'Monthly Portfolio'!#REF!</definedName>
    <definedName name="XDO_?NAMC?22?">[1]CO!#REF!</definedName>
    <definedName name="XDO_?NAMC?23?">[1]US!#REF!</definedName>
    <definedName name="XDO_?NAMC?24?">[1]DE!#REF!</definedName>
    <definedName name="XDO_?NAMC?25?">[1]ON!#REF!</definedName>
    <definedName name="XDO_?NAMC?26?">[1]BM!#REF!</definedName>
    <definedName name="XDO_?NAMC?27?">[1]ES!#REF!</definedName>
    <definedName name="XDO_?NAMC?28?">[1]LM!#REF!</definedName>
    <definedName name="XDO_?NAMC?29?">[1]BP!#REF!</definedName>
    <definedName name="XDO_?NAMC?3?">[1]CB!#REF!</definedName>
    <definedName name="XDO_?NAMC?30?">[1]BC!#REF!</definedName>
    <definedName name="XDO_?NAMC?4?">[1]NS!#REF!</definedName>
    <definedName name="XDO_?NAMC?5?">[1]N2!#REF!</definedName>
    <definedName name="XDO_?NAMC?6?">[1]MC!#REF!</definedName>
    <definedName name="XDO_?NAMC?7?">[1]LC!#REF!</definedName>
    <definedName name="XDO_?NAMC?8?">[1]TA!#REF!</definedName>
    <definedName name="XDO_?NAMC?9?">[1]CH!#REF!</definedName>
    <definedName name="XDO_?NAMCNAME?21?">'Monthly Portfolio'!$C$2:$C$31</definedName>
    <definedName name="XDO_?NDATE?">[1]MT!#REF!</definedName>
    <definedName name="XDO_?NDATE?1?">[1]LW!#REF!</definedName>
    <definedName name="XDO_?NDATE?10?">[1]AR!#REF!</definedName>
    <definedName name="XDO_?NDATE?11?">[1]SE!#REF!</definedName>
    <definedName name="XDO_?NDATE?12?">[1]FO!#REF!</definedName>
    <definedName name="XDO_?NDATE?13?">[1]IC!#REF!</definedName>
    <definedName name="XDO_?NDATE?14?">[1]AF!#REF!</definedName>
    <definedName name="XDO_?NDATE?15?">[1]FX!#REF!</definedName>
    <definedName name="XDO_?NDATE?16?">[1]MA!#REF!</definedName>
    <definedName name="XDO_?NDATE?17?">[1]GR!#REF!</definedName>
    <definedName name="XDO_?NDATE?18?">[1]GF!#REF!</definedName>
    <definedName name="XDO_?NDATE?19?">[1]LQ!#REF!</definedName>
    <definedName name="XDO_?NDATE?2?">[1]FL!#REF!</definedName>
    <definedName name="XDO_?NDATE?20?">[1]SI!#REF!</definedName>
    <definedName name="XDO_?NDATE?21?">'Monthly Portfolio'!#REF!</definedName>
    <definedName name="XDO_?NDATE?22?">[1]CO!#REF!</definedName>
    <definedName name="XDO_?NDATE?23?">[1]US!#REF!</definedName>
    <definedName name="XDO_?NDATE?24?">[1]DE!#REF!</definedName>
    <definedName name="XDO_?NDATE?25?">[1]ON!#REF!</definedName>
    <definedName name="XDO_?NDATE?26?">[1]BM!#REF!</definedName>
    <definedName name="XDO_?NDATE?27?">[1]ES!#REF!</definedName>
    <definedName name="XDO_?NDATE?28?">[1]LM!#REF!</definedName>
    <definedName name="XDO_?NDATE?29?">[1]BP!#REF!</definedName>
    <definedName name="XDO_?NDATE?3?">[1]CB!#REF!</definedName>
    <definedName name="XDO_?NDATE?30?">[1]BC!#REF!</definedName>
    <definedName name="XDO_?NDATE?4?">[1]NS!#REF!</definedName>
    <definedName name="XDO_?NDATE?5?">[1]N2!#REF!</definedName>
    <definedName name="XDO_?NDATE?6?">[1]MC!#REF!</definedName>
    <definedName name="XDO_?NDATE?7?">[1]LC!#REF!</definedName>
    <definedName name="XDO_?NDATE?8?">[1]TA!#REF!</definedName>
    <definedName name="XDO_?NDATE?9?">[1]CH!#REF!</definedName>
    <definedName name="XDO_?NNPTF?">[1]MT!#REF!</definedName>
    <definedName name="XDO_?NNPTF?1?">[1]LW!#REF!</definedName>
    <definedName name="XDO_?NNPTF?10?">[1]AR!#REF!</definedName>
    <definedName name="XDO_?NNPTF?11?">[1]SE!#REF!</definedName>
    <definedName name="XDO_?NNPTF?12?">[1]FO!#REF!</definedName>
    <definedName name="XDO_?NNPTF?13?">[1]IC!#REF!</definedName>
    <definedName name="XDO_?NNPTF?14?">[1]AF!#REF!</definedName>
    <definedName name="XDO_?NNPTF?15?">[1]FX!#REF!</definedName>
    <definedName name="XDO_?NNPTF?16?">[1]MA!#REF!</definedName>
    <definedName name="XDO_?NNPTF?17?">[1]GR!#REF!</definedName>
    <definedName name="XDO_?NNPTF?18?">[1]GF!#REF!</definedName>
    <definedName name="XDO_?NNPTF?19?">[1]LQ!#REF!</definedName>
    <definedName name="XDO_?NNPTF?2?">[1]FL!#REF!</definedName>
    <definedName name="XDO_?NNPTF?20?">[1]SI!#REF!</definedName>
    <definedName name="XDO_?NNPTF?21?">'Monthly Portfolio'!#REF!</definedName>
    <definedName name="XDO_?NNPTF?22?">[1]CO!#REF!</definedName>
    <definedName name="XDO_?NNPTF?23?">[1]US!#REF!</definedName>
    <definedName name="XDO_?NNPTF?24?">[1]DE!#REF!</definedName>
    <definedName name="XDO_?NNPTF?25?">[1]ON!#REF!</definedName>
    <definedName name="XDO_?NNPTF?26?">[1]BM!#REF!</definedName>
    <definedName name="XDO_?NNPTF?27?">[1]ES!#REF!</definedName>
    <definedName name="XDO_?NNPTF?28?">[1]LM!#REF!</definedName>
    <definedName name="XDO_?NNPTF?29?">[1]BP!#REF!</definedName>
    <definedName name="XDO_?NNPTF?3?">[1]CB!#REF!</definedName>
    <definedName name="XDO_?NNPTF?30?">[1]BC!#REF!</definedName>
    <definedName name="XDO_?NNPTF?4?">[1]NS!#REF!</definedName>
    <definedName name="XDO_?NNPTF?5?">[1]N2!#REF!</definedName>
    <definedName name="XDO_?NNPTF?6?">[1]MC!#REF!</definedName>
    <definedName name="XDO_?NNPTF?7?">[1]LC!#REF!</definedName>
    <definedName name="XDO_?NNPTF?8?">[1]TA!#REF!</definedName>
    <definedName name="XDO_?NNPTF?9?">[1]CH!#REF!</definedName>
    <definedName name="XDO_?NOVAL?93?">'Monthly Portfolio'!$B$10:$B$31</definedName>
    <definedName name="XDO_?NOVAL?94?">'Monthly Portfolio'!$B$10:$B$70</definedName>
    <definedName name="XDO_?NOVAL?95?">'Monthly Portfolio'!$B$10:$B$74</definedName>
    <definedName name="XDO_?NPTF?21?">'Monthly Portfolio'!$D$2:$D$31</definedName>
    <definedName name="XDO_?RATING?93?">'Monthly Portfolio'!$E$10:$E$31</definedName>
    <definedName name="XDO_?RATING?94?">'Monthly Portfolio'!$E$10:$E$70</definedName>
    <definedName name="XDO_?RATING?95?">'Monthly Portfolio'!$E$10:$E$74</definedName>
    <definedName name="XDO_?REMARKS?93?">'Monthly Portfolio'!$K$10:$K$31</definedName>
    <definedName name="XDO_?REMARKS?94?">'Monthly Portfolio'!$K$10:$K$70</definedName>
    <definedName name="XDO_?REMARKS?95?">'Monthly Portfolio'!$K$10:$K$74</definedName>
    <definedName name="XDO_?TITL?21?">'Monthly Portfolio'!$A$8:$A$31</definedName>
    <definedName name="XDO_?YTM?93?">'Monthly Portfolio'!$I$10:$I$31</definedName>
    <definedName name="XDO_?YTM?94?">'Monthly Portfolio'!$I$10:$I$70</definedName>
    <definedName name="XDO_?YTM?95?">'Monthly Portfolio'!$I$10:$I$74</definedName>
    <definedName name="XDO_GROUP_?G_2?21?">'Monthly Portfolio'!$2:$42</definedName>
    <definedName name="XDO_GROUP_?G_3?21?">'Monthly Portfolio'!$8:$41</definedName>
    <definedName name="XDO_GROUP_?G_4?117?">[1]ON!#REF!</definedName>
    <definedName name="XDO_GROUP_?G_4?32?">[1]TA!#REF!</definedName>
    <definedName name="XDO_GROUP_?G_4?76?">[1]GR!#REF!</definedName>
    <definedName name="XDO_GROUP_?G_4?93?">'Monthly Portfolio'!$B$10:$IV$31</definedName>
    <definedName name="XDO_GROUP_?G_4?94?">'Monthly Portfolio'!$B$36:$IV$36</definedName>
    <definedName name="XDO_GROUP_?G_4?95?">'Monthly Portfolio'!$B$39:$IV$39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8" i="2"/>
  <c r="H77" i="1"/>
</calcChain>
</file>

<file path=xl/sharedStrings.xml><?xml version="1.0" encoding="utf-8"?>
<sst xmlns="http://schemas.openxmlformats.org/spreadsheetml/2006/main" count="389" uniqueCount="154">
  <si>
    <t>Baroda BNP Paribas Mutual Fund</t>
  </si>
  <si>
    <t>YR29</t>
  </si>
  <si>
    <t>SCHEME NAME :</t>
  </si>
  <si>
    <t xml:space="preserve">Baroda BNP Paribas Banking &amp; Financial Services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</si>
  <si>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</si>
  <si>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</si>
  <si>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</si>
  <si>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</si>
  <si>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</si>
  <si>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</si>
  <si>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</si>
  <si>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</si>
  <si>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</si>
  <si>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</si>
  <si>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</si>
  <si>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</si>
  <si>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</si>
  <si>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</si>
  <si>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</si>
  <si>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</si>
  <si>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</si>
  <si>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</si>
  <si>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</si>
  <si>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</si>
  <si>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</si>
  <si>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</si>
  <si>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</si>
  <si>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</si>
  <si>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</si>
  <si>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</si>
  <si>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</si>
  <si>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</si>
  <si>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100013</t>
  </si>
  <si>
    <t>IndusInd Bank Ltd.</t>
  </si>
  <si>
    <t>INE095A01012</t>
  </si>
  <si>
    <t>100125</t>
  </si>
  <si>
    <t>Bajaj Finance Ltd.</t>
  </si>
  <si>
    <t>INE296A01024</t>
  </si>
  <si>
    <t>Finance</t>
  </si>
  <si>
    <t>100055</t>
  </si>
  <si>
    <t>The Federal Bank Ltd.</t>
  </si>
  <si>
    <t>INE171A01029</t>
  </si>
  <si>
    <t>101783</t>
  </si>
  <si>
    <t>Five Star Business Finance Ltd.</t>
  </si>
  <si>
    <t>INE128S01021</t>
  </si>
  <si>
    <t>100254</t>
  </si>
  <si>
    <t>Karur Vysya Bank Ltd.</t>
  </si>
  <si>
    <t>INE036D01028</t>
  </si>
  <si>
    <t>100001</t>
  </si>
  <si>
    <t>Housing Development Finance Corporation Ltd.</t>
  </si>
  <si>
    <t>INE001A01036</t>
  </si>
  <si>
    <t>100231</t>
  </si>
  <si>
    <t>Muthoot Finance Ltd.</t>
  </si>
  <si>
    <t>INE414G01012</t>
  </si>
  <si>
    <t>100694</t>
  </si>
  <si>
    <t>Indian Energy Exchange Ltd.</t>
  </si>
  <si>
    <t>INE022Q01020</t>
  </si>
  <si>
    <t>Capital Markets</t>
  </si>
  <si>
    <t>100684</t>
  </si>
  <si>
    <t>SBI Life Insurance Co. Ltd.</t>
  </si>
  <si>
    <t>INE123W01016</t>
  </si>
  <si>
    <t>Insurance</t>
  </si>
  <si>
    <t>100399</t>
  </si>
  <si>
    <t>Cholamandalam Investment &amp; Finance Co. Ltd.</t>
  </si>
  <si>
    <t>INE121A01024</t>
  </si>
  <si>
    <t>100380</t>
  </si>
  <si>
    <t>Bajaj Finserv Ltd.</t>
  </si>
  <si>
    <t>INE918I01026</t>
  </si>
  <si>
    <t>100107</t>
  </si>
  <si>
    <t>Max Financial Services Ltd.</t>
  </si>
  <si>
    <t>INE180A01020</t>
  </si>
  <si>
    <t>100663</t>
  </si>
  <si>
    <t>AU Small Finance Bank Ltd.</t>
  </si>
  <si>
    <t>INE949L01017</t>
  </si>
  <si>
    <t>100682</t>
  </si>
  <si>
    <t>ICICI Lombard General Insurance Company Ltd.</t>
  </si>
  <si>
    <t>INE765G01017</t>
  </si>
  <si>
    <t>100067</t>
  </si>
  <si>
    <t>DCB Bank Ltd.</t>
  </si>
  <si>
    <t>INE503A01015</t>
  </si>
  <si>
    <t>101469</t>
  </si>
  <si>
    <t>Equitas Small Finance Bank Ltd.</t>
  </si>
  <si>
    <t>INE063P01018</t>
  </si>
  <si>
    <t>300005</t>
  </si>
  <si>
    <t>INE001A13049</t>
  </si>
  <si>
    <t>W**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</si>
  <si>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</si>
  <si>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</si>
  <si>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</si>
  <si>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</si>
  <si>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</si>
  <si>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</si>
  <si>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</si>
  <si>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</si>
  <si>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</si>
  <si>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</si>
  <si>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</si>
  <si>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</si>
  <si>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</si>
  <si>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</si>
  <si>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</si>
  <si>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</si>
  <si>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</si>
  <si>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</si>
  <si>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</si>
  <si>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</si>
  <si>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</si>
  <si>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304230100</t>
  </si>
  <si>
    <t>TREPS 03-Apr-2023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</si>
  <si>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</si>
  <si>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</si>
  <si>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</si>
  <si>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</si>
  <si>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</si>
  <si>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</si>
  <si>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</si>
  <si>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</si>
  <si>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</si>
  <si>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</si>
  <si>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</si>
  <si>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</si>
  <si>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</si>
  <si>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</si>
  <si>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February 28, 2023</t>
  </si>
  <si>
    <t>As on March 31,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</si>
  <si>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</si>
  <si>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</si>
  <si>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</si>
  <si>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</si>
  <si>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</si>
  <si>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</si>
  <si>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</si>
  <si>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March 31, 2023. Further there are no investments in derivative instruments as on March 31, 2023.</t>
  </si>
  <si>
    <t>(10) Total Market value of investments in Foreign Securities/American Depositary Receipts/Global Depositary Receipts as at  March 31, 2023 is Rs. Nil.</t>
  </si>
  <si>
    <t>(11)  During the period, the portfolio turnover ratio is  0.03 times.</t>
  </si>
  <si>
    <t>(12)  Details of repo transaction in corporate debt securities for the Month ended March 31, 2023 is Nil.</t>
  </si>
  <si>
    <t>(13)  Investments in debt instruments having structured obligations or credit enhancement features as at March 31, 2023 is Rs. Nil.</t>
  </si>
  <si>
    <t>(14) Investment in Partly paid Debentures during the Month ended  March 31, 2023 and as on  March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</si>
  <si>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</si>
  <si>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</si>
  <si>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</si>
  <si>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</si>
  <si>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</si>
  <si>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March 31, 2023 : Rs. Nil</t>
  </si>
  <si>
    <t>BARODA BNP PARIBAS BANKING AND FINANCIAL SERVICES FUND
(An open ended equity scheme investing in the Banking and Financial Services sector)</t>
  </si>
  <si>
    <t>HALF YEARLY PORTFOLIO STATEMENT AS ON MARCH 31, 2023
(Pursuant to the provisions of Regulation 59A of the Securities and Exchange Board of India (Mutual Funds) Regulations, 1996)</t>
  </si>
  <si>
    <t>As on September 30, 2022</t>
  </si>
  <si>
    <t>(8) Details of Dividend declared per unit (In Rupees) during the Half Year are as follows</t>
  </si>
  <si>
    <t>(9) There were no investments made in derivative instruments and no such derivative instrument was squared off/ expired /exercised during the Half Year ended March 31, 2023. Further there are no investments in derivative instruments as on March 31, 2023.</t>
  </si>
  <si>
    <t>(11)  During the period, the portfolio turnover ratio is  0.40 times.</t>
  </si>
  <si>
    <t>(12)  Details of repo transaction in corporate debt securities for the Half Year ended March 31, 2023 is Nil.</t>
  </si>
  <si>
    <t>(14) Investment in Partly paid Debentures during the Half Year ended  March 31, 2023 and as on  March 31, 2023 is Rs. Nil.</t>
  </si>
  <si>
    <t>during the Half Year there were no cases of deviation from valuation agency price</t>
  </si>
  <si>
    <t>(16) Transactions in Credit Default Swaps during Half year ended  March 31,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</si>
</sst>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4" borderId="19" xfId="0" applyFont="1" applyFill="1" applyBorder="1" applyAlignment="1">
      <alignment horizontal="center" wrapText="1"/>
    </xf>
    <xf numFmtId="0" fontId="13" fillId="4" borderId="20" xfId="0" applyFont="1" applyFill="1" applyBorder="1" applyAlignment="1">
      <alignment horizontal="center" wrapText="1"/>
    </xf>
    <xf numFmtId="0" fontId="13" fillId="4" borderId="21" xfId="0" applyFont="1" applyFill="1" applyBorder="1" applyAlignment="1">
      <alignment horizontal="center" wrapText="1"/>
    </xf>
    <xf numFmtId="0" fontId="13" fillId="4" borderId="22" xfId="0" applyFont="1" applyFill="1" applyBorder="1" applyAlignment="1">
      <alignment horizontal="center" wrapText="1"/>
    </xf>
    <xf numFmtId="0" fontId="13" fillId="4" borderId="23" xfId="0" applyFont="1" applyFill="1" applyBorder="1" applyAlignment="1">
      <alignment horizontal="center" wrapText="1"/>
    </xf>
    <xf numFmtId="0" fontId="13" fillId="4" borderId="24" xfId="0" applyFont="1" applyFill="1" applyBorder="1" applyAlignment="1">
      <alignment horizontal="center" wrapText="1"/>
    </xf>
    <xf numFmtId="0" fontId="13" fillId="5" borderId="25" xfId="0" applyFont="1" applyFill="1" applyBorder="1" applyAlignment="1">
      <alignment horizontal="center" wrapText="1"/>
    </xf>
    <xf numFmtId="0" fontId="13" fillId="5" borderId="26" xfId="0" applyFont="1" applyFill="1" applyBorder="1" applyAlignment="1">
      <alignment horizontal="center" wrapText="1"/>
    </xf>
    <xf numFmtId="0" fontId="13" fillId="5" borderId="27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5</xdr:col>
      <xdr:colOff>703241</xdr:colOff>
      <xdr:row>128</xdr:row>
      <xdr:rowOff>15918</xdr:rowOff>
    </xdr:to>
    <xdr:pic>
      <xdr:nvPicPr>
        <xdr:cNvPr id="2" name="Picture 1" descr="Banking and Financial Services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19325167"/>
          <a:ext cx="7455408" cy="27675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5</xdr:col>
      <xdr:colOff>703241</xdr:colOff>
      <xdr:row>130</xdr:row>
      <xdr:rowOff>15918</xdr:rowOff>
    </xdr:to>
    <xdr:pic>
      <xdr:nvPicPr>
        <xdr:cNvPr id="2" name="Picture 1" descr="Banking and Financial Services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19933920"/>
          <a:ext cx="7652681" cy="28353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1-03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14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A7" sqref="A7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I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45016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>
      <c r="C7" s="21"/>
      <c r="D7" s="22"/>
      <c r="E7" s="23"/>
      <c r="F7" s="24"/>
      <c r="G7" s="25"/>
      <c r="H7" s="25"/>
      <c r="I7" s="26"/>
      <c r="J7" s="26"/>
      <c r="K7" s="27"/>
    </row>
    <row r="8" spans="1:54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4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4">
      <c r="B10" s="1" t="s">
        <v>16</v>
      </c>
      <c r="C10" s="21" t="s">
        <v>17</v>
      </c>
      <c r="D10" s="31" t="s">
        <v>18</v>
      </c>
      <c r="E10" s="32" t="s">
        <v>19</v>
      </c>
      <c r="F10" s="33">
        <v>103000</v>
      </c>
      <c r="G10" s="34">
        <v>1657.84</v>
      </c>
      <c r="H10" s="34">
        <v>22.85</v>
      </c>
      <c r="I10" s="35"/>
      <c r="J10" s="35"/>
      <c r="K10" s="36"/>
    </row>
    <row r="11" spans="1:54">
      <c r="B11" s="1" t="s">
        <v>20</v>
      </c>
      <c r="C11" s="21" t="s">
        <v>21</v>
      </c>
      <c r="D11" s="31" t="s">
        <v>22</v>
      </c>
      <c r="E11" s="32" t="s">
        <v>19</v>
      </c>
      <c r="F11" s="33">
        <v>150000</v>
      </c>
      <c r="G11" s="34">
        <v>1315.88</v>
      </c>
      <c r="H11" s="34">
        <v>18.14</v>
      </c>
      <c r="I11" s="35"/>
      <c r="J11" s="35"/>
      <c r="K11" s="36"/>
    </row>
    <row r="12" spans="1:54">
      <c r="B12" s="1" t="s">
        <v>23</v>
      </c>
      <c r="C12" s="21" t="s">
        <v>24</v>
      </c>
      <c r="D12" s="31" t="s">
        <v>25</v>
      </c>
      <c r="E12" s="32" t="s">
        <v>19</v>
      </c>
      <c r="F12" s="33">
        <v>135000</v>
      </c>
      <c r="G12" s="34">
        <v>707.06</v>
      </c>
      <c r="H12" s="34">
        <v>9.75</v>
      </c>
      <c r="I12" s="35"/>
      <c r="J12" s="35"/>
      <c r="K12" s="36"/>
    </row>
    <row r="13" spans="1:54">
      <c r="B13" s="1" t="s">
        <v>26</v>
      </c>
      <c r="C13" s="21" t="s">
        <v>27</v>
      </c>
      <c r="D13" s="31" t="s">
        <v>28</v>
      </c>
      <c r="E13" s="32" t="s">
        <v>19</v>
      </c>
      <c r="F13" s="33">
        <v>70000</v>
      </c>
      <c r="G13" s="34">
        <v>600.95000000000005</v>
      </c>
      <c r="H13" s="34">
        <v>8.2799999999999994</v>
      </c>
      <c r="I13" s="35"/>
      <c r="J13" s="35"/>
      <c r="K13" s="36"/>
    </row>
    <row r="14" spans="1:54">
      <c r="B14" s="1" t="s">
        <v>29</v>
      </c>
      <c r="C14" s="21" t="s">
        <v>30</v>
      </c>
      <c r="D14" s="31" t="s">
        <v>31</v>
      </c>
      <c r="E14" s="32" t="s">
        <v>19</v>
      </c>
      <c r="F14" s="33">
        <v>21000</v>
      </c>
      <c r="G14" s="34">
        <v>363.9</v>
      </c>
      <c r="H14" s="34">
        <v>5.0199999999999996</v>
      </c>
      <c r="I14" s="35"/>
      <c r="J14" s="35"/>
      <c r="K14" s="36"/>
    </row>
    <row r="15" spans="1:54">
      <c r="B15" s="1" t="s">
        <v>32</v>
      </c>
      <c r="C15" s="21" t="s">
        <v>33</v>
      </c>
      <c r="D15" s="31" t="s">
        <v>34</v>
      </c>
      <c r="E15" s="32" t="s">
        <v>19</v>
      </c>
      <c r="F15" s="33">
        <v>22500</v>
      </c>
      <c r="G15" s="34">
        <v>240.29</v>
      </c>
      <c r="H15" s="34">
        <v>3.31</v>
      </c>
      <c r="I15" s="35"/>
      <c r="J15" s="35"/>
      <c r="K15" s="36"/>
    </row>
    <row r="16" spans="1:54">
      <c r="B16" s="1" t="s">
        <v>35</v>
      </c>
      <c r="C16" s="21" t="s">
        <v>36</v>
      </c>
      <c r="D16" s="31" t="s">
        <v>37</v>
      </c>
      <c r="E16" s="32" t="s">
        <v>38</v>
      </c>
      <c r="F16" s="33">
        <v>3900</v>
      </c>
      <c r="G16" s="34">
        <v>219.05</v>
      </c>
      <c r="H16" s="34">
        <v>3.02</v>
      </c>
      <c r="I16" s="35"/>
      <c r="J16" s="35"/>
      <c r="K16" s="36"/>
    </row>
    <row r="17" spans="2:11">
      <c r="B17" s="1" t="s">
        <v>39</v>
      </c>
      <c r="C17" s="21" t="s">
        <v>40</v>
      </c>
      <c r="D17" s="31" t="s">
        <v>41</v>
      </c>
      <c r="E17" s="32" t="s">
        <v>19</v>
      </c>
      <c r="F17" s="33">
        <v>155000</v>
      </c>
      <c r="G17" s="34">
        <v>205.07</v>
      </c>
      <c r="H17" s="34">
        <v>2.83</v>
      </c>
      <c r="I17" s="35"/>
      <c r="J17" s="35"/>
      <c r="K17" s="36"/>
    </row>
    <row r="18" spans="2:11">
      <c r="B18" s="1" t="s">
        <v>42</v>
      </c>
      <c r="C18" s="21" t="s">
        <v>43</v>
      </c>
      <c r="D18" s="31" t="s">
        <v>44</v>
      </c>
      <c r="E18" s="32" t="s">
        <v>38</v>
      </c>
      <c r="F18" s="33">
        <v>31080</v>
      </c>
      <c r="G18" s="34">
        <v>168.02</v>
      </c>
      <c r="H18" s="34">
        <v>2.3199999999999998</v>
      </c>
      <c r="I18" s="35"/>
      <c r="J18" s="35"/>
      <c r="K18" s="36"/>
    </row>
    <row r="19" spans="2:11">
      <c r="B19" s="1" t="s">
        <v>45</v>
      </c>
      <c r="C19" s="21" t="s">
        <v>46</v>
      </c>
      <c r="D19" s="31" t="s">
        <v>47</v>
      </c>
      <c r="E19" s="32" t="s">
        <v>19</v>
      </c>
      <c r="F19" s="33">
        <v>160000</v>
      </c>
      <c r="G19" s="34">
        <v>167.04</v>
      </c>
      <c r="H19" s="34">
        <v>2.2999999999999998</v>
      </c>
      <c r="I19" s="35"/>
      <c r="J19" s="35"/>
      <c r="K19" s="36"/>
    </row>
    <row r="20" spans="2:11">
      <c r="B20" s="1" t="s">
        <v>48</v>
      </c>
      <c r="C20" s="21" t="s">
        <v>49</v>
      </c>
      <c r="D20" s="31" t="s">
        <v>50</v>
      </c>
      <c r="E20" s="32" t="s">
        <v>38</v>
      </c>
      <c r="F20" s="33">
        <v>6000</v>
      </c>
      <c r="G20" s="34">
        <v>157.53</v>
      </c>
      <c r="H20" s="34">
        <v>2.17</v>
      </c>
      <c r="I20" s="35"/>
      <c r="J20" s="35"/>
      <c r="K20" s="36"/>
    </row>
    <row r="21" spans="2:11">
      <c r="B21" s="1" t="s">
        <v>51</v>
      </c>
      <c r="C21" s="21" t="s">
        <v>52</v>
      </c>
      <c r="D21" s="31" t="s">
        <v>53</v>
      </c>
      <c r="E21" s="32" t="s">
        <v>38</v>
      </c>
      <c r="F21" s="33">
        <v>15000</v>
      </c>
      <c r="G21" s="34">
        <v>146.99</v>
      </c>
      <c r="H21" s="34">
        <v>2.0299999999999998</v>
      </c>
      <c r="I21" s="35"/>
      <c r="J21" s="35"/>
      <c r="K21" s="36"/>
    </row>
    <row r="22" spans="2:11">
      <c r="B22" s="1" t="s">
        <v>54</v>
      </c>
      <c r="C22" s="21" t="s">
        <v>55</v>
      </c>
      <c r="D22" s="31" t="s">
        <v>56</v>
      </c>
      <c r="E22" s="32" t="s">
        <v>57</v>
      </c>
      <c r="F22" s="33">
        <v>100000</v>
      </c>
      <c r="G22" s="34">
        <v>127.95</v>
      </c>
      <c r="H22" s="34">
        <v>1.76</v>
      </c>
      <c r="I22" s="35"/>
      <c r="J22" s="35"/>
      <c r="K22" s="36"/>
    </row>
    <row r="23" spans="2:11">
      <c r="B23" s="1" t="s">
        <v>58</v>
      </c>
      <c r="C23" s="21" t="s">
        <v>59</v>
      </c>
      <c r="D23" s="31" t="s">
        <v>60</v>
      </c>
      <c r="E23" s="32" t="s">
        <v>61</v>
      </c>
      <c r="F23" s="33">
        <v>11500</v>
      </c>
      <c r="G23" s="34">
        <v>126.63</v>
      </c>
      <c r="H23" s="34">
        <v>1.75</v>
      </c>
      <c r="I23" s="35"/>
      <c r="J23" s="35"/>
      <c r="K23" s="36"/>
    </row>
    <row r="24" spans="2:11">
      <c r="B24" s="1" t="s">
        <v>62</v>
      </c>
      <c r="C24" s="21" t="s">
        <v>63</v>
      </c>
      <c r="D24" s="31" t="s">
        <v>64</v>
      </c>
      <c r="E24" s="32" t="s">
        <v>38</v>
      </c>
      <c r="F24" s="33">
        <v>16000</v>
      </c>
      <c r="G24" s="34">
        <v>121.81</v>
      </c>
      <c r="H24" s="34">
        <v>1.68</v>
      </c>
      <c r="I24" s="35"/>
      <c r="J24" s="35"/>
      <c r="K24" s="36"/>
    </row>
    <row r="25" spans="2:11">
      <c r="B25" s="1" t="s">
        <v>65</v>
      </c>
      <c r="C25" s="21" t="s">
        <v>66</v>
      </c>
      <c r="D25" s="31" t="s">
        <v>67</v>
      </c>
      <c r="E25" s="32" t="s">
        <v>38</v>
      </c>
      <c r="F25" s="33">
        <v>7500</v>
      </c>
      <c r="G25" s="34">
        <v>94.99</v>
      </c>
      <c r="H25" s="34">
        <v>1.31</v>
      </c>
      <c r="I25" s="35"/>
      <c r="J25" s="35"/>
      <c r="K25" s="36"/>
    </row>
    <row r="26" spans="2:11">
      <c r="B26" s="1" t="s">
        <v>68</v>
      </c>
      <c r="C26" s="21" t="s">
        <v>69</v>
      </c>
      <c r="D26" s="31" t="s">
        <v>70</v>
      </c>
      <c r="E26" s="32" t="s">
        <v>61</v>
      </c>
      <c r="F26" s="33">
        <v>14000</v>
      </c>
      <c r="G26" s="34">
        <v>88.9</v>
      </c>
      <c r="H26" s="34">
        <v>1.23</v>
      </c>
      <c r="I26" s="35"/>
      <c r="J26" s="35"/>
      <c r="K26" s="36"/>
    </row>
    <row r="27" spans="2:11">
      <c r="B27" s="1" t="s">
        <v>71</v>
      </c>
      <c r="C27" s="21" t="s">
        <v>72</v>
      </c>
      <c r="D27" s="31" t="s">
        <v>73</v>
      </c>
      <c r="E27" s="32" t="s">
        <v>19</v>
      </c>
      <c r="F27" s="33">
        <v>15000</v>
      </c>
      <c r="G27" s="34">
        <v>86.88</v>
      </c>
      <c r="H27" s="34">
        <v>1.2</v>
      </c>
      <c r="I27" s="35"/>
      <c r="J27" s="35"/>
      <c r="K27" s="36"/>
    </row>
    <row r="28" spans="2:11">
      <c r="B28" s="1" t="s">
        <v>74</v>
      </c>
      <c r="C28" s="21" t="s">
        <v>75</v>
      </c>
      <c r="D28" s="31" t="s">
        <v>76</v>
      </c>
      <c r="E28" s="32" t="s">
        <v>61</v>
      </c>
      <c r="F28" s="33">
        <v>8000</v>
      </c>
      <c r="G28" s="34">
        <v>85.56</v>
      </c>
      <c r="H28" s="34">
        <v>1.18</v>
      </c>
      <c r="I28" s="35"/>
      <c r="J28" s="35"/>
      <c r="K28" s="36"/>
    </row>
    <row r="29" spans="2:11">
      <c r="B29" s="1" t="s">
        <v>77</v>
      </c>
      <c r="C29" s="21" t="s">
        <v>78</v>
      </c>
      <c r="D29" s="31" t="s">
        <v>79</v>
      </c>
      <c r="E29" s="32" t="s">
        <v>19</v>
      </c>
      <c r="F29" s="33">
        <v>75000</v>
      </c>
      <c r="G29" s="34">
        <v>79.88</v>
      </c>
      <c r="H29" s="34">
        <v>1.1000000000000001</v>
      </c>
      <c r="I29" s="35"/>
      <c r="J29" s="35"/>
      <c r="K29" s="36"/>
    </row>
    <row r="30" spans="2:11">
      <c r="B30" s="1" t="s">
        <v>80</v>
      </c>
      <c r="C30" s="21" t="s">
        <v>81</v>
      </c>
      <c r="D30" s="31" t="s">
        <v>82</v>
      </c>
      <c r="E30" s="32" t="s">
        <v>19</v>
      </c>
      <c r="F30" s="33">
        <v>110000</v>
      </c>
      <c r="G30" s="34">
        <v>73.81</v>
      </c>
      <c r="H30" s="34">
        <v>1.02</v>
      </c>
      <c r="I30" s="35"/>
      <c r="J30" s="35"/>
      <c r="K30" s="36"/>
    </row>
    <row r="31" spans="2:11">
      <c r="B31" s="1" t="s">
        <v>83</v>
      </c>
      <c r="C31" s="21" t="s">
        <v>49</v>
      </c>
      <c r="D31" s="31" t="s">
        <v>84</v>
      </c>
      <c r="E31" s="32" t="s">
        <v>38</v>
      </c>
      <c r="F31" s="33">
        <v>9600</v>
      </c>
      <c r="G31" s="34">
        <v>51.58</v>
      </c>
      <c r="H31" s="34">
        <v>0.71</v>
      </c>
      <c r="I31" s="35"/>
      <c r="J31" s="35"/>
      <c r="K31" s="36" t="s">
        <v>85</v>
      </c>
    </row>
    <row r="32" spans="2:11">
      <c r="C32" s="30" t="s">
        <v>86</v>
      </c>
      <c r="D32" s="31"/>
      <c r="E32" s="32"/>
      <c r="F32" s="33"/>
      <c r="G32" s="38">
        <v>6887.61</v>
      </c>
      <c r="H32" s="38">
        <v>94.96</v>
      </c>
      <c r="I32" s="35"/>
      <c r="J32" s="35"/>
      <c r="K32" s="36"/>
    </row>
    <row r="33" spans="3:11">
      <c r="C33" s="21"/>
      <c r="D33" s="31"/>
      <c r="E33" s="32"/>
      <c r="F33" s="33"/>
      <c r="G33" s="34"/>
      <c r="H33" s="34"/>
      <c r="I33" s="35"/>
      <c r="J33" s="35"/>
      <c r="K33" s="36"/>
    </row>
    <row r="34" spans="3:11">
      <c r="C34" s="30" t="s">
        <v>87</v>
      </c>
      <c r="D34" s="31"/>
      <c r="E34" s="32"/>
      <c r="F34" s="33"/>
      <c r="G34" s="34" t="s">
        <v>88</v>
      </c>
      <c r="H34" s="34" t="s">
        <v>88</v>
      </c>
      <c r="I34" s="35"/>
      <c r="J34" s="35"/>
      <c r="K34" s="36"/>
    </row>
    <row r="35" spans="3:11">
      <c r="C35" s="21"/>
      <c r="D35" s="31"/>
      <c r="E35" s="32"/>
      <c r="F35" s="33"/>
      <c r="G35" s="34"/>
      <c r="H35" s="34"/>
      <c r="I35" s="35"/>
      <c r="J35" s="35"/>
      <c r="K35" s="36"/>
    </row>
    <row r="36" spans="3:11">
      <c r="C36" s="30" t="s">
        <v>89</v>
      </c>
      <c r="D36" s="31"/>
      <c r="E36" s="32"/>
      <c r="F36" s="33"/>
      <c r="G36" s="34" t="s">
        <v>88</v>
      </c>
      <c r="H36" s="34" t="s">
        <v>88</v>
      </c>
      <c r="I36" s="35"/>
      <c r="J36" s="35"/>
      <c r="K36" s="36"/>
    </row>
    <row r="37" spans="3:11">
      <c r="C37" s="21"/>
      <c r="D37" s="31"/>
      <c r="E37" s="32"/>
      <c r="F37" s="33"/>
      <c r="G37" s="34"/>
      <c r="H37" s="34"/>
      <c r="I37" s="35"/>
      <c r="J37" s="35"/>
      <c r="K37" s="36"/>
    </row>
    <row r="38" spans="3:11">
      <c r="C38" s="30" t="s">
        <v>90</v>
      </c>
      <c r="D38" s="31"/>
      <c r="E38" s="32"/>
      <c r="F38" s="33"/>
      <c r="G38" s="34"/>
      <c r="H38" s="34"/>
      <c r="I38" s="35"/>
      <c r="J38" s="35"/>
      <c r="K38" s="36"/>
    </row>
    <row r="39" spans="3:11">
      <c r="C39" s="21"/>
      <c r="D39" s="31"/>
      <c r="E39" s="32"/>
      <c r="F39" s="33"/>
      <c r="G39" s="34"/>
      <c r="H39" s="34"/>
      <c r="I39" s="35"/>
      <c r="J39" s="35"/>
      <c r="K39" s="36"/>
    </row>
    <row r="40" spans="3:11">
      <c r="C40" s="30" t="s">
        <v>91</v>
      </c>
      <c r="D40" s="31"/>
      <c r="E40" s="32"/>
      <c r="F40" s="33"/>
      <c r="G40" s="34" t="s">
        <v>88</v>
      </c>
      <c r="H40" s="34" t="s">
        <v>88</v>
      </c>
      <c r="I40" s="35"/>
      <c r="J40" s="35"/>
      <c r="K40" s="36"/>
    </row>
    <row r="41" spans="3:11">
      <c r="C41" s="21"/>
      <c r="D41" s="31"/>
      <c r="E41" s="32"/>
      <c r="F41" s="33"/>
      <c r="G41" s="34"/>
      <c r="H41" s="34"/>
      <c r="I41" s="35"/>
      <c r="J41" s="35"/>
      <c r="K41" s="36"/>
    </row>
    <row r="42" spans="3:11">
      <c r="C42" s="30" t="s">
        <v>92</v>
      </c>
      <c r="D42" s="31"/>
      <c r="E42" s="32"/>
      <c r="F42" s="33"/>
      <c r="G42" s="34" t="s">
        <v>88</v>
      </c>
      <c r="H42" s="34" t="s">
        <v>88</v>
      </c>
      <c r="I42" s="35"/>
      <c r="J42" s="35"/>
      <c r="K42" s="36"/>
    </row>
    <row r="43" spans="3:11">
      <c r="C43" s="21"/>
      <c r="D43" s="31"/>
      <c r="E43" s="32"/>
      <c r="F43" s="33"/>
      <c r="G43" s="34"/>
      <c r="H43" s="34"/>
      <c r="I43" s="35"/>
      <c r="J43" s="35"/>
      <c r="K43" s="36"/>
    </row>
    <row r="44" spans="3:11">
      <c r="C44" s="30" t="s">
        <v>93</v>
      </c>
      <c r="D44" s="31"/>
      <c r="E44" s="32"/>
      <c r="F44" s="33"/>
      <c r="G44" s="34" t="s">
        <v>88</v>
      </c>
      <c r="H44" s="34" t="s">
        <v>88</v>
      </c>
      <c r="I44" s="35"/>
      <c r="J44" s="35"/>
      <c r="K44" s="36"/>
    </row>
    <row r="45" spans="3:11">
      <c r="C45" s="21"/>
      <c r="D45" s="31"/>
      <c r="E45" s="32"/>
      <c r="F45" s="33"/>
      <c r="G45" s="34"/>
      <c r="H45" s="34"/>
      <c r="I45" s="35"/>
      <c r="J45" s="35"/>
      <c r="K45" s="36"/>
    </row>
    <row r="46" spans="3:11">
      <c r="C46" s="30" t="s">
        <v>94</v>
      </c>
      <c r="D46" s="31"/>
      <c r="E46" s="32"/>
      <c r="F46" s="33"/>
      <c r="G46" s="34" t="s">
        <v>88</v>
      </c>
      <c r="H46" s="34" t="s">
        <v>88</v>
      </c>
      <c r="I46" s="35"/>
      <c r="J46" s="35"/>
      <c r="K46" s="36"/>
    </row>
    <row r="47" spans="3:11">
      <c r="C47" s="21"/>
      <c r="D47" s="31"/>
      <c r="E47" s="32"/>
      <c r="F47" s="33"/>
      <c r="G47" s="34"/>
      <c r="H47" s="34"/>
      <c r="I47" s="35"/>
      <c r="J47" s="35"/>
      <c r="K47" s="36"/>
    </row>
    <row r="48" spans="3:11">
      <c r="C48" s="30" t="s">
        <v>95</v>
      </c>
      <c r="D48" s="31"/>
      <c r="E48" s="32"/>
      <c r="F48" s="33"/>
      <c r="G48" s="34" t="s">
        <v>88</v>
      </c>
      <c r="H48" s="34" t="s">
        <v>88</v>
      </c>
      <c r="I48" s="35"/>
      <c r="J48" s="35"/>
      <c r="K48" s="36"/>
    </row>
    <row r="49" spans="1:11">
      <c r="C49" s="21"/>
      <c r="D49" s="31"/>
      <c r="E49" s="32"/>
      <c r="F49" s="33"/>
      <c r="G49" s="34"/>
      <c r="H49" s="34"/>
      <c r="I49" s="35"/>
      <c r="J49" s="35"/>
      <c r="K49" s="36"/>
    </row>
    <row r="50" spans="1:11">
      <c r="C50" s="30" t="s">
        <v>96</v>
      </c>
      <c r="D50" s="31"/>
      <c r="E50" s="32"/>
      <c r="F50" s="33"/>
      <c r="G50" s="34"/>
      <c r="H50" s="34"/>
      <c r="I50" s="35"/>
      <c r="J50" s="35"/>
      <c r="K50" s="36"/>
    </row>
    <row r="51" spans="1:11">
      <c r="C51" s="21"/>
      <c r="D51" s="31"/>
      <c r="E51" s="32"/>
      <c r="F51" s="33"/>
      <c r="G51" s="34"/>
      <c r="H51" s="34"/>
      <c r="I51" s="35"/>
      <c r="J51" s="35"/>
      <c r="K51" s="36"/>
    </row>
    <row r="52" spans="1:11">
      <c r="C52" s="30" t="s">
        <v>97</v>
      </c>
      <c r="D52" s="31"/>
      <c r="E52" s="32"/>
      <c r="F52" s="33"/>
      <c r="G52" s="34" t="s">
        <v>88</v>
      </c>
      <c r="H52" s="34" t="s">
        <v>88</v>
      </c>
      <c r="I52" s="35"/>
      <c r="J52" s="35"/>
      <c r="K52" s="36"/>
    </row>
    <row r="53" spans="1:11">
      <c r="C53" s="21"/>
      <c r="D53" s="31"/>
      <c r="E53" s="32"/>
      <c r="F53" s="33"/>
      <c r="G53" s="34"/>
      <c r="H53" s="34"/>
      <c r="I53" s="35"/>
      <c r="J53" s="35"/>
      <c r="K53" s="36"/>
    </row>
    <row r="54" spans="1:11">
      <c r="C54" s="30" t="s">
        <v>98</v>
      </c>
      <c r="D54" s="31"/>
      <c r="E54" s="32"/>
      <c r="F54" s="33"/>
      <c r="G54" s="34" t="s">
        <v>88</v>
      </c>
      <c r="H54" s="34" t="s">
        <v>88</v>
      </c>
      <c r="I54" s="35"/>
      <c r="J54" s="35"/>
      <c r="K54" s="36"/>
    </row>
    <row r="55" spans="1:11">
      <c r="C55" s="21"/>
      <c r="D55" s="31"/>
      <c r="E55" s="32"/>
      <c r="F55" s="33"/>
      <c r="G55" s="34"/>
      <c r="H55" s="34"/>
      <c r="I55" s="35"/>
      <c r="J55" s="35"/>
      <c r="K55" s="36"/>
    </row>
    <row r="56" spans="1:11">
      <c r="C56" s="30" t="s">
        <v>99</v>
      </c>
      <c r="D56" s="31"/>
      <c r="E56" s="32"/>
      <c r="F56" s="33"/>
      <c r="G56" s="34" t="s">
        <v>88</v>
      </c>
      <c r="H56" s="34" t="s">
        <v>88</v>
      </c>
      <c r="I56" s="35"/>
      <c r="J56" s="35"/>
      <c r="K56" s="36"/>
    </row>
    <row r="57" spans="1:11">
      <c r="C57" s="21"/>
      <c r="D57" s="31"/>
      <c r="E57" s="32"/>
      <c r="F57" s="33"/>
      <c r="G57" s="34"/>
      <c r="H57" s="34"/>
      <c r="I57" s="35"/>
      <c r="J57" s="35"/>
      <c r="K57" s="36"/>
    </row>
    <row r="58" spans="1:11">
      <c r="C58" s="30" t="s">
        <v>100</v>
      </c>
      <c r="D58" s="31"/>
      <c r="E58" s="32"/>
      <c r="F58" s="33"/>
      <c r="G58" s="34" t="s">
        <v>88</v>
      </c>
      <c r="H58" s="34" t="s">
        <v>88</v>
      </c>
      <c r="I58" s="35"/>
      <c r="J58" s="35"/>
      <c r="K58" s="36"/>
    </row>
    <row r="59" spans="1:11">
      <c r="C59" s="21"/>
      <c r="D59" s="31"/>
      <c r="E59" s="32"/>
      <c r="F59" s="33"/>
      <c r="G59" s="34"/>
      <c r="H59" s="34"/>
      <c r="I59" s="35"/>
      <c r="J59" s="35"/>
      <c r="K59" s="36"/>
    </row>
    <row r="60" spans="1:11">
      <c r="A60" s="28"/>
      <c r="B60" s="29"/>
      <c r="C60" s="30" t="s">
        <v>101</v>
      </c>
      <c r="D60" s="31"/>
      <c r="E60" s="32"/>
      <c r="F60" s="33"/>
      <c r="G60" s="34"/>
      <c r="H60" s="34"/>
      <c r="I60" s="35"/>
      <c r="J60" s="35"/>
      <c r="K60" s="36"/>
    </row>
    <row r="61" spans="1:11">
      <c r="A61" s="29"/>
      <c r="B61" s="29"/>
      <c r="C61" s="30" t="s">
        <v>102</v>
      </c>
      <c r="D61" s="31"/>
      <c r="E61" s="32"/>
      <c r="F61" s="33"/>
      <c r="G61" s="34" t="s">
        <v>88</v>
      </c>
      <c r="H61" s="34" t="s">
        <v>88</v>
      </c>
      <c r="I61" s="35"/>
      <c r="J61" s="35"/>
      <c r="K61" s="36"/>
    </row>
    <row r="62" spans="1:11">
      <c r="A62" s="29"/>
      <c r="B62" s="29"/>
      <c r="C62" s="30"/>
      <c r="D62" s="31"/>
      <c r="E62" s="32"/>
      <c r="F62" s="33"/>
      <c r="G62" s="34"/>
      <c r="H62" s="34"/>
      <c r="I62" s="35"/>
      <c r="J62" s="35"/>
      <c r="K62" s="36"/>
    </row>
    <row r="63" spans="1:11">
      <c r="A63" s="29"/>
      <c r="B63" s="29"/>
      <c r="C63" s="30" t="s">
        <v>103</v>
      </c>
      <c r="D63" s="31"/>
      <c r="E63" s="32"/>
      <c r="F63" s="33"/>
      <c r="G63" s="34" t="s">
        <v>88</v>
      </c>
      <c r="H63" s="34" t="s">
        <v>88</v>
      </c>
      <c r="I63" s="35"/>
      <c r="J63" s="35"/>
      <c r="K63" s="36"/>
    </row>
    <row r="64" spans="1:11">
      <c r="A64" s="29"/>
      <c r="B64" s="29"/>
      <c r="C64" s="30"/>
      <c r="D64" s="31"/>
      <c r="E64" s="32"/>
      <c r="F64" s="33"/>
      <c r="G64" s="34"/>
      <c r="H64" s="34"/>
      <c r="I64" s="35"/>
      <c r="J64" s="35"/>
      <c r="K64" s="36"/>
    </row>
    <row r="65" spans="1:11">
      <c r="A65" s="29"/>
      <c r="B65" s="29"/>
      <c r="C65" s="30" t="s">
        <v>104</v>
      </c>
      <c r="D65" s="31"/>
      <c r="E65" s="32"/>
      <c r="F65" s="33"/>
      <c r="G65" s="34" t="s">
        <v>88</v>
      </c>
      <c r="H65" s="34" t="s">
        <v>88</v>
      </c>
      <c r="I65" s="35"/>
      <c r="J65" s="35"/>
      <c r="K65" s="36"/>
    </row>
    <row r="66" spans="1:11">
      <c r="A66" s="29"/>
      <c r="B66" s="29"/>
      <c r="C66" s="30"/>
      <c r="D66" s="31"/>
      <c r="E66" s="32"/>
      <c r="F66" s="33"/>
      <c r="G66" s="34"/>
      <c r="H66" s="34"/>
      <c r="I66" s="35"/>
      <c r="J66" s="35"/>
      <c r="K66" s="36"/>
    </row>
    <row r="67" spans="1:11">
      <c r="A67" s="29"/>
      <c r="B67" s="29"/>
      <c r="C67" s="30" t="s">
        <v>105</v>
      </c>
      <c r="D67" s="31"/>
      <c r="E67" s="32"/>
      <c r="F67" s="33"/>
      <c r="G67" s="34" t="s">
        <v>88</v>
      </c>
      <c r="H67" s="34" t="s">
        <v>88</v>
      </c>
      <c r="I67" s="35"/>
      <c r="J67" s="35"/>
      <c r="K67" s="36"/>
    </row>
    <row r="68" spans="1:11">
      <c r="A68" s="29"/>
      <c r="B68" s="29"/>
      <c r="C68" s="30"/>
      <c r="D68" s="31"/>
      <c r="E68" s="32"/>
      <c r="F68" s="33"/>
      <c r="G68" s="34"/>
      <c r="H68" s="34"/>
      <c r="I68" s="35"/>
      <c r="J68" s="35"/>
      <c r="K68" s="36"/>
    </row>
    <row r="69" spans="1:11">
      <c r="C69" s="37" t="s">
        <v>106</v>
      </c>
      <c r="D69" s="31"/>
      <c r="E69" s="32"/>
      <c r="F69" s="33"/>
      <c r="G69" s="34"/>
      <c r="H69" s="34"/>
      <c r="I69" s="35"/>
      <c r="J69" s="35"/>
      <c r="K69" s="36"/>
    </row>
    <row r="70" spans="1:11">
      <c r="B70" s="1" t="s">
        <v>107</v>
      </c>
      <c r="C70" s="21" t="s">
        <v>108</v>
      </c>
      <c r="D70" s="31"/>
      <c r="E70" s="32"/>
      <c r="F70" s="33"/>
      <c r="G70" s="34">
        <v>521.41999999999996</v>
      </c>
      <c r="H70" s="34">
        <v>7.19</v>
      </c>
      <c r="I70" s="35">
        <v>7.14</v>
      </c>
      <c r="J70" s="35"/>
      <c r="K70" s="36"/>
    </row>
    <row r="71" spans="1:11">
      <c r="C71" s="30" t="s">
        <v>86</v>
      </c>
      <c r="D71" s="31"/>
      <c r="E71" s="32"/>
      <c r="F71" s="33"/>
      <c r="G71" s="38">
        <v>521.41999999999996</v>
      </c>
      <c r="H71" s="38">
        <v>7.19</v>
      </c>
      <c r="I71" s="35"/>
      <c r="J71" s="35"/>
      <c r="K71" s="36"/>
    </row>
    <row r="72" spans="1:11">
      <c r="C72" s="21"/>
      <c r="D72" s="31"/>
      <c r="E72" s="32"/>
      <c r="F72" s="33"/>
      <c r="G72" s="34"/>
      <c r="H72" s="34"/>
      <c r="I72" s="35"/>
      <c r="J72" s="35"/>
      <c r="K72" s="36"/>
    </row>
    <row r="73" spans="1:11">
      <c r="A73" s="28"/>
      <c r="B73" s="29"/>
      <c r="C73" s="30" t="s">
        <v>109</v>
      </c>
      <c r="D73" s="31"/>
      <c r="E73" s="32"/>
      <c r="F73" s="33"/>
      <c r="G73" s="34"/>
      <c r="H73" s="34"/>
      <c r="I73" s="35"/>
      <c r="J73" s="35"/>
      <c r="K73" s="36"/>
    </row>
    <row r="74" spans="1:11">
      <c r="B74" s="1"/>
      <c r="C74" s="21" t="s">
        <v>110</v>
      </c>
      <c r="D74" s="31"/>
      <c r="E74" s="32"/>
      <c r="F74" s="33"/>
      <c r="G74" s="34">
        <v>-155.28</v>
      </c>
      <c r="H74" s="34">
        <v>-2.15</v>
      </c>
      <c r="I74" s="35"/>
      <c r="J74" s="35"/>
      <c r="K74" s="36"/>
    </row>
    <row r="75" spans="1:11">
      <c r="C75" s="30" t="s">
        <v>86</v>
      </c>
      <c r="D75" s="31"/>
      <c r="E75" s="32"/>
      <c r="F75" s="33"/>
      <c r="G75" s="38">
        <v>-155.28</v>
      </c>
      <c r="H75" s="38">
        <v>-2.15</v>
      </c>
      <c r="I75" s="35"/>
      <c r="J75" s="35"/>
      <c r="K75" s="36"/>
    </row>
    <row r="76" spans="1:11">
      <c r="C76" s="21"/>
      <c r="D76" s="31"/>
      <c r="E76" s="32"/>
      <c r="F76" s="33"/>
      <c r="G76" s="34"/>
      <c r="H76" s="34"/>
      <c r="I76" s="35"/>
      <c r="J76" s="35"/>
      <c r="K76" s="36"/>
    </row>
    <row r="77" spans="1:11" ht="14.4" thickBot="1">
      <c r="C77" s="39" t="s">
        <v>111</v>
      </c>
      <c r="D77" s="40"/>
      <c r="E77" s="41"/>
      <c r="F77" s="42"/>
      <c r="G77" s="43">
        <v>7253.75</v>
      </c>
      <c r="H77" s="43">
        <f>SUMIFS(H:H,C:C,"Total")</f>
        <v>99.999999999999986</v>
      </c>
      <c r="I77" s="44"/>
      <c r="J77" s="44"/>
      <c r="K77" s="45"/>
    </row>
    <row r="80" spans="1:11">
      <c r="C80" s="11" t="s">
        <v>112</v>
      </c>
    </row>
    <row r="81" spans="3:54">
      <c r="C81" s="2" t="s">
        <v>113</v>
      </c>
    </row>
    <row r="82" spans="3:54">
      <c r="C82" s="46" t="s">
        <v>114</v>
      </c>
    </row>
    <row r="83" spans="3:54">
      <c r="C83" s="2" t="s">
        <v>115</v>
      </c>
    </row>
    <row r="84" spans="3:54">
      <c r="C84" s="2" t="s">
        <v>116</v>
      </c>
    </row>
    <row r="85" spans="3:54">
      <c r="C85" s="2" t="s">
        <v>117</v>
      </c>
      <c r="D85" s="47"/>
      <c r="E85" s="47"/>
      <c r="F85" s="47"/>
      <c r="G85" s="48"/>
      <c r="H85" s="48"/>
    </row>
    <row r="86" spans="3:54">
      <c r="C86" s="2" t="s">
        <v>118</v>
      </c>
    </row>
    <row r="87" spans="3:54">
      <c r="C87" s="2" t="s">
        <v>119</v>
      </c>
    </row>
    <row r="88" spans="3:54">
      <c r="C88" s="2" t="s">
        <v>120</v>
      </c>
    </row>
    <row r="89" spans="3:54">
      <c r="C89" s="2" t="s">
        <v>121</v>
      </c>
    </row>
    <row r="90" spans="3:54" s="11" customFormat="1">
      <c r="C90" s="11" t="s">
        <v>122</v>
      </c>
      <c r="E90" s="11" t="s">
        <v>123</v>
      </c>
      <c r="F90" s="49" t="s">
        <v>124</v>
      </c>
      <c r="G90" s="50"/>
      <c r="H90" s="50"/>
      <c r="I90" s="50"/>
      <c r="J90" s="50"/>
      <c r="K90" s="51"/>
      <c r="L90" s="51"/>
      <c r="AI90" s="51"/>
      <c r="AV90" s="51"/>
      <c r="AX90" s="51"/>
      <c r="BB90" s="51"/>
    </row>
    <row r="91" spans="3:54">
      <c r="C91" s="2" t="s">
        <v>125</v>
      </c>
      <c r="E91" s="52">
        <v>17.505400000000002</v>
      </c>
      <c r="F91" s="53">
        <v>16.066099999999999</v>
      </c>
    </row>
    <row r="92" spans="3:54">
      <c r="C92" s="2" t="s">
        <v>126</v>
      </c>
      <c r="E92" s="52">
        <v>29.874099999999999</v>
      </c>
      <c r="F92" s="53">
        <v>29.7942</v>
      </c>
    </row>
    <row r="93" spans="3:54">
      <c r="C93" s="2" t="s">
        <v>127</v>
      </c>
      <c r="E93" s="52">
        <v>19.3935</v>
      </c>
      <c r="F93" s="53">
        <v>17.8093</v>
      </c>
    </row>
    <row r="94" spans="3:54">
      <c r="C94" s="2" t="s">
        <v>128</v>
      </c>
      <c r="E94" s="52">
        <v>32.389000000000003</v>
      </c>
      <c r="F94" s="53">
        <v>32.325600000000001</v>
      </c>
    </row>
    <row r="96" spans="3:54">
      <c r="C96" s="2" t="s">
        <v>129</v>
      </c>
      <c r="E96" s="11" t="s">
        <v>130</v>
      </c>
      <c r="F96" s="49" t="s">
        <v>131</v>
      </c>
    </row>
    <row r="97" spans="3:11">
      <c r="C97" s="2" t="s">
        <v>125</v>
      </c>
      <c r="E97" s="52">
        <v>1.36</v>
      </c>
      <c r="F97" s="53">
        <v>1.36</v>
      </c>
    </row>
    <row r="98" spans="3:11">
      <c r="C98" s="2" t="s">
        <v>127</v>
      </c>
      <c r="E98" s="52">
        <v>1.51</v>
      </c>
      <c r="F98" s="53">
        <v>1.51</v>
      </c>
    </row>
    <row r="100" spans="3:11">
      <c r="C100" s="2" t="s">
        <v>132</v>
      </c>
    </row>
    <row r="101" spans="3:11">
      <c r="C101" s="2" t="s">
        <v>133</v>
      </c>
    </row>
    <row r="102" spans="3:11">
      <c r="C102" s="2" t="s">
        <v>134</v>
      </c>
    </row>
    <row r="103" spans="3:11">
      <c r="C103" s="2" t="s">
        <v>135</v>
      </c>
    </row>
    <row r="104" spans="3:11">
      <c r="C104" s="2" t="s">
        <v>136</v>
      </c>
    </row>
    <row r="105" spans="3:11">
      <c r="C105" s="2" t="s">
        <v>137</v>
      </c>
    </row>
    <row r="106" spans="3:11">
      <c r="C106" s="2" t="s">
        <v>138</v>
      </c>
    </row>
    <row r="107" spans="3:11">
      <c r="C107" s="2" t="s">
        <v>139</v>
      </c>
    </row>
    <row r="108" spans="3:11">
      <c r="C108" s="2" t="s">
        <v>140</v>
      </c>
    </row>
    <row r="109" spans="3:11">
      <c r="C109" s="2" t="s">
        <v>141</v>
      </c>
    </row>
    <row r="110" spans="3:11">
      <c r="C110" s="2" t="s">
        <v>142</v>
      </c>
    </row>
    <row r="111" spans="3:11">
      <c r="C111" s="2" t="s">
        <v>143</v>
      </c>
    </row>
    <row r="112" spans="3:11" ht="14.4">
      <c r="C112" s="54"/>
      <c r="D112" s="54"/>
      <c r="E112" s="55"/>
      <c r="F112" s="55"/>
      <c r="G112" s="55"/>
      <c r="H112" s="55"/>
      <c r="I112" s="55"/>
      <c r="J112" s="55"/>
      <c r="K112" s="55"/>
    </row>
    <row r="113" spans="3:11" ht="14.4">
      <c r="C113" s="55"/>
      <c r="D113" s="55"/>
      <c r="E113" s="55"/>
      <c r="F113" s="55"/>
      <c r="G113" s="55"/>
      <c r="H113" s="55"/>
      <c r="I113" s="55"/>
      <c r="J113" s="55"/>
      <c r="K113" s="55"/>
    </row>
    <row r="114" spans="3:11" ht="14.4">
      <c r="C114" s="55"/>
      <c r="D114" s="55"/>
      <c r="E114" s="55"/>
      <c r="F114" s="55"/>
      <c r="G114" s="55"/>
      <c r="H114" s="55"/>
      <c r="I114" s="55"/>
      <c r="J114" s="55"/>
      <c r="K114" s="55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116"/>
  <sheetViews>
    <sheetView workbookViewId="0"/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4.4" thickBot="1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4.4">
      <c r="C2" s="56" t="s">
        <v>144</v>
      </c>
      <c r="D2" s="57"/>
      <c r="E2" s="57"/>
      <c r="F2" s="57"/>
      <c r="G2" s="57"/>
      <c r="H2" s="57"/>
      <c r="I2" s="57"/>
      <c r="J2" s="57"/>
      <c r="K2" s="58"/>
      <c r="M2" s="9"/>
    </row>
    <row r="3" spans="1:54" ht="14.4" thickBot="1">
      <c r="C3" s="59"/>
      <c r="D3" s="60"/>
      <c r="E3" s="60"/>
      <c r="F3" s="60"/>
      <c r="G3" s="60"/>
      <c r="H3" s="60"/>
      <c r="I3" s="60"/>
      <c r="J3" s="60"/>
      <c r="K3" s="61"/>
    </row>
    <row r="4" spans="1:54" ht="14.4" thickBot="1">
      <c r="A4" s="1"/>
      <c r="C4" s="1"/>
      <c r="D4" s="1"/>
      <c r="E4" s="1"/>
      <c r="F4" s="3"/>
      <c r="G4" s="4"/>
      <c r="H4" s="4"/>
      <c r="I4" s="4"/>
      <c r="J4" s="4"/>
      <c r="K4" s="5"/>
      <c r="L4" s="2"/>
      <c r="AH4" s="5"/>
      <c r="AI4" s="2"/>
      <c r="AU4" s="5"/>
      <c r="AV4" s="2"/>
      <c r="AW4" s="5"/>
      <c r="AX4" s="2"/>
      <c r="BA4" s="5"/>
      <c r="BB4" s="2"/>
    </row>
    <row r="5" spans="1:54" ht="22.2" thickBot="1">
      <c r="C5" s="62" t="s">
        <v>145</v>
      </c>
      <c r="D5" s="63"/>
      <c r="E5" s="63"/>
      <c r="F5" s="63"/>
      <c r="G5" s="63"/>
      <c r="H5" s="63"/>
      <c r="I5" s="63"/>
      <c r="J5" s="63"/>
      <c r="K5" s="64"/>
      <c r="L5" s="2"/>
      <c r="AH5" s="10"/>
      <c r="AI5" s="2"/>
      <c r="AU5" s="10"/>
      <c r="AV5" s="2"/>
      <c r="AW5" s="10"/>
      <c r="AX5" s="2"/>
      <c r="BA5" s="10"/>
      <c r="BB5" s="2"/>
    </row>
    <row r="6" spans="1:54" ht="14.4" thickBot="1">
      <c r="C6" s="11"/>
    </row>
    <row r="7" spans="1:54" ht="27.6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11</v>
      </c>
      <c r="J7" s="19" t="s">
        <v>12</v>
      </c>
      <c r="K7" s="20" t="s">
        <v>13</v>
      </c>
    </row>
    <row r="8" spans="1:54">
      <c r="C8" s="21"/>
      <c r="D8" s="22"/>
      <c r="E8" s="23"/>
      <c r="F8" s="24"/>
      <c r="G8" s="25"/>
      <c r="H8" s="25"/>
      <c r="I8" s="26"/>
      <c r="J8" s="26"/>
      <c r="K8" s="27"/>
    </row>
    <row r="9" spans="1:54">
      <c r="A9" s="28"/>
      <c r="B9" s="29"/>
      <c r="C9" s="30" t="s">
        <v>14</v>
      </c>
      <c r="D9" s="31"/>
      <c r="E9" s="32"/>
      <c r="F9" s="33"/>
      <c r="G9" s="34"/>
      <c r="H9" s="34"/>
      <c r="I9" s="35"/>
      <c r="J9" s="35"/>
      <c r="K9" s="36"/>
    </row>
    <row r="10" spans="1:54">
      <c r="C10" s="37" t="s">
        <v>15</v>
      </c>
      <c r="D10" s="31"/>
      <c r="E10" s="32"/>
      <c r="F10" s="33"/>
      <c r="G10" s="34"/>
      <c r="H10" s="34"/>
      <c r="I10" s="35"/>
      <c r="J10" s="35"/>
      <c r="K10" s="36"/>
    </row>
    <row r="11" spans="1:54">
      <c r="B11" s="1" t="s">
        <v>16</v>
      </c>
      <c r="C11" s="21" t="s">
        <v>17</v>
      </c>
      <c r="D11" s="31" t="s">
        <v>18</v>
      </c>
      <c r="E11" s="32" t="s">
        <v>19</v>
      </c>
      <c r="F11" s="33">
        <v>103000</v>
      </c>
      <c r="G11" s="34">
        <v>1657.84</v>
      </c>
      <c r="H11" s="34">
        <v>22.85</v>
      </c>
      <c r="I11" s="35"/>
      <c r="J11" s="35"/>
      <c r="K11" s="36"/>
    </row>
    <row r="12" spans="1:54">
      <c r="B12" s="1" t="s">
        <v>20</v>
      </c>
      <c r="C12" s="21" t="s">
        <v>21</v>
      </c>
      <c r="D12" s="31" t="s">
        <v>22</v>
      </c>
      <c r="E12" s="32" t="s">
        <v>19</v>
      </c>
      <c r="F12" s="33">
        <v>150000</v>
      </c>
      <c r="G12" s="34">
        <v>1315.88</v>
      </c>
      <c r="H12" s="34">
        <v>18.14</v>
      </c>
      <c r="I12" s="35"/>
      <c r="J12" s="35"/>
      <c r="K12" s="36"/>
    </row>
    <row r="13" spans="1:54">
      <c r="B13" s="1" t="s">
        <v>23</v>
      </c>
      <c r="C13" s="21" t="s">
        <v>24</v>
      </c>
      <c r="D13" s="31" t="s">
        <v>25</v>
      </c>
      <c r="E13" s="32" t="s">
        <v>19</v>
      </c>
      <c r="F13" s="33">
        <v>135000</v>
      </c>
      <c r="G13" s="34">
        <v>707.06</v>
      </c>
      <c r="H13" s="34">
        <v>9.75</v>
      </c>
      <c r="I13" s="35"/>
      <c r="J13" s="35"/>
      <c r="K13" s="36"/>
    </row>
    <row r="14" spans="1:54">
      <c r="B14" s="1" t="s">
        <v>26</v>
      </c>
      <c r="C14" s="21" t="s">
        <v>27</v>
      </c>
      <c r="D14" s="31" t="s">
        <v>28</v>
      </c>
      <c r="E14" s="32" t="s">
        <v>19</v>
      </c>
      <c r="F14" s="33">
        <v>70000</v>
      </c>
      <c r="G14" s="34">
        <v>600.95000000000005</v>
      </c>
      <c r="H14" s="34">
        <v>8.2799999999999994</v>
      </c>
      <c r="I14" s="35"/>
      <c r="J14" s="35"/>
      <c r="K14" s="36"/>
    </row>
    <row r="15" spans="1:54">
      <c r="B15" s="1" t="s">
        <v>29</v>
      </c>
      <c r="C15" s="21" t="s">
        <v>30</v>
      </c>
      <c r="D15" s="31" t="s">
        <v>31</v>
      </c>
      <c r="E15" s="32" t="s">
        <v>19</v>
      </c>
      <c r="F15" s="33">
        <v>21000</v>
      </c>
      <c r="G15" s="34">
        <v>363.9</v>
      </c>
      <c r="H15" s="34">
        <v>5.0199999999999996</v>
      </c>
      <c r="I15" s="35"/>
      <c r="J15" s="35"/>
      <c r="K15" s="36"/>
    </row>
    <row r="16" spans="1:54">
      <c r="B16" s="1" t="s">
        <v>32</v>
      </c>
      <c r="C16" s="21" t="s">
        <v>33</v>
      </c>
      <c r="D16" s="31" t="s">
        <v>34</v>
      </c>
      <c r="E16" s="32" t="s">
        <v>19</v>
      </c>
      <c r="F16" s="33">
        <v>22500</v>
      </c>
      <c r="G16" s="34">
        <v>240.29</v>
      </c>
      <c r="H16" s="34">
        <v>3.31</v>
      </c>
      <c r="I16" s="35"/>
      <c r="J16" s="35"/>
      <c r="K16" s="36"/>
    </row>
    <row r="17" spans="2:11">
      <c r="B17" s="1" t="s">
        <v>35</v>
      </c>
      <c r="C17" s="21" t="s">
        <v>36</v>
      </c>
      <c r="D17" s="31" t="s">
        <v>37</v>
      </c>
      <c r="E17" s="32" t="s">
        <v>38</v>
      </c>
      <c r="F17" s="33">
        <v>3900</v>
      </c>
      <c r="G17" s="34">
        <v>219.05</v>
      </c>
      <c r="H17" s="34">
        <v>3.02</v>
      </c>
      <c r="I17" s="35"/>
      <c r="J17" s="35"/>
      <c r="K17" s="36"/>
    </row>
    <row r="18" spans="2:11">
      <c r="B18" s="1" t="s">
        <v>39</v>
      </c>
      <c r="C18" s="21" t="s">
        <v>40</v>
      </c>
      <c r="D18" s="31" t="s">
        <v>41</v>
      </c>
      <c r="E18" s="32" t="s">
        <v>19</v>
      </c>
      <c r="F18" s="33">
        <v>155000</v>
      </c>
      <c r="G18" s="34">
        <v>205.07</v>
      </c>
      <c r="H18" s="34">
        <v>2.83</v>
      </c>
      <c r="I18" s="35"/>
      <c r="J18" s="35"/>
      <c r="K18" s="36"/>
    </row>
    <row r="19" spans="2:11">
      <c r="B19" s="1" t="s">
        <v>42</v>
      </c>
      <c r="C19" s="21" t="s">
        <v>43</v>
      </c>
      <c r="D19" s="31" t="s">
        <v>44</v>
      </c>
      <c r="E19" s="32" t="s">
        <v>38</v>
      </c>
      <c r="F19" s="33">
        <v>31080</v>
      </c>
      <c r="G19" s="34">
        <v>168.02</v>
      </c>
      <c r="H19" s="34">
        <v>2.3199999999999998</v>
      </c>
      <c r="I19" s="35"/>
      <c r="J19" s="35"/>
      <c r="K19" s="36"/>
    </row>
    <row r="20" spans="2:11">
      <c r="B20" s="1" t="s">
        <v>45</v>
      </c>
      <c r="C20" s="21" t="s">
        <v>46</v>
      </c>
      <c r="D20" s="31" t="s">
        <v>47</v>
      </c>
      <c r="E20" s="32" t="s">
        <v>19</v>
      </c>
      <c r="F20" s="33">
        <v>160000</v>
      </c>
      <c r="G20" s="34">
        <v>167.04</v>
      </c>
      <c r="H20" s="34">
        <v>2.2999999999999998</v>
      </c>
      <c r="I20" s="35"/>
      <c r="J20" s="35"/>
      <c r="K20" s="36"/>
    </row>
    <row r="21" spans="2:11">
      <c r="B21" s="1" t="s">
        <v>48</v>
      </c>
      <c r="C21" s="21" t="s">
        <v>49</v>
      </c>
      <c r="D21" s="31" t="s">
        <v>50</v>
      </c>
      <c r="E21" s="32" t="s">
        <v>38</v>
      </c>
      <c r="F21" s="33">
        <v>6000</v>
      </c>
      <c r="G21" s="34">
        <v>157.53</v>
      </c>
      <c r="H21" s="34">
        <v>2.17</v>
      </c>
      <c r="I21" s="35"/>
      <c r="J21" s="35"/>
      <c r="K21" s="36"/>
    </row>
    <row r="22" spans="2:11">
      <c r="B22" s="1" t="s">
        <v>51</v>
      </c>
      <c r="C22" s="21" t="s">
        <v>52</v>
      </c>
      <c r="D22" s="31" t="s">
        <v>53</v>
      </c>
      <c r="E22" s="32" t="s">
        <v>38</v>
      </c>
      <c r="F22" s="33">
        <v>15000</v>
      </c>
      <c r="G22" s="34">
        <v>146.99</v>
      </c>
      <c r="H22" s="34">
        <v>2.0299999999999998</v>
      </c>
      <c r="I22" s="35"/>
      <c r="J22" s="35"/>
      <c r="K22" s="36"/>
    </row>
    <row r="23" spans="2:11">
      <c r="B23" s="1" t="s">
        <v>54</v>
      </c>
      <c r="C23" s="21" t="s">
        <v>55</v>
      </c>
      <c r="D23" s="31" t="s">
        <v>56</v>
      </c>
      <c r="E23" s="32" t="s">
        <v>57</v>
      </c>
      <c r="F23" s="33">
        <v>100000</v>
      </c>
      <c r="G23" s="34">
        <v>127.95</v>
      </c>
      <c r="H23" s="34">
        <v>1.76</v>
      </c>
      <c r="I23" s="35"/>
      <c r="J23" s="35"/>
      <c r="K23" s="36"/>
    </row>
    <row r="24" spans="2:11">
      <c r="B24" s="1" t="s">
        <v>58</v>
      </c>
      <c r="C24" s="21" t="s">
        <v>59</v>
      </c>
      <c r="D24" s="31" t="s">
        <v>60</v>
      </c>
      <c r="E24" s="32" t="s">
        <v>61</v>
      </c>
      <c r="F24" s="33">
        <v>11500</v>
      </c>
      <c r="G24" s="34">
        <v>126.63</v>
      </c>
      <c r="H24" s="34">
        <v>1.75</v>
      </c>
      <c r="I24" s="35"/>
      <c r="J24" s="35"/>
      <c r="K24" s="36"/>
    </row>
    <row r="25" spans="2:11">
      <c r="B25" s="1" t="s">
        <v>62</v>
      </c>
      <c r="C25" s="21" t="s">
        <v>63</v>
      </c>
      <c r="D25" s="31" t="s">
        <v>64</v>
      </c>
      <c r="E25" s="32" t="s">
        <v>38</v>
      </c>
      <c r="F25" s="33">
        <v>16000</v>
      </c>
      <c r="G25" s="34">
        <v>121.81</v>
      </c>
      <c r="H25" s="34">
        <v>1.68</v>
      </c>
      <c r="I25" s="35"/>
      <c r="J25" s="35"/>
      <c r="K25" s="36"/>
    </row>
    <row r="26" spans="2:11">
      <c r="B26" s="1" t="s">
        <v>65</v>
      </c>
      <c r="C26" s="21" t="s">
        <v>66</v>
      </c>
      <c r="D26" s="31" t="s">
        <v>67</v>
      </c>
      <c r="E26" s="32" t="s">
        <v>38</v>
      </c>
      <c r="F26" s="33">
        <v>7500</v>
      </c>
      <c r="G26" s="34">
        <v>94.99</v>
      </c>
      <c r="H26" s="34">
        <v>1.31</v>
      </c>
      <c r="I26" s="35"/>
      <c r="J26" s="35"/>
      <c r="K26" s="36"/>
    </row>
    <row r="27" spans="2:11">
      <c r="B27" s="1" t="s">
        <v>68</v>
      </c>
      <c r="C27" s="21" t="s">
        <v>69</v>
      </c>
      <c r="D27" s="31" t="s">
        <v>70</v>
      </c>
      <c r="E27" s="32" t="s">
        <v>61</v>
      </c>
      <c r="F27" s="33">
        <v>14000</v>
      </c>
      <c r="G27" s="34">
        <v>88.9</v>
      </c>
      <c r="H27" s="34">
        <v>1.23</v>
      </c>
      <c r="I27" s="35"/>
      <c r="J27" s="35"/>
      <c r="K27" s="36"/>
    </row>
    <row r="28" spans="2:11">
      <c r="B28" s="1" t="s">
        <v>71</v>
      </c>
      <c r="C28" s="21" t="s">
        <v>72</v>
      </c>
      <c r="D28" s="31" t="s">
        <v>73</v>
      </c>
      <c r="E28" s="32" t="s">
        <v>19</v>
      </c>
      <c r="F28" s="33">
        <v>15000</v>
      </c>
      <c r="G28" s="34">
        <v>86.88</v>
      </c>
      <c r="H28" s="34">
        <v>1.2</v>
      </c>
      <c r="I28" s="35"/>
      <c r="J28" s="35"/>
      <c r="K28" s="36"/>
    </row>
    <row r="29" spans="2:11">
      <c r="B29" s="1" t="s">
        <v>74</v>
      </c>
      <c r="C29" s="21" t="s">
        <v>75</v>
      </c>
      <c r="D29" s="31" t="s">
        <v>76</v>
      </c>
      <c r="E29" s="32" t="s">
        <v>61</v>
      </c>
      <c r="F29" s="33">
        <v>8000</v>
      </c>
      <c r="G29" s="34">
        <v>85.56</v>
      </c>
      <c r="H29" s="34">
        <v>1.18</v>
      </c>
      <c r="I29" s="35"/>
      <c r="J29" s="35"/>
      <c r="K29" s="36"/>
    </row>
    <row r="30" spans="2:11">
      <c r="B30" s="1" t="s">
        <v>77</v>
      </c>
      <c r="C30" s="21" t="s">
        <v>78</v>
      </c>
      <c r="D30" s="31" t="s">
        <v>79</v>
      </c>
      <c r="E30" s="32" t="s">
        <v>19</v>
      </c>
      <c r="F30" s="33">
        <v>75000</v>
      </c>
      <c r="G30" s="34">
        <v>79.88</v>
      </c>
      <c r="H30" s="34">
        <v>1.1000000000000001</v>
      </c>
      <c r="I30" s="35"/>
      <c r="J30" s="35"/>
      <c r="K30" s="36"/>
    </row>
    <row r="31" spans="2:11">
      <c r="B31" s="1" t="s">
        <v>80</v>
      </c>
      <c r="C31" s="21" t="s">
        <v>81</v>
      </c>
      <c r="D31" s="31" t="s">
        <v>82</v>
      </c>
      <c r="E31" s="32" t="s">
        <v>19</v>
      </c>
      <c r="F31" s="33">
        <v>110000</v>
      </c>
      <c r="G31" s="34">
        <v>73.81</v>
      </c>
      <c r="H31" s="34">
        <v>1.02</v>
      </c>
      <c r="I31" s="35"/>
      <c r="J31" s="35"/>
      <c r="K31" s="36"/>
    </row>
    <row r="32" spans="2:11">
      <c r="B32" s="1" t="s">
        <v>83</v>
      </c>
      <c r="C32" s="21" t="s">
        <v>49</v>
      </c>
      <c r="D32" s="31" t="s">
        <v>84</v>
      </c>
      <c r="E32" s="32" t="s">
        <v>38</v>
      </c>
      <c r="F32" s="33">
        <v>9600</v>
      </c>
      <c r="G32" s="34">
        <v>51.58</v>
      </c>
      <c r="H32" s="34">
        <v>0.71</v>
      </c>
      <c r="I32" s="35"/>
      <c r="J32" s="35"/>
      <c r="K32" s="36" t="s">
        <v>85</v>
      </c>
    </row>
    <row r="33" spans="3:11">
      <c r="C33" s="30" t="s">
        <v>86</v>
      </c>
      <c r="D33" s="31"/>
      <c r="E33" s="32"/>
      <c r="F33" s="33"/>
      <c r="G33" s="38">
        <v>6887.61</v>
      </c>
      <c r="H33" s="38">
        <v>94.96</v>
      </c>
      <c r="I33" s="35"/>
      <c r="J33" s="35"/>
      <c r="K33" s="36"/>
    </row>
    <row r="34" spans="3:11">
      <c r="C34" s="21"/>
      <c r="D34" s="31"/>
      <c r="E34" s="32"/>
      <c r="F34" s="33"/>
      <c r="G34" s="34"/>
      <c r="H34" s="34"/>
      <c r="I34" s="35"/>
      <c r="J34" s="35"/>
      <c r="K34" s="36"/>
    </row>
    <row r="35" spans="3:11">
      <c r="C35" s="30" t="s">
        <v>87</v>
      </c>
      <c r="D35" s="31"/>
      <c r="E35" s="32"/>
      <c r="F35" s="33"/>
      <c r="G35" s="34" t="s">
        <v>88</v>
      </c>
      <c r="H35" s="34" t="s">
        <v>88</v>
      </c>
      <c r="I35" s="35"/>
      <c r="J35" s="35"/>
      <c r="K35" s="36"/>
    </row>
    <row r="36" spans="3:11">
      <c r="C36" s="21"/>
      <c r="D36" s="31"/>
      <c r="E36" s="32"/>
      <c r="F36" s="33"/>
      <c r="G36" s="34"/>
      <c r="H36" s="34"/>
      <c r="I36" s="35"/>
      <c r="J36" s="35"/>
      <c r="K36" s="36"/>
    </row>
    <row r="37" spans="3:11">
      <c r="C37" s="30" t="s">
        <v>89</v>
      </c>
      <c r="D37" s="31"/>
      <c r="E37" s="32"/>
      <c r="F37" s="33"/>
      <c r="G37" s="34" t="s">
        <v>88</v>
      </c>
      <c r="H37" s="34" t="s">
        <v>88</v>
      </c>
      <c r="I37" s="35"/>
      <c r="J37" s="35"/>
      <c r="K37" s="36"/>
    </row>
    <row r="38" spans="3:11">
      <c r="C38" s="21"/>
      <c r="D38" s="31"/>
      <c r="E38" s="32"/>
      <c r="F38" s="33"/>
      <c r="G38" s="34"/>
      <c r="H38" s="34"/>
      <c r="I38" s="35"/>
      <c r="J38" s="35"/>
      <c r="K38" s="36"/>
    </row>
    <row r="39" spans="3:11">
      <c r="C39" s="30" t="s">
        <v>90</v>
      </c>
      <c r="D39" s="31"/>
      <c r="E39" s="32"/>
      <c r="F39" s="33"/>
      <c r="G39" s="34"/>
      <c r="H39" s="34"/>
      <c r="I39" s="35"/>
      <c r="J39" s="35"/>
      <c r="K39" s="36"/>
    </row>
    <row r="40" spans="3:11">
      <c r="C40" s="21"/>
      <c r="D40" s="31"/>
      <c r="E40" s="32"/>
      <c r="F40" s="33"/>
      <c r="G40" s="34"/>
      <c r="H40" s="34"/>
      <c r="I40" s="35"/>
      <c r="J40" s="35"/>
      <c r="K40" s="36"/>
    </row>
    <row r="41" spans="3:11">
      <c r="C41" s="30" t="s">
        <v>91</v>
      </c>
      <c r="D41" s="31"/>
      <c r="E41" s="32"/>
      <c r="F41" s="33"/>
      <c r="G41" s="34" t="s">
        <v>88</v>
      </c>
      <c r="H41" s="34" t="s">
        <v>88</v>
      </c>
      <c r="I41" s="35"/>
      <c r="J41" s="35"/>
      <c r="K41" s="36"/>
    </row>
    <row r="42" spans="3:11">
      <c r="C42" s="21"/>
      <c r="D42" s="31"/>
      <c r="E42" s="32"/>
      <c r="F42" s="33"/>
      <c r="G42" s="34"/>
      <c r="H42" s="34"/>
      <c r="I42" s="35"/>
      <c r="J42" s="35"/>
      <c r="K42" s="36"/>
    </row>
    <row r="43" spans="3:11">
      <c r="C43" s="30" t="s">
        <v>92</v>
      </c>
      <c r="D43" s="31"/>
      <c r="E43" s="32"/>
      <c r="F43" s="33"/>
      <c r="G43" s="34" t="s">
        <v>88</v>
      </c>
      <c r="H43" s="34" t="s">
        <v>88</v>
      </c>
      <c r="I43" s="35"/>
      <c r="J43" s="35"/>
      <c r="K43" s="36"/>
    </row>
    <row r="44" spans="3:11">
      <c r="C44" s="21"/>
      <c r="D44" s="31"/>
      <c r="E44" s="32"/>
      <c r="F44" s="33"/>
      <c r="G44" s="34"/>
      <c r="H44" s="34"/>
      <c r="I44" s="35"/>
      <c r="J44" s="35"/>
      <c r="K44" s="36"/>
    </row>
    <row r="45" spans="3:11">
      <c r="C45" s="30" t="s">
        <v>93</v>
      </c>
      <c r="D45" s="31"/>
      <c r="E45" s="32"/>
      <c r="F45" s="33"/>
      <c r="G45" s="34" t="s">
        <v>88</v>
      </c>
      <c r="H45" s="34" t="s">
        <v>88</v>
      </c>
      <c r="I45" s="35"/>
      <c r="J45" s="35"/>
      <c r="K45" s="36"/>
    </row>
    <row r="46" spans="3:11">
      <c r="C46" s="21"/>
      <c r="D46" s="31"/>
      <c r="E46" s="32"/>
      <c r="F46" s="33"/>
      <c r="G46" s="34"/>
      <c r="H46" s="34"/>
      <c r="I46" s="35"/>
      <c r="J46" s="35"/>
      <c r="K46" s="36"/>
    </row>
    <row r="47" spans="3:11">
      <c r="C47" s="30" t="s">
        <v>94</v>
      </c>
      <c r="D47" s="31"/>
      <c r="E47" s="32"/>
      <c r="F47" s="33"/>
      <c r="G47" s="34" t="s">
        <v>88</v>
      </c>
      <c r="H47" s="34" t="s">
        <v>88</v>
      </c>
      <c r="I47" s="35"/>
      <c r="J47" s="35"/>
      <c r="K47" s="36"/>
    </row>
    <row r="48" spans="3:11">
      <c r="C48" s="21"/>
      <c r="D48" s="31"/>
      <c r="E48" s="32"/>
      <c r="F48" s="33"/>
      <c r="G48" s="34"/>
      <c r="H48" s="34"/>
      <c r="I48" s="35"/>
      <c r="J48" s="35"/>
      <c r="K48" s="36"/>
    </row>
    <row r="49" spans="1:11">
      <c r="C49" s="30" t="s">
        <v>95</v>
      </c>
      <c r="D49" s="31"/>
      <c r="E49" s="32"/>
      <c r="F49" s="33"/>
      <c r="G49" s="34" t="s">
        <v>88</v>
      </c>
      <c r="H49" s="34" t="s">
        <v>88</v>
      </c>
      <c r="I49" s="35"/>
      <c r="J49" s="35"/>
      <c r="K49" s="36"/>
    </row>
    <row r="50" spans="1:11">
      <c r="C50" s="21"/>
      <c r="D50" s="31"/>
      <c r="E50" s="32"/>
      <c r="F50" s="33"/>
      <c r="G50" s="34"/>
      <c r="H50" s="34"/>
      <c r="I50" s="35"/>
      <c r="J50" s="35"/>
      <c r="K50" s="36"/>
    </row>
    <row r="51" spans="1:11">
      <c r="C51" s="30" t="s">
        <v>96</v>
      </c>
      <c r="D51" s="31"/>
      <c r="E51" s="32"/>
      <c r="F51" s="33"/>
      <c r="G51" s="34"/>
      <c r="H51" s="34"/>
      <c r="I51" s="35"/>
      <c r="J51" s="35"/>
      <c r="K51" s="36"/>
    </row>
    <row r="52" spans="1:11">
      <c r="C52" s="21"/>
      <c r="D52" s="31"/>
      <c r="E52" s="32"/>
      <c r="F52" s="33"/>
      <c r="G52" s="34"/>
      <c r="H52" s="34"/>
      <c r="I52" s="35"/>
      <c r="J52" s="35"/>
      <c r="K52" s="36"/>
    </row>
    <row r="53" spans="1:11">
      <c r="C53" s="30" t="s">
        <v>97</v>
      </c>
      <c r="D53" s="31"/>
      <c r="E53" s="32"/>
      <c r="F53" s="33"/>
      <c r="G53" s="34" t="s">
        <v>88</v>
      </c>
      <c r="H53" s="34" t="s">
        <v>88</v>
      </c>
      <c r="I53" s="35"/>
      <c r="J53" s="35"/>
      <c r="K53" s="36"/>
    </row>
    <row r="54" spans="1:11">
      <c r="C54" s="21"/>
      <c r="D54" s="31"/>
      <c r="E54" s="32"/>
      <c r="F54" s="33"/>
      <c r="G54" s="34"/>
      <c r="H54" s="34"/>
      <c r="I54" s="35"/>
      <c r="J54" s="35"/>
      <c r="K54" s="36"/>
    </row>
    <row r="55" spans="1:11">
      <c r="C55" s="30" t="s">
        <v>98</v>
      </c>
      <c r="D55" s="31"/>
      <c r="E55" s="32"/>
      <c r="F55" s="33"/>
      <c r="G55" s="34" t="s">
        <v>88</v>
      </c>
      <c r="H55" s="34" t="s">
        <v>88</v>
      </c>
      <c r="I55" s="35"/>
      <c r="J55" s="35"/>
      <c r="K55" s="36"/>
    </row>
    <row r="56" spans="1:11">
      <c r="C56" s="21"/>
      <c r="D56" s="31"/>
      <c r="E56" s="32"/>
      <c r="F56" s="33"/>
      <c r="G56" s="34"/>
      <c r="H56" s="34"/>
      <c r="I56" s="35"/>
      <c r="J56" s="35"/>
      <c r="K56" s="36"/>
    </row>
    <row r="57" spans="1:11">
      <c r="C57" s="30" t="s">
        <v>99</v>
      </c>
      <c r="D57" s="31"/>
      <c r="E57" s="32"/>
      <c r="F57" s="33"/>
      <c r="G57" s="34" t="s">
        <v>88</v>
      </c>
      <c r="H57" s="34" t="s">
        <v>88</v>
      </c>
      <c r="I57" s="35"/>
      <c r="J57" s="35"/>
      <c r="K57" s="36"/>
    </row>
    <row r="58" spans="1:11">
      <c r="C58" s="21"/>
      <c r="D58" s="31"/>
      <c r="E58" s="32"/>
      <c r="F58" s="33"/>
      <c r="G58" s="34"/>
      <c r="H58" s="34"/>
      <c r="I58" s="35"/>
      <c r="J58" s="35"/>
      <c r="K58" s="36"/>
    </row>
    <row r="59" spans="1:11">
      <c r="C59" s="30" t="s">
        <v>100</v>
      </c>
      <c r="D59" s="31"/>
      <c r="E59" s="32"/>
      <c r="F59" s="33"/>
      <c r="G59" s="34" t="s">
        <v>88</v>
      </c>
      <c r="H59" s="34" t="s">
        <v>88</v>
      </c>
      <c r="I59" s="35"/>
      <c r="J59" s="35"/>
      <c r="K59" s="36"/>
    </row>
    <row r="60" spans="1:11">
      <c r="C60" s="21"/>
      <c r="D60" s="31"/>
      <c r="E60" s="32"/>
      <c r="F60" s="33"/>
      <c r="G60" s="34"/>
      <c r="H60" s="34"/>
      <c r="I60" s="35"/>
      <c r="J60" s="35"/>
      <c r="K60" s="36"/>
    </row>
    <row r="61" spans="1:11">
      <c r="A61" s="28"/>
      <c r="B61" s="29"/>
      <c r="C61" s="30" t="s">
        <v>101</v>
      </c>
      <c r="D61" s="31"/>
      <c r="E61" s="32"/>
      <c r="F61" s="33"/>
      <c r="G61" s="34"/>
      <c r="H61" s="34"/>
      <c r="I61" s="35"/>
      <c r="J61" s="35"/>
      <c r="K61" s="36"/>
    </row>
    <row r="62" spans="1:11">
      <c r="A62" s="29"/>
      <c r="B62" s="29"/>
      <c r="C62" s="30" t="s">
        <v>102</v>
      </c>
      <c r="D62" s="31"/>
      <c r="E62" s="32"/>
      <c r="F62" s="33"/>
      <c r="G62" s="34" t="s">
        <v>88</v>
      </c>
      <c r="H62" s="34" t="s">
        <v>88</v>
      </c>
      <c r="I62" s="35"/>
      <c r="J62" s="35"/>
      <c r="K62" s="36"/>
    </row>
    <row r="63" spans="1:11">
      <c r="A63" s="29"/>
      <c r="B63" s="29"/>
      <c r="C63" s="30"/>
      <c r="D63" s="31"/>
      <c r="E63" s="32"/>
      <c r="F63" s="33"/>
      <c r="G63" s="34"/>
      <c r="H63" s="34"/>
      <c r="I63" s="35"/>
      <c r="J63" s="35"/>
      <c r="K63" s="36"/>
    </row>
    <row r="64" spans="1:11">
      <c r="A64" s="29"/>
      <c r="B64" s="29"/>
      <c r="C64" s="30" t="s">
        <v>103</v>
      </c>
      <c r="D64" s="31"/>
      <c r="E64" s="32"/>
      <c r="F64" s="33"/>
      <c r="G64" s="34" t="s">
        <v>88</v>
      </c>
      <c r="H64" s="34" t="s">
        <v>88</v>
      </c>
      <c r="I64" s="35"/>
      <c r="J64" s="35"/>
      <c r="K64" s="36"/>
    </row>
    <row r="65" spans="1:11">
      <c r="A65" s="29"/>
      <c r="B65" s="29"/>
      <c r="C65" s="30"/>
      <c r="D65" s="31"/>
      <c r="E65" s="32"/>
      <c r="F65" s="33"/>
      <c r="G65" s="34"/>
      <c r="H65" s="34"/>
      <c r="I65" s="35"/>
      <c r="J65" s="35"/>
      <c r="K65" s="36"/>
    </row>
    <row r="66" spans="1:11">
      <c r="A66" s="29"/>
      <c r="B66" s="29"/>
      <c r="C66" s="30" t="s">
        <v>104</v>
      </c>
      <c r="D66" s="31"/>
      <c r="E66" s="32"/>
      <c r="F66" s="33"/>
      <c r="G66" s="34" t="s">
        <v>88</v>
      </c>
      <c r="H66" s="34" t="s">
        <v>88</v>
      </c>
      <c r="I66" s="35"/>
      <c r="J66" s="35"/>
      <c r="K66" s="36"/>
    </row>
    <row r="67" spans="1:11">
      <c r="A67" s="29"/>
      <c r="B67" s="29"/>
      <c r="C67" s="30"/>
      <c r="D67" s="31"/>
      <c r="E67" s="32"/>
      <c r="F67" s="33"/>
      <c r="G67" s="34"/>
      <c r="H67" s="34"/>
      <c r="I67" s="35"/>
      <c r="J67" s="35"/>
      <c r="K67" s="36"/>
    </row>
    <row r="68" spans="1:11">
      <c r="A68" s="29"/>
      <c r="B68" s="29"/>
      <c r="C68" s="30" t="s">
        <v>105</v>
      </c>
      <c r="D68" s="31"/>
      <c r="E68" s="32"/>
      <c r="F68" s="33"/>
      <c r="G68" s="34" t="s">
        <v>88</v>
      </c>
      <c r="H68" s="34" t="s">
        <v>88</v>
      </c>
      <c r="I68" s="35"/>
      <c r="J68" s="35"/>
      <c r="K68" s="36"/>
    </row>
    <row r="69" spans="1:11">
      <c r="A69" s="29"/>
      <c r="B69" s="29"/>
      <c r="C69" s="30"/>
      <c r="D69" s="31"/>
      <c r="E69" s="32"/>
      <c r="F69" s="33"/>
      <c r="G69" s="34"/>
      <c r="H69" s="34"/>
      <c r="I69" s="35"/>
      <c r="J69" s="35"/>
      <c r="K69" s="36"/>
    </row>
    <row r="70" spans="1:11">
      <c r="C70" s="37" t="s">
        <v>106</v>
      </c>
      <c r="D70" s="31"/>
      <c r="E70" s="32"/>
      <c r="F70" s="33"/>
      <c r="G70" s="34"/>
      <c r="H70" s="34"/>
      <c r="I70" s="35"/>
      <c r="J70" s="35"/>
      <c r="K70" s="36"/>
    </row>
    <row r="71" spans="1:11">
      <c r="B71" s="1" t="s">
        <v>107</v>
      </c>
      <c r="C71" s="21" t="s">
        <v>108</v>
      </c>
      <c r="D71" s="31"/>
      <c r="E71" s="32"/>
      <c r="F71" s="33"/>
      <c r="G71" s="34">
        <v>521.41999999999996</v>
      </c>
      <c r="H71" s="34">
        <v>7.19</v>
      </c>
      <c r="I71" s="35">
        <v>7.14</v>
      </c>
      <c r="J71" s="35"/>
      <c r="K71" s="36"/>
    </row>
    <row r="72" spans="1:11">
      <c r="C72" s="30" t="s">
        <v>86</v>
      </c>
      <c r="D72" s="31"/>
      <c r="E72" s="32"/>
      <c r="F72" s="33"/>
      <c r="G72" s="38">
        <v>521.41999999999996</v>
      </c>
      <c r="H72" s="38">
        <v>7.19</v>
      </c>
      <c r="I72" s="35"/>
      <c r="J72" s="35"/>
      <c r="K72" s="36"/>
    </row>
    <row r="73" spans="1:11">
      <c r="C73" s="21"/>
      <c r="D73" s="31"/>
      <c r="E73" s="32"/>
      <c r="F73" s="33"/>
      <c r="G73" s="34"/>
      <c r="H73" s="34"/>
      <c r="I73" s="35"/>
      <c r="J73" s="35"/>
      <c r="K73" s="36"/>
    </row>
    <row r="74" spans="1:11">
      <c r="A74" s="28"/>
      <c r="B74" s="29"/>
      <c r="C74" s="30" t="s">
        <v>109</v>
      </c>
      <c r="D74" s="31"/>
      <c r="E74" s="32"/>
      <c r="F74" s="33"/>
      <c r="G74" s="34"/>
      <c r="H74" s="34"/>
      <c r="I74" s="35"/>
      <c r="J74" s="35"/>
      <c r="K74" s="36"/>
    </row>
    <row r="75" spans="1:11">
      <c r="B75" s="1"/>
      <c r="C75" s="21" t="s">
        <v>110</v>
      </c>
      <c r="D75" s="31"/>
      <c r="E75" s="32"/>
      <c r="F75" s="33"/>
      <c r="G75" s="34">
        <v>-155.28</v>
      </c>
      <c r="H75" s="34">
        <v>-2.15</v>
      </c>
      <c r="I75" s="35"/>
      <c r="J75" s="35"/>
      <c r="K75" s="36"/>
    </row>
    <row r="76" spans="1:11">
      <c r="C76" s="30" t="s">
        <v>86</v>
      </c>
      <c r="D76" s="31"/>
      <c r="E76" s="32"/>
      <c r="F76" s="33"/>
      <c r="G76" s="38">
        <v>-155.28</v>
      </c>
      <c r="H76" s="38">
        <v>-2.15</v>
      </c>
      <c r="I76" s="35"/>
      <c r="J76" s="35"/>
      <c r="K76" s="36"/>
    </row>
    <row r="77" spans="1:11">
      <c r="C77" s="21"/>
      <c r="D77" s="31"/>
      <c r="E77" s="32"/>
      <c r="F77" s="33"/>
      <c r="G77" s="34"/>
      <c r="H77" s="34"/>
      <c r="I77" s="35"/>
      <c r="J77" s="35"/>
      <c r="K77" s="36"/>
    </row>
    <row r="78" spans="1:11" ht="14.4" thickBot="1">
      <c r="C78" s="39" t="s">
        <v>111</v>
      </c>
      <c r="D78" s="40"/>
      <c r="E78" s="41"/>
      <c r="F78" s="42"/>
      <c r="G78" s="43">
        <v>7253.75</v>
      </c>
      <c r="H78" s="43">
        <f>SUMIFS(H:H,C:C,"Total")</f>
        <v>99.999999999999986</v>
      </c>
      <c r="I78" s="44"/>
      <c r="J78" s="44"/>
      <c r="K78" s="45"/>
    </row>
    <row r="81" spans="3:55">
      <c r="C81" s="11" t="s">
        <v>112</v>
      </c>
    </row>
    <row r="82" spans="3:55">
      <c r="C82" s="2" t="s">
        <v>113</v>
      </c>
    </row>
    <row r="83" spans="3:55">
      <c r="C83" s="46" t="s">
        <v>114</v>
      </c>
    </row>
    <row r="84" spans="3:55">
      <c r="C84" s="2" t="s">
        <v>115</v>
      </c>
    </row>
    <row r="85" spans="3:55">
      <c r="C85" s="2" t="s">
        <v>116</v>
      </c>
    </row>
    <row r="86" spans="3:55">
      <c r="C86" s="2" t="s">
        <v>117</v>
      </c>
      <c r="D86" s="47"/>
      <c r="E86" s="47"/>
      <c r="F86" s="47"/>
      <c r="G86" s="48"/>
      <c r="H86" s="48"/>
    </row>
    <row r="87" spans="3:55">
      <c r="C87" s="2" t="s">
        <v>118</v>
      </c>
    </row>
    <row r="88" spans="3:55">
      <c r="C88" s="2" t="s">
        <v>119</v>
      </c>
    </row>
    <row r="89" spans="3:55">
      <c r="C89" s="2" t="s">
        <v>120</v>
      </c>
    </row>
    <row r="90" spans="3:55">
      <c r="C90" s="2" t="s">
        <v>121</v>
      </c>
    </row>
    <row r="91" spans="3:55" s="11" customFormat="1">
      <c r="C91" s="11" t="s">
        <v>122</v>
      </c>
      <c r="E91" s="11" t="s">
        <v>146</v>
      </c>
      <c r="F91" s="49" t="s">
        <v>124</v>
      </c>
      <c r="G91" s="50"/>
      <c r="H91" s="50"/>
      <c r="I91" s="50"/>
      <c r="J91" s="50"/>
      <c r="K91" s="51"/>
      <c r="L91" s="51"/>
      <c r="M91" s="51"/>
      <c r="AJ91" s="51"/>
      <c r="AW91" s="51"/>
      <c r="AY91" s="51"/>
      <c r="BC91" s="51"/>
    </row>
    <row r="92" spans="3:55">
      <c r="C92" s="2" t="s">
        <v>125</v>
      </c>
      <c r="E92" s="52">
        <v>17.3674</v>
      </c>
      <c r="F92" s="53">
        <v>16.066099999999999</v>
      </c>
      <c r="M92" s="10"/>
      <c r="AI92" s="2"/>
      <c r="AJ92" s="10"/>
      <c r="AV92" s="2"/>
      <c r="AW92" s="10"/>
      <c r="AX92" s="2"/>
      <c r="AY92" s="10"/>
      <c r="BB92" s="2"/>
      <c r="BC92" s="10"/>
    </row>
    <row r="93" spans="3:55">
      <c r="C93" s="2" t="s">
        <v>126</v>
      </c>
      <c r="E93" s="52">
        <v>29.638500000000001</v>
      </c>
      <c r="F93" s="53">
        <v>29.7942</v>
      </c>
      <c r="M93" s="10"/>
      <c r="AI93" s="2"/>
      <c r="AJ93" s="10"/>
      <c r="AV93" s="2"/>
      <c r="AW93" s="10"/>
      <c r="AX93" s="2"/>
      <c r="AY93" s="10"/>
      <c r="BB93" s="2"/>
      <c r="BC93" s="10"/>
    </row>
    <row r="94" spans="3:55">
      <c r="C94" s="2" t="s">
        <v>127</v>
      </c>
      <c r="E94" s="52">
        <v>19.164000000000001</v>
      </c>
      <c r="F94" s="53">
        <v>17.8093</v>
      </c>
      <c r="M94" s="10"/>
      <c r="AI94" s="2"/>
      <c r="AJ94" s="10"/>
      <c r="AV94" s="2"/>
      <c r="AW94" s="10"/>
      <c r="AX94" s="2"/>
      <c r="AY94" s="10"/>
      <c r="BB94" s="2"/>
      <c r="BC94" s="10"/>
    </row>
    <row r="95" spans="3:55">
      <c r="C95" s="2" t="s">
        <v>128</v>
      </c>
      <c r="E95" s="52">
        <v>32.005699999999997</v>
      </c>
      <c r="F95" s="53">
        <v>32.325600000000001</v>
      </c>
      <c r="M95" s="10"/>
      <c r="AI95" s="2"/>
      <c r="AJ95" s="10"/>
      <c r="AV95" s="2"/>
      <c r="AW95" s="10"/>
      <c r="AX95" s="2"/>
      <c r="AY95" s="10"/>
      <c r="BB95" s="2"/>
      <c r="BC95" s="10"/>
    </row>
    <row r="96" spans="3:55">
      <c r="M96" s="10"/>
      <c r="AI96" s="2"/>
      <c r="AJ96" s="10"/>
      <c r="AV96" s="2"/>
      <c r="AW96" s="10"/>
      <c r="AX96" s="2"/>
      <c r="AY96" s="10"/>
      <c r="BB96" s="2"/>
      <c r="BC96" s="10"/>
    </row>
    <row r="97" spans="3:55">
      <c r="C97" s="2" t="s">
        <v>147</v>
      </c>
      <c r="E97" s="11" t="s">
        <v>130</v>
      </c>
      <c r="F97" s="49" t="s">
        <v>131</v>
      </c>
      <c r="M97" s="10"/>
      <c r="AI97" s="2"/>
      <c r="AJ97" s="10"/>
      <c r="AV97" s="2"/>
      <c r="AW97" s="10"/>
      <c r="AX97" s="2"/>
      <c r="AY97" s="10"/>
      <c r="BB97" s="2"/>
      <c r="BC97" s="10"/>
    </row>
    <row r="98" spans="3:55">
      <c r="C98" s="2" t="s">
        <v>125</v>
      </c>
      <c r="E98" s="52">
        <v>1.36</v>
      </c>
      <c r="F98" s="53">
        <v>1.36</v>
      </c>
      <c r="M98" s="10"/>
      <c r="AI98" s="2"/>
      <c r="AJ98" s="10"/>
      <c r="AV98" s="2"/>
      <c r="AW98" s="10"/>
      <c r="AX98" s="2"/>
      <c r="AY98" s="10"/>
      <c r="BB98" s="2"/>
      <c r="BC98" s="10"/>
    </row>
    <row r="99" spans="3:55">
      <c r="C99" s="2" t="s">
        <v>127</v>
      </c>
      <c r="E99" s="52">
        <v>1.51</v>
      </c>
      <c r="F99" s="53">
        <v>1.51</v>
      </c>
      <c r="M99" s="10"/>
      <c r="AI99" s="2"/>
      <c r="AJ99" s="10"/>
      <c r="AV99" s="2"/>
      <c r="AW99" s="10"/>
      <c r="AX99" s="2"/>
      <c r="AY99" s="10"/>
      <c r="BB99" s="2"/>
      <c r="BC99" s="10"/>
    </row>
    <row r="101" spans="3:55">
      <c r="C101" s="2" t="s">
        <v>148</v>
      </c>
    </row>
    <row r="102" spans="3:55">
      <c r="C102" s="2" t="s">
        <v>133</v>
      </c>
    </row>
    <row r="103" spans="3:55">
      <c r="C103" s="2" t="s">
        <v>149</v>
      </c>
    </row>
    <row r="104" spans="3:55">
      <c r="C104" s="2" t="s">
        <v>150</v>
      </c>
    </row>
    <row r="105" spans="3:55">
      <c r="C105" s="2" t="s">
        <v>136</v>
      </c>
    </row>
    <row r="106" spans="3:55">
      <c r="C106" s="2" t="s">
        <v>151</v>
      </c>
    </row>
    <row r="107" spans="3:55">
      <c r="C107" s="2" t="s">
        <v>138</v>
      </c>
    </row>
    <row r="108" spans="3:55">
      <c r="C108" s="2" t="s">
        <v>139</v>
      </c>
    </row>
    <row r="109" spans="3:55">
      <c r="C109" s="2" t="s">
        <v>152</v>
      </c>
    </row>
    <row r="110" spans="3:55">
      <c r="C110" s="2" t="s">
        <v>141</v>
      </c>
    </row>
    <row r="111" spans="3:55">
      <c r="C111" s="2" t="s">
        <v>142</v>
      </c>
    </row>
    <row r="112" spans="3:55">
      <c r="C112" s="2" t="s">
        <v>153</v>
      </c>
    </row>
    <row r="113" spans="3:11" ht="14.4">
      <c r="C113" s="54"/>
      <c r="D113" s="54"/>
      <c r="E113" s="55"/>
      <c r="F113" s="55"/>
      <c r="G113" s="55"/>
      <c r="H113" s="55"/>
      <c r="I113" s="55"/>
      <c r="J113" s="55"/>
      <c r="K113" s="55"/>
    </row>
    <row r="114" spans="3:11" ht="14.4">
      <c r="C114" s="54"/>
      <c r="D114" s="54"/>
      <c r="E114" s="55"/>
      <c r="F114" s="55"/>
      <c r="G114" s="55"/>
      <c r="H114" s="55"/>
      <c r="I114" s="55"/>
      <c r="J114" s="55"/>
      <c r="K114" s="55"/>
    </row>
    <row r="115" spans="3:11" ht="14.4">
      <c r="C115" s="55"/>
      <c r="D115" s="55"/>
      <c r="E115" s="55"/>
      <c r="F115" s="55"/>
      <c r="G115" s="55"/>
      <c r="H115" s="55"/>
      <c r="I115" s="55"/>
      <c r="J115" s="55"/>
      <c r="K115" s="55"/>
    </row>
    <row r="116" spans="3:11" ht="14.4">
      <c r="C116" s="55"/>
      <c r="D116" s="55"/>
      <c r="E116" s="55"/>
      <c r="F116" s="55"/>
      <c r="G116" s="55"/>
      <c r="H116" s="55"/>
      <c r="I116" s="55"/>
      <c r="J116" s="55"/>
      <c r="K116" s="55"/>
    </row>
  </sheetData>
  <mergeCells count="2">
    <mergeCell ref="C2:K3"/>
    <mergeCell ref="C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Monthly Portfolio</vt:lpstr>
      <vt:lpstr>Half Yearly Portfolio</vt:lpstr>
      <vt:lpstr>XDO_?CLASS_3?21?</vt:lpstr>
      <vt:lpstr>XDO_?FINAL_ISIN?93?</vt:lpstr>
      <vt:lpstr>XDO_?FINAL_ISIN?94?</vt:lpstr>
      <vt:lpstr>XDO_?FINAL_ISIN?95?</vt:lpstr>
      <vt:lpstr>XDO_?FINAL_MV?93?</vt:lpstr>
      <vt:lpstr>XDO_?FINAL_MV?94?</vt:lpstr>
      <vt:lpstr>XDO_?FINAL_MV?95?</vt:lpstr>
      <vt:lpstr>XDO_?FINAL_NAME?93?</vt:lpstr>
      <vt:lpstr>XDO_?FINAL_NAME?94?</vt:lpstr>
      <vt:lpstr>XDO_?FINAL_NAME?95?</vt:lpstr>
      <vt:lpstr>XDO_?FINAL_PER_NET?93?</vt:lpstr>
      <vt:lpstr>XDO_?FINAL_PER_NET?94?</vt:lpstr>
      <vt:lpstr>XDO_?FINAL_PER_NET?95?</vt:lpstr>
      <vt:lpstr>XDO_?FINAL_QUANTITE?93?</vt:lpstr>
      <vt:lpstr>XDO_?FINAL_QUANTITE?94?</vt:lpstr>
      <vt:lpstr>XDO_?FINAL_QUANTITE?95?</vt:lpstr>
      <vt:lpstr>XDO_?NAMCNAME?21?</vt:lpstr>
      <vt:lpstr>XDO_?NOVAL?93?</vt:lpstr>
      <vt:lpstr>XDO_?NOVAL?94?</vt:lpstr>
      <vt:lpstr>XDO_?NOVAL?95?</vt:lpstr>
      <vt:lpstr>XDO_?NPTF?21?</vt:lpstr>
      <vt:lpstr>XDO_?RATING?93?</vt:lpstr>
      <vt:lpstr>XDO_?RATING?94?</vt:lpstr>
      <vt:lpstr>XDO_?RATING?95?</vt:lpstr>
      <vt:lpstr>XDO_?REMARKS?93?</vt:lpstr>
      <vt:lpstr>XDO_?REMARKS?94?</vt:lpstr>
      <vt:lpstr>XDO_?REMARKS?95?</vt:lpstr>
      <vt:lpstr>XDO_?TITL?21?</vt:lpstr>
      <vt:lpstr>XDO_?YTM?93?</vt:lpstr>
      <vt:lpstr>XDO_?YTM?94?</vt:lpstr>
      <vt:lpstr>XDO_?YTM?95?</vt:lpstr>
      <vt:lpstr>XDO_GROUP_?G_2?21?</vt:lpstr>
      <vt:lpstr>XDO_GROUP_?G_3?21?</vt:lpstr>
      <vt:lpstr>XDO_GROUP_?G_4?93?</vt:lpstr>
      <vt:lpstr>XDO_GROUP_?G_4?94?</vt:lpstr>
      <vt:lpstr>XDO_GROUP_?G_4?95?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admin</cp:lastModifiedBy>
  <dcterms:created xsi:type="dcterms:W3CDTF">2023-04-05T12:36:23Z</dcterms:created>
  <dcterms:modified xsi:type="dcterms:W3CDTF">2023-04-08T11:18:38Z</dcterms:modified>
</cp:coreProperties>
</file>