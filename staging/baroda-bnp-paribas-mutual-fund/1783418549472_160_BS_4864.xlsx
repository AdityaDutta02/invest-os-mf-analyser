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13D86389-43B8-4B4E-B2B6-B3DB7E39D7CB}" xr6:coauthVersionLast="47" xr6:coauthVersionMax="47" xr10:uidLastSave="{00000000-0000-0000-0000-000000000000}"/>
  <bookViews>
    <workbookView xWindow="-108" yWindow="-108" windowWidth="23256" windowHeight="12456" xr2:uid="{98B892FE-4961-4CFD-AD63-923803B3C4BB}"/>
  </bookViews>
  <sheets>
    <sheet name="BS" sheetId="1" r:id="rId1"/>
  </sheets>
  <externalReferences>
    <externalReference r:id="rId2"/>
  </externalReferences>
  <definedNames>
    <definedName name="XDO_?CLASS_3?24?">BS!$C$8:$C$38</definedName>
    <definedName name="XDO_?FINAL_ISIN?126?">BS!$D$10:$D$38</definedName>
    <definedName name="XDO_?FINAL_ISIN?127?">BS!$D$10:$D$46</definedName>
    <definedName name="XDO_?FINAL_ISIN?128?">BS!$D$10:$D$69</definedName>
    <definedName name="XDO_?FINAL_ISIN?129?">BS!$D$10:$D$84</definedName>
    <definedName name="XDO_?FINAL_ISIN?130?">BS!$D$10:$D$88</definedName>
    <definedName name="XDO_?FINAL_MV?126?">BS!$G$10:$G$38</definedName>
    <definedName name="XDO_?FINAL_MV?127?">BS!$G$10:$G$46</definedName>
    <definedName name="XDO_?FINAL_MV?128?">BS!$G$10:$G$69</definedName>
    <definedName name="XDO_?FINAL_MV?129?">BS!$G$10:$G$84</definedName>
    <definedName name="XDO_?FINAL_MV?130?">BS!$G$10:$G$88</definedName>
    <definedName name="XDO_?FINAL_NAME?126?">BS!$C$10:$C$38</definedName>
    <definedName name="XDO_?FINAL_NAME?127?">BS!$C$10:$C$46</definedName>
    <definedName name="XDO_?FINAL_NAME?128?">BS!$C$10:$C$69</definedName>
    <definedName name="XDO_?FINAL_NAME?129?">BS!$C$10:$C$84</definedName>
    <definedName name="XDO_?FINAL_NAME?130?">BS!$C$10:$C$88</definedName>
    <definedName name="XDO_?FINAL_PER_NET?126?">BS!$H$10:$H$38</definedName>
    <definedName name="XDO_?FINAL_PER_NET?127?">BS!$H$10:$H$46</definedName>
    <definedName name="XDO_?FINAL_PER_NET?128?">BS!$H$10:$H$69</definedName>
    <definedName name="XDO_?FINAL_PER_NET?129?">BS!$H$10:$H$84</definedName>
    <definedName name="XDO_?FINAL_PER_NET?130?">BS!$H$10:$H$88</definedName>
    <definedName name="XDO_?FINAL_QUANTITE?126?">BS!$F$10:$F$38</definedName>
    <definedName name="XDO_?FINAL_QUANTITE?127?">BS!$F$10:$F$46</definedName>
    <definedName name="XDO_?FINAL_QUANTITE?128?">BS!$F$10:$F$69</definedName>
    <definedName name="XDO_?FINAL_QUANTITE?129?">BS!$F$10:$F$84</definedName>
    <definedName name="XDO_?FINAL_QUANTITE?130?">BS!$F$10:$F$88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4?">BS!$C$2:$C$38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26?">BS!$B$10:$B$38</definedName>
    <definedName name="XDO_?NOVAL?127?">BS!$B$10:$B$46</definedName>
    <definedName name="XDO_?NOVAL?128?">BS!$B$10:$B$69</definedName>
    <definedName name="XDO_?NOVAL?129?">BS!$B$10:$B$84</definedName>
    <definedName name="XDO_?NOVAL?130?">BS!$B$10:$B$88</definedName>
    <definedName name="XDO_?NPTF?24?">BS!$D$2:$D$38</definedName>
    <definedName name="XDO_?RATING?126?">BS!$E$10:$E$38</definedName>
    <definedName name="XDO_?RATING?127?">BS!$E$10:$E$46</definedName>
    <definedName name="XDO_?RATING?128?">BS!$E$10:$E$69</definedName>
    <definedName name="XDO_?RATING?129?">BS!$E$10:$E$84</definedName>
    <definedName name="XDO_?RATING?130?">BS!$E$10:$E$88</definedName>
    <definedName name="XDO_?REMARKS?126?">BS!$K$10:$K$38</definedName>
    <definedName name="XDO_?REMARKS?127?">BS!$K$10:$K$46</definedName>
    <definedName name="XDO_?REMARKS?128?">BS!$K$10:$K$69</definedName>
    <definedName name="XDO_?REMARKS?129?">BS!$K$10:$K$84</definedName>
    <definedName name="XDO_?REMARKS?130?">BS!$K$10:$K$88</definedName>
    <definedName name="XDO_?TITL?24?">BS!$A$8:$A$38</definedName>
    <definedName name="XDO_?YTM?126?">BS!$I$10:$I$38</definedName>
    <definedName name="XDO_?YTM?127?">BS!$I$10:$I$46</definedName>
    <definedName name="XDO_?YTM?128?">BS!$I$10:$I$69</definedName>
    <definedName name="XDO_?YTM?129?">BS!$I$10:$I$84</definedName>
    <definedName name="XDO_?YTM?130?">BS!$I$10:$I$88</definedName>
    <definedName name="XDO_GROUP_?G_2?24?">BS!$2:$60</definedName>
    <definedName name="XDO_GROUP_?G_3?24?">BS!$8:$59</definedName>
    <definedName name="XDO_GROUP_?G_4?103?">[1]SC!#REF!</definedName>
    <definedName name="XDO_GROUP_?G_4?126?">BS!$B$10:$IV$38</definedName>
    <definedName name="XDO_GROUP_?G_4?127?">BS!$B$42:$IV$42</definedName>
    <definedName name="XDO_GROUP_?G_4?128?">BS!$B$47:$IV$47</definedName>
    <definedName name="XDO_GROUP_?G_4?129?">BS!$B$52:$IV$52</definedName>
    <definedName name="XDO_GROUP_?G_4?130?">BS!$B$57:$IV$57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1" l="1"/>
</calcChain>
</file>

<file path=xl/sharedStrings.xml><?xml version="1.0" encoding="utf-8"?>
<sst xmlns="http://schemas.openxmlformats.org/spreadsheetml/2006/main" count="264" uniqueCount="195">
  <si>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</si>
  <si>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</si>
  <si>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</si>
  <si>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</si>
  <si>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</si>
  <si>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</si>
  <si>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</si>
  <si>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</si>
  <si>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</si>
  <si>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</si>
  <si>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</si>
  <si>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</si>
  <si>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</si>
  <si>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</si>
  <si>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</si>
  <si>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</si>
  <si>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</si>
  <si>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</si>
  <si>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</si>
  <si>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</si>
  <si>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</si>
  <si>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</si>
  <si>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</si>
  <si>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</si>
  <si>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</si>
  <si>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</si>
  <si>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100125</t>
  </si>
  <si>
    <t>Bajaj Finance Ltd.</t>
  </si>
  <si>
    <t>INE296A01024</t>
  </si>
  <si>
    <t>Finance</t>
  </si>
  <si>
    <t>100010</t>
  </si>
  <si>
    <t>State Bank of India</t>
  </si>
  <si>
    <t>INE062A01020</t>
  </si>
  <si>
    <t>102003</t>
  </si>
  <si>
    <t>Indian Renewable Energy Development Agency Ltd.</t>
  </si>
  <si>
    <t>INE202E01016</t>
  </si>
  <si>
    <t>100013</t>
  </si>
  <si>
    <t>IndusInd Bank Ltd.</t>
  </si>
  <si>
    <t>INE095A01012</t>
  </si>
  <si>
    <t>100104</t>
  </si>
  <si>
    <t>Kotak Mahindra Bank Ltd.</t>
  </si>
  <si>
    <t>INE237A01028</t>
  </si>
  <si>
    <t>100107</t>
  </si>
  <si>
    <t>Max Financial Services Ltd.</t>
  </si>
  <si>
    <t>INE180A01020</t>
  </si>
  <si>
    <t>Insurance</t>
  </si>
  <si>
    <t>102001</t>
  </si>
  <si>
    <t>Protean eGov Technologies Ltd.</t>
  </si>
  <si>
    <t>INE004A01022</t>
  </si>
  <si>
    <t>Financial Technology (Fintech)</t>
  </si>
  <si>
    <t>100575</t>
  </si>
  <si>
    <t>BSE Ltd.</t>
  </si>
  <si>
    <t>INE118H01025</t>
  </si>
  <si>
    <t>Capital Markets</t>
  </si>
  <si>
    <t>100399</t>
  </si>
  <si>
    <t>Cholamandalam Investment &amp; Finance Co. Ltd.</t>
  </si>
  <si>
    <t>INE121A01024</t>
  </si>
  <si>
    <t>100240</t>
  </si>
  <si>
    <t>Can Fin Homes Ltd.</t>
  </si>
  <si>
    <t>INE477A01020</t>
  </si>
  <si>
    <t>100706</t>
  </si>
  <si>
    <t>HDFC Life Insurance Company Ltd.</t>
  </si>
  <si>
    <t>INE795G01014</t>
  </si>
  <si>
    <t>101783</t>
  </si>
  <si>
    <t>Five Star Business Finance Ltd.</t>
  </si>
  <si>
    <t>INE128S01021</t>
  </si>
  <si>
    <t>100194</t>
  </si>
  <si>
    <t>Power Finance Corporation Ltd.</t>
  </si>
  <si>
    <t>INE134E01011</t>
  </si>
  <si>
    <t>101469</t>
  </si>
  <si>
    <t>Equitas Small Finance Bank Ltd.</t>
  </si>
  <si>
    <t>INE063P01018</t>
  </si>
  <si>
    <t>100112</t>
  </si>
  <si>
    <t>Punjab National Bank</t>
  </si>
  <si>
    <t>INE160A01022</t>
  </si>
  <si>
    <t>101390</t>
  </si>
  <si>
    <t>PB Fintech Ltd.</t>
  </si>
  <si>
    <t>INE417T01026</t>
  </si>
  <si>
    <t>100254</t>
  </si>
  <si>
    <t>Karur Vysya Bank Ltd.</t>
  </si>
  <si>
    <t>INE036D01028</t>
  </si>
  <si>
    <t>100228</t>
  </si>
  <si>
    <t>The Jammu &amp; Kashmir Bank Ltd.</t>
  </si>
  <si>
    <t>INE168A01041</t>
  </si>
  <si>
    <t>100036</t>
  </si>
  <si>
    <t>Mahindra &amp; Mahindra Financial Services Ltd.</t>
  </si>
  <si>
    <t>INE774D01024</t>
  </si>
  <si>
    <t>100477</t>
  </si>
  <si>
    <t>PNB Housing Finance Ltd.</t>
  </si>
  <si>
    <t>INE572E01012</t>
  </si>
  <si>
    <t>100055</t>
  </si>
  <si>
    <t>The Federal Bank Ltd.</t>
  </si>
  <si>
    <t>INE171A01029</t>
  </si>
  <si>
    <t>101632</t>
  </si>
  <si>
    <t>Angel One Ltd.</t>
  </si>
  <si>
    <t>INE732I01013</t>
  </si>
  <si>
    <t>101228</t>
  </si>
  <si>
    <t>Home First Finance Company India Ltd.</t>
  </si>
  <si>
    <t>INE481N01025</t>
  </si>
  <si>
    <t>101210</t>
  </si>
  <si>
    <t>Credit Access Grameen Ltd.</t>
  </si>
  <si>
    <t>INE741K01010</t>
  </si>
  <si>
    <t>100067</t>
  </si>
  <si>
    <t>DCB Bank Ltd.</t>
  </si>
  <si>
    <t>INE503A01015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</si>
  <si>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</si>
  <si>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</si>
  <si>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</si>
  <si>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</si>
  <si>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</si>
  <si>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</si>
  <si>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</si>
  <si>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</si>
  <si>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2216282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</si>
  <si>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</si>
  <si>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</si>
  <si>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</si>
  <si>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</si>
  <si>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</si>
  <si>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</si>
  <si>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</si>
  <si>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</si>
  <si>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</si>
  <si>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</si>
  <si>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</si>
  <si>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</si>
  <si>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</si>
  <si>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</si>
  <si>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</si>
  <si>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</si>
  <si>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</si>
  <si>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</si>
  <si>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</si>
  <si>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</si>
  <si>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</si>
  <si>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</si>
  <si>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</si>
  <si>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</si>
  <si>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</si>
  <si>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</si>
  <si>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</si>
  <si>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</si>
  <si>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</si>
  <si>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</si>
  <si>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</si>
  <si>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</si>
  <si>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</si>
  <si>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</si>
  <si>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</si>
  <si>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</si>
  <si>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</si>
  <si>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</si>
  <si>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</si>
  <si>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</si>
  <si>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</si>
  <si>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</si>
  <si>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</si>
  <si>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</si>
  <si>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</si>
  <si>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November 30, 2023:</t>
  </si>
  <si>
    <t>Total Exposure through Futures(other than hedging positions) is 1.03% age of net assets</t>
  </si>
  <si>
    <t>For the Month ended November 30, 2023 with regard to Other than hedging transactions through futures which have already been squared off/expired specify:</t>
  </si>
  <si>
    <t>Total Number of contracts where futures were sold : Nil</t>
  </si>
  <si>
    <t>Gross Notional Value of contracts where futures were bought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</si>
  <si>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</si>
  <si>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</si>
  <si>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</si>
  <si>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</si>
  <si>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</si>
  <si>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</si>
  <si>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</si>
  <si>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</si>
  <si>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</si>
  <si>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</si>
  <si>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</si>
  <si>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</si>
  <si>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</si>
  <si>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</si>
  <si>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</si>
  <si>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</si>
  <si>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</si>
  <si>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</si>
  <si>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</si>
  <si>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 Total outstanding exposure in derivative instruments as on November 30, 2023 is 103.31 Lacs.</t>
  </si>
  <si>
    <t>(10) Total Market value of investments in Foreign Securities/American Depositary Receipts/Global Depositary Receipts as at  November 30, 2023 is Rs. Nil.</t>
  </si>
  <si>
    <t>(11)  During the period, the portfolio turnover ratio is  0.04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</si>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</sst>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0" xfId="1" applyFont="1" applyFill="1" applyBorder="1" applyAlignment="1"/>
    <xf numFmtId="164" fontId="12" fillId="3" borderId="0" xfId="1" applyFont="1" applyFill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C1478E15-C016-410F-B3EA-0E7E9246A7DB}"/>
    <cellStyle name="Hyperlink" xfId="2" builtinId="8"/>
    <cellStyle name="Normal" xfId="0" builtinId="0"/>
    <cellStyle name="Normal 2" xfId="4" xr:uid="{6C6BDA91-A3E7-42C2-A513-9793A2BDFC9E}"/>
    <cellStyle name="Style 1" xfId="3" xr:uid="{37C83F2B-EB8B-4ED4-B71A-860069292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5</xdr:col>
      <xdr:colOff>510371</xdr:colOff>
      <xdr:row>167</xdr:row>
      <xdr:rowOff>86698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F27B0-84E8-4DDE-9105-2CD5131B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944320"/>
          <a:ext cx="7459811" cy="27308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A6AE-71CE-4267-AECE-461DC119724F}">
  <sheetPr codeName="Sheet124"/>
  <dimension ref="A1:BC154"/>
  <sheetViews>
    <sheetView showGridLines="0" tabSelected="1" zoomScale="90" zoomScaleNormal="90" workbookViewId="0">
      <pane ySplit="6" topLeftCell="A145" activePane="bottomLeft" state="frozen"/>
      <selection activeCell="G17" sqref="G17"/>
      <selection pane="bottomLeft" activeCell="I157" sqref="I15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150848</v>
      </c>
      <c r="G10" s="34">
        <v>2351.42</v>
      </c>
      <c r="H10" s="34">
        <v>23.48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170000</v>
      </c>
      <c r="G11" s="34">
        <v>1589.42</v>
      </c>
      <c r="H11" s="34">
        <v>15.87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62500</v>
      </c>
      <c r="G12" s="34">
        <v>671.41</v>
      </c>
      <c r="H12" s="34">
        <v>6.7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29</v>
      </c>
      <c r="F13" s="33">
        <v>9100</v>
      </c>
      <c r="G13" s="34">
        <v>648.09</v>
      </c>
      <c r="H13" s="34">
        <v>6.47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19</v>
      </c>
      <c r="F14" s="33">
        <v>96000</v>
      </c>
      <c r="G14" s="34">
        <v>542.16</v>
      </c>
      <c r="H14" s="34">
        <v>5.41</v>
      </c>
      <c r="I14" s="35"/>
      <c r="J14" s="35"/>
      <c r="K14" s="36"/>
    </row>
    <row r="15" spans="1:55" x14ac:dyDescent="0.3">
      <c r="B15" s="1" t="s">
        <v>33</v>
      </c>
      <c r="C15" s="21" t="s">
        <v>34</v>
      </c>
      <c r="D15" s="31" t="s">
        <v>35</v>
      </c>
      <c r="E15" s="32" t="s">
        <v>29</v>
      </c>
      <c r="F15" s="33">
        <v>562120</v>
      </c>
      <c r="G15" s="34">
        <v>367.06</v>
      </c>
      <c r="H15" s="34">
        <v>3.66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22500</v>
      </c>
      <c r="G16" s="34">
        <v>329.87</v>
      </c>
      <c r="H16" s="34">
        <v>3.29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19</v>
      </c>
      <c r="F17" s="33">
        <v>15900</v>
      </c>
      <c r="G17" s="34">
        <v>279.12</v>
      </c>
      <c r="H17" s="34">
        <v>2.79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45</v>
      </c>
      <c r="F18" s="33">
        <v>21000</v>
      </c>
      <c r="G18" s="34">
        <v>214.03</v>
      </c>
      <c r="H18" s="34">
        <v>2.14</v>
      </c>
      <c r="I18" s="35"/>
      <c r="J18" s="35"/>
      <c r="K18" s="36"/>
    </row>
    <row r="19" spans="2:11" x14ac:dyDescent="0.3">
      <c r="B19" s="1" t="s">
        <v>46</v>
      </c>
      <c r="C19" s="21" t="s">
        <v>47</v>
      </c>
      <c r="D19" s="31" t="s">
        <v>48</v>
      </c>
      <c r="E19" s="32" t="s">
        <v>49</v>
      </c>
      <c r="F19" s="33">
        <v>17694</v>
      </c>
      <c r="G19" s="34">
        <v>212.12</v>
      </c>
      <c r="H19" s="34">
        <v>2.12</v>
      </c>
      <c r="I19" s="35"/>
      <c r="J19" s="35"/>
      <c r="K19" s="36"/>
    </row>
    <row r="20" spans="2:11" x14ac:dyDescent="0.3">
      <c r="B20" s="1" t="s">
        <v>50</v>
      </c>
      <c r="C20" s="21" t="s">
        <v>51</v>
      </c>
      <c r="D20" s="31" t="s">
        <v>52</v>
      </c>
      <c r="E20" s="32" t="s">
        <v>53</v>
      </c>
      <c r="F20" s="33">
        <v>8500</v>
      </c>
      <c r="G20" s="34">
        <v>210.54</v>
      </c>
      <c r="H20" s="34">
        <v>2.1</v>
      </c>
      <c r="I20" s="35"/>
      <c r="J20" s="35"/>
      <c r="K20" s="36"/>
    </row>
    <row r="21" spans="2:11" x14ac:dyDescent="0.3">
      <c r="B21" s="1" t="s">
        <v>54</v>
      </c>
      <c r="C21" s="21" t="s">
        <v>55</v>
      </c>
      <c r="D21" s="31" t="s">
        <v>56</v>
      </c>
      <c r="E21" s="32" t="s">
        <v>29</v>
      </c>
      <c r="F21" s="33">
        <v>15000</v>
      </c>
      <c r="G21" s="34">
        <v>167.62</v>
      </c>
      <c r="H21" s="34">
        <v>1.67</v>
      </c>
      <c r="I21" s="35"/>
      <c r="J21" s="35"/>
      <c r="K21" s="36"/>
    </row>
    <row r="22" spans="2:11" x14ac:dyDescent="0.3">
      <c r="B22" s="1" t="s">
        <v>57</v>
      </c>
      <c r="C22" s="21" t="s">
        <v>58</v>
      </c>
      <c r="D22" s="31" t="s">
        <v>59</v>
      </c>
      <c r="E22" s="32" t="s">
        <v>29</v>
      </c>
      <c r="F22" s="33">
        <v>20000</v>
      </c>
      <c r="G22" s="34">
        <v>156.22</v>
      </c>
      <c r="H22" s="34">
        <v>1.56</v>
      </c>
      <c r="I22" s="35"/>
      <c r="J22" s="35"/>
      <c r="K22" s="36"/>
    </row>
    <row r="23" spans="2:11" x14ac:dyDescent="0.3">
      <c r="B23" s="1" t="s">
        <v>60</v>
      </c>
      <c r="C23" s="21" t="s">
        <v>61</v>
      </c>
      <c r="D23" s="31" t="s">
        <v>62</v>
      </c>
      <c r="E23" s="32" t="s">
        <v>45</v>
      </c>
      <c r="F23" s="33">
        <v>22500</v>
      </c>
      <c r="G23" s="34">
        <v>155.41999999999999</v>
      </c>
      <c r="H23" s="34">
        <v>1.55</v>
      </c>
      <c r="I23" s="35"/>
      <c r="J23" s="35"/>
      <c r="K23" s="36"/>
    </row>
    <row r="24" spans="2:11" x14ac:dyDescent="0.3">
      <c r="B24" s="1" t="s">
        <v>63</v>
      </c>
      <c r="C24" s="21" t="s">
        <v>64</v>
      </c>
      <c r="D24" s="31" t="s">
        <v>65</v>
      </c>
      <c r="E24" s="32" t="s">
        <v>29</v>
      </c>
      <c r="F24" s="33">
        <v>20580</v>
      </c>
      <c r="G24" s="34">
        <v>154.59</v>
      </c>
      <c r="H24" s="34">
        <v>1.54</v>
      </c>
      <c r="I24" s="35"/>
      <c r="J24" s="35"/>
      <c r="K24" s="36"/>
    </row>
    <row r="25" spans="2:11" x14ac:dyDescent="0.3">
      <c r="B25" s="1" t="s">
        <v>66</v>
      </c>
      <c r="C25" s="21" t="s">
        <v>67</v>
      </c>
      <c r="D25" s="31" t="s">
        <v>68</v>
      </c>
      <c r="E25" s="32" t="s">
        <v>29</v>
      </c>
      <c r="F25" s="33">
        <v>45000</v>
      </c>
      <c r="G25" s="34">
        <v>150.71</v>
      </c>
      <c r="H25" s="34">
        <v>1.5</v>
      </c>
      <c r="I25" s="35"/>
      <c r="J25" s="35"/>
      <c r="K25" s="36"/>
    </row>
    <row r="26" spans="2:11" x14ac:dyDescent="0.3">
      <c r="B26" s="1" t="s">
        <v>69</v>
      </c>
      <c r="C26" s="21" t="s">
        <v>70</v>
      </c>
      <c r="D26" s="31" t="s">
        <v>71</v>
      </c>
      <c r="E26" s="32" t="s">
        <v>19</v>
      </c>
      <c r="F26" s="33">
        <v>160000</v>
      </c>
      <c r="G26" s="34">
        <v>150.24</v>
      </c>
      <c r="H26" s="34">
        <v>1.5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19</v>
      </c>
      <c r="F27" s="33">
        <v>190000</v>
      </c>
      <c r="G27" s="34">
        <v>147.44</v>
      </c>
      <c r="H27" s="34">
        <v>1.47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49</v>
      </c>
      <c r="F28" s="33">
        <v>17500</v>
      </c>
      <c r="G28" s="34">
        <v>145.78</v>
      </c>
      <c r="H28" s="34">
        <v>1.46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19</v>
      </c>
      <c r="F29" s="33">
        <v>90000</v>
      </c>
      <c r="G29" s="34">
        <v>139.19</v>
      </c>
      <c r="H29" s="34">
        <v>1.39</v>
      </c>
      <c r="I29" s="35"/>
      <c r="J29" s="35"/>
      <c r="K29" s="36"/>
    </row>
    <row r="30" spans="2:11" x14ac:dyDescent="0.3">
      <c r="B30" s="1" t="s">
        <v>81</v>
      </c>
      <c r="C30" s="21" t="s">
        <v>82</v>
      </c>
      <c r="D30" s="31" t="s">
        <v>83</v>
      </c>
      <c r="E30" s="32" t="s">
        <v>19</v>
      </c>
      <c r="F30" s="33">
        <v>125000</v>
      </c>
      <c r="G30" s="34">
        <v>136.88</v>
      </c>
      <c r="H30" s="34">
        <v>1.37</v>
      </c>
      <c r="I30" s="35"/>
      <c r="J30" s="35"/>
      <c r="K30" s="36"/>
    </row>
    <row r="31" spans="2:11" x14ac:dyDescent="0.3">
      <c r="B31" s="1" t="s">
        <v>84</v>
      </c>
      <c r="C31" s="21" t="s">
        <v>85</v>
      </c>
      <c r="D31" s="31" t="s">
        <v>86</v>
      </c>
      <c r="E31" s="32" t="s">
        <v>29</v>
      </c>
      <c r="F31" s="33">
        <v>47500</v>
      </c>
      <c r="G31" s="34">
        <v>130.29</v>
      </c>
      <c r="H31" s="34">
        <v>1.3</v>
      </c>
      <c r="I31" s="35"/>
      <c r="J31" s="35"/>
      <c r="K31" s="36"/>
    </row>
    <row r="32" spans="2:11" x14ac:dyDescent="0.3">
      <c r="B32" s="1" t="s">
        <v>87</v>
      </c>
      <c r="C32" s="21" t="s">
        <v>88</v>
      </c>
      <c r="D32" s="31" t="s">
        <v>89</v>
      </c>
      <c r="E32" s="32" t="s">
        <v>29</v>
      </c>
      <c r="F32" s="33">
        <v>15550</v>
      </c>
      <c r="G32" s="34">
        <v>120.29</v>
      </c>
      <c r="H32" s="34">
        <v>1.2</v>
      </c>
      <c r="I32" s="35"/>
      <c r="J32" s="35"/>
      <c r="K32" s="36"/>
    </row>
    <row r="33" spans="2:11" x14ac:dyDescent="0.3">
      <c r="B33" s="1" t="s">
        <v>90</v>
      </c>
      <c r="C33" s="21" t="s">
        <v>91</v>
      </c>
      <c r="D33" s="31" t="s">
        <v>92</v>
      </c>
      <c r="E33" s="32" t="s">
        <v>19</v>
      </c>
      <c r="F33" s="33">
        <v>80000</v>
      </c>
      <c r="G33" s="34">
        <v>117.88</v>
      </c>
      <c r="H33" s="34">
        <v>1.18</v>
      </c>
      <c r="I33" s="35"/>
      <c r="J33" s="35"/>
      <c r="K33" s="36"/>
    </row>
    <row r="34" spans="2:11" x14ac:dyDescent="0.3">
      <c r="B34" s="1" t="s">
        <v>93</v>
      </c>
      <c r="C34" s="21" t="s">
        <v>94</v>
      </c>
      <c r="D34" s="31" t="s">
        <v>95</v>
      </c>
      <c r="E34" s="32" t="s">
        <v>53</v>
      </c>
      <c r="F34" s="33">
        <v>3500</v>
      </c>
      <c r="G34" s="34">
        <v>107.35</v>
      </c>
      <c r="H34" s="34">
        <v>1.07</v>
      </c>
      <c r="I34" s="35"/>
      <c r="J34" s="35"/>
      <c r="K34" s="36"/>
    </row>
    <row r="35" spans="2:11" x14ac:dyDescent="0.3">
      <c r="B35" s="1" t="s">
        <v>96</v>
      </c>
      <c r="C35" s="21" t="s">
        <v>97</v>
      </c>
      <c r="D35" s="31" t="s">
        <v>98</v>
      </c>
      <c r="E35" s="32" t="s">
        <v>29</v>
      </c>
      <c r="F35" s="33">
        <v>11500</v>
      </c>
      <c r="G35" s="34">
        <v>103.32</v>
      </c>
      <c r="H35" s="34">
        <v>1.03</v>
      </c>
      <c r="I35" s="35"/>
      <c r="J35" s="35"/>
      <c r="K35" s="36"/>
    </row>
    <row r="36" spans="2:11" x14ac:dyDescent="0.3">
      <c r="B36" s="1" t="s">
        <v>99</v>
      </c>
      <c r="C36" s="21" t="s">
        <v>100</v>
      </c>
      <c r="D36" s="31" t="s">
        <v>101</v>
      </c>
      <c r="E36" s="32" t="s">
        <v>29</v>
      </c>
      <c r="F36" s="33">
        <v>6000</v>
      </c>
      <c r="G36" s="34">
        <v>101.85</v>
      </c>
      <c r="H36" s="34">
        <v>1.02</v>
      </c>
      <c r="I36" s="35"/>
      <c r="J36" s="35"/>
      <c r="K36" s="36"/>
    </row>
    <row r="37" spans="2:11" x14ac:dyDescent="0.3">
      <c r="B37" s="1" t="s">
        <v>102</v>
      </c>
      <c r="C37" s="21" t="s">
        <v>103</v>
      </c>
      <c r="D37" s="31" t="s">
        <v>104</v>
      </c>
      <c r="E37" s="32" t="s">
        <v>19</v>
      </c>
      <c r="F37" s="33">
        <v>90000</v>
      </c>
      <c r="G37" s="34">
        <v>101.12</v>
      </c>
      <c r="H37" s="34">
        <v>1.01</v>
      </c>
      <c r="I37" s="35"/>
      <c r="J37" s="35"/>
      <c r="K37" s="36"/>
    </row>
    <row r="38" spans="2:11" x14ac:dyDescent="0.3">
      <c r="B38" s="1" t="s">
        <v>105</v>
      </c>
      <c r="C38" s="21" t="s">
        <v>106</v>
      </c>
      <c r="D38" s="31" t="s">
        <v>107</v>
      </c>
      <c r="E38" s="32" t="s">
        <v>29</v>
      </c>
      <c r="F38" s="33">
        <v>40000</v>
      </c>
      <c r="G38" s="34">
        <v>91.76</v>
      </c>
      <c r="H38" s="34">
        <v>0.92</v>
      </c>
      <c r="I38" s="35"/>
      <c r="J38" s="35"/>
      <c r="K38" s="36"/>
    </row>
    <row r="39" spans="2:11" x14ac:dyDescent="0.3">
      <c r="C39" s="30" t="s">
        <v>108</v>
      </c>
      <c r="D39" s="31"/>
      <c r="E39" s="32"/>
      <c r="F39" s="33"/>
      <c r="G39" s="38">
        <v>9793.19</v>
      </c>
      <c r="H39" s="38">
        <v>97.77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109</v>
      </c>
      <c r="D41" s="31"/>
      <c r="E41" s="32"/>
      <c r="F41" s="33"/>
      <c r="G41" s="34" t="s">
        <v>110</v>
      </c>
      <c r="H41" s="34" t="s">
        <v>110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111</v>
      </c>
      <c r="D43" s="31"/>
      <c r="E43" s="32"/>
      <c r="F43" s="33"/>
      <c r="G43" s="34" t="s">
        <v>110</v>
      </c>
      <c r="H43" s="34" t="s">
        <v>110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7" t="s">
        <v>112</v>
      </c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B46" s="1" t="s">
        <v>113</v>
      </c>
      <c r="C46" s="21" t="s">
        <v>17</v>
      </c>
      <c r="D46" s="31" t="s">
        <v>114</v>
      </c>
      <c r="E46" s="32" t="s">
        <v>19</v>
      </c>
      <c r="F46" s="33">
        <v>6600</v>
      </c>
      <c r="G46" s="34">
        <v>103.31</v>
      </c>
      <c r="H46" s="34">
        <v>1.03</v>
      </c>
      <c r="I46" s="35"/>
      <c r="J46" s="35"/>
      <c r="K46" s="36"/>
    </row>
    <row r="47" spans="2:11" x14ac:dyDescent="0.3">
      <c r="C47" s="30" t="s">
        <v>115</v>
      </c>
      <c r="D47" s="31"/>
      <c r="E47" s="32"/>
      <c r="F47" s="33"/>
      <c r="G47" s="38">
        <v>103.31</v>
      </c>
      <c r="H47" s="38">
        <v>1.03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116</v>
      </c>
      <c r="D49" s="31"/>
      <c r="E49" s="32"/>
      <c r="F49" s="33"/>
      <c r="G49" s="34" t="s">
        <v>110</v>
      </c>
      <c r="H49" s="34" t="s">
        <v>110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117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118</v>
      </c>
      <c r="D53" s="31"/>
      <c r="E53" s="32"/>
      <c r="F53" s="33"/>
      <c r="G53" s="34" t="s">
        <v>110</v>
      </c>
      <c r="H53" s="34" t="s">
        <v>110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119</v>
      </c>
      <c r="D55" s="31"/>
      <c r="E55" s="32"/>
      <c r="F55" s="33"/>
      <c r="G55" s="34" t="s">
        <v>110</v>
      </c>
      <c r="H55" s="34" t="s">
        <v>110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120</v>
      </c>
      <c r="D57" s="31"/>
      <c r="E57" s="32"/>
      <c r="F57" s="33"/>
      <c r="G57" s="34" t="s">
        <v>110</v>
      </c>
      <c r="H57" s="34" t="s">
        <v>110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121</v>
      </c>
      <c r="D59" s="31"/>
      <c r="E59" s="32"/>
      <c r="F59" s="33"/>
      <c r="G59" s="34" t="s">
        <v>110</v>
      </c>
      <c r="H59" s="34" t="s">
        <v>110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122</v>
      </c>
      <c r="D61" s="31"/>
      <c r="E61" s="32"/>
      <c r="F61" s="33"/>
      <c r="G61" s="34" t="s">
        <v>110</v>
      </c>
      <c r="H61" s="34" t="s">
        <v>110</v>
      </c>
      <c r="I61" s="35"/>
      <c r="J61" s="35"/>
      <c r="K61" s="36"/>
    </row>
    <row r="62" spans="1:11" s="39" customFormat="1" ht="15" x14ac:dyDescent="0.35">
      <c r="A62" s="2"/>
      <c r="B62" s="2"/>
      <c r="C62" s="21"/>
      <c r="D62" s="31"/>
      <c r="E62" s="32"/>
      <c r="F62" s="33"/>
      <c r="G62" s="34"/>
      <c r="H62" s="34"/>
      <c r="I62" s="35"/>
      <c r="J62" s="35"/>
      <c r="K62" s="36"/>
    </row>
    <row r="63" spans="1:11" s="40" customFormat="1" x14ac:dyDescent="0.3">
      <c r="A63" s="28"/>
      <c r="B63" s="29"/>
      <c r="C63" s="30" t="s">
        <v>123</v>
      </c>
      <c r="D63" s="31"/>
      <c r="E63" s="32"/>
      <c r="F63" s="33"/>
      <c r="G63" s="34"/>
      <c r="H63" s="34"/>
      <c r="I63" s="35"/>
      <c r="J63" s="35"/>
      <c r="K63" s="36"/>
    </row>
    <row r="64" spans="1:11" s="40" customFormat="1" x14ac:dyDescent="0.3">
      <c r="A64" s="29"/>
      <c r="B64" s="29"/>
      <c r="C64" s="30" t="s">
        <v>124</v>
      </c>
      <c r="D64" s="31"/>
      <c r="E64" s="32"/>
      <c r="F64" s="33"/>
      <c r="G64" s="34" t="s">
        <v>110</v>
      </c>
      <c r="H64" s="34" t="s">
        <v>110</v>
      </c>
      <c r="I64" s="35"/>
      <c r="J64" s="35"/>
      <c r="K64" s="36"/>
    </row>
    <row r="65" spans="1:11" s="2" customFormat="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s="11" customFormat="1" x14ac:dyDescent="0.3">
      <c r="A66" s="29"/>
      <c r="B66" s="29"/>
      <c r="C66" s="30" t="s">
        <v>125</v>
      </c>
      <c r="D66" s="31"/>
      <c r="E66" s="32"/>
      <c r="F66" s="33"/>
      <c r="G66" s="34" t="s">
        <v>110</v>
      </c>
      <c r="H66" s="34" t="s">
        <v>110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7" t="s">
        <v>126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B69" s="1" t="s">
        <v>127</v>
      </c>
      <c r="C69" s="21" t="s">
        <v>128</v>
      </c>
      <c r="D69" s="31" t="s">
        <v>129</v>
      </c>
      <c r="E69" s="32" t="s">
        <v>130</v>
      </c>
      <c r="F69" s="33">
        <v>50000</v>
      </c>
      <c r="G69" s="34">
        <v>49.36</v>
      </c>
      <c r="H69" s="34">
        <v>0.49</v>
      </c>
      <c r="I69" s="35">
        <v>6.9001000000000001</v>
      </c>
      <c r="J69" s="35"/>
      <c r="K69" s="36"/>
    </row>
    <row r="70" spans="1:11" x14ac:dyDescent="0.3">
      <c r="C70" s="30" t="s">
        <v>108</v>
      </c>
      <c r="D70" s="31"/>
      <c r="E70" s="32"/>
      <c r="F70" s="33"/>
      <c r="G70" s="38">
        <v>49.36</v>
      </c>
      <c r="H70" s="38">
        <v>0.49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131</v>
      </c>
      <c r="D72" s="31"/>
      <c r="E72" s="32"/>
      <c r="F72" s="33"/>
      <c r="G72" s="34" t="s">
        <v>110</v>
      </c>
      <c r="H72" s="34" t="s">
        <v>110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8"/>
      <c r="B74" s="29"/>
      <c r="C74" s="30" t="s">
        <v>132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133</v>
      </c>
      <c r="D75" s="31"/>
      <c r="E75" s="32"/>
      <c r="F75" s="33"/>
      <c r="G75" s="34" t="s">
        <v>110</v>
      </c>
      <c r="H75" s="34" t="s">
        <v>110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134</v>
      </c>
      <c r="D77" s="31"/>
      <c r="E77" s="32"/>
      <c r="F77" s="33"/>
      <c r="G77" s="34" t="s">
        <v>110</v>
      </c>
      <c r="H77" s="34" t="s">
        <v>110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9"/>
      <c r="B79" s="29"/>
      <c r="C79" s="30" t="s">
        <v>135</v>
      </c>
      <c r="D79" s="31"/>
      <c r="E79" s="32"/>
      <c r="F79" s="33"/>
      <c r="G79" s="34" t="s">
        <v>110</v>
      </c>
      <c r="H79" s="34" t="s">
        <v>110</v>
      </c>
      <c r="I79" s="35"/>
      <c r="J79" s="35"/>
      <c r="K79" s="36"/>
    </row>
    <row r="80" spans="1:1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136</v>
      </c>
      <c r="D81" s="31"/>
      <c r="E81" s="32"/>
      <c r="F81" s="33"/>
      <c r="G81" s="34" t="s">
        <v>110</v>
      </c>
      <c r="H81" s="34" t="s">
        <v>110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7" t="s">
        <v>137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B84" s="1" t="s">
        <v>138</v>
      </c>
      <c r="C84" s="21" t="s">
        <v>139</v>
      </c>
      <c r="D84" s="31"/>
      <c r="E84" s="32"/>
      <c r="F84" s="33"/>
      <c r="G84" s="34">
        <v>199.99</v>
      </c>
      <c r="H84" s="34">
        <v>2</v>
      </c>
      <c r="I84" s="35">
        <v>6.76</v>
      </c>
      <c r="J84" s="35"/>
      <c r="K84" s="36"/>
    </row>
    <row r="85" spans="1:11" x14ac:dyDescent="0.3">
      <c r="C85" s="30" t="s">
        <v>108</v>
      </c>
      <c r="D85" s="31"/>
      <c r="E85" s="32"/>
      <c r="F85" s="33"/>
      <c r="G85" s="38">
        <v>199.99</v>
      </c>
      <c r="H85" s="38">
        <v>2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8"/>
      <c r="B87" s="29"/>
      <c r="C87" s="30" t="s">
        <v>140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/>
      <c r="C88" s="21" t="s">
        <v>141</v>
      </c>
      <c r="D88" s="31"/>
      <c r="E88" s="32"/>
      <c r="F88" s="33"/>
      <c r="G88" s="34">
        <v>-26.01</v>
      </c>
      <c r="H88" s="34">
        <v>-0.26</v>
      </c>
      <c r="I88" s="35"/>
      <c r="J88" s="35"/>
      <c r="K88" s="36"/>
    </row>
    <row r="89" spans="1:11" x14ac:dyDescent="0.3">
      <c r="C89" s="30" t="s">
        <v>108</v>
      </c>
      <c r="D89" s="31"/>
      <c r="E89" s="32"/>
      <c r="F89" s="33"/>
      <c r="G89" s="38">
        <v>-26.01</v>
      </c>
      <c r="H89" s="38">
        <v>-0.26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ht="14.4" thickBot="1" x14ac:dyDescent="0.35">
      <c r="C91" s="41" t="s">
        <v>142</v>
      </c>
      <c r="D91" s="42"/>
      <c r="E91" s="43"/>
      <c r="F91" s="44"/>
      <c r="G91" s="45">
        <v>10016.530000000001</v>
      </c>
      <c r="H91" s="45">
        <f>SUMIFS(H:H,C:C,"Total")</f>
        <v>99.999999999999986</v>
      </c>
      <c r="I91" s="46"/>
      <c r="J91" s="46"/>
      <c r="K91" s="47"/>
    </row>
    <row r="93" spans="1:11" x14ac:dyDescent="0.3">
      <c r="C93" s="48" t="s">
        <v>143</v>
      </c>
      <c r="D93" s="49"/>
      <c r="E93" s="49"/>
      <c r="F93" s="49"/>
      <c r="G93" s="50"/>
      <c r="H93" s="50"/>
    </row>
    <row r="94" spans="1:11" x14ac:dyDescent="0.3">
      <c r="C94" s="51" t="s">
        <v>144</v>
      </c>
      <c r="D94" s="49"/>
      <c r="E94" s="49"/>
      <c r="F94" s="49"/>
      <c r="G94" s="50"/>
      <c r="H94" s="50"/>
    </row>
    <row r="95" spans="1:11" x14ac:dyDescent="0.3">
      <c r="C95" s="52" t="s">
        <v>145</v>
      </c>
      <c r="D95" s="53" t="s">
        <v>146</v>
      </c>
      <c r="E95" s="54" t="s">
        <v>147</v>
      </c>
      <c r="F95" s="55" t="s">
        <v>148</v>
      </c>
      <c r="G95" s="55" t="s">
        <v>149</v>
      </c>
      <c r="H95" s="55" t="s">
        <v>150</v>
      </c>
    </row>
    <row r="96" spans="1:11" x14ac:dyDescent="0.3">
      <c r="C96" s="84" t="s">
        <v>151</v>
      </c>
      <c r="D96" s="85"/>
      <c r="E96" s="85"/>
      <c r="F96" s="85"/>
      <c r="G96" s="85"/>
      <c r="H96" s="86"/>
    </row>
    <row r="97" spans="3:8" x14ac:dyDescent="0.3">
      <c r="C97" s="56"/>
      <c r="D97" s="56"/>
      <c r="E97" s="56"/>
      <c r="F97" s="56"/>
      <c r="G97" s="56"/>
      <c r="H97" s="56"/>
    </row>
    <row r="98" spans="3:8" x14ac:dyDescent="0.3">
      <c r="C98" s="49" t="s">
        <v>152</v>
      </c>
      <c r="D98" s="56"/>
      <c r="E98" s="56"/>
      <c r="F98" s="56"/>
      <c r="G98" s="56"/>
      <c r="H98" s="56"/>
    </row>
    <row r="99" spans="3:8" x14ac:dyDescent="0.3">
      <c r="C99" s="56"/>
      <c r="D99" s="56"/>
      <c r="E99" s="56"/>
      <c r="F99" s="56"/>
      <c r="G99" s="56"/>
      <c r="H99" s="56"/>
    </row>
    <row r="100" spans="3:8" x14ac:dyDescent="0.3">
      <c r="C100" s="48" t="s">
        <v>153</v>
      </c>
      <c r="D100" s="56"/>
      <c r="E100" s="56"/>
      <c r="F100" s="56"/>
      <c r="G100" s="56"/>
      <c r="H100" s="56"/>
    </row>
    <row r="101" spans="3:8" x14ac:dyDescent="0.3">
      <c r="C101" s="57" t="s">
        <v>154</v>
      </c>
      <c r="D101" s="56"/>
      <c r="E101" s="56"/>
      <c r="F101" s="56"/>
      <c r="G101" s="56"/>
      <c r="H101" s="56"/>
    </row>
    <row r="102" spans="3:8" x14ac:dyDescent="0.3">
      <c r="C102" s="57" t="s">
        <v>155</v>
      </c>
      <c r="D102" s="56"/>
      <c r="E102" s="56"/>
      <c r="F102" s="56"/>
      <c r="G102" s="56"/>
      <c r="H102" s="56"/>
    </row>
    <row r="103" spans="3:8" x14ac:dyDescent="0.3">
      <c r="C103" s="57" t="s">
        <v>156</v>
      </c>
      <c r="D103" s="58"/>
      <c r="E103" s="56"/>
      <c r="F103" s="56"/>
      <c r="G103" s="56"/>
      <c r="H103" s="56"/>
    </row>
    <row r="104" spans="3:8" x14ac:dyDescent="0.3">
      <c r="C104" s="57" t="s">
        <v>157</v>
      </c>
      <c r="D104" s="58"/>
      <c r="E104" s="59"/>
      <c r="F104" s="56"/>
      <c r="G104" s="56"/>
      <c r="H104" s="56"/>
    </row>
    <row r="105" spans="3:8" x14ac:dyDescent="0.3">
      <c r="C105" s="60" t="s">
        <v>158</v>
      </c>
      <c r="D105" s="58"/>
      <c r="E105" s="61"/>
      <c r="F105" s="61"/>
      <c r="G105" s="56"/>
      <c r="H105" s="61"/>
    </row>
    <row r="106" spans="3:8" x14ac:dyDescent="0.3">
      <c r="C106" s="56"/>
      <c r="D106" s="56"/>
      <c r="E106" s="56"/>
      <c r="F106" s="56"/>
      <c r="G106" s="56"/>
      <c r="H106" s="56"/>
    </row>
    <row r="107" spans="3:8" x14ac:dyDescent="0.3">
      <c r="C107" s="51"/>
      <c r="D107" s="49"/>
      <c r="E107" s="49"/>
      <c r="F107" s="62"/>
      <c r="G107" s="50"/>
      <c r="H107" s="50"/>
    </row>
    <row r="108" spans="3:8" x14ac:dyDescent="0.3">
      <c r="C108" s="48" t="s">
        <v>159</v>
      </c>
      <c r="D108" s="57"/>
      <c r="E108" s="57"/>
      <c r="F108" s="57"/>
      <c r="G108" s="57"/>
      <c r="H108" s="63"/>
    </row>
    <row r="109" spans="3:8" x14ac:dyDescent="0.3">
      <c r="C109" s="53" t="s">
        <v>145</v>
      </c>
      <c r="D109" s="64" t="s">
        <v>146</v>
      </c>
      <c r="E109" s="65" t="s">
        <v>147</v>
      </c>
      <c r="F109" s="66" t="s">
        <v>148</v>
      </c>
      <c r="G109" s="66" t="s">
        <v>149</v>
      </c>
      <c r="H109" s="66" t="s">
        <v>150</v>
      </c>
    </row>
    <row r="110" spans="3:8" x14ac:dyDescent="0.3">
      <c r="C110" s="67" t="s">
        <v>17</v>
      </c>
      <c r="D110" s="67" t="s">
        <v>114</v>
      </c>
      <c r="E110" s="68">
        <v>12</v>
      </c>
      <c r="F110" s="69">
        <v>1540.175</v>
      </c>
      <c r="G110" s="69">
        <v>1565.35</v>
      </c>
      <c r="H110" s="69">
        <v>18.337605</v>
      </c>
    </row>
    <row r="111" spans="3:8" x14ac:dyDescent="0.3">
      <c r="C111" s="57"/>
      <c r="D111" s="57"/>
      <c r="E111" s="57"/>
      <c r="F111" s="70"/>
      <c r="G111" s="71"/>
      <c r="H111" s="71"/>
    </row>
    <row r="112" spans="3:8" x14ac:dyDescent="0.3">
      <c r="C112" s="57" t="s">
        <v>160</v>
      </c>
      <c r="D112" s="56"/>
      <c r="E112" s="56"/>
      <c r="F112" s="56"/>
      <c r="G112" s="56"/>
      <c r="H112" s="56"/>
    </row>
    <row r="113" spans="3:8" x14ac:dyDescent="0.3">
      <c r="C113" s="56"/>
      <c r="D113" s="56"/>
      <c r="E113" s="56"/>
      <c r="F113" s="56"/>
      <c r="G113" s="56"/>
      <c r="H113" s="56"/>
    </row>
    <row r="114" spans="3:8" x14ac:dyDescent="0.3">
      <c r="C114" s="48" t="s">
        <v>161</v>
      </c>
      <c r="D114" s="56"/>
      <c r="E114" s="56"/>
      <c r="F114" s="56"/>
      <c r="G114" s="56"/>
      <c r="H114" s="56"/>
    </row>
    <row r="115" spans="3:8" x14ac:dyDescent="0.3">
      <c r="C115" s="57" t="s">
        <v>154</v>
      </c>
      <c r="D115" s="56"/>
      <c r="E115" s="56"/>
      <c r="F115" s="56"/>
      <c r="G115" s="56"/>
      <c r="H115" s="56"/>
    </row>
    <row r="116" spans="3:8" x14ac:dyDescent="0.3">
      <c r="C116" s="57" t="s">
        <v>162</v>
      </c>
      <c r="D116" s="56"/>
      <c r="E116" s="56"/>
      <c r="F116" s="56"/>
      <c r="G116" s="56"/>
      <c r="H116" s="56"/>
    </row>
    <row r="117" spans="3:8" x14ac:dyDescent="0.3">
      <c r="C117" s="57" t="s">
        <v>163</v>
      </c>
      <c r="D117" s="59"/>
      <c r="E117" s="56"/>
      <c r="F117" s="56"/>
      <c r="G117" s="56"/>
      <c r="H117" s="56"/>
    </row>
    <row r="118" spans="3:8" x14ac:dyDescent="0.3">
      <c r="C118" s="57" t="s">
        <v>157</v>
      </c>
      <c r="D118" s="59"/>
      <c r="E118" s="56"/>
      <c r="F118" s="56"/>
      <c r="G118" s="56"/>
      <c r="H118" s="56"/>
    </row>
    <row r="119" spans="3:8" x14ac:dyDescent="0.3">
      <c r="C119" s="60" t="s">
        <v>158</v>
      </c>
      <c r="D119" s="59"/>
      <c r="E119" s="61"/>
      <c r="F119" s="61"/>
      <c r="G119" s="56"/>
      <c r="H119" s="56"/>
    </row>
    <row r="120" spans="3:8" x14ac:dyDescent="0.3">
      <c r="C120" s="49"/>
      <c r="D120" s="49"/>
      <c r="E120" s="72"/>
      <c r="F120" s="49"/>
      <c r="G120" s="50"/>
      <c r="H120" s="50"/>
    </row>
    <row r="121" spans="3:8" x14ac:dyDescent="0.3">
      <c r="C121" s="73" t="s">
        <v>164</v>
      </c>
      <c r="D121" s="72"/>
      <c r="E121" s="72"/>
      <c r="F121" s="49"/>
      <c r="G121" s="50"/>
      <c r="H121" s="50"/>
    </row>
    <row r="123" spans="3:8" x14ac:dyDescent="0.3">
      <c r="C123" s="11" t="s">
        <v>165</v>
      </c>
    </row>
    <row r="124" spans="3:8" x14ac:dyDescent="0.3">
      <c r="C124" s="2" t="s">
        <v>166</v>
      </c>
    </row>
    <row r="125" spans="3:8" x14ac:dyDescent="0.3">
      <c r="C125" s="74" t="s">
        <v>167</v>
      </c>
    </row>
    <row r="126" spans="3:8" x14ac:dyDescent="0.3">
      <c r="C126" s="2" t="s">
        <v>168</v>
      </c>
    </row>
    <row r="127" spans="3:8" x14ac:dyDescent="0.3">
      <c r="C127" s="2" t="s">
        <v>169</v>
      </c>
    </row>
    <row r="128" spans="3:8" x14ac:dyDescent="0.3">
      <c r="C128" s="2" t="s">
        <v>170</v>
      </c>
      <c r="D128" s="75"/>
      <c r="E128" s="75"/>
      <c r="F128" s="75"/>
      <c r="G128" s="76"/>
      <c r="H128" s="76"/>
    </row>
    <row r="129" spans="3:55" x14ac:dyDescent="0.3">
      <c r="C129" s="2" t="s">
        <v>171</v>
      </c>
    </row>
    <row r="130" spans="3:55" x14ac:dyDescent="0.3">
      <c r="C130" s="2" t="s">
        <v>172</v>
      </c>
    </row>
    <row r="131" spans="3:55" x14ac:dyDescent="0.3">
      <c r="C131" s="2" t="s">
        <v>173</v>
      </c>
    </row>
    <row r="132" spans="3:55" x14ac:dyDescent="0.3">
      <c r="C132" s="2" t="s">
        <v>174</v>
      </c>
    </row>
    <row r="133" spans="3:55" s="11" customFormat="1" x14ac:dyDescent="0.3">
      <c r="C133" s="11" t="s">
        <v>175</v>
      </c>
      <c r="E133" s="11" t="s">
        <v>176</v>
      </c>
      <c r="F133" s="77" t="s">
        <v>177</v>
      </c>
      <c r="G133" s="78"/>
      <c r="H133" s="78"/>
      <c r="I133" s="78"/>
      <c r="J133" s="78"/>
      <c r="K133" s="79"/>
      <c r="L133" s="79"/>
      <c r="M133" s="79"/>
      <c r="AJ133" s="79"/>
      <c r="AW133" s="79"/>
      <c r="AY133" s="79"/>
      <c r="BC133" s="79"/>
    </row>
    <row r="134" spans="3:55" x14ac:dyDescent="0.3">
      <c r="C134" s="2" t="s">
        <v>178</v>
      </c>
      <c r="E134" s="80">
        <v>17.975100000000001</v>
      </c>
      <c r="F134" s="81">
        <v>19.324400000000001</v>
      </c>
    </row>
    <row r="135" spans="3:55" x14ac:dyDescent="0.3">
      <c r="C135" s="2" t="s">
        <v>179</v>
      </c>
      <c r="E135" s="80">
        <v>33.334400000000002</v>
      </c>
      <c r="F135" s="81">
        <v>35.836599999999997</v>
      </c>
    </row>
    <row r="136" spans="3:55" x14ac:dyDescent="0.3">
      <c r="C136" s="2" t="s">
        <v>180</v>
      </c>
      <c r="E136" s="80">
        <v>20.069900000000001</v>
      </c>
      <c r="F136" s="81">
        <v>21.597799999999999</v>
      </c>
    </row>
    <row r="137" spans="3:55" x14ac:dyDescent="0.3">
      <c r="C137" s="2" t="s">
        <v>181</v>
      </c>
      <c r="E137" s="80">
        <v>36.428899999999999</v>
      </c>
      <c r="F137" s="81">
        <v>39.202100000000002</v>
      </c>
    </row>
    <row r="139" spans="3:55" x14ac:dyDescent="0.3">
      <c r="C139" s="2" t="s">
        <v>182</v>
      </c>
    </row>
    <row r="140" spans="3:55" x14ac:dyDescent="0.3">
      <c r="C140" s="2" t="s">
        <v>183</v>
      </c>
    </row>
    <row r="141" spans="3:55" x14ac:dyDescent="0.3">
      <c r="C141" s="2" t="s">
        <v>184</v>
      </c>
    </row>
    <row r="142" spans="3:55" x14ac:dyDescent="0.3">
      <c r="C142" s="2" t="s">
        <v>185</v>
      </c>
    </row>
    <row r="143" spans="3:55" x14ac:dyDescent="0.3">
      <c r="C143" s="2" t="s">
        <v>186</v>
      </c>
    </row>
    <row r="144" spans="3:55" x14ac:dyDescent="0.3">
      <c r="C144" s="2" t="s">
        <v>187</v>
      </c>
    </row>
    <row r="145" spans="3:11" x14ac:dyDescent="0.3">
      <c r="C145" s="2" t="s">
        <v>188</v>
      </c>
    </row>
    <row r="146" spans="3:11" x14ac:dyDescent="0.3">
      <c r="C146" s="2" t="s">
        <v>189</v>
      </c>
    </row>
    <row r="147" spans="3:11" x14ac:dyDescent="0.3">
      <c r="C147" s="2" t="s">
        <v>190</v>
      </c>
    </row>
    <row r="148" spans="3:11" x14ac:dyDescent="0.3">
      <c r="C148" s="2" t="s">
        <v>191</v>
      </c>
    </row>
    <row r="149" spans="3:11" x14ac:dyDescent="0.3">
      <c r="C149" s="2" t="s">
        <v>192</v>
      </c>
    </row>
    <row r="150" spans="3:11" x14ac:dyDescent="0.3">
      <c r="C150" s="2" t="s">
        <v>193</v>
      </c>
    </row>
    <row r="151" spans="3:11" x14ac:dyDescent="0.3">
      <c r="C151" s="2" t="s">
        <v>194</v>
      </c>
    </row>
    <row r="152" spans="3:11" ht="14.4" x14ac:dyDescent="0.3">
      <c r="C152" s="82"/>
      <c r="D152" s="82"/>
      <c r="E152" s="83"/>
      <c r="F152" s="83"/>
      <c r="G152" s="83"/>
      <c r="H152" s="83"/>
      <c r="I152" s="83"/>
      <c r="J152" s="83"/>
      <c r="K152" s="83"/>
    </row>
    <row r="153" spans="3:11" ht="14.4" x14ac:dyDescent="0.3">
      <c r="C153" s="83"/>
      <c r="D153" s="83"/>
      <c r="E153" s="83"/>
      <c r="F153" s="83"/>
      <c r="G153" s="83"/>
      <c r="H153" s="83"/>
      <c r="I153" s="83"/>
      <c r="J153" s="83"/>
      <c r="K153" s="83"/>
    </row>
    <row r="154" spans="3:11" ht="14.4" x14ac:dyDescent="0.3">
      <c r="C154" s="83"/>
      <c r="D154" s="83"/>
      <c r="E154" s="83"/>
      <c r="F154" s="83"/>
      <c r="G154" s="83"/>
      <c r="H154" s="83"/>
      <c r="I154" s="83"/>
      <c r="J154" s="83"/>
      <c r="K154" s="83"/>
    </row>
  </sheetData>
  <mergeCells count="1">
    <mergeCell ref="C96:H9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BS</vt:lpstr>
      <vt:lpstr>XDO_?CLASS_3?24?</vt:lpstr>
      <vt:lpstr>XDO_?FINAL_ISIN?126?</vt:lpstr>
      <vt:lpstr>XDO_?FINAL_ISIN?127?</vt:lpstr>
      <vt:lpstr>XDO_?FINAL_ISIN?128?</vt:lpstr>
      <vt:lpstr>XDO_?FINAL_ISIN?129?</vt:lpstr>
      <vt:lpstr>XDO_?FINAL_ISIN?130?</vt:lpstr>
      <vt:lpstr>XDO_?FINAL_MV?126?</vt:lpstr>
      <vt:lpstr>XDO_?FINAL_MV?127?</vt:lpstr>
      <vt:lpstr>XDO_?FINAL_MV?128?</vt:lpstr>
      <vt:lpstr>XDO_?FINAL_MV?129?</vt:lpstr>
      <vt:lpstr>XDO_?FINAL_MV?130?</vt:lpstr>
      <vt:lpstr>XDO_?FINAL_NAME?126?</vt:lpstr>
      <vt:lpstr>XDO_?FINAL_NAME?127?</vt:lpstr>
      <vt:lpstr>XDO_?FINAL_NAME?128?</vt:lpstr>
      <vt:lpstr>XDO_?FINAL_NAME?129?</vt:lpstr>
      <vt:lpstr>XDO_?FINAL_NAME?130?</vt:lpstr>
      <vt:lpstr>XDO_?FINAL_PER_NET?126?</vt:lpstr>
      <vt:lpstr>XDO_?FINAL_PER_NET?127?</vt:lpstr>
      <vt:lpstr>XDO_?FINAL_PER_NET?128?</vt:lpstr>
      <vt:lpstr>XDO_?FINAL_PER_NET?129?</vt:lpstr>
      <vt:lpstr>XDO_?FINAL_PER_NET?130?</vt:lpstr>
      <vt:lpstr>XDO_?FINAL_QUANTITE?126?</vt:lpstr>
      <vt:lpstr>XDO_?FINAL_QUANTITE?127?</vt:lpstr>
      <vt:lpstr>XDO_?FINAL_QUANTITE?128?</vt:lpstr>
      <vt:lpstr>XDO_?FINAL_QUANTITE?129?</vt:lpstr>
      <vt:lpstr>XDO_?FINAL_QUANTITE?130?</vt:lpstr>
      <vt:lpstr>XDO_?NAMCNAME?24?</vt:lpstr>
      <vt:lpstr>XDO_?NOVAL?126?</vt:lpstr>
      <vt:lpstr>XDO_?NOVAL?127?</vt:lpstr>
      <vt:lpstr>XDO_?NOVAL?128?</vt:lpstr>
      <vt:lpstr>XDO_?NOVAL?129?</vt:lpstr>
      <vt:lpstr>XDO_?NOVAL?130?</vt:lpstr>
      <vt:lpstr>XDO_?NPTF?24?</vt:lpstr>
      <vt:lpstr>XDO_?RATING?126?</vt:lpstr>
      <vt:lpstr>XDO_?RATING?127?</vt:lpstr>
      <vt:lpstr>XDO_?RATING?128?</vt:lpstr>
      <vt:lpstr>XDO_?RATING?129?</vt:lpstr>
      <vt:lpstr>XDO_?RATING?130?</vt:lpstr>
      <vt:lpstr>XDO_?REMARKS?126?</vt:lpstr>
      <vt:lpstr>XDO_?REMARKS?127?</vt:lpstr>
      <vt:lpstr>XDO_?REMARKS?128?</vt:lpstr>
      <vt:lpstr>XDO_?REMARKS?129?</vt:lpstr>
      <vt:lpstr>XDO_?REMARKS?130?</vt:lpstr>
      <vt:lpstr>XDO_?TITL?24?</vt:lpstr>
      <vt:lpstr>XDO_?YTM?126?</vt:lpstr>
      <vt:lpstr>XDO_?YTM?127?</vt:lpstr>
      <vt:lpstr>XDO_?YTM?128?</vt:lpstr>
      <vt:lpstr>XDO_?YTM?129?</vt:lpstr>
      <vt:lpstr>XDO_?YTM?130?</vt:lpstr>
      <vt:lpstr>XDO_GROUP_?G_2?24?</vt:lpstr>
      <vt:lpstr>XDO_GROUP_?G_3?24?</vt:lpstr>
      <vt:lpstr>XDO_GROUP_?G_4?126?</vt:lpstr>
      <vt:lpstr>XDO_GROUP_?G_4?127?</vt:lpstr>
      <vt:lpstr>XDO_GROUP_?G_4?128?</vt:lpstr>
      <vt:lpstr>XDO_GROUP_?G_4?129?</vt:lpstr>
      <vt:lpstr>XDO_GROUP_?G_4?130?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2023-12-07T09:49:03Z</dcterms:created>
  <dcterms:modified xsi:type="dcterms:W3CDTF">2023-12-07T13:39:18Z</dcterms:modified>
</cp:coreProperties>
</file>