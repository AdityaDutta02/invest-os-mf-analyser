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1-May-2024\BOBBNPMF_Monthly portfolio_Split Portfolio_31-05-2024\"/>
    </mc:Choice>
  </mc:AlternateContent>
  <xr:revisionPtr revIDLastSave="0" documentId="13_ncr:1_{7536F8EB-4FF7-4F92-BC9D-8CCBDEAE3DFE}" xr6:coauthVersionLast="47" xr6:coauthVersionMax="47" xr10:uidLastSave="{00000000-0000-0000-0000-000000000000}"/>
  <bookViews>
    <workbookView xWindow="-108" yWindow="-108" windowWidth="23256" windowHeight="12456" xr2:uid="{85A3C8BD-93BC-4896-AD81-176D5CEAE9D1}"/>
  </bookViews>
  <sheets>
    <sheet name="SI" sheetId="1" r:id="rId1"/>
  </sheets>
  <externalReferences>
    <externalReference r:id="rId2"/>
  </externalReferences>
  <definedNames>
    <definedName name="XDO_?CLASS_3?27?">SI!$C$16:$C$34</definedName>
    <definedName name="XDO_?FINAL_ISIN?136?">SI!$D$18:$D$34</definedName>
    <definedName name="XDO_?FINAL_ISIN?137?">SI!$D$18:$D$44</definedName>
    <definedName name="XDO_?FINAL_ISIN?138?">SI!$D$18:$D$48</definedName>
    <definedName name="XDO_?FINAL_ISIN?139?">SI!$D$18:$D$65</definedName>
    <definedName name="XDO_?FINAL_ISIN?140?">SI!$D$18:$D$75</definedName>
    <definedName name="XDO_?FINAL_ISIN?141?">SI!$D$18:$D$79</definedName>
    <definedName name="XDO_?FINAL_MV?136?">SI!$G$18:$G$34</definedName>
    <definedName name="XDO_?FINAL_MV?137?">SI!$G$18:$G$44</definedName>
    <definedName name="XDO_?FINAL_MV?138?">SI!$G$18:$G$48</definedName>
    <definedName name="XDO_?FINAL_MV?139?">SI!$G$18:$G$65</definedName>
    <definedName name="XDO_?FINAL_MV?140?">SI!$G$18:$G$75</definedName>
    <definedName name="XDO_?FINAL_MV?141?">SI!$G$18:$G$79</definedName>
    <definedName name="XDO_?FINAL_NAME?136?">SI!$C$18:$C$34</definedName>
    <definedName name="XDO_?FINAL_NAME?137?">SI!$C$18:$C$44</definedName>
    <definedName name="XDO_?FINAL_NAME?138?">SI!$C$18:$C$48</definedName>
    <definedName name="XDO_?FINAL_NAME?139?">SI!$C$18:$C$65</definedName>
    <definedName name="XDO_?FINAL_NAME?140?">SI!$C$18:$C$75</definedName>
    <definedName name="XDO_?FINAL_NAME?141?">SI!$C$18:$C$79</definedName>
    <definedName name="XDO_?FINAL_PER_NET?136?">SI!$H$18:$H$34</definedName>
    <definedName name="XDO_?FINAL_PER_NET?137?">SI!$H$18:$H$44</definedName>
    <definedName name="XDO_?FINAL_PER_NET?138?">SI!$H$18:$H$48</definedName>
    <definedName name="XDO_?FINAL_PER_NET?139?">SI!$H$18:$H$65</definedName>
    <definedName name="XDO_?FINAL_PER_NET?140?">SI!$H$18:$H$75</definedName>
    <definedName name="XDO_?FINAL_PER_NET?141?">SI!$H$18:$H$79</definedName>
    <definedName name="XDO_?FINAL_QUANTITE?136?">SI!$F$18:$F$34</definedName>
    <definedName name="XDO_?FINAL_QUANTITE?137?">SI!$F$18:$F$44</definedName>
    <definedName name="XDO_?FINAL_QUANTITE?138?">SI!$F$18:$F$48</definedName>
    <definedName name="XDO_?FINAL_QUANTITE?139?">SI!$F$18:$F$65</definedName>
    <definedName name="XDO_?FINAL_QUANTITE?140?">SI!$F$18:$F$75</definedName>
    <definedName name="XDO_?FINAL_QUANTITE?141?">SI!$F$18:$F$79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[1]IV!#REF!</definedName>
    <definedName name="XDO_?NAMC?23?">[1]RF!#REF!</definedName>
    <definedName name="XDO_?NAMC?24?">[1]GR!#REF!</definedName>
    <definedName name="XDO_?NAMC?25?">[1]GF!#REF!</definedName>
    <definedName name="XDO_?NAMC?26?">[1]LQ!#REF!</definedName>
    <definedName name="XDO_?NAMC?27?">SI!#REF!</definedName>
    <definedName name="XDO_?NAMC?28?">[1]BS!#REF!</definedName>
    <definedName name="XDO_?NAMC?29?">[1]CO!#REF!</definedName>
    <definedName name="XDO_?NAMC?3?">[1]CB!#REF!</definedName>
    <definedName name="XDO_?NAMC?30?">[1]US!#REF!</definedName>
    <definedName name="XDO_?NAMC?31?">[1]DE!#REF!</definedName>
    <definedName name="XDO_?NAMC?32?">[1]ON!#REF!</definedName>
    <definedName name="XDO_?NAMC?33?">[1]BM!#REF!</definedName>
    <definedName name="XDO_?NAMC?34?">[1]ES!#REF!</definedName>
    <definedName name="XDO_?NAMC?35?">[1]LM!#REF!</definedName>
    <definedName name="XDO_?NAMC?36?">[1]BP!#REF!</definedName>
    <definedName name="XDO_?NAMC?37?">[1]BC!#REF!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SI!$C$2:$C$34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[1]IV!#REF!</definedName>
    <definedName name="XDO_?NDATE?23?">[1]RF!#REF!</definedName>
    <definedName name="XDO_?NDATE?24?">[1]GR!#REF!</definedName>
    <definedName name="XDO_?NDATE?25?">[1]GF!#REF!</definedName>
    <definedName name="XDO_?NDATE?26?">[1]LQ!#REF!</definedName>
    <definedName name="XDO_?NDATE?27?">SI!#REF!</definedName>
    <definedName name="XDO_?NDATE?28?">[1]BS!#REF!</definedName>
    <definedName name="XDO_?NDATE?29?">[1]CO!#REF!</definedName>
    <definedName name="XDO_?NDATE?3?">[1]CB!#REF!</definedName>
    <definedName name="XDO_?NDATE?30?">[1]US!#REF!</definedName>
    <definedName name="XDO_?NDATE?31?">[1]DE!#REF!</definedName>
    <definedName name="XDO_?NDATE?32?">[1]ON!#REF!</definedName>
    <definedName name="XDO_?NDATE?33?">[1]BM!#REF!</definedName>
    <definedName name="XDO_?NDATE?34?">[1]ES!#REF!</definedName>
    <definedName name="XDO_?NDATE?35?">[1]LM!#REF!</definedName>
    <definedName name="XDO_?NDATE?36?">[1]BP!#REF!</definedName>
    <definedName name="XDO_?NDATE?37?">[1]BC!#REF!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[1]IV!#REF!</definedName>
    <definedName name="XDO_?NNPTF?23?">[1]RF!#REF!</definedName>
    <definedName name="XDO_?NNPTF?24?">[1]GR!#REF!</definedName>
    <definedName name="XDO_?NNPTF?25?">[1]GF!#REF!</definedName>
    <definedName name="XDO_?NNPTF?26?">[1]LQ!#REF!</definedName>
    <definedName name="XDO_?NNPTF?27?">SI!#REF!</definedName>
    <definedName name="XDO_?NNPTF?28?">[1]BS!#REF!</definedName>
    <definedName name="XDO_?NNPTF?29?">[1]CO!#REF!</definedName>
    <definedName name="XDO_?NNPTF?3?">[1]CB!#REF!</definedName>
    <definedName name="XDO_?NNPTF?30?">[1]US!#REF!</definedName>
    <definedName name="XDO_?NNPTF?31?">[1]DE!#REF!</definedName>
    <definedName name="XDO_?NNPTF?32?">[1]ON!#REF!</definedName>
    <definedName name="XDO_?NNPTF?33?">[1]BM!#REF!</definedName>
    <definedName name="XDO_?NNPTF?34?">[1]ES!#REF!</definedName>
    <definedName name="XDO_?NNPTF?35?">[1]LM!#REF!</definedName>
    <definedName name="XDO_?NNPTF?36?">[1]BP!#REF!</definedName>
    <definedName name="XDO_?NNPTF?37?">[1]BC!#REF!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6?">SI!$B$18:$B$34</definedName>
    <definedName name="XDO_?NOVAL?137?">SI!$B$18:$B$44</definedName>
    <definedName name="XDO_?NOVAL?138?">SI!$B$18:$B$48</definedName>
    <definedName name="XDO_?NOVAL?139?">SI!$B$18:$B$65</definedName>
    <definedName name="XDO_?NOVAL?140?">SI!$B$18:$B$75</definedName>
    <definedName name="XDO_?NOVAL?141?">SI!$B$18:$B$79</definedName>
    <definedName name="XDO_?NPTF?27?">SI!$D$2:$D$34</definedName>
    <definedName name="XDO_?RATING?136?">SI!$E$18:$E$34</definedName>
    <definedName name="XDO_?RATING?137?">SI!$E$18:$E$44</definedName>
    <definedName name="XDO_?RATING?138?">SI!$E$18:$E$48</definedName>
    <definedName name="XDO_?RATING?139?">SI!$E$18:$E$65</definedName>
    <definedName name="XDO_?RATING?140?">SI!$E$18:$E$75</definedName>
    <definedName name="XDO_?RATING?141?">SI!$E$18:$E$79</definedName>
    <definedName name="XDO_?REMARKS?136?">SI!$K$18:$K$34</definedName>
    <definedName name="XDO_?REMARKS?137?">SI!$K$18:$K$44</definedName>
    <definedName name="XDO_?REMARKS?138?">SI!$K$18:$K$48</definedName>
    <definedName name="XDO_?REMARKS?139?">SI!$K$18:$K$65</definedName>
    <definedName name="XDO_?REMARKS?140?">SI!$K$18:$K$75</definedName>
    <definedName name="XDO_?REMARKS?141?">SI!$K$18:$K$79</definedName>
    <definedName name="XDO_?TITL?27?">SI!$A$16:$A$34</definedName>
    <definedName name="XDO_?YTM?136?">SI!$I$18:$I$34</definedName>
    <definedName name="XDO_?YTM?137?">SI!$I$18:$I$44</definedName>
    <definedName name="XDO_?YTM?138?">SI!$I$18:$I$48</definedName>
    <definedName name="XDO_?YTM?139?">SI!$I$18:$I$65</definedName>
    <definedName name="XDO_?YTM?140?">SI!$I$18:$I$75</definedName>
    <definedName name="XDO_?YTM?141?">SI!$I$18:$I$79</definedName>
    <definedName name="XDO_GROUP_?G_2?27?">SI!$2:$49</definedName>
    <definedName name="XDO_GROUP_?G_3?27?">SI!$8:$48</definedName>
    <definedName name="XDO_GROUP_?G_4?100?">[1]GE!#REF!</definedName>
    <definedName name="XDO_GROUP_?G_4?103?">[1]SC!#REF!</definedName>
    <definedName name="XDO_GROUP_?G_4?107?">[1]NF!#REF!</definedName>
    <definedName name="XDO_GROUP_?G_4?110?">[1]IV!#REF!</definedName>
    <definedName name="XDO_GROUP_?G_4?122?">[1]GR!#REF!</definedName>
    <definedName name="XDO_GROUP_?G_4?136?">SI!$B$10:$IV$22</definedName>
    <definedName name="XDO_GROUP_?G_4?137?">SI!$B$26:$IV$28</definedName>
    <definedName name="XDO_GROUP_?G_4?138?">SI!$B$32:$IV$32</definedName>
    <definedName name="XDO_GROUP_?G_4?139?">SI!$B$37:$IV$37</definedName>
    <definedName name="XDO_GROUP_?G_4?140?">SI!$B$41:$IV$41</definedName>
    <definedName name="XDO_GROUP_?G_4?141?">SI!$B$46:$IV$46</definedName>
    <definedName name="XDO_GROUP_?G_4?173?">[1]ON!#REF!</definedName>
    <definedName name="XDO_GROUP_?G_4?176?">[1]BM!#REF!</definedName>
    <definedName name="XDO_GROUP_?G_4?189?">[1]LM!#REF!</definedName>
    <definedName name="XDO_GROUP_?G_4?20?">[1]NS!#REF!</definedName>
    <definedName name="XDO_GROUP_?G_4?23?">[1]N2!#REF!</definedName>
    <definedName name="XDO_GROUP_?G_4?27?">[1]FT!#REF!</definedName>
    <definedName name="XDO_GROUP_?G_4?42?">[1]TA!#REF!</definedName>
    <definedName name="XDO_GROUP_?G_4?71?">[1]FO!#REF!</definedName>
    <definedName name="XDO_GROUP_?G_4?79?">[1]AF!#REF!</definedName>
    <definedName name="XDO_GROUP_?G_4?82?">[1]FX!#REF!</definedName>
    <definedName name="XDO_GROUP_?G_4?9?">[1]FL!#REF!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2" i="1" l="1"/>
</calcChain>
</file>

<file path=xl/sharedStrings.xml><?xml version="1.0" encoding="utf-8"?>
<sst xmlns="http://schemas.openxmlformats.org/spreadsheetml/2006/main" count="229" uniqueCount="166">
  <si>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</si>
  <si>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</si>
  <si>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</si>
  <si>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</si>
  <si>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</si>
  <si>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</si>
  <si>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</si>
  <si>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</si>
  <si>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</si>
  <si>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</si>
  <si>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</si>
  <si>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</si>
  <si>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</si>
  <si>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</si>
  <si>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</si>
  <si>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</si>
  <si>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</si>
  <si>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</si>
  <si>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</si>
  <si>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</si>
  <si>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</si>
  <si>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700730</t>
  </si>
  <si>
    <t>7.89% Power Grid Corporation of India Ltd. 09-Mar-2027</t>
  </si>
  <si>
    <t>INE752E07OE0</t>
  </si>
  <si>
    <t>CRISIL AAA</t>
  </si>
  <si>
    <t>N**</t>
  </si>
  <si>
    <t>704638</t>
  </si>
  <si>
    <t>7.75% Small Industries Development Bank of India 10-Jun-2027</t>
  </si>
  <si>
    <t>INE556F08KN9</t>
  </si>
  <si>
    <t>701234</t>
  </si>
  <si>
    <t>8.65% Reliance Industries Ltd. 11-Dec-2028</t>
  </si>
  <si>
    <t>INE002A08567</t>
  </si>
  <si>
    <t>704194</t>
  </si>
  <si>
    <t>7.73% Larsen &amp; Toubro Ltd. 28-Apr-2028</t>
  </si>
  <si>
    <t>INE018A08BE9</t>
  </si>
  <si>
    <t>704408</t>
  </si>
  <si>
    <t>7.90% Jamnagar Utilities &amp; Power Pvt. Ltd. 10-Aug-2028</t>
  </si>
  <si>
    <t>INE936D07182</t>
  </si>
  <si>
    <t>700706</t>
  </si>
  <si>
    <t>7.60% Power Finance Corporation Ltd. 20-Feb-2027</t>
  </si>
  <si>
    <t>INE134E08IT9</t>
  </si>
  <si>
    <t>703778</t>
  </si>
  <si>
    <t>7.58% NTPC Ltd. 21-Aug-2026</t>
  </si>
  <si>
    <t>INE733E07KE8</t>
  </si>
  <si>
    <t>701977</t>
  </si>
  <si>
    <t>7.54% Indian Railway Finance Corporation Ltd. 29-Oct-2027</t>
  </si>
  <si>
    <t>INE053F07AD1</t>
  </si>
  <si>
    <t>704113</t>
  </si>
  <si>
    <t>7.62% National Bank for Agriculture and Rural Development 31-Jan-2028</t>
  </si>
  <si>
    <t>INE261F08DV4</t>
  </si>
  <si>
    <t>704535</t>
  </si>
  <si>
    <t>8.50% Nomura Capital (I) Pvt. Ltd. 21-Oct-2026</t>
  </si>
  <si>
    <t>INE357L07457</t>
  </si>
  <si>
    <t>IND AAA</t>
  </si>
  <si>
    <t>702379</t>
  </si>
  <si>
    <t>7.25% Export-Import Bank of India 01-Feb-2027</t>
  </si>
  <si>
    <t>INE514E08FJ9</t>
  </si>
  <si>
    <t>704665</t>
  </si>
  <si>
    <t>7.22% National Housing Bank 23-Jul-2026</t>
  </si>
  <si>
    <t>INE557F08FR8</t>
  </si>
  <si>
    <t>703915</t>
  </si>
  <si>
    <t>8.50% JM Financial Products Ltd. 16-May-2025</t>
  </si>
  <si>
    <t>INE523H07BV9</t>
  </si>
  <si>
    <t>[ICRA]AA</t>
  </si>
  <si>
    <t>704121</t>
  </si>
  <si>
    <t>6.50% Tata Capital Housing Finance Ltd. 15-Jun-2026</t>
  </si>
  <si>
    <t>INE033L07HF1</t>
  </si>
  <si>
    <t>704604</t>
  </si>
  <si>
    <t>6.40% LIC Housing Finance Ltd. 30-Nov-2026</t>
  </si>
  <si>
    <t>INE115A07PN6</t>
  </si>
  <si>
    <t>703368</t>
  </si>
  <si>
    <t>6.90% REC Ltd. 31-Mar-2031</t>
  </si>
  <si>
    <t>INE020B08DA7</t>
  </si>
  <si>
    <t>701284</t>
  </si>
  <si>
    <t>8.41% Housing and Urban Development Corporation Ltd. 15-Mar-2029</t>
  </si>
  <si>
    <t>INE031A08699</t>
  </si>
  <si>
    <t>[ICRA]AAA</t>
  </si>
  <si>
    <t>Total</t>
  </si>
  <si>
    <t>b) Privately Placed/Unlisted</t>
  </si>
  <si>
    <t>c) Securitised Debt Instruments</t>
  </si>
  <si>
    <t>d) Central Government Securities</t>
  </si>
  <si>
    <t>900301</t>
  </si>
  <si>
    <t>7.37% Government of India 23-Oct-2028</t>
  </si>
  <si>
    <t>IN0020230101</t>
  </si>
  <si>
    <t>Sovereign</t>
  </si>
  <si>
    <t>900302</t>
  </si>
  <si>
    <t>7.32% Government of India 13-Nov-2030</t>
  </si>
  <si>
    <t>IN0020230135</t>
  </si>
  <si>
    <t>900254</t>
  </si>
  <si>
    <t>7.38% Government of India 20-Jun-2027</t>
  </si>
  <si>
    <t>IN0020220037</t>
  </si>
  <si>
    <t>e) State Government Securities</t>
  </si>
  <si>
    <t>1905336</t>
  </si>
  <si>
    <t>7.58% State Government of Gujarat 27-Dec-2032</t>
  </si>
  <si>
    <t>IN1520230153</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</si>
  <si>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</si>
  <si>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</si>
  <si>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</si>
  <si>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</si>
  <si>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</si>
  <si>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</si>
  <si>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</si>
  <si>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</si>
  <si>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</si>
  <si>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</si>
  <si>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</si>
  <si>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</si>
  <si>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</si>
  <si>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</si>
  <si>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</si>
  <si>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</si>
  <si>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306240100</t>
  </si>
  <si>
    <t>TREPS 03-Jun-2024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</si>
  <si>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</si>
  <si>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</si>
  <si>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</si>
  <si>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</si>
  <si>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</si>
  <si>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</si>
  <si>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</si>
  <si>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</si>
  <si>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</si>
  <si>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</si>
  <si>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</si>
  <si>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</si>
  <si>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</si>
  <si>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</si>
  <si>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2024</t>
  </si>
  <si>
    <t>As on May 31, 2024</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</si>
  <si>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</si>
  <si>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</si>
  <si>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</si>
  <si>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</si>
  <si>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</si>
  <si>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</si>
  <si>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</si>
  <si>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</si>
  <si>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</si>
  <si>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2024. Further there are no investments in derivative instruments as on May 31, 2024.</t>
  </si>
  <si>
    <t>(10) Total Market value of investments in Foreign Securities/American Depositary Receipts/Global Depositary Receipts as at  May 31, 2024 is Rs. Nil.</t>
  </si>
  <si>
    <t>(11)  The Average Maturity period of the portfolio has been 1213 days.</t>
  </si>
  <si>
    <t>(12)  Details of repo transaction in corporate debt securities for the Month ended May 31, 2024 is Nil.</t>
  </si>
  <si>
    <t>(13)  Investments in debt instruments having structured obligations or credit enhancement features as at May 31, 2024 is Rs. Nil.</t>
  </si>
  <si>
    <t>(14) Investment in Partly paid Debentures during the Month ended  May 31, 2024 and as on  May 31,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</si>
  <si>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</si>
  <si>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</si>
  <si>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</si>
  <si>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</si>
  <si>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</si>
  <si>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2024 : Rs. Nil</t>
  </si>
  <si>
    <t>(17) Macaulay Duration of the portfolio has been 1039 days.</t>
  </si>
  <si>
    <t>(18) Annualised Portfolio YTM has been 7.6174.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</si>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</sst>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0" borderId="23" xfId="0" applyFont="1" applyBorder="1" applyAlignment="1">
      <alignment vertical="center" wrapText="1"/>
    </xf>
    <xf numFmtId="0" fontId="18" fillId="5" borderId="22" xfId="0" applyFont="1" applyFill="1" applyBorder="1" applyAlignment="1">
      <alignment horizontal="center"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DDDF6A73-896F-4DCC-8609-C6D2DDAD0DC7}"/>
    <cellStyle name="Hyperlink" xfId="2" builtinId="8"/>
    <cellStyle name="Normal" xfId="0" builtinId="0"/>
    <cellStyle name="Normal 2" xfId="4" xr:uid="{8527BEDE-C58D-4EBE-8A39-E67B94F78F18}"/>
    <cellStyle name="Style 1" xfId="3" xr:uid="{CD13D253-1313-42B0-9AEE-FEEE6BF772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4</xdr:col>
      <xdr:colOff>1531620</xdr:colOff>
      <xdr:row>145</xdr:row>
      <xdr:rowOff>68580</xdr:rowOff>
    </xdr:to>
    <xdr:pic>
      <xdr:nvPicPr>
        <xdr:cNvPr id="2" name="Picture 2">
          <a:extLst>
            <a:ext uri="{FF2B5EF4-FFF2-40B4-BE49-F238E27FC236}">
              <a16:creationId xmlns:a16="http://schemas.microsoft.com/office/drawing/2014/main" id="{C19D1FFC-1FD9-4AAD-A20A-366FE2CFA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496020"/>
          <a:ext cx="7452360" cy="427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4-25\May%202024\Month%20End%2031%20May%202024\Split%20Portfolio\BOBBNPMF__Monthly%20portfolio%20Report__31-05-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R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2E98-C0E9-4911-8FB8-CC9861513C33}">
  <dimension ref="A1:BC156"/>
  <sheetViews>
    <sheetView showGridLines="0" tabSelected="1" zoomScale="90" zoomScaleNormal="90" workbookViewId="0">
      <pane ySplit="6" topLeftCell="A113" activePane="bottomLeft" state="frozen"/>
      <selection activeCell="H2" sqref="H2"/>
      <selection pane="bottomLeft" activeCell="H128" sqref="H128"/>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45443</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120</v>
      </c>
      <c r="G18" s="32">
        <v>1209.43</v>
      </c>
      <c r="H18" s="32">
        <v>5.41</v>
      </c>
      <c r="I18" s="33">
        <v>7.5442</v>
      </c>
      <c r="J18" s="33"/>
      <c r="K18" s="34" t="s">
        <v>25</v>
      </c>
    </row>
    <row r="19" spans="2:11">
      <c r="B19" s="1" t="s">
        <v>26</v>
      </c>
      <c r="C19" s="21" t="s">
        <v>27</v>
      </c>
      <c r="D19" s="29" t="s">
        <v>28</v>
      </c>
      <c r="E19" s="30" t="s">
        <v>24</v>
      </c>
      <c r="F19" s="31">
        <v>1200</v>
      </c>
      <c r="G19" s="32">
        <v>1201.23</v>
      </c>
      <c r="H19" s="32">
        <v>5.37</v>
      </c>
      <c r="I19" s="33">
        <v>7.7061000000000002</v>
      </c>
      <c r="J19" s="33"/>
      <c r="K19" s="34" t="s">
        <v>25</v>
      </c>
    </row>
    <row r="20" spans="2:11">
      <c r="B20" s="1" t="s">
        <v>29</v>
      </c>
      <c r="C20" s="21" t="s">
        <v>30</v>
      </c>
      <c r="D20" s="29" t="s">
        <v>31</v>
      </c>
      <c r="E20" s="30" t="s">
        <v>24</v>
      </c>
      <c r="F20" s="31">
        <v>100</v>
      </c>
      <c r="G20" s="32">
        <v>1039.93</v>
      </c>
      <c r="H20" s="32">
        <v>4.6500000000000004</v>
      </c>
      <c r="I20" s="33">
        <v>7.5549999999999997</v>
      </c>
      <c r="J20" s="33"/>
      <c r="K20" s="34" t="s">
        <v>25</v>
      </c>
    </row>
    <row r="21" spans="2:11">
      <c r="B21" s="1" t="s">
        <v>32</v>
      </c>
      <c r="C21" s="21" t="s">
        <v>33</v>
      </c>
      <c r="D21" s="29" t="s">
        <v>34</v>
      </c>
      <c r="E21" s="30" t="s">
        <v>24</v>
      </c>
      <c r="F21" s="31">
        <v>1000</v>
      </c>
      <c r="G21" s="32">
        <v>1005.67</v>
      </c>
      <c r="H21" s="32">
        <v>4.5</v>
      </c>
      <c r="I21" s="33">
        <v>7.5449999999999999</v>
      </c>
      <c r="J21" s="33"/>
      <c r="K21" s="34" t="s">
        <v>25</v>
      </c>
    </row>
    <row r="22" spans="2:11">
      <c r="B22" s="1" t="s">
        <v>35</v>
      </c>
      <c r="C22" s="21" t="s">
        <v>36</v>
      </c>
      <c r="D22" s="29" t="s">
        <v>37</v>
      </c>
      <c r="E22" s="30" t="s">
        <v>24</v>
      </c>
      <c r="F22" s="31">
        <v>1000</v>
      </c>
      <c r="G22" s="32">
        <v>1004.91</v>
      </c>
      <c r="H22" s="32">
        <v>4.49</v>
      </c>
      <c r="I22" s="33">
        <v>7.7450000000000001</v>
      </c>
      <c r="J22" s="33"/>
      <c r="K22" s="34" t="s">
        <v>25</v>
      </c>
    </row>
    <row r="23" spans="2:11">
      <c r="B23" s="1" t="s">
        <v>38</v>
      </c>
      <c r="C23" s="21" t="s">
        <v>39</v>
      </c>
      <c r="D23" s="29" t="s">
        <v>40</v>
      </c>
      <c r="E23" s="30" t="s">
        <v>24</v>
      </c>
      <c r="F23" s="31">
        <v>100</v>
      </c>
      <c r="G23" s="32">
        <v>1002.38</v>
      </c>
      <c r="H23" s="32">
        <v>4.4800000000000004</v>
      </c>
      <c r="I23" s="33">
        <v>7.6349999999999998</v>
      </c>
      <c r="J23" s="33"/>
      <c r="K23" s="34" t="s">
        <v>25</v>
      </c>
    </row>
    <row r="24" spans="2:11">
      <c r="B24" s="1" t="s">
        <v>41</v>
      </c>
      <c r="C24" s="21" t="s">
        <v>42</v>
      </c>
      <c r="D24" s="29" t="s">
        <v>43</v>
      </c>
      <c r="E24" s="30" t="s">
        <v>24</v>
      </c>
      <c r="F24" s="31">
        <v>100</v>
      </c>
      <c r="G24" s="32">
        <v>1000.65</v>
      </c>
      <c r="H24" s="32">
        <v>4.47</v>
      </c>
      <c r="I24" s="33">
        <v>7.5233999999999996</v>
      </c>
      <c r="J24" s="33"/>
      <c r="K24" s="34" t="s">
        <v>25</v>
      </c>
    </row>
    <row r="25" spans="2:11">
      <c r="B25" s="1" t="s">
        <v>44</v>
      </c>
      <c r="C25" s="21" t="s">
        <v>45</v>
      </c>
      <c r="D25" s="29" t="s">
        <v>46</v>
      </c>
      <c r="E25" s="30" t="s">
        <v>24</v>
      </c>
      <c r="F25" s="31">
        <v>100</v>
      </c>
      <c r="G25" s="32">
        <v>998.71</v>
      </c>
      <c r="H25" s="32">
        <v>4.46</v>
      </c>
      <c r="I25" s="33">
        <v>7.5650000000000004</v>
      </c>
      <c r="J25" s="33"/>
      <c r="K25" s="34" t="s">
        <v>25</v>
      </c>
    </row>
    <row r="26" spans="2:11">
      <c r="B26" s="1" t="s">
        <v>47</v>
      </c>
      <c r="C26" s="21" t="s">
        <v>48</v>
      </c>
      <c r="D26" s="29" t="s">
        <v>49</v>
      </c>
      <c r="E26" s="30" t="s">
        <v>24</v>
      </c>
      <c r="F26" s="31">
        <v>1000</v>
      </c>
      <c r="G26" s="32">
        <v>997.86</v>
      </c>
      <c r="H26" s="32">
        <v>4.46</v>
      </c>
      <c r="I26" s="33">
        <v>7.665</v>
      </c>
      <c r="J26" s="33"/>
      <c r="K26" s="34" t="s">
        <v>25</v>
      </c>
    </row>
    <row r="27" spans="2:11">
      <c r="B27" s="1" t="s">
        <v>50</v>
      </c>
      <c r="C27" s="21" t="s">
        <v>51</v>
      </c>
      <c r="D27" s="29" t="s">
        <v>52</v>
      </c>
      <c r="E27" s="30" t="s">
        <v>53</v>
      </c>
      <c r="F27" s="31">
        <v>1000</v>
      </c>
      <c r="G27" s="32">
        <v>997.43</v>
      </c>
      <c r="H27" s="32">
        <v>4.46</v>
      </c>
      <c r="I27" s="33">
        <v>8.5922999999999998</v>
      </c>
      <c r="J27" s="33"/>
      <c r="K27" s="34" t="s">
        <v>25</v>
      </c>
    </row>
    <row r="28" spans="2:11">
      <c r="B28" s="1" t="s">
        <v>54</v>
      </c>
      <c r="C28" s="21" t="s">
        <v>55</v>
      </c>
      <c r="D28" s="29" t="s">
        <v>56</v>
      </c>
      <c r="E28" s="30" t="s">
        <v>24</v>
      </c>
      <c r="F28" s="31">
        <v>100</v>
      </c>
      <c r="G28" s="32">
        <v>993.92</v>
      </c>
      <c r="H28" s="32">
        <v>4.4400000000000004</v>
      </c>
      <c r="I28" s="33">
        <v>7.4850000000000003</v>
      </c>
      <c r="J28" s="33"/>
      <c r="K28" s="34" t="s">
        <v>25</v>
      </c>
    </row>
    <row r="29" spans="2:11">
      <c r="B29" s="1" t="s">
        <v>57</v>
      </c>
      <c r="C29" s="21" t="s">
        <v>58</v>
      </c>
      <c r="D29" s="29" t="s">
        <v>59</v>
      </c>
      <c r="E29" s="30" t="s">
        <v>24</v>
      </c>
      <c r="F29" s="31">
        <v>1000</v>
      </c>
      <c r="G29" s="32">
        <v>992.9</v>
      </c>
      <c r="H29" s="32">
        <v>4.4400000000000004</v>
      </c>
      <c r="I29" s="33">
        <v>7.6050000000000004</v>
      </c>
      <c r="J29" s="33"/>
      <c r="K29" s="34" t="s">
        <v>25</v>
      </c>
    </row>
    <row r="30" spans="2:11">
      <c r="B30" s="1" t="s">
        <v>60</v>
      </c>
      <c r="C30" s="21" t="s">
        <v>61</v>
      </c>
      <c r="D30" s="29" t="s">
        <v>62</v>
      </c>
      <c r="E30" s="30" t="s">
        <v>63</v>
      </c>
      <c r="F30" s="31">
        <v>100</v>
      </c>
      <c r="G30" s="32">
        <v>990.25</v>
      </c>
      <c r="H30" s="32">
        <v>4.43</v>
      </c>
      <c r="I30" s="33">
        <v>9.6087000000000007</v>
      </c>
      <c r="J30" s="33"/>
      <c r="K30" s="34" t="s">
        <v>25</v>
      </c>
    </row>
    <row r="31" spans="2:11">
      <c r="B31" s="1" t="s">
        <v>64</v>
      </c>
      <c r="C31" s="21" t="s">
        <v>65</v>
      </c>
      <c r="D31" s="29" t="s">
        <v>66</v>
      </c>
      <c r="E31" s="30" t="s">
        <v>24</v>
      </c>
      <c r="F31" s="31">
        <v>100</v>
      </c>
      <c r="G31" s="32">
        <v>971.8</v>
      </c>
      <c r="H31" s="32">
        <v>4.34</v>
      </c>
      <c r="I31" s="33">
        <v>8.0500000000000007</v>
      </c>
      <c r="J31" s="33"/>
      <c r="K31" s="34" t="s">
        <v>25</v>
      </c>
    </row>
    <row r="32" spans="2:11">
      <c r="B32" s="1" t="s">
        <v>67</v>
      </c>
      <c r="C32" s="21" t="s">
        <v>68</v>
      </c>
      <c r="D32" s="29" t="s">
        <v>69</v>
      </c>
      <c r="E32" s="30" t="s">
        <v>24</v>
      </c>
      <c r="F32" s="31">
        <v>100</v>
      </c>
      <c r="G32" s="32">
        <v>966.13</v>
      </c>
      <c r="H32" s="32">
        <v>4.32</v>
      </c>
      <c r="I32" s="33">
        <v>7.92</v>
      </c>
      <c r="J32" s="33"/>
      <c r="K32" s="34"/>
    </row>
    <row r="33" spans="2:11">
      <c r="B33" s="1" t="s">
        <v>70</v>
      </c>
      <c r="C33" s="21" t="s">
        <v>71</v>
      </c>
      <c r="D33" s="29" t="s">
        <v>72</v>
      </c>
      <c r="E33" s="30" t="s">
        <v>24</v>
      </c>
      <c r="F33" s="31">
        <v>60</v>
      </c>
      <c r="G33" s="32">
        <v>580.28</v>
      </c>
      <c r="H33" s="32">
        <v>2.59</v>
      </c>
      <c r="I33" s="33">
        <v>7.5331000000000001</v>
      </c>
      <c r="J33" s="33"/>
      <c r="K33" s="34" t="s">
        <v>25</v>
      </c>
    </row>
    <row r="34" spans="2:11">
      <c r="B34" s="1" t="s">
        <v>73</v>
      </c>
      <c r="C34" s="21" t="s">
        <v>74</v>
      </c>
      <c r="D34" s="29" t="s">
        <v>75</v>
      </c>
      <c r="E34" s="30" t="s">
        <v>76</v>
      </c>
      <c r="F34" s="31">
        <v>10</v>
      </c>
      <c r="G34" s="32">
        <v>104.17</v>
      </c>
      <c r="H34" s="32">
        <v>0.47</v>
      </c>
      <c r="I34" s="33">
        <v>7.4917999999999996</v>
      </c>
      <c r="J34" s="33"/>
      <c r="K34" s="34" t="s">
        <v>25</v>
      </c>
    </row>
    <row r="35" spans="2:11">
      <c r="C35" s="28" t="s">
        <v>77</v>
      </c>
      <c r="D35" s="29"/>
      <c r="E35" s="30"/>
      <c r="F35" s="31"/>
      <c r="G35" s="38">
        <v>16057.65</v>
      </c>
      <c r="H35" s="38">
        <v>71.78</v>
      </c>
      <c r="I35" s="33"/>
      <c r="J35" s="33"/>
      <c r="K35" s="34"/>
    </row>
    <row r="36" spans="2:11">
      <c r="C36" s="21"/>
      <c r="D36" s="29"/>
      <c r="E36" s="30"/>
      <c r="F36" s="31"/>
      <c r="G36" s="32"/>
      <c r="H36" s="32"/>
      <c r="I36" s="33"/>
      <c r="J36" s="33"/>
      <c r="K36" s="34"/>
    </row>
    <row r="37" spans="2:11">
      <c r="C37" s="28" t="s">
        <v>78</v>
      </c>
      <c r="D37" s="29"/>
      <c r="E37" s="30"/>
      <c r="F37" s="31"/>
      <c r="G37" s="32" t="s">
        <v>16</v>
      </c>
      <c r="H37" s="32" t="s">
        <v>16</v>
      </c>
      <c r="I37" s="33"/>
      <c r="J37" s="33"/>
      <c r="K37" s="34"/>
    </row>
    <row r="38" spans="2:11">
      <c r="C38" s="21"/>
      <c r="D38" s="29"/>
      <c r="E38" s="30"/>
      <c r="F38" s="31"/>
      <c r="G38" s="32"/>
      <c r="H38" s="32"/>
      <c r="I38" s="33"/>
      <c r="J38" s="33"/>
      <c r="K38" s="34"/>
    </row>
    <row r="39" spans="2:11">
      <c r="C39" s="28" t="s">
        <v>79</v>
      </c>
      <c r="D39" s="29"/>
      <c r="E39" s="30"/>
      <c r="F39" s="31"/>
      <c r="G39" s="32" t="s">
        <v>16</v>
      </c>
      <c r="H39" s="32" t="s">
        <v>16</v>
      </c>
      <c r="I39" s="33"/>
      <c r="J39" s="33"/>
      <c r="K39" s="34"/>
    </row>
    <row r="40" spans="2:11">
      <c r="C40" s="21"/>
      <c r="D40" s="29"/>
      <c r="E40" s="30"/>
      <c r="F40" s="31"/>
      <c r="G40" s="32"/>
      <c r="H40" s="32"/>
      <c r="I40" s="33"/>
      <c r="J40" s="33"/>
      <c r="K40" s="34"/>
    </row>
    <row r="41" spans="2:11">
      <c r="C41" s="37" t="s">
        <v>80</v>
      </c>
      <c r="D41" s="29"/>
      <c r="E41" s="30"/>
      <c r="F41" s="31"/>
      <c r="G41" s="32"/>
      <c r="H41" s="32"/>
      <c r="I41" s="33"/>
      <c r="J41" s="33"/>
      <c r="K41" s="34"/>
    </row>
    <row r="42" spans="2:11">
      <c r="B42" s="1" t="s">
        <v>81</v>
      </c>
      <c r="C42" s="21" t="s">
        <v>82</v>
      </c>
      <c r="D42" s="29" t="s">
        <v>83</v>
      </c>
      <c r="E42" s="30" t="s">
        <v>84</v>
      </c>
      <c r="F42" s="31">
        <v>1600000</v>
      </c>
      <c r="G42" s="32">
        <v>1619.07</v>
      </c>
      <c r="H42" s="32">
        <v>7.24</v>
      </c>
      <c r="I42" s="33">
        <v>7.1711752999999998</v>
      </c>
      <c r="J42" s="33"/>
      <c r="K42" s="34"/>
    </row>
    <row r="43" spans="2:11">
      <c r="B43" s="1" t="s">
        <v>85</v>
      </c>
      <c r="C43" s="21" t="s">
        <v>86</v>
      </c>
      <c r="D43" s="29" t="s">
        <v>87</v>
      </c>
      <c r="E43" s="30" t="s">
        <v>84</v>
      </c>
      <c r="F43" s="31">
        <v>1200000</v>
      </c>
      <c r="G43" s="32">
        <v>1216.19</v>
      </c>
      <c r="H43" s="32">
        <v>5.44</v>
      </c>
      <c r="I43" s="33">
        <v>7.1793662999999999</v>
      </c>
      <c r="J43" s="33"/>
      <c r="K43" s="34"/>
    </row>
    <row r="44" spans="2:11">
      <c r="B44" s="1" t="s">
        <v>88</v>
      </c>
      <c r="C44" s="21" t="s">
        <v>89</v>
      </c>
      <c r="D44" s="29" t="s">
        <v>90</v>
      </c>
      <c r="E44" s="30" t="s">
        <v>84</v>
      </c>
      <c r="F44" s="31">
        <v>500000</v>
      </c>
      <c r="G44" s="32">
        <v>504.4</v>
      </c>
      <c r="H44" s="32">
        <v>2.25</v>
      </c>
      <c r="I44" s="33">
        <v>7.1770756999999996</v>
      </c>
      <c r="J44" s="33"/>
      <c r="K44" s="34"/>
    </row>
    <row r="45" spans="2:11">
      <c r="C45" s="28" t="s">
        <v>77</v>
      </c>
      <c r="D45" s="29"/>
      <c r="E45" s="30"/>
      <c r="F45" s="31"/>
      <c r="G45" s="38">
        <v>3339.66</v>
      </c>
      <c r="H45" s="38">
        <v>14.93</v>
      </c>
      <c r="I45" s="33"/>
      <c r="J45" s="33"/>
      <c r="K45" s="34"/>
    </row>
    <row r="46" spans="2:11">
      <c r="C46" s="21"/>
      <c r="D46" s="29"/>
      <c r="E46" s="30"/>
      <c r="F46" s="31"/>
      <c r="G46" s="32"/>
      <c r="H46" s="32"/>
      <c r="I46" s="33"/>
      <c r="J46" s="33"/>
      <c r="K46" s="34"/>
    </row>
    <row r="47" spans="2:11">
      <c r="C47" s="37" t="s">
        <v>91</v>
      </c>
      <c r="D47" s="29"/>
      <c r="E47" s="30"/>
      <c r="F47" s="31"/>
      <c r="G47" s="32"/>
      <c r="H47" s="32"/>
      <c r="I47" s="33"/>
      <c r="J47" s="33"/>
      <c r="K47" s="34"/>
    </row>
    <row r="48" spans="2:11">
      <c r="B48" s="1" t="s">
        <v>92</v>
      </c>
      <c r="C48" s="21" t="s">
        <v>93</v>
      </c>
      <c r="D48" s="29" t="s">
        <v>94</v>
      </c>
      <c r="E48" s="30" t="s">
        <v>84</v>
      </c>
      <c r="F48" s="31">
        <v>1000000</v>
      </c>
      <c r="G48" s="32">
        <v>1013.4</v>
      </c>
      <c r="H48" s="32">
        <v>4.53</v>
      </c>
      <c r="I48" s="33">
        <v>7.5006982000000004</v>
      </c>
      <c r="J48" s="33"/>
      <c r="K48" s="34"/>
    </row>
    <row r="49" spans="1:11">
      <c r="C49" s="28" t="s">
        <v>77</v>
      </c>
      <c r="D49" s="29"/>
      <c r="E49" s="30"/>
      <c r="F49" s="31"/>
      <c r="G49" s="38">
        <v>1013.4</v>
      </c>
      <c r="H49" s="38">
        <v>4.53</v>
      </c>
      <c r="I49" s="33"/>
      <c r="J49" s="33"/>
      <c r="K49" s="34"/>
    </row>
    <row r="50" spans="1:11">
      <c r="C50" s="21"/>
      <c r="D50" s="29"/>
      <c r="E50" s="30"/>
      <c r="F50" s="31"/>
      <c r="G50" s="32"/>
      <c r="H50" s="32"/>
      <c r="I50" s="33"/>
      <c r="J50" s="33"/>
      <c r="K50" s="34"/>
    </row>
    <row r="51" spans="1:11">
      <c r="C51" s="28" t="s">
        <v>95</v>
      </c>
      <c r="D51" s="29"/>
      <c r="E51" s="30"/>
      <c r="F51" s="31"/>
      <c r="G51" s="32"/>
      <c r="H51" s="32"/>
      <c r="I51" s="33"/>
      <c r="J51" s="33"/>
      <c r="K51" s="34"/>
    </row>
    <row r="52" spans="1:11">
      <c r="C52" s="21"/>
      <c r="D52" s="29"/>
      <c r="E52" s="30"/>
      <c r="F52" s="31"/>
      <c r="G52" s="32"/>
      <c r="H52" s="32"/>
      <c r="I52" s="33"/>
      <c r="J52" s="33"/>
      <c r="K52" s="34"/>
    </row>
    <row r="53" spans="1:11">
      <c r="C53" s="28" t="s">
        <v>96</v>
      </c>
      <c r="D53" s="29"/>
      <c r="E53" s="30"/>
      <c r="F53" s="31"/>
      <c r="G53" s="32" t="s">
        <v>16</v>
      </c>
      <c r="H53" s="32" t="s">
        <v>16</v>
      </c>
      <c r="I53" s="33"/>
      <c r="J53" s="33"/>
      <c r="K53" s="34"/>
    </row>
    <row r="54" spans="1:11">
      <c r="C54" s="21"/>
      <c r="D54" s="29"/>
      <c r="E54" s="30"/>
      <c r="F54" s="31"/>
      <c r="G54" s="32"/>
      <c r="H54" s="32"/>
      <c r="I54" s="33"/>
      <c r="J54" s="33"/>
      <c r="K54" s="34"/>
    </row>
    <row r="55" spans="1:11">
      <c r="C55" s="28" t="s">
        <v>97</v>
      </c>
      <c r="D55" s="29"/>
      <c r="E55" s="30"/>
      <c r="F55" s="31"/>
      <c r="G55" s="32" t="s">
        <v>16</v>
      </c>
      <c r="H55" s="32" t="s">
        <v>16</v>
      </c>
      <c r="I55" s="33"/>
      <c r="J55" s="33"/>
      <c r="K55" s="34"/>
    </row>
    <row r="56" spans="1:11">
      <c r="C56" s="21"/>
      <c r="D56" s="29"/>
      <c r="E56" s="30"/>
      <c r="F56" s="31"/>
      <c r="G56" s="32"/>
      <c r="H56" s="32"/>
      <c r="I56" s="33"/>
      <c r="J56" s="33"/>
      <c r="K56" s="34"/>
    </row>
    <row r="57" spans="1:11">
      <c r="C57" s="28" t="s">
        <v>98</v>
      </c>
      <c r="D57" s="29"/>
      <c r="E57" s="30"/>
      <c r="F57" s="31"/>
      <c r="G57" s="32" t="s">
        <v>16</v>
      </c>
      <c r="H57" s="32" t="s">
        <v>16</v>
      </c>
      <c r="I57" s="33"/>
      <c r="J57" s="33"/>
      <c r="K57" s="34"/>
    </row>
    <row r="58" spans="1:11">
      <c r="C58" s="21"/>
      <c r="D58" s="29"/>
      <c r="E58" s="30"/>
      <c r="F58" s="31"/>
      <c r="G58" s="32"/>
      <c r="H58" s="32"/>
      <c r="I58" s="33"/>
      <c r="J58" s="33"/>
      <c r="K58" s="34"/>
    </row>
    <row r="59" spans="1:11">
      <c r="C59" s="28" t="s">
        <v>99</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100</v>
      </c>
      <c r="D61" s="29"/>
      <c r="E61" s="30"/>
      <c r="F61" s="31"/>
      <c r="G61" s="32"/>
      <c r="H61" s="32"/>
      <c r="I61" s="33"/>
      <c r="J61" s="33"/>
      <c r="K61" s="34"/>
    </row>
    <row r="62" spans="1:11">
      <c r="A62" s="36"/>
      <c r="B62" s="36"/>
      <c r="C62" s="28" t="s">
        <v>101</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102</v>
      </c>
      <c r="D64" s="29"/>
      <c r="E64" s="30"/>
      <c r="F64" s="31"/>
      <c r="G64" s="32"/>
      <c r="H64" s="32"/>
      <c r="I64" s="33"/>
      <c r="J64" s="33"/>
      <c r="K64" s="34"/>
    </row>
    <row r="65" spans="1:11">
      <c r="B65" s="1" t="s">
        <v>103</v>
      </c>
      <c r="C65" s="21" t="s">
        <v>104</v>
      </c>
      <c r="D65" s="29" t="s">
        <v>105</v>
      </c>
      <c r="E65" s="30" t="s">
        <v>106</v>
      </c>
      <c r="F65" s="31">
        <v>630.46900000000005</v>
      </c>
      <c r="G65" s="32">
        <v>64.63</v>
      </c>
      <c r="H65" s="32">
        <v>0.28999999999999998</v>
      </c>
      <c r="I65" s="33">
        <v>7.03</v>
      </c>
      <c r="J65" s="33"/>
      <c r="K65" s="34"/>
    </row>
    <row r="66" spans="1:11">
      <c r="C66" s="28" t="s">
        <v>77</v>
      </c>
      <c r="D66" s="29"/>
      <c r="E66" s="30"/>
      <c r="F66" s="31"/>
      <c r="G66" s="38">
        <v>64.63</v>
      </c>
      <c r="H66" s="38">
        <v>0.28999999999999998</v>
      </c>
      <c r="I66" s="33"/>
      <c r="J66" s="33"/>
      <c r="K66" s="34"/>
    </row>
    <row r="67" spans="1:11">
      <c r="C67" s="21"/>
      <c r="D67" s="29"/>
      <c r="E67" s="30"/>
      <c r="F67" s="31"/>
      <c r="G67" s="32"/>
      <c r="H67" s="32"/>
      <c r="I67" s="33"/>
      <c r="J67" s="33"/>
      <c r="K67" s="34"/>
    </row>
    <row r="68" spans="1:11">
      <c r="C68" s="28" t="s">
        <v>107</v>
      </c>
      <c r="D68" s="29"/>
      <c r="E68" s="30"/>
      <c r="F68" s="31"/>
      <c r="G68" s="32" t="s">
        <v>16</v>
      </c>
      <c r="H68" s="32" t="s">
        <v>16</v>
      </c>
      <c r="I68" s="33"/>
      <c r="J68" s="33"/>
      <c r="K68" s="34"/>
    </row>
    <row r="69" spans="1:11">
      <c r="C69" s="21"/>
      <c r="D69" s="29"/>
      <c r="E69" s="30"/>
      <c r="F69" s="31"/>
      <c r="G69" s="32"/>
      <c r="H69" s="32"/>
      <c r="I69" s="33"/>
      <c r="J69" s="33"/>
      <c r="K69" s="34"/>
    </row>
    <row r="70" spans="1:11">
      <c r="C70" s="28" t="s">
        <v>108</v>
      </c>
      <c r="D70" s="29"/>
      <c r="E70" s="30"/>
      <c r="F70" s="31"/>
      <c r="G70" s="32" t="s">
        <v>16</v>
      </c>
      <c r="H70" s="32" t="s">
        <v>16</v>
      </c>
      <c r="I70" s="33"/>
      <c r="J70" s="33"/>
      <c r="K70" s="34"/>
    </row>
    <row r="71" spans="1:11">
      <c r="C71" s="21"/>
      <c r="D71" s="29"/>
      <c r="E71" s="30"/>
      <c r="F71" s="31"/>
      <c r="G71" s="32"/>
      <c r="H71" s="32"/>
      <c r="I71" s="33"/>
      <c r="J71" s="33"/>
      <c r="K71" s="34"/>
    </row>
    <row r="72" spans="1:11">
      <c r="C72" s="28" t="s">
        <v>109</v>
      </c>
      <c r="D72" s="29"/>
      <c r="E72" s="30"/>
      <c r="F72" s="31"/>
      <c r="G72" s="32" t="s">
        <v>16</v>
      </c>
      <c r="H72" s="32" t="s">
        <v>16</v>
      </c>
      <c r="I72" s="33"/>
      <c r="J72" s="33"/>
      <c r="K72" s="34"/>
    </row>
    <row r="73" spans="1:11">
      <c r="C73" s="21"/>
      <c r="D73" s="29"/>
      <c r="E73" s="30"/>
      <c r="F73" s="31"/>
      <c r="G73" s="32"/>
      <c r="H73" s="32"/>
      <c r="I73" s="33"/>
      <c r="J73" s="33"/>
      <c r="K73" s="34"/>
    </row>
    <row r="74" spans="1:11">
      <c r="C74" s="37" t="s">
        <v>110</v>
      </c>
      <c r="D74" s="29"/>
      <c r="E74" s="30"/>
      <c r="F74" s="31"/>
      <c r="G74" s="32"/>
      <c r="H74" s="32"/>
      <c r="I74" s="33"/>
      <c r="J74" s="33"/>
      <c r="K74" s="34"/>
    </row>
    <row r="75" spans="1:11">
      <c r="B75" s="1" t="s">
        <v>111</v>
      </c>
      <c r="C75" s="21" t="s">
        <v>112</v>
      </c>
      <c r="D75" s="29"/>
      <c r="E75" s="30"/>
      <c r="F75" s="31"/>
      <c r="G75" s="32">
        <v>1253.1500000000001</v>
      </c>
      <c r="H75" s="32">
        <v>5.6</v>
      </c>
      <c r="I75" s="33">
        <v>6.68</v>
      </c>
      <c r="J75" s="33"/>
      <c r="K75" s="34"/>
    </row>
    <row r="76" spans="1:11">
      <c r="C76" s="28" t="s">
        <v>77</v>
      </c>
      <c r="D76" s="29"/>
      <c r="E76" s="30"/>
      <c r="F76" s="31"/>
      <c r="G76" s="38">
        <v>1253.1500000000001</v>
      </c>
      <c r="H76" s="38">
        <v>5.6</v>
      </c>
      <c r="I76" s="33"/>
      <c r="J76" s="33"/>
      <c r="K76" s="34"/>
    </row>
    <row r="77" spans="1:11">
      <c r="C77" s="21"/>
      <c r="D77" s="29"/>
      <c r="E77" s="30"/>
      <c r="F77" s="31"/>
      <c r="G77" s="32"/>
      <c r="H77" s="32"/>
      <c r="I77" s="33"/>
      <c r="J77" s="33"/>
      <c r="K77" s="34"/>
    </row>
    <row r="78" spans="1:11">
      <c r="A78" s="35"/>
      <c r="B78" s="36"/>
      <c r="C78" s="28" t="s">
        <v>113</v>
      </c>
      <c r="D78" s="29"/>
      <c r="E78" s="30"/>
      <c r="F78" s="31"/>
      <c r="G78" s="32"/>
      <c r="H78" s="32"/>
      <c r="I78" s="33"/>
      <c r="J78" s="33"/>
      <c r="K78" s="34"/>
    </row>
    <row r="79" spans="1:11">
      <c r="B79" s="1"/>
      <c r="C79" s="21" t="s">
        <v>114</v>
      </c>
      <c r="D79" s="29"/>
      <c r="E79" s="30"/>
      <c r="F79" s="31"/>
      <c r="G79" s="32">
        <v>642.49</v>
      </c>
      <c r="H79" s="32">
        <v>2.87</v>
      </c>
      <c r="I79" s="33"/>
      <c r="J79" s="33"/>
      <c r="K79" s="34"/>
    </row>
    <row r="80" spans="1:11">
      <c r="C80" s="28" t="s">
        <v>77</v>
      </c>
      <c r="D80" s="29"/>
      <c r="E80" s="30"/>
      <c r="F80" s="31"/>
      <c r="G80" s="38">
        <v>642.49</v>
      </c>
      <c r="H80" s="38">
        <v>2.87</v>
      </c>
      <c r="I80" s="33"/>
      <c r="J80" s="33"/>
      <c r="K80" s="34"/>
    </row>
    <row r="81" spans="3:55">
      <c r="C81" s="21"/>
      <c r="D81" s="29"/>
      <c r="E81" s="30"/>
      <c r="F81" s="31"/>
      <c r="G81" s="32"/>
      <c r="H81" s="32"/>
      <c r="I81" s="33"/>
      <c r="J81" s="33"/>
      <c r="K81" s="34"/>
    </row>
    <row r="82" spans="3:55" ht="14.4" thickBot="1">
      <c r="C82" s="39" t="s">
        <v>115</v>
      </c>
      <c r="D82" s="40"/>
      <c r="E82" s="41"/>
      <c r="F82" s="42"/>
      <c r="G82" s="43">
        <v>22370.98</v>
      </c>
      <c r="H82" s="43">
        <f>SUMIFS(H:H,C:C,"Total")</f>
        <v>100.00000000000001</v>
      </c>
      <c r="I82" s="44"/>
      <c r="J82" s="44"/>
      <c r="K82" s="45"/>
    </row>
    <row r="85" spans="3:55">
      <c r="C85" s="11" t="s">
        <v>116</v>
      </c>
    </row>
    <row r="86" spans="3:55">
      <c r="C86" s="2" t="s">
        <v>117</v>
      </c>
    </row>
    <row r="87" spans="3:55">
      <c r="C87" s="46" t="s">
        <v>118</v>
      </c>
    </row>
    <row r="88" spans="3:55">
      <c r="C88" s="2" t="s">
        <v>119</v>
      </c>
    </row>
    <row r="89" spans="3:55">
      <c r="C89" s="2" t="s">
        <v>120</v>
      </c>
    </row>
    <row r="90" spans="3:55">
      <c r="C90" s="2" t="s">
        <v>121</v>
      </c>
      <c r="D90" s="47"/>
      <c r="E90" s="47"/>
      <c r="F90" s="47"/>
      <c r="G90" s="48"/>
      <c r="H90" s="48"/>
    </row>
    <row r="91" spans="3:55">
      <c r="C91" s="2" t="s">
        <v>122</v>
      </c>
    </row>
    <row r="92" spans="3:55">
      <c r="C92" s="2" t="s">
        <v>123</v>
      </c>
    </row>
    <row r="93" spans="3:55">
      <c r="C93" s="2" t="s">
        <v>124</v>
      </c>
    </row>
    <row r="94" spans="3:55">
      <c r="C94" s="2" t="s">
        <v>125</v>
      </c>
    </row>
    <row r="95" spans="3:55" s="11" customFormat="1">
      <c r="C95" s="11" t="s">
        <v>126</v>
      </c>
      <c r="E95" s="11" t="s">
        <v>127</v>
      </c>
      <c r="F95" s="49" t="s">
        <v>128</v>
      </c>
      <c r="G95" s="50"/>
      <c r="H95" s="50"/>
      <c r="I95" s="50"/>
      <c r="J95" s="50"/>
      <c r="K95" s="51"/>
      <c r="L95" s="51"/>
      <c r="M95" s="51"/>
      <c r="AJ95" s="51"/>
      <c r="AW95" s="51"/>
      <c r="AY95" s="51"/>
      <c r="BC95" s="51"/>
    </row>
    <row r="96" spans="3:55">
      <c r="C96" s="2" t="s">
        <v>129</v>
      </c>
      <c r="E96" s="52">
        <v>10.1699</v>
      </c>
      <c r="F96" s="53">
        <v>10.19</v>
      </c>
    </row>
    <row r="97" spans="3:6">
      <c r="C97" s="2" t="s">
        <v>130</v>
      </c>
      <c r="E97" s="52">
        <v>26.551600000000001</v>
      </c>
      <c r="F97" s="53">
        <v>26.7607</v>
      </c>
    </row>
    <row r="98" spans="3:6">
      <c r="C98" s="2" t="s">
        <v>131</v>
      </c>
      <c r="E98" s="52">
        <v>10.596500000000001</v>
      </c>
      <c r="F98" s="53">
        <v>10.68</v>
      </c>
    </row>
    <row r="99" spans="3:6">
      <c r="C99" s="2" t="s">
        <v>132</v>
      </c>
      <c r="E99" s="52">
        <v>10.2812</v>
      </c>
      <c r="F99" s="53">
        <v>10.308</v>
      </c>
    </row>
    <row r="100" spans="3:6">
      <c r="C100" s="2" t="s">
        <v>133</v>
      </c>
      <c r="E100" s="52">
        <v>28.5943</v>
      </c>
      <c r="F100" s="53">
        <v>28.835999999999999</v>
      </c>
    </row>
    <row r="101" spans="3:6">
      <c r="C101" s="2" t="s">
        <v>134</v>
      </c>
      <c r="E101" s="52">
        <v>11.068</v>
      </c>
      <c r="F101" s="53">
        <v>11.1616</v>
      </c>
    </row>
    <row r="103" spans="3:6">
      <c r="C103" s="2" t="s">
        <v>135</v>
      </c>
      <c r="E103" s="11" t="s">
        <v>136</v>
      </c>
      <c r="F103" s="49" t="s">
        <v>137</v>
      </c>
    </row>
    <row r="104" spans="3:6">
      <c r="C104" s="2" t="s">
        <v>129</v>
      </c>
      <c r="E104" s="52">
        <v>0.06</v>
      </c>
      <c r="F104" s="53">
        <v>0.06</v>
      </c>
    </row>
    <row r="105" spans="3:6">
      <c r="C105" s="2" t="s">
        <v>132</v>
      </c>
      <c r="E105" s="52">
        <v>0.06</v>
      </c>
      <c r="F105" s="53">
        <v>0.06</v>
      </c>
    </row>
    <row r="107" spans="3:6">
      <c r="C107" s="2" t="s">
        <v>138</v>
      </c>
    </row>
    <row r="108" spans="3:6">
      <c r="C108" s="2" t="s">
        <v>139</v>
      </c>
    </row>
    <row r="109" spans="3:6">
      <c r="C109" s="2" t="s">
        <v>140</v>
      </c>
    </row>
    <row r="110" spans="3:6">
      <c r="C110" s="2" t="s">
        <v>141</v>
      </c>
    </row>
    <row r="111" spans="3:6">
      <c r="C111" s="2" t="s">
        <v>142</v>
      </c>
    </row>
    <row r="112" spans="3:6">
      <c r="C112" s="2" t="s">
        <v>143</v>
      </c>
    </row>
    <row r="113" spans="3:11">
      <c r="C113" s="2" t="s">
        <v>144</v>
      </c>
    </row>
    <row r="114" spans="3:11">
      <c r="C114" s="2" t="s">
        <v>145</v>
      </c>
    </row>
    <row r="115" spans="3:11">
      <c r="C115" s="2" t="s">
        <v>146</v>
      </c>
    </row>
    <row r="116" spans="3:11">
      <c r="C116" s="2" t="s">
        <v>147</v>
      </c>
    </row>
    <row r="117" spans="3:11">
      <c r="C117" s="2" t="s">
        <v>148</v>
      </c>
    </row>
    <row r="118" spans="3:11">
      <c r="C118" s="2" t="s">
        <v>149</v>
      </c>
    </row>
    <row r="119" spans="3:11">
      <c r="C119" s="2" t="s">
        <v>150</v>
      </c>
    </row>
    <row r="120" spans="3:11">
      <c r="C120" s="2" t="s">
        <v>151</v>
      </c>
    </row>
    <row r="121" spans="3:11">
      <c r="C121" s="54"/>
      <c r="D121" s="54"/>
      <c r="E121" s="55"/>
      <c r="F121" s="55"/>
      <c r="G121" s="55"/>
      <c r="H121" s="55"/>
      <c r="I121" s="55"/>
      <c r="J121" s="55"/>
      <c r="K121" s="55"/>
    </row>
    <row r="122" spans="3:11">
      <c r="C122" s="55"/>
      <c r="D122" s="55"/>
      <c r="E122" s="55"/>
      <c r="F122" s="55"/>
      <c r="G122" s="55"/>
      <c r="H122" s="55"/>
      <c r="I122" s="55"/>
      <c r="J122" s="55"/>
      <c r="K122" s="55"/>
    </row>
    <row r="123" spans="3:11">
      <c r="C123" s="55"/>
      <c r="D123" s="55"/>
      <c r="E123" s="55"/>
      <c r="F123" s="55"/>
      <c r="G123" s="55"/>
      <c r="H123" s="55"/>
      <c r="I123" s="55"/>
      <c r="J123" s="55"/>
      <c r="K123" s="55"/>
    </row>
    <row r="146" spans="3:6" ht="14.4" thickBot="1"/>
    <row r="147" spans="3:6" ht="15" thickBot="1">
      <c r="C147" s="56" t="s">
        <v>152</v>
      </c>
      <c r="D147" s="57"/>
      <c r="E147" s="57"/>
      <c r="F147" s="58"/>
    </row>
    <row r="148" spans="3:6" ht="15" thickBot="1">
      <c r="C148" s="59" t="s">
        <v>153</v>
      </c>
      <c r="D148" s="60" t="s">
        <v>154</v>
      </c>
      <c r="E148" s="60" t="s">
        <v>155</v>
      </c>
      <c r="F148" s="60" t="s">
        <v>156</v>
      </c>
    </row>
    <row r="149" spans="3:6" ht="15" thickBot="1">
      <c r="C149" s="59" t="s">
        <v>157</v>
      </c>
      <c r="D149" s="61"/>
      <c r="E149" s="61"/>
      <c r="F149" s="61"/>
    </row>
    <row r="150" spans="3:6" ht="15" thickBot="1">
      <c r="C150" s="62" t="s">
        <v>158</v>
      </c>
      <c r="D150" s="63"/>
      <c r="E150" s="64"/>
      <c r="F150" s="64"/>
    </row>
    <row r="151" spans="3:6" ht="14.4">
      <c r="C151" s="65" t="s">
        <v>159</v>
      </c>
      <c r="D151"/>
      <c r="E151" s="66" t="s">
        <v>160</v>
      </c>
      <c r="F151" s="67"/>
    </row>
    <row r="152" spans="3:6" ht="15" thickBot="1">
      <c r="C152" s="62" t="s">
        <v>161</v>
      </c>
      <c r="D152"/>
      <c r="E152" s="68"/>
      <c r="F152" s="69"/>
    </row>
    <row r="153" spans="3:6" ht="14.4">
      <c r="C153" s="65" t="s">
        <v>162</v>
      </c>
      <c r="D153" s="67"/>
      <c r="E153" s="67"/>
      <c r="F153" s="67"/>
    </row>
    <row r="154" spans="3:6" ht="15" thickBot="1">
      <c r="C154" s="62" t="s">
        <v>163</v>
      </c>
      <c r="D154" s="69"/>
      <c r="E154" s="69"/>
      <c r="F154" s="69"/>
    </row>
    <row r="155" spans="3:6" ht="14.4">
      <c r="C155" s="70" t="s">
        <v>164</v>
      </c>
      <c r="D155" s="71"/>
      <c r="E155" s="71"/>
      <c r="F155" s="71"/>
    </row>
    <row r="156" spans="3:6" ht="14.4">
      <c r="C156" s="2" t="s">
        <v>165</v>
      </c>
      <c r="D156"/>
      <c r="E156"/>
      <c r="F156"/>
    </row>
  </sheetData>
  <mergeCells count="9">
    <mergeCell ref="D153:D154"/>
    <mergeCell ref="E153:E154"/>
    <mergeCell ref="F153:F154"/>
    <mergeCell ref="C147:F147"/>
    <mergeCell ref="D148:D149"/>
    <mergeCell ref="E148:E149"/>
    <mergeCell ref="F148:F149"/>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XDO_?CLASS_3?27?</vt:lpstr>
      <vt:lpstr>XDO_?FINAL_ISIN?136?</vt:lpstr>
      <vt:lpstr>XDO_?FINAL_ISIN?137?</vt:lpstr>
      <vt:lpstr>XDO_?FINAL_ISIN?138?</vt:lpstr>
      <vt:lpstr>XDO_?FINAL_ISIN?139?</vt:lpstr>
      <vt:lpstr>XDO_?FINAL_ISIN?140?</vt:lpstr>
      <vt:lpstr>XDO_?FINAL_ISIN?141?</vt:lpstr>
      <vt:lpstr>XDO_?FINAL_MV?136?</vt:lpstr>
      <vt:lpstr>XDO_?FINAL_MV?137?</vt:lpstr>
      <vt:lpstr>XDO_?FINAL_MV?138?</vt:lpstr>
      <vt:lpstr>XDO_?FINAL_MV?139?</vt:lpstr>
      <vt:lpstr>XDO_?FINAL_MV?140?</vt:lpstr>
      <vt:lpstr>XDO_?FINAL_MV?141?</vt:lpstr>
      <vt:lpstr>XDO_?FINAL_NAME?136?</vt:lpstr>
      <vt:lpstr>XDO_?FINAL_NAME?137?</vt:lpstr>
      <vt:lpstr>XDO_?FINAL_NAME?138?</vt:lpstr>
      <vt:lpstr>XDO_?FINAL_NAME?139?</vt:lpstr>
      <vt:lpstr>XDO_?FINAL_NAME?140?</vt:lpstr>
      <vt:lpstr>XDO_?FINAL_NAME?141?</vt:lpstr>
      <vt:lpstr>XDO_?FINAL_PER_NET?136?</vt:lpstr>
      <vt:lpstr>XDO_?FINAL_PER_NET?137?</vt:lpstr>
      <vt:lpstr>XDO_?FINAL_PER_NET?138?</vt:lpstr>
      <vt:lpstr>XDO_?FINAL_PER_NET?139?</vt:lpstr>
      <vt:lpstr>XDO_?FINAL_PER_NET?140?</vt:lpstr>
      <vt:lpstr>XDO_?FINAL_PER_NET?141?</vt:lpstr>
      <vt:lpstr>XDO_?FINAL_QUANTITE?136?</vt:lpstr>
      <vt:lpstr>XDO_?FINAL_QUANTITE?137?</vt:lpstr>
      <vt:lpstr>XDO_?FINAL_QUANTITE?138?</vt:lpstr>
      <vt:lpstr>XDO_?FINAL_QUANTITE?139?</vt:lpstr>
      <vt:lpstr>XDO_?FINAL_QUANTITE?140?</vt:lpstr>
      <vt:lpstr>XDO_?FINAL_QUANTITE?141?</vt:lpstr>
      <vt:lpstr>XDO_?NAMCNAME?27?</vt:lpstr>
      <vt:lpstr>XDO_?NOVAL?136?</vt:lpstr>
      <vt:lpstr>XDO_?NOVAL?137?</vt:lpstr>
      <vt:lpstr>XDO_?NOVAL?138?</vt:lpstr>
      <vt:lpstr>XDO_?NOVAL?139?</vt:lpstr>
      <vt:lpstr>XDO_?NOVAL?140?</vt:lpstr>
      <vt:lpstr>XDO_?NOVAL?141?</vt:lpstr>
      <vt:lpstr>XDO_?NPTF?27?</vt:lpstr>
      <vt:lpstr>XDO_?RATING?136?</vt:lpstr>
      <vt:lpstr>XDO_?RATING?137?</vt:lpstr>
      <vt:lpstr>XDO_?RATING?138?</vt:lpstr>
      <vt:lpstr>XDO_?RATING?139?</vt:lpstr>
      <vt:lpstr>XDO_?RATING?140?</vt:lpstr>
      <vt:lpstr>XDO_?RATING?141?</vt:lpstr>
      <vt:lpstr>XDO_?REMARKS?136?</vt:lpstr>
      <vt:lpstr>XDO_?REMARKS?137?</vt:lpstr>
      <vt:lpstr>XDO_?REMARKS?138?</vt:lpstr>
      <vt:lpstr>XDO_?REMARKS?139?</vt:lpstr>
      <vt:lpstr>XDO_?REMARKS?140?</vt:lpstr>
      <vt:lpstr>XDO_?REMARKS?141?</vt:lpstr>
      <vt:lpstr>XDO_?TITL?27?</vt:lpstr>
      <vt:lpstr>XDO_?YTM?136?</vt:lpstr>
      <vt:lpstr>XDO_?YTM?137?</vt:lpstr>
      <vt:lpstr>XDO_?YTM?138?</vt:lpstr>
      <vt:lpstr>XDO_?YTM?139?</vt:lpstr>
      <vt:lpstr>XDO_?YTM?140?</vt:lpstr>
      <vt:lpstr>XDO_?YTM?141?</vt:lpstr>
      <vt:lpstr>XDO_GROUP_?G_2?27?</vt:lpstr>
      <vt:lpstr>XDO_GROUP_?G_3?27?</vt:lpstr>
      <vt:lpstr>XDO_GROUP_?G_4?136?</vt:lpstr>
      <vt:lpstr>XDO_GROUP_?G_4?137?</vt:lpstr>
      <vt:lpstr>XDO_GROUP_?G_4?138?</vt:lpstr>
      <vt:lpstr>XDO_GROUP_?G_4?139?</vt:lpstr>
      <vt:lpstr>XDO_GROUP_?G_4?140?</vt:lpstr>
      <vt:lpstr>XDO_GROUP_?G_4?141?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2024-06-07T11:32:13Z</dcterms:created>
  <dcterms:modified xsi:type="dcterms:W3CDTF">2024-06-10T07:27:01Z</dcterms:modified>
</cp:coreProperties>
</file>