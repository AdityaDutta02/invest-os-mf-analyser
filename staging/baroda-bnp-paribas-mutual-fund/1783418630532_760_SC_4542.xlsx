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1DE28F69-D4B8-4AD9-9738-5541C8126A13}" xr6:coauthVersionLast="47" xr6:coauthVersionMax="47" xr10:uidLastSave="{00000000-0000-0000-0000-000000000000}"/>
  <bookViews>
    <workbookView xWindow="-108" yWindow="-108" windowWidth="23256" windowHeight="12456" xr2:uid="{D7E1352D-EC2D-482A-896E-638721006A00}"/>
  </bookViews>
  <sheets>
    <sheet name="SC" sheetId="1" r:id="rId1"/>
  </sheets>
  <externalReferences>
    <externalReference r:id="rId2"/>
  </externalReferences>
  <definedNames>
    <definedName name="XDO_?CLASS_3?19?">SC!$C$8:$C$24</definedName>
    <definedName name="XDO_?FINAL_ISIN?105?">SC!$D$10:$D$24</definedName>
    <definedName name="XDO_?FINAL_ISIN?106?">SC!$D$10:$D$67</definedName>
    <definedName name="XDO_?FINAL_ISIN?107?">SC!$D$10:$D$71</definedName>
    <definedName name="XDO_?FINAL_MV?105?">SC!$G$10:$G$24</definedName>
    <definedName name="XDO_?FINAL_MV?106?">SC!$G$10:$G$67</definedName>
    <definedName name="XDO_?FINAL_MV?107?">SC!$G$10:$G$71</definedName>
    <definedName name="XDO_?FINAL_NAME?105?">SC!$C$10:$C$24</definedName>
    <definedName name="XDO_?FINAL_NAME?106?">SC!$C$10:$C$67</definedName>
    <definedName name="XDO_?FINAL_NAME?107?">SC!$C$10:$C$71</definedName>
    <definedName name="XDO_?FINAL_PER_NET?105?">SC!$H$10:$H$24</definedName>
    <definedName name="XDO_?FINAL_PER_NET?106?">SC!$H$10:$H$67</definedName>
    <definedName name="XDO_?FINAL_PER_NET?107?">SC!$H$10:$H$71</definedName>
    <definedName name="XDO_?FINAL_QUANTITE?105?">SC!$F$10:$F$24</definedName>
    <definedName name="XDO_?FINAL_QUANTITE?106?">SC!$F$10:$F$67</definedName>
    <definedName name="XDO_?FINAL_QUANTITE?107?">SC!$F$10:$F$71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SC!$C$2:$C$24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5?">SC!$B$10:$B$24</definedName>
    <definedName name="XDO_?NOVAL?106?">SC!$B$10:$B$67</definedName>
    <definedName name="XDO_?NOVAL?107?">SC!$B$10:$B$71</definedName>
    <definedName name="XDO_?NPTF?19?">SC!$D$2:$D$24</definedName>
    <definedName name="XDO_?RATING?105?">SC!$E$10:$E$24</definedName>
    <definedName name="XDO_?RATING?106?">SC!$E$10:$E$67</definedName>
    <definedName name="XDO_?RATING?107?">SC!$E$10:$E$71</definedName>
    <definedName name="XDO_?REMARKS?105?">SC!$K$10:$K$24</definedName>
    <definedName name="XDO_?REMARKS?106?">SC!$K$10:$K$67</definedName>
    <definedName name="XDO_?REMARKS?107?">SC!$K$10:$K$71</definedName>
    <definedName name="XDO_?TITL?19?">SC!$A$8:$A$24</definedName>
    <definedName name="XDO_?YTM?105?">SC!$I$10:$I$24</definedName>
    <definedName name="XDO_?YTM?106?">SC!$I$10:$I$67</definedName>
    <definedName name="XDO_?YTM?107?">SC!$I$10:$I$71</definedName>
    <definedName name="XDO_GROUP_?G_2?19?">SC!$2:$37</definedName>
    <definedName name="XDO_GROUP_?G_3?19?">SC!$8:$36</definedName>
    <definedName name="XDO_GROUP_?G_4?105?">SC!$B$10:$IV$24</definedName>
    <definedName name="XDO_GROUP_?G_4?106?">SC!$B$29:$IV$29</definedName>
    <definedName name="XDO_GROUP_?G_4?107?">SC!$B$34:$IV$34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" l="1"/>
</calcChain>
</file>

<file path=xl/sharedStrings.xml><?xml version="1.0" encoding="utf-8"?>
<sst xmlns="http://schemas.openxmlformats.org/spreadsheetml/2006/main" count="168" uniqueCount="128">
  <si>
    <t>Baroda BNP Paribas Mutual Fund</t>
  </si>
  <si>
    <t>T0ME32</t>
  </si>
  <si>
    <t>SCHEME NAME :</t>
  </si>
  <si>
    <t xml:space="preserve">Baroda BNP Paribas Small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</si>
  <si>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</si>
  <si>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</si>
  <si>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</si>
  <si>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</si>
  <si>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</si>
  <si>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</si>
  <si>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</si>
  <si>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</si>
  <si>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</si>
  <si>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</si>
  <si>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</si>
  <si>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</si>
  <si>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100440</t>
  </si>
  <si>
    <t>Birla Corporation Ltd.</t>
  </si>
  <si>
    <t>INE340A01012</t>
  </si>
  <si>
    <t>Cement &amp; Cement Products</t>
  </si>
  <si>
    <t>100519</t>
  </si>
  <si>
    <t>Westlife Foodworld Ltd.</t>
  </si>
  <si>
    <t>INE274F01020</t>
  </si>
  <si>
    <t>Leisure Services</t>
  </si>
  <si>
    <t>101284</t>
  </si>
  <si>
    <t>Craftsman Automation Ltd.</t>
  </si>
  <si>
    <t>INE00LO01017</t>
  </si>
  <si>
    <t>Auto Components</t>
  </si>
  <si>
    <t>100661</t>
  </si>
  <si>
    <t>Central Depository Services (I) Ltd.</t>
  </si>
  <si>
    <t>INE736A01011</t>
  </si>
  <si>
    <t>Capital Markets</t>
  </si>
  <si>
    <t>100268</t>
  </si>
  <si>
    <t>NLC India Ltd.</t>
  </si>
  <si>
    <t>INE589A01014</t>
  </si>
  <si>
    <t>Power</t>
  </si>
  <si>
    <t>100367</t>
  </si>
  <si>
    <t>Exide Industries Ltd.</t>
  </si>
  <si>
    <t>INE302A01020</t>
  </si>
  <si>
    <t>100093</t>
  </si>
  <si>
    <t>Blue Dart Express Ltd.</t>
  </si>
  <si>
    <t>INE233B01017</t>
  </si>
  <si>
    <t>Transport Services</t>
  </si>
  <si>
    <t>100240</t>
  </si>
  <si>
    <t>Can Fin Homes Ltd.</t>
  </si>
  <si>
    <t>INE477A01020</t>
  </si>
  <si>
    <t>Finance</t>
  </si>
  <si>
    <t>100575</t>
  </si>
  <si>
    <t>BSE Ltd.</t>
  </si>
  <si>
    <t>INE118H01025</t>
  </si>
  <si>
    <t>100453</t>
  </si>
  <si>
    <t>RBL Bank Ltd.</t>
  </si>
  <si>
    <t>INE976G01028</t>
  </si>
  <si>
    <t>Banks</t>
  </si>
  <si>
    <t>100406</t>
  </si>
  <si>
    <t>KSB Ltd.</t>
  </si>
  <si>
    <t>INE999A01015</t>
  </si>
  <si>
    <t>Industrial Products</t>
  </si>
  <si>
    <t>100069</t>
  </si>
  <si>
    <t>CIE Automotive India Ltd.</t>
  </si>
  <si>
    <t>INE536H01010</t>
  </si>
  <si>
    <t>100941</t>
  </si>
  <si>
    <t>CSB Bank Ltd.</t>
  </si>
  <si>
    <t>INE679A01013</t>
  </si>
  <si>
    <t>100061</t>
  </si>
  <si>
    <t>KEC International Ltd.</t>
  </si>
  <si>
    <t>INE389H01022</t>
  </si>
  <si>
    <t>Electrical Equipment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</si>
  <si>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</si>
  <si>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</si>
  <si>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</si>
  <si>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</si>
  <si>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</si>
  <si>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</si>
  <si>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</si>
  <si>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</si>
  <si>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</si>
  <si>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</si>
  <si>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</si>
  <si>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</si>
  <si>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</si>
  <si>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</si>
  <si>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</si>
  <si>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</si>
  <si>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</si>
  <si>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</si>
  <si>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</si>
  <si>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</si>
  <si>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</si>
  <si>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</si>
  <si>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</si>
  <si>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</si>
  <si>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</si>
  <si>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</si>
  <si>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</si>
  <si>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</si>
  <si>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</si>
  <si>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</si>
  <si>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</si>
  <si>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</si>
  <si>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</si>
  <si>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</si>
  <si>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</si>
  <si>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</si>
  <si>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</si>
  <si>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</si>
  <si>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</si>
  <si>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</si>
  <si>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</si>
  <si>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</si>
  <si>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 xml:space="preserve">Allotment date for the scheme is October 30, 2023 and First NAV declared on November 1,2023.
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</si>
  <si>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</si>
  <si>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</si>
  <si>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</si>
  <si>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</si>
  <si>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October 31, 2023</t>
  </si>
  <si>
    <t>(9) There were no investments made in derivative instruments and no such derivative instrument was squared off/ expired /exercised during the Month ended October 31, 2023. Further there are no investments in derivative instruments as on October 31, 2023.</t>
  </si>
  <si>
    <t>(10) Total Market value of investments in Foreign Securities/American Depositary Receipts/Global Depositary Receipts as at  October 31, 2023 is Rs. Nil.</t>
  </si>
  <si>
    <t>(11)  During the period, the portfolio turnover ratio is  0.00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</si>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</sst>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0" fontId="6" fillId="0" borderId="19" xfId="0" applyFont="1" applyBorder="1"/>
    <xf numFmtId="164" fontId="6" fillId="0" borderId="0" xfId="1" applyFont="1"/>
    <xf numFmtId="166" fontId="6" fillId="0" borderId="0" xfId="0" applyNumberFormat="1" applyFont="1"/>
    <xf numFmtId="0" fontId="3" fillId="0" borderId="19" xfId="0" applyFont="1" applyBorder="1"/>
    <xf numFmtId="168" fontId="3" fillId="0" borderId="0" xfId="0" applyNumberFormat="1" applyFont="1"/>
    <xf numFmtId="168" fontId="3" fillId="0" borderId="0" xfId="1" applyNumberFormat="1" applyFont="1" applyFill="1"/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</cellXfs>
  <cellStyles count="6">
    <cellStyle name="Comma" xfId="1" builtinId="3"/>
    <cellStyle name="Comma 2" xfId="5" xr:uid="{20D5DB33-57BD-42C4-B937-7EBBC73DD56F}"/>
    <cellStyle name="Hyperlink" xfId="2" builtinId="8"/>
    <cellStyle name="Normal" xfId="0" builtinId="0"/>
    <cellStyle name="Normal 2" xfId="4" xr:uid="{916AB1DD-23D5-4F8D-96BD-60FE64EC545E}"/>
    <cellStyle name="Style 1" xfId="3" xr:uid="{F5F1AEB6-39DD-44CA-84BE-49623DB95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5</xdr:col>
      <xdr:colOff>267208</xdr:colOff>
      <xdr:row>124</xdr:row>
      <xdr:rowOff>7112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F8E40-3F01-4E11-90B3-C94221C7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9034760"/>
          <a:ext cx="7452868" cy="29865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AA18-7FD5-4BD5-B7D1-6E945520D29D}">
  <sheetPr codeName="Sheet119"/>
  <dimension ref="A1:BC106"/>
  <sheetViews>
    <sheetView showGridLines="0" tabSelected="1" zoomScale="90" zoomScaleNormal="90" workbookViewId="0">
      <pane ySplit="6" topLeftCell="A103" activePane="bottomLeft" state="frozen"/>
      <selection activeCell="I2" sqref="I2"/>
      <selection pane="bottomLeft" activeCell="F111" sqref="F11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1093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109375" style="2" bestFit="1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109375" style="2" bestFit="1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109375" style="2" bestFit="1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109375" style="2" bestFit="1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109375" style="2" bestFit="1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109375" style="2" bestFit="1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109375" style="2" bestFit="1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109375" style="2" bestFit="1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109375" style="2" bestFit="1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109375" style="2" bestFit="1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109375" style="2" bestFit="1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109375" style="2" bestFit="1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109375" style="2" bestFit="1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109375" style="2" bestFit="1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109375" style="2" bestFit="1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109375" style="2" bestFit="1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109375" style="2" bestFit="1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109375" style="2" bestFit="1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109375" style="2" bestFit="1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109375" style="2" bestFit="1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109375" style="2" bestFit="1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109375" style="2" bestFit="1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109375" style="2" bestFit="1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109375" style="2" bestFit="1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109375" style="2" bestFit="1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109375" style="2" bestFit="1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109375" style="2" bestFit="1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109375" style="2" bestFit="1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109375" style="2" bestFit="1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109375" style="2" bestFit="1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109375" style="2" bestFit="1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109375" style="2" bestFit="1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109375" style="2" bestFit="1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109375" style="2" bestFit="1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109375" style="2" bestFit="1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109375" style="2" bestFit="1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109375" style="2" bestFit="1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109375" style="2" bestFit="1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109375" style="2" bestFit="1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109375" style="2" bestFit="1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109375" style="2" bestFit="1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109375" style="2" bestFit="1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109375" style="2" bestFit="1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109375" style="2" bestFit="1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109375" style="2" bestFit="1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109375" style="2" bestFit="1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109375" style="2" bestFit="1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109375" style="2" bestFit="1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109375" style="2" bestFit="1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109375" style="2" bestFit="1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109375" style="2" bestFit="1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109375" style="2" bestFit="1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109375" style="2" bestFit="1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109375" style="2" bestFit="1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109375" style="2" bestFit="1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109375" style="2" bestFit="1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109375" style="2" bestFit="1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109375" style="2" bestFit="1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109375" style="2" bestFit="1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109375" style="2" bestFit="1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109375" style="2" bestFit="1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109375" style="2" bestFit="1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109375" style="2" bestFit="1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133173</v>
      </c>
      <c r="G10" s="34">
        <v>1695.56</v>
      </c>
      <c r="H10" s="34">
        <v>1.53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130000</v>
      </c>
      <c r="G11" s="34">
        <v>1031.68</v>
      </c>
      <c r="H11" s="34">
        <v>0.93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18000</v>
      </c>
      <c r="G12" s="34">
        <v>876.38</v>
      </c>
      <c r="H12" s="34">
        <v>0.79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60000</v>
      </c>
      <c r="G13" s="34">
        <v>873.69</v>
      </c>
      <c r="H13" s="34">
        <v>0.79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650000</v>
      </c>
      <c r="G14" s="34">
        <v>871</v>
      </c>
      <c r="H14" s="34">
        <v>0.79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27</v>
      </c>
      <c r="F15" s="33">
        <v>340000</v>
      </c>
      <c r="G15" s="34">
        <v>868.36</v>
      </c>
      <c r="H15" s="34">
        <v>0.78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13000</v>
      </c>
      <c r="G16" s="34">
        <v>855.35</v>
      </c>
      <c r="H16" s="34">
        <v>0.77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110000</v>
      </c>
      <c r="G17" s="34">
        <v>839.8</v>
      </c>
      <c r="H17" s="34">
        <v>0.76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31</v>
      </c>
      <c r="F18" s="33">
        <v>45000</v>
      </c>
      <c r="G18" s="34">
        <v>838.35</v>
      </c>
      <c r="H18" s="34">
        <v>0.76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375000</v>
      </c>
      <c r="G19" s="34">
        <v>826.69</v>
      </c>
      <c r="H19" s="34">
        <v>0.75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27000</v>
      </c>
      <c r="G20" s="34">
        <v>826.63</v>
      </c>
      <c r="H20" s="34">
        <v>0.75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27</v>
      </c>
      <c r="F21" s="33">
        <v>175000</v>
      </c>
      <c r="G21" s="34">
        <v>805.26</v>
      </c>
      <c r="H21" s="34">
        <v>0.73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53</v>
      </c>
      <c r="F22" s="33">
        <v>200000</v>
      </c>
      <c r="G22" s="34">
        <v>660.8</v>
      </c>
      <c r="H22" s="34">
        <v>0.6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100000</v>
      </c>
      <c r="G23" s="34">
        <v>628.29999999999995</v>
      </c>
      <c r="H23" s="34">
        <v>0.56999999999999995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27</v>
      </c>
      <c r="F24" s="33">
        <v>49000</v>
      </c>
      <c r="G24" s="34">
        <v>67.790000000000006</v>
      </c>
      <c r="H24" s="34">
        <v>0.06</v>
      </c>
      <c r="I24" s="35"/>
      <c r="J24" s="35"/>
      <c r="K24" s="36"/>
    </row>
    <row r="25" spans="2:11" x14ac:dyDescent="0.3">
      <c r="C25" s="30" t="s">
        <v>71</v>
      </c>
      <c r="D25" s="31"/>
      <c r="E25" s="32"/>
      <c r="F25" s="33"/>
      <c r="G25" s="38">
        <v>12565.64</v>
      </c>
      <c r="H25" s="38">
        <v>11.36</v>
      </c>
      <c r="I25" s="35"/>
      <c r="J25" s="35"/>
      <c r="K25" s="36"/>
    </row>
    <row r="26" spans="2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2:11" x14ac:dyDescent="0.3">
      <c r="C27" s="30" t="s">
        <v>72</v>
      </c>
      <c r="D27" s="31"/>
      <c r="E27" s="32"/>
      <c r="F27" s="33"/>
      <c r="G27" s="34" t="s">
        <v>73</v>
      </c>
      <c r="H27" s="34" t="s">
        <v>73</v>
      </c>
      <c r="I27" s="35"/>
      <c r="J27" s="35"/>
      <c r="K27" s="36"/>
    </row>
    <row r="28" spans="2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2:11" x14ac:dyDescent="0.3">
      <c r="C29" s="30" t="s">
        <v>74</v>
      </c>
      <c r="D29" s="31"/>
      <c r="E29" s="32"/>
      <c r="F29" s="33"/>
      <c r="G29" s="34" t="s">
        <v>73</v>
      </c>
      <c r="H29" s="34" t="s">
        <v>73</v>
      </c>
      <c r="I29" s="35"/>
      <c r="J29" s="35"/>
      <c r="K29" s="36"/>
    </row>
    <row r="30" spans="2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2:11" x14ac:dyDescent="0.3">
      <c r="C31" s="37" t="s">
        <v>75</v>
      </c>
      <c r="D31" s="31"/>
      <c r="E31" s="32"/>
      <c r="F31" s="33"/>
      <c r="G31" s="34" t="s">
        <v>73</v>
      </c>
      <c r="H31" s="34" t="s">
        <v>73</v>
      </c>
      <c r="I31" s="35"/>
      <c r="J31" s="35"/>
      <c r="K31" s="36"/>
    </row>
    <row r="32" spans="2:11" x14ac:dyDescent="0.3">
      <c r="C32" s="37"/>
      <c r="D32" s="31"/>
      <c r="E32" s="32"/>
      <c r="F32" s="33"/>
      <c r="G32" s="34"/>
      <c r="H32" s="34"/>
      <c r="I32" s="35"/>
      <c r="J32" s="35"/>
      <c r="K32" s="36"/>
    </row>
    <row r="33" spans="3:11" x14ac:dyDescent="0.3">
      <c r="C33" s="30" t="s">
        <v>76</v>
      </c>
      <c r="D33" s="31"/>
      <c r="E33" s="32"/>
      <c r="F33" s="33"/>
      <c r="G33" s="34" t="s">
        <v>73</v>
      </c>
      <c r="H33" s="34" t="s">
        <v>73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77</v>
      </c>
      <c r="D35" s="31"/>
      <c r="E35" s="32"/>
      <c r="F35" s="33"/>
      <c r="G35" s="34"/>
      <c r="H35" s="34"/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78</v>
      </c>
      <c r="D37" s="31"/>
      <c r="E37" s="32"/>
      <c r="F37" s="33"/>
      <c r="G37" s="34" t="s">
        <v>73</v>
      </c>
      <c r="H37" s="34" t="s">
        <v>73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0" t="s">
        <v>79</v>
      </c>
      <c r="D39" s="31"/>
      <c r="E39" s="32"/>
      <c r="F39" s="33"/>
      <c r="G39" s="34" t="s">
        <v>73</v>
      </c>
      <c r="H39" s="34" t="s">
        <v>73</v>
      </c>
      <c r="I39" s="35"/>
      <c r="J39" s="35"/>
      <c r="K39" s="36"/>
    </row>
    <row r="40" spans="3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80</v>
      </c>
      <c r="D41" s="31"/>
      <c r="E41" s="32"/>
      <c r="F41" s="33"/>
      <c r="G41" s="34" t="s">
        <v>73</v>
      </c>
      <c r="H41" s="34" t="s">
        <v>73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81</v>
      </c>
      <c r="D43" s="31"/>
      <c r="E43" s="32"/>
      <c r="F43" s="33"/>
      <c r="G43" s="34" t="s">
        <v>73</v>
      </c>
      <c r="H43" s="34" t="s">
        <v>73</v>
      </c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82</v>
      </c>
      <c r="D45" s="31"/>
      <c r="E45" s="32"/>
      <c r="F45" s="33"/>
      <c r="G45" s="34" t="s">
        <v>73</v>
      </c>
      <c r="H45" s="34" t="s">
        <v>73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83</v>
      </c>
      <c r="D47" s="31"/>
      <c r="E47" s="32"/>
      <c r="F47" s="33"/>
      <c r="G47" s="34"/>
      <c r="H47" s="34"/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84</v>
      </c>
      <c r="D49" s="31"/>
      <c r="E49" s="32"/>
      <c r="F49" s="33"/>
      <c r="G49" s="34" t="s">
        <v>73</v>
      </c>
      <c r="H49" s="34" t="s">
        <v>73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85</v>
      </c>
      <c r="D51" s="31"/>
      <c r="E51" s="32"/>
      <c r="F51" s="33"/>
      <c r="G51" s="34" t="s">
        <v>73</v>
      </c>
      <c r="H51" s="34" t="s">
        <v>73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86</v>
      </c>
      <c r="D53" s="31"/>
      <c r="E53" s="32"/>
      <c r="F53" s="33"/>
      <c r="G53" s="34" t="s">
        <v>73</v>
      </c>
      <c r="H53" s="34" t="s">
        <v>73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87</v>
      </c>
      <c r="D55" s="31"/>
      <c r="E55" s="32"/>
      <c r="F55" s="33"/>
      <c r="G55" s="34" t="s">
        <v>73</v>
      </c>
      <c r="H55" s="34" t="s">
        <v>73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A57" s="28"/>
      <c r="B57" s="29"/>
      <c r="C57" s="30" t="s">
        <v>88</v>
      </c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89</v>
      </c>
      <c r="D58" s="31"/>
      <c r="E58" s="32"/>
      <c r="F58" s="33"/>
      <c r="G58" s="34" t="s">
        <v>73</v>
      </c>
      <c r="H58" s="34" t="s">
        <v>73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A60" s="29"/>
      <c r="B60" s="29"/>
      <c r="C60" s="30" t="s">
        <v>90</v>
      </c>
      <c r="D60" s="31"/>
      <c r="E60" s="32"/>
      <c r="F60" s="33"/>
      <c r="G60" s="34" t="s">
        <v>73</v>
      </c>
      <c r="H60" s="34" t="s">
        <v>73</v>
      </c>
      <c r="I60" s="35"/>
      <c r="J60" s="35"/>
      <c r="K60" s="36"/>
    </row>
    <row r="61" spans="1:11" x14ac:dyDescent="0.3">
      <c r="A61" s="29"/>
      <c r="B61" s="29"/>
      <c r="C61" s="30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9"/>
      <c r="B62" s="29"/>
      <c r="C62" s="30" t="s">
        <v>91</v>
      </c>
      <c r="D62" s="31"/>
      <c r="E62" s="32"/>
      <c r="F62" s="33"/>
      <c r="G62" s="34" t="s">
        <v>73</v>
      </c>
      <c r="H62" s="34" t="s">
        <v>73</v>
      </c>
      <c r="I62" s="35"/>
      <c r="J62" s="35"/>
      <c r="K62" s="36"/>
    </row>
    <row r="63" spans="1:11" x14ac:dyDescent="0.3">
      <c r="A63" s="29"/>
      <c r="B63" s="29"/>
      <c r="C63" s="30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92</v>
      </c>
      <c r="D64" s="31"/>
      <c r="E64" s="32"/>
      <c r="F64" s="33"/>
      <c r="G64" s="34" t="s">
        <v>73</v>
      </c>
      <c r="H64" s="34" t="s">
        <v>73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7" t="s">
        <v>93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B67" s="1" t="s">
        <v>94</v>
      </c>
      <c r="C67" s="21" t="s">
        <v>95</v>
      </c>
      <c r="D67" s="31"/>
      <c r="E67" s="32"/>
      <c r="F67" s="33"/>
      <c r="G67" s="34">
        <v>109010.74</v>
      </c>
      <c r="H67" s="34">
        <v>98.54</v>
      </c>
      <c r="I67" s="35">
        <v>6.76</v>
      </c>
      <c r="J67" s="35"/>
      <c r="K67" s="36"/>
    </row>
    <row r="68" spans="1:11" x14ac:dyDescent="0.3">
      <c r="C68" s="30" t="s">
        <v>71</v>
      </c>
      <c r="D68" s="31"/>
      <c r="E68" s="32"/>
      <c r="F68" s="33"/>
      <c r="G68" s="38">
        <v>109010.74</v>
      </c>
      <c r="H68" s="38">
        <v>98.54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8"/>
      <c r="B70" s="29"/>
      <c r="C70" s="30" t="s">
        <v>96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/>
      <c r="C71" s="21" t="s">
        <v>97</v>
      </c>
      <c r="D71" s="31"/>
      <c r="E71" s="32"/>
      <c r="F71" s="33"/>
      <c r="G71" s="34">
        <v>-10951.63</v>
      </c>
      <c r="H71" s="34">
        <v>-9.9</v>
      </c>
      <c r="I71" s="35"/>
      <c r="J71" s="35"/>
      <c r="K71" s="36"/>
    </row>
    <row r="72" spans="1:11" x14ac:dyDescent="0.3">
      <c r="C72" s="30" t="s">
        <v>71</v>
      </c>
      <c r="D72" s="31"/>
      <c r="E72" s="32"/>
      <c r="F72" s="33"/>
      <c r="G72" s="38">
        <v>-10951.63</v>
      </c>
      <c r="H72" s="38">
        <v>-9.9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ht="14.4" thickBot="1" x14ac:dyDescent="0.35">
      <c r="C74" s="39" t="s">
        <v>98</v>
      </c>
      <c r="D74" s="40"/>
      <c r="E74" s="41"/>
      <c r="F74" s="42"/>
      <c r="G74" s="43">
        <v>110624.75</v>
      </c>
      <c r="H74" s="43">
        <f>SUMIFS(H:H,C:C,"Total")</f>
        <v>100</v>
      </c>
      <c r="I74" s="44"/>
      <c r="J74" s="44"/>
      <c r="K74" s="45"/>
    </row>
    <row r="77" spans="1:11" x14ac:dyDescent="0.3">
      <c r="C77" s="11" t="s">
        <v>99</v>
      </c>
    </row>
    <row r="78" spans="1:11" x14ac:dyDescent="0.3">
      <c r="C78" s="2" t="s">
        <v>100</v>
      </c>
    </row>
    <row r="79" spans="1:11" x14ac:dyDescent="0.3">
      <c r="C79" s="46" t="s">
        <v>101</v>
      </c>
    </row>
    <row r="80" spans="1:11" x14ac:dyDescent="0.3">
      <c r="C80" s="2" t="s">
        <v>102</v>
      </c>
    </row>
    <row r="81" spans="3:55" x14ac:dyDescent="0.3">
      <c r="C81" s="2" t="s">
        <v>103</v>
      </c>
    </row>
    <row r="82" spans="3:55" x14ac:dyDescent="0.3">
      <c r="C82" s="2" t="s">
        <v>104</v>
      </c>
      <c r="D82" s="47"/>
      <c r="E82" s="47"/>
      <c r="F82" s="47"/>
      <c r="G82" s="48"/>
      <c r="H82" s="48"/>
    </row>
    <row r="83" spans="3:55" x14ac:dyDescent="0.3">
      <c r="C83" s="2" t="s">
        <v>105</v>
      </c>
    </row>
    <row r="84" spans="3:55" x14ac:dyDescent="0.3">
      <c r="C84" s="2" t="s">
        <v>106</v>
      </c>
    </row>
    <row r="85" spans="3:55" x14ac:dyDescent="0.3">
      <c r="C85" s="2" t="s">
        <v>107</v>
      </c>
    </row>
    <row r="86" spans="3:55" x14ac:dyDescent="0.3">
      <c r="C86" s="2" t="s">
        <v>108</v>
      </c>
    </row>
    <row r="87" spans="3:55" s="11" customFormat="1" x14ac:dyDescent="0.3">
      <c r="C87" s="49" t="s">
        <v>109</v>
      </c>
      <c r="D87" s="55" t="s">
        <v>110</v>
      </c>
      <c r="E87" s="56"/>
      <c r="F87" s="57"/>
      <c r="G87" s="50"/>
      <c r="H87" s="50"/>
      <c r="I87" s="50"/>
      <c r="J87" s="50"/>
      <c r="K87" s="51"/>
      <c r="L87" s="51"/>
      <c r="M87" s="51"/>
      <c r="AJ87" s="51"/>
      <c r="AW87" s="51"/>
      <c r="AY87" s="51"/>
      <c r="BC87" s="51"/>
    </row>
    <row r="88" spans="3:55" x14ac:dyDescent="0.3">
      <c r="C88" s="52" t="s">
        <v>111</v>
      </c>
      <c r="D88" s="58"/>
      <c r="E88" s="59"/>
      <c r="F88" s="60"/>
    </row>
    <row r="89" spans="3:55" x14ac:dyDescent="0.3">
      <c r="C89" s="52" t="s">
        <v>112</v>
      </c>
      <c r="D89" s="58"/>
      <c r="E89" s="59"/>
      <c r="F89" s="60"/>
    </row>
    <row r="90" spans="3:55" x14ac:dyDescent="0.3">
      <c r="C90" s="52" t="s">
        <v>113</v>
      </c>
      <c r="D90" s="58"/>
      <c r="E90" s="59"/>
      <c r="F90" s="60"/>
    </row>
    <row r="91" spans="3:55" x14ac:dyDescent="0.3">
      <c r="C91" s="52" t="s">
        <v>114</v>
      </c>
      <c r="D91" s="61"/>
      <c r="E91" s="62"/>
      <c r="F91" s="63"/>
    </row>
    <row r="92" spans="3:55" x14ac:dyDescent="0.3">
      <c r="E92" s="53"/>
      <c r="F92" s="54"/>
    </row>
    <row r="94" spans="3:55" x14ac:dyDescent="0.3">
      <c r="C94" s="2" t="s">
        <v>115</v>
      </c>
    </row>
    <row r="95" spans="3:55" x14ac:dyDescent="0.3">
      <c r="C95" s="2" t="s">
        <v>116</v>
      </c>
    </row>
    <row r="96" spans="3:55" x14ac:dyDescent="0.3">
      <c r="C96" s="2" t="s">
        <v>117</v>
      </c>
    </row>
    <row r="97" spans="3:3" x14ac:dyDescent="0.3">
      <c r="C97" s="2" t="s">
        <v>118</v>
      </c>
    </row>
    <row r="98" spans="3:3" x14ac:dyDescent="0.3">
      <c r="C98" s="2" t="s">
        <v>119</v>
      </c>
    </row>
    <row r="99" spans="3:3" x14ac:dyDescent="0.3">
      <c r="C99" s="2" t="s">
        <v>120</v>
      </c>
    </row>
    <row r="100" spans="3:3" x14ac:dyDescent="0.3">
      <c r="C100" s="2" t="s">
        <v>121</v>
      </c>
    </row>
    <row r="101" spans="3:3" x14ac:dyDescent="0.3">
      <c r="C101" s="2" t="s">
        <v>122</v>
      </c>
    </row>
    <row r="102" spans="3:3" x14ac:dyDescent="0.3">
      <c r="C102" s="2" t="s">
        <v>123</v>
      </c>
    </row>
    <row r="103" spans="3:3" x14ac:dyDescent="0.3">
      <c r="C103" s="2" t="s">
        <v>124</v>
      </c>
    </row>
    <row r="104" spans="3:3" x14ac:dyDescent="0.3">
      <c r="C104" s="2" t="s">
        <v>125</v>
      </c>
    </row>
    <row r="105" spans="3:3" x14ac:dyDescent="0.3">
      <c r="C105" s="2" t="s">
        <v>126</v>
      </c>
    </row>
    <row r="106" spans="3:3" x14ac:dyDescent="0.3">
      <c r="C106" s="2" t="s">
        <v>127</v>
      </c>
    </row>
  </sheetData>
  <mergeCells count="1">
    <mergeCell ref="D87:F9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SC</vt:lpstr>
      <vt:lpstr>XDO_?CLASS_3?19?</vt:lpstr>
      <vt:lpstr>XDO_?FINAL_ISIN?105?</vt:lpstr>
      <vt:lpstr>XDO_?FINAL_ISIN?106?</vt:lpstr>
      <vt:lpstr>XDO_?FINAL_ISIN?107?</vt:lpstr>
      <vt:lpstr>XDO_?FINAL_MV?105?</vt:lpstr>
      <vt:lpstr>XDO_?FINAL_MV?106?</vt:lpstr>
      <vt:lpstr>XDO_?FINAL_MV?107?</vt:lpstr>
      <vt:lpstr>XDO_?FINAL_NAME?105?</vt:lpstr>
      <vt:lpstr>XDO_?FINAL_NAME?106?</vt:lpstr>
      <vt:lpstr>XDO_?FINAL_NAME?107?</vt:lpstr>
      <vt:lpstr>XDO_?FINAL_PER_NET?105?</vt:lpstr>
      <vt:lpstr>XDO_?FINAL_PER_NET?106?</vt:lpstr>
      <vt:lpstr>XDO_?FINAL_PER_NET?107?</vt:lpstr>
      <vt:lpstr>XDO_?FINAL_QUANTITE?105?</vt:lpstr>
      <vt:lpstr>XDO_?FINAL_QUANTITE?106?</vt:lpstr>
      <vt:lpstr>XDO_?FINAL_QUANTITE?107?</vt:lpstr>
      <vt:lpstr>XDO_?NAMCNAME?19?</vt:lpstr>
      <vt:lpstr>XDO_?NOVAL?105?</vt:lpstr>
      <vt:lpstr>XDO_?NOVAL?106?</vt:lpstr>
      <vt:lpstr>XDO_?NOVAL?107?</vt:lpstr>
      <vt:lpstr>XDO_?NPTF?19?</vt:lpstr>
      <vt:lpstr>XDO_?RATING?105?</vt:lpstr>
      <vt:lpstr>XDO_?RATING?106?</vt:lpstr>
      <vt:lpstr>XDO_?RATING?107?</vt:lpstr>
      <vt:lpstr>XDO_?REMARKS?105?</vt:lpstr>
      <vt:lpstr>XDO_?REMARKS?106?</vt:lpstr>
      <vt:lpstr>XDO_?REMARKS?107?</vt:lpstr>
      <vt:lpstr>XDO_?TITL?19?</vt:lpstr>
      <vt:lpstr>XDO_?YTM?105?</vt:lpstr>
      <vt:lpstr>XDO_?YTM?106?</vt:lpstr>
      <vt:lpstr>XDO_?YTM?107?</vt:lpstr>
      <vt:lpstr>XDO_GROUP_?G_2?19?</vt:lpstr>
      <vt:lpstr>XDO_GROUP_?G_3?19?</vt:lpstr>
      <vt:lpstr>XDO_GROUP_?G_4?105?</vt:lpstr>
      <vt:lpstr>XDO_GROUP_?G_4?106?</vt:lpstr>
      <vt:lpstr>XDO_GROUP_?G_4?107?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2023-11-08T10:27:16Z</dcterms:created>
  <dcterms:modified xsi:type="dcterms:W3CDTF">2023-11-09T08:11:59Z</dcterms:modified>
</cp:coreProperties>
</file>