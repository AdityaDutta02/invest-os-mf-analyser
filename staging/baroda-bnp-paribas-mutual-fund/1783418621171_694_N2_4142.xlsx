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5?">'Monthly Portfolio'!$C$18:$C$32</definedName>
    <definedName name="XDO_?FINAL_ISIN?20?">'Monthly Portfolio'!$D$28:$D$32</definedName>
    <definedName name="XDO_?FINAL_ISIN?21?">'Monthly Portfolio'!$D$28:$D$55</definedName>
    <definedName name="XDO_?FINAL_ISIN?22?">'Monthly Portfolio'!$D$28:$D$59</definedName>
    <definedName name="XDO_?FINAL_MV?20?">'Monthly Portfolio'!$G$28:$G$32</definedName>
    <definedName name="XDO_?FINAL_MV?21?">'Monthly Portfolio'!$G$28:$G$55</definedName>
    <definedName name="XDO_?FINAL_MV?22?">'Monthly Portfolio'!$G$28:$G$59</definedName>
    <definedName name="XDO_?FINAL_NAME?20?">'Monthly Portfolio'!$C$28:$C$32</definedName>
    <definedName name="XDO_?FINAL_NAME?21?">'Monthly Portfolio'!$C$28:$C$55</definedName>
    <definedName name="XDO_?FINAL_NAME?22?">'Monthly Portfolio'!$C$28:$C$59</definedName>
    <definedName name="XDO_?FINAL_PER_NET?20?">'Monthly Portfolio'!$H$28:$H$32</definedName>
    <definedName name="XDO_?FINAL_PER_NET?21?">'Monthly Portfolio'!$H$28:$H$55</definedName>
    <definedName name="XDO_?FINAL_PER_NET?22?">'Monthly Portfolio'!$H$28:$H$59</definedName>
    <definedName name="XDO_?FINAL_QUANTITE?20?">'Monthly Portfolio'!$F$28:$F$32</definedName>
    <definedName name="XDO_?FINAL_QUANTITE?21?">'Monthly Portfolio'!$F$28:$F$55</definedName>
    <definedName name="XDO_?FINAL_QUANTITE?22?">'Monthly Portfolio'!$F$28:$F$59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'Monthly Portfolio'!#REF!</definedName>
    <definedName name="XDO_?NAMC?6?">[1]FT!#REF!</definedName>
    <definedName name="XDO_?NAMC?7?">[1]MC!#REF!</definedName>
    <definedName name="XDO_?NAMC?8?">[1]LC!#REF!</definedName>
    <definedName name="XDO_?NAMC?9?">[1]TA!#REF!</definedName>
    <definedName name="XDO_?NAMCNAME?5?">'Monthly Portfolio'!$C$2:$C$32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'Monthly Portfolio'!#REF!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'Monthly Portfolio'!#REF!</definedName>
    <definedName name="XDO_?NNPTF?6?">[1]FT!#REF!</definedName>
    <definedName name="XDO_?NNPTF?7?">[1]MC!#REF!</definedName>
    <definedName name="XDO_?NNPTF?8?">[1]LC!#REF!</definedName>
    <definedName name="XDO_?NNPTF?9?">[1]TA!#REF!</definedName>
    <definedName name="XDO_?NOVAL?20?">'Monthly Portfolio'!$B$28:$B$32</definedName>
    <definedName name="XDO_?NOVAL?21?">'Monthly Portfolio'!$B$28:$B$55</definedName>
    <definedName name="XDO_?NOVAL?22?">'Monthly Portfolio'!$B$28:$B$59</definedName>
    <definedName name="XDO_?NPTF?5?">'Monthly Portfolio'!$D$2:$D$32</definedName>
    <definedName name="XDO_?RATING?20?">'Monthly Portfolio'!$E$28:$E$32</definedName>
    <definedName name="XDO_?RATING?21?">'Monthly Portfolio'!$E$28:$E$55</definedName>
    <definedName name="XDO_?RATING?22?">'Monthly Portfolio'!$E$28:$E$59</definedName>
    <definedName name="XDO_?REMARKS?20?">'Monthly Portfolio'!$K$28:$K$32</definedName>
    <definedName name="XDO_?REMARKS?21?">'Monthly Portfolio'!$K$28:$K$55</definedName>
    <definedName name="XDO_?REMARKS?22?">'Monthly Portfolio'!$K$28:$K$59</definedName>
    <definedName name="XDO_?TITL?5?">'Monthly Portfolio'!$A$18:$A$32</definedName>
    <definedName name="XDO_?YTM?20?">'Monthly Portfolio'!$I$28:$I$32</definedName>
    <definedName name="XDO_?YTM?21?">'Monthly Portfolio'!$I$28:$I$55</definedName>
    <definedName name="XDO_?YTM?22?">'Monthly Portfolio'!$I$28:$I$59</definedName>
    <definedName name="XDO_GROUP_?G_2?5?">'Monthly Portfolio'!$2:$25</definedName>
    <definedName name="XDO_GROUP_?G_3?5?">'Monthly Portfolio'!$8:$24</definedName>
    <definedName name="XDO_GROUP_?G_4?140?">[1]BM!#REF!</definedName>
    <definedName name="XDO_GROUP_?G_4?20?">'Monthly Portfolio'!$B$10:$IV$14</definedName>
    <definedName name="XDO_GROUP_?G_4?21?">'Monthly Portfolio'!$B$17:$IV$17</definedName>
    <definedName name="XDO_GROUP_?G_4?22?">'Monthly Portfolio'!$B$22:$IV$22</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2" l="1"/>
  <c r="H62" i="1" l="1"/>
</calcChain>
</file>

<file path=xl/sharedStrings.xml><?xml version="1.0" encoding="utf-8"?>
<sst xmlns="http://schemas.openxmlformats.org/spreadsheetml/2006/main" count="281" uniqueCount="114">
  <si>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</si>
  <si>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</si>
  <si>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</si>
  <si>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</si>
  <si>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</si>
  <si>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</si>
  <si>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</si>
  <si>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</si>
  <si>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</si>
  <si>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</si>
  <si>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</si>
  <si>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</si>
  <si>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</si>
  <si>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</si>
  <si>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</si>
  <si>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</si>
  <si>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</si>
  <si>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</si>
  <si>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</si>
  <si>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</si>
  <si>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</si>
  <si>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</si>
  <si>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b) Privately Placed/Unlisted</t>
  </si>
  <si>
    <t>c) Securitised Debt Instruments</t>
  </si>
  <si>
    <t>d) Central Government Securities</t>
  </si>
  <si>
    <t>e) State Government Securities</t>
  </si>
  <si>
    <t>1900285</t>
  </si>
  <si>
    <t>8.08% State Government of Maharashtra 26-Dec-2028</t>
  </si>
  <si>
    <t>IN2220180052</t>
  </si>
  <si>
    <t>Sovereign</t>
  </si>
  <si>
    <t>1901362</t>
  </si>
  <si>
    <t>8.18% State Government of Tamil Nadu 19-Dec-2028</t>
  </si>
  <si>
    <t>IN3120180192</t>
  </si>
  <si>
    <t>1900364</t>
  </si>
  <si>
    <t>8.08% State Government of Gujarat 26-Dec-2028</t>
  </si>
  <si>
    <t>IN1520180234</t>
  </si>
  <si>
    <t>1900283</t>
  </si>
  <si>
    <t>8.08% State Government of Tamil Nadu 26-Dec-2028</t>
  </si>
  <si>
    <t>IN3120180200</t>
  </si>
  <si>
    <t>1900261</t>
  </si>
  <si>
    <t>8.08% State Government of Karnataka 26-Dec-2028</t>
  </si>
  <si>
    <t>IN1920180115</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</si>
  <si>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</si>
  <si>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</si>
  <si>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</si>
  <si>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</si>
  <si>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</si>
  <si>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</si>
  <si>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</si>
  <si>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</si>
  <si>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</si>
  <si>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</si>
  <si>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</si>
  <si>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</si>
  <si>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</si>
  <si>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</si>
  <si>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</si>
  <si>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</si>
  <si>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</si>
  <si>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</si>
  <si>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</si>
  <si>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</si>
  <si>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</si>
  <si>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</si>
  <si>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</si>
  <si>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</si>
  <si>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</si>
  <si>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</si>
  <si>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</si>
  <si>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</si>
  <si>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</si>
  <si>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</si>
  <si>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IDCW Option</t>
  </si>
  <si>
    <t>Regular Plan - Growth Option</t>
  </si>
  <si>
    <t>Direct Plan - IDCW Option</t>
  </si>
  <si>
    <t>Direct Plan - Growth Option</t>
  </si>
  <si>
    <t>(8) No Dividend declared during the Month ended September 30, 2023</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</si>
  <si>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</si>
  <si>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</si>
  <si>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1827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</si>
  <si>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</si>
  <si>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</si>
  <si>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</si>
  <si>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</si>
  <si>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</si>
  <si>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</si>
  <si>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</si>
  <si>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</si>
  <si>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</si>
  <si>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1497 days.</t>
  </si>
  <si>
    <t>(18) Annualised Portfolio YTM has been 7.5719.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</si>
  <si>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</si>
  <si>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</si>
  <si>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</si>
  <si>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</si>
  <si>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</si>
  <si>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</si>
  <si>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</si>
  <si>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</si>
  <si>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</si>
  <si>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</si>
  <si>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</si>
  <si>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</si>
  <si>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</si>
  <si>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</si>
  <si>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NIFTY SDL December 2028 Index Fund 
(An open-ended Target Maturity Index Fund replicating / tracking the NIFTY SDL December 2028 Index)
A Relatively High Interest Rate Risk and Relatively Low Credit Risk.)</t>
  </si>
  <si>
    <t>HALF YEARLY PORTFOLIO STATEMENT AS ON SEPTEMBER 30, 2023
(Pursuant to the provisions of Regulation 59A of the Securities and Exchange Board of India (Mutual Funds) Regulations, 1996)</t>
  </si>
  <si>
    <t>As on March 31, 2023</t>
  </si>
  <si>
    <t>(8) No Dividend declared during the Half Year ended September 30, 2023</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</si>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</sst>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9" fillId="6" borderId="26" xfId="0" applyFont="1" applyFill="1" applyBorder="1" applyAlignment="1">
      <alignment horizontal="center" wrapText="1"/>
    </xf>
    <xf numFmtId="0" fontId="19" fillId="6" borderId="27" xfId="0" applyFont="1" applyFill="1" applyBorder="1" applyAlignment="1">
      <alignment horizontal="center" wrapText="1"/>
    </xf>
    <xf numFmtId="0" fontId="19" fillId="6" borderId="28" xfId="0" applyFont="1" applyFill="1" applyBorder="1" applyAlignment="1">
      <alignment horizontal="center" wrapText="1"/>
    </xf>
    <xf numFmtId="0" fontId="19" fillId="6" borderId="29" xfId="0" applyFont="1" applyFill="1" applyBorder="1" applyAlignment="1">
      <alignment horizontal="center" wrapText="1"/>
    </xf>
    <xf numFmtId="0" fontId="19" fillId="6" borderId="30" xfId="0" applyFont="1" applyFill="1" applyBorder="1" applyAlignment="1">
      <alignment horizontal="center" wrapText="1"/>
    </xf>
    <xf numFmtId="0" fontId="19" fillId="6" borderId="31" xfId="0" applyFont="1" applyFill="1" applyBorder="1" applyAlignment="1">
      <alignment horizontal="center" wrapText="1"/>
    </xf>
    <xf numFmtId="0" fontId="19" fillId="7" borderId="32" xfId="0" applyFont="1" applyFill="1" applyBorder="1" applyAlignment="1">
      <alignment horizontal="center" wrapText="1"/>
    </xf>
    <xf numFmtId="0" fontId="19" fillId="7" borderId="33" xfId="0" applyFont="1" applyFill="1" applyBorder="1" applyAlignment="1">
      <alignment horizontal="center" wrapText="1"/>
    </xf>
    <xf numFmtId="0" fontId="19"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5</xdr:col>
      <xdr:colOff>504275</xdr:colOff>
      <xdr:row>114</xdr:row>
      <xdr:rowOff>163238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559867"/>
          <a:ext cx="7455408" cy="3194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504275</xdr:colOff>
      <xdr:row>116</xdr:row>
      <xdr:rowOff>163238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320260"/>
          <a:ext cx="7453715" cy="31502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6"/>
  <sheetViews>
    <sheetView showGridLines="0" tabSelected="1" zoomScale="90" zoomScaleNormal="90" workbookViewId="0">
      <pane ySplit="6" topLeftCell="A108" activePane="bottomLeft" state="frozen"/>
      <selection activeCell="I2" sqref="I2"/>
      <selection pane="bottomLeft" activeCell="K116" sqref="K11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A25" s="36"/>
      <c r="B25" s="36"/>
      <c r="C25" s="28" t="s">
        <v>24</v>
      </c>
      <c r="D25" s="29"/>
      <c r="E25" s="30"/>
      <c r="F25" s="31"/>
      <c r="G25" s="32" t="s">
        <v>16</v>
      </c>
      <c r="H25" s="32" t="s">
        <v>16</v>
      </c>
      <c r="I25" s="33"/>
      <c r="J25" s="33"/>
      <c r="K25" s="34"/>
    </row>
    <row r="26" spans="1:11" x14ac:dyDescent="0.3">
      <c r="A26" s="36"/>
      <c r="B26" s="36"/>
      <c r="C26" s="28"/>
      <c r="D26" s="29"/>
      <c r="E26" s="30"/>
      <c r="F26" s="31"/>
      <c r="G26" s="32"/>
      <c r="H26" s="32"/>
      <c r="I26" s="33"/>
      <c r="J26" s="33"/>
      <c r="K26" s="34"/>
    </row>
    <row r="27" spans="1:11" x14ac:dyDescent="0.3">
      <c r="C27" s="37" t="s">
        <v>25</v>
      </c>
      <c r="D27" s="29"/>
      <c r="E27" s="30"/>
      <c r="F27" s="31"/>
      <c r="G27" s="32"/>
      <c r="H27" s="32"/>
      <c r="I27" s="33"/>
      <c r="J27" s="33"/>
      <c r="K27" s="34"/>
    </row>
    <row r="28" spans="1:11" x14ac:dyDescent="0.3">
      <c r="B28" s="1" t="s">
        <v>26</v>
      </c>
      <c r="C28" s="21" t="s">
        <v>27</v>
      </c>
      <c r="D28" s="29" t="s">
        <v>28</v>
      </c>
      <c r="E28" s="30" t="s">
        <v>29</v>
      </c>
      <c r="F28" s="31">
        <v>1465400</v>
      </c>
      <c r="G28" s="32">
        <v>1503.55</v>
      </c>
      <c r="H28" s="32">
        <v>29.76</v>
      </c>
      <c r="I28" s="33">
        <v>7.6052346999999996</v>
      </c>
      <c r="J28" s="33"/>
      <c r="K28" s="34"/>
    </row>
    <row r="29" spans="1:11" x14ac:dyDescent="0.3">
      <c r="B29" s="1" t="s">
        <v>30</v>
      </c>
      <c r="C29" s="21" t="s">
        <v>31</v>
      </c>
      <c r="D29" s="29" t="s">
        <v>32</v>
      </c>
      <c r="E29" s="30" t="s">
        <v>29</v>
      </c>
      <c r="F29" s="31">
        <v>1200000</v>
      </c>
      <c r="G29" s="32">
        <v>1235.77</v>
      </c>
      <c r="H29" s="32">
        <v>24.46</v>
      </c>
      <c r="I29" s="33">
        <v>7.6148049000000002</v>
      </c>
      <c r="J29" s="33"/>
      <c r="K29" s="34"/>
    </row>
    <row r="30" spans="1:11" x14ac:dyDescent="0.3">
      <c r="B30" s="1" t="s">
        <v>33</v>
      </c>
      <c r="C30" s="21" t="s">
        <v>34</v>
      </c>
      <c r="D30" s="29" t="s">
        <v>35</v>
      </c>
      <c r="E30" s="30" t="s">
        <v>29</v>
      </c>
      <c r="F30" s="31">
        <v>1000000</v>
      </c>
      <c r="G30" s="32">
        <v>1025.8599999999999</v>
      </c>
      <c r="H30" s="32">
        <v>20.309999999999999</v>
      </c>
      <c r="I30" s="33">
        <v>7.6095011000000001</v>
      </c>
      <c r="J30" s="33"/>
      <c r="K30" s="34"/>
    </row>
    <row r="31" spans="1:11" x14ac:dyDescent="0.3">
      <c r="B31" s="1" t="s">
        <v>36</v>
      </c>
      <c r="C31" s="21" t="s">
        <v>37</v>
      </c>
      <c r="D31" s="29" t="s">
        <v>38</v>
      </c>
      <c r="E31" s="30" t="s">
        <v>29</v>
      </c>
      <c r="F31" s="31">
        <v>735000</v>
      </c>
      <c r="G31" s="32">
        <v>754.16</v>
      </c>
      <c r="H31" s="32">
        <v>14.93</v>
      </c>
      <c r="I31" s="33">
        <v>7.6044048999999996</v>
      </c>
      <c r="J31" s="33"/>
      <c r="K31" s="34"/>
    </row>
    <row r="32" spans="1:11" x14ac:dyDescent="0.3">
      <c r="B32" s="1" t="s">
        <v>39</v>
      </c>
      <c r="C32" s="21" t="s">
        <v>40</v>
      </c>
      <c r="D32" s="29" t="s">
        <v>41</v>
      </c>
      <c r="E32" s="30" t="s">
        <v>29</v>
      </c>
      <c r="F32" s="31">
        <v>300000</v>
      </c>
      <c r="G32" s="32">
        <v>307.82</v>
      </c>
      <c r="H32" s="32">
        <v>6.09</v>
      </c>
      <c r="I32" s="33">
        <v>7.6043529999999997</v>
      </c>
      <c r="J32" s="33"/>
      <c r="K32" s="34"/>
    </row>
    <row r="33" spans="1:11" x14ac:dyDescent="0.3">
      <c r="C33" s="28" t="s">
        <v>42</v>
      </c>
      <c r="D33" s="29"/>
      <c r="E33" s="30"/>
      <c r="F33" s="31"/>
      <c r="G33" s="38">
        <v>4827.16</v>
      </c>
      <c r="H33" s="38">
        <v>95.55</v>
      </c>
      <c r="I33" s="33"/>
      <c r="J33" s="33"/>
      <c r="K33" s="34"/>
    </row>
    <row r="34" spans="1:11" x14ac:dyDescent="0.3">
      <c r="C34" s="21"/>
      <c r="D34" s="29"/>
      <c r="E34" s="30"/>
      <c r="F34" s="31"/>
      <c r="G34" s="32"/>
      <c r="H34" s="32"/>
      <c r="I34" s="33"/>
      <c r="J34" s="33"/>
      <c r="K34" s="34"/>
    </row>
    <row r="35" spans="1:11" x14ac:dyDescent="0.3">
      <c r="C35" s="28" t="s">
        <v>43</v>
      </c>
      <c r="D35" s="29"/>
      <c r="E35" s="30"/>
      <c r="F35" s="31"/>
      <c r="G35" s="32"/>
      <c r="H35" s="32"/>
      <c r="I35" s="33"/>
      <c r="J35" s="33"/>
      <c r="K35" s="34"/>
    </row>
    <row r="36" spans="1:11" x14ac:dyDescent="0.3">
      <c r="C36" s="21"/>
      <c r="D36" s="29"/>
      <c r="E36" s="30"/>
      <c r="F36" s="31"/>
      <c r="G36" s="32"/>
      <c r="H36" s="32"/>
      <c r="I36" s="33"/>
      <c r="J36" s="33"/>
      <c r="K36" s="34"/>
    </row>
    <row r="37" spans="1:11" x14ac:dyDescent="0.3">
      <c r="C37" s="28" t="s">
        <v>44</v>
      </c>
      <c r="D37" s="29"/>
      <c r="E37" s="30"/>
      <c r="F37" s="31"/>
      <c r="G37" s="32" t="s">
        <v>16</v>
      </c>
      <c r="H37" s="32" t="s">
        <v>16</v>
      </c>
      <c r="I37" s="33"/>
      <c r="J37" s="33"/>
      <c r="K37" s="34"/>
    </row>
    <row r="38" spans="1:11" x14ac:dyDescent="0.3">
      <c r="C38" s="21"/>
      <c r="D38" s="29"/>
      <c r="E38" s="30"/>
      <c r="F38" s="31"/>
      <c r="G38" s="32"/>
      <c r="H38" s="32"/>
      <c r="I38" s="33"/>
      <c r="J38" s="33"/>
      <c r="K38" s="34"/>
    </row>
    <row r="39" spans="1:11" x14ac:dyDescent="0.3">
      <c r="C39" s="28" t="s">
        <v>45</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46</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C43" s="28" t="s">
        <v>47</v>
      </c>
      <c r="D43" s="29"/>
      <c r="E43" s="30"/>
      <c r="F43" s="31"/>
      <c r="G43" s="32" t="s">
        <v>16</v>
      </c>
      <c r="H43" s="32" t="s">
        <v>16</v>
      </c>
      <c r="I43" s="33"/>
      <c r="J43" s="33"/>
      <c r="K43" s="34"/>
    </row>
    <row r="44" spans="1:11" x14ac:dyDescent="0.3">
      <c r="C44" s="21"/>
      <c r="D44" s="29"/>
      <c r="E44" s="30"/>
      <c r="F44" s="31"/>
      <c r="G44" s="32"/>
      <c r="H44" s="32"/>
      <c r="I44" s="33"/>
      <c r="J44" s="33"/>
      <c r="K44" s="34"/>
    </row>
    <row r="45" spans="1:11" x14ac:dyDescent="0.3">
      <c r="A45" s="35"/>
      <c r="B45" s="36"/>
      <c r="C45" s="28" t="s">
        <v>48</v>
      </c>
      <c r="D45" s="29"/>
      <c r="E45" s="30"/>
      <c r="F45" s="31"/>
      <c r="G45" s="32"/>
      <c r="H45" s="32"/>
      <c r="I45" s="33"/>
      <c r="J45" s="33"/>
      <c r="K45" s="34"/>
    </row>
    <row r="46" spans="1:11" x14ac:dyDescent="0.3">
      <c r="A46" s="36"/>
      <c r="B46" s="36"/>
      <c r="C46" s="28" t="s">
        <v>49</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A48" s="36"/>
      <c r="B48" s="36"/>
      <c r="C48" s="28" t="s">
        <v>50</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51</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A52" s="36"/>
      <c r="B52" s="36"/>
      <c r="C52" s="28" t="s">
        <v>52</v>
      </c>
      <c r="D52" s="29"/>
      <c r="E52" s="30"/>
      <c r="F52" s="31"/>
      <c r="G52" s="32" t="s">
        <v>16</v>
      </c>
      <c r="H52" s="32" t="s">
        <v>16</v>
      </c>
      <c r="I52" s="33"/>
      <c r="J52" s="33"/>
      <c r="K52" s="34"/>
    </row>
    <row r="53" spans="1:11" x14ac:dyDescent="0.3">
      <c r="A53" s="36"/>
      <c r="B53" s="36"/>
      <c r="C53" s="28"/>
      <c r="D53" s="29"/>
      <c r="E53" s="30"/>
      <c r="F53" s="31"/>
      <c r="G53" s="32"/>
      <c r="H53" s="32"/>
      <c r="I53" s="33"/>
      <c r="J53" s="33"/>
      <c r="K53" s="34"/>
    </row>
    <row r="54" spans="1:11" x14ac:dyDescent="0.3">
      <c r="C54" s="37" t="s">
        <v>53</v>
      </c>
      <c r="D54" s="29"/>
      <c r="E54" s="30"/>
      <c r="F54" s="31"/>
      <c r="G54" s="32"/>
      <c r="H54" s="32"/>
      <c r="I54" s="33"/>
      <c r="J54" s="33"/>
      <c r="K54" s="34"/>
    </row>
    <row r="55" spans="1:11" x14ac:dyDescent="0.3">
      <c r="B55" s="1" t="s">
        <v>54</v>
      </c>
      <c r="C55" s="21" t="s">
        <v>55</v>
      </c>
      <c r="D55" s="29"/>
      <c r="E55" s="30"/>
      <c r="F55" s="31"/>
      <c r="G55" s="32">
        <v>102.05</v>
      </c>
      <c r="H55" s="32">
        <v>2.02</v>
      </c>
      <c r="I55" s="33">
        <v>6.79</v>
      </c>
      <c r="J55" s="33"/>
      <c r="K55" s="34"/>
    </row>
    <row r="56" spans="1:11" x14ac:dyDescent="0.3">
      <c r="C56" s="28" t="s">
        <v>42</v>
      </c>
      <c r="D56" s="29"/>
      <c r="E56" s="30"/>
      <c r="F56" s="31"/>
      <c r="G56" s="38">
        <v>102.05</v>
      </c>
      <c r="H56" s="38">
        <v>2.02</v>
      </c>
      <c r="I56" s="33"/>
      <c r="J56" s="33"/>
      <c r="K56" s="34"/>
    </row>
    <row r="57" spans="1:11" x14ac:dyDescent="0.3">
      <c r="C57" s="21"/>
      <c r="D57" s="29"/>
      <c r="E57" s="30"/>
      <c r="F57" s="31"/>
      <c r="G57" s="32"/>
      <c r="H57" s="32"/>
      <c r="I57" s="33"/>
      <c r="J57" s="33"/>
      <c r="K57" s="34"/>
    </row>
    <row r="58" spans="1:11" x14ac:dyDescent="0.3">
      <c r="A58" s="35"/>
      <c r="B58" s="36"/>
      <c r="C58" s="28" t="s">
        <v>56</v>
      </c>
      <c r="D58" s="29"/>
      <c r="E58" s="30"/>
      <c r="F58" s="31"/>
      <c r="G58" s="32"/>
      <c r="H58" s="32"/>
      <c r="I58" s="33"/>
      <c r="J58" s="33"/>
      <c r="K58" s="34"/>
    </row>
    <row r="59" spans="1:11" x14ac:dyDescent="0.3">
      <c r="B59" s="1"/>
      <c r="C59" s="21" t="s">
        <v>57</v>
      </c>
      <c r="D59" s="29"/>
      <c r="E59" s="30"/>
      <c r="F59" s="31"/>
      <c r="G59" s="32">
        <v>122.64</v>
      </c>
      <c r="H59" s="32">
        <v>2.4300000000000002</v>
      </c>
      <c r="I59" s="33"/>
      <c r="J59" s="33"/>
      <c r="K59" s="34"/>
    </row>
    <row r="60" spans="1:11" x14ac:dyDescent="0.3">
      <c r="C60" s="28" t="s">
        <v>42</v>
      </c>
      <c r="D60" s="29"/>
      <c r="E60" s="30"/>
      <c r="F60" s="31"/>
      <c r="G60" s="38">
        <v>122.64</v>
      </c>
      <c r="H60" s="38">
        <v>2.4300000000000002</v>
      </c>
      <c r="I60" s="33"/>
      <c r="J60" s="33"/>
      <c r="K60" s="34"/>
    </row>
    <row r="61" spans="1:11" x14ac:dyDescent="0.3">
      <c r="C61" s="21"/>
      <c r="D61" s="29"/>
      <c r="E61" s="30"/>
      <c r="F61" s="31"/>
      <c r="G61" s="32"/>
      <c r="H61" s="32"/>
      <c r="I61" s="33"/>
      <c r="J61" s="33"/>
      <c r="K61" s="34"/>
    </row>
    <row r="62" spans="1:11" ht="14.4" thickBot="1" x14ac:dyDescent="0.35">
      <c r="C62" s="39" t="s">
        <v>58</v>
      </c>
      <c r="D62" s="40"/>
      <c r="E62" s="41"/>
      <c r="F62" s="42"/>
      <c r="G62" s="43">
        <v>5051.8500000000004</v>
      </c>
      <c r="H62" s="43">
        <f>SUMIFS(H:H,C:C,"Total")</f>
        <v>100</v>
      </c>
      <c r="I62" s="44"/>
      <c r="J62" s="44"/>
      <c r="K62" s="45"/>
    </row>
    <row r="65" spans="3:55" x14ac:dyDescent="0.3">
      <c r="C65" s="11" t="s">
        <v>59</v>
      </c>
    </row>
    <row r="66" spans="3:55" x14ac:dyDescent="0.3">
      <c r="C66" s="2" t="s">
        <v>60</v>
      </c>
    </row>
    <row r="67" spans="3:55" x14ac:dyDescent="0.3">
      <c r="C67" s="46" t="s">
        <v>61</v>
      </c>
    </row>
    <row r="68" spans="3:55" x14ac:dyDescent="0.3">
      <c r="C68" s="2" t="s">
        <v>62</v>
      </c>
    </row>
    <row r="69" spans="3:55" x14ac:dyDescent="0.3">
      <c r="C69" s="2" t="s">
        <v>63</v>
      </c>
    </row>
    <row r="70" spans="3:55" x14ac:dyDescent="0.3">
      <c r="C70" s="2" t="s">
        <v>64</v>
      </c>
      <c r="D70" s="47"/>
      <c r="E70" s="47"/>
      <c r="F70" s="47"/>
      <c r="G70" s="48"/>
      <c r="H70" s="48"/>
    </row>
    <row r="71" spans="3:55" x14ac:dyDescent="0.3">
      <c r="C71" s="2" t="s">
        <v>65</v>
      </c>
    </row>
    <row r="72" spans="3:55" x14ac:dyDescent="0.3">
      <c r="C72" s="2" t="s">
        <v>66</v>
      </c>
    </row>
    <row r="73" spans="3:55" x14ac:dyDescent="0.3">
      <c r="C73" s="2" t="s">
        <v>67</v>
      </c>
    </row>
    <row r="74" spans="3:55" x14ac:dyDescent="0.3">
      <c r="C74" s="2" t="s">
        <v>68</v>
      </c>
    </row>
    <row r="75" spans="3:55" s="11" customFormat="1" x14ac:dyDescent="0.3">
      <c r="C75" s="11" t="s">
        <v>69</v>
      </c>
      <c r="E75" s="11" t="s">
        <v>70</v>
      </c>
      <c r="F75" s="49" t="s">
        <v>71</v>
      </c>
      <c r="G75" s="50"/>
      <c r="H75" s="50"/>
      <c r="I75" s="50"/>
      <c r="J75" s="50"/>
      <c r="K75" s="51"/>
      <c r="L75" s="51"/>
      <c r="M75" s="51"/>
      <c r="AJ75" s="51"/>
      <c r="AW75" s="51"/>
      <c r="AY75" s="51"/>
      <c r="BC75" s="51"/>
    </row>
    <row r="76" spans="3:55" x14ac:dyDescent="0.3">
      <c r="C76" s="2" t="s">
        <v>72</v>
      </c>
      <c r="E76" s="52">
        <v>10.3774</v>
      </c>
      <c r="F76" s="53">
        <v>10.413600000000001</v>
      </c>
    </row>
    <row r="77" spans="3:55" x14ac:dyDescent="0.3">
      <c r="C77" s="2" t="s">
        <v>73</v>
      </c>
      <c r="E77" s="52">
        <v>10.3772</v>
      </c>
      <c r="F77" s="53">
        <v>10.413399999999999</v>
      </c>
    </row>
    <row r="78" spans="3:55" x14ac:dyDescent="0.3">
      <c r="C78" s="2" t="s">
        <v>74</v>
      </c>
      <c r="E78" s="52">
        <v>10.391</v>
      </c>
      <c r="F78" s="53">
        <v>10.4297</v>
      </c>
    </row>
    <row r="79" spans="3:55" x14ac:dyDescent="0.3">
      <c r="C79" s="2" t="s">
        <v>75</v>
      </c>
      <c r="E79" s="52">
        <v>10.391</v>
      </c>
      <c r="F79" s="53">
        <v>10.4297</v>
      </c>
    </row>
    <row r="81" spans="3:11" x14ac:dyDescent="0.3">
      <c r="C81" s="2" t="s">
        <v>76</v>
      </c>
    </row>
    <row r="83" spans="3:11" x14ac:dyDescent="0.3">
      <c r="C83" s="2" t="s">
        <v>77</v>
      </c>
    </row>
    <row r="84" spans="3:11" x14ac:dyDescent="0.3">
      <c r="C84" s="2" t="s">
        <v>78</v>
      </c>
    </row>
    <row r="85" spans="3:11" x14ac:dyDescent="0.3">
      <c r="C85" s="2" t="s">
        <v>79</v>
      </c>
    </row>
    <row r="86" spans="3:11" x14ac:dyDescent="0.3">
      <c r="C86" s="2" t="s">
        <v>80</v>
      </c>
    </row>
    <row r="87" spans="3:11" x14ac:dyDescent="0.3">
      <c r="C87" s="2" t="s">
        <v>81</v>
      </c>
    </row>
    <row r="88" spans="3:11" x14ac:dyDescent="0.3">
      <c r="C88" s="2" t="s">
        <v>82</v>
      </c>
    </row>
    <row r="89" spans="3:11" x14ac:dyDescent="0.3">
      <c r="C89" s="2" t="s">
        <v>83</v>
      </c>
    </row>
    <row r="90" spans="3:11" x14ac:dyDescent="0.3">
      <c r="C90" s="2" t="s">
        <v>84</v>
      </c>
    </row>
    <row r="91" spans="3:11" x14ac:dyDescent="0.3">
      <c r="C91" s="2" t="s">
        <v>85</v>
      </c>
    </row>
    <row r="92" spans="3:11" x14ac:dyDescent="0.3">
      <c r="C92" s="2" t="s">
        <v>86</v>
      </c>
    </row>
    <row r="93" spans="3:11" x14ac:dyDescent="0.3">
      <c r="C93" s="2" t="s">
        <v>87</v>
      </c>
    </row>
    <row r="94" spans="3:11" x14ac:dyDescent="0.3">
      <c r="C94" s="2" t="s">
        <v>88</v>
      </c>
    </row>
    <row r="95" spans="3:11" ht="14.4" x14ac:dyDescent="0.3">
      <c r="C95" s="2" t="s">
        <v>89</v>
      </c>
      <c r="D95" s="54"/>
      <c r="E95" s="54"/>
      <c r="F95" s="54"/>
      <c r="G95" s="54"/>
      <c r="H95" s="54"/>
      <c r="I95" s="54"/>
      <c r="J95" s="54"/>
      <c r="K95" s="54"/>
    </row>
    <row r="96" spans="3:11" ht="14.4" x14ac:dyDescent="0.3">
      <c r="C96" s="2" t="s">
        <v>90</v>
      </c>
      <c r="D96" s="54"/>
      <c r="E96" s="54"/>
      <c r="F96" s="54"/>
      <c r="G96" s="54"/>
      <c r="H96" s="54"/>
      <c r="I96" s="54"/>
      <c r="J96" s="54"/>
      <c r="K96" s="54"/>
    </row>
    <row r="97" spans="3:11" ht="14.4" x14ac:dyDescent="0.3">
      <c r="C97" s="54"/>
      <c r="D97" s="54"/>
      <c r="E97" s="54"/>
      <c r="F97" s="54"/>
      <c r="G97" s="54"/>
      <c r="H97" s="54"/>
      <c r="I97" s="54"/>
      <c r="J97" s="54"/>
      <c r="K97" s="54"/>
    </row>
    <row r="98" spans="3:11" ht="14.4" x14ac:dyDescent="0.3">
      <c r="C98" s="54"/>
      <c r="D98" s="54"/>
      <c r="E98" s="54"/>
      <c r="F98" s="54"/>
      <c r="G98" s="54"/>
      <c r="H98" s="54"/>
      <c r="I98" s="54"/>
      <c r="J98" s="54"/>
      <c r="K98" s="54"/>
    </row>
    <row r="116" spans="3:6" ht="14.4" thickBot="1" x14ac:dyDescent="0.35"/>
    <row r="117" spans="3:6" ht="15" thickBot="1" x14ac:dyDescent="0.35">
      <c r="C117" s="64" t="s">
        <v>91</v>
      </c>
      <c r="D117" s="65"/>
      <c r="E117" s="65"/>
      <c r="F117" s="66"/>
    </row>
    <row r="118" spans="3:6" ht="15" thickBot="1" x14ac:dyDescent="0.35">
      <c r="C118" s="55" t="s">
        <v>92</v>
      </c>
      <c r="D118" s="67" t="s">
        <v>93</v>
      </c>
      <c r="E118" s="67" t="s">
        <v>94</v>
      </c>
      <c r="F118" s="67" t="s">
        <v>95</v>
      </c>
    </row>
    <row r="119" spans="3:6" ht="15" thickBot="1" x14ac:dyDescent="0.35">
      <c r="C119" s="55" t="s">
        <v>96</v>
      </c>
      <c r="D119" s="68"/>
      <c r="E119" s="68"/>
      <c r="F119" s="68"/>
    </row>
    <row r="120" spans="3:6" ht="15" thickBot="1" x14ac:dyDescent="0.35">
      <c r="C120" s="56" t="s">
        <v>97</v>
      </c>
      <c r="D120" s="57" t="s">
        <v>98</v>
      </c>
      <c r="E120" s="58"/>
      <c r="F120" s="58"/>
    </row>
    <row r="121" spans="3:6" ht="14.4" x14ac:dyDescent="0.3">
      <c r="C121" s="59" t="s">
        <v>99</v>
      </c>
      <c r="D121" s="62"/>
      <c r="E121" s="62"/>
      <c r="F121" s="62"/>
    </row>
    <row r="122" spans="3:6" ht="15" thickBot="1" x14ac:dyDescent="0.35">
      <c r="C122" s="56" t="s">
        <v>100</v>
      </c>
      <c r="D122" s="63"/>
      <c r="E122" s="63"/>
      <c r="F122" s="63"/>
    </row>
    <row r="123" spans="3:6" ht="14.4" x14ac:dyDescent="0.3">
      <c r="C123" s="59" t="s">
        <v>101</v>
      </c>
      <c r="D123" s="62"/>
      <c r="E123" s="62"/>
      <c r="F123" s="62"/>
    </row>
    <row r="124" spans="3:6" ht="15" thickBot="1" x14ac:dyDescent="0.35">
      <c r="C124" s="56" t="s">
        <v>102</v>
      </c>
      <c r="D124" s="63"/>
      <c r="E124" s="63"/>
      <c r="F124" s="63"/>
    </row>
    <row r="125" spans="3:6" ht="14.4" x14ac:dyDescent="0.35">
      <c r="C125" s="60" t="s">
        <v>103</v>
      </c>
      <c r="D125" s="61"/>
      <c r="E125" s="61"/>
      <c r="F125" s="61"/>
    </row>
    <row r="126" spans="3:6" ht="14.4" x14ac:dyDescent="0.3">
      <c r="C126" s="2" t="s">
        <v>104</v>
      </c>
      <c r="D126"/>
      <c r="E126"/>
      <c r="F126"/>
    </row>
  </sheetData>
  <mergeCells count="10">
    <mergeCell ref="D123:D124"/>
    <mergeCell ref="E123:E124"/>
    <mergeCell ref="F123:F124"/>
    <mergeCell ref="C117:F117"/>
    <mergeCell ref="D118:D119"/>
    <mergeCell ref="E118:E119"/>
    <mergeCell ref="F118:F119"/>
    <mergeCell ref="D121:D122"/>
    <mergeCell ref="E121:E122"/>
    <mergeCell ref="F121:F122"/>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8"/>
  <sheetViews>
    <sheetView topLeftCell="A94" workbookViewId="0">
      <selection activeCell="H112" sqref="H11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69" t="s">
        <v>105</v>
      </c>
      <c r="D3" s="70"/>
      <c r="E3" s="70"/>
      <c r="F3" s="70"/>
      <c r="G3" s="70"/>
      <c r="H3" s="70"/>
      <c r="I3" s="70"/>
      <c r="J3" s="70"/>
      <c r="K3" s="71"/>
      <c r="M3" s="9"/>
    </row>
    <row r="4" spans="1:55" ht="39" customHeight="1" thickBot="1" x14ac:dyDescent="0.35">
      <c r="C4" s="72"/>
      <c r="D4" s="73"/>
      <c r="E4" s="73"/>
      <c r="F4" s="73"/>
      <c r="G4" s="73"/>
      <c r="H4" s="73"/>
      <c r="I4" s="73"/>
      <c r="J4" s="73"/>
      <c r="K4" s="74"/>
    </row>
    <row r="5" spans="1:55" ht="14.4" thickBot="1" x14ac:dyDescent="0.35">
      <c r="C5" s="11"/>
    </row>
    <row r="6" spans="1:55" ht="57" customHeight="1" thickBot="1" x14ac:dyDescent="0.5">
      <c r="C6" s="75" t="s">
        <v>106</v>
      </c>
      <c r="D6" s="76"/>
      <c r="E6" s="76"/>
      <c r="F6" s="76"/>
      <c r="G6" s="76"/>
      <c r="H6" s="76"/>
      <c r="I6" s="76"/>
      <c r="J6" s="76"/>
      <c r="K6" s="77"/>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A21" s="36"/>
      <c r="B21" s="36"/>
      <c r="C21" s="28" t="s">
        <v>21</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22</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A25" s="36"/>
      <c r="B25" s="36"/>
      <c r="C25" s="28" t="s">
        <v>23</v>
      </c>
      <c r="D25" s="29"/>
      <c r="E25" s="30"/>
      <c r="F25" s="31"/>
      <c r="G25" s="32" t="s">
        <v>16</v>
      </c>
      <c r="H25" s="32" t="s">
        <v>16</v>
      </c>
      <c r="I25" s="33"/>
      <c r="J25" s="33"/>
      <c r="K25" s="34"/>
    </row>
    <row r="26" spans="1:11" x14ac:dyDescent="0.3">
      <c r="A26" s="36"/>
      <c r="B26" s="36"/>
      <c r="C26" s="28"/>
      <c r="D26" s="29"/>
      <c r="E26" s="30"/>
      <c r="F26" s="31"/>
      <c r="G26" s="32"/>
      <c r="H26" s="32"/>
      <c r="I26" s="33"/>
      <c r="J26" s="33"/>
      <c r="K26" s="34"/>
    </row>
    <row r="27" spans="1:11" x14ac:dyDescent="0.3">
      <c r="A27" s="36"/>
      <c r="B27" s="36"/>
      <c r="C27" s="28" t="s">
        <v>24</v>
      </c>
      <c r="D27" s="29"/>
      <c r="E27" s="30"/>
      <c r="F27" s="31"/>
      <c r="G27" s="32" t="s">
        <v>16</v>
      </c>
      <c r="H27" s="32" t="s">
        <v>16</v>
      </c>
      <c r="I27" s="33"/>
      <c r="J27" s="33"/>
      <c r="K27" s="34"/>
    </row>
    <row r="28" spans="1:11" x14ac:dyDescent="0.3">
      <c r="A28" s="36"/>
      <c r="B28" s="36"/>
      <c r="C28" s="28"/>
      <c r="D28" s="29"/>
      <c r="E28" s="30"/>
      <c r="F28" s="31"/>
      <c r="G28" s="32"/>
      <c r="H28" s="32"/>
      <c r="I28" s="33"/>
      <c r="J28" s="33"/>
      <c r="K28" s="34"/>
    </row>
    <row r="29" spans="1:11" x14ac:dyDescent="0.3">
      <c r="C29" s="37" t="s">
        <v>25</v>
      </c>
      <c r="D29" s="29"/>
      <c r="E29" s="30"/>
      <c r="F29" s="31"/>
      <c r="G29" s="32"/>
      <c r="H29" s="32"/>
      <c r="I29" s="33"/>
      <c r="J29" s="33"/>
      <c r="K29" s="34"/>
    </row>
    <row r="30" spans="1:11" x14ac:dyDescent="0.3">
      <c r="B30" s="1" t="s">
        <v>26</v>
      </c>
      <c r="C30" s="21" t="s">
        <v>27</v>
      </c>
      <c r="D30" s="29" t="s">
        <v>28</v>
      </c>
      <c r="E30" s="30" t="s">
        <v>29</v>
      </c>
      <c r="F30" s="31">
        <v>1465400</v>
      </c>
      <c r="G30" s="32">
        <v>1503.55</v>
      </c>
      <c r="H30" s="32">
        <v>29.76</v>
      </c>
      <c r="I30" s="33">
        <v>7.6052346999999996</v>
      </c>
      <c r="J30" s="33"/>
      <c r="K30" s="34"/>
    </row>
    <row r="31" spans="1:11" x14ac:dyDescent="0.3">
      <c r="B31" s="1" t="s">
        <v>30</v>
      </c>
      <c r="C31" s="21" t="s">
        <v>31</v>
      </c>
      <c r="D31" s="29" t="s">
        <v>32</v>
      </c>
      <c r="E31" s="30" t="s">
        <v>29</v>
      </c>
      <c r="F31" s="31">
        <v>1200000</v>
      </c>
      <c r="G31" s="32">
        <v>1235.77</v>
      </c>
      <c r="H31" s="32">
        <v>24.46</v>
      </c>
      <c r="I31" s="33">
        <v>7.6148049000000002</v>
      </c>
      <c r="J31" s="33"/>
      <c r="K31" s="34"/>
    </row>
    <row r="32" spans="1:11" x14ac:dyDescent="0.3">
      <c r="B32" s="1" t="s">
        <v>33</v>
      </c>
      <c r="C32" s="21" t="s">
        <v>34</v>
      </c>
      <c r="D32" s="29" t="s">
        <v>35</v>
      </c>
      <c r="E32" s="30" t="s">
        <v>29</v>
      </c>
      <c r="F32" s="31">
        <v>1000000</v>
      </c>
      <c r="G32" s="32">
        <v>1025.8599999999999</v>
      </c>
      <c r="H32" s="32">
        <v>20.309999999999999</v>
      </c>
      <c r="I32" s="33">
        <v>7.6095011000000001</v>
      </c>
      <c r="J32" s="33"/>
      <c r="K32" s="34"/>
    </row>
    <row r="33" spans="1:11" x14ac:dyDescent="0.3">
      <c r="B33" s="1" t="s">
        <v>36</v>
      </c>
      <c r="C33" s="21" t="s">
        <v>37</v>
      </c>
      <c r="D33" s="29" t="s">
        <v>38</v>
      </c>
      <c r="E33" s="30" t="s">
        <v>29</v>
      </c>
      <c r="F33" s="31">
        <v>735000</v>
      </c>
      <c r="G33" s="32">
        <v>754.16</v>
      </c>
      <c r="H33" s="32">
        <v>14.93</v>
      </c>
      <c r="I33" s="33">
        <v>7.6044048999999996</v>
      </c>
      <c r="J33" s="33"/>
      <c r="K33" s="34"/>
    </row>
    <row r="34" spans="1:11" x14ac:dyDescent="0.3">
      <c r="B34" s="1" t="s">
        <v>39</v>
      </c>
      <c r="C34" s="21" t="s">
        <v>40</v>
      </c>
      <c r="D34" s="29" t="s">
        <v>41</v>
      </c>
      <c r="E34" s="30" t="s">
        <v>29</v>
      </c>
      <c r="F34" s="31">
        <v>300000</v>
      </c>
      <c r="G34" s="32">
        <v>307.82</v>
      </c>
      <c r="H34" s="32">
        <v>6.09</v>
      </c>
      <c r="I34" s="33">
        <v>7.6043529999999997</v>
      </c>
      <c r="J34" s="33"/>
      <c r="K34" s="34"/>
    </row>
    <row r="35" spans="1:11" x14ac:dyDescent="0.3">
      <c r="C35" s="28" t="s">
        <v>42</v>
      </c>
      <c r="D35" s="29"/>
      <c r="E35" s="30"/>
      <c r="F35" s="31"/>
      <c r="G35" s="38">
        <v>4827.16</v>
      </c>
      <c r="H35" s="38">
        <v>95.55</v>
      </c>
      <c r="I35" s="33"/>
      <c r="J35" s="33"/>
      <c r="K35" s="34"/>
    </row>
    <row r="36" spans="1:11" x14ac:dyDescent="0.3">
      <c r="C36" s="21"/>
      <c r="D36" s="29"/>
      <c r="E36" s="30"/>
      <c r="F36" s="31"/>
      <c r="G36" s="32"/>
      <c r="H36" s="32"/>
      <c r="I36" s="33"/>
      <c r="J36" s="33"/>
      <c r="K36" s="34"/>
    </row>
    <row r="37" spans="1:11" x14ac:dyDescent="0.3">
      <c r="C37" s="28" t="s">
        <v>43</v>
      </c>
      <c r="D37" s="29"/>
      <c r="E37" s="30"/>
      <c r="F37" s="31"/>
      <c r="G37" s="32"/>
      <c r="H37" s="32"/>
      <c r="I37" s="33"/>
      <c r="J37" s="33"/>
      <c r="K37" s="34"/>
    </row>
    <row r="38" spans="1:11" x14ac:dyDescent="0.3">
      <c r="C38" s="21"/>
      <c r="D38" s="29"/>
      <c r="E38" s="30"/>
      <c r="F38" s="31"/>
      <c r="G38" s="32"/>
      <c r="H38" s="32"/>
      <c r="I38" s="33"/>
      <c r="J38" s="33"/>
      <c r="K38" s="34"/>
    </row>
    <row r="39" spans="1:11" x14ac:dyDescent="0.3">
      <c r="C39" s="28" t="s">
        <v>44</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45</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C43" s="28" t="s">
        <v>46</v>
      </c>
      <c r="D43" s="29"/>
      <c r="E43" s="30"/>
      <c r="F43" s="31"/>
      <c r="G43" s="32" t="s">
        <v>16</v>
      </c>
      <c r="H43" s="32" t="s">
        <v>16</v>
      </c>
      <c r="I43" s="33"/>
      <c r="J43" s="33"/>
      <c r="K43" s="34"/>
    </row>
    <row r="44" spans="1:11" x14ac:dyDescent="0.3">
      <c r="C44" s="21"/>
      <c r="D44" s="29"/>
      <c r="E44" s="30"/>
      <c r="F44" s="31"/>
      <c r="G44" s="32"/>
      <c r="H44" s="32"/>
      <c r="I44" s="33"/>
      <c r="J44" s="33"/>
      <c r="K44" s="34"/>
    </row>
    <row r="45" spans="1:11" x14ac:dyDescent="0.3">
      <c r="C45" s="28" t="s">
        <v>47</v>
      </c>
      <c r="D45" s="29"/>
      <c r="E45" s="30"/>
      <c r="F45" s="31"/>
      <c r="G45" s="32" t="s">
        <v>16</v>
      </c>
      <c r="H45" s="32" t="s">
        <v>16</v>
      </c>
      <c r="I45" s="33"/>
      <c r="J45" s="33"/>
      <c r="K45" s="34"/>
    </row>
    <row r="46" spans="1:11" x14ac:dyDescent="0.3">
      <c r="C46" s="21"/>
      <c r="D46" s="29"/>
      <c r="E46" s="30"/>
      <c r="F46" s="31"/>
      <c r="G46" s="32"/>
      <c r="H46" s="32"/>
      <c r="I46" s="33"/>
      <c r="J46" s="33"/>
      <c r="K46" s="34"/>
    </row>
    <row r="47" spans="1:11" x14ac:dyDescent="0.3">
      <c r="A47" s="35"/>
      <c r="B47" s="36"/>
      <c r="C47" s="28" t="s">
        <v>48</v>
      </c>
      <c r="D47" s="29"/>
      <c r="E47" s="30"/>
      <c r="F47" s="31"/>
      <c r="G47" s="32"/>
      <c r="H47" s="32"/>
      <c r="I47" s="33"/>
      <c r="J47" s="33"/>
      <c r="K47" s="34"/>
    </row>
    <row r="48" spans="1:11" x14ac:dyDescent="0.3">
      <c r="A48" s="36"/>
      <c r="B48" s="36"/>
      <c r="C48" s="28" t="s">
        <v>49</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50</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A52" s="36"/>
      <c r="B52" s="36"/>
      <c r="C52" s="28" t="s">
        <v>51</v>
      </c>
      <c r="D52" s="29"/>
      <c r="E52" s="30"/>
      <c r="F52" s="31"/>
      <c r="G52" s="32" t="s">
        <v>16</v>
      </c>
      <c r="H52" s="32" t="s">
        <v>16</v>
      </c>
      <c r="I52" s="33"/>
      <c r="J52" s="33"/>
      <c r="K52" s="34"/>
    </row>
    <row r="53" spans="1:11" x14ac:dyDescent="0.3">
      <c r="A53" s="36"/>
      <c r="B53" s="36"/>
      <c r="C53" s="28"/>
      <c r="D53" s="29"/>
      <c r="E53" s="30"/>
      <c r="F53" s="31"/>
      <c r="G53" s="32"/>
      <c r="H53" s="32"/>
      <c r="I53" s="33"/>
      <c r="J53" s="33"/>
      <c r="K53" s="34"/>
    </row>
    <row r="54" spans="1:11" x14ac:dyDescent="0.3">
      <c r="A54" s="36"/>
      <c r="B54" s="36"/>
      <c r="C54" s="28" t="s">
        <v>52</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C56" s="37" t="s">
        <v>53</v>
      </c>
      <c r="D56" s="29"/>
      <c r="E56" s="30"/>
      <c r="F56" s="31"/>
      <c r="G56" s="32"/>
      <c r="H56" s="32"/>
      <c r="I56" s="33"/>
      <c r="J56" s="33"/>
      <c r="K56" s="34"/>
    </row>
    <row r="57" spans="1:11" x14ac:dyDescent="0.3">
      <c r="B57" s="1" t="s">
        <v>54</v>
      </c>
      <c r="C57" s="21" t="s">
        <v>55</v>
      </c>
      <c r="D57" s="29"/>
      <c r="E57" s="30"/>
      <c r="F57" s="31"/>
      <c r="G57" s="32">
        <v>102.05</v>
      </c>
      <c r="H57" s="32">
        <v>2.02</v>
      </c>
      <c r="I57" s="33">
        <v>6.79</v>
      </c>
      <c r="J57" s="33"/>
      <c r="K57" s="34"/>
    </row>
    <row r="58" spans="1:11" x14ac:dyDescent="0.3">
      <c r="C58" s="28" t="s">
        <v>42</v>
      </c>
      <c r="D58" s="29"/>
      <c r="E58" s="30"/>
      <c r="F58" s="31"/>
      <c r="G58" s="38">
        <v>102.05</v>
      </c>
      <c r="H58" s="38">
        <v>2.02</v>
      </c>
      <c r="I58" s="33"/>
      <c r="J58" s="33"/>
      <c r="K58" s="34"/>
    </row>
    <row r="59" spans="1:11" x14ac:dyDescent="0.3">
      <c r="C59" s="21"/>
      <c r="D59" s="29"/>
      <c r="E59" s="30"/>
      <c r="F59" s="31"/>
      <c r="G59" s="32"/>
      <c r="H59" s="32"/>
      <c r="I59" s="33"/>
      <c r="J59" s="33"/>
      <c r="K59" s="34"/>
    </row>
    <row r="60" spans="1:11" x14ac:dyDescent="0.3">
      <c r="A60" s="35"/>
      <c r="B60" s="36"/>
      <c r="C60" s="28" t="s">
        <v>56</v>
      </c>
      <c r="D60" s="29"/>
      <c r="E60" s="30"/>
      <c r="F60" s="31"/>
      <c r="G60" s="32"/>
      <c r="H60" s="32"/>
      <c r="I60" s="33"/>
      <c r="J60" s="33"/>
      <c r="K60" s="34"/>
    </row>
    <row r="61" spans="1:11" x14ac:dyDescent="0.3">
      <c r="B61" s="1"/>
      <c r="C61" s="21" t="s">
        <v>57</v>
      </c>
      <c r="D61" s="29"/>
      <c r="E61" s="30"/>
      <c r="F61" s="31"/>
      <c r="G61" s="32">
        <v>122.64</v>
      </c>
      <c r="H61" s="32">
        <v>2.4300000000000002</v>
      </c>
      <c r="I61" s="33"/>
      <c r="J61" s="33"/>
      <c r="K61" s="34"/>
    </row>
    <row r="62" spans="1:11" x14ac:dyDescent="0.3">
      <c r="C62" s="28" t="s">
        <v>42</v>
      </c>
      <c r="D62" s="29"/>
      <c r="E62" s="30"/>
      <c r="F62" s="31"/>
      <c r="G62" s="38">
        <v>122.64</v>
      </c>
      <c r="H62" s="38">
        <v>2.4300000000000002</v>
      </c>
      <c r="I62" s="33"/>
      <c r="J62" s="33"/>
      <c r="K62" s="34"/>
    </row>
    <row r="63" spans="1:11" x14ac:dyDescent="0.3">
      <c r="C63" s="21"/>
      <c r="D63" s="29"/>
      <c r="E63" s="30"/>
      <c r="F63" s="31"/>
      <c r="G63" s="32"/>
      <c r="H63" s="32"/>
      <c r="I63" s="33"/>
      <c r="J63" s="33"/>
      <c r="K63" s="34"/>
    </row>
    <row r="64" spans="1:11" ht="14.4" thickBot="1" x14ac:dyDescent="0.35">
      <c r="C64" s="39" t="s">
        <v>58</v>
      </c>
      <c r="D64" s="40"/>
      <c r="E64" s="41"/>
      <c r="F64" s="42"/>
      <c r="G64" s="43">
        <v>5051.8500000000004</v>
      </c>
      <c r="H64" s="43">
        <f>SUMIFS(H:H,C:C,"Total")</f>
        <v>100</v>
      </c>
      <c r="I64" s="44"/>
      <c r="J64" s="44"/>
      <c r="K64" s="45"/>
    </row>
    <row r="67" spans="3:55" x14ac:dyDescent="0.3">
      <c r="C67" s="11" t="s">
        <v>59</v>
      </c>
    </row>
    <row r="68" spans="3:55" x14ac:dyDescent="0.3">
      <c r="C68" s="2" t="s">
        <v>60</v>
      </c>
    </row>
    <row r="69" spans="3:55" x14ac:dyDescent="0.3">
      <c r="C69" s="46" t="s">
        <v>61</v>
      </c>
    </row>
    <row r="70" spans="3:55" x14ac:dyDescent="0.3">
      <c r="C70" s="2" t="s">
        <v>62</v>
      </c>
    </row>
    <row r="71" spans="3:55" x14ac:dyDescent="0.3">
      <c r="C71" s="2" t="s">
        <v>63</v>
      </c>
    </row>
    <row r="72" spans="3:55" x14ac:dyDescent="0.3">
      <c r="C72" s="2" t="s">
        <v>64</v>
      </c>
      <c r="D72" s="47"/>
      <c r="E72" s="47"/>
      <c r="F72" s="47"/>
      <c r="G72" s="48"/>
      <c r="H72" s="48"/>
    </row>
    <row r="73" spans="3:55" x14ac:dyDescent="0.3">
      <c r="C73" s="2" t="s">
        <v>65</v>
      </c>
    </row>
    <row r="74" spans="3:55" x14ac:dyDescent="0.3">
      <c r="C74" s="2" t="s">
        <v>66</v>
      </c>
    </row>
    <row r="75" spans="3:55" x14ac:dyDescent="0.3">
      <c r="C75" s="2" t="s">
        <v>67</v>
      </c>
    </row>
    <row r="76" spans="3:55" x14ac:dyDescent="0.3">
      <c r="C76" s="2" t="s">
        <v>68</v>
      </c>
    </row>
    <row r="77" spans="3:55" s="11" customFormat="1" x14ac:dyDescent="0.3">
      <c r="C77" s="11" t="s">
        <v>69</v>
      </c>
      <c r="E77" s="11" t="s">
        <v>107</v>
      </c>
      <c r="F77" s="49" t="s">
        <v>71</v>
      </c>
      <c r="G77" s="50"/>
      <c r="H77" s="50"/>
      <c r="I77" s="50"/>
      <c r="J77" s="50"/>
      <c r="K77" s="51"/>
      <c r="L77" s="51"/>
      <c r="M77" s="51"/>
      <c r="AJ77" s="51"/>
      <c r="AW77" s="51"/>
      <c r="AY77" s="51"/>
      <c r="BC77" s="51"/>
    </row>
    <row r="78" spans="3:55" x14ac:dyDescent="0.3">
      <c r="C78" s="2" t="s">
        <v>72</v>
      </c>
      <c r="E78" s="52">
        <v>10.068099999999999</v>
      </c>
      <c r="F78" s="53">
        <v>10.413600000000001</v>
      </c>
    </row>
    <row r="79" spans="3:55" x14ac:dyDescent="0.3">
      <c r="C79" s="2" t="s">
        <v>73</v>
      </c>
      <c r="E79" s="52">
        <v>10.068099999999999</v>
      </c>
      <c r="F79" s="53">
        <v>10.413399999999999</v>
      </c>
    </row>
    <row r="80" spans="3:55" x14ac:dyDescent="0.3">
      <c r="C80" s="2" t="s">
        <v>74</v>
      </c>
      <c r="E80" s="52">
        <v>10.0688</v>
      </c>
      <c r="F80" s="53">
        <v>10.4297</v>
      </c>
    </row>
    <row r="81" spans="3:6" x14ac:dyDescent="0.3">
      <c r="C81" s="2" t="s">
        <v>75</v>
      </c>
      <c r="E81" s="52">
        <v>10.0688</v>
      </c>
      <c r="F81" s="53">
        <v>10.4297</v>
      </c>
    </row>
    <row r="83" spans="3:6" x14ac:dyDescent="0.3">
      <c r="C83" s="2" t="s">
        <v>108</v>
      </c>
    </row>
    <row r="85" spans="3:6" x14ac:dyDescent="0.3">
      <c r="C85" s="2" t="s">
        <v>109</v>
      </c>
    </row>
    <row r="86" spans="3:6" x14ac:dyDescent="0.3">
      <c r="C86" s="2" t="s">
        <v>78</v>
      </c>
    </row>
    <row r="87" spans="3:6" x14ac:dyDescent="0.3">
      <c r="C87" s="2" t="s">
        <v>79</v>
      </c>
    </row>
    <row r="88" spans="3:6" x14ac:dyDescent="0.3">
      <c r="C88" s="2" t="s">
        <v>110</v>
      </c>
    </row>
    <row r="89" spans="3:6" x14ac:dyDescent="0.3">
      <c r="C89" s="2" t="s">
        <v>81</v>
      </c>
    </row>
    <row r="90" spans="3:6" x14ac:dyDescent="0.3">
      <c r="C90" s="2" t="s">
        <v>111</v>
      </c>
    </row>
    <row r="91" spans="3:6" x14ac:dyDescent="0.3">
      <c r="C91" s="2" t="s">
        <v>83</v>
      </c>
    </row>
    <row r="92" spans="3:6" x14ac:dyDescent="0.3">
      <c r="C92" s="2" t="s">
        <v>84</v>
      </c>
    </row>
    <row r="93" spans="3:6" x14ac:dyDescent="0.3">
      <c r="C93" s="2" t="s">
        <v>112</v>
      </c>
    </row>
    <row r="94" spans="3:6" x14ac:dyDescent="0.3">
      <c r="C94" s="2" t="s">
        <v>86</v>
      </c>
    </row>
    <row r="95" spans="3:6" x14ac:dyDescent="0.3">
      <c r="C95" s="2" t="s">
        <v>87</v>
      </c>
    </row>
    <row r="96" spans="3:6" x14ac:dyDescent="0.3">
      <c r="C96" s="2" t="s">
        <v>113</v>
      </c>
    </row>
    <row r="97" spans="3:11" ht="14.4" x14ac:dyDescent="0.3">
      <c r="C97" s="2" t="s">
        <v>89</v>
      </c>
      <c r="D97" s="54"/>
      <c r="E97" s="54"/>
      <c r="F97" s="54"/>
      <c r="G97" s="54"/>
      <c r="H97" s="54"/>
      <c r="I97" s="54"/>
      <c r="J97" s="54"/>
      <c r="K97" s="54"/>
    </row>
    <row r="98" spans="3:11" ht="14.4" x14ac:dyDescent="0.3">
      <c r="C98" s="2" t="s">
        <v>90</v>
      </c>
      <c r="D98" s="54"/>
      <c r="E98" s="54"/>
      <c r="F98" s="54"/>
      <c r="G98" s="54"/>
      <c r="H98" s="54"/>
      <c r="I98" s="54"/>
      <c r="J98" s="54"/>
      <c r="K98" s="54"/>
    </row>
    <row r="99" spans="3:11" ht="14.4" x14ac:dyDescent="0.3">
      <c r="C99" s="54"/>
      <c r="D99" s="54"/>
      <c r="E99" s="54"/>
      <c r="F99" s="54"/>
      <c r="G99" s="54"/>
      <c r="H99" s="54"/>
      <c r="I99" s="54"/>
      <c r="J99" s="54"/>
      <c r="K99" s="54"/>
    </row>
    <row r="100" spans="3:11" ht="14.4" x14ac:dyDescent="0.3">
      <c r="C100" s="54"/>
      <c r="D100" s="54"/>
      <c r="E100" s="54"/>
      <c r="F100" s="54"/>
      <c r="G100" s="54"/>
      <c r="H100" s="54"/>
      <c r="I100" s="54"/>
      <c r="J100" s="54"/>
      <c r="K100" s="54"/>
    </row>
    <row r="118" spans="3:6" ht="14.4" thickBot="1" x14ac:dyDescent="0.35"/>
    <row r="119" spans="3:6" ht="15" thickBot="1" x14ac:dyDescent="0.35">
      <c r="C119" s="64" t="s">
        <v>91</v>
      </c>
      <c r="D119" s="65"/>
      <c r="E119" s="65"/>
      <c r="F119" s="66"/>
    </row>
    <row r="120" spans="3:6" ht="15" thickBot="1" x14ac:dyDescent="0.35">
      <c r="C120" s="55" t="s">
        <v>92</v>
      </c>
      <c r="D120" s="67" t="s">
        <v>93</v>
      </c>
      <c r="E120" s="67" t="s">
        <v>94</v>
      </c>
      <c r="F120" s="67" t="s">
        <v>95</v>
      </c>
    </row>
    <row r="121" spans="3:6" ht="15" thickBot="1" x14ac:dyDescent="0.35">
      <c r="C121" s="55" t="s">
        <v>96</v>
      </c>
      <c r="D121" s="68"/>
      <c r="E121" s="68"/>
      <c r="F121" s="68"/>
    </row>
    <row r="122" spans="3:6" ht="15" thickBot="1" x14ac:dyDescent="0.35">
      <c r="C122" s="56" t="s">
        <v>97</v>
      </c>
      <c r="D122" s="57" t="s">
        <v>98</v>
      </c>
      <c r="E122" s="58"/>
      <c r="F122" s="58"/>
    </row>
    <row r="123" spans="3:6" ht="14.4" x14ac:dyDescent="0.3">
      <c r="C123" s="59" t="s">
        <v>99</v>
      </c>
      <c r="D123" s="62"/>
      <c r="E123" s="62"/>
      <c r="F123" s="62"/>
    </row>
    <row r="124" spans="3:6" ht="15" thickBot="1" x14ac:dyDescent="0.35">
      <c r="C124" s="56" t="s">
        <v>100</v>
      </c>
      <c r="D124" s="63"/>
      <c r="E124" s="63"/>
      <c r="F124" s="63"/>
    </row>
    <row r="125" spans="3:6" ht="14.4" x14ac:dyDescent="0.3">
      <c r="C125" s="59" t="s">
        <v>101</v>
      </c>
      <c r="D125" s="62"/>
      <c r="E125" s="62"/>
      <c r="F125" s="62"/>
    </row>
    <row r="126" spans="3:6" ht="15" thickBot="1" x14ac:dyDescent="0.35">
      <c r="C126" s="56" t="s">
        <v>102</v>
      </c>
      <c r="D126" s="63"/>
      <c r="E126" s="63"/>
      <c r="F126" s="63"/>
    </row>
    <row r="127" spans="3:6" ht="14.4" x14ac:dyDescent="0.35">
      <c r="C127" s="60" t="s">
        <v>103</v>
      </c>
      <c r="D127" s="61"/>
      <c r="E127" s="61"/>
      <c r="F127" s="61"/>
    </row>
    <row r="128" spans="3:6" ht="14.4" x14ac:dyDescent="0.3">
      <c r="C128" s="2" t="s">
        <v>104</v>
      </c>
      <c r="D128"/>
      <c r="E128"/>
      <c r="F128"/>
    </row>
  </sheetData>
  <mergeCells count="12">
    <mergeCell ref="C3:K4"/>
    <mergeCell ref="C6:K6"/>
    <mergeCell ref="C119:F119"/>
    <mergeCell ref="D120:D121"/>
    <mergeCell ref="E120:E121"/>
    <mergeCell ref="F120:F121"/>
    <mergeCell ref="D123:D124"/>
    <mergeCell ref="E123:E124"/>
    <mergeCell ref="F123:F124"/>
    <mergeCell ref="D125:D126"/>
    <mergeCell ref="E125:E126"/>
    <mergeCell ref="F125: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 Portfolio</vt:lpstr>
      <vt:lpstr>Half Yearly Portfolio</vt:lpstr>
      <vt:lpstr>XDO_?CLASS_3?5?</vt:lpstr>
      <vt:lpstr>XDO_?FINAL_ISIN?20?</vt:lpstr>
      <vt:lpstr>XDO_?FINAL_ISIN?21?</vt:lpstr>
      <vt:lpstr>XDO_?FINAL_ISIN?22?</vt:lpstr>
      <vt:lpstr>XDO_?FINAL_MV?20?</vt:lpstr>
      <vt:lpstr>XDO_?FINAL_MV?21?</vt:lpstr>
      <vt:lpstr>XDO_?FINAL_MV?22?</vt:lpstr>
      <vt:lpstr>XDO_?FINAL_NAME?20?</vt:lpstr>
      <vt:lpstr>XDO_?FINAL_NAME?21?</vt:lpstr>
      <vt:lpstr>XDO_?FINAL_NAME?22?</vt:lpstr>
      <vt:lpstr>XDO_?FINAL_PER_NET?20?</vt:lpstr>
      <vt:lpstr>XDO_?FINAL_PER_NET?21?</vt:lpstr>
      <vt:lpstr>XDO_?FINAL_PER_NET?22?</vt:lpstr>
      <vt:lpstr>XDO_?FINAL_QUANTITE?20?</vt:lpstr>
      <vt:lpstr>XDO_?FINAL_QUANTITE?21?</vt:lpstr>
      <vt:lpstr>XDO_?FINAL_QUANTITE?22?</vt:lpstr>
      <vt:lpstr>XDO_?NAMCNAME?5?</vt:lpstr>
      <vt:lpstr>XDO_?NOVAL?20?</vt:lpstr>
      <vt:lpstr>XDO_?NOVAL?21?</vt:lpstr>
      <vt:lpstr>XDO_?NOVAL?22?</vt:lpstr>
      <vt:lpstr>XDO_?NPTF?5?</vt:lpstr>
      <vt:lpstr>XDO_?RATING?20?</vt:lpstr>
      <vt:lpstr>XDO_?RATING?21?</vt:lpstr>
      <vt:lpstr>XDO_?RATING?22?</vt:lpstr>
      <vt:lpstr>XDO_?REMARKS?20?</vt:lpstr>
      <vt:lpstr>XDO_?REMARKS?21?</vt:lpstr>
      <vt:lpstr>XDO_?REMARKS?22?</vt:lpstr>
      <vt:lpstr>XDO_?TITL?5?</vt:lpstr>
      <vt:lpstr>XDO_?YTM?20?</vt:lpstr>
      <vt:lpstr>XDO_?YTM?21?</vt:lpstr>
      <vt:lpstr>XDO_?YTM?22?</vt:lpstr>
      <vt:lpstr>XDO_GROUP_?G_2?5?</vt:lpstr>
      <vt:lpstr>XDO_GROUP_?G_3?5?</vt:lpstr>
      <vt:lpstr>XDO_GROUP_?G_4?20?</vt:lpstr>
      <vt:lpstr>XDO_GROUP_?G_4?21?</vt:lpstr>
      <vt:lpstr>XDO_GROUP_?G_4?22?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2023-10-05T12:54:06Z</dcterms:created>
  <dcterms:modified xsi:type="dcterms:W3CDTF">2023-10-09T10:14:09Z</dcterms:modified>
</cp:coreProperties>
</file>