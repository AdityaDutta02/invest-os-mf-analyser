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AAE44F96-38A1-474D-92B1-010919E840A9}" xr6:coauthVersionLast="47" xr6:coauthVersionMax="47" xr10:uidLastSave="{00000000-0000-0000-0000-000000000000}"/>
  <bookViews>
    <workbookView xWindow="-108" yWindow="-108" windowWidth="23256" windowHeight="12576" xr2:uid="{F66DC5D3-E656-44FD-8F77-FCA69B68A594}"/>
  </bookViews>
  <sheets>
    <sheet name="AF" sheetId="1" r:id="rId1"/>
  </sheets>
  <externalReferences>
    <externalReference r:id="rId2"/>
  </externalReferences>
  <definedNames>
    <definedName name="XDO_?CLASS_3?13?">AF!$C$8:$C$14</definedName>
    <definedName name="XDO_?FINAL_ISIN?56?">AF!$D$14</definedName>
    <definedName name="XDO_?FINAL_ISIN?57?">AF!$D$14:$D$49</definedName>
    <definedName name="XDO_?FINAL_ISIN?58?">AF!$D$14:$D$53</definedName>
    <definedName name="XDO_?FINAL_MV?56?">AF!$G$14</definedName>
    <definedName name="XDO_?FINAL_MV?57?">AF!$G$14:$G$49</definedName>
    <definedName name="XDO_?FINAL_MV?58?">AF!$G$14:$G$53</definedName>
    <definedName name="XDO_?FINAL_NAME?56?">AF!$C$14</definedName>
    <definedName name="XDO_?FINAL_NAME?57?">AF!$C$14:$C$49</definedName>
    <definedName name="XDO_?FINAL_NAME?58?">AF!$C$14:$C$53</definedName>
    <definedName name="XDO_?FINAL_PER_NET?56?">AF!$H$14</definedName>
    <definedName name="XDO_?FINAL_PER_NET?57?">AF!$H$14:$H$49</definedName>
    <definedName name="XDO_?FINAL_PER_NET?58?">AF!$H$14:$H$53</definedName>
    <definedName name="XDO_?FINAL_QUANTITE?56?">AF!$F$14</definedName>
    <definedName name="XDO_?FINAL_QUANTITE?57?">AF!$F$14:$F$49</definedName>
    <definedName name="XDO_?FINAL_QUANTITE?58?">AF!$F$14:$F$53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3?">AF!$C$2:$C$14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6?">AF!$B$14</definedName>
    <definedName name="XDO_?NOVAL?57?">AF!$B$14:$B$49</definedName>
    <definedName name="XDO_?NOVAL?58?">AF!$B$14:$B$53</definedName>
    <definedName name="XDO_?NPTF?13?">AF!$D$2:$D$14</definedName>
    <definedName name="XDO_?RATING?56?">AF!$E$14</definedName>
    <definedName name="XDO_?RATING?57?">AF!$E$14:$E$49</definedName>
    <definedName name="XDO_?RATING?58?">AF!$E$14:$E$53</definedName>
    <definedName name="XDO_?REMARKS?56?">AF!$K$14</definedName>
    <definedName name="XDO_?REMARKS?57?">AF!$K$14:$K$49</definedName>
    <definedName name="XDO_?REMARKS?58?">AF!$K$14:$K$53</definedName>
    <definedName name="XDO_?TITL?13?">AF!$A$8:$A$14</definedName>
    <definedName name="XDO_?YTM?56?">AF!$I$14</definedName>
    <definedName name="XDO_?YTM?57?">AF!$I$14:$I$49</definedName>
    <definedName name="XDO_?YTM?58?">AF!$I$14:$I$53</definedName>
    <definedName name="XDO_GROUP_?G_2?13?">AF!$2:$21</definedName>
    <definedName name="XDO_GROUP_?G_3?13?">AF!$8:$20</definedName>
    <definedName name="XDO_GROUP_?G_4?28?">[1]TA!#REF!</definedName>
    <definedName name="XDO_GROUP_?G_4?56?">AF!$B$10:$IV$10</definedName>
    <definedName name="XDO_GROUP_?G_4?57?">AF!$B$15:$IV$15</definedName>
    <definedName name="XDO_GROUP_?G_4?58?">AF!$B$18:$IV$18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<sst xmlns="http://schemas.openxmlformats.org/spreadsheetml/2006/main" count="107" uniqueCount="76">
  <si>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</si>
  <si>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</si>
  <si>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</si>
  <si>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</si>
  <si>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</si>
  <si>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</si>
  <si>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</si>
  <si>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</si>
  <si>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</si>
  <si>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</si>
  <si>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</si>
  <si>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</si>
  <si>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</si>
  <si>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</si>
  <si>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</si>
  <si>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</si>
  <si>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</si>
  <si>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</si>
  <si>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</si>
  <si>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</si>
  <si>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</si>
  <si>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</si>
  <si>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</si>
  <si>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</si>
  <si>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</si>
  <si>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</si>
  <si>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</si>
  <si>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</si>
  <si>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</si>
  <si>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</si>
  <si>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</si>
  <si>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</si>
  <si>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</si>
  <si>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</si>
  <si>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</si>
  <si>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</si>
  <si>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</si>
  <si>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</si>
  <si>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</si>
  <si>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</si>
  <si>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</si>
  <si>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</si>
  <si>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</si>
  <si>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</si>
  <si>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</si>
  <si>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</si>
  <si>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</si>
  <si>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</si>
  <si>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</si>
  <si>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</si>
  <si>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</si>
  <si>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</si>
  <si>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</si>
  <si>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</si>
  <si>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</si>
  <si>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</si>
  <si>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</si>
  <si>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</si>
  <si>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</si>
  <si>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</si>
  <si>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</si>
  <si>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</si>
  <si>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</si>
  <si>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</si>
  <si>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</si>
  <si>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9,179.71 Lacs.</t>
  </si>
  <si>
    <t>(11)  During the period, the portfolio turnover ratio is  0.00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</si>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</sst>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BB2FA4D-6435-4533-98E1-35E69305C295}"/>
    <cellStyle name="Hyperlink" xfId="2" builtinId="8"/>
    <cellStyle name="Normal" xfId="0" builtinId="0"/>
    <cellStyle name="Normal 2" xfId="4" xr:uid="{58D20A5B-8F0F-4965-8CAB-6F6EC4E8140F}"/>
    <cellStyle name="Style 1" xfId="3" xr:uid="{5DD66F00-3925-4357-B863-FE69D89E4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504275</xdr:colOff>
      <xdr:row>104</xdr:row>
      <xdr:rowOff>71458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3D9970-99F0-0249-8E29-766F0E523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120533"/>
          <a:ext cx="7455408" cy="2755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CF25-18A8-4661-9AB1-4A992D645428}">
  <sheetPr codeName="Sheet1"/>
  <dimension ref="A1:BC9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6" sqref="C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114317.20359999999</v>
      </c>
      <c r="G14" s="34">
        <v>9179.7099999999991</v>
      </c>
      <c r="H14" s="34">
        <v>98.38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9179.7099999999991</v>
      </c>
      <c r="H15" s="38">
        <v>98.38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230.58</v>
      </c>
      <c r="H49" s="34">
        <v>2.4700000000000002</v>
      </c>
      <c r="I49" s="35">
        <v>6.51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230.58</v>
      </c>
      <c r="H50" s="38">
        <v>2.4700000000000002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-79.2</v>
      </c>
      <c r="H53" s="34">
        <v>-0.85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-79.2</v>
      </c>
      <c r="H54" s="38">
        <v>-0.85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9331.09</v>
      </c>
      <c r="H56" s="43">
        <f>SUMIFS(H:H,C:C,"Total")</f>
        <v>100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10.4543</v>
      </c>
      <c r="F70" s="53">
        <v>10.4191</v>
      </c>
    </row>
    <row r="71" spans="3:55" x14ac:dyDescent="0.3">
      <c r="C71" s="2" t="s">
        <v>60</v>
      </c>
      <c r="E71" s="52">
        <v>10.4543</v>
      </c>
      <c r="F71" s="53">
        <v>10.4191</v>
      </c>
    </row>
    <row r="72" spans="3:55" x14ac:dyDescent="0.3">
      <c r="C72" s="2" t="s">
        <v>61</v>
      </c>
      <c r="E72" s="52">
        <v>10.6609</v>
      </c>
      <c r="F72" s="53">
        <v>10.6334</v>
      </c>
    </row>
    <row r="73" spans="3:55" x14ac:dyDescent="0.3">
      <c r="C73" s="2" t="s">
        <v>62</v>
      </c>
      <c r="E73" s="52">
        <v>10.6609</v>
      </c>
      <c r="F73" s="53">
        <v>10.6334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11" x14ac:dyDescent="0.3">
      <c r="C81" s="2" t="s">
        <v>68</v>
      </c>
    </row>
    <row r="82" spans="3:11" x14ac:dyDescent="0.3">
      <c r="C82" s="2" t="s">
        <v>69</v>
      </c>
    </row>
    <row r="83" spans="3:11" x14ac:dyDescent="0.3">
      <c r="C83" s="2" t="s">
        <v>70</v>
      </c>
    </row>
    <row r="84" spans="3:11" x14ac:dyDescent="0.3">
      <c r="C84" s="2" t="s">
        <v>71</v>
      </c>
    </row>
    <row r="85" spans="3:11" x14ac:dyDescent="0.3">
      <c r="C85" s="2" t="s">
        <v>72</v>
      </c>
    </row>
    <row r="86" spans="3:11" x14ac:dyDescent="0.3">
      <c r="C86" s="2" t="s">
        <v>73</v>
      </c>
    </row>
    <row r="87" spans="3:11" x14ac:dyDescent="0.3">
      <c r="C87" s="2" t="s">
        <v>74</v>
      </c>
    </row>
    <row r="88" spans="3:11" x14ac:dyDescent="0.3">
      <c r="C88" s="2" t="s">
        <v>75</v>
      </c>
    </row>
    <row r="89" spans="3:11" ht="14.4" x14ac:dyDescent="0.3">
      <c r="C89" s="54"/>
      <c r="D89" s="54"/>
      <c r="E89" s="55"/>
      <c r="F89" s="55"/>
      <c r="G89" s="55"/>
      <c r="H89" s="55"/>
      <c r="I89" s="55"/>
      <c r="J89" s="55"/>
      <c r="K89" s="55"/>
    </row>
    <row r="90" spans="3:11" ht="14.4" x14ac:dyDescent="0.3">
      <c r="C90" s="55"/>
      <c r="D90" s="55"/>
      <c r="E90" s="55"/>
      <c r="F90" s="55"/>
      <c r="G90" s="55"/>
      <c r="H90" s="55"/>
      <c r="I90" s="55"/>
      <c r="J90" s="55"/>
      <c r="K90" s="55"/>
    </row>
    <row r="91" spans="3:11" ht="14.4" x14ac:dyDescent="0.3">
      <c r="C91" s="55"/>
      <c r="D91" s="55"/>
      <c r="E91" s="55"/>
      <c r="F91" s="55"/>
      <c r="G91" s="55"/>
      <c r="H91" s="55"/>
      <c r="I91" s="55"/>
      <c r="J91" s="55"/>
      <c r="K9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XDO_?CLASS_3?13?</vt:lpstr>
      <vt:lpstr>XDO_?FINAL_ISIN?56?</vt:lpstr>
      <vt:lpstr>XDO_?FINAL_ISIN?57?</vt:lpstr>
      <vt:lpstr>XDO_?FINAL_ISIN?58?</vt:lpstr>
      <vt:lpstr>XDO_?FINAL_MV?56?</vt:lpstr>
      <vt:lpstr>XDO_?FINAL_MV?57?</vt:lpstr>
      <vt:lpstr>XDO_?FINAL_MV?58?</vt:lpstr>
      <vt:lpstr>XDO_?FINAL_NAME?56?</vt:lpstr>
      <vt:lpstr>XDO_?FINAL_NAME?57?</vt:lpstr>
      <vt:lpstr>XDO_?FINAL_NAME?58?</vt:lpstr>
      <vt:lpstr>XDO_?FINAL_PER_NET?56?</vt:lpstr>
      <vt:lpstr>XDO_?FINAL_PER_NET?57?</vt:lpstr>
      <vt:lpstr>XDO_?FINAL_PER_NET?58?</vt:lpstr>
      <vt:lpstr>XDO_?FINAL_QUANTITE?56?</vt:lpstr>
      <vt:lpstr>XDO_?FINAL_QUANTITE?57?</vt:lpstr>
      <vt:lpstr>XDO_?FINAL_QUANTITE?58?</vt:lpstr>
      <vt:lpstr>XDO_?NAMCNAME?13?</vt:lpstr>
      <vt:lpstr>XDO_?NOVAL?56?</vt:lpstr>
      <vt:lpstr>XDO_?NOVAL?57?</vt:lpstr>
      <vt:lpstr>XDO_?NOVAL?58?</vt:lpstr>
      <vt:lpstr>XDO_?NPTF?13?</vt:lpstr>
      <vt:lpstr>XDO_?RATING?56?</vt:lpstr>
      <vt:lpstr>XDO_?RATING?57?</vt:lpstr>
      <vt:lpstr>XDO_?RATING?58?</vt:lpstr>
      <vt:lpstr>XDO_?REMARKS?56?</vt:lpstr>
      <vt:lpstr>XDO_?REMARKS?57?</vt:lpstr>
      <vt:lpstr>XDO_?REMARKS?58?</vt:lpstr>
      <vt:lpstr>XDO_?TITL?13?</vt:lpstr>
      <vt:lpstr>XDO_?YTM?56?</vt:lpstr>
      <vt:lpstr>XDO_?YTM?57?</vt:lpstr>
      <vt:lpstr>XDO_?YTM?58?</vt:lpstr>
      <vt:lpstr>XDO_GROUP_?G_2?13?</vt:lpstr>
      <vt:lpstr>XDO_GROUP_?G_3?13?</vt:lpstr>
      <vt:lpstr>XDO_GROUP_?G_4?56?</vt:lpstr>
      <vt:lpstr>XDO_GROUP_?G_4?57?</vt:lpstr>
      <vt:lpstr>XDO_GROUP_?G_4?58?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2023-03-06T13:25:31Z</dcterms:created>
  <dcterms:modified xsi:type="dcterms:W3CDTF">2023-03-09T09:46:30Z</dcterms:modified>
</cp:coreProperties>
</file>