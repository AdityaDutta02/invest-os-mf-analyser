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ocuments\Baroda-uploading\Monthly-Portfolio-31-Oct-2023\BOBBNPMF_Monthly portfolio_split Portfolio_31-10-2023\"/>
    </mc:Choice>
  </mc:AlternateContent>
  <xr:revisionPtr revIDLastSave="0" documentId="13_ncr:1_{54737608-AD0E-4099-8DB0-B4E4F4176EAE}" xr6:coauthVersionLast="47" xr6:coauthVersionMax="47" xr10:uidLastSave="{00000000-0000-0000-0000-000000000000}"/>
  <bookViews>
    <workbookView xWindow="-108" yWindow="-108" windowWidth="23256" windowHeight="12456" xr2:uid="{79D3AFD9-66B9-4FA2-8A7F-165DB0B7426F}"/>
  </bookViews>
  <sheets>
    <sheet name="LW" sheetId="1" r:id="rId1"/>
  </sheets>
  <externalReferences>
    <externalReference r:id="rId2"/>
  </externalReferences>
  <definedNames>
    <definedName name="XDO_?CLASS_3?1?">LW!$C$20:$C$28</definedName>
    <definedName name="XDO_?FINAL_ISIN?1?">LW!$D$22:$D$28</definedName>
    <definedName name="XDO_?FINAL_ISIN?2?">LW!$D$22:$D$37</definedName>
    <definedName name="XDO_?FINAL_ISIN?3?">LW!$D$22:$D$44</definedName>
    <definedName name="XDO_?FINAL_ISIN?4?">LW!$D$22:$D$53</definedName>
    <definedName name="XDO_?FINAL_ISIN?5?">LW!$D$22:$D$64</definedName>
    <definedName name="XDO_?FINAL_ISIN?6?">LW!$D$22:$D$74</definedName>
    <definedName name="XDO_?FINAL_ISIN?7?">LW!$D$22:$D$78</definedName>
    <definedName name="XDO_?FINAL_MV?1?">LW!$G$22:$G$28</definedName>
    <definedName name="XDO_?FINAL_MV?2?">LW!$G$22:$G$37</definedName>
    <definedName name="XDO_?FINAL_MV?3?">LW!$G$22:$G$44</definedName>
    <definedName name="XDO_?FINAL_MV?4?">LW!$G$22:$G$53</definedName>
    <definedName name="XDO_?FINAL_MV?5?">LW!$G$22:$G$64</definedName>
    <definedName name="XDO_?FINAL_MV?6?">LW!$G$22:$G$74</definedName>
    <definedName name="XDO_?FINAL_MV?7?">LW!$G$22:$G$78</definedName>
    <definedName name="XDO_?FINAL_NAME?1?">LW!$C$22:$C$28</definedName>
    <definedName name="XDO_?FINAL_NAME?2?">LW!$C$22:$C$37</definedName>
    <definedName name="XDO_?FINAL_NAME?3?">LW!$C$22:$C$44</definedName>
    <definedName name="XDO_?FINAL_NAME?4?">LW!$C$22:$C$53</definedName>
    <definedName name="XDO_?FINAL_NAME?5?">LW!$C$22:$C$64</definedName>
    <definedName name="XDO_?FINAL_NAME?6?">LW!$C$22:$C$74</definedName>
    <definedName name="XDO_?FINAL_NAME?7?">LW!$C$22:$C$78</definedName>
    <definedName name="XDO_?FINAL_PER_NET?1?">LW!$H$22:$H$28</definedName>
    <definedName name="XDO_?FINAL_PER_NET?2?">LW!$H$22:$H$37</definedName>
    <definedName name="XDO_?FINAL_PER_NET?3?">LW!$H$22:$H$44</definedName>
    <definedName name="XDO_?FINAL_PER_NET?4?">LW!$H$22:$H$53</definedName>
    <definedName name="XDO_?FINAL_PER_NET?5?">LW!$H$22:$H$64</definedName>
    <definedName name="XDO_?FINAL_PER_NET?6?">LW!$H$22:$H$74</definedName>
    <definedName name="XDO_?FINAL_PER_NET?7?">LW!$H$22:$H$78</definedName>
    <definedName name="XDO_?FINAL_QUANTITE?1?">LW!$F$22:$F$28</definedName>
    <definedName name="XDO_?FINAL_QUANTITE?2?">LW!$F$22:$F$37</definedName>
    <definedName name="XDO_?FINAL_QUANTITE?3?">LW!$F$22:$F$44</definedName>
    <definedName name="XDO_?FINAL_QUANTITE?4?">LW!$F$22:$F$53</definedName>
    <definedName name="XDO_?FINAL_QUANTITE?5?">LW!$F$22:$F$64</definedName>
    <definedName name="XDO_?FINAL_QUANTITE?6?">LW!$F$22:$F$74</definedName>
    <definedName name="XDO_?FINAL_QUANTITE?7?">LW!$F$22:$F$78</definedName>
    <definedName name="XDO_?NAMC?">[1]MT!#REF!</definedName>
    <definedName name="XDO_?NAMC?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[1]SC!#REF!</definedName>
    <definedName name="XDO_?NAMC?2?">[1]FL!#REF!</definedName>
    <definedName name="XDO_?NAMC?20?">[1]GR!#REF!</definedName>
    <definedName name="XDO_?NAMC?21?">[1]GF!#REF!</definedName>
    <definedName name="XDO_?NAMC?22?">[1]LQ!#REF!</definedName>
    <definedName name="XDO_?NAMC?23?">[1]SI!#REF!</definedName>
    <definedName name="XDO_?NAMC?24?">[1]BS!#REF!</definedName>
    <definedName name="XDO_?NAMC?25?">[1]CO!#REF!</definedName>
    <definedName name="XDO_?NAMC?26?">[1]US!#REF!</definedName>
    <definedName name="XDO_?NAMC?27?">[1]DE!#REF!</definedName>
    <definedName name="XDO_?NAMC?28?">[1]ON!#REF!</definedName>
    <definedName name="XDO_?NAMC?29?">[1]BM!#REF!</definedName>
    <definedName name="XDO_?NAMC?3?">[1]CB!#REF!</definedName>
    <definedName name="XDO_?NAMC?30?">[1]ES!#REF!</definedName>
    <definedName name="XDO_?NAMC?31?">[1]LM!#REF!</definedName>
    <definedName name="XDO_?NAMC?32?">[1]BP!#REF!</definedName>
    <definedName name="XDO_?NAMC?33?">[1]BC!#REF!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1?">LW!$C$2:$C$28</definedName>
    <definedName name="XDO_?NDATE?">[1]MT!#REF!</definedName>
    <definedName name="XDO_?NDATE?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[1]SC!#REF!</definedName>
    <definedName name="XDO_?NDATE?2?">[1]FL!#REF!</definedName>
    <definedName name="XDO_?NDATE?20?">[1]GR!#REF!</definedName>
    <definedName name="XDO_?NDATE?21?">[1]GF!#REF!</definedName>
    <definedName name="XDO_?NDATE?22?">[1]LQ!#REF!</definedName>
    <definedName name="XDO_?NDATE?23?">[1]SI!#REF!</definedName>
    <definedName name="XDO_?NDATE?24?">[1]BS!#REF!</definedName>
    <definedName name="XDO_?NDATE?25?">[1]CO!#REF!</definedName>
    <definedName name="XDO_?NDATE?26?">[1]US!#REF!</definedName>
    <definedName name="XDO_?NDATE?27?">[1]DE!#REF!</definedName>
    <definedName name="XDO_?NDATE?28?">[1]ON!#REF!</definedName>
    <definedName name="XDO_?NDATE?29?">[1]BM!#REF!</definedName>
    <definedName name="XDO_?NDATE?3?">[1]CB!#REF!</definedName>
    <definedName name="XDO_?NDATE?30?">[1]ES!#REF!</definedName>
    <definedName name="XDO_?NDATE?31?">[1]LM!#REF!</definedName>
    <definedName name="XDO_?NDATE?32?">[1]BP!#REF!</definedName>
    <definedName name="XDO_?NDATE?33?">[1]BC!#REF!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[1]SC!#REF!</definedName>
    <definedName name="XDO_?NNPTF?2?">[1]FL!#REF!</definedName>
    <definedName name="XDO_?NNPTF?20?">[1]GR!#REF!</definedName>
    <definedName name="XDO_?NNPTF?21?">[1]GF!#REF!</definedName>
    <definedName name="XDO_?NNPTF?22?">[1]LQ!#REF!</definedName>
    <definedName name="XDO_?NNPTF?23?">[1]SI!#REF!</definedName>
    <definedName name="XDO_?NNPTF?24?">[1]BS!#REF!</definedName>
    <definedName name="XDO_?NNPTF?25?">[1]CO!#REF!</definedName>
    <definedName name="XDO_?NNPTF?26?">[1]US!#REF!</definedName>
    <definedName name="XDO_?NNPTF?27?">[1]DE!#REF!</definedName>
    <definedName name="XDO_?NNPTF?28?">[1]ON!#REF!</definedName>
    <definedName name="XDO_?NNPTF?29?">[1]BM!#REF!</definedName>
    <definedName name="XDO_?NNPTF?3?">[1]CB!#REF!</definedName>
    <definedName name="XDO_?NNPTF?30?">[1]ES!#REF!</definedName>
    <definedName name="XDO_?NNPTF?31?">[1]LM!#REF!</definedName>
    <definedName name="XDO_?NNPTF?32?">[1]BP!#REF!</definedName>
    <definedName name="XDO_?NNPTF?33?">[1]BC!#REF!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LW!$B$22:$B$28</definedName>
    <definedName name="XDO_?NOVAL?2?">LW!$B$22:$B$37</definedName>
    <definedName name="XDO_?NOVAL?3?">LW!$B$22:$B$44</definedName>
    <definedName name="XDO_?NOVAL?4?">LW!$B$22:$B$53</definedName>
    <definedName name="XDO_?NOVAL?5?">LW!$B$22:$B$64</definedName>
    <definedName name="XDO_?NOVAL?6?">LW!$B$22:$B$74</definedName>
    <definedName name="XDO_?NOVAL?7?">LW!$B$22:$B$78</definedName>
    <definedName name="XDO_?NPTF?1?">LW!$D$2:$D$28</definedName>
    <definedName name="XDO_?RATING?1?">LW!$E$22:$E$28</definedName>
    <definedName name="XDO_?RATING?2?">LW!$E$22:$E$37</definedName>
    <definedName name="XDO_?RATING?3?">LW!$E$22:$E$44</definedName>
    <definedName name="XDO_?RATING?4?">LW!$E$22:$E$53</definedName>
    <definedName name="XDO_?RATING?5?">LW!$E$22:$E$64</definedName>
    <definedName name="XDO_?RATING?6?">LW!$E$22:$E$74</definedName>
    <definedName name="XDO_?RATING?7?">LW!$E$22:$E$78</definedName>
    <definedName name="XDO_?REMARKS?1?">LW!$K$22:$K$28</definedName>
    <definedName name="XDO_?REMARKS?2?">LW!$K$22:$K$37</definedName>
    <definedName name="XDO_?REMARKS?3?">LW!$K$22:$K$44</definedName>
    <definedName name="XDO_?REMARKS?4?">LW!$K$22:$K$53</definedName>
    <definedName name="XDO_?REMARKS?5?">LW!$K$22:$K$64</definedName>
    <definedName name="XDO_?REMARKS?6?">LW!$K$22:$K$74</definedName>
    <definedName name="XDO_?REMARKS?7?">LW!$K$22:$K$78</definedName>
    <definedName name="XDO_?TITL?1?">LW!$A$20:$A$28</definedName>
    <definedName name="XDO_?YTM?1?">LW!$I$22:$I$28</definedName>
    <definedName name="XDO_?YTM?2?">LW!$I$22:$I$37</definedName>
    <definedName name="XDO_?YTM?3?">LW!$I$22:$I$44</definedName>
    <definedName name="XDO_?YTM?4?">LW!$I$22:$I$53</definedName>
    <definedName name="XDO_?YTM?5?">LW!$I$22:$I$64</definedName>
    <definedName name="XDO_?YTM?6?">LW!$I$22:$I$74</definedName>
    <definedName name="XDO_?YTM?7?">LW!$I$22:$I$78</definedName>
    <definedName name="XDO_GROUP_?G_2?1?">LW!$2:$52</definedName>
    <definedName name="XDO_GROUP_?G_3?1?">LW!$8:$51</definedName>
    <definedName name="XDO_GROUP_?G_4?1?">LW!$B$10:$IV$17</definedName>
    <definedName name="XDO_GROUP_?G_4?2?">LW!$B$20:$IV$21</definedName>
    <definedName name="XDO_GROUP_?G_4?3?">LW!$B$26:$IV$26</definedName>
    <definedName name="XDO_GROUP_?G_4?4?">LW!$B$30:$IV$35</definedName>
    <definedName name="XDO_GROUP_?G_4?42?">[1]TA!#REF!</definedName>
    <definedName name="XDO_GROUP_?G_4?5?">LW!$B$40:$IV$40</definedName>
    <definedName name="XDO_GROUP_?G_4?6?">LW!$B$44:$IV$44</definedName>
    <definedName name="XDO_GROUP_?G_4?7?">LW!$B$49:$IV$49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81" i="1" l="1"/>
</calcChain>
</file>

<file path=xl/sharedStrings.xml><?xml version="1.0" encoding="utf-8"?>
<sst xmlns="http://schemas.openxmlformats.org/spreadsheetml/2006/main" count="224" uniqueCount="162">
  <si>
    <t>Baroda BNP Paribas Mutual Fund</t>
  </si>
  <si>
    <t>T0MD09</t>
  </si>
  <si>
    <t>SCHEME NAME :</t>
  </si>
  <si>
    <t xml:space="preserve">Baroda BNP Paribas Low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</si>
  <si>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</si>
  <si>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</si>
  <si>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</si>
  <si>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</si>
  <si>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</si>
  <si>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</si>
  <si>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</si>
  <si>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</si>
  <si>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</si>
  <si>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</si>
  <si>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</si>
  <si>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</si>
  <si>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</si>
  <si>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</si>
  <si>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</si>
  <si>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 Stock Futures</t>
  </si>
  <si>
    <t>e) Index Futures</t>
  </si>
  <si>
    <t>DEBT INSTRUMENTS</t>
  </si>
  <si>
    <t>a) Listed/awaiting listing on the stock exchanges</t>
  </si>
  <si>
    <t>702738</t>
  </si>
  <si>
    <t>5.35% National Housing Bank 12-Feb-2024</t>
  </si>
  <si>
    <t>INE557F08FL1</t>
  </si>
  <si>
    <t>CRISIL AAA</t>
  </si>
  <si>
    <t>N**</t>
  </si>
  <si>
    <t>703680</t>
  </si>
  <si>
    <t>6.40% Embassy Office Parks Reit 15-Feb-2024</t>
  </si>
  <si>
    <t>INE041007050</t>
  </si>
  <si>
    <t>704436</t>
  </si>
  <si>
    <t>9.00% Shriram Finance Ltd. 24-Jun-2024</t>
  </si>
  <si>
    <t>INE721A07RJ5</t>
  </si>
  <si>
    <t>CRISIL AA+</t>
  </si>
  <si>
    <t>702448</t>
  </si>
  <si>
    <t>7.40% Reliance Industries Ltd. 25-Apr-2025</t>
  </si>
  <si>
    <t>INE002A08617</t>
  </si>
  <si>
    <t>703784</t>
  </si>
  <si>
    <t>7.13% Power Finance Corporation Ltd. 08-Aug-2025</t>
  </si>
  <si>
    <t>INE134E08LO4</t>
  </si>
  <si>
    <t>703915</t>
  </si>
  <si>
    <t>8.50% JM Financial Products Ltd. 16-May-2025</t>
  </si>
  <si>
    <t>INE523H07BV9</t>
  </si>
  <si>
    <t>[ICRA]AA</t>
  </si>
  <si>
    <t>704352</t>
  </si>
  <si>
    <t>8.80% Piramal Capital &amp; Housing Finance Ltd. 30-Dec-2024</t>
  </si>
  <si>
    <t>INE516Y07477</t>
  </si>
  <si>
    <t>CARE AA</t>
  </si>
  <si>
    <t>Total</t>
  </si>
  <si>
    <t>b) Privately Placed/Unlisted</t>
  </si>
  <si>
    <t>c) Securitised Debt Instruments</t>
  </si>
  <si>
    <t>d) Central Government Securities</t>
  </si>
  <si>
    <t>900290</t>
  </si>
  <si>
    <t>7.06% Government of India 10-Apr-2028</t>
  </si>
  <si>
    <t>IN0020230010</t>
  </si>
  <si>
    <t>Sovereign</t>
  </si>
  <si>
    <t>900145</t>
  </si>
  <si>
    <t>5.22% Government of India 15-Jun-2025</t>
  </si>
  <si>
    <t>IN0020200112</t>
  </si>
  <si>
    <t>e) State Government Securities</t>
  </si>
  <si>
    <t>MONEY MARKET INSTRUMENTS</t>
  </si>
  <si>
    <t>a) Commercial Paper</t>
  </si>
  <si>
    <t>1008735</t>
  </si>
  <si>
    <t>Tata Capital Financial Services Ltd. 20-Feb-2024</t>
  </si>
  <si>
    <t>INE306N14VR9</t>
  </si>
  <si>
    <t>CRISIL A1+</t>
  </si>
  <si>
    <t>b) Certificate of Deposits</t>
  </si>
  <si>
    <t>1102280</t>
  </si>
  <si>
    <t>State Bank of India 17-May-2024</t>
  </si>
  <si>
    <t>INE062A16499</t>
  </si>
  <si>
    <t>IND A1+</t>
  </si>
  <si>
    <t>1102389</t>
  </si>
  <si>
    <t>Kotak Mahindra Bank Ltd. 27-Sep-2024</t>
  </si>
  <si>
    <t>INE237A168U0</t>
  </si>
  <si>
    <t>1102372</t>
  </si>
  <si>
    <t>HDFC Bank Ltd. 13-Sep-2024</t>
  </si>
  <si>
    <t>INE040A16DX2</t>
  </si>
  <si>
    <t>1102396</t>
  </si>
  <si>
    <t>ICICI Bank Ltd. 18-Sep-2024</t>
  </si>
  <si>
    <t>INE090AD6055</t>
  </si>
  <si>
    <t>[ICRA]A1+</t>
  </si>
  <si>
    <t>1102296</t>
  </si>
  <si>
    <t>Small Industries Development Bank of India 06-Jun-2024</t>
  </si>
  <si>
    <t>INE556F16AK9</t>
  </si>
  <si>
    <t>1102349</t>
  </si>
  <si>
    <t>Axis Bank Ltd. 19-Jun-2024</t>
  </si>
  <si>
    <t>INE238AD6454</t>
  </si>
  <si>
    <t>c) Treasury Bills</t>
  </si>
  <si>
    <t>d) Bills Re- Discounting</t>
  </si>
  <si>
    <t>OTHERS</t>
  </si>
  <si>
    <t>a) Mutual Fund Units / Exchange Traded Funds</t>
  </si>
  <si>
    <t>b) Alternative Investment Funds</t>
  </si>
  <si>
    <t>6400002</t>
  </si>
  <si>
    <t>Corporate Debt Market Development Fund-A2</t>
  </si>
  <si>
    <t>INF0RQ622028</t>
  </si>
  <si>
    <t>Alternative Investment Fund</t>
  </si>
  <si>
    <t>c) Gold</t>
  </si>
  <si>
    <t>d) Short Term Deposits</t>
  </si>
  <si>
    <t>e) Term Deposits Placed as Margins</t>
  </si>
  <si>
    <t>f) TREPS / Reverse Repo Investments</t>
  </si>
  <si>
    <t>111230100</t>
  </si>
  <si>
    <t>TREPS 01-Nov-2023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</si>
  <si>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</si>
  <si>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</si>
  <si>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</si>
  <si>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</si>
  <si>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</si>
  <si>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</si>
  <si>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</si>
  <si>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</si>
  <si>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</si>
  <si>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</si>
  <si>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October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</si>
  <si>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</si>
  <si>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</si>
  <si>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</si>
  <si>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September 29, 2023</t>
  </si>
  <si>
    <t>As on October 31, 2023</t>
  </si>
  <si>
    <t>Regular Plan - Daily IDCW Option</t>
  </si>
  <si>
    <t>Regular Plan - Growth Option</t>
  </si>
  <si>
    <t>Regular Plan - Monthly IDCW Option</t>
  </si>
  <si>
    <t>Regular Plan - Weekly IDCW Option</t>
  </si>
  <si>
    <t>Defunct Plan - Daily IDCW Option</t>
  </si>
  <si>
    <t>Defunct Plan - Growth Option</t>
  </si>
  <si>
    <t>Defunct Plan - Monthly IDCW Option</t>
  </si>
  <si>
    <t>Defunct Plan - Weekly IDCW Option</t>
  </si>
  <si>
    <t>Direct Plan - Daily IDCW Option</t>
  </si>
  <si>
    <t>Direct Plan - Growth Option</t>
  </si>
  <si>
    <t>Direct Plan - Monthly IDCW Option</t>
  </si>
  <si>
    <t>Direct Plan - Weekly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</si>
  <si>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</si>
  <si>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</si>
  <si>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</si>
  <si>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October 31, 2023. Further there are no investments in derivative instruments as on October 31, 2023.</t>
  </si>
  <si>
    <t>(10) Total Market value of investments in Foreign Securities/American Depositary Receipts/Global Depositary Receipts as at  October 31, 2023 is Rs. Nil.</t>
  </si>
  <si>
    <t>(11)  The Average Maturity period of the portfolio has been 345 days.</t>
  </si>
  <si>
    <t>(12)  Details of repo transaction in corporate debt securities for the Month ended October 31, 2023 is Nil.</t>
  </si>
  <si>
    <t>(13)  Investments in debt instruments having structured obligations or credit enhancement features as at October 31, 2023 is Rs. Nil.</t>
  </si>
  <si>
    <t>(14) Investment in Partly paid Debentures during the Month ended  October 31, 2023 and as on  October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</si>
  <si>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</si>
  <si>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</si>
  <si>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</si>
  <si>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</si>
  <si>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</si>
  <si>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October 31, 2023 : Rs. Nil</t>
  </si>
  <si>
    <t>(17) Macaulay Duration of the portfolio has been 327 days.</t>
  </si>
  <si>
    <t>(18) Annualised Portfolio YTM has been 7.7005.</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</si>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</sst>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20"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10" fillId="2" borderId="5" xfId="4" applyFont="1" applyFill="1" applyBorder="1"/>
    <xf numFmtId="0" fontId="2" fillId="2" borderId="12" xfId="4" applyFont="1" applyFill="1" applyBorder="1"/>
    <xf numFmtId="0" fontId="2" fillId="2" borderId="0" xfId="4" applyFont="1" applyFill="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2" fillId="0" borderId="0" xfId="0" applyFont="1" applyAlignment="1">
      <alignment vertical="top"/>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4" fillId="4" borderId="22" xfId="0" applyFont="1" applyFill="1" applyBorder="1" applyAlignment="1">
      <alignment horizontal="center" vertical="center" wrapText="1"/>
    </xf>
    <xf numFmtId="0" fontId="15" fillId="4" borderId="23"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8" fillId="0" borderId="24" xfId="0" applyFont="1" applyBorder="1" applyAlignment="1">
      <alignment vertical="center" wrapText="1"/>
    </xf>
    <xf numFmtId="0" fontId="18" fillId="5" borderId="24" xfId="0" applyFont="1" applyFill="1" applyBorder="1" applyAlignment="1">
      <alignment horizontal="center" vertical="center" wrapText="1"/>
    </xf>
    <xf numFmtId="0" fontId="15" fillId="4" borderId="25" xfId="0" applyFont="1" applyFill="1" applyBorder="1" applyAlignment="1">
      <alignment horizontal="center" vertical="center" wrapText="1"/>
    </xf>
    <xf numFmtId="0" fontId="18" fillId="0" borderId="23" xfId="0" applyFont="1" applyBorder="1" applyAlignment="1">
      <alignment vertical="center" wrapText="1"/>
    </xf>
    <xf numFmtId="0" fontId="18" fillId="0" borderId="22" xfId="0" applyFont="1" applyBorder="1" applyAlignment="1">
      <alignment vertical="center" wrapText="1"/>
    </xf>
    <xf numFmtId="0" fontId="19" fillId="0" borderId="0" xfId="0" applyFont="1"/>
    <xf numFmtId="0" fontId="18" fillId="0" borderId="0" xfId="0" applyFont="1"/>
  </cellXfs>
  <cellStyles count="6">
    <cellStyle name="Comma" xfId="1" builtinId="3"/>
    <cellStyle name="Comma 2" xfId="5" xr:uid="{3AF1AEE3-192D-40E1-880A-9E4E7C0EFA9B}"/>
    <cellStyle name="Hyperlink" xfId="2" builtinId="8"/>
    <cellStyle name="Normal" xfId="0" builtinId="0"/>
    <cellStyle name="Normal 2" xfId="4" xr:uid="{0096A105-98F7-4720-B19E-468F31DA1655}"/>
    <cellStyle name="Style 1" xfId="3" xr:uid="{20EC17C7-517C-4710-829F-4906911D23B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133</xdr:row>
      <xdr:rowOff>0</xdr:rowOff>
    </xdr:from>
    <xdr:to>
      <xdr:col>5</xdr:col>
      <xdr:colOff>504275</xdr:colOff>
      <xdr:row>154</xdr:row>
      <xdr:rowOff>61638</xdr:rowOff>
    </xdr:to>
    <xdr:pic>
      <xdr:nvPicPr>
        <xdr:cNvPr id="2" name="Picture 1">
          <a:extLst>
            <a:ext uri="{FF2B5EF4-FFF2-40B4-BE49-F238E27FC236}">
              <a16:creationId xmlns:a16="http://schemas.microsoft.com/office/drawing/2014/main" id="{8E97A69C-164F-42E7-BBE1-05DFE80754F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23606760"/>
          <a:ext cx="7453715" cy="374971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October%202023\Month%20End%2031%20October%202023\Split%20Portfolio\BOBBNPMF_Monthly%20portfolio%2031-10-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SC"/>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9929E-C240-40BC-8D23-77A9D9547582}">
  <sheetPr codeName="Sheet12"/>
  <dimension ref="A1:BC166"/>
  <sheetViews>
    <sheetView showGridLines="0" tabSelected="1" zoomScale="90" zoomScaleNormal="90" workbookViewId="0">
      <pane ySplit="6" topLeftCell="A130" activePane="bottomLeft" state="frozen"/>
      <selection activeCell="I2" sqref="I2"/>
      <selection pane="bottomLeft" activeCell="G137" sqref="G13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45230</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8"/>
      <c r="D15" s="29"/>
      <c r="E15" s="30"/>
      <c r="F15" s="31"/>
      <c r="G15" s="32"/>
      <c r="H15" s="32"/>
      <c r="I15" s="33"/>
      <c r="J15" s="33"/>
      <c r="K15" s="34"/>
    </row>
    <row r="16" spans="1:55" x14ac:dyDescent="0.3">
      <c r="C16" s="35" t="s">
        <v>19</v>
      </c>
      <c r="D16" s="29"/>
      <c r="E16" s="30"/>
      <c r="F16" s="31"/>
      <c r="G16" s="32" t="s">
        <v>16</v>
      </c>
      <c r="H16" s="32" t="s">
        <v>16</v>
      </c>
      <c r="I16" s="33"/>
      <c r="J16" s="33"/>
      <c r="K16" s="34"/>
    </row>
    <row r="17" spans="1:11" x14ac:dyDescent="0.3">
      <c r="C17" s="21"/>
      <c r="D17" s="29"/>
      <c r="E17" s="30"/>
      <c r="F17" s="31"/>
      <c r="G17" s="32"/>
      <c r="H17" s="32"/>
      <c r="I17" s="33"/>
      <c r="J17" s="33"/>
      <c r="K17" s="34"/>
    </row>
    <row r="18" spans="1:11" x14ac:dyDescent="0.3">
      <c r="C18" s="28" t="s">
        <v>20</v>
      </c>
      <c r="D18" s="29"/>
      <c r="E18" s="30"/>
      <c r="F18" s="31"/>
      <c r="G18" s="32" t="s">
        <v>16</v>
      </c>
      <c r="H18" s="32" t="s">
        <v>16</v>
      </c>
      <c r="I18" s="33"/>
      <c r="J18" s="33"/>
      <c r="K18" s="34"/>
    </row>
    <row r="19" spans="1:11" x14ac:dyDescent="0.3">
      <c r="C19" s="21"/>
      <c r="D19" s="29"/>
      <c r="E19" s="30"/>
      <c r="F19" s="31"/>
      <c r="G19" s="32"/>
      <c r="H19" s="32"/>
      <c r="I19" s="33"/>
      <c r="J19" s="33"/>
      <c r="K19" s="34"/>
    </row>
    <row r="20" spans="1:11" x14ac:dyDescent="0.3">
      <c r="A20" s="36"/>
      <c r="B20" s="37"/>
      <c r="C20" s="28" t="s">
        <v>21</v>
      </c>
      <c r="D20" s="29"/>
      <c r="E20" s="30"/>
      <c r="F20" s="31"/>
      <c r="G20" s="32"/>
      <c r="H20" s="32"/>
      <c r="I20" s="33"/>
      <c r="J20" s="33"/>
      <c r="K20" s="34"/>
    </row>
    <row r="21" spans="1:11" x14ac:dyDescent="0.3">
      <c r="C21" s="35" t="s">
        <v>22</v>
      </c>
      <c r="D21" s="29"/>
      <c r="E21" s="30"/>
      <c r="F21" s="31"/>
      <c r="G21" s="32"/>
      <c r="H21" s="32"/>
      <c r="I21" s="33"/>
      <c r="J21" s="33"/>
      <c r="K21" s="34"/>
    </row>
    <row r="22" spans="1:11" x14ac:dyDescent="0.3">
      <c r="B22" s="1" t="s">
        <v>23</v>
      </c>
      <c r="C22" s="21" t="s">
        <v>24</v>
      </c>
      <c r="D22" s="29" t="s">
        <v>25</v>
      </c>
      <c r="E22" s="30" t="s">
        <v>26</v>
      </c>
      <c r="F22" s="31">
        <v>130</v>
      </c>
      <c r="G22" s="32">
        <v>1291.29</v>
      </c>
      <c r="H22" s="32">
        <v>7.16</v>
      </c>
      <c r="I22" s="33">
        <v>7.4850000000000003</v>
      </c>
      <c r="J22" s="33"/>
      <c r="K22" s="34" t="s">
        <v>27</v>
      </c>
    </row>
    <row r="23" spans="1:11" x14ac:dyDescent="0.3">
      <c r="B23" s="1" t="s">
        <v>28</v>
      </c>
      <c r="C23" s="21" t="s">
        <v>29</v>
      </c>
      <c r="D23" s="29" t="s">
        <v>30</v>
      </c>
      <c r="E23" s="30" t="s">
        <v>26</v>
      </c>
      <c r="F23" s="31">
        <v>120</v>
      </c>
      <c r="G23" s="32">
        <v>1196.6600000000001</v>
      </c>
      <c r="H23" s="32">
        <v>6.63</v>
      </c>
      <c r="I23" s="33">
        <v>7.5849000000000002</v>
      </c>
      <c r="J23" s="33"/>
      <c r="K23" s="34" t="s">
        <v>27</v>
      </c>
    </row>
    <row r="24" spans="1:11" x14ac:dyDescent="0.3">
      <c r="B24" s="1" t="s">
        <v>31</v>
      </c>
      <c r="C24" s="21" t="s">
        <v>32</v>
      </c>
      <c r="D24" s="29" t="s">
        <v>33</v>
      </c>
      <c r="E24" s="30" t="s">
        <v>34</v>
      </c>
      <c r="F24" s="31">
        <v>1000</v>
      </c>
      <c r="G24" s="32">
        <v>1001.18</v>
      </c>
      <c r="H24" s="32">
        <v>5.55</v>
      </c>
      <c r="I24" s="33">
        <v>8.7551000000000005</v>
      </c>
      <c r="J24" s="33"/>
      <c r="K24" s="34" t="s">
        <v>27</v>
      </c>
    </row>
    <row r="25" spans="1:11" x14ac:dyDescent="0.3">
      <c r="B25" s="1" t="s">
        <v>35</v>
      </c>
      <c r="C25" s="21" t="s">
        <v>36</v>
      </c>
      <c r="D25" s="29" t="s">
        <v>37</v>
      </c>
      <c r="E25" s="30" t="s">
        <v>26</v>
      </c>
      <c r="F25" s="31">
        <v>100</v>
      </c>
      <c r="G25" s="32">
        <v>995</v>
      </c>
      <c r="H25" s="32">
        <v>5.52</v>
      </c>
      <c r="I25" s="33">
        <v>7.72</v>
      </c>
      <c r="J25" s="33"/>
      <c r="K25" s="34" t="s">
        <v>27</v>
      </c>
    </row>
    <row r="26" spans="1:11" x14ac:dyDescent="0.3">
      <c r="B26" s="1" t="s">
        <v>38</v>
      </c>
      <c r="C26" s="21" t="s">
        <v>39</v>
      </c>
      <c r="D26" s="29" t="s">
        <v>40</v>
      </c>
      <c r="E26" s="30" t="s">
        <v>26</v>
      </c>
      <c r="F26" s="31">
        <v>100</v>
      </c>
      <c r="G26" s="32">
        <v>989.18</v>
      </c>
      <c r="H26" s="32">
        <v>5.48</v>
      </c>
      <c r="I26" s="33">
        <v>7.78</v>
      </c>
      <c r="J26" s="33"/>
      <c r="K26" s="34" t="s">
        <v>27</v>
      </c>
    </row>
    <row r="27" spans="1:11" x14ac:dyDescent="0.3">
      <c r="B27" s="1" t="s">
        <v>41</v>
      </c>
      <c r="C27" s="21" t="s">
        <v>42</v>
      </c>
      <c r="D27" s="29" t="s">
        <v>43</v>
      </c>
      <c r="E27" s="30" t="s">
        <v>44</v>
      </c>
      <c r="F27" s="31">
        <v>70</v>
      </c>
      <c r="G27" s="32">
        <v>691.07</v>
      </c>
      <c r="H27" s="32">
        <v>3.83</v>
      </c>
      <c r="I27" s="33">
        <v>9.4803999999999995</v>
      </c>
      <c r="J27" s="33"/>
      <c r="K27" s="34" t="s">
        <v>27</v>
      </c>
    </row>
    <row r="28" spans="1:11" x14ac:dyDescent="0.3">
      <c r="B28" s="1" t="s">
        <v>45</v>
      </c>
      <c r="C28" s="21" t="s">
        <v>46</v>
      </c>
      <c r="D28" s="29" t="s">
        <v>47</v>
      </c>
      <c r="E28" s="30" t="s">
        <v>48</v>
      </c>
      <c r="F28" s="31">
        <v>500</v>
      </c>
      <c r="G28" s="32">
        <v>500.96</v>
      </c>
      <c r="H28" s="32">
        <v>2.78</v>
      </c>
      <c r="I28" s="33">
        <v>8.625</v>
      </c>
      <c r="J28" s="33"/>
      <c r="K28" s="34"/>
    </row>
    <row r="29" spans="1:11" x14ac:dyDescent="0.3">
      <c r="C29" s="28" t="s">
        <v>49</v>
      </c>
      <c r="D29" s="29"/>
      <c r="E29" s="30"/>
      <c r="F29" s="31"/>
      <c r="G29" s="38">
        <v>6665.34</v>
      </c>
      <c r="H29" s="38">
        <v>36.950000000000003</v>
      </c>
      <c r="I29" s="33"/>
      <c r="J29" s="33"/>
      <c r="K29" s="34"/>
    </row>
    <row r="30" spans="1:11" x14ac:dyDescent="0.3">
      <c r="C30" s="21"/>
      <c r="D30" s="29"/>
      <c r="E30" s="30"/>
      <c r="F30" s="31"/>
      <c r="G30" s="32"/>
      <c r="H30" s="32"/>
      <c r="I30" s="33"/>
      <c r="J30" s="33"/>
      <c r="K30" s="34"/>
    </row>
    <row r="31" spans="1:11" x14ac:dyDescent="0.3">
      <c r="C31" s="28" t="s">
        <v>50</v>
      </c>
      <c r="D31" s="29"/>
      <c r="E31" s="30"/>
      <c r="F31" s="31"/>
      <c r="G31" s="32" t="s">
        <v>16</v>
      </c>
      <c r="H31" s="32" t="s">
        <v>16</v>
      </c>
      <c r="I31" s="33"/>
      <c r="J31" s="33"/>
      <c r="K31" s="34"/>
    </row>
    <row r="32" spans="1:11" x14ac:dyDescent="0.3">
      <c r="C32" s="21"/>
      <c r="D32" s="29"/>
      <c r="E32" s="30"/>
      <c r="F32" s="31"/>
      <c r="G32" s="32"/>
      <c r="H32" s="32"/>
      <c r="I32" s="33"/>
      <c r="J32" s="33"/>
      <c r="K32" s="34"/>
    </row>
    <row r="33" spans="1:11" x14ac:dyDescent="0.3">
      <c r="C33" s="28" t="s">
        <v>51</v>
      </c>
      <c r="D33" s="29"/>
      <c r="E33" s="30"/>
      <c r="F33" s="31"/>
      <c r="G33" s="32" t="s">
        <v>16</v>
      </c>
      <c r="H33" s="32" t="s">
        <v>16</v>
      </c>
      <c r="I33" s="33"/>
      <c r="J33" s="33"/>
      <c r="K33" s="34"/>
    </row>
    <row r="34" spans="1:11" x14ac:dyDescent="0.3">
      <c r="C34" s="21"/>
      <c r="D34" s="29"/>
      <c r="E34" s="30"/>
      <c r="F34" s="31"/>
      <c r="G34" s="32"/>
      <c r="H34" s="32"/>
      <c r="I34" s="33"/>
      <c r="J34" s="33"/>
      <c r="K34" s="34"/>
    </row>
    <row r="35" spans="1:11" x14ac:dyDescent="0.3">
      <c r="C35" s="35" t="s">
        <v>52</v>
      </c>
      <c r="D35" s="29"/>
      <c r="E35" s="30"/>
      <c r="F35" s="31"/>
      <c r="G35" s="32"/>
      <c r="H35" s="32"/>
      <c r="I35" s="33"/>
      <c r="J35" s="33"/>
      <c r="K35" s="34"/>
    </row>
    <row r="36" spans="1:11" x14ac:dyDescent="0.3">
      <c r="B36" s="1" t="s">
        <v>53</v>
      </c>
      <c r="C36" s="21" t="s">
        <v>54</v>
      </c>
      <c r="D36" s="29" t="s">
        <v>55</v>
      </c>
      <c r="E36" s="30" t="s">
        <v>56</v>
      </c>
      <c r="F36" s="31">
        <v>1000000</v>
      </c>
      <c r="G36" s="32">
        <v>989.2</v>
      </c>
      <c r="H36" s="32">
        <v>5.48</v>
      </c>
      <c r="I36" s="33">
        <v>7.4825840000000001</v>
      </c>
      <c r="J36" s="33"/>
      <c r="K36" s="34"/>
    </row>
    <row r="37" spans="1:11" x14ac:dyDescent="0.3">
      <c r="B37" s="1" t="s">
        <v>57</v>
      </c>
      <c r="C37" s="21" t="s">
        <v>58</v>
      </c>
      <c r="D37" s="29" t="s">
        <v>59</v>
      </c>
      <c r="E37" s="30" t="s">
        <v>56</v>
      </c>
      <c r="F37" s="31">
        <v>262000</v>
      </c>
      <c r="G37" s="32">
        <v>253.66</v>
      </c>
      <c r="H37" s="32">
        <v>1.41</v>
      </c>
      <c r="I37" s="33">
        <v>7.4668051000000002</v>
      </c>
      <c r="J37" s="33"/>
      <c r="K37" s="34"/>
    </row>
    <row r="38" spans="1:11" x14ac:dyDescent="0.3">
      <c r="C38" s="28" t="s">
        <v>49</v>
      </c>
      <c r="D38" s="29"/>
      <c r="E38" s="30"/>
      <c r="F38" s="31"/>
      <c r="G38" s="38">
        <v>1242.8599999999999</v>
      </c>
      <c r="H38" s="38">
        <v>6.89</v>
      </c>
      <c r="I38" s="33"/>
      <c r="J38" s="33"/>
      <c r="K38" s="34"/>
    </row>
    <row r="39" spans="1:11" x14ac:dyDescent="0.3">
      <c r="C39" s="21"/>
      <c r="D39" s="29"/>
      <c r="E39" s="30"/>
      <c r="F39" s="31"/>
      <c r="G39" s="32"/>
      <c r="H39" s="32"/>
      <c r="I39" s="33"/>
      <c r="J39" s="33"/>
      <c r="K39" s="34"/>
    </row>
    <row r="40" spans="1:11" x14ac:dyDescent="0.3">
      <c r="C40" s="28" t="s">
        <v>60</v>
      </c>
      <c r="D40" s="29"/>
      <c r="E40" s="30"/>
      <c r="F40" s="31"/>
      <c r="G40" s="32" t="s">
        <v>16</v>
      </c>
      <c r="H40" s="32" t="s">
        <v>16</v>
      </c>
      <c r="I40" s="33"/>
      <c r="J40" s="33"/>
      <c r="K40" s="34"/>
    </row>
    <row r="41" spans="1:11" x14ac:dyDescent="0.3">
      <c r="C41" s="21"/>
      <c r="D41" s="29"/>
      <c r="E41" s="30"/>
      <c r="F41" s="31"/>
      <c r="G41" s="32"/>
      <c r="H41" s="32"/>
      <c r="I41" s="33"/>
      <c r="J41" s="33"/>
      <c r="K41" s="34"/>
    </row>
    <row r="42" spans="1:11" x14ac:dyDescent="0.3">
      <c r="A42" s="36"/>
      <c r="B42" s="37"/>
      <c r="C42" s="28" t="s">
        <v>61</v>
      </c>
      <c r="D42" s="29"/>
      <c r="E42" s="30"/>
      <c r="F42" s="31"/>
      <c r="G42" s="32"/>
      <c r="H42" s="32"/>
      <c r="I42" s="33"/>
      <c r="J42" s="33"/>
      <c r="K42" s="34"/>
    </row>
    <row r="43" spans="1:11" x14ac:dyDescent="0.3">
      <c r="C43" s="35" t="s">
        <v>62</v>
      </c>
      <c r="D43" s="29"/>
      <c r="E43" s="30"/>
      <c r="F43" s="31"/>
      <c r="G43" s="32"/>
      <c r="H43" s="32"/>
      <c r="I43" s="33"/>
      <c r="J43" s="33"/>
      <c r="K43" s="34"/>
    </row>
    <row r="44" spans="1:11" x14ac:dyDescent="0.3">
      <c r="B44" s="1" t="s">
        <v>63</v>
      </c>
      <c r="C44" s="21" t="s">
        <v>64</v>
      </c>
      <c r="D44" s="29" t="s">
        <v>65</v>
      </c>
      <c r="E44" s="30" t="s">
        <v>66</v>
      </c>
      <c r="F44" s="31">
        <v>200</v>
      </c>
      <c r="G44" s="32">
        <v>976.96</v>
      </c>
      <c r="H44" s="32">
        <v>5.42</v>
      </c>
      <c r="I44" s="33">
        <v>7.7550999999999997</v>
      </c>
      <c r="J44" s="33"/>
      <c r="K44" s="34" t="s">
        <v>27</v>
      </c>
    </row>
    <row r="45" spans="1:11" x14ac:dyDescent="0.3">
      <c r="C45" s="28" t="s">
        <v>49</v>
      </c>
      <c r="D45" s="29"/>
      <c r="E45" s="30"/>
      <c r="F45" s="31"/>
      <c r="G45" s="38">
        <v>976.96</v>
      </c>
      <c r="H45" s="38">
        <v>5.42</v>
      </c>
      <c r="I45" s="33"/>
      <c r="J45" s="33"/>
      <c r="K45" s="34"/>
    </row>
    <row r="46" spans="1:11" x14ac:dyDescent="0.3">
      <c r="C46" s="21"/>
      <c r="D46" s="29"/>
      <c r="E46" s="30"/>
      <c r="F46" s="31"/>
      <c r="G46" s="32"/>
      <c r="H46" s="32"/>
      <c r="I46" s="33"/>
      <c r="J46" s="33"/>
      <c r="K46" s="34"/>
    </row>
    <row r="47" spans="1:11" x14ac:dyDescent="0.3">
      <c r="C47" s="35" t="s">
        <v>67</v>
      </c>
      <c r="D47" s="29"/>
      <c r="E47" s="30"/>
      <c r="F47" s="31"/>
      <c r="G47" s="32"/>
      <c r="H47" s="32"/>
      <c r="I47" s="33"/>
      <c r="J47" s="33"/>
      <c r="K47" s="34"/>
    </row>
    <row r="48" spans="1:11" x14ac:dyDescent="0.3">
      <c r="B48" s="1" t="s">
        <v>68</v>
      </c>
      <c r="C48" s="21" t="s">
        <v>69</v>
      </c>
      <c r="D48" s="29" t="s">
        <v>70</v>
      </c>
      <c r="E48" s="30" t="s">
        <v>71</v>
      </c>
      <c r="F48" s="31">
        <v>300</v>
      </c>
      <c r="G48" s="32">
        <v>1441.66</v>
      </c>
      <c r="H48" s="32">
        <v>7.99</v>
      </c>
      <c r="I48" s="33">
        <v>7.4599000000000002</v>
      </c>
      <c r="J48" s="33"/>
      <c r="K48" s="34" t="s">
        <v>27</v>
      </c>
    </row>
    <row r="49" spans="1:11" x14ac:dyDescent="0.3">
      <c r="B49" s="1" t="s">
        <v>72</v>
      </c>
      <c r="C49" s="21" t="s">
        <v>73</v>
      </c>
      <c r="D49" s="29" t="s">
        <v>74</v>
      </c>
      <c r="E49" s="30" t="s">
        <v>66</v>
      </c>
      <c r="F49" s="31">
        <v>300</v>
      </c>
      <c r="G49" s="32">
        <v>1402.87</v>
      </c>
      <c r="H49" s="32">
        <v>7.78</v>
      </c>
      <c r="I49" s="33">
        <v>7.6349</v>
      </c>
      <c r="J49" s="33"/>
      <c r="K49" s="34" t="s">
        <v>27</v>
      </c>
    </row>
    <row r="50" spans="1:11" x14ac:dyDescent="0.3">
      <c r="B50" s="1" t="s">
        <v>75</v>
      </c>
      <c r="C50" s="21" t="s">
        <v>76</v>
      </c>
      <c r="D50" s="29" t="s">
        <v>77</v>
      </c>
      <c r="E50" s="30" t="s">
        <v>66</v>
      </c>
      <c r="F50" s="31">
        <v>280</v>
      </c>
      <c r="G50" s="32">
        <v>1312.3</v>
      </c>
      <c r="H50" s="32">
        <v>7.27</v>
      </c>
      <c r="I50" s="33">
        <v>7.6950000000000003</v>
      </c>
      <c r="J50" s="33"/>
      <c r="K50" s="34" t="s">
        <v>27</v>
      </c>
    </row>
    <row r="51" spans="1:11" x14ac:dyDescent="0.3">
      <c r="B51" s="1" t="s">
        <v>78</v>
      </c>
      <c r="C51" s="21" t="s">
        <v>79</v>
      </c>
      <c r="D51" s="29" t="s">
        <v>80</v>
      </c>
      <c r="E51" s="30" t="s">
        <v>81</v>
      </c>
      <c r="F51" s="31">
        <v>280</v>
      </c>
      <c r="G51" s="32">
        <v>1311.49</v>
      </c>
      <c r="H51" s="32">
        <v>7.27</v>
      </c>
      <c r="I51" s="33">
        <v>7.65</v>
      </c>
      <c r="J51" s="33"/>
      <c r="K51" s="34" t="s">
        <v>27</v>
      </c>
    </row>
    <row r="52" spans="1:11" x14ac:dyDescent="0.3">
      <c r="B52" s="1" t="s">
        <v>82</v>
      </c>
      <c r="C52" s="21" t="s">
        <v>83</v>
      </c>
      <c r="D52" s="29" t="s">
        <v>84</v>
      </c>
      <c r="E52" s="30" t="s">
        <v>66</v>
      </c>
      <c r="F52" s="31">
        <v>240</v>
      </c>
      <c r="G52" s="32">
        <v>1147.9000000000001</v>
      </c>
      <c r="H52" s="32">
        <v>6.36</v>
      </c>
      <c r="I52" s="33">
        <v>7.5998999999999999</v>
      </c>
      <c r="J52" s="33"/>
      <c r="K52" s="34" t="s">
        <v>27</v>
      </c>
    </row>
    <row r="53" spans="1:11" x14ac:dyDescent="0.3">
      <c r="B53" s="1" t="s">
        <v>85</v>
      </c>
      <c r="C53" s="21" t="s">
        <v>86</v>
      </c>
      <c r="D53" s="29" t="s">
        <v>87</v>
      </c>
      <c r="E53" s="30" t="s">
        <v>66</v>
      </c>
      <c r="F53" s="31">
        <v>200</v>
      </c>
      <c r="G53" s="32">
        <v>954.28</v>
      </c>
      <c r="H53" s="32">
        <v>5.29</v>
      </c>
      <c r="I53" s="33">
        <v>7.57</v>
      </c>
      <c r="J53" s="33"/>
      <c r="K53" s="34" t="s">
        <v>27</v>
      </c>
    </row>
    <row r="54" spans="1:11" x14ac:dyDescent="0.3">
      <c r="C54" s="28" t="s">
        <v>49</v>
      </c>
      <c r="D54" s="29"/>
      <c r="E54" s="30"/>
      <c r="F54" s="31"/>
      <c r="G54" s="38">
        <v>7570.5</v>
      </c>
      <c r="H54" s="38">
        <v>41.96</v>
      </c>
      <c r="I54" s="33"/>
      <c r="J54" s="33"/>
      <c r="K54" s="34"/>
    </row>
    <row r="55" spans="1:11" x14ac:dyDescent="0.3">
      <c r="C55" s="21"/>
      <c r="D55" s="29"/>
      <c r="E55" s="30"/>
      <c r="F55" s="31"/>
      <c r="G55" s="32"/>
      <c r="H55" s="32"/>
      <c r="I55" s="33"/>
      <c r="J55" s="33"/>
      <c r="K55" s="34"/>
    </row>
    <row r="56" spans="1:11" x14ac:dyDescent="0.3">
      <c r="C56" s="28" t="s">
        <v>88</v>
      </c>
      <c r="D56" s="29"/>
      <c r="E56" s="30"/>
      <c r="F56" s="31"/>
      <c r="G56" s="32" t="s">
        <v>16</v>
      </c>
      <c r="H56" s="32" t="s">
        <v>16</v>
      </c>
      <c r="I56" s="33"/>
      <c r="J56" s="33"/>
      <c r="K56" s="34"/>
    </row>
    <row r="57" spans="1:11" x14ac:dyDescent="0.3">
      <c r="C57" s="21"/>
      <c r="D57" s="29"/>
      <c r="E57" s="30"/>
      <c r="F57" s="31"/>
      <c r="G57" s="32"/>
      <c r="H57" s="32"/>
      <c r="I57" s="33"/>
      <c r="J57" s="33"/>
      <c r="K57" s="34"/>
    </row>
    <row r="58" spans="1:11" x14ac:dyDescent="0.3">
      <c r="C58" s="28" t="s">
        <v>89</v>
      </c>
      <c r="D58" s="29"/>
      <c r="E58" s="30"/>
      <c r="F58" s="31"/>
      <c r="G58" s="32" t="s">
        <v>16</v>
      </c>
      <c r="H58" s="32" t="s">
        <v>16</v>
      </c>
      <c r="I58" s="33"/>
      <c r="J58" s="33"/>
      <c r="K58" s="34"/>
    </row>
    <row r="59" spans="1:11" x14ac:dyDescent="0.3">
      <c r="C59" s="21"/>
      <c r="D59" s="29"/>
      <c r="E59" s="30"/>
      <c r="F59" s="31"/>
      <c r="G59" s="32"/>
      <c r="H59" s="32"/>
      <c r="I59" s="33"/>
      <c r="J59" s="33"/>
      <c r="K59" s="34"/>
    </row>
    <row r="60" spans="1:11" x14ac:dyDescent="0.3">
      <c r="A60" s="36"/>
      <c r="B60" s="37"/>
      <c r="C60" s="28" t="s">
        <v>90</v>
      </c>
      <c r="D60" s="29"/>
      <c r="E60" s="30"/>
      <c r="F60" s="31"/>
      <c r="G60" s="32"/>
      <c r="H60" s="32"/>
      <c r="I60" s="33"/>
      <c r="J60" s="33"/>
      <c r="K60" s="34"/>
    </row>
    <row r="61" spans="1:11" x14ac:dyDescent="0.3">
      <c r="C61" s="35" t="s">
        <v>91</v>
      </c>
      <c r="D61" s="29"/>
      <c r="E61" s="30"/>
      <c r="F61" s="31"/>
      <c r="G61" s="32" t="s">
        <v>16</v>
      </c>
      <c r="H61" s="32" t="s">
        <v>16</v>
      </c>
      <c r="I61" s="33"/>
      <c r="J61" s="33"/>
      <c r="K61" s="34"/>
    </row>
    <row r="62" spans="1:11" x14ac:dyDescent="0.3">
      <c r="C62" s="35"/>
      <c r="D62" s="29"/>
      <c r="E62" s="30"/>
      <c r="F62" s="31"/>
      <c r="G62" s="32"/>
      <c r="H62" s="32"/>
      <c r="I62" s="33"/>
      <c r="J62" s="33"/>
      <c r="K62" s="34"/>
    </row>
    <row r="63" spans="1:11" x14ac:dyDescent="0.3">
      <c r="C63" s="35" t="s">
        <v>92</v>
      </c>
      <c r="D63" s="29"/>
      <c r="E63" s="30"/>
      <c r="F63" s="31"/>
      <c r="G63" s="32"/>
      <c r="H63" s="32"/>
      <c r="I63" s="33"/>
      <c r="J63" s="33"/>
      <c r="K63" s="34"/>
    </row>
    <row r="64" spans="1:11" x14ac:dyDescent="0.3">
      <c r="B64" s="1" t="s">
        <v>93</v>
      </c>
      <c r="C64" s="21" t="s">
        <v>94</v>
      </c>
      <c r="D64" s="29" t="s">
        <v>95</v>
      </c>
      <c r="E64" s="30" t="s">
        <v>96</v>
      </c>
      <c r="F64" s="31">
        <v>465.67700000000002</v>
      </c>
      <c r="G64" s="32">
        <v>46.59</v>
      </c>
      <c r="H64" s="32">
        <v>0.26</v>
      </c>
      <c r="I64" s="33"/>
      <c r="J64" s="33"/>
      <c r="K64" s="34"/>
    </row>
    <row r="65" spans="1:11" x14ac:dyDescent="0.3">
      <c r="C65" s="28" t="s">
        <v>49</v>
      </c>
      <c r="D65" s="29"/>
      <c r="E65" s="30"/>
      <c r="F65" s="31"/>
      <c r="G65" s="38">
        <v>46.59</v>
      </c>
      <c r="H65" s="38">
        <v>0.26</v>
      </c>
      <c r="I65" s="33"/>
      <c r="J65" s="33"/>
      <c r="K65" s="34"/>
    </row>
    <row r="66" spans="1:11" x14ac:dyDescent="0.3">
      <c r="C66" s="21"/>
      <c r="D66" s="29"/>
      <c r="E66" s="30"/>
      <c r="F66" s="31"/>
      <c r="G66" s="32"/>
      <c r="H66" s="32"/>
      <c r="I66" s="33"/>
      <c r="J66" s="33"/>
      <c r="K66" s="34"/>
    </row>
    <row r="67" spans="1:11" x14ac:dyDescent="0.3">
      <c r="C67" s="28" t="s">
        <v>97</v>
      </c>
      <c r="D67" s="29"/>
      <c r="E67" s="30"/>
      <c r="F67" s="31"/>
      <c r="G67" s="32" t="s">
        <v>16</v>
      </c>
      <c r="H67" s="32" t="s">
        <v>16</v>
      </c>
      <c r="I67" s="33"/>
      <c r="J67" s="33"/>
      <c r="K67" s="34"/>
    </row>
    <row r="68" spans="1:11" x14ac:dyDescent="0.3">
      <c r="C68" s="21"/>
      <c r="D68" s="29"/>
      <c r="E68" s="30"/>
      <c r="F68" s="31"/>
      <c r="G68" s="32"/>
      <c r="H68" s="32"/>
      <c r="I68" s="33"/>
      <c r="J68" s="33"/>
      <c r="K68" s="34"/>
    </row>
    <row r="69" spans="1:11" x14ac:dyDescent="0.3">
      <c r="C69" s="28" t="s">
        <v>98</v>
      </c>
      <c r="D69" s="29"/>
      <c r="E69" s="30"/>
      <c r="F69" s="31"/>
      <c r="G69" s="32" t="s">
        <v>16</v>
      </c>
      <c r="H69" s="32" t="s">
        <v>16</v>
      </c>
      <c r="I69" s="33"/>
      <c r="J69" s="33"/>
      <c r="K69" s="34"/>
    </row>
    <row r="70" spans="1:11" x14ac:dyDescent="0.3">
      <c r="C70" s="21"/>
      <c r="D70" s="29"/>
      <c r="E70" s="30"/>
      <c r="F70" s="31"/>
      <c r="G70" s="32"/>
      <c r="H70" s="32"/>
      <c r="I70" s="33"/>
      <c r="J70" s="33"/>
      <c r="K70" s="34"/>
    </row>
    <row r="71" spans="1:11" x14ac:dyDescent="0.3">
      <c r="C71" s="28" t="s">
        <v>99</v>
      </c>
      <c r="D71" s="29"/>
      <c r="E71" s="30"/>
      <c r="F71" s="31"/>
      <c r="G71" s="32" t="s">
        <v>16</v>
      </c>
      <c r="H71" s="32" t="s">
        <v>16</v>
      </c>
      <c r="I71" s="33"/>
      <c r="J71" s="33"/>
      <c r="K71" s="34"/>
    </row>
    <row r="72" spans="1:11" x14ac:dyDescent="0.3">
      <c r="C72" s="21"/>
      <c r="D72" s="29"/>
      <c r="E72" s="30"/>
      <c r="F72" s="31"/>
      <c r="G72" s="32"/>
      <c r="H72" s="32"/>
      <c r="I72" s="33"/>
      <c r="J72" s="33"/>
      <c r="K72" s="34"/>
    </row>
    <row r="73" spans="1:11" x14ac:dyDescent="0.3">
      <c r="C73" s="35" t="s">
        <v>100</v>
      </c>
      <c r="D73" s="29"/>
      <c r="E73" s="30"/>
      <c r="F73" s="31"/>
      <c r="G73" s="32"/>
      <c r="H73" s="32"/>
      <c r="I73" s="33"/>
      <c r="J73" s="33"/>
      <c r="K73" s="34"/>
    </row>
    <row r="74" spans="1:11" x14ac:dyDescent="0.3">
      <c r="B74" s="1" t="s">
        <v>101</v>
      </c>
      <c r="C74" s="21" t="s">
        <v>102</v>
      </c>
      <c r="D74" s="29"/>
      <c r="E74" s="30"/>
      <c r="F74" s="31"/>
      <c r="G74" s="32">
        <v>1370.72</v>
      </c>
      <c r="H74" s="32">
        <v>7.6</v>
      </c>
      <c r="I74" s="33">
        <v>6.76</v>
      </c>
      <c r="J74" s="33"/>
      <c r="K74" s="34"/>
    </row>
    <row r="75" spans="1:11" x14ac:dyDescent="0.3">
      <c r="C75" s="28" t="s">
        <v>49</v>
      </c>
      <c r="D75" s="29"/>
      <c r="E75" s="30"/>
      <c r="F75" s="31"/>
      <c r="G75" s="38">
        <v>1370.72</v>
      </c>
      <c r="H75" s="38">
        <v>7.6</v>
      </c>
      <c r="I75" s="33"/>
      <c r="J75" s="33"/>
      <c r="K75" s="34"/>
    </row>
    <row r="76" spans="1:11" x14ac:dyDescent="0.3">
      <c r="C76" s="21"/>
      <c r="D76" s="29"/>
      <c r="E76" s="30"/>
      <c r="F76" s="31"/>
      <c r="G76" s="32"/>
      <c r="H76" s="32"/>
      <c r="I76" s="33"/>
      <c r="J76" s="33"/>
      <c r="K76" s="34"/>
    </row>
    <row r="77" spans="1:11" x14ac:dyDescent="0.3">
      <c r="A77" s="36"/>
      <c r="B77" s="37"/>
      <c r="C77" s="28" t="s">
        <v>103</v>
      </c>
      <c r="D77" s="29"/>
      <c r="E77" s="30"/>
      <c r="F77" s="31"/>
      <c r="G77" s="32"/>
      <c r="H77" s="32"/>
      <c r="I77" s="33"/>
      <c r="J77" s="33"/>
      <c r="K77" s="34"/>
    </row>
    <row r="78" spans="1:11" x14ac:dyDescent="0.3">
      <c r="B78" s="1"/>
      <c r="C78" s="21" t="s">
        <v>104</v>
      </c>
      <c r="D78" s="29"/>
      <c r="E78" s="30"/>
      <c r="F78" s="31"/>
      <c r="G78" s="32">
        <v>168.65</v>
      </c>
      <c r="H78" s="32">
        <v>0.92</v>
      </c>
      <c r="I78" s="33"/>
      <c r="J78" s="33"/>
      <c r="K78" s="34"/>
    </row>
    <row r="79" spans="1:11" x14ac:dyDescent="0.3">
      <c r="C79" s="28" t="s">
        <v>49</v>
      </c>
      <c r="D79" s="29"/>
      <c r="E79" s="30"/>
      <c r="F79" s="31"/>
      <c r="G79" s="38">
        <v>168.65</v>
      </c>
      <c r="H79" s="38">
        <v>0.92</v>
      </c>
      <c r="I79" s="33"/>
      <c r="J79" s="33"/>
      <c r="K79" s="34"/>
    </row>
    <row r="80" spans="1:11" x14ac:dyDescent="0.3">
      <c r="C80" s="21"/>
      <c r="D80" s="29"/>
      <c r="E80" s="30"/>
      <c r="F80" s="31"/>
      <c r="G80" s="32"/>
      <c r="H80" s="32"/>
      <c r="I80" s="33"/>
      <c r="J80" s="33"/>
      <c r="K80" s="34"/>
    </row>
    <row r="81" spans="3:55" ht="14.4" thickBot="1" x14ac:dyDescent="0.35">
      <c r="C81" s="39" t="s">
        <v>105</v>
      </c>
      <c r="D81" s="40"/>
      <c r="E81" s="41"/>
      <c r="F81" s="42"/>
      <c r="G81" s="43">
        <v>18041.62</v>
      </c>
      <c r="H81" s="43">
        <f>SUMIFS(H:H,C:C,"Total")</f>
        <v>100</v>
      </c>
      <c r="I81" s="44"/>
      <c r="J81" s="44"/>
      <c r="K81" s="45"/>
    </row>
    <row r="84" spans="3:55" x14ac:dyDescent="0.3">
      <c r="C84" s="11" t="s">
        <v>106</v>
      </c>
    </row>
    <row r="85" spans="3:55" x14ac:dyDescent="0.3">
      <c r="C85" s="2" t="s">
        <v>107</v>
      </c>
    </row>
    <row r="86" spans="3:55" x14ac:dyDescent="0.3">
      <c r="C86" s="46" t="s">
        <v>108</v>
      </c>
    </row>
    <row r="87" spans="3:55" x14ac:dyDescent="0.3">
      <c r="C87" s="2" t="s">
        <v>109</v>
      </c>
    </row>
    <row r="88" spans="3:55" x14ac:dyDescent="0.3">
      <c r="C88" s="2" t="s">
        <v>110</v>
      </c>
    </row>
    <row r="89" spans="3:55" x14ac:dyDescent="0.3">
      <c r="C89" s="2" t="s">
        <v>111</v>
      </c>
      <c r="D89" s="47"/>
      <c r="E89" s="47"/>
      <c r="F89" s="47"/>
      <c r="G89" s="48"/>
      <c r="H89" s="48"/>
    </row>
    <row r="90" spans="3:55" x14ac:dyDescent="0.3">
      <c r="C90" s="2" t="s">
        <v>112</v>
      </c>
    </row>
    <row r="91" spans="3:55" x14ac:dyDescent="0.3">
      <c r="C91" s="2" t="s">
        <v>113</v>
      </c>
    </row>
    <row r="92" spans="3:55" x14ac:dyDescent="0.3">
      <c r="C92" s="2" t="s">
        <v>114</v>
      </c>
    </row>
    <row r="93" spans="3:55" x14ac:dyDescent="0.3">
      <c r="C93" s="2" t="s">
        <v>115</v>
      </c>
    </row>
    <row r="94" spans="3:55" s="11" customFormat="1" x14ac:dyDescent="0.3">
      <c r="C94" s="11" t="s">
        <v>116</v>
      </c>
      <c r="E94" s="11" t="s">
        <v>117</v>
      </c>
      <c r="F94" s="49" t="s">
        <v>118</v>
      </c>
      <c r="G94" s="50"/>
      <c r="H94" s="50"/>
      <c r="I94" s="50"/>
      <c r="J94" s="50"/>
      <c r="K94" s="51"/>
      <c r="L94" s="51"/>
      <c r="M94" s="51"/>
      <c r="AJ94" s="51"/>
      <c r="AW94" s="51"/>
      <c r="AY94" s="51"/>
      <c r="BC94" s="51"/>
    </row>
    <row r="95" spans="3:55" x14ac:dyDescent="0.3">
      <c r="C95" s="2" t="s">
        <v>119</v>
      </c>
      <c r="E95" s="52">
        <v>10.0604</v>
      </c>
      <c r="F95" s="53">
        <v>10.0604</v>
      </c>
    </row>
    <row r="96" spans="3:55" x14ac:dyDescent="0.3">
      <c r="C96" s="2" t="s">
        <v>120</v>
      </c>
      <c r="E96" s="52">
        <v>35.522399999999998</v>
      </c>
      <c r="F96" s="53">
        <v>35.699800000000003</v>
      </c>
    </row>
    <row r="97" spans="3:6" x14ac:dyDescent="0.3">
      <c r="C97" s="2" t="s">
        <v>121</v>
      </c>
      <c r="E97" s="52">
        <v>10.3033</v>
      </c>
      <c r="F97" s="53">
        <v>10.305</v>
      </c>
    </row>
    <row r="98" spans="3:6" x14ac:dyDescent="0.3">
      <c r="C98" s="2" t="s">
        <v>122</v>
      </c>
      <c r="E98" s="52">
        <v>10.0161</v>
      </c>
      <c r="F98" s="53">
        <v>10.010199999999999</v>
      </c>
    </row>
    <row r="99" spans="3:6" x14ac:dyDescent="0.3">
      <c r="C99" s="2" t="s">
        <v>123</v>
      </c>
      <c r="E99" s="52">
        <v>10.049899999999999</v>
      </c>
      <c r="F99" s="53">
        <v>10.049899999999999</v>
      </c>
    </row>
    <row r="100" spans="3:6" x14ac:dyDescent="0.3">
      <c r="C100" s="2" t="s">
        <v>124</v>
      </c>
      <c r="E100" s="52">
        <v>35.561900000000001</v>
      </c>
      <c r="F100" s="53">
        <v>35.7395</v>
      </c>
    </row>
    <row r="101" spans="3:6" x14ac:dyDescent="0.3">
      <c r="C101" s="2" t="s">
        <v>125</v>
      </c>
      <c r="E101" s="52">
        <v>10.489100000000001</v>
      </c>
      <c r="F101" s="53">
        <v>10.4915</v>
      </c>
    </row>
    <row r="102" spans="3:6" x14ac:dyDescent="0.3">
      <c r="C102" s="2" t="s">
        <v>126</v>
      </c>
      <c r="E102" s="52">
        <v>10.0161</v>
      </c>
      <c r="F102" s="53">
        <v>10.010199999999999</v>
      </c>
    </row>
    <row r="103" spans="3:6" x14ac:dyDescent="0.3">
      <c r="C103" s="2" t="s">
        <v>127</v>
      </c>
      <c r="E103" s="52">
        <v>10.083500000000001</v>
      </c>
      <c r="F103" s="53">
        <v>10.083500000000001</v>
      </c>
    </row>
    <row r="104" spans="3:6" x14ac:dyDescent="0.3">
      <c r="C104" s="2" t="s">
        <v>128</v>
      </c>
      <c r="E104" s="52">
        <v>38.382100000000001</v>
      </c>
      <c r="F104" s="53">
        <v>38.597900000000003</v>
      </c>
    </row>
    <row r="105" spans="3:6" x14ac:dyDescent="0.3">
      <c r="C105" s="2" t="s">
        <v>129</v>
      </c>
      <c r="E105" s="52">
        <v>10.2178</v>
      </c>
      <c r="F105" s="53">
        <v>10.2254</v>
      </c>
    </row>
    <row r="106" spans="3:6" x14ac:dyDescent="0.3">
      <c r="C106" s="2" t="s">
        <v>130</v>
      </c>
      <c r="E106" s="52">
        <v>10.0167</v>
      </c>
      <c r="F106" s="53">
        <v>10.010199999999999</v>
      </c>
    </row>
    <row r="108" spans="3:6" x14ac:dyDescent="0.3">
      <c r="C108" s="2" t="s">
        <v>131</v>
      </c>
      <c r="E108" s="11" t="s">
        <v>132</v>
      </c>
      <c r="F108" s="49" t="s">
        <v>133</v>
      </c>
    </row>
    <row r="109" spans="3:6" x14ac:dyDescent="0.3">
      <c r="C109" s="2" t="s">
        <v>119</v>
      </c>
      <c r="E109" s="52">
        <v>5.0120989999999997E-2</v>
      </c>
      <c r="F109" s="53">
        <v>5.0120989999999997E-2</v>
      </c>
    </row>
    <row r="110" spans="3:6" x14ac:dyDescent="0.3">
      <c r="C110" s="2" t="s">
        <v>121</v>
      </c>
      <c r="E110" s="52">
        <v>0.05</v>
      </c>
      <c r="F110" s="53">
        <v>0.05</v>
      </c>
    </row>
    <row r="111" spans="3:6" x14ac:dyDescent="0.3">
      <c r="C111" s="2" t="s">
        <v>122</v>
      </c>
      <c r="E111" s="52">
        <v>5.5753459999999998E-2</v>
      </c>
      <c r="F111" s="53">
        <v>5.5753459999999998E-2</v>
      </c>
    </row>
    <row r="112" spans="3:6" x14ac:dyDescent="0.3">
      <c r="C112" s="2" t="s">
        <v>123</v>
      </c>
      <c r="E112" s="52">
        <v>5.0068069999999999E-2</v>
      </c>
      <c r="F112" s="53">
        <v>5.0068069999999999E-2</v>
      </c>
    </row>
    <row r="113" spans="3:6" x14ac:dyDescent="0.3">
      <c r="C113" s="2" t="s">
        <v>125</v>
      </c>
      <c r="E113" s="52">
        <v>0.05</v>
      </c>
      <c r="F113" s="53">
        <v>0.05</v>
      </c>
    </row>
    <row r="114" spans="3:6" x14ac:dyDescent="0.3">
      <c r="C114" s="2" t="s">
        <v>126</v>
      </c>
      <c r="E114" s="52">
        <v>5.5750620000000001E-2</v>
      </c>
      <c r="F114" s="53">
        <v>5.5750620000000001E-2</v>
      </c>
    </row>
    <row r="115" spans="3:6" x14ac:dyDescent="0.3">
      <c r="C115" s="2" t="s">
        <v>127</v>
      </c>
      <c r="E115" s="52">
        <v>5.6554750000000001E-2</v>
      </c>
      <c r="F115" s="53">
        <v>5.6554750000000001E-2</v>
      </c>
    </row>
    <row r="116" spans="3:6" x14ac:dyDescent="0.3">
      <c r="C116" s="2" t="s">
        <v>129</v>
      </c>
      <c r="E116" s="52">
        <v>0.05</v>
      </c>
      <c r="F116" s="53">
        <v>0.05</v>
      </c>
    </row>
    <row r="117" spans="3:6" x14ac:dyDescent="0.3">
      <c r="C117" s="2" t="s">
        <v>130</v>
      </c>
      <c r="E117" s="52">
        <v>6.2677780000000002E-2</v>
      </c>
      <c r="F117" s="53">
        <v>6.2677780000000002E-2</v>
      </c>
    </row>
    <row r="119" spans="3:6" x14ac:dyDescent="0.3">
      <c r="C119" s="2" t="s">
        <v>134</v>
      </c>
    </row>
    <row r="120" spans="3:6" x14ac:dyDescent="0.3">
      <c r="C120" s="2" t="s">
        <v>135</v>
      </c>
    </row>
    <row r="121" spans="3:6" x14ac:dyDescent="0.3">
      <c r="C121" s="2" t="s">
        <v>136</v>
      </c>
    </row>
    <row r="122" spans="3:6" x14ac:dyDescent="0.3">
      <c r="C122" s="2" t="s">
        <v>137</v>
      </c>
    </row>
    <row r="123" spans="3:6" x14ac:dyDescent="0.3">
      <c r="C123" s="2" t="s">
        <v>138</v>
      </c>
    </row>
    <row r="124" spans="3:6" x14ac:dyDescent="0.3">
      <c r="C124" s="2" t="s">
        <v>139</v>
      </c>
    </row>
    <row r="125" spans="3:6" x14ac:dyDescent="0.3">
      <c r="C125" s="2" t="s">
        <v>140</v>
      </c>
    </row>
    <row r="126" spans="3:6" x14ac:dyDescent="0.3">
      <c r="C126" s="2" t="s">
        <v>141</v>
      </c>
    </row>
    <row r="127" spans="3:6" x14ac:dyDescent="0.3">
      <c r="C127" s="2" t="s">
        <v>142</v>
      </c>
    </row>
    <row r="128" spans="3:6" x14ac:dyDescent="0.3">
      <c r="C128" s="2" t="s">
        <v>143</v>
      </c>
    </row>
    <row r="129" spans="3:11" x14ac:dyDescent="0.3">
      <c r="C129" s="2" t="s">
        <v>144</v>
      </c>
    </row>
    <row r="130" spans="3:11" x14ac:dyDescent="0.3">
      <c r="C130" s="2" t="s">
        <v>145</v>
      </c>
    </row>
    <row r="131" spans="3:11" ht="14.4" x14ac:dyDescent="0.3">
      <c r="C131" s="2" t="s">
        <v>146</v>
      </c>
      <c r="E131" s="54"/>
      <c r="F131" s="54"/>
      <c r="G131" s="54"/>
      <c r="H131" s="54"/>
      <c r="I131" s="54"/>
      <c r="J131" s="54"/>
      <c r="K131" s="54"/>
    </row>
    <row r="132" spans="3:11" x14ac:dyDescent="0.3">
      <c r="C132" s="2" t="s">
        <v>147</v>
      </c>
      <c r="D132" s="55"/>
      <c r="E132" s="55"/>
      <c r="F132" s="55"/>
      <c r="G132" s="55"/>
      <c r="H132" s="55"/>
      <c r="I132" s="55"/>
      <c r="J132" s="55"/>
      <c r="K132" s="55"/>
    </row>
    <row r="133" spans="3:11" ht="14.4" x14ac:dyDescent="0.3">
      <c r="C133" s="54"/>
      <c r="D133" s="54"/>
      <c r="E133" s="54"/>
      <c r="F133" s="54"/>
      <c r="G133" s="54"/>
      <c r="H133" s="54"/>
      <c r="I133" s="54"/>
      <c r="J133" s="54"/>
      <c r="K133" s="54"/>
    </row>
    <row r="134" spans="3:11" ht="14.4" x14ac:dyDescent="0.3">
      <c r="C134" s="54"/>
      <c r="D134" s="54"/>
      <c r="E134" s="54"/>
      <c r="F134" s="54"/>
      <c r="G134" s="54"/>
      <c r="H134" s="54"/>
      <c r="I134" s="54"/>
      <c r="J134" s="54"/>
      <c r="K134" s="54"/>
    </row>
    <row r="156" spans="3:6" ht="14.4" thickBot="1" x14ac:dyDescent="0.35"/>
    <row r="157" spans="3:6" ht="15" thickBot="1" x14ac:dyDescent="0.35">
      <c r="C157" s="56" t="s">
        <v>148</v>
      </c>
      <c r="D157" s="57"/>
      <c r="E157" s="57"/>
      <c r="F157" s="58"/>
    </row>
    <row r="158" spans="3:6" ht="15" thickBot="1" x14ac:dyDescent="0.35">
      <c r="C158" s="59" t="s">
        <v>149</v>
      </c>
      <c r="D158" s="60" t="s">
        <v>150</v>
      </c>
      <c r="E158" s="60" t="s">
        <v>151</v>
      </c>
      <c r="F158" s="60" t="s">
        <v>152</v>
      </c>
    </row>
    <row r="159" spans="3:6" ht="15" thickBot="1" x14ac:dyDescent="0.35">
      <c r="C159" s="59" t="s">
        <v>153</v>
      </c>
      <c r="D159" s="61"/>
      <c r="E159" s="61"/>
      <c r="F159" s="61"/>
    </row>
    <row r="160" spans="3:6" ht="15" thickBot="1" x14ac:dyDescent="0.35">
      <c r="C160" s="62" t="s">
        <v>154</v>
      </c>
      <c r="D160" s="63"/>
      <c r="E160" s="64" t="s">
        <v>155</v>
      </c>
      <c r="F160" s="63"/>
    </row>
    <row r="161" spans="3:6" ht="14.4" x14ac:dyDescent="0.3">
      <c r="C161" s="65" t="s">
        <v>156</v>
      </c>
      <c r="D161" s="66"/>
      <c r="E161" s="66"/>
      <c r="F161" s="66"/>
    </row>
    <row r="162" spans="3:6" ht="15" thickBot="1" x14ac:dyDescent="0.35">
      <c r="C162" s="62" t="s">
        <v>157</v>
      </c>
      <c r="D162" s="67"/>
      <c r="E162" s="67"/>
      <c r="F162" s="67"/>
    </row>
    <row r="163" spans="3:6" ht="14.4" x14ac:dyDescent="0.3">
      <c r="C163" s="65" t="s">
        <v>158</v>
      </c>
      <c r="D163" s="66"/>
      <c r="E163" s="66"/>
      <c r="F163" s="66"/>
    </row>
    <row r="164" spans="3:6" ht="15" thickBot="1" x14ac:dyDescent="0.35">
      <c r="C164" s="62" t="s">
        <v>159</v>
      </c>
      <c r="D164" s="67"/>
      <c r="E164" s="67"/>
      <c r="F164" s="67"/>
    </row>
    <row r="165" spans="3:6" ht="14.4" x14ac:dyDescent="0.35">
      <c r="C165" s="68" t="s">
        <v>160</v>
      </c>
      <c r="D165" s="69"/>
      <c r="E165" s="69"/>
      <c r="F165" s="69"/>
    </row>
    <row r="166" spans="3:6" ht="14.4" x14ac:dyDescent="0.3">
      <c r="C166" s="2" t="s">
        <v>161</v>
      </c>
      <c r="D166"/>
      <c r="E166"/>
      <c r="F166"/>
    </row>
  </sheetData>
  <mergeCells count="10">
    <mergeCell ref="D163:D164"/>
    <mergeCell ref="E163:E164"/>
    <mergeCell ref="F163:F164"/>
    <mergeCell ref="C157:F157"/>
    <mergeCell ref="D158:D159"/>
    <mergeCell ref="E158:E159"/>
    <mergeCell ref="F158:F159"/>
    <mergeCell ref="D161:D162"/>
    <mergeCell ref="E161:E162"/>
    <mergeCell ref="F161:F162"/>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76</vt:i4>
      </vt:variant>
    </vt:vector>
  </HeadingPairs>
  <TitlesOfParts>
    <vt:vector size="77" baseType="lpstr">
      <vt:lpstr>LW</vt:lpstr>
      <vt:lpstr>XDO_?CLASS_3?1?</vt:lpstr>
      <vt:lpstr>XDO_?FINAL_ISIN?1?</vt:lpstr>
      <vt:lpstr>XDO_?FINAL_ISIN?2?</vt:lpstr>
      <vt:lpstr>XDO_?FINAL_ISIN?3?</vt:lpstr>
      <vt:lpstr>XDO_?FINAL_ISIN?4?</vt:lpstr>
      <vt:lpstr>XDO_?FINAL_ISIN?5?</vt:lpstr>
      <vt:lpstr>XDO_?FINAL_ISIN?6?</vt:lpstr>
      <vt:lpstr>XDO_?FINAL_ISIN?7?</vt:lpstr>
      <vt:lpstr>XDO_?FINAL_MV?1?</vt:lpstr>
      <vt:lpstr>XDO_?FINAL_MV?2?</vt:lpstr>
      <vt:lpstr>XDO_?FINAL_MV?3?</vt:lpstr>
      <vt:lpstr>XDO_?FINAL_MV?4?</vt:lpstr>
      <vt:lpstr>XDO_?FINAL_MV?5?</vt:lpstr>
      <vt:lpstr>XDO_?FINAL_MV?6?</vt:lpstr>
      <vt:lpstr>XDO_?FINAL_MV?7?</vt:lpstr>
      <vt:lpstr>XDO_?FINAL_NAME?1?</vt:lpstr>
      <vt:lpstr>XDO_?FINAL_NAME?2?</vt:lpstr>
      <vt:lpstr>XDO_?FINAL_NAME?3?</vt:lpstr>
      <vt:lpstr>XDO_?FINAL_NAME?4?</vt:lpstr>
      <vt:lpstr>XDO_?FINAL_NAME?5?</vt:lpstr>
      <vt:lpstr>XDO_?FINAL_NAME?6?</vt:lpstr>
      <vt:lpstr>XDO_?FINAL_NAME?7?</vt:lpstr>
      <vt:lpstr>XDO_?FINAL_PER_NET?1?</vt:lpstr>
      <vt:lpstr>XDO_?FINAL_PER_NET?2?</vt:lpstr>
      <vt:lpstr>XDO_?FINAL_PER_NET?3?</vt:lpstr>
      <vt:lpstr>XDO_?FINAL_PER_NET?4?</vt:lpstr>
      <vt:lpstr>XDO_?FINAL_PER_NET?5?</vt:lpstr>
      <vt:lpstr>XDO_?FINAL_PER_NET?6?</vt:lpstr>
      <vt:lpstr>XDO_?FINAL_PER_NET?7?</vt:lpstr>
      <vt:lpstr>XDO_?FINAL_QUANTITE?1?</vt:lpstr>
      <vt:lpstr>XDO_?FINAL_QUANTITE?2?</vt:lpstr>
      <vt:lpstr>XDO_?FINAL_QUANTITE?3?</vt:lpstr>
      <vt:lpstr>XDO_?FINAL_QUANTITE?4?</vt:lpstr>
      <vt:lpstr>XDO_?FINAL_QUANTITE?5?</vt:lpstr>
      <vt:lpstr>XDO_?FINAL_QUANTITE?6?</vt:lpstr>
      <vt:lpstr>XDO_?FINAL_QUANTITE?7?</vt:lpstr>
      <vt:lpstr>XDO_?NAMCNAME?1?</vt:lpstr>
      <vt:lpstr>XDO_?NOVAL?1?</vt:lpstr>
      <vt:lpstr>XDO_?NOVAL?2?</vt:lpstr>
      <vt:lpstr>XDO_?NOVAL?3?</vt:lpstr>
      <vt:lpstr>XDO_?NOVAL?4?</vt:lpstr>
      <vt:lpstr>XDO_?NOVAL?5?</vt:lpstr>
      <vt:lpstr>XDO_?NOVAL?6?</vt:lpstr>
      <vt:lpstr>XDO_?NOVAL?7?</vt:lpstr>
      <vt:lpstr>XDO_?NPTF?1?</vt:lpstr>
      <vt:lpstr>XDO_?RATING?1?</vt:lpstr>
      <vt:lpstr>XDO_?RATING?2?</vt:lpstr>
      <vt:lpstr>XDO_?RATING?3?</vt:lpstr>
      <vt:lpstr>XDO_?RATING?4?</vt:lpstr>
      <vt:lpstr>XDO_?RATING?5?</vt:lpstr>
      <vt:lpstr>XDO_?RATING?6?</vt:lpstr>
      <vt:lpstr>XDO_?RATING?7?</vt:lpstr>
      <vt:lpstr>XDO_?REMARKS?1?</vt:lpstr>
      <vt:lpstr>XDO_?REMARKS?2?</vt:lpstr>
      <vt:lpstr>XDO_?REMARKS?3?</vt:lpstr>
      <vt:lpstr>XDO_?REMARKS?4?</vt:lpstr>
      <vt:lpstr>XDO_?REMARKS?5?</vt:lpstr>
      <vt:lpstr>XDO_?REMARKS?6?</vt:lpstr>
      <vt:lpstr>XDO_?REMARKS?7?</vt:lpstr>
      <vt:lpstr>XDO_?TITL?1?</vt:lpstr>
      <vt:lpstr>XDO_?YTM?1?</vt:lpstr>
      <vt:lpstr>XDO_?YTM?2?</vt:lpstr>
      <vt:lpstr>XDO_?YTM?3?</vt:lpstr>
      <vt:lpstr>XDO_?YTM?4?</vt:lpstr>
      <vt:lpstr>XDO_?YTM?5?</vt:lpstr>
      <vt:lpstr>XDO_?YTM?6?</vt:lpstr>
      <vt:lpstr>XDO_?YTM?7?</vt:lpstr>
      <vt:lpstr>XDO_GROUP_?G_2?1?</vt:lpstr>
      <vt:lpstr>XDO_GROUP_?G_3?1?</vt:lpstr>
      <vt:lpstr>XDO_GROUP_?G_4?1?</vt:lpstr>
      <vt:lpstr>XDO_GROUP_?G_4?2?</vt:lpstr>
      <vt:lpstr>XDO_GROUP_?G_4?3?</vt:lpstr>
      <vt:lpstr>XDO_GROUP_?G_4?4?</vt:lpstr>
      <vt:lpstr>XDO_GROUP_?G_4?5?</vt:lpstr>
      <vt:lpstr>XDO_GROUP_?G_4?6?</vt:lpstr>
      <vt:lpstr>XDO_GROUP_?G_4?7?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Celest Technologies Support</cp:lastModifiedBy>
  <dcterms:created xsi:type="dcterms:W3CDTF">2023-11-08T10:27:00Z</dcterms:created>
  <dcterms:modified xsi:type="dcterms:W3CDTF">2023-11-09T08:08:29Z</dcterms:modified>
</cp:coreProperties>
</file>