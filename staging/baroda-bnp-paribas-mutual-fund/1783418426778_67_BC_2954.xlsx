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BC" sheetId="1" r:id="rId1"/>
  </sheets>
  <externalReferences>
    <externalReference r:id="rId2"/>
  </externalReferences>
  <definedNames>
    <definedName name="XDO_?CLASS_3?31?">BC!$C$8:$C$49</definedName>
    <definedName name="XDO_?FINAL_ISIN?150?">BC!$D$10:$D$49</definedName>
    <definedName name="XDO_?FINAL_ISIN?151?">BC!$D$10:$D$74</definedName>
    <definedName name="XDO_?FINAL_ISIN?152?">BC!$D$10:$D$89</definedName>
    <definedName name="XDO_?FINAL_ISIN?153?">BC!$D$10:$D$93</definedName>
    <definedName name="XDO_?FINAL_MV?150?">BC!$G$10:$G$49</definedName>
    <definedName name="XDO_?FINAL_MV?151?">BC!$G$10:$G$74</definedName>
    <definedName name="XDO_?FINAL_MV?152?">BC!$G$10:$G$89</definedName>
    <definedName name="XDO_?FINAL_MV?153?">BC!$G$10:$G$93</definedName>
    <definedName name="XDO_?FINAL_NAME?150?">BC!$C$10:$C$49</definedName>
    <definedName name="XDO_?FINAL_NAME?151?">BC!$C$10:$C$74</definedName>
    <definedName name="XDO_?FINAL_NAME?152?">BC!$C$10:$C$89</definedName>
    <definedName name="XDO_?FINAL_NAME?153?">BC!$C$10:$C$93</definedName>
    <definedName name="XDO_?FINAL_PER_NET?150?">BC!$H$10:$H$49</definedName>
    <definedName name="XDO_?FINAL_PER_NET?151?">BC!$H$10:$H$74</definedName>
    <definedName name="XDO_?FINAL_PER_NET?152?">BC!$H$10:$H$89</definedName>
    <definedName name="XDO_?FINAL_PER_NET?153?">BC!$H$10:$H$93</definedName>
    <definedName name="XDO_?FINAL_QUANTITE?150?">BC!$F$10:$F$49</definedName>
    <definedName name="XDO_?FINAL_QUANTITE?151?">BC!$F$10:$F$74</definedName>
    <definedName name="XDO_?FINAL_QUANTITE?152?">BC!$F$10:$F$89</definedName>
    <definedName name="XDO_?FINAL_QUANTITE?153?">BC!$F$10:$F$93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1?">BC!$C$2:$C$49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50?">BC!$B$10:$B$49</definedName>
    <definedName name="XDO_?NOVAL?151?">BC!$B$10:$B$74</definedName>
    <definedName name="XDO_?NOVAL?152?">BC!$B$10:$B$89</definedName>
    <definedName name="XDO_?NOVAL?153?">BC!$B$10:$B$93</definedName>
    <definedName name="XDO_?NPTF?31?">BC!$D$2:$D$49</definedName>
    <definedName name="XDO_?RATING?150?">BC!$E$10:$E$49</definedName>
    <definedName name="XDO_?RATING?151?">BC!$E$10:$E$74</definedName>
    <definedName name="XDO_?RATING?152?">BC!$E$10:$E$89</definedName>
    <definedName name="XDO_?RATING?153?">BC!$E$10:$E$93</definedName>
    <definedName name="XDO_?REMARKS?150?">BC!$K$10:$K$49</definedName>
    <definedName name="XDO_?REMARKS?151?">BC!$K$10:$K$74</definedName>
    <definedName name="XDO_?REMARKS?152?">BC!$K$10:$K$89</definedName>
    <definedName name="XDO_?REMARKS?153?">BC!$K$10:$K$93</definedName>
    <definedName name="XDO_?TITL?31?">BC!$A$8:$A$49</definedName>
    <definedName name="XDO_?YTM?150?">BC!$I$10:$I$49</definedName>
    <definedName name="XDO_?YTM?151?">BC!$I$10:$I$74</definedName>
    <definedName name="XDO_?YTM?152?">BC!$I$10:$I$89</definedName>
    <definedName name="XDO_?YTM?153?">BC!$I$10:$I$93</definedName>
    <definedName name="XDO_GROUP_?G_2?31?">BC!$2:$65</definedName>
    <definedName name="XDO_GROUP_?G_3?31?">BC!$8:$64</definedName>
    <definedName name="XDO_GROUP_?G_4?128?">[1]ON!#REF!</definedName>
    <definedName name="XDO_GROUP_?G_4?150?">BC!$B$10:$IV$49</definedName>
    <definedName name="XDO_GROUP_?G_4?151?">BC!$B$54:$IV$54</definedName>
    <definedName name="XDO_GROUP_?G_4?152?">BC!$B$57:$IV$57</definedName>
    <definedName name="XDO_GROUP_?G_4?153?">BC!$B$62:$IV$62</definedName>
    <definedName name="XDO_GROUP_?G_4?2?">[1]LW!#REF!</definedName>
    <definedName name="XDO_GROUP_?G_4?38?">[1]TA!#REF!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1" l="1"/>
</calcChain>
</file>

<file path=xl/sharedStrings.xml><?xml version="1.0" encoding="utf-8"?>
<sst xmlns="http://schemas.openxmlformats.org/spreadsheetml/2006/main" count="266" uniqueCount="217">
  <si>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</si>
  <si>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</si>
  <si>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</si>
  <si>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</si>
  <si>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</si>
  <si>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</si>
  <si>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</si>
  <si>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</si>
  <si>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</si>
  <si>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</si>
  <si>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</si>
  <si>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</si>
  <si>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</si>
  <si>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</si>
  <si>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</si>
  <si>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</si>
  <si>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</si>
  <si>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</si>
  <si>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</si>
  <si>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</si>
  <si>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</si>
  <si>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</si>
  <si>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</si>
  <si>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</si>
  <si>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</si>
  <si>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</si>
  <si>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</si>
  <si>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</si>
  <si>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</si>
  <si>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</si>
  <si>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</si>
  <si>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</si>
  <si>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</si>
  <si>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</si>
  <si>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</si>
  <si>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100012</t>
  </si>
  <si>
    <t>ICICI Bank Ltd.</t>
  </si>
  <si>
    <t>INE090A01021</t>
  </si>
  <si>
    <t>Banks</t>
  </si>
  <si>
    <t>100010</t>
  </si>
  <si>
    <t>State Bank of India</t>
  </si>
  <si>
    <t>INE062A01020</t>
  </si>
  <si>
    <t>100006</t>
  </si>
  <si>
    <t>HDFC Bank Ltd.</t>
  </si>
  <si>
    <t>INE040A01034</t>
  </si>
  <si>
    <t>100005</t>
  </si>
  <si>
    <t>Larsen &amp; Toubro Ltd.</t>
  </si>
  <si>
    <t>INE018A01030</t>
  </si>
  <si>
    <t>Construction</t>
  </si>
  <si>
    <t>100286</t>
  </si>
  <si>
    <t>NHPC Ltd.</t>
  </si>
  <si>
    <t>INE848E01016</t>
  </si>
  <si>
    <t>Power</t>
  </si>
  <si>
    <t>100099</t>
  </si>
  <si>
    <t>Hindustan Unilever Ltd.</t>
  </si>
  <si>
    <t>INE030A01027</t>
  </si>
  <si>
    <t>101080</t>
  </si>
  <si>
    <t>JB Chemicals &amp; Pharmaceuticals Ltd.</t>
  </si>
  <si>
    <t>INE572A01028</t>
  </si>
  <si>
    <t>Pharmaceuticals &amp; Biotechnology</t>
  </si>
  <si>
    <t>100104</t>
  </si>
  <si>
    <t>Kotak Mahindra Bank Ltd.</t>
  </si>
  <si>
    <t>INE237A01028</t>
  </si>
  <si>
    <t>100008</t>
  </si>
  <si>
    <t>Sun Pharmaceutical Industries Ltd.</t>
  </si>
  <si>
    <t>INE044A01036</t>
  </si>
  <si>
    <t>100025</t>
  </si>
  <si>
    <t>Nestle India Ltd.</t>
  </si>
  <si>
    <t>INE239A01016</t>
  </si>
  <si>
    <t>Food Products</t>
  </si>
  <si>
    <t>100050</t>
  </si>
  <si>
    <t>Trent Ltd.</t>
  </si>
  <si>
    <t>INE849A01020</t>
  </si>
  <si>
    <t>Retailing</t>
  </si>
  <si>
    <t>100089</t>
  </si>
  <si>
    <t>Bharat Electronics Ltd.</t>
  </si>
  <si>
    <t>INE263A01024</t>
  </si>
  <si>
    <t>Aerospace &amp; Defense</t>
  </si>
  <si>
    <t>100830</t>
  </si>
  <si>
    <t>Varun Beverages Ltd.</t>
  </si>
  <si>
    <t>INE200M01013</t>
  </si>
  <si>
    <t>Beverages</t>
  </si>
  <si>
    <t>100533</t>
  </si>
  <si>
    <t>Radico Khaitan Ltd.</t>
  </si>
  <si>
    <t>INE944F01028</t>
  </si>
  <si>
    <t>100014</t>
  </si>
  <si>
    <t>Mahindra &amp; Mahindra Ltd.</t>
  </si>
  <si>
    <t>INE101A01026</t>
  </si>
  <si>
    <t>Automobiles</t>
  </si>
  <si>
    <t>100382</t>
  </si>
  <si>
    <t>Fortis Healthcare Ltd.</t>
  </si>
  <si>
    <t>INE061F01013</t>
  </si>
  <si>
    <t>Healthcare Services</t>
  </si>
  <si>
    <t>100191</t>
  </si>
  <si>
    <t>Canara Bank</t>
  </si>
  <si>
    <t>INE476A01014</t>
  </si>
  <si>
    <t>100164</t>
  </si>
  <si>
    <t>Petronet LNG Ltd.</t>
  </si>
  <si>
    <t>INE347G01014</t>
  </si>
  <si>
    <t>Gas</t>
  </si>
  <si>
    <t>100120</t>
  </si>
  <si>
    <t>Torrent Pharmaceuticals Ltd.</t>
  </si>
  <si>
    <t>INE685A01028</t>
  </si>
  <si>
    <t>100843</t>
  </si>
  <si>
    <t>Dalmia Bharat Ltd.</t>
  </si>
  <si>
    <t>INE00R701025</t>
  </si>
  <si>
    <t>Cement &amp; Cement Products</t>
  </si>
  <si>
    <t>100318</t>
  </si>
  <si>
    <t>Tata Motors Ltd. - DVR</t>
  </si>
  <si>
    <t>IN9155A01020</t>
  </si>
  <si>
    <t>100157</t>
  </si>
  <si>
    <t>Godrej Consumer Products Ltd.</t>
  </si>
  <si>
    <t>INE102D01028</t>
  </si>
  <si>
    <t>Personal Products</t>
  </si>
  <si>
    <t>100477</t>
  </si>
  <si>
    <t>PNB Housing Finance Ltd.</t>
  </si>
  <si>
    <t>INE572E01012</t>
  </si>
  <si>
    <t>100100</t>
  </si>
  <si>
    <t>Hindustan Petroleum Corporation Ltd.</t>
  </si>
  <si>
    <t>INE094A01015</t>
  </si>
  <si>
    <t>100453</t>
  </si>
  <si>
    <t>RBL Bank Ltd.</t>
  </si>
  <si>
    <t>INE976G01028</t>
  </si>
  <si>
    <t>100128</t>
  </si>
  <si>
    <t>Eicher Motors Ltd.</t>
  </si>
  <si>
    <t>INE066A01021</t>
  </si>
  <si>
    <t>100115</t>
  </si>
  <si>
    <t>Siemens Ltd.</t>
  </si>
  <si>
    <t>INE003A01024</t>
  </si>
  <si>
    <t>Electrical Equipment</t>
  </si>
  <si>
    <t>100106</t>
  </si>
  <si>
    <t>Maruti Suzuki India Ltd.</t>
  </si>
  <si>
    <t>INE585B01010</t>
  </si>
  <si>
    <t>100332</t>
  </si>
  <si>
    <t>Navin Fluorine International Ltd.</t>
  </si>
  <si>
    <t>INE048G01026</t>
  </si>
  <si>
    <t>Chemicals &amp; Petrochemicals</t>
  </si>
  <si>
    <t>100082</t>
  </si>
  <si>
    <t>Ultratech Cement Ltd.</t>
  </si>
  <si>
    <t>INE481G01011</t>
  </si>
  <si>
    <t>100140</t>
  </si>
  <si>
    <t>Shree Cement Ltd.</t>
  </si>
  <si>
    <t>INE070A01015</t>
  </si>
  <si>
    <t>100004</t>
  </si>
  <si>
    <t>Zydus Lifesciences Ltd.</t>
  </si>
  <si>
    <t>INE010B01027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</si>
  <si>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</si>
  <si>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</si>
  <si>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</si>
  <si>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</si>
  <si>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</si>
  <si>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</si>
  <si>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INE089A01023</t>
  </si>
  <si>
    <t>100095</t>
  </si>
  <si>
    <t>Bharti Airtel Ltd.</t>
  </si>
  <si>
    <t>INE397D01024</t>
  </si>
  <si>
    <t>Telecom -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</si>
  <si>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</si>
  <si>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</si>
  <si>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</si>
  <si>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</si>
  <si>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</si>
  <si>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</si>
  <si>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</si>
  <si>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</si>
  <si>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</si>
  <si>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</si>
  <si>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</si>
  <si>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</si>
  <si>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</si>
  <si>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</si>
  <si>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</si>
  <si>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</si>
  <si>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</si>
  <si>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</si>
  <si>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</si>
  <si>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</si>
  <si>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</si>
  <si>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</si>
  <si>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</si>
  <si>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</si>
  <si>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</si>
  <si>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</si>
  <si>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</si>
  <si>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</si>
  <si>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</si>
  <si>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</si>
  <si>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</si>
  <si>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</si>
  <si>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</si>
  <si>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</si>
  <si>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</si>
  <si>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</si>
  <si>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</si>
  <si>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</si>
  <si>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</si>
  <si>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</si>
  <si>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</si>
  <si>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</si>
  <si>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</si>
  <si>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</si>
  <si>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</si>
  <si>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</si>
  <si>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</si>
  <si>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</si>
  <si>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</si>
  <si>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Nil.</t>
  </si>
  <si>
    <t>(11)  During the period, the portfolio turnover ratio is  0.01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</si>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</sst>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5</xdr:col>
      <xdr:colOff>504275</xdr:colOff>
      <xdr:row>147</xdr:row>
      <xdr:rowOff>103632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224067"/>
          <a:ext cx="7455408" cy="33040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8"/>
  <sheetViews>
    <sheetView showGridLines="0" tabSelected="1" zoomScale="90" zoomScaleNormal="90" workbookViewId="0">
      <pane ySplit="6" topLeftCell="A121" activePane="bottomLeft" state="frozen"/>
      <selection activeCell="J2" sqref="J2"/>
      <selection pane="bottomLeft" activeCell="G135" sqref="G13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133000</v>
      </c>
      <c r="G10" s="34">
        <v>3511.73</v>
      </c>
      <c r="H10" s="34">
        <v>8.07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135000</v>
      </c>
      <c r="G11" s="34">
        <v>3334.37</v>
      </c>
      <c r="H11" s="34">
        <v>7.66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500000</v>
      </c>
      <c r="G12" s="34">
        <v>2227.5</v>
      </c>
      <c r="H12" s="34">
        <v>5.12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65000</v>
      </c>
      <c r="G13" s="34">
        <v>2138.1799999999998</v>
      </c>
      <c r="H13" s="34">
        <v>4.91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31</v>
      </c>
      <c r="F14" s="33">
        <v>150000</v>
      </c>
      <c r="G14" s="34">
        <v>1977.45</v>
      </c>
      <c r="H14" s="34">
        <v>4.54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200000</v>
      </c>
      <c r="G15" s="34">
        <v>1898.3</v>
      </c>
      <c r="H15" s="34">
        <v>4.3600000000000003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38</v>
      </c>
      <c r="F16" s="33">
        <v>320000</v>
      </c>
      <c r="G16" s="34">
        <v>1855.52</v>
      </c>
      <c r="H16" s="34">
        <v>4.26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38</v>
      </c>
      <c r="F17" s="33">
        <v>110000</v>
      </c>
      <c r="G17" s="34">
        <v>1771.94</v>
      </c>
      <c r="H17" s="34">
        <v>4.07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80000</v>
      </c>
      <c r="G18" s="34">
        <v>1764.52</v>
      </c>
      <c r="H18" s="34">
        <v>4.05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3000000</v>
      </c>
      <c r="G19" s="34">
        <v>1303.5</v>
      </c>
      <c r="H19" s="34">
        <v>2.99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27</v>
      </c>
      <c r="F20" s="33">
        <v>40000</v>
      </c>
      <c r="G20" s="34">
        <v>1067.02</v>
      </c>
      <c r="H20" s="34">
        <v>2.4500000000000002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50000</v>
      </c>
      <c r="G21" s="34">
        <v>1052.25</v>
      </c>
      <c r="H21" s="34">
        <v>2.42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38</v>
      </c>
      <c r="F22" s="33">
        <v>50000</v>
      </c>
      <c r="G22" s="34">
        <v>1007.18</v>
      </c>
      <c r="H22" s="34">
        <v>2.31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59</v>
      </c>
      <c r="F23" s="33">
        <v>100000</v>
      </c>
      <c r="G23" s="34">
        <v>975.35</v>
      </c>
      <c r="H23" s="34">
        <v>2.2400000000000002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4500</v>
      </c>
      <c r="G24" s="34">
        <v>975.29</v>
      </c>
      <c r="H24" s="34">
        <v>2.2400000000000002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60000</v>
      </c>
      <c r="G25" s="34">
        <v>936.27</v>
      </c>
      <c r="H25" s="34">
        <v>2.15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800000</v>
      </c>
      <c r="G26" s="34">
        <v>897.2</v>
      </c>
      <c r="H26" s="34">
        <v>2.06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50000</v>
      </c>
      <c r="G27" s="34">
        <v>847.23</v>
      </c>
      <c r="H27" s="34">
        <v>1.95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81</v>
      </c>
      <c r="F28" s="33">
        <v>70000</v>
      </c>
      <c r="G28" s="34">
        <v>818.02</v>
      </c>
      <c r="H28" s="34">
        <v>1.88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60000</v>
      </c>
      <c r="G29" s="34">
        <v>791.4</v>
      </c>
      <c r="H29" s="34">
        <v>1.82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275000</v>
      </c>
      <c r="G30" s="34">
        <v>755.43</v>
      </c>
      <c r="H30" s="34">
        <v>1.74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38</v>
      </c>
      <c r="F31" s="33">
        <v>230000</v>
      </c>
      <c r="G31" s="34">
        <v>712.31</v>
      </c>
      <c r="H31" s="34">
        <v>1.64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300000</v>
      </c>
      <c r="G32" s="34">
        <v>677.55</v>
      </c>
      <c r="H32" s="34">
        <v>1.56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59</v>
      </c>
      <c r="F33" s="33">
        <v>35000</v>
      </c>
      <c r="G33" s="34">
        <v>642.53</v>
      </c>
      <c r="H33" s="34">
        <v>1.48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30000</v>
      </c>
      <c r="G34" s="34">
        <v>638.99</v>
      </c>
      <c r="H34" s="34">
        <v>1.47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88</v>
      </c>
      <c r="F35" s="33">
        <v>235000</v>
      </c>
      <c r="G35" s="34">
        <v>638.73</v>
      </c>
      <c r="H35" s="34">
        <v>1.47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60000</v>
      </c>
      <c r="G36" s="34">
        <v>635.01</v>
      </c>
      <c r="H36" s="34">
        <v>1.46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19</v>
      </c>
      <c r="F37" s="33">
        <v>125000</v>
      </c>
      <c r="G37" s="34">
        <v>631.55999999999995</v>
      </c>
      <c r="H37" s="34">
        <v>1.45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23</v>
      </c>
      <c r="F38" s="33">
        <v>230000</v>
      </c>
      <c r="G38" s="34">
        <v>600.07000000000005</v>
      </c>
      <c r="H38" s="34">
        <v>1.38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38</v>
      </c>
      <c r="F39" s="33">
        <v>350000</v>
      </c>
      <c r="G39" s="34">
        <v>567.35</v>
      </c>
      <c r="H39" s="34">
        <v>1.3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88</v>
      </c>
      <c r="F40" s="33">
        <v>15000</v>
      </c>
      <c r="G40" s="34">
        <v>550.79</v>
      </c>
      <c r="H40" s="34">
        <v>1.27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15000</v>
      </c>
      <c r="G41" s="34">
        <v>532.75</v>
      </c>
      <c r="H41" s="34">
        <v>1.22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88</v>
      </c>
      <c r="F42" s="33">
        <v>5500</v>
      </c>
      <c r="G42" s="34">
        <v>515.22</v>
      </c>
      <c r="H42" s="34">
        <v>1.18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11000</v>
      </c>
      <c r="G43" s="34">
        <v>513.16</v>
      </c>
      <c r="H43" s="34">
        <v>1.18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106</v>
      </c>
      <c r="F44" s="33">
        <v>6500</v>
      </c>
      <c r="G44" s="34">
        <v>511.55</v>
      </c>
      <c r="H44" s="34">
        <v>1.17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106</v>
      </c>
      <c r="F45" s="33">
        <v>2000</v>
      </c>
      <c r="G45" s="34">
        <v>503.3</v>
      </c>
      <c r="H45" s="34">
        <v>1.1599999999999999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59</v>
      </c>
      <c r="F46" s="33">
        <v>100000</v>
      </c>
      <c r="G46" s="34">
        <v>502.3</v>
      </c>
      <c r="H46" s="34">
        <v>1.1499999999999999</v>
      </c>
      <c r="I46" s="35"/>
      <c r="J46" s="35"/>
      <c r="K46" s="36"/>
    </row>
    <row r="47" spans="2:11" x14ac:dyDescent="0.3">
      <c r="B47" s="1" t="s">
        <v>146</v>
      </c>
      <c r="C47" s="21" t="s">
        <v>147</v>
      </c>
      <c r="D47" s="31" t="s">
        <v>148</v>
      </c>
      <c r="E47" s="32" t="s">
        <v>149</v>
      </c>
      <c r="F47" s="33">
        <v>120000</v>
      </c>
      <c r="G47" s="34">
        <v>487.08</v>
      </c>
      <c r="H47" s="34">
        <v>1.1200000000000001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59</v>
      </c>
      <c r="F48" s="33">
        <v>10000</v>
      </c>
      <c r="G48" s="34">
        <v>450.11</v>
      </c>
      <c r="H48" s="34">
        <v>1.03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50000</v>
      </c>
      <c r="G49" s="34">
        <v>424.95</v>
      </c>
      <c r="H49" s="34">
        <v>0.98</v>
      </c>
      <c r="I49" s="35"/>
      <c r="J49" s="35"/>
      <c r="K49" s="36"/>
    </row>
    <row r="50" spans="2:11" x14ac:dyDescent="0.3">
      <c r="C50" s="30" t="s">
        <v>157</v>
      </c>
      <c r="D50" s="31"/>
      <c r="E50" s="32"/>
      <c r="F50" s="33"/>
      <c r="G50" s="38">
        <v>42640.959999999999</v>
      </c>
      <c r="H50" s="38">
        <v>97.96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158</v>
      </c>
      <c r="D52" s="31"/>
      <c r="E52" s="32"/>
      <c r="F52" s="33"/>
      <c r="G52" s="34" t="s">
        <v>159</v>
      </c>
      <c r="H52" s="34" t="s">
        <v>159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160</v>
      </c>
      <c r="D54" s="31"/>
      <c r="E54" s="32"/>
      <c r="F54" s="33"/>
      <c r="G54" s="34" t="s">
        <v>159</v>
      </c>
      <c r="H54" s="34" t="s">
        <v>159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161</v>
      </c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162</v>
      </c>
      <c r="D58" s="31"/>
      <c r="E58" s="32"/>
      <c r="F58" s="33"/>
      <c r="G58" s="34" t="s">
        <v>159</v>
      </c>
      <c r="H58" s="34" t="s">
        <v>159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163</v>
      </c>
      <c r="D60" s="31"/>
      <c r="E60" s="32"/>
      <c r="F60" s="33"/>
      <c r="G60" s="34" t="s">
        <v>159</v>
      </c>
      <c r="H60" s="34" t="s">
        <v>159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164</v>
      </c>
      <c r="D62" s="31"/>
      <c r="E62" s="32"/>
      <c r="F62" s="33"/>
      <c r="G62" s="34" t="s">
        <v>159</v>
      </c>
      <c r="H62" s="34" t="s">
        <v>159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165</v>
      </c>
      <c r="D64" s="31"/>
      <c r="E64" s="32"/>
      <c r="F64" s="33"/>
      <c r="G64" s="34" t="s">
        <v>159</v>
      </c>
      <c r="H64" s="34" t="s">
        <v>159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166</v>
      </c>
      <c r="D66" s="31"/>
      <c r="E66" s="32"/>
      <c r="F66" s="33"/>
      <c r="G66" s="34" t="s">
        <v>159</v>
      </c>
      <c r="H66" s="34" t="s">
        <v>159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8"/>
      <c r="B68" s="29"/>
      <c r="C68" s="30" t="s">
        <v>167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168</v>
      </c>
      <c r="D69" s="31"/>
      <c r="E69" s="32"/>
      <c r="F69" s="33"/>
      <c r="G69" s="34" t="s">
        <v>159</v>
      </c>
      <c r="H69" s="34" t="s">
        <v>159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169</v>
      </c>
      <c r="D71" s="31"/>
      <c r="E71" s="32"/>
      <c r="F71" s="33"/>
      <c r="G71" s="34" t="s">
        <v>159</v>
      </c>
      <c r="H71" s="34" t="s">
        <v>159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7" t="s">
        <v>170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B74" s="1" t="s">
        <v>171</v>
      </c>
      <c r="C74" s="21" t="s">
        <v>172</v>
      </c>
      <c r="D74" s="31" t="s">
        <v>173</v>
      </c>
      <c r="E74" s="32" t="s">
        <v>174</v>
      </c>
      <c r="F74" s="33">
        <v>400000</v>
      </c>
      <c r="G74" s="34">
        <v>385.26</v>
      </c>
      <c r="H74" s="34">
        <v>0.88</v>
      </c>
      <c r="I74" s="35">
        <v>6.8783000000000003</v>
      </c>
      <c r="J74" s="35"/>
      <c r="K74" s="36"/>
    </row>
    <row r="75" spans="1:11" x14ac:dyDescent="0.3">
      <c r="C75" s="30" t="s">
        <v>157</v>
      </c>
      <c r="D75" s="31"/>
      <c r="E75" s="32"/>
      <c r="F75" s="33"/>
      <c r="G75" s="38">
        <v>385.26</v>
      </c>
      <c r="H75" s="38">
        <v>0.88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175</v>
      </c>
      <c r="D77" s="31"/>
      <c r="E77" s="32"/>
      <c r="F77" s="33"/>
      <c r="G77" s="34" t="s">
        <v>159</v>
      </c>
      <c r="H77" s="34" t="s">
        <v>159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176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177</v>
      </c>
      <c r="D80" s="31"/>
      <c r="E80" s="32"/>
      <c r="F80" s="33"/>
      <c r="G80" s="34" t="s">
        <v>159</v>
      </c>
      <c r="H80" s="34" t="s">
        <v>159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178</v>
      </c>
      <c r="D82" s="31"/>
      <c r="E82" s="32"/>
      <c r="F82" s="33"/>
      <c r="G82" s="34" t="s">
        <v>159</v>
      </c>
      <c r="H82" s="34" t="s">
        <v>159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179</v>
      </c>
      <c r="D84" s="31"/>
      <c r="E84" s="32"/>
      <c r="F84" s="33"/>
      <c r="G84" s="34" t="s">
        <v>159</v>
      </c>
      <c r="H84" s="34" t="s">
        <v>159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180</v>
      </c>
      <c r="D86" s="31"/>
      <c r="E86" s="32"/>
      <c r="F86" s="33"/>
      <c r="G86" s="34" t="s">
        <v>159</v>
      </c>
      <c r="H86" s="34" t="s">
        <v>159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7" t="s">
        <v>181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B89" s="1" t="s">
        <v>182</v>
      </c>
      <c r="C89" s="21" t="s">
        <v>183</v>
      </c>
      <c r="D89" s="31"/>
      <c r="E89" s="32"/>
      <c r="F89" s="33"/>
      <c r="G89" s="34">
        <v>598.9</v>
      </c>
      <c r="H89" s="34">
        <v>1.38</v>
      </c>
      <c r="I89" s="35">
        <v>6.24</v>
      </c>
      <c r="J89" s="35"/>
      <c r="K89" s="36"/>
    </row>
    <row r="90" spans="1:11" x14ac:dyDescent="0.3">
      <c r="C90" s="30" t="s">
        <v>157</v>
      </c>
      <c r="D90" s="31"/>
      <c r="E90" s="32"/>
      <c r="F90" s="33"/>
      <c r="G90" s="38">
        <v>598.9</v>
      </c>
      <c r="H90" s="38">
        <v>1.38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8"/>
      <c r="B92" s="29"/>
      <c r="C92" s="30" t="s">
        <v>184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B93" s="1"/>
      <c r="C93" s="21" t="s">
        <v>185</v>
      </c>
      <c r="D93" s="31"/>
      <c r="E93" s="32"/>
      <c r="F93" s="33"/>
      <c r="G93" s="34">
        <v>-85.78</v>
      </c>
      <c r="H93" s="34">
        <v>-0.22</v>
      </c>
      <c r="I93" s="35"/>
      <c r="J93" s="35"/>
      <c r="K93" s="36"/>
    </row>
    <row r="94" spans="1:11" x14ac:dyDescent="0.3">
      <c r="C94" s="30" t="s">
        <v>157</v>
      </c>
      <c r="D94" s="31"/>
      <c r="E94" s="32"/>
      <c r="F94" s="33"/>
      <c r="G94" s="38">
        <v>-85.78</v>
      </c>
      <c r="H94" s="38">
        <v>-0.22</v>
      </c>
      <c r="I94" s="35"/>
      <c r="J94" s="35"/>
      <c r="K94" s="36"/>
    </row>
    <row r="95" spans="1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11" ht="14.4" thickBot="1" x14ac:dyDescent="0.35">
      <c r="C96" s="39" t="s">
        <v>186</v>
      </c>
      <c r="D96" s="40"/>
      <c r="E96" s="41"/>
      <c r="F96" s="42"/>
      <c r="G96" s="43">
        <v>43539.34</v>
      </c>
      <c r="H96" s="43">
        <f>SUMIFS(H:H,C:C,"Total")</f>
        <v>99.999999999999986</v>
      </c>
      <c r="I96" s="44"/>
      <c r="J96" s="44"/>
      <c r="K96" s="45"/>
    </row>
    <row r="99" spans="3:55" x14ac:dyDescent="0.3">
      <c r="C99" s="11" t="s">
        <v>187</v>
      </c>
    </row>
    <row r="100" spans="3:55" x14ac:dyDescent="0.3">
      <c r="C100" s="2" t="s">
        <v>188</v>
      </c>
    </row>
    <row r="101" spans="3:55" x14ac:dyDescent="0.3">
      <c r="C101" s="46" t="s">
        <v>189</v>
      </c>
    </row>
    <row r="102" spans="3:55" x14ac:dyDescent="0.3">
      <c r="C102" s="2" t="s">
        <v>190</v>
      </c>
    </row>
    <row r="103" spans="3:55" x14ac:dyDescent="0.3">
      <c r="C103" s="2" t="s">
        <v>191</v>
      </c>
    </row>
    <row r="104" spans="3:55" x14ac:dyDescent="0.3">
      <c r="C104" s="2" t="s">
        <v>192</v>
      </c>
      <c r="D104" s="47"/>
      <c r="E104" s="47"/>
      <c r="F104" s="47"/>
      <c r="G104" s="48"/>
      <c r="H104" s="48"/>
    </row>
    <row r="105" spans="3:55" x14ac:dyDescent="0.3">
      <c r="C105" s="2" t="s">
        <v>193</v>
      </c>
    </row>
    <row r="106" spans="3:55" x14ac:dyDescent="0.3">
      <c r="C106" s="2" t="s">
        <v>194</v>
      </c>
    </row>
    <row r="107" spans="3:55" x14ac:dyDescent="0.3">
      <c r="C107" s="2" t="s">
        <v>195</v>
      </c>
    </row>
    <row r="108" spans="3:55" x14ac:dyDescent="0.3">
      <c r="C108" s="2" t="s">
        <v>196</v>
      </c>
    </row>
    <row r="109" spans="3:55" s="11" customFormat="1" x14ac:dyDescent="0.3">
      <c r="C109" s="11" t="s">
        <v>197</v>
      </c>
      <c r="E109" s="11" t="s">
        <v>198</v>
      </c>
      <c r="F109" s="49" t="s">
        <v>199</v>
      </c>
      <c r="G109" s="50"/>
      <c r="H109" s="50"/>
      <c r="I109" s="50"/>
      <c r="J109" s="50"/>
      <c r="K109" s="51"/>
      <c r="L109" s="51"/>
      <c r="M109" s="51"/>
      <c r="AJ109" s="51"/>
      <c r="AW109" s="51"/>
      <c r="AY109" s="51"/>
      <c r="BC109" s="51"/>
    </row>
    <row r="110" spans="3:55" x14ac:dyDescent="0.3">
      <c r="C110" s="2" t="s">
        <v>200</v>
      </c>
      <c r="E110" s="52">
        <v>10.1974</v>
      </c>
      <c r="F110" s="53">
        <v>10.407999999999999</v>
      </c>
    </row>
    <row r="111" spans="3:55" x14ac:dyDescent="0.3">
      <c r="C111" s="2" t="s">
        <v>201</v>
      </c>
      <c r="E111" s="52">
        <v>10.1974</v>
      </c>
      <c r="F111" s="53">
        <v>10.407999999999999</v>
      </c>
    </row>
    <row r="112" spans="3:55" x14ac:dyDescent="0.3">
      <c r="C112" s="2" t="s">
        <v>202</v>
      </c>
      <c r="E112" s="52">
        <v>10.4633</v>
      </c>
      <c r="F112" s="53">
        <v>10.6915</v>
      </c>
    </row>
    <row r="113" spans="3:6" x14ac:dyDescent="0.3">
      <c r="C113" s="2" t="s">
        <v>203</v>
      </c>
      <c r="E113" s="52">
        <v>10.4633</v>
      </c>
      <c r="F113" s="53">
        <v>10.6915</v>
      </c>
    </row>
    <row r="115" spans="3:6" x14ac:dyDescent="0.3">
      <c r="C115" s="2" t="s">
        <v>204</v>
      </c>
    </row>
    <row r="117" spans="3:6" x14ac:dyDescent="0.3">
      <c r="C117" s="2" t="s">
        <v>205</v>
      </c>
    </row>
    <row r="118" spans="3:6" x14ac:dyDescent="0.3">
      <c r="C118" s="2" t="s">
        <v>206</v>
      </c>
    </row>
    <row r="119" spans="3:6" x14ac:dyDescent="0.3">
      <c r="C119" s="2" t="s">
        <v>207</v>
      </c>
    </row>
    <row r="120" spans="3:6" x14ac:dyDescent="0.3">
      <c r="C120" s="2" t="s">
        <v>208</v>
      </c>
    </row>
    <row r="121" spans="3:6" x14ac:dyDescent="0.3">
      <c r="C121" s="2" t="s">
        <v>209</v>
      </c>
    </row>
    <row r="122" spans="3:6" x14ac:dyDescent="0.3">
      <c r="C122" s="2" t="s">
        <v>210</v>
      </c>
    </row>
    <row r="123" spans="3:6" x14ac:dyDescent="0.3">
      <c r="C123" s="2" t="s">
        <v>211</v>
      </c>
    </row>
    <row r="124" spans="3:6" x14ac:dyDescent="0.3">
      <c r="C124" s="2" t="s">
        <v>212</v>
      </c>
    </row>
    <row r="125" spans="3:6" x14ac:dyDescent="0.3">
      <c r="C125" s="2" t="s">
        <v>213</v>
      </c>
    </row>
    <row r="126" spans="3:6" x14ac:dyDescent="0.3">
      <c r="C126" s="2" t="s">
        <v>214</v>
      </c>
    </row>
    <row r="127" spans="3:6" x14ac:dyDescent="0.3">
      <c r="C127" s="2" t="s">
        <v>215</v>
      </c>
    </row>
    <row r="128" spans="3:6" x14ac:dyDescent="0.3">
      <c r="C128" s="2" t="s">
        <v>216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BC</vt:lpstr>
      <vt:lpstr>XDO_?CLASS_3?31?</vt:lpstr>
      <vt:lpstr>XDO_?FINAL_ISIN?150?</vt:lpstr>
      <vt:lpstr>XDO_?FINAL_ISIN?151?</vt:lpstr>
      <vt:lpstr>XDO_?FINAL_ISIN?152?</vt:lpstr>
      <vt:lpstr>XDO_?FINAL_ISIN?153?</vt:lpstr>
      <vt:lpstr>XDO_?FINAL_MV?150?</vt:lpstr>
      <vt:lpstr>XDO_?FINAL_MV?151?</vt:lpstr>
      <vt:lpstr>XDO_?FINAL_MV?152?</vt:lpstr>
      <vt:lpstr>XDO_?FINAL_MV?153?</vt:lpstr>
      <vt:lpstr>XDO_?FINAL_NAME?150?</vt:lpstr>
      <vt:lpstr>XDO_?FINAL_NAME?151?</vt:lpstr>
      <vt:lpstr>XDO_?FINAL_NAME?152?</vt:lpstr>
      <vt:lpstr>XDO_?FINAL_NAME?153?</vt:lpstr>
      <vt:lpstr>XDO_?FINAL_PER_NET?150?</vt:lpstr>
      <vt:lpstr>XDO_?FINAL_PER_NET?151?</vt:lpstr>
      <vt:lpstr>XDO_?FINAL_PER_NET?152?</vt:lpstr>
      <vt:lpstr>XDO_?FINAL_PER_NET?153?</vt:lpstr>
      <vt:lpstr>XDO_?FINAL_QUANTITE?150?</vt:lpstr>
      <vt:lpstr>XDO_?FINAL_QUANTITE?151?</vt:lpstr>
      <vt:lpstr>XDO_?FINAL_QUANTITE?152?</vt:lpstr>
      <vt:lpstr>XDO_?FINAL_QUANTITE?153?</vt:lpstr>
      <vt:lpstr>XDO_?NAMCNAME?31?</vt:lpstr>
      <vt:lpstr>XDO_?NOVAL?150?</vt:lpstr>
      <vt:lpstr>XDO_?NOVAL?151?</vt:lpstr>
      <vt:lpstr>XDO_?NOVAL?152?</vt:lpstr>
      <vt:lpstr>XDO_?NOVAL?153?</vt:lpstr>
      <vt:lpstr>XDO_?NPTF?31?</vt:lpstr>
      <vt:lpstr>XDO_?RATING?150?</vt:lpstr>
      <vt:lpstr>XDO_?RATING?151?</vt:lpstr>
      <vt:lpstr>XDO_?RATING?152?</vt:lpstr>
      <vt:lpstr>XDO_?RATING?153?</vt:lpstr>
      <vt:lpstr>XDO_?REMARKS?150?</vt:lpstr>
      <vt:lpstr>XDO_?REMARKS?151?</vt:lpstr>
      <vt:lpstr>XDO_?REMARKS?152?</vt:lpstr>
      <vt:lpstr>XDO_?REMARKS?153?</vt:lpstr>
      <vt:lpstr>XDO_?TITL?31?</vt:lpstr>
      <vt:lpstr>XDO_?YTM?150?</vt:lpstr>
      <vt:lpstr>XDO_?YTM?151?</vt:lpstr>
      <vt:lpstr>XDO_?YTM?152?</vt:lpstr>
      <vt:lpstr>XDO_?YTM?153?</vt:lpstr>
      <vt:lpstr>XDO_GROUP_?G_2?31?</vt:lpstr>
      <vt:lpstr>XDO_GROUP_?G_3?31?</vt:lpstr>
      <vt:lpstr>XDO_GROUP_?G_4?150?</vt:lpstr>
      <vt:lpstr>XDO_GROUP_?G_4?151?</vt:lpstr>
      <vt:lpstr>XDO_GROUP_?G_4?152?</vt:lpstr>
      <vt:lpstr>XDO_GROUP_?G_4?153?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2023-06-06T07:19:05Z</dcterms:created>
  <dcterms:modified xsi:type="dcterms:W3CDTF">2023-06-06T13:29:48Z</dcterms:modified>
</cp:coreProperties>
</file>