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ocuments/DebT Funds/"/>
    </mc:Choice>
  </mc:AlternateContent>
  <xr:revisionPtr revIDLastSave="1" documentId="8_{9B85AE09-2693-4BCC-9556-5E530899223E}" xr6:coauthVersionLast="47" xr6:coauthVersionMax="47" xr10:uidLastSave="{5B0D79D5-2988-476B-A130-99FCFE279F3E}"/>
  <bookViews>
    <workbookView xWindow="-108" yWindow="-108" windowWidth="23256" windowHeight="12576" xr2:uid="{8E34A0B8-580E-4AEA-9519-29A988FEE526}"/>
  </bookViews>
  <sheets>
    <sheet name="BM" sheetId="1" r:id="rId1"/>
  </sheets>
  <externalReferences>
    <externalReference r:id="rId2"/>
  </externalReferences>
  <definedNames>
    <definedName name="XDO_?CLASS_3?25?">BM!$C$28:$C$33</definedName>
    <definedName name="XDO_?FINAL_ISIN?116?">BM!$D$30:$D$33</definedName>
    <definedName name="XDO_?FINAL_ISIN?117?">BM!$D$30:$D$45</definedName>
    <definedName name="XDO_?FINAL_ISIN?118?">BM!$D$30:$D$49</definedName>
    <definedName name="XDO_?FINAL_ISIN?119?">BM!$D$30:$D$64</definedName>
    <definedName name="XDO_?FINAL_ISIN?120?">BM!$D$30:$D$68</definedName>
    <definedName name="XDO_?FINAL_MV?116?">BM!$G$30:$G$33</definedName>
    <definedName name="XDO_?FINAL_MV?117?">BM!$G$30:$G$45</definedName>
    <definedName name="XDO_?FINAL_MV?118?">BM!$G$30:$G$49</definedName>
    <definedName name="XDO_?FINAL_MV?119?">BM!$G$30:$G$64</definedName>
    <definedName name="XDO_?FINAL_MV?120?">BM!$G$30:$G$68</definedName>
    <definedName name="XDO_?FINAL_NAME?116?">BM!$C$30:$C$33</definedName>
    <definedName name="XDO_?FINAL_NAME?117?">BM!$C$30:$C$45</definedName>
    <definedName name="XDO_?FINAL_NAME?118?">BM!$C$30:$C$49</definedName>
    <definedName name="XDO_?FINAL_NAME?119?">BM!$C$30:$C$64</definedName>
    <definedName name="XDO_?FINAL_NAME?120?">BM!$C$30:$C$68</definedName>
    <definedName name="XDO_?FINAL_PER_NET?116?">BM!$H$30:$H$33</definedName>
    <definedName name="XDO_?FINAL_PER_NET?117?">BM!$H$30:$H$45</definedName>
    <definedName name="XDO_?FINAL_PER_NET?118?">BM!$H$30:$H$49</definedName>
    <definedName name="XDO_?FINAL_PER_NET?119?">BM!$H$30:$H$64</definedName>
    <definedName name="XDO_?FINAL_PER_NET?120?">BM!$H$30:$H$68</definedName>
    <definedName name="XDO_?FINAL_QUANTITE?116?">BM!$F$30:$F$33</definedName>
    <definedName name="XDO_?FINAL_QUANTITE?117?">BM!$F$30:$F$45</definedName>
    <definedName name="XDO_?FINAL_QUANTITE?118?">BM!$F$30:$F$49</definedName>
    <definedName name="XDO_?FINAL_QUANTITE?119?">BM!$F$30:$F$64</definedName>
    <definedName name="XDO_?FINAL_QUANTITE?120?">BM!$F$30:$F$68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25?">BM!$C$2:$C$33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116?">BM!$B$30:$B$33</definedName>
    <definedName name="XDO_?NOVAL?117?">BM!$B$30:$B$45</definedName>
    <definedName name="XDO_?NOVAL?118?">BM!$B$30:$B$49</definedName>
    <definedName name="XDO_?NOVAL?119?">BM!$B$30:$B$64</definedName>
    <definedName name="XDO_?NOVAL?120?">BM!$B$30:$B$68</definedName>
    <definedName name="XDO_?NPTF?25?">BM!$D$2:$D$33</definedName>
    <definedName name="XDO_?RATING?116?">BM!$E$30:$E$33</definedName>
    <definedName name="XDO_?RATING?117?">BM!$E$30:$E$45</definedName>
    <definedName name="XDO_?RATING?118?">BM!$E$30:$E$49</definedName>
    <definedName name="XDO_?RATING?119?">BM!$E$30:$E$64</definedName>
    <definedName name="XDO_?RATING?120?">BM!$E$30:$E$68</definedName>
    <definedName name="XDO_?REMARKS?116?">BM!$K$30:$K$33</definedName>
    <definedName name="XDO_?REMARKS?117?">BM!$K$30:$K$45</definedName>
    <definedName name="XDO_?REMARKS?118?">BM!$K$30:$K$49</definedName>
    <definedName name="XDO_?REMARKS?119?">BM!$K$30:$K$64</definedName>
    <definedName name="XDO_?REMARKS?120?">BM!$K$30:$K$68</definedName>
    <definedName name="XDO_?TITL?25?">BM!$A$28:$A$33</definedName>
    <definedName name="XDO_?YTM?116?">BM!$I$30:$I$33</definedName>
    <definedName name="XDO_?YTM?117?">BM!$I$30:$I$45</definedName>
    <definedName name="XDO_?YTM?118?">BM!$I$30:$I$49</definedName>
    <definedName name="XDO_?YTM?119?">BM!$I$30:$I$64</definedName>
    <definedName name="XDO_?YTM?120?">BM!$I$30:$I$68</definedName>
    <definedName name="XDO_GROUP_?G_2?25?">BM!$2:$40</definedName>
    <definedName name="XDO_GROUP_?G_3?25?">BM!$8:$39</definedName>
    <definedName name="XDO_GROUP_?G_4?114?">[1]ON!#REF!</definedName>
    <definedName name="XDO_GROUP_?G_4?116?">BM!$B$10:$IV$13</definedName>
    <definedName name="XDO_GROUP_?G_4?117?">BM!$B$16:$IV$23</definedName>
    <definedName name="XDO_GROUP_?G_4?118?">BM!$B$27:$IV$27</definedName>
    <definedName name="XDO_GROUP_?G_4?119?">BM!$B$32:$IV$32</definedName>
    <definedName name="XDO_GROUP_?G_4?120?">BM!$B$37:$IV$37</definedName>
    <definedName name="XDO_GROUP_?G_4?28?">[1]TA!#REF!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1" i="1" l="1"/>
</calcChain>
</file>

<file path=xl/sharedStrings.xml><?xml version="1.0" encoding="utf-8"?>
<sst xmlns="http://schemas.openxmlformats.org/spreadsheetml/2006/main" count="180" uniqueCount="127">
  <si>
    <t>Baroda BNP Paribas Mutual Fund</t>
  </si>
  <si>
    <t>YR52</t>
  </si>
  <si>
    <t>SCHEME NAME :</t>
  </si>
  <si>
    <t xml:space="preserve">Baroda BNP Paribas Money Market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</si>
  <si>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</si>
  <si>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</si>
  <si>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</si>
  <si>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</si>
  <si>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</si>
  <si>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</si>
  <si>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</si>
  <si>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</si>
  <si>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</si>
  <si>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</si>
  <si>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</si>
  <si>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</si>
  <si>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</si>
  <si>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</si>
  <si>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</si>
  <si>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</si>
  <si>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</si>
  <si>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</si>
  <si>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</si>
  <si>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</si>
  <si>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</si>
  <si>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</si>
  <si>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</si>
  <si>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1008669</t>
  </si>
  <si>
    <t>Housing Development Finance Corporation Ltd. 05-Dec-2023</t>
  </si>
  <si>
    <t>INE001A14ZV6</t>
  </si>
  <si>
    <t>CRISIL A1+</t>
  </si>
  <si>
    <t>N**</t>
  </si>
  <si>
    <t>1008641</t>
  </si>
  <si>
    <t>Kotak Mahindra Investments Ltd. 24-Jul-2023</t>
  </si>
  <si>
    <t>INE975F14XW3</t>
  </si>
  <si>
    <t>1008609</t>
  </si>
  <si>
    <t>L&amp;T Finance Ltd. 28-Nov-2023</t>
  </si>
  <si>
    <t>INE027E14NV9</t>
  </si>
  <si>
    <t>1008660</t>
  </si>
  <si>
    <t>LIC Housing Finance Ltd. 12-Dec-2023</t>
  </si>
  <si>
    <t>INE115A14EB1</t>
  </si>
  <si>
    <t>Total</t>
  </si>
  <si>
    <t>b) Certificate of Deposits</t>
  </si>
  <si>
    <t>1102108</t>
  </si>
  <si>
    <t>Axis Bank Ltd. 23-Nov-2023</t>
  </si>
  <si>
    <t>INE238AD6157</t>
  </si>
  <si>
    <t>1102128</t>
  </si>
  <si>
    <t>ICICI Bank Ltd. 12-Dec-2023</t>
  </si>
  <si>
    <t>INE090A161Z0</t>
  </si>
  <si>
    <t>[ICRA]A1+</t>
  </si>
  <si>
    <t>1102127</t>
  </si>
  <si>
    <t>Canara Bank 12-Jun-2023</t>
  </si>
  <si>
    <t>INE476A16UK9</t>
  </si>
  <si>
    <t>1102131</t>
  </si>
  <si>
    <t>HDFC Bank Ltd. 14-Dec-2023</t>
  </si>
  <si>
    <t>INE040A16DO1</t>
  </si>
  <si>
    <t>IND A1+</t>
  </si>
  <si>
    <t>1102018</t>
  </si>
  <si>
    <t>Export-Import Bank of India 17-Aug-2023</t>
  </si>
  <si>
    <t>INE514E16CC4</t>
  </si>
  <si>
    <t>1102042</t>
  </si>
  <si>
    <t>State Bank of India 12-Sep-2023</t>
  </si>
  <si>
    <t>INE062A16465</t>
  </si>
  <si>
    <t>1102078</t>
  </si>
  <si>
    <t>IndusInd Bank Ltd. 11-Oct-2023</t>
  </si>
  <si>
    <t>INE095A16R00</t>
  </si>
  <si>
    <t>1102113</t>
  </si>
  <si>
    <t>Small Industries Development Bank of India 21-Nov-2023</t>
  </si>
  <si>
    <t>INE556F16AB8</t>
  </si>
  <si>
    <t>1102099</t>
  </si>
  <si>
    <t>The Federal Bank Ltd. 13-Nov-2023</t>
  </si>
  <si>
    <t>INE171A16KJ9</t>
  </si>
  <si>
    <t>c) Treasury Bills</t>
  </si>
  <si>
    <t>1800937</t>
  </si>
  <si>
    <t>364 DAY T-BILL 16-Nov-2023</t>
  </si>
  <si>
    <t>IN002022Z333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</si>
  <si>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</si>
  <si>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</si>
  <si>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</si>
  <si>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</si>
  <si>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</si>
  <si>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</si>
  <si>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</si>
  <si>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</si>
  <si>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</si>
  <si>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</si>
  <si>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</si>
  <si>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</si>
  <si>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</si>
  <si>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</si>
  <si>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</si>
  <si>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</si>
  <si>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</si>
  <si>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</si>
  <si>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</si>
  <si>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</si>
  <si>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</si>
  <si>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</si>
  <si>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</si>
  <si>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</si>
  <si>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</si>
  <si>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</si>
  <si>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Daily IDCW Option</t>
  </si>
  <si>
    <t>Regular Plan - Growth Option</t>
  </si>
  <si>
    <t>Regular Plan - Monthly IDCW Option</t>
  </si>
  <si>
    <t>Regular Plan - Weekly IDCW Option</t>
  </si>
  <si>
    <t>Direct Plan - Daily IDCW Option</t>
  </si>
  <si>
    <t>Direct Plan - Growth Option</t>
  </si>
  <si>
    <t>Direct Plan - Weekly IDCW Option</t>
  </si>
  <si>
    <t>Direct Plan - Monthly IDCW Option</t>
  </si>
  <si>
    <t>(8) Details of Dividend declared per unit (In Rupees) during the month are as follows</t>
  </si>
  <si>
    <t>Individuals/HUF</t>
  </si>
  <si>
    <t>Others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</si>
  <si>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</si>
  <si>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</si>
  <si>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The Average Maturity period of the portfolio has been 256 days.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</si>
  <si>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</si>
  <si>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</si>
  <si>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</si>
  <si>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</si>
  <si>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</si>
  <si>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</si>
  <si>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</si>
  <si>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</si>
  <si>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</si>
  <si>
    <t>(17) Macaulay Duration of the portfolio has been 255 days.</t>
  </si>
  <si>
    <t>(18) Annualised Portfolio YTM has been 7.5875.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</si>
</sst>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5" fontId="3" fillId="0" borderId="10" xfId="1" applyNumberFormat="1" applyFont="1" applyBorder="1"/>
    <xf numFmtId="164" fontId="3" fillId="0" borderId="10" xfId="1" applyFont="1" applyBorder="1" applyAlignment="1">
      <alignment horizontal="right"/>
    </xf>
    <xf numFmtId="164" fontId="3" fillId="0" borderId="10" xfId="1" applyFont="1" applyBorder="1"/>
    <xf numFmtId="166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168" fontId="3" fillId="0" borderId="0" xfId="0" applyNumberFormat="1" applyFont="1" applyAlignment="1">
      <alignment horizontal="right"/>
    </xf>
    <xf numFmtId="168" fontId="3" fillId="0" borderId="0" xfId="1" applyNumberFormat="1" applyFont="1" applyAlignment="1">
      <alignment horizontal="right"/>
    </xf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B4A634C5-44F7-4E0A-9F67-4EF5ECFFDA05}"/>
    <cellStyle name="Hyperlink" xfId="2" builtinId="8"/>
    <cellStyle name="Normal" xfId="0" builtinId="0"/>
    <cellStyle name="Normal 2" xfId="4" xr:uid="{C2FDFCDE-C7EF-47B9-9334-E35A9FB18C94}"/>
    <cellStyle name="Style 1" xfId="3" xr:uid="{D9E2B8A9-D669-4136-8233-A751E4FE19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5</xdr:col>
      <xdr:colOff>504275</xdr:colOff>
      <xdr:row>130</xdr:row>
      <xdr:rowOff>58251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D08EF5-9683-2C9D-0C71-A7C61B535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582467"/>
          <a:ext cx="7455408" cy="29199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0EDF8-B54D-4A60-A0DA-B5D61D26E24C}">
  <dimension ref="A1:BC116"/>
  <sheetViews>
    <sheetView showGridLines="0" tabSelected="1" zoomScale="90" zoomScaleNormal="90" workbookViewId="0">
      <pane ySplit="6" topLeftCell="A114" activePane="bottomLeft" state="frozen"/>
      <selection activeCell="J4" sqref="J4"/>
      <selection pane="bottomLeft" activeCell="G126" sqref="G12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C8" s="28" t="s">
        <v>14</v>
      </c>
      <c r="D8" s="29"/>
      <c r="E8" s="30"/>
      <c r="F8" s="31"/>
      <c r="G8" s="32"/>
      <c r="H8" s="32"/>
      <c r="I8" s="33"/>
      <c r="J8" s="33"/>
      <c r="K8" s="34"/>
    </row>
    <row r="9" spans="1:55" x14ac:dyDescent="0.3">
      <c r="C9" s="21"/>
      <c r="D9" s="29"/>
      <c r="E9" s="30"/>
      <c r="F9" s="31"/>
      <c r="G9" s="32"/>
      <c r="H9" s="32"/>
      <c r="I9" s="33"/>
      <c r="J9" s="33"/>
      <c r="K9" s="34"/>
    </row>
    <row r="10" spans="1:55" x14ac:dyDescent="0.3">
      <c r="C10" s="28" t="s">
        <v>15</v>
      </c>
      <c r="D10" s="29"/>
      <c r="E10" s="30"/>
      <c r="F10" s="31"/>
      <c r="G10" s="32" t="s">
        <v>16</v>
      </c>
      <c r="H10" s="32" t="s">
        <v>16</v>
      </c>
      <c r="I10" s="33"/>
      <c r="J10" s="33"/>
      <c r="K10" s="34"/>
    </row>
    <row r="11" spans="1:55" x14ac:dyDescent="0.3">
      <c r="C11" s="21"/>
      <c r="D11" s="29"/>
      <c r="E11" s="30"/>
      <c r="F11" s="31"/>
      <c r="G11" s="32"/>
      <c r="H11" s="32"/>
      <c r="I11" s="33"/>
      <c r="J11" s="33"/>
      <c r="K11" s="34"/>
    </row>
    <row r="12" spans="1:55" x14ac:dyDescent="0.3">
      <c r="C12" s="28" t="s">
        <v>17</v>
      </c>
      <c r="D12" s="29"/>
      <c r="E12" s="30"/>
      <c r="F12" s="31"/>
      <c r="G12" s="32" t="s">
        <v>16</v>
      </c>
      <c r="H12" s="32" t="s">
        <v>16</v>
      </c>
      <c r="I12" s="33"/>
      <c r="J12" s="33"/>
      <c r="K12" s="34"/>
    </row>
    <row r="13" spans="1:55" x14ac:dyDescent="0.3">
      <c r="C13" s="21"/>
      <c r="D13" s="29"/>
      <c r="E13" s="30"/>
      <c r="F13" s="31"/>
      <c r="G13" s="32"/>
      <c r="H13" s="32"/>
      <c r="I13" s="33"/>
      <c r="J13" s="33"/>
      <c r="K13" s="34"/>
    </row>
    <row r="14" spans="1:55" x14ac:dyDescent="0.3">
      <c r="C14" s="28" t="s">
        <v>18</v>
      </c>
      <c r="D14" s="29"/>
      <c r="E14" s="30"/>
      <c r="F14" s="31"/>
      <c r="G14" s="32" t="s">
        <v>16</v>
      </c>
      <c r="H14" s="32" t="s">
        <v>16</v>
      </c>
      <c r="I14" s="33"/>
      <c r="J14" s="33"/>
      <c r="K14" s="34"/>
    </row>
    <row r="15" spans="1:55" x14ac:dyDescent="0.3">
      <c r="C15" s="21"/>
      <c r="D15" s="29"/>
      <c r="E15" s="30"/>
      <c r="F15" s="31"/>
      <c r="G15" s="32"/>
      <c r="H15" s="32"/>
      <c r="I15" s="33"/>
      <c r="J15" s="33"/>
      <c r="K15" s="34"/>
    </row>
    <row r="16" spans="1:55" x14ac:dyDescent="0.3">
      <c r="C16" s="28" t="s">
        <v>19</v>
      </c>
      <c r="D16" s="29"/>
      <c r="E16" s="30"/>
      <c r="F16" s="31"/>
      <c r="G16" s="32"/>
      <c r="H16" s="32"/>
      <c r="I16" s="33"/>
      <c r="J16" s="33"/>
      <c r="K16" s="34"/>
    </row>
    <row r="17" spans="1:11" x14ac:dyDescent="0.3">
      <c r="C17" s="21"/>
      <c r="D17" s="29"/>
      <c r="E17" s="30"/>
      <c r="F17" s="31"/>
      <c r="G17" s="32"/>
      <c r="H17" s="32"/>
      <c r="I17" s="33"/>
      <c r="J17" s="33"/>
      <c r="K17" s="34"/>
    </row>
    <row r="18" spans="1:11" x14ac:dyDescent="0.3">
      <c r="C18" s="28" t="s">
        <v>20</v>
      </c>
      <c r="D18" s="29"/>
      <c r="E18" s="30"/>
      <c r="F18" s="31"/>
      <c r="G18" s="32" t="s">
        <v>16</v>
      </c>
      <c r="H18" s="32" t="s">
        <v>16</v>
      </c>
      <c r="I18" s="33"/>
      <c r="J18" s="33"/>
      <c r="K18" s="34"/>
    </row>
    <row r="19" spans="1:11" x14ac:dyDescent="0.3">
      <c r="C19" s="21"/>
      <c r="D19" s="29"/>
      <c r="E19" s="30"/>
      <c r="F19" s="31"/>
      <c r="G19" s="32"/>
      <c r="H19" s="32"/>
      <c r="I19" s="33"/>
      <c r="J19" s="33"/>
      <c r="K19" s="34"/>
    </row>
    <row r="20" spans="1:11" x14ac:dyDescent="0.3">
      <c r="C20" s="28" t="s">
        <v>21</v>
      </c>
      <c r="D20" s="29"/>
      <c r="E20" s="30"/>
      <c r="F20" s="31"/>
      <c r="G20" s="32" t="s">
        <v>16</v>
      </c>
      <c r="H20" s="32" t="s">
        <v>16</v>
      </c>
      <c r="I20" s="33"/>
      <c r="J20" s="33"/>
      <c r="K20" s="34"/>
    </row>
    <row r="21" spans="1:11" x14ac:dyDescent="0.3">
      <c r="C21" s="21"/>
      <c r="D21" s="29"/>
      <c r="E21" s="30"/>
      <c r="F21" s="31"/>
      <c r="G21" s="32"/>
      <c r="H21" s="32"/>
      <c r="I21" s="33"/>
      <c r="J21" s="33"/>
      <c r="K21" s="34"/>
    </row>
    <row r="22" spans="1:11" x14ac:dyDescent="0.3">
      <c r="C22" s="28" t="s">
        <v>22</v>
      </c>
      <c r="D22" s="29"/>
      <c r="E22" s="30"/>
      <c r="F22" s="31"/>
      <c r="G22" s="32" t="s">
        <v>16</v>
      </c>
      <c r="H22" s="32" t="s">
        <v>16</v>
      </c>
      <c r="I22" s="33"/>
      <c r="J22" s="33"/>
      <c r="K22" s="34"/>
    </row>
    <row r="23" spans="1:11" x14ac:dyDescent="0.3">
      <c r="C23" s="21"/>
      <c r="D23" s="29"/>
      <c r="E23" s="30"/>
      <c r="F23" s="31"/>
      <c r="G23" s="32"/>
      <c r="H23" s="32"/>
      <c r="I23" s="33"/>
      <c r="J23" s="33"/>
      <c r="K23" s="34"/>
    </row>
    <row r="24" spans="1:11" x14ac:dyDescent="0.3">
      <c r="C24" s="28" t="s">
        <v>23</v>
      </c>
      <c r="D24" s="29"/>
      <c r="E24" s="30"/>
      <c r="F24" s="31"/>
      <c r="G24" s="32" t="s">
        <v>16</v>
      </c>
      <c r="H24" s="32" t="s">
        <v>16</v>
      </c>
      <c r="I24" s="33"/>
      <c r="J24" s="33"/>
      <c r="K24" s="34"/>
    </row>
    <row r="25" spans="1:11" x14ac:dyDescent="0.3">
      <c r="C25" s="21"/>
      <c r="D25" s="29"/>
      <c r="E25" s="30"/>
      <c r="F25" s="31"/>
      <c r="G25" s="32"/>
      <c r="H25" s="32"/>
      <c r="I25" s="33"/>
      <c r="J25" s="33"/>
      <c r="K25" s="34"/>
    </row>
    <row r="26" spans="1:11" x14ac:dyDescent="0.3">
      <c r="C26" s="28" t="s">
        <v>24</v>
      </c>
      <c r="D26" s="29"/>
      <c r="E26" s="30"/>
      <c r="F26" s="31"/>
      <c r="G26" s="32" t="s">
        <v>16</v>
      </c>
      <c r="H26" s="32" t="s">
        <v>16</v>
      </c>
      <c r="I26" s="33"/>
      <c r="J26" s="33"/>
      <c r="K26" s="34"/>
    </row>
    <row r="27" spans="1:11" x14ac:dyDescent="0.3">
      <c r="C27" s="21"/>
      <c r="D27" s="29"/>
      <c r="E27" s="30"/>
      <c r="F27" s="31"/>
      <c r="G27" s="32"/>
      <c r="H27" s="32"/>
      <c r="I27" s="33"/>
      <c r="J27" s="33"/>
      <c r="K27" s="34"/>
    </row>
    <row r="28" spans="1:11" x14ac:dyDescent="0.3">
      <c r="A28" s="35"/>
      <c r="B28" s="36"/>
      <c r="C28" s="28" t="s">
        <v>25</v>
      </c>
      <c r="D28" s="29"/>
      <c r="E28" s="30"/>
      <c r="F28" s="31"/>
      <c r="G28" s="32"/>
      <c r="H28" s="32"/>
      <c r="I28" s="33"/>
      <c r="J28" s="33"/>
      <c r="K28" s="34"/>
    </row>
    <row r="29" spans="1:11" x14ac:dyDescent="0.3">
      <c r="C29" s="37" t="s">
        <v>26</v>
      </c>
      <c r="D29" s="29"/>
      <c r="E29" s="30"/>
      <c r="F29" s="31"/>
      <c r="G29" s="32"/>
      <c r="H29" s="32"/>
      <c r="I29" s="33"/>
      <c r="J29" s="33"/>
      <c r="K29" s="34"/>
    </row>
    <row r="30" spans="1:11" x14ac:dyDescent="0.3">
      <c r="B30" s="1" t="s">
        <v>27</v>
      </c>
      <c r="C30" s="21" t="s">
        <v>28</v>
      </c>
      <c r="D30" s="29" t="s">
        <v>29</v>
      </c>
      <c r="E30" s="30" t="s">
        <v>30</v>
      </c>
      <c r="F30" s="31">
        <v>300</v>
      </c>
      <c r="G30" s="32">
        <v>1406.43</v>
      </c>
      <c r="H30" s="32">
        <v>8.7899999999999991</v>
      </c>
      <c r="I30" s="33">
        <v>7.9099000000000004</v>
      </c>
      <c r="J30" s="33"/>
      <c r="K30" s="34" t="s">
        <v>31</v>
      </c>
    </row>
    <row r="31" spans="1:11" x14ac:dyDescent="0.3">
      <c r="B31" s="1" t="s">
        <v>32</v>
      </c>
      <c r="C31" s="21" t="s">
        <v>33</v>
      </c>
      <c r="D31" s="29" t="s">
        <v>34</v>
      </c>
      <c r="E31" s="30" t="s">
        <v>30</v>
      </c>
      <c r="F31" s="31">
        <v>200</v>
      </c>
      <c r="G31" s="32">
        <v>964.28</v>
      </c>
      <c r="H31" s="32">
        <v>6.03</v>
      </c>
      <c r="I31" s="33">
        <v>7.8150000000000004</v>
      </c>
      <c r="J31" s="33"/>
      <c r="K31" s="34" t="s">
        <v>31</v>
      </c>
    </row>
    <row r="32" spans="1:11" x14ac:dyDescent="0.3">
      <c r="B32" s="1" t="s">
        <v>35</v>
      </c>
      <c r="C32" s="21" t="s">
        <v>36</v>
      </c>
      <c r="D32" s="29" t="s">
        <v>37</v>
      </c>
      <c r="E32" s="30" t="s">
        <v>30</v>
      </c>
      <c r="F32" s="31">
        <v>200</v>
      </c>
      <c r="G32" s="32">
        <v>938.38</v>
      </c>
      <c r="H32" s="32">
        <v>5.86</v>
      </c>
      <c r="I32" s="33">
        <v>7.99</v>
      </c>
      <c r="J32" s="33"/>
      <c r="K32" s="34" t="s">
        <v>31</v>
      </c>
    </row>
    <row r="33" spans="2:11" x14ac:dyDescent="0.3">
      <c r="B33" s="1" t="s">
        <v>38</v>
      </c>
      <c r="C33" s="21" t="s">
        <v>39</v>
      </c>
      <c r="D33" s="29" t="s">
        <v>40</v>
      </c>
      <c r="E33" s="30" t="s">
        <v>30</v>
      </c>
      <c r="F33" s="31">
        <v>80</v>
      </c>
      <c r="G33" s="32">
        <v>374.52</v>
      </c>
      <c r="H33" s="32">
        <v>2.34</v>
      </c>
      <c r="I33" s="33">
        <v>7.91</v>
      </c>
      <c r="J33" s="33"/>
      <c r="K33" s="34" t="s">
        <v>31</v>
      </c>
    </row>
    <row r="34" spans="2:11" x14ac:dyDescent="0.3">
      <c r="C34" s="28" t="s">
        <v>41</v>
      </c>
      <c r="D34" s="29"/>
      <c r="E34" s="30"/>
      <c r="F34" s="31"/>
      <c r="G34" s="38">
        <v>3683.61</v>
      </c>
      <c r="H34" s="38">
        <v>23.02</v>
      </c>
      <c r="I34" s="33"/>
      <c r="J34" s="33"/>
      <c r="K34" s="34"/>
    </row>
    <row r="35" spans="2:11" x14ac:dyDescent="0.3">
      <c r="C35" s="21"/>
      <c r="D35" s="29"/>
      <c r="E35" s="30"/>
      <c r="F35" s="31"/>
      <c r="G35" s="32"/>
      <c r="H35" s="32"/>
      <c r="I35" s="33"/>
      <c r="J35" s="33"/>
      <c r="K35" s="34"/>
    </row>
    <row r="36" spans="2:11" x14ac:dyDescent="0.3">
      <c r="C36" s="37" t="s">
        <v>42</v>
      </c>
      <c r="D36" s="29"/>
      <c r="E36" s="30"/>
      <c r="F36" s="31"/>
      <c r="G36" s="32"/>
      <c r="H36" s="32"/>
      <c r="I36" s="33"/>
      <c r="J36" s="33"/>
      <c r="K36" s="34"/>
    </row>
    <row r="37" spans="2:11" x14ac:dyDescent="0.3">
      <c r="B37" s="1" t="s">
        <v>43</v>
      </c>
      <c r="C37" s="21" t="s">
        <v>44</v>
      </c>
      <c r="D37" s="29" t="s">
        <v>45</v>
      </c>
      <c r="E37" s="30" t="s">
        <v>30</v>
      </c>
      <c r="F37" s="31">
        <v>300</v>
      </c>
      <c r="G37" s="32">
        <v>1411.91</v>
      </c>
      <c r="H37" s="32">
        <v>8.82</v>
      </c>
      <c r="I37" s="33">
        <v>7.72</v>
      </c>
      <c r="J37" s="33"/>
      <c r="K37" s="34" t="s">
        <v>31</v>
      </c>
    </row>
    <row r="38" spans="2:11" x14ac:dyDescent="0.3">
      <c r="B38" s="1" t="s">
        <v>46</v>
      </c>
      <c r="C38" s="21" t="s">
        <v>47</v>
      </c>
      <c r="D38" s="29" t="s">
        <v>48</v>
      </c>
      <c r="E38" s="30" t="s">
        <v>49</v>
      </c>
      <c r="F38" s="31">
        <v>280</v>
      </c>
      <c r="G38" s="32">
        <v>1312.97</v>
      </c>
      <c r="H38" s="32">
        <v>8.1999999999999993</v>
      </c>
      <c r="I38" s="33">
        <v>7.7050000000000001</v>
      </c>
      <c r="J38" s="33"/>
      <c r="K38" s="34" t="s">
        <v>31</v>
      </c>
    </row>
    <row r="39" spans="2:11" x14ac:dyDescent="0.3">
      <c r="B39" s="1" t="s">
        <v>50</v>
      </c>
      <c r="C39" s="21" t="s">
        <v>51</v>
      </c>
      <c r="D39" s="29" t="s">
        <v>52</v>
      </c>
      <c r="E39" s="30" t="s">
        <v>30</v>
      </c>
      <c r="F39" s="31">
        <v>260</v>
      </c>
      <c r="G39" s="32">
        <v>1265.97</v>
      </c>
      <c r="H39" s="32">
        <v>7.91</v>
      </c>
      <c r="I39" s="33">
        <v>7.4901999999999997</v>
      </c>
      <c r="J39" s="33"/>
      <c r="K39" s="34"/>
    </row>
    <row r="40" spans="2:11" x14ac:dyDescent="0.3">
      <c r="B40" s="1" t="s">
        <v>53</v>
      </c>
      <c r="C40" s="21" t="s">
        <v>54</v>
      </c>
      <c r="D40" s="29" t="s">
        <v>55</v>
      </c>
      <c r="E40" s="30" t="s">
        <v>56</v>
      </c>
      <c r="F40" s="31">
        <v>260</v>
      </c>
      <c r="G40" s="32">
        <v>1218.7</v>
      </c>
      <c r="H40" s="32">
        <v>7.61</v>
      </c>
      <c r="I40" s="33">
        <v>7.7050000000000001</v>
      </c>
      <c r="J40" s="33"/>
      <c r="K40" s="34" t="s">
        <v>31</v>
      </c>
    </row>
    <row r="41" spans="2:11" x14ac:dyDescent="0.3">
      <c r="B41" s="1" t="s">
        <v>57</v>
      </c>
      <c r="C41" s="21" t="s">
        <v>58</v>
      </c>
      <c r="D41" s="29" t="s">
        <v>59</v>
      </c>
      <c r="E41" s="30" t="s">
        <v>30</v>
      </c>
      <c r="F41" s="31">
        <v>200</v>
      </c>
      <c r="G41" s="32">
        <v>960.55</v>
      </c>
      <c r="H41" s="32">
        <v>6</v>
      </c>
      <c r="I41" s="33">
        <v>7.61</v>
      </c>
      <c r="J41" s="33"/>
      <c r="K41" s="34" t="s">
        <v>31</v>
      </c>
    </row>
    <row r="42" spans="2:11" x14ac:dyDescent="0.3">
      <c r="B42" s="1" t="s">
        <v>60</v>
      </c>
      <c r="C42" s="21" t="s">
        <v>61</v>
      </c>
      <c r="D42" s="29" t="s">
        <v>62</v>
      </c>
      <c r="E42" s="30" t="s">
        <v>56</v>
      </c>
      <c r="F42" s="31">
        <v>200</v>
      </c>
      <c r="G42" s="32">
        <v>955.91</v>
      </c>
      <c r="H42" s="32">
        <v>5.97</v>
      </c>
      <c r="I42" s="33">
        <v>7.5499000000000001</v>
      </c>
      <c r="J42" s="33"/>
      <c r="K42" s="34"/>
    </row>
    <row r="43" spans="2:11" x14ac:dyDescent="0.3">
      <c r="B43" s="1" t="s">
        <v>63</v>
      </c>
      <c r="C43" s="21" t="s">
        <v>64</v>
      </c>
      <c r="D43" s="29" t="s">
        <v>65</v>
      </c>
      <c r="E43" s="30" t="s">
        <v>30</v>
      </c>
      <c r="F43" s="31">
        <v>200</v>
      </c>
      <c r="G43" s="32">
        <v>948.99</v>
      </c>
      <c r="H43" s="32">
        <v>5.93</v>
      </c>
      <c r="I43" s="33">
        <v>7.7850000000000001</v>
      </c>
      <c r="J43" s="33"/>
      <c r="K43" s="34" t="s">
        <v>31</v>
      </c>
    </row>
    <row r="44" spans="2:11" x14ac:dyDescent="0.3">
      <c r="B44" s="1" t="s">
        <v>66</v>
      </c>
      <c r="C44" s="21" t="s">
        <v>67</v>
      </c>
      <c r="D44" s="29" t="s">
        <v>68</v>
      </c>
      <c r="E44" s="30" t="s">
        <v>30</v>
      </c>
      <c r="F44" s="31">
        <v>200</v>
      </c>
      <c r="G44" s="32">
        <v>941.86</v>
      </c>
      <c r="H44" s="32">
        <v>5.88</v>
      </c>
      <c r="I44" s="33">
        <v>7.69</v>
      </c>
      <c r="J44" s="33"/>
      <c r="K44" s="34" t="s">
        <v>31</v>
      </c>
    </row>
    <row r="45" spans="2:11" x14ac:dyDescent="0.3">
      <c r="B45" s="1" t="s">
        <v>69</v>
      </c>
      <c r="C45" s="21" t="s">
        <v>70</v>
      </c>
      <c r="D45" s="29" t="s">
        <v>71</v>
      </c>
      <c r="E45" s="30" t="s">
        <v>30</v>
      </c>
      <c r="F45" s="31">
        <v>180</v>
      </c>
      <c r="G45" s="32">
        <v>848.15</v>
      </c>
      <c r="H45" s="32">
        <v>5.3</v>
      </c>
      <c r="I45" s="33">
        <v>7.83</v>
      </c>
      <c r="J45" s="33"/>
      <c r="K45" s="34" t="s">
        <v>31</v>
      </c>
    </row>
    <row r="46" spans="2:11" x14ac:dyDescent="0.3">
      <c r="C46" s="28" t="s">
        <v>41</v>
      </c>
      <c r="D46" s="29"/>
      <c r="E46" s="30"/>
      <c r="F46" s="31"/>
      <c r="G46" s="38">
        <v>9865.01</v>
      </c>
      <c r="H46" s="38">
        <v>61.62</v>
      </c>
      <c r="I46" s="33"/>
      <c r="J46" s="33"/>
      <c r="K46" s="34"/>
    </row>
    <row r="47" spans="2:11" x14ac:dyDescent="0.3">
      <c r="C47" s="21"/>
      <c r="D47" s="29"/>
      <c r="E47" s="30"/>
      <c r="F47" s="31"/>
      <c r="G47" s="32"/>
      <c r="H47" s="32"/>
      <c r="I47" s="33"/>
      <c r="J47" s="33"/>
      <c r="K47" s="34"/>
    </row>
    <row r="48" spans="2:11" x14ac:dyDescent="0.3">
      <c r="C48" s="37" t="s">
        <v>72</v>
      </c>
      <c r="D48" s="29"/>
      <c r="E48" s="30"/>
      <c r="F48" s="31"/>
      <c r="G48" s="32"/>
      <c r="H48" s="32"/>
      <c r="I48" s="33"/>
      <c r="J48" s="33"/>
      <c r="K48" s="34"/>
    </row>
    <row r="49" spans="1:11" x14ac:dyDescent="0.3">
      <c r="B49" s="1" t="s">
        <v>73</v>
      </c>
      <c r="C49" s="21" t="s">
        <v>74</v>
      </c>
      <c r="D49" s="29" t="s">
        <v>75</v>
      </c>
      <c r="E49" s="30" t="s">
        <v>76</v>
      </c>
      <c r="F49" s="31">
        <v>2000000</v>
      </c>
      <c r="G49" s="32">
        <v>1897.09</v>
      </c>
      <c r="H49" s="32">
        <v>11.85</v>
      </c>
      <c r="I49" s="33">
        <v>6.875</v>
      </c>
      <c r="J49" s="33"/>
      <c r="K49" s="34"/>
    </row>
    <row r="50" spans="1:11" x14ac:dyDescent="0.3">
      <c r="C50" s="28" t="s">
        <v>41</v>
      </c>
      <c r="D50" s="29"/>
      <c r="E50" s="30"/>
      <c r="F50" s="31"/>
      <c r="G50" s="38">
        <v>1897.09</v>
      </c>
      <c r="H50" s="38">
        <v>11.85</v>
      </c>
      <c r="I50" s="33"/>
      <c r="J50" s="33"/>
      <c r="K50" s="34"/>
    </row>
    <row r="51" spans="1:11" x14ac:dyDescent="0.3">
      <c r="C51" s="21"/>
      <c r="D51" s="29"/>
      <c r="E51" s="30"/>
      <c r="F51" s="31"/>
      <c r="G51" s="32"/>
      <c r="H51" s="32"/>
      <c r="I51" s="33"/>
      <c r="J51" s="33"/>
      <c r="K51" s="34"/>
    </row>
    <row r="52" spans="1:11" x14ac:dyDescent="0.3">
      <c r="C52" s="28" t="s">
        <v>77</v>
      </c>
      <c r="D52" s="29"/>
      <c r="E52" s="30"/>
      <c r="F52" s="31"/>
      <c r="G52" s="32" t="s">
        <v>16</v>
      </c>
      <c r="H52" s="32" t="s">
        <v>16</v>
      </c>
      <c r="I52" s="33"/>
      <c r="J52" s="33"/>
      <c r="K52" s="34"/>
    </row>
    <row r="53" spans="1:11" x14ac:dyDescent="0.3">
      <c r="C53" s="21"/>
      <c r="D53" s="29"/>
      <c r="E53" s="30"/>
      <c r="F53" s="31"/>
      <c r="G53" s="32"/>
      <c r="H53" s="32"/>
      <c r="I53" s="33"/>
      <c r="J53" s="33"/>
      <c r="K53" s="34"/>
    </row>
    <row r="54" spans="1:11" x14ac:dyDescent="0.3">
      <c r="A54" s="35"/>
      <c r="B54" s="36"/>
      <c r="C54" s="28" t="s">
        <v>78</v>
      </c>
      <c r="D54" s="29"/>
      <c r="E54" s="30"/>
      <c r="F54" s="31"/>
      <c r="G54" s="32"/>
      <c r="H54" s="32"/>
      <c r="I54" s="33"/>
      <c r="J54" s="33"/>
      <c r="K54" s="34"/>
    </row>
    <row r="55" spans="1:11" x14ac:dyDescent="0.3">
      <c r="A55" s="36"/>
      <c r="B55" s="36"/>
      <c r="C55" s="28" t="s">
        <v>79</v>
      </c>
      <c r="D55" s="29"/>
      <c r="E55" s="30"/>
      <c r="F55" s="31"/>
      <c r="G55" s="32" t="s">
        <v>16</v>
      </c>
      <c r="H55" s="32" t="s">
        <v>16</v>
      </c>
      <c r="I55" s="33"/>
      <c r="J55" s="33"/>
      <c r="K55" s="34"/>
    </row>
    <row r="56" spans="1:11" x14ac:dyDescent="0.3">
      <c r="A56" s="36"/>
      <c r="B56" s="36"/>
      <c r="C56" s="28"/>
      <c r="D56" s="29"/>
      <c r="E56" s="30"/>
      <c r="F56" s="31"/>
      <c r="G56" s="32"/>
      <c r="H56" s="32"/>
      <c r="I56" s="33"/>
      <c r="J56" s="33"/>
      <c r="K56" s="34"/>
    </row>
    <row r="57" spans="1:11" x14ac:dyDescent="0.3">
      <c r="A57" s="36"/>
      <c r="B57" s="36"/>
      <c r="C57" s="28" t="s">
        <v>80</v>
      </c>
      <c r="D57" s="29"/>
      <c r="E57" s="30"/>
      <c r="F57" s="31"/>
      <c r="G57" s="32" t="s">
        <v>16</v>
      </c>
      <c r="H57" s="32" t="s">
        <v>16</v>
      </c>
      <c r="I57" s="33"/>
      <c r="J57" s="33"/>
      <c r="K57" s="34"/>
    </row>
    <row r="58" spans="1:11" x14ac:dyDescent="0.3">
      <c r="A58" s="36"/>
      <c r="B58" s="36"/>
      <c r="C58" s="28"/>
      <c r="D58" s="29"/>
      <c r="E58" s="30"/>
      <c r="F58" s="31"/>
      <c r="G58" s="32"/>
      <c r="H58" s="32"/>
      <c r="I58" s="33"/>
      <c r="J58" s="33"/>
      <c r="K58" s="34"/>
    </row>
    <row r="59" spans="1:11" x14ac:dyDescent="0.3">
      <c r="A59" s="36"/>
      <c r="B59" s="36"/>
      <c r="C59" s="28" t="s">
        <v>81</v>
      </c>
      <c r="D59" s="29"/>
      <c r="E59" s="30"/>
      <c r="F59" s="31"/>
      <c r="G59" s="32" t="s">
        <v>16</v>
      </c>
      <c r="H59" s="32" t="s">
        <v>16</v>
      </c>
      <c r="I59" s="33"/>
      <c r="J59" s="33"/>
      <c r="K59" s="34"/>
    </row>
    <row r="60" spans="1:11" x14ac:dyDescent="0.3">
      <c r="A60" s="36"/>
      <c r="B60" s="36"/>
      <c r="C60" s="28"/>
      <c r="D60" s="29"/>
      <c r="E60" s="30"/>
      <c r="F60" s="31"/>
      <c r="G60" s="32"/>
      <c r="H60" s="32"/>
      <c r="I60" s="33"/>
      <c r="J60" s="33"/>
      <c r="K60" s="34"/>
    </row>
    <row r="61" spans="1:11" x14ac:dyDescent="0.3">
      <c r="A61" s="36"/>
      <c r="B61" s="36"/>
      <c r="C61" s="28" t="s">
        <v>82</v>
      </c>
      <c r="D61" s="29"/>
      <c r="E61" s="30"/>
      <c r="F61" s="31"/>
      <c r="G61" s="32" t="s">
        <v>16</v>
      </c>
      <c r="H61" s="32" t="s">
        <v>16</v>
      </c>
      <c r="I61" s="33"/>
      <c r="J61" s="33"/>
      <c r="K61" s="34"/>
    </row>
    <row r="62" spans="1:11" x14ac:dyDescent="0.3">
      <c r="A62" s="36"/>
      <c r="B62" s="36"/>
      <c r="C62" s="28"/>
      <c r="D62" s="29"/>
      <c r="E62" s="30"/>
      <c r="F62" s="31"/>
      <c r="G62" s="32"/>
      <c r="H62" s="32"/>
      <c r="I62" s="33"/>
      <c r="J62" s="33"/>
      <c r="K62" s="34"/>
    </row>
    <row r="63" spans="1:11" x14ac:dyDescent="0.3">
      <c r="C63" s="37" t="s">
        <v>83</v>
      </c>
      <c r="D63" s="29"/>
      <c r="E63" s="30"/>
      <c r="F63" s="31"/>
      <c r="G63" s="32"/>
      <c r="H63" s="32"/>
      <c r="I63" s="33"/>
      <c r="J63" s="33"/>
      <c r="K63" s="34"/>
    </row>
    <row r="64" spans="1:11" x14ac:dyDescent="0.3">
      <c r="B64" s="1" t="s">
        <v>84</v>
      </c>
      <c r="C64" s="21" t="s">
        <v>85</v>
      </c>
      <c r="D64" s="29"/>
      <c r="E64" s="30"/>
      <c r="F64" s="31"/>
      <c r="G64" s="32">
        <v>601.72</v>
      </c>
      <c r="H64" s="32">
        <v>3.76</v>
      </c>
      <c r="I64" s="33">
        <v>6.4121865622550001</v>
      </c>
      <c r="J64" s="33"/>
      <c r="K64" s="34"/>
    </row>
    <row r="65" spans="1:11" x14ac:dyDescent="0.3">
      <c r="C65" s="28" t="s">
        <v>41</v>
      </c>
      <c r="D65" s="29"/>
      <c r="E65" s="30"/>
      <c r="F65" s="31"/>
      <c r="G65" s="38">
        <v>601.72</v>
      </c>
      <c r="H65" s="38">
        <v>3.76</v>
      </c>
      <c r="I65" s="33"/>
      <c r="J65" s="33"/>
      <c r="K65" s="34"/>
    </row>
    <row r="66" spans="1:11" x14ac:dyDescent="0.3">
      <c r="C66" s="21"/>
      <c r="D66" s="29"/>
      <c r="E66" s="30"/>
      <c r="F66" s="31"/>
      <c r="G66" s="32"/>
      <c r="H66" s="32"/>
      <c r="I66" s="33"/>
      <c r="J66" s="33"/>
      <c r="K66" s="34"/>
    </row>
    <row r="67" spans="1:11" x14ac:dyDescent="0.3">
      <c r="A67" s="35"/>
      <c r="B67" s="36"/>
      <c r="C67" s="28" t="s">
        <v>86</v>
      </c>
      <c r="D67" s="29"/>
      <c r="E67" s="30"/>
      <c r="F67" s="31"/>
      <c r="G67" s="32"/>
      <c r="H67" s="32"/>
      <c r="I67" s="33"/>
      <c r="J67" s="33"/>
      <c r="K67" s="34"/>
    </row>
    <row r="68" spans="1:11" x14ac:dyDescent="0.3">
      <c r="B68" s="1"/>
      <c r="C68" s="21" t="s">
        <v>87</v>
      </c>
      <c r="D68" s="29"/>
      <c r="E68" s="30"/>
      <c r="F68" s="31"/>
      <c r="G68" s="32">
        <v>-42.98</v>
      </c>
      <c r="H68" s="32">
        <v>-0.25</v>
      </c>
      <c r="I68" s="33"/>
      <c r="J68" s="33"/>
      <c r="K68" s="34"/>
    </row>
    <row r="69" spans="1:11" x14ac:dyDescent="0.3">
      <c r="C69" s="28" t="s">
        <v>41</v>
      </c>
      <c r="D69" s="29"/>
      <c r="E69" s="30"/>
      <c r="F69" s="31"/>
      <c r="G69" s="38">
        <v>-42.98</v>
      </c>
      <c r="H69" s="38">
        <v>-0.25</v>
      </c>
      <c r="I69" s="33"/>
      <c r="J69" s="33"/>
      <c r="K69" s="34"/>
    </row>
    <row r="70" spans="1:11" x14ac:dyDescent="0.3">
      <c r="C70" s="21"/>
      <c r="D70" s="29"/>
      <c r="E70" s="30"/>
      <c r="F70" s="31"/>
      <c r="G70" s="32"/>
      <c r="H70" s="32"/>
      <c r="I70" s="33"/>
      <c r="J70" s="33"/>
      <c r="K70" s="34"/>
    </row>
    <row r="71" spans="1:11" ht="14.4" thickBot="1" x14ac:dyDescent="0.35">
      <c r="C71" s="39" t="s">
        <v>88</v>
      </c>
      <c r="D71" s="40"/>
      <c r="E71" s="41"/>
      <c r="F71" s="42"/>
      <c r="G71" s="43">
        <v>16004.45</v>
      </c>
      <c r="H71" s="43">
        <f>SUMIFS(H:H,C:C,"Total")</f>
        <v>100</v>
      </c>
      <c r="I71" s="44"/>
      <c r="J71" s="44"/>
      <c r="K71" s="45"/>
    </row>
    <row r="74" spans="1:11" x14ac:dyDescent="0.3">
      <c r="C74" s="11" t="s">
        <v>89</v>
      </c>
    </row>
    <row r="75" spans="1:11" x14ac:dyDescent="0.3">
      <c r="C75" s="2" t="s">
        <v>90</v>
      </c>
    </row>
    <row r="76" spans="1:11" x14ac:dyDescent="0.3">
      <c r="C76" s="46" t="s">
        <v>91</v>
      </c>
    </row>
    <row r="77" spans="1:11" x14ac:dyDescent="0.3">
      <c r="C77" s="2" t="s">
        <v>92</v>
      </c>
    </row>
    <row r="78" spans="1:11" x14ac:dyDescent="0.3">
      <c r="C78" s="2" t="s">
        <v>93</v>
      </c>
    </row>
    <row r="79" spans="1:11" x14ac:dyDescent="0.3">
      <c r="C79" s="2" t="s">
        <v>94</v>
      </c>
      <c r="D79" s="47"/>
      <c r="E79" s="47"/>
      <c r="F79" s="47"/>
      <c r="G79" s="48"/>
      <c r="H79" s="48"/>
    </row>
    <row r="80" spans="1:11" x14ac:dyDescent="0.3">
      <c r="C80" s="2" t="s">
        <v>95</v>
      </c>
    </row>
    <row r="81" spans="3:55" x14ac:dyDescent="0.3">
      <c r="C81" s="2" t="s">
        <v>96</v>
      </c>
    </row>
    <row r="82" spans="3:55" x14ac:dyDescent="0.3">
      <c r="C82" s="2" t="s">
        <v>97</v>
      </c>
    </row>
    <row r="83" spans="3:55" x14ac:dyDescent="0.3">
      <c r="C83" s="2" t="s">
        <v>98</v>
      </c>
    </row>
    <row r="84" spans="3:55" s="11" customFormat="1" x14ac:dyDescent="0.3">
      <c r="C84" s="11" t="s">
        <v>99</v>
      </c>
      <c r="E84" s="11" t="s">
        <v>100</v>
      </c>
      <c r="F84" s="49" t="s">
        <v>101</v>
      </c>
      <c r="G84" s="50"/>
      <c r="H84" s="50"/>
      <c r="I84" s="50"/>
      <c r="J84" s="50"/>
      <c r="K84" s="51"/>
      <c r="L84" s="51"/>
      <c r="M84" s="51"/>
      <c r="AJ84" s="51"/>
      <c r="AW84" s="51"/>
      <c r="AY84" s="51"/>
      <c r="BC84" s="51"/>
    </row>
    <row r="85" spans="3:55" x14ac:dyDescent="0.3">
      <c r="C85" s="2" t="s">
        <v>102</v>
      </c>
      <c r="E85" s="52">
        <v>1005.9775</v>
      </c>
      <c r="F85" s="53">
        <v>1005.9766</v>
      </c>
    </row>
    <row r="86" spans="3:55" x14ac:dyDescent="0.3">
      <c r="C86" s="2" t="s">
        <v>103</v>
      </c>
      <c r="E86" s="52">
        <v>1155.9435000000001</v>
      </c>
      <c r="F86" s="53">
        <v>1161.9077</v>
      </c>
    </row>
    <row r="87" spans="3:55" x14ac:dyDescent="0.3">
      <c r="C87" s="2" t="s">
        <v>104</v>
      </c>
      <c r="E87" s="52">
        <v>1006.0856</v>
      </c>
      <c r="F87" s="53">
        <v>1006.1415</v>
      </c>
    </row>
    <row r="88" spans="3:55" x14ac:dyDescent="0.3">
      <c r="C88" s="2" t="s">
        <v>105</v>
      </c>
      <c r="E88" s="52">
        <v>1001.0237</v>
      </c>
      <c r="F88" s="53">
        <v>1000.1572</v>
      </c>
    </row>
    <row r="89" spans="3:55" x14ac:dyDescent="0.3">
      <c r="C89" s="2" t="s">
        <v>106</v>
      </c>
      <c r="E89" s="52">
        <v>1000</v>
      </c>
      <c r="F89" s="53">
        <v>1000</v>
      </c>
    </row>
    <row r="90" spans="3:55" x14ac:dyDescent="0.3">
      <c r="C90" s="2" t="s">
        <v>107</v>
      </c>
      <c r="E90" s="52">
        <v>1167.1496</v>
      </c>
      <c r="F90" s="53">
        <v>1173.3670999999999</v>
      </c>
    </row>
    <row r="91" spans="3:55" x14ac:dyDescent="0.3">
      <c r="C91" s="2" t="s">
        <v>108</v>
      </c>
      <c r="E91" s="52">
        <v>1000.8841</v>
      </c>
      <c r="F91" s="53">
        <v>1000.0001</v>
      </c>
    </row>
    <row r="92" spans="3:55" x14ac:dyDescent="0.3">
      <c r="C92" s="2" t="s">
        <v>109</v>
      </c>
      <c r="E92" s="54">
        <v>1000</v>
      </c>
      <c r="F92" s="55">
        <v>1000</v>
      </c>
    </row>
    <row r="94" spans="3:55" x14ac:dyDescent="0.3">
      <c r="C94" s="2" t="s">
        <v>110</v>
      </c>
      <c r="E94" s="11" t="s">
        <v>111</v>
      </c>
      <c r="F94" s="49" t="s">
        <v>112</v>
      </c>
    </row>
    <row r="95" spans="3:55" x14ac:dyDescent="0.3">
      <c r="C95" s="2" t="s">
        <v>102</v>
      </c>
      <c r="E95" s="52">
        <v>5.1091875699999996</v>
      </c>
      <c r="F95" s="53">
        <v>5.1091875699999996</v>
      </c>
    </row>
    <row r="96" spans="3:55" x14ac:dyDescent="0.3">
      <c r="C96" s="2" t="s">
        <v>104</v>
      </c>
      <c r="E96" s="52">
        <v>5.13</v>
      </c>
      <c r="F96" s="53">
        <v>5.13</v>
      </c>
    </row>
    <row r="97" spans="3:55" x14ac:dyDescent="0.3">
      <c r="C97" s="2" t="s">
        <v>105</v>
      </c>
      <c r="E97" s="52">
        <v>6.0184465999999999</v>
      </c>
      <c r="F97" s="53">
        <v>6.0184465999999999</v>
      </c>
    </row>
    <row r="98" spans="3:55" x14ac:dyDescent="0.3">
      <c r="C98" s="2" t="s">
        <v>108</v>
      </c>
      <c r="E98" s="52">
        <v>6.2005449199999996</v>
      </c>
      <c r="F98" s="53">
        <v>6.2005449199999996</v>
      </c>
    </row>
    <row r="100" spans="3:55" x14ac:dyDescent="0.3">
      <c r="C100" s="2" t="s">
        <v>113</v>
      </c>
    </row>
    <row r="101" spans="3:55" x14ac:dyDescent="0.3">
      <c r="C101" s="2" t="s">
        <v>114</v>
      </c>
    </row>
    <row r="102" spans="3:55" x14ac:dyDescent="0.3">
      <c r="C102" s="2" t="s">
        <v>115</v>
      </c>
    </row>
    <row r="103" spans="3:55" x14ac:dyDescent="0.3">
      <c r="C103" s="2" t="s">
        <v>116</v>
      </c>
    </row>
    <row r="104" spans="3:55" x14ac:dyDescent="0.3">
      <c r="C104" s="2" t="s">
        <v>117</v>
      </c>
    </row>
    <row r="105" spans="3:55" x14ac:dyDescent="0.3">
      <c r="C105" s="2" t="s">
        <v>118</v>
      </c>
    </row>
    <row r="106" spans="3:55" x14ac:dyDescent="0.3">
      <c r="C106" s="2" t="s">
        <v>119</v>
      </c>
    </row>
    <row r="107" spans="3:55" x14ac:dyDescent="0.3">
      <c r="C107" s="2" t="s">
        <v>120</v>
      </c>
    </row>
    <row r="108" spans="3:55" x14ac:dyDescent="0.3">
      <c r="C108" s="2" t="s">
        <v>121</v>
      </c>
    </row>
    <row r="109" spans="3:55" x14ac:dyDescent="0.3">
      <c r="C109" s="2" t="s">
        <v>122</v>
      </c>
    </row>
    <row r="110" spans="3:55" x14ac:dyDescent="0.3">
      <c r="C110" s="2" t="s">
        <v>123</v>
      </c>
    </row>
    <row r="111" spans="3:55" x14ac:dyDescent="0.3">
      <c r="C111" s="2" t="s">
        <v>124</v>
      </c>
    </row>
    <row r="112" spans="3:55" ht="14.4" x14ac:dyDescent="0.3">
      <c r="C112" s="2" t="s">
        <v>125</v>
      </c>
      <c r="D112" s="56"/>
      <c r="E112" s="57"/>
      <c r="F112" s="57"/>
      <c r="G112" s="57"/>
      <c r="H112" s="57"/>
      <c r="I112" s="57"/>
      <c r="J112" s="57"/>
      <c r="K112" s="57"/>
      <c r="L112" s="2"/>
      <c r="M112" s="2"/>
      <c r="AF112" s="10"/>
      <c r="AJ112" s="2"/>
      <c r="AS112" s="10"/>
      <c r="AU112" s="10"/>
      <c r="AW112" s="2"/>
      <c r="BC112" s="2"/>
    </row>
    <row r="113" spans="3:55" ht="14.4" x14ac:dyDescent="0.3">
      <c r="C113" s="2" t="s">
        <v>126</v>
      </c>
      <c r="D113" s="57"/>
      <c r="E113" s="57"/>
      <c r="F113" s="57"/>
      <c r="G113" s="57"/>
      <c r="H113" s="57"/>
      <c r="I113" s="57"/>
      <c r="J113" s="57"/>
      <c r="K113" s="57"/>
      <c r="L113" s="2"/>
      <c r="M113" s="2"/>
      <c r="AF113" s="10"/>
      <c r="AJ113" s="2"/>
      <c r="AS113" s="10"/>
      <c r="AU113" s="10"/>
      <c r="AW113" s="2"/>
      <c r="BC113" s="2"/>
    </row>
    <row r="114" spans="3:55" ht="14.4" x14ac:dyDescent="0.3">
      <c r="C114" s="56"/>
      <c r="D114" s="56"/>
      <c r="E114" s="57"/>
      <c r="F114" s="57"/>
      <c r="G114" s="57"/>
      <c r="H114" s="57"/>
      <c r="I114" s="57"/>
      <c r="J114" s="57"/>
      <c r="K114" s="57"/>
    </row>
    <row r="115" spans="3:55" ht="14.4" x14ac:dyDescent="0.3">
      <c r="C115" s="57"/>
      <c r="D115" s="57"/>
      <c r="E115" s="57"/>
      <c r="F115" s="57"/>
      <c r="G115" s="57"/>
      <c r="H115" s="57"/>
      <c r="I115" s="57"/>
      <c r="J115" s="57"/>
      <c r="K115" s="57"/>
    </row>
    <row r="116" spans="3:55" ht="14.4" x14ac:dyDescent="0.3">
      <c r="C116" s="57"/>
      <c r="D116" s="57"/>
      <c r="E116" s="57"/>
      <c r="F116" s="57"/>
      <c r="G116" s="57"/>
      <c r="H116" s="57"/>
      <c r="I116" s="57"/>
      <c r="J116" s="57"/>
      <c r="K116" s="57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BM</vt:lpstr>
      <vt:lpstr>XDO_?CLASS_3?25?</vt:lpstr>
      <vt:lpstr>XDO_?FINAL_ISIN?116?</vt:lpstr>
      <vt:lpstr>XDO_?FINAL_ISIN?117?</vt:lpstr>
      <vt:lpstr>XDO_?FINAL_ISIN?118?</vt:lpstr>
      <vt:lpstr>XDO_?FINAL_ISIN?119?</vt:lpstr>
      <vt:lpstr>XDO_?FINAL_ISIN?120?</vt:lpstr>
      <vt:lpstr>XDO_?FINAL_MV?116?</vt:lpstr>
      <vt:lpstr>XDO_?FINAL_MV?117?</vt:lpstr>
      <vt:lpstr>XDO_?FINAL_MV?118?</vt:lpstr>
      <vt:lpstr>XDO_?FINAL_MV?119?</vt:lpstr>
      <vt:lpstr>XDO_?FINAL_MV?120?</vt:lpstr>
      <vt:lpstr>XDO_?FINAL_NAME?116?</vt:lpstr>
      <vt:lpstr>XDO_?FINAL_NAME?117?</vt:lpstr>
      <vt:lpstr>XDO_?FINAL_NAME?118?</vt:lpstr>
      <vt:lpstr>XDO_?FINAL_NAME?119?</vt:lpstr>
      <vt:lpstr>XDO_?FINAL_NAME?120?</vt:lpstr>
      <vt:lpstr>XDO_?FINAL_PER_NET?116?</vt:lpstr>
      <vt:lpstr>XDO_?FINAL_PER_NET?117?</vt:lpstr>
      <vt:lpstr>XDO_?FINAL_PER_NET?118?</vt:lpstr>
      <vt:lpstr>XDO_?FINAL_PER_NET?119?</vt:lpstr>
      <vt:lpstr>XDO_?FINAL_PER_NET?120?</vt:lpstr>
      <vt:lpstr>XDO_?FINAL_QUANTITE?116?</vt:lpstr>
      <vt:lpstr>XDO_?FINAL_QUANTITE?117?</vt:lpstr>
      <vt:lpstr>XDO_?FINAL_QUANTITE?118?</vt:lpstr>
      <vt:lpstr>XDO_?FINAL_QUANTITE?119?</vt:lpstr>
      <vt:lpstr>XDO_?FINAL_QUANTITE?120?</vt:lpstr>
      <vt:lpstr>XDO_?NAMCNAME?25?</vt:lpstr>
      <vt:lpstr>XDO_?NOVAL?116?</vt:lpstr>
      <vt:lpstr>XDO_?NOVAL?117?</vt:lpstr>
      <vt:lpstr>XDO_?NOVAL?118?</vt:lpstr>
      <vt:lpstr>XDO_?NOVAL?119?</vt:lpstr>
      <vt:lpstr>XDO_?NOVAL?120?</vt:lpstr>
      <vt:lpstr>XDO_?NPTF?25?</vt:lpstr>
      <vt:lpstr>XDO_?RATING?116?</vt:lpstr>
      <vt:lpstr>XDO_?RATING?117?</vt:lpstr>
      <vt:lpstr>XDO_?RATING?118?</vt:lpstr>
      <vt:lpstr>XDO_?RATING?119?</vt:lpstr>
      <vt:lpstr>XDO_?RATING?120?</vt:lpstr>
      <vt:lpstr>XDO_?REMARKS?116?</vt:lpstr>
      <vt:lpstr>XDO_?REMARKS?117?</vt:lpstr>
      <vt:lpstr>XDO_?REMARKS?118?</vt:lpstr>
      <vt:lpstr>XDO_?REMARKS?119?</vt:lpstr>
      <vt:lpstr>XDO_?REMARKS?120?</vt:lpstr>
      <vt:lpstr>XDO_?TITL?25?</vt:lpstr>
      <vt:lpstr>XDO_?YTM?116?</vt:lpstr>
      <vt:lpstr>XDO_?YTM?117?</vt:lpstr>
      <vt:lpstr>XDO_?YTM?118?</vt:lpstr>
      <vt:lpstr>XDO_?YTM?119?</vt:lpstr>
      <vt:lpstr>XDO_?YTM?120?</vt:lpstr>
      <vt:lpstr>XDO_GROUP_?G_2?25?</vt:lpstr>
      <vt:lpstr>XDO_GROUP_?G_3?25?</vt:lpstr>
      <vt:lpstr>XDO_GROUP_?G_4?116?</vt:lpstr>
      <vt:lpstr>XDO_GROUP_?G_4?117?</vt:lpstr>
      <vt:lpstr>XDO_GROUP_?G_4?118?</vt:lpstr>
      <vt:lpstr>XDO_GROUP_?G_4?119?</vt:lpstr>
      <vt:lpstr>XDO_GROUP_?G_4?120?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2023-02-06T13:49:46Z</dcterms:created>
  <dcterms:modified xsi:type="dcterms:W3CDTF">2023-02-09T10:53:40Z</dcterms:modified>
</cp:coreProperties>
</file>