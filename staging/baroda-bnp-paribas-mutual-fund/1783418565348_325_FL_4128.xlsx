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2?">'Monthly Portfolio'!$C$18:$C$29</definedName>
    <definedName name="XDO_?FINAL_ISIN?10?">'Monthly Portfolio'!$D$26:$D$67</definedName>
    <definedName name="XDO_?FINAL_ISIN?7?">'Monthly Portfolio'!$D$26:$D$29</definedName>
    <definedName name="XDO_?FINAL_ISIN?8?">'Monthly Portfolio'!$D$26:$D$40</definedName>
    <definedName name="XDO_?FINAL_ISIN?9?">'Monthly Portfolio'!$D$26:$D$63</definedName>
    <definedName name="XDO_?FINAL_MV?10?">'Monthly Portfolio'!$G$26:$G$67</definedName>
    <definedName name="XDO_?FINAL_MV?7?">'Monthly Portfolio'!$G$26:$G$29</definedName>
    <definedName name="XDO_?FINAL_MV?8?">'Monthly Portfolio'!$G$26:$G$40</definedName>
    <definedName name="XDO_?FINAL_MV?9?">'Monthly Portfolio'!$G$26:$G$63</definedName>
    <definedName name="XDO_?FINAL_NAME?10?">'Monthly Portfolio'!$C$26:$C$67</definedName>
    <definedName name="XDO_?FINAL_NAME?7?">'Monthly Portfolio'!$C$26:$C$29</definedName>
    <definedName name="XDO_?FINAL_NAME?8?">'Monthly Portfolio'!$C$26:$C$40</definedName>
    <definedName name="XDO_?FINAL_NAME?9?">'Monthly Portfolio'!$C$26:$C$63</definedName>
    <definedName name="XDO_?FINAL_PER_NET?10?">'Monthly Portfolio'!$H$26:$H$67</definedName>
    <definedName name="XDO_?FINAL_PER_NET?7?">'Monthly Portfolio'!$H$26:$H$29</definedName>
    <definedName name="XDO_?FINAL_PER_NET?8?">'Monthly Portfolio'!$H$26:$H$40</definedName>
    <definedName name="XDO_?FINAL_PER_NET?9?">'Monthly Portfolio'!$H$26:$H$63</definedName>
    <definedName name="XDO_?FINAL_QUANTITE?10?">'Monthly Portfolio'!$F$26:$F$67</definedName>
    <definedName name="XDO_?FINAL_QUANTITE?7?">'Monthly Portfolio'!$F$26:$F$29</definedName>
    <definedName name="XDO_?FINAL_QUANTITE?8?">'Monthly Portfolio'!$F$26:$F$40</definedName>
    <definedName name="XDO_?FINAL_QUANTITE?9?">'Monthly Portfolio'!$F$26:$F$63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'Monthly Portfolio'!#REF!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'Monthly Portfolio'!$C$2:$C$29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'Monthly Portfolio'!#REF!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'Monthly Portfolio'!#REF!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'Monthly Portfolio'!$B$26:$B$67</definedName>
    <definedName name="XDO_?NOVAL?7?">'Monthly Portfolio'!$B$26:$B$29</definedName>
    <definedName name="XDO_?NOVAL?8?">'Monthly Portfolio'!$B$26:$B$40</definedName>
    <definedName name="XDO_?NOVAL?9?">'Monthly Portfolio'!$B$26:$B$63</definedName>
    <definedName name="XDO_?NPTF?2?">'Monthly Portfolio'!$D$2:$D$29</definedName>
    <definedName name="XDO_?RATING?10?">'Monthly Portfolio'!$E$26:$E$67</definedName>
    <definedName name="XDO_?RATING?7?">'Monthly Portfolio'!$E$26:$E$29</definedName>
    <definedName name="XDO_?RATING?8?">'Monthly Portfolio'!$E$26:$E$40</definedName>
    <definedName name="XDO_?RATING?9?">'Monthly Portfolio'!$E$26:$E$63</definedName>
    <definedName name="XDO_?REMARKS?10?">'Monthly Portfolio'!$K$26:$K$67</definedName>
    <definedName name="XDO_?REMARKS?7?">'Monthly Portfolio'!$K$26:$K$29</definedName>
    <definedName name="XDO_?REMARKS?8?">'Monthly Portfolio'!$K$26:$K$40</definedName>
    <definedName name="XDO_?REMARKS?9?">'Monthly Portfolio'!$K$26:$K$63</definedName>
    <definedName name="XDO_?TITL?2?">'Monthly Portfolio'!$A$18:$A$29</definedName>
    <definedName name="XDO_?YTM?10?">'Monthly Portfolio'!$I$26:$I$67</definedName>
    <definedName name="XDO_?YTM?7?">'Monthly Portfolio'!$I$26:$I$29</definedName>
    <definedName name="XDO_?YTM?8?">'Monthly Portfolio'!$I$26:$I$40</definedName>
    <definedName name="XDO_?YTM?9?">'Monthly Portfolio'!$I$26:$I$63</definedName>
    <definedName name="XDO_GROUP_?G_2?2?">'Monthly Portfolio'!$2:$35</definedName>
    <definedName name="XDO_GROUP_?G_3?2?">'Monthly Portfolio'!$8:$34</definedName>
    <definedName name="XDO_GROUP_?G_4?10?">'Monthly Portfolio'!$B$32:$IV$32</definedName>
    <definedName name="XDO_GROUP_?G_4?140?">[1]BM!#REF!</definedName>
    <definedName name="XDO_GROUP_?G_4?40?">[1]TA!#REF!</definedName>
    <definedName name="XDO_GROUP_?G_4?7?">'Monthly Portfolio'!$B$10:$IV$13</definedName>
    <definedName name="XDO_GROUP_?G_4?8?">'Monthly Portfolio'!$B$16:$IV$22</definedName>
    <definedName name="XDO_GROUP_?G_4?9?">'Monthly Portfolio'!$B$27:$IV$27</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2" i="2" l="1"/>
  <c r="H70" i="1" l="1"/>
</calcChain>
</file>

<file path=xl/sharedStrings.xml><?xml version="1.0" encoding="utf-8"?>
<sst xmlns="http://schemas.openxmlformats.org/spreadsheetml/2006/main" count="379" uniqueCount="147">
  <si>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</si>
  <si>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</si>
  <si>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</si>
  <si>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</si>
  <si>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</si>
  <si>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</si>
  <si>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</si>
  <si>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</si>
  <si>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</si>
  <si>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</si>
  <si>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</si>
  <si>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</si>
  <si>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</si>
  <si>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</si>
  <si>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</si>
  <si>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</si>
  <si>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</si>
  <si>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</si>
  <si>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</si>
  <si>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</si>
  <si>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</si>
  <si>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</si>
  <si>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b) Privately Placed/Unlisted</t>
  </si>
  <si>
    <t>c) Securitised Debt Instruments</t>
  </si>
  <si>
    <t>d) Central Government Securities</t>
  </si>
  <si>
    <t>900291</t>
  </si>
  <si>
    <t>7.17% Government of India 17-Apr-2030</t>
  </si>
  <si>
    <t>IN0020230036</t>
  </si>
  <si>
    <t>Sovereign</t>
  </si>
  <si>
    <t>900290</t>
  </si>
  <si>
    <t>7.06% Government of India 10-Apr-2028</t>
  </si>
  <si>
    <t>IN0020230010</t>
  </si>
  <si>
    <t>900288</t>
  </si>
  <si>
    <t>7.26% Government of India 06-Feb-2033</t>
  </si>
  <si>
    <t>IN0020220151</t>
  </si>
  <si>
    <t>900283</t>
  </si>
  <si>
    <t>7.26% Government of India 22-Aug-2032</t>
  </si>
  <si>
    <t>IN0020220060</t>
  </si>
  <si>
    <t>Total</t>
  </si>
  <si>
    <t>e) State Government Securities</t>
  </si>
  <si>
    <t>1903462</t>
  </si>
  <si>
    <t>7.61% State Government of Maharashtra 11-May-2029</t>
  </si>
  <si>
    <t>IN2220220031</t>
  </si>
  <si>
    <t>1901206</t>
  </si>
  <si>
    <t>7.17% State Government of Karnataka 27-Nov-2029</t>
  </si>
  <si>
    <t>IN1920190106</t>
  </si>
  <si>
    <t>1904044</t>
  </si>
  <si>
    <t>6.99% State Government of Maharashtra 09-Feb-2029</t>
  </si>
  <si>
    <t>IN2220210289</t>
  </si>
  <si>
    <t>1903372</t>
  </si>
  <si>
    <t>6.58% State Government of Karnataka 03-Jun-2030</t>
  </si>
  <si>
    <t>IN1920200053</t>
  </si>
  <si>
    <t>1901376</t>
  </si>
  <si>
    <t>6.49% State Government of Gujarat 02-Dec-2029</t>
  </si>
  <si>
    <t>IN1520200222</t>
  </si>
  <si>
    <t>1904920</t>
  </si>
  <si>
    <t>7.33% State Government of Maharashtra 31-May-2031</t>
  </si>
  <si>
    <t>IN2220230055</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</si>
  <si>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</si>
  <si>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</si>
  <si>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</si>
  <si>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</si>
  <si>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</si>
  <si>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</si>
  <si>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</si>
  <si>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</si>
  <si>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</si>
  <si>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</si>
  <si>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</si>
  <si>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</si>
  <si>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</si>
  <si>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</si>
  <si>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</si>
  <si>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</si>
  <si>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</si>
  <si>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</si>
  <si>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</si>
  <si>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</si>
  <si>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</si>
  <si>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</si>
  <si>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</si>
  <si>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</si>
  <si>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</si>
  <si>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</si>
  <si>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</si>
  <si>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</si>
  <si>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</si>
  <si>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</si>
  <si>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</si>
  <si>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</si>
  <si>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</si>
  <si>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</si>
  <si>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</si>
  <si>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</si>
  <si>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</si>
  <si>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</si>
  <si>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</si>
  <si>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</si>
  <si>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</si>
  <si>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</si>
  <si>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</si>
  <si>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</si>
  <si>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</si>
  <si>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</si>
  <si>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</si>
  <si>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</si>
  <si>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</si>
  <si>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</si>
  <si>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</si>
  <si>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</si>
  <si>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</si>
  <si>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</si>
  <si>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1940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</si>
  <si>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</si>
  <si>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</si>
  <si>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</si>
  <si>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</si>
  <si>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</si>
  <si>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</si>
  <si>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</si>
  <si>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</si>
  <si>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</si>
  <si>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1537 days.</t>
  </si>
  <si>
    <t>(18) Annualised Portfolio YTM has been 7.3623.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</si>
  <si>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</si>
  <si>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</si>
  <si>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</si>
  <si>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</si>
  <si>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</si>
  <si>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</si>
  <si>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</si>
  <si>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</si>
  <si>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</si>
  <si>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</si>
  <si>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</si>
  <si>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</si>
  <si>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</si>
  <si>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</si>
  <si>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DYNAMIC BOND FUND
(An Open ended Dynamic Debt Scheme investing across duration. A Relatively High Interest Rate Risk and Moderate Credit Risk Scheme)</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</si>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</sst>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5</xdr:col>
      <xdr:colOff>504275</xdr:colOff>
      <xdr:row>140</xdr:row>
      <xdr:rowOff>154771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182667"/>
          <a:ext cx="7455408" cy="3194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504275</xdr:colOff>
      <xdr:row>142</xdr:row>
      <xdr:rowOff>154771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877020"/>
          <a:ext cx="7453715" cy="31494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2"/>
  <sheetViews>
    <sheetView showGridLines="0" tabSelected="1" zoomScale="90" zoomScaleNormal="90" workbookViewId="0">
      <pane ySplit="6" topLeftCell="A135" activePane="bottomLeft" state="frozen"/>
      <selection activeCell="I2" sqref="I2"/>
      <selection pane="bottomLeft" activeCell="G139" sqref="G13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C25" s="37" t="s">
        <v>24</v>
      </c>
      <c r="D25" s="29"/>
      <c r="E25" s="30"/>
      <c r="F25" s="31"/>
      <c r="G25" s="32"/>
      <c r="H25" s="32"/>
      <c r="I25" s="33"/>
      <c r="J25" s="33"/>
      <c r="K25" s="34"/>
    </row>
    <row r="26" spans="1:11" x14ac:dyDescent="0.3">
      <c r="B26" s="1" t="s">
        <v>25</v>
      </c>
      <c r="C26" s="21" t="s">
        <v>26</v>
      </c>
      <c r="D26" s="29" t="s">
        <v>27</v>
      </c>
      <c r="E26" s="30" t="s">
        <v>28</v>
      </c>
      <c r="F26" s="31">
        <v>2300000</v>
      </c>
      <c r="G26" s="32">
        <v>2290.83</v>
      </c>
      <c r="H26" s="32">
        <v>16.13</v>
      </c>
      <c r="I26" s="33">
        <v>7.3778914999999996</v>
      </c>
      <c r="J26" s="33"/>
      <c r="K26" s="34"/>
    </row>
    <row r="27" spans="1:11" x14ac:dyDescent="0.3">
      <c r="B27" s="1" t="s">
        <v>29</v>
      </c>
      <c r="C27" s="21" t="s">
        <v>30</v>
      </c>
      <c r="D27" s="29" t="s">
        <v>31</v>
      </c>
      <c r="E27" s="30" t="s">
        <v>28</v>
      </c>
      <c r="F27" s="31">
        <v>2000000</v>
      </c>
      <c r="G27" s="32">
        <v>1986.76</v>
      </c>
      <c r="H27" s="32">
        <v>13.98</v>
      </c>
      <c r="I27" s="33">
        <v>7.3641008000000001</v>
      </c>
      <c r="J27" s="33"/>
      <c r="K27" s="34"/>
    </row>
    <row r="28" spans="1:11" x14ac:dyDescent="0.3">
      <c r="B28" s="1" t="s">
        <v>32</v>
      </c>
      <c r="C28" s="21" t="s">
        <v>33</v>
      </c>
      <c r="D28" s="29" t="s">
        <v>34</v>
      </c>
      <c r="E28" s="30" t="s">
        <v>28</v>
      </c>
      <c r="F28" s="31">
        <v>1500000</v>
      </c>
      <c r="G28" s="32">
        <v>1501.16</v>
      </c>
      <c r="H28" s="32">
        <v>10.57</v>
      </c>
      <c r="I28" s="33">
        <v>7.3776878999999997</v>
      </c>
      <c r="J28" s="33"/>
      <c r="K28" s="34"/>
    </row>
    <row r="29" spans="1:11" x14ac:dyDescent="0.3">
      <c r="B29" s="1" t="s">
        <v>35</v>
      </c>
      <c r="C29" s="21" t="s">
        <v>36</v>
      </c>
      <c r="D29" s="29" t="s">
        <v>37</v>
      </c>
      <c r="E29" s="30" t="s">
        <v>28</v>
      </c>
      <c r="F29" s="31">
        <v>300000</v>
      </c>
      <c r="G29" s="32">
        <v>299.91000000000003</v>
      </c>
      <c r="H29" s="32">
        <v>2.11</v>
      </c>
      <c r="I29" s="33">
        <v>7.3947871000000003</v>
      </c>
      <c r="J29" s="33"/>
      <c r="K29" s="34"/>
    </row>
    <row r="30" spans="1:11" x14ac:dyDescent="0.3">
      <c r="C30" s="28" t="s">
        <v>38</v>
      </c>
      <c r="D30" s="29"/>
      <c r="E30" s="30"/>
      <c r="F30" s="31"/>
      <c r="G30" s="38">
        <v>6078.66</v>
      </c>
      <c r="H30" s="38">
        <v>42.79</v>
      </c>
      <c r="I30" s="33"/>
      <c r="J30" s="33"/>
      <c r="K30" s="34"/>
    </row>
    <row r="31" spans="1:11" x14ac:dyDescent="0.3">
      <c r="C31" s="21"/>
      <c r="D31" s="29"/>
      <c r="E31" s="30"/>
      <c r="F31" s="31"/>
      <c r="G31" s="32"/>
      <c r="H31" s="32"/>
      <c r="I31" s="33"/>
      <c r="J31" s="33"/>
      <c r="K31" s="34"/>
    </row>
    <row r="32" spans="1:11" x14ac:dyDescent="0.3">
      <c r="C32" s="37" t="s">
        <v>39</v>
      </c>
      <c r="D32" s="29"/>
      <c r="E32" s="30"/>
      <c r="F32" s="31"/>
      <c r="G32" s="32"/>
      <c r="H32" s="32"/>
      <c r="I32" s="33"/>
      <c r="J32" s="33"/>
      <c r="K32" s="34"/>
    </row>
    <row r="33" spans="2:11" x14ac:dyDescent="0.3">
      <c r="B33" s="1" t="s">
        <v>40</v>
      </c>
      <c r="C33" s="21" t="s">
        <v>41</v>
      </c>
      <c r="D33" s="29" t="s">
        <v>42</v>
      </c>
      <c r="E33" s="30" t="s">
        <v>28</v>
      </c>
      <c r="F33" s="31">
        <v>1300000</v>
      </c>
      <c r="G33" s="32">
        <v>1307.8699999999999</v>
      </c>
      <c r="H33" s="32">
        <v>9.2100000000000009</v>
      </c>
      <c r="I33" s="33">
        <v>7.6129376000000004</v>
      </c>
      <c r="J33" s="33"/>
      <c r="K33" s="34"/>
    </row>
    <row r="34" spans="2:11" x14ac:dyDescent="0.3">
      <c r="B34" s="1" t="s">
        <v>43</v>
      </c>
      <c r="C34" s="21" t="s">
        <v>44</v>
      </c>
      <c r="D34" s="29" t="s">
        <v>45</v>
      </c>
      <c r="E34" s="30" t="s">
        <v>28</v>
      </c>
      <c r="F34" s="31">
        <v>1000000</v>
      </c>
      <c r="G34" s="32">
        <v>986.16</v>
      </c>
      <c r="H34" s="32">
        <v>6.94</v>
      </c>
      <c r="I34" s="33">
        <v>7.5903340000000004</v>
      </c>
      <c r="J34" s="33"/>
      <c r="K34" s="34"/>
    </row>
    <row r="35" spans="2:11" x14ac:dyDescent="0.3">
      <c r="B35" s="1" t="s">
        <v>46</v>
      </c>
      <c r="C35" s="21" t="s">
        <v>47</v>
      </c>
      <c r="D35" s="29" t="s">
        <v>48</v>
      </c>
      <c r="E35" s="30" t="s">
        <v>28</v>
      </c>
      <c r="F35" s="31">
        <v>1000000</v>
      </c>
      <c r="G35" s="32">
        <v>979.72</v>
      </c>
      <c r="H35" s="32">
        <v>6.9</v>
      </c>
      <c r="I35" s="33">
        <v>7.5921875999999999</v>
      </c>
      <c r="J35" s="33"/>
      <c r="K35" s="34"/>
    </row>
    <row r="36" spans="2:11" x14ac:dyDescent="0.3">
      <c r="B36" s="1" t="s">
        <v>49</v>
      </c>
      <c r="C36" s="21" t="s">
        <v>50</v>
      </c>
      <c r="D36" s="29" t="s">
        <v>51</v>
      </c>
      <c r="E36" s="30" t="s">
        <v>28</v>
      </c>
      <c r="F36" s="31">
        <v>1000000</v>
      </c>
      <c r="G36" s="32">
        <v>954.79</v>
      </c>
      <c r="H36" s="32">
        <v>6.72</v>
      </c>
      <c r="I36" s="33">
        <v>7.5883495999999999</v>
      </c>
      <c r="J36" s="33"/>
      <c r="K36" s="34"/>
    </row>
    <row r="37" spans="2:11" x14ac:dyDescent="0.3">
      <c r="B37" s="1" t="s">
        <v>52</v>
      </c>
      <c r="C37" s="21" t="s">
        <v>53</v>
      </c>
      <c r="D37" s="29" t="s">
        <v>54</v>
      </c>
      <c r="E37" s="30" t="s">
        <v>28</v>
      </c>
      <c r="F37" s="31">
        <v>1000000</v>
      </c>
      <c r="G37" s="32">
        <v>953.29</v>
      </c>
      <c r="H37" s="32">
        <v>6.71</v>
      </c>
      <c r="I37" s="33">
        <v>7.5839411999999999</v>
      </c>
      <c r="J37" s="33"/>
      <c r="K37" s="34"/>
    </row>
    <row r="38" spans="2:11" x14ac:dyDescent="0.3">
      <c r="B38" s="1" t="s">
        <v>55</v>
      </c>
      <c r="C38" s="21" t="s">
        <v>56</v>
      </c>
      <c r="D38" s="29" t="s">
        <v>57</v>
      </c>
      <c r="E38" s="30" t="s">
        <v>28</v>
      </c>
      <c r="F38" s="31">
        <v>500000</v>
      </c>
      <c r="G38" s="32">
        <v>495.45</v>
      </c>
      <c r="H38" s="32">
        <v>3.49</v>
      </c>
      <c r="I38" s="33">
        <v>7.6257945999999999</v>
      </c>
      <c r="J38" s="33"/>
      <c r="K38" s="34"/>
    </row>
    <row r="39" spans="2:11" x14ac:dyDescent="0.3">
      <c r="B39" s="1" t="s">
        <v>58</v>
      </c>
      <c r="C39" s="21" t="s">
        <v>59</v>
      </c>
      <c r="D39" s="29" t="s">
        <v>60</v>
      </c>
      <c r="E39" s="30" t="s">
        <v>28</v>
      </c>
      <c r="F39" s="31">
        <v>500</v>
      </c>
      <c r="G39" s="32">
        <v>0.52</v>
      </c>
      <c r="H39" s="32" t="s">
        <v>61</v>
      </c>
      <c r="I39" s="33">
        <v>7.6232876000000003</v>
      </c>
      <c r="J39" s="33"/>
      <c r="K39" s="34"/>
    </row>
    <row r="40" spans="2:11" x14ac:dyDescent="0.3">
      <c r="B40" s="1" t="s">
        <v>62</v>
      </c>
      <c r="C40" s="21" t="s">
        <v>63</v>
      </c>
      <c r="D40" s="29" t="s">
        <v>64</v>
      </c>
      <c r="E40" s="30" t="s">
        <v>28</v>
      </c>
      <c r="F40" s="31">
        <v>300</v>
      </c>
      <c r="G40" s="32">
        <v>0.3</v>
      </c>
      <c r="H40" s="32" t="s">
        <v>61</v>
      </c>
      <c r="I40" s="33">
        <v>7.6087502000000002</v>
      </c>
      <c r="J40" s="33"/>
      <c r="K40" s="34"/>
    </row>
    <row r="41" spans="2:11" x14ac:dyDescent="0.3">
      <c r="C41" s="28" t="s">
        <v>38</v>
      </c>
      <c r="D41" s="29"/>
      <c r="E41" s="30"/>
      <c r="F41" s="31"/>
      <c r="G41" s="38">
        <v>5678.1</v>
      </c>
      <c r="H41" s="38">
        <v>39.97</v>
      </c>
      <c r="I41" s="33"/>
      <c r="J41" s="33"/>
      <c r="K41" s="34"/>
    </row>
    <row r="42" spans="2:11" x14ac:dyDescent="0.3">
      <c r="C42" s="21"/>
      <c r="D42" s="29"/>
      <c r="E42" s="30"/>
      <c r="F42" s="31"/>
      <c r="G42" s="32"/>
      <c r="H42" s="32"/>
      <c r="I42" s="33"/>
      <c r="J42" s="33"/>
      <c r="K42" s="34"/>
    </row>
    <row r="43" spans="2:11" x14ac:dyDescent="0.3">
      <c r="C43" s="28" t="s">
        <v>65</v>
      </c>
      <c r="D43" s="29"/>
      <c r="E43" s="30"/>
      <c r="F43" s="31"/>
      <c r="G43" s="32"/>
      <c r="H43" s="32"/>
      <c r="I43" s="33"/>
      <c r="J43" s="33"/>
      <c r="K43" s="34"/>
    </row>
    <row r="44" spans="2:11" x14ac:dyDescent="0.3">
      <c r="C44" s="21"/>
      <c r="D44" s="29"/>
      <c r="E44" s="30"/>
      <c r="F44" s="31"/>
      <c r="G44" s="32"/>
      <c r="H44" s="32"/>
      <c r="I44" s="33"/>
      <c r="J44" s="33"/>
      <c r="K44" s="34"/>
    </row>
    <row r="45" spans="2:11" x14ac:dyDescent="0.3">
      <c r="C45" s="28" t="s">
        <v>66</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28" t="s">
        <v>67</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C49" s="28" t="s">
        <v>68</v>
      </c>
      <c r="D49" s="29"/>
      <c r="E49" s="30"/>
      <c r="F49" s="31"/>
      <c r="G49" s="32" t="s">
        <v>16</v>
      </c>
      <c r="H49" s="32" t="s">
        <v>16</v>
      </c>
      <c r="I49" s="33"/>
      <c r="J49" s="33"/>
      <c r="K49" s="34"/>
    </row>
    <row r="50" spans="1:11" x14ac:dyDescent="0.3">
      <c r="C50" s="21"/>
      <c r="D50" s="29"/>
      <c r="E50" s="30"/>
      <c r="F50" s="31"/>
      <c r="G50" s="32"/>
      <c r="H50" s="32"/>
      <c r="I50" s="33"/>
      <c r="J50" s="33"/>
      <c r="K50" s="34"/>
    </row>
    <row r="51" spans="1:11" x14ac:dyDescent="0.3">
      <c r="C51" s="28" t="s">
        <v>69</v>
      </c>
      <c r="D51" s="29"/>
      <c r="E51" s="30"/>
      <c r="F51" s="31"/>
      <c r="G51" s="32" t="s">
        <v>16</v>
      </c>
      <c r="H51" s="32" t="s">
        <v>16</v>
      </c>
      <c r="I51" s="33"/>
      <c r="J51" s="33"/>
      <c r="K51" s="34"/>
    </row>
    <row r="52" spans="1:11" x14ac:dyDescent="0.3">
      <c r="C52" s="21"/>
      <c r="D52" s="29"/>
      <c r="E52" s="30"/>
      <c r="F52" s="31"/>
      <c r="G52" s="32"/>
      <c r="H52" s="32"/>
      <c r="I52" s="33"/>
      <c r="J52" s="33"/>
      <c r="K52" s="34"/>
    </row>
    <row r="53" spans="1:11" x14ac:dyDescent="0.3">
      <c r="A53" s="35"/>
      <c r="B53" s="36"/>
      <c r="C53" s="28" t="s">
        <v>70</v>
      </c>
      <c r="D53" s="29"/>
      <c r="E53" s="30"/>
      <c r="F53" s="31"/>
      <c r="G53" s="32"/>
      <c r="H53" s="32"/>
      <c r="I53" s="33"/>
      <c r="J53" s="33"/>
      <c r="K53" s="34"/>
    </row>
    <row r="54" spans="1:11" x14ac:dyDescent="0.3">
      <c r="A54" s="36"/>
      <c r="B54" s="36"/>
      <c r="C54" s="28" t="s">
        <v>71</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A56" s="36"/>
      <c r="B56" s="36"/>
      <c r="C56" s="28" t="s">
        <v>72</v>
      </c>
      <c r="D56" s="29"/>
      <c r="E56" s="30"/>
      <c r="F56" s="31"/>
      <c r="G56" s="32" t="s">
        <v>16</v>
      </c>
      <c r="H56" s="32" t="s">
        <v>16</v>
      </c>
      <c r="I56" s="33"/>
      <c r="J56" s="33"/>
      <c r="K56" s="34"/>
    </row>
    <row r="57" spans="1:11" x14ac:dyDescent="0.3">
      <c r="A57" s="36"/>
      <c r="B57" s="36"/>
      <c r="C57" s="28"/>
      <c r="D57" s="29"/>
      <c r="E57" s="30"/>
      <c r="F57" s="31"/>
      <c r="G57" s="32"/>
      <c r="H57" s="32"/>
      <c r="I57" s="33"/>
      <c r="J57" s="33"/>
      <c r="K57" s="34"/>
    </row>
    <row r="58" spans="1:11" x14ac:dyDescent="0.3">
      <c r="A58" s="36"/>
      <c r="B58" s="36"/>
      <c r="C58" s="28" t="s">
        <v>73</v>
      </c>
      <c r="D58" s="29"/>
      <c r="E58" s="30"/>
      <c r="F58" s="31"/>
      <c r="G58" s="32" t="s">
        <v>16</v>
      </c>
      <c r="H58" s="32" t="s">
        <v>16</v>
      </c>
      <c r="I58" s="33"/>
      <c r="J58" s="33"/>
      <c r="K58" s="34"/>
    </row>
    <row r="59" spans="1:11" x14ac:dyDescent="0.3">
      <c r="A59" s="36"/>
      <c r="B59" s="36"/>
      <c r="C59" s="28"/>
      <c r="D59" s="29"/>
      <c r="E59" s="30"/>
      <c r="F59" s="31"/>
      <c r="G59" s="32"/>
      <c r="H59" s="32"/>
      <c r="I59" s="33"/>
      <c r="J59" s="33"/>
      <c r="K59" s="34"/>
    </row>
    <row r="60" spans="1:11" x14ac:dyDescent="0.3">
      <c r="A60" s="36"/>
      <c r="B60" s="36"/>
      <c r="C60" s="28" t="s">
        <v>74</v>
      </c>
      <c r="D60" s="29"/>
      <c r="E60" s="30"/>
      <c r="F60" s="31"/>
      <c r="G60" s="32" t="s">
        <v>16</v>
      </c>
      <c r="H60" s="32" t="s">
        <v>16</v>
      </c>
      <c r="I60" s="33"/>
      <c r="J60" s="33"/>
      <c r="K60" s="34"/>
    </row>
    <row r="61" spans="1:11" x14ac:dyDescent="0.3">
      <c r="A61" s="36"/>
      <c r="B61" s="36"/>
      <c r="C61" s="28"/>
      <c r="D61" s="29"/>
      <c r="E61" s="30"/>
      <c r="F61" s="31"/>
      <c r="G61" s="32"/>
      <c r="H61" s="32"/>
      <c r="I61" s="33"/>
      <c r="J61" s="33"/>
      <c r="K61" s="34"/>
    </row>
    <row r="62" spans="1:11" x14ac:dyDescent="0.3">
      <c r="C62" s="37" t="s">
        <v>75</v>
      </c>
      <c r="D62" s="29"/>
      <c r="E62" s="30"/>
      <c r="F62" s="31"/>
      <c r="G62" s="32"/>
      <c r="H62" s="32"/>
      <c r="I62" s="33"/>
      <c r="J62" s="33"/>
      <c r="K62" s="34"/>
    </row>
    <row r="63" spans="1:11" x14ac:dyDescent="0.3">
      <c r="B63" s="1" t="s">
        <v>76</v>
      </c>
      <c r="C63" s="21" t="s">
        <v>77</v>
      </c>
      <c r="D63" s="29"/>
      <c r="E63" s="30"/>
      <c r="F63" s="31"/>
      <c r="G63" s="32">
        <v>3690.25</v>
      </c>
      <c r="H63" s="32">
        <v>25.98</v>
      </c>
      <c r="I63" s="33">
        <v>6.79</v>
      </c>
      <c r="J63" s="33"/>
      <c r="K63" s="34"/>
    </row>
    <row r="64" spans="1:11" x14ac:dyDescent="0.3">
      <c r="C64" s="28" t="s">
        <v>38</v>
      </c>
      <c r="D64" s="29"/>
      <c r="E64" s="30"/>
      <c r="F64" s="31"/>
      <c r="G64" s="38">
        <v>3690.25</v>
      </c>
      <c r="H64" s="38">
        <v>25.98</v>
      </c>
      <c r="I64" s="33"/>
      <c r="J64" s="33"/>
      <c r="K64" s="34"/>
    </row>
    <row r="65" spans="1:11" x14ac:dyDescent="0.3">
      <c r="C65" s="21"/>
      <c r="D65" s="29"/>
      <c r="E65" s="30"/>
      <c r="F65" s="31"/>
      <c r="G65" s="32"/>
      <c r="H65" s="32"/>
      <c r="I65" s="33"/>
      <c r="J65" s="33"/>
      <c r="K65" s="34"/>
    </row>
    <row r="66" spans="1:11" x14ac:dyDescent="0.3">
      <c r="A66" s="35"/>
      <c r="B66" s="36"/>
      <c r="C66" s="28" t="s">
        <v>78</v>
      </c>
      <c r="D66" s="29"/>
      <c r="E66" s="30"/>
      <c r="F66" s="31"/>
      <c r="G66" s="32"/>
      <c r="H66" s="32"/>
      <c r="I66" s="33"/>
      <c r="J66" s="33"/>
      <c r="K66" s="34"/>
    </row>
    <row r="67" spans="1:11" x14ac:dyDescent="0.3">
      <c r="B67" s="1"/>
      <c r="C67" s="21" t="s">
        <v>79</v>
      </c>
      <c r="D67" s="29"/>
      <c r="E67" s="30"/>
      <c r="F67" s="31"/>
      <c r="G67" s="32">
        <v>-1240.55</v>
      </c>
      <c r="H67" s="32">
        <v>-8.74</v>
      </c>
      <c r="I67" s="33"/>
      <c r="J67" s="33"/>
      <c r="K67" s="34"/>
    </row>
    <row r="68" spans="1:11" x14ac:dyDescent="0.3">
      <c r="C68" s="28" t="s">
        <v>38</v>
      </c>
      <c r="D68" s="29"/>
      <c r="E68" s="30"/>
      <c r="F68" s="31"/>
      <c r="G68" s="38">
        <v>-1240.55</v>
      </c>
      <c r="H68" s="38">
        <v>-8.74</v>
      </c>
      <c r="I68" s="33"/>
      <c r="J68" s="33"/>
      <c r="K68" s="34"/>
    </row>
    <row r="69" spans="1:11" x14ac:dyDescent="0.3">
      <c r="C69" s="21"/>
      <c r="D69" s="29"/>
      <c r="E69" s="30"/>
      <c r="F69" s="31"/>
      <c r="G69" s="32"/>
      <c r="H69" s="32"/>
      <c r="I69" s="33"/>
      <c r="J69" s="33"/>
      <c r="K69" s="34"/>
    </row>
    <row r="70" spans="1:11" ht="14.4" thickBot="1" x14ac:dyDescent="0.35">
      <c r="C70" s="39" t="s">
        <v>80</v>
      </c>
      <c r="D70" s="40"/>
      <c r="E70" s="41"/>
      <c r="F70" s="42"/>
      <c r="G70" s="43">
        <v>14206.46</v>
      </c>
      <c r="H70" s="43">
        <f>SUMIFS(H:H,C:C,"Total")</f>
        <v>100</v>
      </c>
      <c r="I70" s="44"/>
      <c r="J70" s="44"/>
      <c r="K70" s="45"/>
    </row>
    <row r="73" spans="1:11" x14ac:dyDescent="0.3">
      <c r="C73" s="11" t="s">
        <v>81</v>
      </c>
    </row>
    <row r="74" spans="1:11" x14ac:dyDescent="0.3">
      <c r="C74" s="2" t="s">
        <v>82</v>
      </c>
    </row>
    <row r="75" spans="1:11" x14ac:dyDescent="0.3">
      <c r="C75" s="46" t="s">
        <v>83</v>
      </c>
    </row>
    <row r="76" spans="1:11" x14ac:dyDescent="0.3">
      <c r="C76" s="2" t="s">
        <v>84</v>
      </c>
    </row>
    <row r="77" spans="1:11" x14ac:dyDescent="0.3">
      <c r="C77" s="2" t="s">
        <v>85</v>
      </c>
    </row>
    <row r="78" spans="1:11" x14ac:dyDescent="0.3">
      <c r="C78" s="2" t="s">
        <v>86</v>
      </c>
      <c r="D78" s="47"/>
      <c r="E78" s="47"/>
      <c r="F78" s="47"/>
      <c r="G78" s="48"/>
      <c r="H78" s="48"/>
    </row>
    <row r="79" spans="1:11" x14ac:dyDescent="0.3">
      <c r="C79" s="2" t="s">
        <v>87</v>
      </c>
    </row>
    <row r="80" spans="1:11" x14ac:dyDescent="0.3">
      <c r="C80" s="2" t="s">
        <v>88</v>
      </c>
    </row>
    <row r="81" spans="3:55" x14ac:dyDescent="0.3">
      <c r="C81" s="2" t="s">
        <v>89</v>
      </c>
    </row>
    <row r="82" spans="3:55" x14ac:dyDescent="0.3">
      <c r="C82" s="2" t="s">
        <v>90</v>
      </c>
    </row>
    <row r="83" spans="3:55" s="11" customFormat="1" x14ac:dyDescent="0.3">
      <c r="C83" s="11" t="s">
        <v>91</v>
      </c>
      <c r="E83" s="11" t="s">
        <v>92</v>
      </c>
      <c r="F83" s="49" t="s">
        <v>93</v>
      </c>
      <c r="G83" s="50"/>
      <c r="H83" s="50"/>
      <c r="I83" s="50"/>
      <c r="J83" s="50"/>
      <c r="K83" s="51"/>
      <c r="L83" s="51"/>
      <c r="M83" s="51"/>
      <c r="AJ83" s="51"/>
      <c r="AW83" s="51"/>
      <c r="AY83" s="51"/>
      <c r="BC83" s="51"/>
    </row>
    <row r="84" spans="3:55" x14ac:dyDescent="0.3">
      <c r="C84" s="2" t="s">
        <v>94</v>
      </c>
      <c r="E84" s="52">
        <v>10.114800000000001</v>
      </c>
      <c r="F84" s="53">
        <v>10.098800000000001</v>
      </c>
    </row>
    <row r="85" spans="3:55" x14ac:dyDescent="0.3">
      <c r="C85" s="2" t="s">
        <v>95</v>
      </c>
      <c r="E85" s="52">
        <v>39.838200000000001</v>
      </c>
      <c r="F85" s="53">
        <v>39.9666</v>
      </c>
    </row>
    <row r="86" spans="3:55" x14ac:dyDescent="0.3">
      <c r="C86" s="2" t="s">
        <v>96</v>
      </c>
      <c r="E86" s="52">
        <v>10.384399999999999</v>
      </c>
      <c r="F86" s="53">
        <v>10.107699999999999</v>
      </c>
    </row>
    <row r="87" spans="3:55" x14ac:dyDescent="0.3">
      <c r="C87" s="2" t="s">
        <v>97</v>
      </c>
      <c r="E87" s="52">
        <v>10.2264</v>
      </c>
      <c r="F87" s="53">
        <v>10.209300000000001</v>
      </c>
    </row>
    <row r="88" spans="3:55" x14ac:dyDescent="0.3">
      <c r="C88" s="2" t="s">
        <v>98</v>
      </c>
      <c r="E88" s="52">
        <v>10.3185</v>
      </c>
      <c r="F88" s="53">
        <v>10.191700000000001</v>
      </c>
    </row>
    <row r="89" spans="3:55" x14ac:dyDescent="0.3">
      <c r="C89" s="2" t="s">
        <v>99</v>
      </c>
      <c r="E89" s="52">
        <v>10.087199999999999</v>
      </c>
      <c r="F89" s="53">
        <v>10.07</v>
      </c>
    </row>
    <row r="90" spans="3:55" x14ac:dyDescent="0.3">
      <c r="C90" s="2" t="s">
        <v>100</v>
      </c>
      <c r="E90" s="52">
        <v>28.054600000000001</v>
      </c>
      <c r="F90" s="53">
        <v>28.145</v>
      </c>
    </row>
    <row r="91" spans="3:55" x14ac:dyDescent="0.3">
      <c r="C91" s="2" t="s">
        <v>101</v>
      </c>
      <c r="E91" s="52">
        <v>10.114800000000001</v>
      </c>
      <c r="F91" s="53">
        <v>10.0999</v>
      </c>
    </row>
    <row r="92" spans="3:55" x14ac:dyDescent="0.3">
      <c r="C92" s="2" t="s">
        <v>102</v>
      </c>
      <c r="E92" s="52">
        <v>43.588900000000002</v>
      </c>
      <c r="F92" s="53">
        <v>43.763300000000001</v>
      </c>
    </row>
    <row r="93" spans="3:55" x14ac:dyDescent="0.3">
      <c r="C93" s="2" t="s">
        <v>103</v>
      </c>
      <c r="E93" s="52">
        <v>10.438700000000001</v>
      </c>
      <c r="F93" s="53">
        <v>10.430400000000001</v>
      </c>
    </row>
    <row r="94" spans="3:55" x14ac:dyDescent="0.3">
      <c r="C94" s="2" t="s">
        <v>104</v>
      </c>
      <c r="E94" s="52">
        <v>10.5578</v>
      </c>
      <c r="F94" s="53">
        <v>10.440300000000001</v>
      </c>
    </row>
    <row r="95" spans="3:55" x14ac:dyDescent="0.3">
      <c r="C95" s="2" t="s">
        <v>105</v>
      </c>
      <c r="E95" s="52">
        <v>10.0878</v>
      </c>
      <c r="F95" s="53">
        <v>10.0708</v>
      </c>
    </row>
    <row r="96" spans="3:55" x14ac:dyDescent="0.3">
      <c r="C96" s="2" t="s">
        <v>106</v>
      </c>
      <c r="E96" s="54">
        <v>10</v>
      </c>
      <c r="F96" s="55">
        <v>10</v>
      </c>
    </row>
    <row r="98" spans="3:6" x14ac:dyDescent="0.3">
      <c r="C98" s="2" t="s">
        <v>107</v>
      </c>
      <c r="E98" s="11" t="s">
        <v>108</v>
      </c>
      <c r="F98" s="49" t="s">
        <v>109</v>
      </c>
    </row>
    <row r="99" spans="3:6" x14ac:dyDescent="0.3">
      <c r="C99" s="2" t="s">
        <v>94</v>
      </c>
      <c r="E99" s="52">
        <v>4.8562130000000002E-2</v>
      </c>
      <c r="F99" s="53">
        <v>4.8562130000000002E-2</v>
      </c>
    </row>
    <row r="100" spans="3:6" x14ac:dyDescent="0.3">
      <c r="C100" s="2" t="s">
        <v>96</v>
      </c>
      <c r="E100" s="52">
        <v>0.31</v>
      </c>
      <c r="F100" s="53">
        <v>0.31</v>
      </c>
    </row>
    <row r="101" spans="3:6" x14ac:dyDescent="0.3">
      <c r="C101" s="2" t="s">
        <v>97</v>
      </c>
      <c r="E101" s="52">
        <v>0.05</v>
      </c>
      <c r="F101" s="53">
        <v>0.05</v>
      </c>
    </row>
    <row r="102" spans="3:6" x14ac:dyDescent="0.3">
      <c r="C102" s="2" t="s">
        <v>98</v>
      </c>
      <c r="E102" s="52">
        <v>0.16</v>
      </c>
      <c r="F102" s="53">
        <v>0.16</v>
      </c>
    </row>
    <row r="103" spans="3:6" x14ac:dyDescent="0.3">
      <c r="C103" s="2" t="s">
        <v>99</v>
      </c>
      <c r="E103" s="52">
        <v>4.9783320000000006E-2</v>
      </c>
      <c r="F103" s="53">
        <v>4.9783320000000006E-2</v>
      </c>
    </row>
    <row r="104" spans="3:6" x14ac:dyDescent="0.3">
      <c r="C104" s="2" t="s">
        <v>101</v>
      </c>
      <c r="E104" s="52">
        <v>5.5318800000000008E-2</v>
      </c>
      <c r="F104" s="53">
        <v>5.5318800000000008E-2</v>
      </c>
    </row>
    <row r="105" spans="3:6" x14ac:dyDescent="0.3">
      <c r="C105" s="2" t="s">
        <v>103</v>
      </c>
      <c r="E105" s="52">
        <v>0.05</v>
      </c>
      <c r="F105" s="53">
        <v>0.05</v>
      </c>
    </row>
    <row r="106" spans="3:6" x14ac:dyDescent="0.3">
      <c r="C106" s="2" t="s">
        <v>104</v>
      </c>
      <c r="E106" s="52">
        <v>0.16</v>
      </c>
      <c r="F106" s="53">
        <v>0.16</v>
      </c>
    </row>
    <row r="107" spans="3:6" x14ac:dyDescent="0.3">
      <c r="C107" s="2" t="s">
        <v>105</v>
      </c>
      <c r="E107" s="52">
        <v>5.7341250000000003E-2</v>
      </c>
      <c r="F107" s="53">
        <v>5.7341250000000003E-2</v>
      </c>
    </row>
    <row r="109" spans="3:6" x14ac:dyDescent="0.3">
      <c r="C109" s="2" t="s">
        <v>110</v>
      </c>
    </row>
    <row r="110" spans="3:6" x14ac:dyDescent="0.3">
      <c r="C110" s="2" t="s">
        <v>111</v>
      </c>
    </row>
    <row r="111" spans="3:6" x14ac:dyDescent="0.3">
      <c r="C111" s="2" t="s">
        <v>112</v>
      </c>
    </row>
    <row r="112" spans="3:6" x14ac:dyDescent="0.3">
      <c r="C112" s="2" t="s">
        <v>113</v>
      </c>
    </row>
    <row r="113" spans="3:11" x14ac:dyDescent="0.3">
      <c r="C113" s="2" t="s">
        <v>114</v>
      </c>
    </row>
    <row r="114" spans="3:11" x14ac:dyDescent="0.3">
      <c r="C114" s="2" t="s">
        <v>115</v>
      </c>
    </row>
    <row r="115" spans="3:11" x14ac:dyDescent="0.3">
      <c r="C115" s="2" t="s">
        <v>116</v>
      </c>
    </row>
    <row r="116" spans="3:11" x14ac:dyDescent="0.3">
      <c r="C116" s="2" t="s">
        <v>117</v>
      </c>
    </row>
    <row r="117" spans="3:11" x14ac:dyDescent="0.3">
      <c r="C117" s="2" t="s">
        <v>118</v>
      </c>
    </row>
    <row r="118" spans="3:11" x14ac:dyDescent="0.3">
      <c r="C118" s="2" t="s">
        <v>119</v>
      </c>
    </row>
    <row r="119" spans="3:11" x14ac:dyDescent="0.3">
      <c r="C119" s="2" t="s">
        <v>120</v>
      </c>
    </row>
    <row r="120" spans="3:11" x14ac:dyDescent="0.3">
      <c r="C120" s="2" t="s">
        <v>121</v>
      </c>
    </row>
    <row r="121" spans="3:11" ht="14.4" x14ac:dyDescent="0.3">
      <c r="C121" s="2" t="s">
        <v>122</v>
      </c>
      <c r="D121" s="56"/>
      <c r="E121" s="57"/>
      <c r="F121" s="57"/>
      <c r="G121" s="57"/>
      <c r="H121" s="57"/>
      <c r="I121" s="57"/>
      <c r="J121" s="57"/>
      <c r="K121" s="57"/>
    </row>
    <row r="122" spans="3:11" ht="14.4" x14ac:dyDescent="0.3">
      <c r="C122" s="2" t="s">
        <v>123</v>
      </c>
      <c r="D122" s="57"/>
      <c r="E122" s="57"/>
      <c r="F122" s="57"/>
      <c r="G122" s="57"/>
      <c r="H122" s="57"/>
      <c r="I122" s="57"/>
      <c r="J122" s="57"/>
      <c r="K122" s="57"/>
    </row>
    <row r="123" spans="3:11" ht="14.4" x14ac:dyDescent="0.3">
      <c r="C123" s="56"/>
      <c r="D123" s="56"/>
      <c r="E123" s="57"/>
      <c r="F123" s="57"/>
      <c r="G123" s="57"/>
      <c r="H123" s="57"/>
      <c r="I123" s="57"/>
      <c r="J123" s="57"/>
      <c r="K123" s="57"/>
    </row>
    <row r="124" spans="3:11" ht="14.4" x14ac:dyDescent="0.3">
      <c r="C124" s="57"/>
      <c r="D124" s="57"/>
      <c r="E124" s="57"/>
      <c r="F124" s="57"/>
      <c r="G124" s="57"/>
      <c r="H124" s="57"/>
      <c r="I124" s="57"/>
      <c r="J124" s="57"/>
      <c r="K124" s="57"/>
    </row>
    <row r="125" spans="3:11" ht="14.4" x14ac:dyDescent="0.3">
      <c r="C125" s="57"/>
      <c r="D125" s="57"/>
      <c r="E125" s="57"/>
      <c r="F125" s="57"/>
      <c r="G125" s="57"/>
      <c r="H125" s="57"/>
      <c r="I125" s="57"/>
      <c r="J125" s="57"/>
      <c r="K125" s="57"/>
    </row>
    <row r="142" spans="3:6" ht="14.4" thickBot="1" x14ac:dyDescent="0.35"/>
    <row r="143" spans="3:6" ht="15" thickBot="1" x14ac:dyDescent="0.35">
      <c r="C143" s="68" t="s">
        <v>124</v>
      </c>
      <c r="D143" s="69"/>
      <c r="E143" s="69"/>
      <c r="F143" s="70"/>
    </row>
    <row r="144" spans="3:6" ht="15" thickBot="1" x14ac:dyDescent="0.35">
      <c r="C144" s="58" t="s">
        <v>125</v>
      </c>
      <c r="D144" s="71" t="s">
        <v>126</v>
      </c>
      <c r="E144" s="71" t="s">
        <v>127</v>
      </c>
      <c r="F144" s="71" t="s">
        <v>128</v>
      </c>
    </row>
    <row r="145" spans="3:6" ht="15" thickBot="1" x14ac:dyDescent="0.35">
      <c r="C145" s="58" t="s">
        <v>129</v>
      </c>
      <c r="D145" s="72"/>
      <c r="E145" s="72"/>
      <c r="F145" s="72"/>
    </row>
    <row r="146" spans="3:6" ht="15" thickBot="1" x14ac:dyDescent="0.35">
      <c r="C146" s="59" t="s">
        <v>130</v>
      </c>
      <c r="D146" s="60"/>
      <c r="E146" s="60"/>
      <c r="F146" s="60"/>
    </row>
    <row r="147" spans="3:6" ht="14.4" x14ac:dyDescent="0.3">
      <c r="C147" s="61" t="s">
        <v>131</v>
      </c>
      <c r="D147" s="64"/>
      <c r="E147" s="64"/>
      <c r="F147" s="64"/>
    </row>
    <row r="148" spans="3:6" ht="15" thickBot="1" x14ac:dyDescent="0.35">
      <c r="C148" s="59" t="s">
        <v>132</v>
      </c>
      <c r="D148" s="65"/>
      <c r="E148" s="65"/>
      <c r="F148" s="65"/>
    </row>
    <row r="149" spans="3:6" ht="14.4" x14ac:dyDescent="0.3">
      <c r="C149" s="61" t="s">
        <v>133</v>
      </c>
      <c r="D149" s="64"/>
      <c r="E149" s="66" t="s">
        <v>134</v>
      </c>
      <c r="F149" s="64"/>
    </row>
    <row r="150" spans="3:6" ht="15" thickBot="1" x14ac:dyDescent="0.35">
      <c r="C150" s="59" t="s">
        <v>135</v>
      </c>
      <c r="D150" s="65"/>
      <c r="E150" s="67"/>
      <c r="F150" s="65"/>
    </row>
    <row r="151" spans="3:6" ht="14.4" x14ac:dyDescent="0.35">
      <c r="C151" s="62" t="s">
        <v>136</v>
      </c>
      <c r="D151" s="63"/>
      <c r="E151" s="63"/>
      <c r="F151" s="63"/>
    </row>
    <row r="152" spans="3:6" ht="14.4" x14ac:dyDescent="0.35">
      <c r="C152" s="2" t="s">
        <v>137</v>
      </c>
      <c r="D152" s="63"/>
      <c r="E152" s="63"/>
      <c r="F152" s="63"/>
    </row>
  </sheetData>
  <mergeCells count="10">
    <mergeCell ref="D149:D150"/>
    <mergeCell ref="E149:E150"/>
    <mergeCell ref="F149:F150"/>
    <mergeCell ref="C143:F143"/>
    <mergeCell ref="D144:D145"/>
    <mergeCell ref="E144:E145"/>
    <mergeCell ref="F144:F145"/>
    <mergeCell ref="D147:D148"/>
    <mergeCell ref="E147:E148"/>
    <mergeCell ref="F147:F14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4"/>
  <sheetViews>
    <sheetView topLeftCell="A115" workbookViewId="0">
      <selection activeCell="G128" sqref="G12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3" t="s">
        <v>138</v>
      </c>
      <c r="D3" s="74"/>
      <c r="E3" s="74"/>
      <c r="F3" s="74"/>
      <c r="G3" s="74"/>
      <c r="H3" s="74"/>
      <c r="I3" s="74"/>
      <c r="J3" s="74"/>
      <c r="K3" s="75"/>
      <c r="M3" s="9"/>
    </row>
    <row r="4" spans="1:55" ht="39" customHeight="1" thickBot="1" x14ac:dyDescent="0.35">
      <c r="C4" s="76"/>
      <c r="D4" s="77"/>
      <c r="E4" s="77"/>
      <c r="F4" s="77"/>
      <c r="G4" s="77"/>
      <c r="H4" s="77"/>
      <c r="I4" s="77"/>
      <c r="J4" s="77"/>
      <c r="K4" s="78"/>
    </row>
    <row r="5" spans="1:55" ht="14.4" thickBot="1" x14ac:dyDescent="0.35">
      <c r="C5" s="11"/>
    </row>
    <row r="6" spans="1:55" ht="57" customHeight="1" thickBot="1" x14ac:dyDescent="0.5">
      <c r="C6" s="79" t="s">
        <v>139</v>
      </c>
      <c r="D6" s="80"/>
      <c r="E6" s="80"/>
      <c r="F6" s="80"/>
      <c r="G6" s="80"/>
      <c r="H6" s="80"/>
      <c r="I6" s="80"/>
      <c r="J6" s="80"/>
      <c r="K6" s="81"/>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A21" s="36"/>
      <c r="B21" s="36"/>
      <c r="C21" s="28" t="s">
        <v>21</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22</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A25" s="36"/>
      <c r="B25" s="36"/>
      <c r="C25" s="28" t="s">
        <v>23</v>
      </c>
      <c r="D25" s="29"/>
      <c r="E25" s="30"/>
      <c r="F25" s="31"/>
      <c r="G25" s="32" t="s">
        <v>16</v>
      </c>
      <c r="H25" s="32" t="s">
        <v>16</v>
      </c>
      <c r="I25" s="33"/>
      <c r="J25" s="33"/>
      <c r="K25" s="34"/>
    </row>
    <row r="26" spans="1:11" x14ac:dyDescent="0.3">
      <c r="A26" s="36"/>
      <c r="B26" s="36"/>
      <c r="C26" s="28"/>
      <c r="D26" s="29"/>
      <c r="E26" s="30"/>
      <c r="F26" s="31"/>
      <c r="G26" s="32"/>
      <c r="H26" s="32"/>
      <c r="I26" s="33"/>
      <c r="J26" s="33"/>
      <c r="K26" s="34"/>
    </row>
    <row r="27" spans="1:11" x14ac:dyDescent="0.3">
      <c r="C27" s="37" t="s">
        <v>24</v>
      </c>
      <c r="D27" s="29"/>
      <c r="E27" s="30"/>
      <c r="F27" s="31"/>
      <c r="G27" s="32"/>
      <c r="H27" s="32"/>
      <c r="I27" s="33"/>
      <c r="J27" s="33"/>
      <c r="K27" s="34"/>
    </row>
    <row r="28" spans="1:11" x14ac:dyDescent="0.3">
      <c r="B28" s="1" t="s">
        <v>25</v>
      </c>
      <c r="C28" s="21" t="s">
        <v>26</v>
      </c>
      <c r="D28" s="29" t="s">
        <v>27</v>
      </c>
      <c r="E28" s="30" t="s">
        <v>28</v>
      </c>
      <c r="F28" s="31">
        <v>2300000</v>
      </c>
      <c r="G28" s="32">
        <v>2290.83</v>
      </c>
      <c r="H28" s="32">
        <v>16.13</v>
      </c>
      <c r="I28" s="33">
        <v>7.3778914999999996</v>
      </c>
      <c r="J28" s="33"/>
      <c r="K28" s="34"/>
    </row>
    <row r="29" spans="1:11" x14ac:dyDescent="0.3">
      <c r="B29" s="1" t="s">
        <v>29</v>
      </c>
      <c r="C29" s="21" t="s">
        <v>30</v>
      </c>
      <c r="D29" s="29" t="s">
        <v>31</v>
      </c>
      <c r="E29" s="30" t="s">
        <v>28</v>
      </c>
      <c r="F29" s="31">
        <v>2000000</v>
      </c>
      <c r="G29" s="32">
        <v>1986.76</v>
      </c>
      <c r="H29" s="32">
        <v>13.98</v>
      </c>
      <c r="I29" s="33">
        <v>7.3641008000000001</v>
      </c>
      <c r="J29" s="33"/>
      <c r="K29" s="34"/>
    </row>
    <row r="30" spans="1:11" x14ac:dyDescent="0.3">
      <c r="B30" s="1" t="s">
        <v>32</v>
      </c>
      <c r="C30" s="21" t="s">
        <v>33</v>
      </c>
      <c r="D30" s="29" t="s">
        <v>34</v>
      </c>
      <c r="E30" s="30" t="s">
        <v>28</v>
      </c>
      <c r="F30" s="31">
        <v>1500000</v>
      </c>
      <c r="G30" s="32">
        <v>1501.16</v>
      </c>
      <c r="H30" s="32">
        <v>10.57</v>
      </c>
      <c r="I30" s="33">
        <v>7.3776878999999997</v>
      </c>
      <c r="J30" s="33"/>
      <c r="K30" s="34"/>
    </row>
    <row r="31" spans="1:11" x14ac:dyDescent="0.3">
      <c r="B31" s="1" t="s">
        <v>35</v>
      </c>
      <c r="C31" s="21" t="s">
        <v>36</v>
      </c>
      <c r="D31" s="29" t="s">
        <v>37</v>
      </c>
      <c r="E31" s="30" t="s">
        <v>28</v>
      </c>
      <c r="F31" s="31">
        <v>300000</v>
      </c>
      <c r="G31" s="32">
        <v>299.91000000000003</v>
      </c>
      <c r="H31" s="32">
        <v>2.11</v>
      </c>
      <c r="I31" s="33">
        <v>7.3947871000000003</v>
      </c>
      <c r="J31" s="33"/>
      <c r="K31" s="34"/>
    </row>
    <row r="32" spans="1:11" x14ac:dyDescent="0.3">
      <c r="C32" s="28" t="s">
        <v>38</v>
      </c>
      <c r="D32" s="29"/>
      <c r="E32" s="30"/>
      <c r="F32" s="31"/>
      <c r="G32" s="38">
        <v>6078.66</v>
      </c>
      <c r="H32" s="38">
        <v>42.79</v>
      </c>
      <c r="I32" s="33"/>
      <c r="J32" s="33"/>
      <c r="K32" s="34"/>
    </row>
    <row r="33" spans="2:11" x14ac:dyDescent="0.3">
      <c r="C33" s="21"/>
      <c r="D33" s="29"/>
      <c r="E33" s="30"/>
      <c r="F33" s="31"/>
      <c r="G33" s="32"/>
      <c r="H33" s="32"/>
      <c r="I33" s="33"/>
      <c r="J33" s="33"/>
      <c r="K33" s="34"/>
    </row>
    <row r="34" spans="2:11" x14ac:dyDescent="0.3">
      <c r="C34" s="37" t="s">
        <v>39</v>
      </c>
      <c r="D34" s="29"/>
      <c r="E34" s="30"/>
      <c r="F34" s="31"/>
      <c r="G34" s="32"/>
      <c r="H34" s="32"/>
      <c r="I34" s="33"/>
      <c r="J34" s="33"/>
      <c r="K34" s="34"/>
    </row>
    <row r="35" spans="2:11" x14ac:dyDescent="0.3">
      <c r="B35" s="1" t="s">
        <v>40</v>
      </c>
      <c r="C35" s="21" t="s">
        <v>41</v>
      </c>
      <c r="D35" s="29" t="s">
        <v>42</v>
      </c>
      <c r="E35" s="30" t="s">
        <v>28</v>
      </c>
      <c r="F35" s="31">
        <v>1300000</v>
      </c>
      <c r="G35" s="32">
        <v>1307.8699999999999</v>
      </c>
      <c r="H35" s="32">
        <v>9.2100000000000009</v>
      </c>
      <c r="I35" s="33">
        <v>7.6129376000000004</v>
      </c>
      <c r="J35" s="33"/>
      <c r="K35" s="34"/>
    </row>
    <row r="36" spans="2:11" x14ac:dyDescent="0.3">
      <c r="B36" s="1" t="s">
        <v>43</v>
      </c>
      <c r="C36" s="21" t="s">
        <v>44</v>
      </c>
      <c r="D36" s="29" t="s">
        <v>45</v>
      </c>
      <c r="E36" s="30" t="s">
        <v>28</v>
      </c>
      <c r="F36" s="31">
        <v>1000000</v>
      </c>
      <c r="G36" s="32">
        <v>986.16</v>
      </c>
      <c r="H36" s="32">
        <v>6.94</v>
      </c>
      <c r="I36" s="33">
        <v>7.5903340000000004</v>
      </c>
      <c r="J36" s="33"/>
      <c r="K36" s="34"/>
    </row>
    <row r="37" spans="2:11" x14ac:dyDescent="0.3">
      <c r="B37" s="1" t="s">
        <v>46</v>
      </c>
      <c r="C37" s="21" t="s">
        <v>47</v>
      </c>
      <c r="D37" s="29" t="s">
        <v>48</v>
      </c>
      <c r="E37" s="30" t="s">
        <v>28</v>
      </c>
      <c r="F37" s="31">
        <v>1000000</v>
      </c>
      <c r="G37" s="32">
        <v>979.72</v>
      </c>
      <c r="H37" s="32">
        <v>6.9</v>
      </c>
      <c r="I37" s="33">
        <v>7.5921875999999999</v>
      </c>
      <c r="J37" s="33"/>
      <c r="K37" s="34"/>
    </row>
    <row r="38" spans="2:11" x14ac:dyDescent="0.3">
      <c r="B38" s="1" t="s">
        <v>49</v>
      </c>
      <c r="C38" s="21" t="s">
        <v>50</v>
      </c>
      <c r="D38" s="29" t="s">
        <v>51</v>
      </c>
      <c r="E38" s="30" t="s">
        <v>28</v>
      </c>
      <c r="F38" s="31">
        <v>1000000</v>
      </c>
      <c r="G38" s="32">
        <v>954.79</v>
      </c>
      <c r="H38" s="32">
        <v>6.72</v>
      </c>
      <c r="I38" s="33">
        <v>7.5883495999999999</v>
      </c>
      <c r="J38" s="33"/>
      <c r="K38" s="34"/>
    </row>
    <row r="39" spans="2:11" x14ac:dyDescent="0.3">
      <c r="B39" s="1" t="s">
        <v>52</v>
      </c>
      <c r="C39" s="21" t="s">
        <v>53</v>
      </c>
      <c r="D39" s="29" t="s">
        <v>54</v>
      </c>
      <c r="E39" s="30" t="s">
        <v>28</v>
      </c>
      <c r="F39" s="31">
        <v>1000000</v>
      </c>
      <c r="G39" s="32">
        <v>953.29</v>
      </c>
      <c r="H39" s="32">
        <v>6.71</v>
      </c>
      <c r="I39" s="33">
        <v>7.5839411999999999</v>
      </c>
      <c r="J39" s="33"/>
      <c r="K39" s="34"/>
    </row>
    <row r="40" spans="2:11" x14ac:dyDescent="0.3">
      <c r="B40" s="1" t="s">
        <v>55</v>
      </c>
      <c r="C40" s="21" t="s">
        <v>56</v>
      </c>
      <c r="D40" s="29" t="s">
        <v>57</v>
      </c>
      <c r="E40" s="30" t="s">
        <v>28</v>
      </c>
      <c r="F40" s="31">
        <v>500000</v>
      </c>
      <c r="G40" s="32">
        <v>495.45</v>
      </c>
      <c r="H40" s="32">
        <v>3.49</v>
      </c>
      <c r="I40" s="33">
        <v>7.6257945999999999</v>
      </c>
      <c r="J40" s="33"/>
      <c r="K40" s="34"/>
    </row>
    <row r="41" spans="2:11" x14ac:dyDescent="0.3">
      <c r="B41" s="1" t="s">
        <v>58</v>
      </c>
      <c r="C41" s="21" t="s">
        <v>59</v>
      </c>
      <c r="D41" s="29" t="s">
        <v>60</v>
      </c>
      <c r="E41" s="30" t="s">
        <v>28</v>
      </c>
      <c r="F41" s="31">
        <v>500</v>
      </c>
      <c r="G41" s="32">
        <v>0.52</v>
      </c>
      <c r="H41" s="32" t="s">
        <v>61</v>
      </c>
      <c r="I41" s="33">
        <v>7.6232876000000003</v>
      </c>
      <c r="J41" s="33"/>
      <c r="K41" s="34"/>
    </row>
    <row r="42" spans="2:11" x14ac:dyDescent="0.3">
      <c r="B42" s="1" t="s">
        <v>62</v>
      </c>
      <c r="C42" s="21" t="s">
        <v>63</v>
      </c>
      <c r="D42" s="29" t="s">
        <v>64</v>
      </c>
      <c r="E42" s="30" t="s">
        <v>28</v>
      </c>
      <c r="F42" s="31">
        <v>300</v>
      </c>
      <c r="G42" s="32">
        <v>0.3</v>
      </c>
      <c r="H42" s="32" t="s">
        <v>61</v>
      </c>
      <c r="I42" s="33">
        <v>7.6087502000000002</v>
      </c>
      <c r="J42" s="33"/>
      <c r="K42" s="34"/>
    </row>
    <row r="43" spans="2:11" x14ac:dyDescent="0.3">
      <c r="C43" s="28" t="s">
        <v>38</v>
      </c>
      <c r="D43" s="29"/>
      <c r="E43" s="30"/>
      <c r="F43" s="31"/>
      <c r="G43" s="38">
        <v>5678.1</v>
      </c>
      <c r="H43" s="38">
        <v>39.97</v>
      </c>
      <c r="I43" s="33"/>
      <c r="J43" s="33"/>
      <c r="K43" s="34"/>
    </row>
    <row r="44" spans="2:11" x14ac:dyDescent="0.3">
      <c r="C44" s="21"/>
      <c r="D44" s="29"/>
      <c r="E44" s="30"/>
      <c r="F44" s="31"/>
      <c r="G44" s="32"/>
      <c r="H44" s="32"/>
      <c r="I44" s="33"/>
      <c r="J44" s="33"/>
      <c r="K44" s="34"/>
    </row>
    <row r="45" spans="2:11" x14ac:dyDescent="0.3">
      <c r="C45" s="28" t="s">
        <v>65</v>
      </c>
      <c r="D45" s="29"/>
      <c r="E45" s="30"/>
      <c r="F45" s="31"/>
      <c r="G45" s="32"/>
      <c r="H45" s="32"/>
      <c r="I45" s="33"/>
      <c r="J45" s="33"/>
      <c r="K45" s="34"/>
    </row>
    <row r="46" spans="2:11" x14ac:dyDescent="0.3">
      <c r="C46" s="21"/>
      <c r="D46" s="29"/>
      <c r="E46" s="30"/>
      <c r="F46" s="31"/>
      <c r="G46" s="32"/>
      <c r="H46" s="32"/>
      <c r="I46" s="33"/>
      <c r="J46" s="33"/>
      <c r="K46" s="34"/>
    </row>
    <row r="47" spans="2:11" x14ac:dyDescent="0.3">
      <c r="C47" s="28" t="s">
        <v>66</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C49" s="28" t="s">
        <v>67</v>
      </c>
      <c r="D49" s="29"/>
      <c r="E49" s="30"/>
      <c r="F49" s="31"/>
      <c r="G49" s="32" t="s">
        <v>16</v>
      </c>
      <c r="H49" s="32" t="s">
        <v>16</v>
      </c>
      <c r="I49" s="33"/>
      <c r="J49" s="33"/>
      <c r="K49" s="34"/>
    </row>
    <row r="50" spans="1:11" x14ac:dyDescent="0.3">
      <c r="C50" s="21"/>
      <c r="D50" s="29"/>
      <c r="E50" s="30"/>
      <c r="F50" s="31"/>
      <c r="G50" s="32"/>
      <c r="H50" s="32"/>
      <c r="I50" s="33"/>
      <c r="J50" s="33"/>
      <c r="K50" s="34"/>
    </row>
    <row r="51" spans="1:11" x14ac:dyDescent="0.3">
      <c r="C51" s="28" t="s">
        <v>68</v>
      </c>
      <c r="D51" s="29"/>
      <c r="E51" s="30"/>
      <c r="F51" s="31"/>
      <c r="G51" s="32" t="s">
        <v>16</v>
      </c>
      <c r="H51" s="32" t="s">
        <v>16</v>
      </c>
      <c r="I51" s="33"/>
      <c r="J51" s="33"/>
      <c r="K51" s="34"/>
    </row>
    <row r="52" spans="1:11" x14ac:dyDescent="0.3">
      <c r="C52" s="21"/>
      <c r="D52" s="29"/>
      <c r="E52" s="30"/>
      <c r="F52" s="31"/>
      <c r="G52" s="32"/>
      <c r="H52" s="32"/>
      <c r="I52" s="33"/>
      <c r="J52" s="33"/>
      <c r="K52" s="34"/>
    </row>
    <row r="53" spans="1:11" x14ac:dyDescent="0.3">
      <c r="C53" s="28" t="s">
        <v>69</v>
      </c>
      <c r="D53" s="29"/>
      <c r="E53" s="30"/>
      <c r="F53" s="31"/>
      <c r="G53" s="32" t="s">
        <v>16</v>
      </c>
      <c r="H53" s="32" t="s">
        <v>16</v>
      </c>
      <c r="I53" s="33"/>
      <c r="J53" s="33"/>
      <c r="K53" s="34"/>
    </row>
    <row r="54" spans="1:11" x14ac:dyDescent="0.3">
      <c r="C54" s="21"/>
      <c r="D54" s="29"/>
      <c r="E54" s="30"/>
      <c r="F54" s="31"/>
      <c r="G54" s="32"/>
      <c r="H54" s="32"/>
      <c r="I54" s="33"/>
      <c r="J54" s="33"/>
      <c r="K54" s="34"/>
    </row>
    <row r="55" spans="1:11" x14ac:dyDescent="0.3">
      <c r="A55" s="35"/>
      <c r="B55" s="36"/>
      <c r="C55" s="28" t="s">
        <v>70</v>
      </c>
      <c r="D55" s="29"/>
      <c r="E55" s="30"/>
      <c r="F55" s="31"/>
      <c r="G55" s="32"/>
      <c r="H55" s="32"/>
      <c r="I55" s="33"/>
      <c r="J55" s="33"/>
      <c r="K55" s="34"/>
    </row>
    <row r="56" spans="1:11" x14ac:dyDescent="0.3">
      <c r="A56" s="36"/>
      <c r="B56" s="36"/>
      <c r="C56" s="28" t="s">
        <v>71</v>
      </c>
      <c r="D56" s="29"/>
      <c r="E56" s="30"/>
      <c r="F56" s="31"/>
      <c r="G56" s="32" t="s">
        <v>16</v>
      </c>
      <c r="H56" s="32" t="s">
        <v>16</v>
      </c>
      <c r="I56" s="33"/>
      <c r="J56" s="33"/>
      <c r="K56" s="34"/>
    </row>
    <row r="57" spans="1:11" x14ac:dyDescent="0.3">
      <c r="A57" s="36"/>
      <c r="B57" s="36"/>
      <c r="C57" s="28"/>
      <c r="D57" s="29"/>
      <c r="E57" s="30"/>
      <c r="F57" s="31"/>
      <c r="G57" s="32"/>
      <c r="H57" s="32"/>
      <c r="I57" s="33"/>
      <c r="J57" s="33"/>
      <c r="K57" s="34"/>
    </row>
    <row r="58" spans="1:11" x14ac:dyDescent="0.3">
      <c r="A58" s="36"/>
      <c r="B58" s="36"/>
      <c r="C58" s="28" t="s">
        <v>72</v>
      </c>
      <c r="D58" s="29"/>
      <c r="E58" s="30"/>
      <c r="F58" s="31"/>
      <c r="G58" s="32" t="s">
        <v>16</v>
      </c>
      <c r="H58" s="32" t="s">
        <v>16</v>
      </c>
      <c r="I58" s="33"/>
      <c r="J58" s="33"/>
      <c r="K58" s="34"/>
    </row>
    <row r="59" spans="1:11" x14ac:dyDescent="0.3">
      <c r="A59" s="36"/>
      <c r="B59" s="36"/>
      <c r="C59" s="28"/>
      <c r="D59" s="29"/>
      <c r="E59" s="30"/>
      <c r="F59" s="31"/>
      <c r="G59" s="32"/>
      <c r="H59" s="32"/>
      <c r="I59" s="33"/>
      <c r="J59" s="33"/>
      <c r="K59" s="34"/>
    </row>
    <row r="60" spans="1:11" x14ac:dyDescent="0.3">
      <c r="A60" s="36"/>
      <c r="B60" s="36"/>
      <c r="C60" s="28" t="s">
        <v>73</v>
      </c>
      <c r="D60" s="29"/>
      <c r="E60" s="30"/>
      <c r="F60" s="31"/>
      <c r="G60" s="32" t="s">
        <v>16</v>
      </c>
      <c r="H60" s="32" t="s">
        <v>16</v>
      </c>
      <c r="I60" s="33"/>
      <c r="J60" s="33"/>
      <c r="K60" s="34"/>
    </row>
    <row r="61" spans="1:11" x14ac:dyDescent="0.3">
      <c r="A61" s="36"/>
      <c r="B61" s="36"/>
      <c r="C61" s="28"/>
      <c r="D61" s="29"/>
      <c r="E61" s="30"/>
      <c r="F61" s="31"/>
      <c r="G61" s="32"/>
      <c r="H61" s="32"/>
      <c r="I61" s="33"/>
      <c r="J61" s="33"/>
      <c r="K61" s="34"/>
    </row>
    <row r="62" spans="1:11" x14ac:dyDescent="0.3">
      <c r="A62" s="36"/>
      <c r="B62" s="36"/>
      <c r="C62" s="28" t="s">
        <v>74</v>
      </c>
      <c r="D62" s="29"/>
      <c r="E62" s="30"/>
      <c r="F62" s="31"/>
      <c r="G62" s="32" t="s">
        <v>16</v>
      </c>
      <c r="H62" s="32" t="s">
        <v>16</v>
      </c>
      <c r="I62" s="33"/>
      <c r="J62" s="33"/>
      <c r="K62" s="34"/>
    </row>
    <row r="63" spans="1:11" x14ac:dyDescent="0.3">
      <c r="A63" s="36"/>
      <c r="B63" s="36"/>
      <c r="C63" s="28"/>
      <c r="D63" s="29"/>
      <c r="E63" s="30"/>
      <c r="F63" s="31"/>
      <c r="G63" s="32"/>
      <c r="H63" s="32"/>
      <c r="I63" s="33"/>
      <c r="J63" s="33"/>
      <c r="K63" s="34"/>
    </row>
    <row r="64" spans="1:11" x14ac:dyDescent="0.3">
      <c r="C64" s="37" t="s">
        <v>75</v>
      </c>
      <c r="D64" s="29"/>
      <c r="E64" s="30"/>
      <c r="F64" s="31"/>
      <c r="G64" s="32"/>
      <c r="H64" s="32"/>
      <c r="I64" s="33"/>
      <c r="J64" s="33"/>
      <c r="K64" s="34"/>
    </row>
    <row r="65" spans="1:11" x14ac:dyDescent="0.3">
      <c r="B65" s="1" t="s">
        <v>76</v>
      </c>
      <c r="C65" s="21" t="s">
        <v>77</v>
      </c>
      <c r="D65" s="29"/>
      <c r="E65" s="30"/>
      <c r="F65" s="31"/>
      <c r="G65" s="32">
        <v>3690.25</v>
      </c>
      <c r="H65" s="32">
        <v>25.98</v>
      </c>
      <c r="I65" s="33">
        <v>6.79</v>
      </c>
      <c r="J65" s="33"/>
      <c r="K65" s="34"/>
    </row>
    <row r="66" spans="1:11" x14ac:dyDescent="0.3">
      <c r="C66" s="28" t="s">
        <v>38</v>
      </c>
      <c r="D66" s="29"/>
      <c r="E66" s="30"/>
      <c r="F66" s="31"/>
      <c r="G66" s="38">
        <v>3690.25</v>
      </c>
      <c r="H66" s="38">
        <v>25.98</v>
      </c>
      <c r="I66" s="33"/>
      <c r="J66" s="33"/>
      <c r="K66" s="34"/>
    </row>
    <row r="67" spans="1:11" x14ac:dyDescent="0.3">
      <c r="C67" s="21"/>
      <c r="D67" s="29"/>
      <c r="E67" s="30"/>
      <c r="F67" s="31"/>
      <c r="G67" s="32"/>
      <c r="H67" s="32"/>
      <c r="I67" s="33"/>
      <c r="J67" s="33"/>
      <c r="K67" s="34"/>
    </row>
    <row r="68" spans="1:11" x14ac:dyDescent="0.3">
      <c r="A68" s="35"/>
      <c r="B68" s="36"/>
      <c r="C68" s="28" t="s">
        <v>78</v>
      </c>
      <c r="D68" s="29"/>
      <c r="E68" s="30"/>
      <c r="F68" s="31"/>
      <c r="G68" s="32"/>
      <c r="H68" s="32"/>
      <c r="I68" s="33"/>
      <c r="J68" s="33"/>
      <c r="K68" s="34"/>
    </row>
    <row r="69" spans="1:11" x14ac:dyDescent="0.3">
      <c r="B69" s="1"/>
      <c r="C69" s="21" t="s">
        <v>79</v>
      </c>
      <c r="D69" s="29"/>
      <c r="E69" s="30"/>
      <c r="F69" s="31"/>
      <c r="G69" s="32">
        <v>-1240.55</v>
      </c>
      <c r="H69" s="32">
        <v>-8.74</v>
      </c>
      <c r="I69" s="33"/>
      <c r="J69" s="33"/>
      <c r="K69" s="34"/>
    </row>
    <row r="70" spans="1:11" x14ac:dyDescent="0.3">
      <c r="C70" s="28" t="s">
        <v>38</v>
      </c>
      <c r="D70" s="29"/>
      <c r="E70" s="30"/>
      <c r="F70" s="31"/>
      <c r="G70" s="38">
        <v>-1240.55</v>
      </c>
      <c r="H70" s="38">
        <v>-8.74</v>
      </c>
      <c r="I70" s="33"/>
      <c r="J70" s="33"/>
      <c r="K70" s="34"/>
    </row>
    <row r="71" spans="1:11" x14ac:dyDescent="0.3">
      <c r="C71" s="21"/>
      <c r="D71" s="29"/>
      <c r="E71" s="30"/>
      <c r="F71" s="31"/>
      <c r="G71" s="32"/>
      <c r="H71" s="32"/>
      <c r="I71" s="33"/>
      <c r="J71" s="33"/>
      <c r="K71" s="34"/>
    </row>
    <row r="72" spans="1:11" ht="14.4" thickBot="1" x14ac:dyDescent="0.35">
      <c r="C72" s="39" t="s">
        <v>80</v>
      </c>
      <c r="D72" s="40"/>
      <c r="E72" s="41"/>
      <c r="F72" s="42"/>
      <c r="G72" s="43">
        <v>14206.46</v>
      </c>
      <c r="H72" s="43">
        <f>SUMIFS(H:H,C:C,"Total")</f>
        <v>100</v>
      </c>
      <c r="I72" s="44"/>
      <c r="J72" s="44"/>
      <c r="K72" s="45"/>
    </row>
    <row r="75" spans="1:11" x14ac:dyDescent="0.3">
      <c r="C75" s="11" t="s">
        <v>81</v>
      </c>
    </row>
    <row r="76" spans="1:11" x14ac:dyDescent="0.3">
      <c r="C76" s="2" t="s">
        <v>82</v>
      </c>
    </row>
    <row r="77" spans="1:11" x14ac:dyDescent="0.3">
      <c r="C77" s="46" t="s">
        <v>83</v>
      </c>
    </row>
    <row r="78" spans="1:11" x14ac:dyDescent="0.3">
      <c r="C78" s="2" t="s">
        <v>84</v>
      </c>
    </row>
    <row r="79" spans="1:11" x14ac:dyDescent="0.3">
      <c r="C79" s="2" t="s">
        <v>85</v>
      </c>
    </row>
    <row r="80" spans="1:11" x14ac:dyDescent="0.3">
      <c r="C80" s="2" t="s">
        <v>86</v>
      </c>
      <c r="D80" s="47"/>
      <c r="E80" s="47"/>
      <c r="F80" s="47"/>
      <c r="G80" s="48"/>
      <c r="H80" s="48"/>
    </row>
    <row r="81" spans="3:55" x14ac:dyDescent="0.3">
      <c r="C81" s="2" t="s">
        <v>87</v>
      </c>
    </row>
    <row r="82" spans="3:55" x14ac:dyDescent="0.3">
      <c r="C82" s="2" t="s">
        <v>88</v>
      </c>
    </row>
    <row r="83" spans="3:55" x14ac:dyDescent="0.3">
      <c r="C83" s="2" t="s">
        <v>89</v>
      </c>
    </row>
    <row r="84" spans="3:55" x14ac:dyDescent="0.3">
      <c r="C84" s="2" t="s">
        <v>90</v>
      </c>
    </row>
    <row r="85" spans="3:55" s="11" customFormat="1" x14ac:dyDescent="0.3">
      <c r="C85" s="11" t="s">
        <v>91</v>
      </c>
      <c r="E85" s="11" t="s">
        <v>140</v>
      </c>
      <c r="F85" s="49" t="s">
        <v>93</v>
      </c>
      <c r="G85" s="50"/>
      <c r="H85" s="50"/>
      <c r="I85" s="50"/>
      <c r="J85" s="50"/>
      <c r="K85" s="51"/>
      <c r="L85" s="51"/>
      <c r="M85" s="51"/>
      <c r="AJ85" s="51"/>
      <c r="AW85" s="51"/>
      <c r="AY85" s="51"/>
      <c r="BC85" s="51"/>
    </row>
    <row r="86" spans="3:55" x14ac:dyDescent="0.3">
      <c r="C86" s="2" t="s">
        <v>94</v>
      </c>
      <c r="E86" s="52">
        <v>10.114800000000001</v>
      </c>
      <c r="F86" s="53">
        <v>10.098800000000001</v>
      </c>
    </row>
    <row r="87" spans="3:55" x14ac:dyDescent="0.3">
      <c r="C87" s="2" t="s">
        <v>95</v>
      </c>
      <c r="E87" s="52">
        <v>38.661000000000001</v>
      </c>
      <c r="F87" s="53">
        <v>39.9666</v>
      </c>
    </row>
    <row r="88" spans="3:55" x14ac:dyDescent="0.3">
      <c r="C88" s="2" t="s">
        <v>96</v>
      </c>
      <c r="E88" s="52">
        <v>10.0776</v>
      </c>
      <c r="F88" s="53">
        <v>10.107699999999999</v>
      </c>
    </row>
    <row r="89" spans="3:55" x14ac:dyDescent="0.3">
      <c r="C89" s="2" t="s">
        <v>97</v>
      </c>
      <c r="E89" s="52">
        <v>10.1686</v>
      </c>
      <c r="F89" s="53">
        <v>10.209300000000001</v>
      </c>
    </row>
    <row r="90" spans="3:55" x14ac:dyDescent="0.3">
      <c r="C90" s="2" t="s">
        <v>98</v>
      </c>
      <c r="E90" s="52">
        <v>10.169700000000001</v>
      </c>
      <c r="F90" s="53">
        <v>10.191700000000001</v>
      </c>
    </row>
    <row r="91" spans="3:55" x14ac:dyDescent="0.3">
      <c r="C91" s="2" t="s">
        <v>99</v>
      </c>
      <c r="E91" s="52">
        <v>10.1004</v>
      </c>
      <c r="F91" s="53">
        <v>10.07</v>
      </c>
    </row>
    <row r="92" spans="3:55" x14ac:dyDescent="0.3">
      <c r="C92" s="2" t="s">
        <v>100</v>
      </c>
      <c r="E92" s="52">
        <v>27.2285</v>
      </c>
      <c r="F92" s="53">
        <v>28.145</v>
      </c>
    </row>
    <row r="93" spans="3:55" x14ac:dyDescent="0.3">
      <c r="C93" s="2" t="s">
        <v>101</v>
      </c>
      <c r="E93" s="52">
        <v>10.114800000000001</v>
      </c>
      <c r="F93" s="53">
        <v>10.0999</v>
      </c>
    </row>
    <row r="94" spans="3:55" x14ac:dyDescent="0.3">
      <c r="C94" s="2" t="s">
        <v>102</v>
      </c>
      <c r="E94" s="52">
        <v>42.132899999999999</v>
      </c>
      <c r="F94" s="53">
        <v>43.763300000000001</v>
      </c>
    </row>
    <row r="95" spans="3:55" x14ac:dyDescent="0.3">
      <c r="C95" s="2" t="s">
        <v>103</v>
      </c>
      <c r="E95" s="52">
        <v>10.3338</v>
      </c>
      <c r="F95" s="53">
        <v>10.430400000000001</v>
      </c>
    </row>
    <row r="96" spans="3:55" x14ac:dyDescent="0.3">
      <c r="C96" s="2" t="s">
        <v>104</v>
      </c>
      <c r="E96" s="52">
        <v>10.36</v>
      </c>
      <c r="F96" s="53">
        <v>10.440300000000001</v>
      </c>
    </row>
    <row r="97" spans="3:6" x14ac:dyDescent="0.3">
      <c r="C97" s="2" t="s">
        <v>105</v>
      </c>
      <c r="E97" s="52">
        <v>10.1013</v>
      </c>
      <c r="F97" s="53">
        <v>10.0708</v>
      </c>
    </row>
    <row r="98" spans="3:6" x14ac:dyDescent="0.3">
      <c r="C98" s="2" t="s">
        <v>106</v>
      </c>
      <c r="E98" s="54">
        <v>10</v>
      </c>
      <c r="F98" s="55">
        <v>10</v>
      </c>
    </row>
    <row r="100" spans="3:6" x14ac:dyDescent="0.3">
      <c r="C100" s="2" t="s">
        <v>141</v>
      </c>
      <c r="E100" s="11" t="s">
        <v>108</v>
      </c>
      <c r="F100" s="49" t="s">
        <v>109</v>
      </c>
    </row>
    <row r="101" spans="3:6" x14ac:dyDescent="0.3">
      <c r="C101" s="2" t="s">
        <v>94</v>
      </c>
      <c r="E101" s="52">
        <v>0.35214217999999992</v>
      </c>
      <c r="F101" s="53">
        <v>0.35214217999999992</v>
      </c>
    </row>
    <row r="102" spans="3:6" x14ac:dyDescent="0.3">
      <c r="C102" s="2" t="s">
        <v>96</v>
      </c>
      <c r="E102" s="52">
        <v>0.31</v>
      </c>
      <c r="F102" s="53">
        <v>0.31</v>
      </c>
    </row>
    <row r="103" spans="3:6" x14ac:dyDescent="0.3">
      <c r="C103" s="2" t="s">
        <v>97</v>
      </c>
      <c r="E103" s="52">
        <v>0.3</v>
      </c>
      <c r="F103" s="53">
        <v>0.3</v>
      </c>
    </row>
    <row r="104" spans="3:6" x14ac:dyDescent="0.3">
      <c r="C104" s="2" t="s">
        <v>98</v>
      </c>
      <c r="E104" s="52">
        <v>0.32</v>
      </c>
      <c r="F104" s="53">
        <v>0.32</v>
      </c>
    </row>
    <row r="105" spans="3:6" x14ac:dyDescent="0.3">
      <c r="C105" s="2" t="s">
        <v>99</v>
      </c>
      <c r="E105" s="52">
        <v>0.36596186000000003</v>
      </c>
      <c r="F105" s="53">
        <v>0.36596186000000003</v>
      </c>
    </row>
    <row r="106" spans="3:6" x14ac:dyDescent="0.3">
      <c r="C106" s="2" t="s">
        <v>101</v>
      </c>
      <c r="E106" s="52">
        <v>0.39920182999999992</v>
      </c>
      <c r="F106" s="53">
        <v>0.39920182999999992</v>
      </c>
    </row>
    <row r="107" spans="3:6" x14ac:dyDescent="0.3">
      <c r="C107" s="2" t="s">
        <v>103</v>
      </c>
      <c r="E107" s="52">
        <v>0.3</v>
      </c>
      <c r="F107" s="53">
        <v>0.3</v>
      </c>
    </row>
    <row r="108" spans="3:6" x14ac:dyDescent="0.3">
      <c r="C108" s="2" t="s">
        <v>104</v>
      </c>
      <c r="E108" s="52">
        <v>0.32</v>
      </c>
      <c r="F108" s="53">
        <v>0.32</v>
      </c>
    </row>
    <row r="109" spans="3:6" x14ac:dyDescent="0.3">
      <c r="C109" s="2" t="s">
        <v>105</v>
      </c>
      <c r="E109" s="52">
        <v>0.41424055999999998</v>
      </c>
      <c r="F109" s="53">
        <v>0.41424055999999998</v>
      </c>
    </row>
    <row r="111" spans="3:6" x14ac:dyDescent="0.3">
      <c r="C111" s="2" t="s">
        <v>142</v>
      </c>
    </row>
    <row r="112" spans="3:6" x14ac:dyDescent="0.3">
      <c r="C112" s="2" t="s">
        <v>111</v>
      </c>
    </row>
    <row r="113" spans="3:11" x14ac:dyDescent="0.3">
      <c r="C113" s="2" t="s">
        <v>112</v>
      </c>
    </row>
    <row r="114" spans="3:11" x14ac:dyDescent="0.3">
      <c r="C114" s="2" t="s">
        <v>143</v>
      </c>
    </row>
    <row r="115" spans="3:11" x14ac:dyDescent="0.3">
      <c r="C115" s="2" t="s">
        <v>114</v>
      </c>
    </row>
    <row r="116" spans="3:11" x14ac:dyDescent="0.3">
      <c r="C116" s="2" t="s">
        <v>144</v>
      </c>
    </row>
    <row r="117" spans="3:11" x14ac:dyDescent="0.3">
      <c r="C117" s="2" t="s">
        <v>116</v>
      </c>
    </row>
    <row r="118" spans="3:11" x14ac:dyDescent="0.3">
      <c r="C118" s="2" t="s">
        <v>117</v>
      </c>
    </row>
    <row r="119" spans="3:11" x14ac:dyDescent="0.3">
      <c r="C119" s="2" t="s">
        <v>145</v>
      </c>
    </row>
    <row r="120" spans="3:11" x14ac:dyDescent="0.3">
      <c r="C120" s="2" t="s">
        <v>119</v>
      </c>
    </row>
    <row r="121" spans="3:11" x14ac:dyDescent="0.3">
      <c r="C121" s="2" t="s">
        <v>120</v>
      </c>
    </row>
    <row r="122" spans="3:11" x14ac:dyDescent="0.3">
      <c r="C122" s="2" t="s">
        <v>146</v>
      </c>
    </row>
    <row r="123" spans="3:11" ht="14.4" x14ac:dyDescent="0.3">
      <c r="C123" s="2" t="s">
        <v>122</v>
      </c>
      <c r="D123" s="56"/>
      <c r="E123" s="57"/>
      <c r="F123" s="57"/>
      <c r="G123" s="57"/>
      <c r="H123" s="57"/>
      <c r="I123" s="57"/>
      <c r="J123" s="57"/>
      <c r="K123" s="57"/>
    </row>
    <row r="124" spans="3:11" ht="14.4" x14ac:dyDescent="0.3">
      <c r="C124" s="2" t="s">
        <v>123</v>
      </c>
      <c r="D124" s="57"/>
      <c r="E124" s="57"/>
      <c r="F124" s="57"/>
      <c r="G124" s="57"/>
      <c r="H124" s="57"/>
      <c r="I124" s="57"/>
      <c r="J124" s="57"/>
      <c r="K124" s="57"/>
    </row>
    <row r="125" spans="3:11" ht="14.4" x14ac:dyDescent="0.3">
      <c r="C125" s="56"/>
      <c r="D125" s="56"/>
      <c r="E125" s="57"/>
      <c r="F125" s="57"/>
      <c r="G125" s="57"/>
      <c r="H125" s="57"/>
      <c r="I125" s="57"/>
      <c r="J125" s="57"/>
      <c r="K125" s="57"/>
    </row>
    <row r="126" spans="3:11" ht="14.4" x14ac:dyDescent="0.3">
      <c r="C126" s="57"/>
      <c r="D126" s="57"/>
      <c r="E126" s="57"/>
      <c r="F126" s="57"/>
      <c r="G126" s="57"/>
      <c r="H126" s="57"/>
      <c r="I126" s="57"/>
      <c r="J126" s="57"/>
      <c r="K126" s="57"/>
    </row>
    <row r="127" spans="3:11" ht="14.4" x14ac:dyDescent="0.3">
      <c r="C127" s="57"/>
      <c r="D127" s="57"/>
      <c r="E127" s="57"/>
      <c r="F127" s="57"/>
      <c r="G127" s="57"/>
      <c r="H127" s="57"/>
      <c r="I127" s="57"/>
      <c r="J127" s="57"/>
      <c r="K127" s="57"/>
    </row>
    <row r="144" ht="14.4" thickBot="1" x14ac:dyDescent="0.35"/>
    <row r="145" spans="3:6" ht="15" thickBot="1" x14ac:dyDescent="0.35">
      <c r="C145" s="68" t="s">
        <v>124</v>
      </c>
      <c r="D145" s="69"/>
      <c r="E145" s="69"/>
      <c r="F145" s="70"/>
    </row>
    <row r="146" spans="3:6" ht="15" thickBot="1" x14ac:dyDescent="0.35">
      <c r="C146" s="58" t="s">
        <v>125</v>
      </c>
      <c r="D146" s="71" t="s">
        <v>126</v>
      </c>
      <c r="E146" s="71" t="s">
        <v>127</v>
      </c>
      <c r="F146" s="71" t="s">
        <v>128</v>
      </c>
    </row>
    <row r="147" spans="3:6" ht="15" thickBot="1" x14ac:dyDescent="0.35">
      <c r="C147" s="58" t="s">
        <v>129</v>
      </c>
      <c r="D147" s="72"/>
      <c r="E147" s="72"/>
      <c r="F147" s="72"/>
    </row>
    <row r="148" spans="3:6" ht="15" thickBot="1" x14ac:dyDescent="0.35">
      <c r="C148" s="59" t="s">
        <v>130</v>
      </c>
      <c r="D148" s="60"/>
      <c r="E148" s="60"/>
      <c r="F148" s="60"/>
    </row>
    <row r="149" spans="3:6" ht="14.4" x14ac:dyDescent="0.3">
      <c r="C149" s="61" t="s">
        <v>131</v>
      </c>
      <c r="D149" s="64"/>
      <c r="E149" s="64"/>
      <c r="F149" s="64"/>
    </row>
    <row r="150" spans="3:6" ht="15" thickBot="1" x14ac:dyDescent="0.35">
      <c r="C150" s="59" t="s">
        <v>132</v>
      </c>
      <c r="D150" s="65"/>
      <c r="E150" s="65"/>
      <c r="F150" s="65"/>
    </row>
    <row r="151" spans="3:6" ht="14.4" x14ac:dyDescent="0.3">
      <c r="C151" s="61" t="s">
        <v>133</v>
      </c>
      <c r="D151" s="64"/>
      <c r="E151" s="66" t="s">
        <v>134</v>
      </c>
      <c r="F151" s="64"/>
    </row>
    <row r="152" spans="3:6" ht="15" thickBot="1" x14ac:dyDescent="0.35">
      <c r="C152" s="59" t="s">
        <v>135</v>
      </c>
      <c r="D152" s="65"/>
      <c r="E152" s="67"/>
      <c r="F152" s="65"/>
    </row>
    <row r="153" spans="3:6" ht="14.4" x14ac:dyDescent="0.35">
      <c r="C153" s="62" t="s">
        <v>136</v>
      </c>
      <c r="D153" s="63"/>
      <c r="E153" s="63"/>
      <c r="F153" s="63"/>
    </row>
    <row r="154" spans="3:6" ht="14.4" x14ac:dyDescent="0.35">
      <c r="C154" s="2" t="s">
        <v>137</v>
      </c>
      <c r="D154" s="63"/>
      <c r="E154" s="63"/>
      <c r="F154" s="63"/>
    </row>
  </sheetData>
  <mergeCells count="12">
    <mergeCell ref="C3:K4"/>
    <mergeCell ref="C6:K6"/>
    <mergeCell ref="C145:F145"/>
    <mergeCell ref="D146:D147"/>
    <mergeCell ref="E146:E147"/>
    <mergeCell ref="F146:F147"/>
    <mergeCell ref="D149:D150"/>
    <mergeCell ref="E149:E150"/>
    <mergeCell ref="F149:F150"/>
    <mergeCell ref="D151:D152"/>
    <mergeCell ref="E151:E152"/>
    <mergeCell ref="F151:F1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2023-10-05T12:54:03Z</dcterms:created>
  <dcterms:modified xsi:type="dcterms:W3CDTF">2023-10-09T10:12:29Z</dcterms:modified>
</cp:coreProperties>
</file>