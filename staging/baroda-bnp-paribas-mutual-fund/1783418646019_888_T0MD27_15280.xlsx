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2AA22F9D-7F0D-483B-B7A5-42BEF4E72F31}" xr6:coauthVersionLast="47" xr6:coauthVersionMax="47" xr10:uidLastSave="{00000000-0000-0000-0000-000000000000}"/>
  <bookViews>
    <workbookView xWindow="-108" yWindow="-108" windowWidth="23256" windowHeight="12456" xr2:uid="{14F9D653-DE05-43F9-BEA7-77C54CD8068F}"/>
  </bookViews>
  <sheets>
    <sheet name="T0MD27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5">T0MD27!$A$1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C32" i="1"/>
  <c r="E31" i="1"/>
  <c r="E30" i="1"/>
  <c r="E29" i="1"/>
  <c r="E32" i="1" s="1"/>
</calcChain>
</file>

<file path=xl/sharedStrings.xml><?xml version="1.0" encoding="utf-8"?>
<sst xmlns="http://schemas.openxmlformats.org/spreadsheetml/2006/main" count="71" uniqueCount="52">
  <si>
    <t>Baroda BNP Paribas NIFTY SDL December 2026 Index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</si>
  <si>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</si>
  <si>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</si>
  <si>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</si>
  <si>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</si>
  <si>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</si>
  <si>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</si>
  <si>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</si>
  <si>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</si>
  <si>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</si>
  <si>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</si>
  <si>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</si>
  <si>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</si>
  <si>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</si>
  <si>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GOI2505</t>
  </si>
  <si>
    <t>7.24% State Government Securities (28/12/2026)</t>
  </si>
  <si>
    <t>IN1520160160</t>
  </si>
  <si>
    <t>Sovereign</t>
  </si>
  <si>
    <t>GOI2497</t>
  </si>
  <si>
    <t>7.08% State Government Securities (14/12/2026)</t>
  </si>
  <si>
    <t>IN1920160059</t>
  </si>
  <si>
    <t>GOI2070</t>
  </si>
  <si>
    <t>7.27% State Government Securities (28/12/2026)</t>
  </si>
  <si>
    <t>IN1920160067</t>
  </si>
  <si>
    <t>GOI1686</t>
  </si>
  <si>
    <t>7.25% State Government Securities (28/12/2026)</t>
  </si>
  <si>
    <t>IN2220160120</t>
  </si>
  <si>
    <t>GOI2529</t>
  </si>
  <si>
    <t>7.07% State Government Securities (14/12/2026)</t>
  </si>
  <si>
    <t>IN3120160152</t>
  </si>
  <si>
    <t>GOI6803</t>
  </si>
  <si>
    <t>IN1020160413</t>
  </si>
  <si>
    <t>Sub Total</t>
  </si>
  <si>
    <t>(b) Privately placed / Unlisted</t>
  </si>
  <si>
    <t>NIL</t>
  </si>
  <si>
    <t>Total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</si>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</sst>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E157ECB5-271A-46B0-B5F0-7AA2D8E7B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2708148</xdr:colOff>
      <xdr:row>52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BADB52-0DF7-4EF1-A928-7AEC8208A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36270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3855720</xdr:colOff>
      <xdr:row>67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605C97-DD3C-4A4E-BC8A-36B28DCBF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545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24AF-28B8-4774-99BA-DF17A870255D}">
  <sheetPr codeName="Sheet5">
    <outlinePr summaryBelow="0"/>
  </sheetPr>
  <dimension ref="A1:J7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5000000</v>
      </c>
      <c r="F7" s="16">
        <v>5080.12</v>
      </c>
      <c r="G7" s="17">
        <v>0.35</v>
      </c>
      <c r="H7" s="18">
        <v>5.8635E-2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4500000</v>
      </c>
      <c r="F8" s="16">
        <v>4562.13</v>
      </c>
      <c r="G8" s="17">
        <v>0.31430000000000002</v>
      </c>
      <c r="H8" s="18">
        <v>5.8635E-2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1500000</v>
      </c>
      <c r="F9" s="16">
        <v>1524.53</v>
      </c>
      <c r="G9" s="17">
        <v>0.105</v>
      </c>
      <c r="H9" s="18">
        <v>5.8635E-2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1000000</v>
      </c>
      <c r="F10" s="16">
        <v>1016.13</v>
      </c>
      <c r="G10" s="17">
        <v>7.0000000000000007E-2</v>
      </c>
      <c r="H10" s="18">
        <v>5.8635E-2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1000000</v>
      </c>
      <c r="F11" s="16">
        <v>1013.7</v>
      </c>
      <c r="G11" s="17">
        <v>6.9800000000000001E-2</v>
      </c>
      <c r="H11" s="18">
        <v>5.8635E-2</v>
      </c>
      <c r="I11" s="19"/>
      <c r="J11" s="1"/>
    </row>
    <row r="12" spans="1:10" ht="13.05" customHeight="1">
      <c r="A12" s="13" t="s">
        <v>30</v>
      </c>
      <c r="B12" s="14" t="s">
        <v>25</v>
      </c>
      <c r="C12" s="11" t="s">
        <v>31</v>
      </c>
      <c r="D12" s="11" t="s">
        <v>17</v>
      </c>
      <c r="E12" s="15">
        <v>500000</v>
      </c>
      <c r="F12" s="16">
        <v>507.94</v>
      </c>
      <c r="G12" s="17">
        <v>3.5000000000000003E-2</v>
      </c>
      <c r="H12" s="18">
        <v>5.8866000000000002E-2</v>
      </c>
      <c r="I12" s="19"/>
      <c r="J12" s="1"/>
    </row>
    <row r="13" spans="1:10" ht="13.05" customHeight="1">
      <c r="A13" s="1"/>
      <c r="B13" s="20" t="s">
        <v>32</v>
      </c>
      <c r="C13" s="21"/>
      <c r="D13" s="21"/>
      <c r="E13" s="21"/>
      <c r="F13" s="22">
        <v>13704.55</v>
      </c>
      <c r="G13" s="23">
        <v>0.94410000000000005</v>
      </c>
      <c r="H13" s="24"/>
      <c r="I13" s="24"/>
      <c r="J13" s="1"/>
    </row>
    <row r="14" spans="1:10" ht="13.05" customHeight="1">
      <c r="A14" s="1"/>
      <c r="B14" s="20" t="s">
        <v>33</v>
      </c>
      <c r="C14" s="21"/>
      <c r="D14" s="21"/>
      <c r="E14" s="21"/>
      <c r="F14" s="24" t="s">
        <v>34</v>
      </c>
      <c r="G14" s="24" t="s">
        <v>34</v>
      </c>
      <c r="H14" s="24"/>
      <c r="I14" s="24"/>
      <c r="J14" s="1"/>
    </row>
    <row r="15" spans="1:10" ht="13.05" customHeight="1">
      <c r="A15" s="1"/>
      <c r="B15" s="20" t="s">
        <v>32</v>
      </c>
      <c r="C15" s="21"/>
      <c r="D15" s="21"/>
      <c r="E15" s="21"/>
      <c r="F15" s="24" t="s">
        <v>34</v>
      </c>
      <c r="G15" s="24" t="s">
        <v>34</v>
      </c>
      <c r="H15" s="24"/>
      <c r="I15" s="24"/>
      <c r="J15" s="1"/>
    </row>
    <row r="16" spans="1:10" ht="13.05" customHeight="1">
      <c r="A16" s="1"/>
      <c r="B16" s="20" t="s">
        <v>35</v>
      </c>
      <c r="C16" s="25"/>
      <c r="D16" s="21"/>
      <c r="E16" s="25"/>
      <c r="F16" s="22">
        <v>13704.55</v>
      </c>
      <c r="G16" s="23">
        <v>0.94410000000000005</v>
      </c>
      <c r="H16" s="24"/>
      <c r="I16" s="24"/>
      <c r="J16" s="1"/>
    </row>
    <row r="17" spans="1:10" ht="13.05" customHeight="1">
      <c r="A17" s="1"/>
      <c r="B17" s="10" t="s">
        <v>36</v>
      </c>
      <c r="C17" s="11"/>
      <c r="D17" s="11"/>
      <c r="E17" s="11"/>
      <c r="F17" s="11"/>
      <c r="G17" s="11"/>
      <c r="H17" s="12"/>
      <c r="I17" s="12"/>
      <c r="J17" s="1"/>
    </row>
    <row r="18" spans="1:10" ht="13.05" customHeight="1">
      <c r="A18" s="13" t="s">
        <v>37</v>
      </c>
      <c r="B18" s="14" t="s">
        <v>38</v>
      </c>
      <c r="C18" s="11"/>
      <c r="D18" s="11" t="s">
        <v>39</v>
      </c>
      <c r="E18" s="15"/>
      <c r="F18" s="16">
        <v>439.54</v>
      </c>
      <c r="G18" s="17">
        <v>3.0300000000000001E-2</v>
      </c>
      <c r="H18" s="18">
        <v>5.5938286755437931E-2</v>
      </c>
      <c r="I18" s="19"/>
      <c r="J18" s="1"/>
    </row>
    <row r="19" spans="1:10" ht="13.05" customHeight="1">
      <c r="A19" s="1"/>
      <c r="B19" s="20" t="s">
        <v>32</v>
      </c>
      <c r="C19" s="21"/>
      <c r="D19" s="21"/>
      <c r="E19" s="21"/>
      <c r="F19" s="22">
        <v>439.54</v>
      </c>
      <c r="G19" s="23">
        <v>3.0300000000000001E-2</v>
      </c>
      <c r="H19" s="24"/>
      <c r="I19" s="24"/>
      <c r="J19" s="1"/>
    </row>
    <row r="20" spans="1:10" ht="13.05" customHeight="1">
      <c r="A20" s="1"/>
      <c r="B20" s="20" t="s">
        <v>33</v>
      </c>
      <c r="C20" s="21"/>
      <c r="D20" s="21"/>
      <c r="E20" s="21"/>
      <c r="F20" s="24" t="s">
        <v>34</v>
      </c>
      <c r="G20" s="24" t="s">
        <v>34</v>
      </c>
      <c r="H20" s="24"/>
      <c r="I20" s="24"/>
      <c r="J20" s="1"/>
    </row>
    <row r="21" spans="1:10" ht="13.05" customHeight="1">
      <c r="A21" s="1"/>
      <c r="B21" s="20" t="s">
        <v>32</v>
      </c>
      <c r="C21" s="21"/>
      <c r="D21" s="21"/>
      <c r="E21" s="21"/>
      <c r="F21" s="24" t="s">
        <v>34</v>
      </c>
      <c r="G21" s="24" t="s">
        <v>34</v>
      </c>
      <c r="H21" s="24"/>
      <c r="I21" s="24"/>
      <c r="J21" s="1"/>
    </row>
    <row r="22" spans="1:10" ht="13.05" customHeight="1">
      <c r="A22" s="1"/>
      <c r="B22" s="20" t="s">
        <v>35</v>
      </c>
      <c r="C22" s="25"/>
      <c r="D22" s="21"/>
      <c r="E22" s="25"/>
      <c r="F22" s="22">
        <v>439.54</v>
      </c>
      <c r="G22" s="23">
        <v>3.0300000000000001E-2</v>
      </c>
      <c r="H22" s="24"/>
      <c r="I22" s="24"/>
      <c r="J22" s="1"/>
    </row>
    <row r="23" spans="1:10" ht="13.05" customHeight="1">
      <c r="A23" s="1"/>
      <c r="B23" s="20" t="s">
        <v>40</v>
      </c>
      <c r="C23" s="11"/>
      <c r="D23" s="21"/>
      <c r="E23" s="11"/>
      <c r="F23" s="26">
        <v>370.84</v>
      </c>
      <c r="G23" s="23">
        <v>2.5600000000000001E-2</v>
      </c>
      <c r="H23" s="24"/>
      <c r="I23" s="24"/>
      <c r="J23" s="1"/>
    </row>
    <row r="24" spans="1:10" ht="13.05" customHeight="1" thickBot="1">
      <c r="A24" s="1"/>
      <c r="B24" s="27" t="s">
        <v>41</v>
      </c>
      <c r="C24" s="28"/>
      <c r="D24" s="28"/>
      <c r="E24" s="28"/>
      <c r="F24" s="29">
        <v>14514.93</v>
      </c>
      <c r="G24" s="30">
        <v>1</v>
      </c>
      <c r="H24" s="31"/>
      <c r="I24" s="31"/>
      <c r="J24" s="1"/>
    </row>
    <row r="25" spans="1:10" ht="13.05" customHeight="1">
      <c r="A25" s="1"/>
      <c r="B25" s="4"/>
      <c r="C25" s="1"/>
      <c r="D25" s="1"/>
      <c r="E25" s="1"/>
      <c r="F25" s="1"/>
      <c r="G25" s="1"/>
      <c r="H25" s="1"/>
      <c r="I25" s="1"/>
      <c r="J25" s="1"/>
    </row>
    <row r="26" spans="1:10" ht="13.05" customHeight="1">
      <c r="A26" s="1"/>
      <c r="B26" s="41"/>
      <c r="C26" s="41"/>
      <c r="D26" s="41"/>
      <c r="E26" s="41"/>
      <c r="F26" s="41"/>
      <c r="G26" s="41"/>
      <c r="H26" s="41"/>
      <c r="I26" s="1"/>
      <c r="J26" s="1"/>
    </row>
    <row r="27" spans="1:10" ht="13.05" customHeight="1" thickBot="1">
      <c r="A27" s="1"/>
      <c r="B27" s="41"/>
      <c r="C27" s="41"/>
      <c r="D27" s="41"/>
      <c r="E27" s="41"/>
      <c r="F27" s="41"/>
      <c r="G27" s="41"/>
      <c r="H27" s="41"/>
      <c r="I27" s="1"/>
      <c r="J27" s="1"/>
    </row>
    <row r="28" spans="1:10" ht="13.05" customHeight="1">
      <c r="A28" s="1"/>
      <c r="B28" s="32" t="s">
        <v>42</v>
      </c>
      <c r="C28" s="33" t="s">
        <v>43</v>
      </c>
      <c r="D28" s="33" t="s">
        <v>44</v>
      </c>
      <c r="E28" s="34" t="s">
        <v>45</v>
      </c>
      <c r="F28" s="2"/>
      <c r="G28" s="2"/>
      <c r="H28" s="2"/>
      <c r="I28" s="1"/>
      <c r="J28" s="1"/>
    </row>
    <row r="29" spans="1:10" ht="13.05" customHeight="1">
      <c r="A29" s="1"/>
      <c r="B29" s="35" t="s">
        <v>46</v>
      </c>
      <c r="C29" s="36">
        <v>0</v>
      </c>
      <c r="D29" s="36">
        <v>0</v>
      </c>
      <c r="E29" s="37">
        <f>MIN(C29:D29)</f>
        <v>0</v>
      </c>
      <c r="F29" s="2"/>
      <c r="G29" s="2"/>
      <c r="H29" s="2"/>
      <c r="I29" s="1"/>
      <c r="J29" s="1"/>
    </row>
    <row r="30" spans="1:10" ht="13.05" customHeight="1">
      <c r="A30" s="1"/>
      <c r="B30" s="35" t="s">
        <v>47</v>
      </c>
      <c r="C30" s="36">
        <v>1</v>
      </c>
      <c r="D30" s="36">
        <v>0.94410000000000005</v>
      </c>
      <c r="E30" s="37">
        <f t="shared" ref="E30:E31" si="0">MIN(C30:D30)</f>
        <v>0.94410000000000005</v>
      </c>
      <c r="F30" s="2"/>
      <c r="G30" s="2"/>
      <c r="H30" s="2"/>
      <c r="I30" s="1"/>
      <c r="J30" s="1"/>
    </row>
    <row r="31" spans="1:10" ht="13.05" customHeight="1">
      <c r="A31" s="1"/>
      <c r="B31" s="35" t="s">
        <v>48</v>
      </c>
      <c r="C31" s="36">
        <v>0</v>
      </c>
      <c r="D31" s="36">
        <v>5.5899999999999998E-2</v>
      </c>
      <c r="E31" s="37">
        <f t="shared" si="0"/>
        <v>0</v>
      </c>
      <c r="F31" s="2"/>
      <c r="G31" s="2"/>
      <c r="H31" s="2"/>
      <c r="I31" s="1"/>
      <c r="J31" s="1"/>
    </row>
    <row r="32" spans="1:10" ht="13.05" customHeight="1" thickBot="1">
      <c r="A32" s="1"/>
      <c r="B32" s="38" t="s">
        <v>35</v>
      </c>
      <c r="C32" s="39">
        <f t="shared" ref="C32" si="1">SUM(C29:C31)</f>
        <v>1</v>
      </c>
      <c r="D32" s="39">
        <f>SUM(D29:D31)</f>
        <v>1</v>
      </c>
      <c r="E32" s="40">
        <f t="shared" ref="E32" si="2">SUM(E29:E31)</f>
        <v>0.94410000000000005</v>
      </c>
      <c r="F32" s="2"/>
      <c r="G32" s="2"/>
      <c r="H32" s="2"/>
      <c r="I32" s="1"/>
      <c r="J32" s="1"/>
    </row>
    <row r="33" spans="1:10" ht="13.05" customHeight="1">
      <c r="A33" s="1"/>
      <c r="B33" s="2"/>
      <c r="C33" s="2"/>
      <c r="D33" s="2"/>
      <c r="E33" s="2"/>
      <c r="F33" s="2"/>
      <c r="G33" s="2"/>
      <c r="H33" s="2"/>
      <c r="I33" s="1"/>
      <c r="J33" s="1"/>
    </row>
    <row r="34" spans="1:10" ht="13.05" customHeight="1">
      <c r="A34" s="1"/>
      <c r="B34" s="2" t="s">
        <v>49</v>
      </c>
      <c r="C34" s="1"/>
      <c r="D34" s="1"/>
      <c r="E34" s="1"/>
      <c r="F34" s="1"/>
      <c r="G34" s="1"/>
      <c r="H34" s="1"/>
      <c r="I34" s="1"/>
      <c r="J34" s="1"/>
    </row>
    <row r="35" spans="1:10" ht="25.95" customHeight="1">
      <c r="A35" s="1"/>
      <c r="B35" s="41" t="s">
        <v>50</v>
      </c>
      <c r="C35" s="41"/>
      <c r="D35" s="41"/>
      <c r="E35" s="41"/>
      <c r="F35" s="41"/>
      <c r="G35" s="41"/>
      <c r="H35" s="41"/>
      <c r="I35" s="1"/>
      <c r="J35" s="1"/>
    </row>
    <row r="71" spans="2:2">
      <c r="B71" t="s">
        <v>51</v>
      </c>
    </row>
  </sheetData>
  <mergeCells count="3">
    <mergeCell ref="B26:H26"/>
    <mergeCell ref="B27:H27"/>
    <mergeCell ref="B35:H3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T0MD27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2025-11-07T03:18:14Z</dcterms:created>
  <dcterms:modified xsi:type="dcterms:W3CDTF">2025-11-07T11:38:44Z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2025-11-07T03:18:14Z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7154e1e7-2126-416a-af40-da8fa6b3c633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