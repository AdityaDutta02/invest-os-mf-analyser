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-31-may-2026\"/>
    </mc:Choice>
  </mc:AlternateContent>
  <xr:revisionPtr revIDLastSave="0" documentId="13_ncr:1_{663C36E5-5234-4968-80E7-15FF017B0C88}" xr6:coauthVersionLast="47" xr6:coauthVersionMax="47" xr10:uidLastSave="{00000000-0000-0000-0000-000000000000}"/>
  <bookViews>
    <workbookView xWindow="-108" yWindow="-108" windowWidth="23256" windowHeight="12456" xr2:uid="{8D29A2D5-FE2A-4DF2-872D-43B73D81D852}"/>
  </bookViews>
  <sheets>
    <sheet name="T0ME04" sheetId="1" r:id="rId1"/>
  </sheets>
  <definedNames>
    <definedName name="JR_PAGE_ANCHOR_0_40">#REF!</definedName>
    <definedName name="JR_PAGE_ANCHOR_0_44">#REF!</definedName>
    <definedName name="JR_PAGE_ANCHOR_0_8">T0ME04!$A$1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60" i="1" l="1"/>
  <c r="G60" i="1"/>
</calcChain>
</file>

<file path=xl/sharedStrings.xml><?xml version="1.0" encoding="utf-8"?>
<sst xmlns="http://schemas.openxmlformats.org/spreadsheetml/2006/main" count="352" uniqueCount="295">
  <si>
    <t>Baroda BNP Paribas Large Cap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</si>
  <si>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</si>
  <si>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</si>
  <si>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</si>
  <si>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</si>
  <si>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</si>
  <si>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</si>
  <si>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</si>
  <si>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</si>
  <si>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</si>
  <si>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</si>
  <si>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</si>
  <si>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</si>
  <si>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</si>
  <si>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ABBP01</t>
  </si>
  <si>
    <t>Hitachi Energy India Limited</t>
  </si>
  <si>
    <t>INE07Y701011</t>
  </si>
  <si>
    <t>Electrical Equipment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</si>
  <si>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</si>
  <si>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</si>
  <si>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</si>
  <si>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</si>
  <si>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</si>
  <si>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</si>
  <si>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</si>
  <si>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</si>
  <si>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</si>
  <si>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</si>
  <si>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</si>
  <si>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</si>
  <si>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</si>
  <si>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</si>
  <si>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</si>
  <si>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</si>
  <si>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</si>
  <si>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</si>
  <si>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</si>
  <si>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</si>
  <si>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</si>
  <si>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</si>
  <si>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KOMA03</t>
  </si>
  <si>
    <t>Kotak Mahindra Bank Limited</t>
  </si>
  <si>
    <t>INE237A01036</t>
  </si>
  <si>
    <t>INFS02</t>
  </si>
  <si>
    <t>Infosys Limited</t>
  </si>
  <si>
    <t>INE009A01021</t>
  </si>
  <si>
    <t>IT - Software</t>
  </si>
  <si>
    <t>ZMPL01</t>
  </si>
  <si>
    <t>Eternal Limited</t>
  </si>
  <si>
    <t>INE758T01015</t>
  </si>
  <si>
    <t>Retailing</t>
  </si>
  <si>
    <t>NTPC01</t>
  </si>
  <si>
    <t>NTPC Limited</t>
  </si>
  <si>
    <t>INE733E01010</t>
  </si>
  <si>
    <t>Power</t>
  </si>
  <si>
    <t>SPIL03</t>
  </si>
  <si>
    <t>Sun Pharmaceutical Industries Limited</t>
  </si>
  <si>
    <t>INE044A01036</t>
  </si>
  <si>
    <t>Pharmaceuticals &amp; Biotechnology</t>
  </si>
  <si>
    <t>BHAH02</t>
  </si>
  <si>
    <t>Bharat Heavy Electricals Limited</t>
  </si>
  <si>
    <t>INE257A01026</t>
  </si>
  <si>
    <t>TEMA02</t>
  </si>
  <si>
    <t>Tech Mahindra Limited</t>
  </si>
  <si>
    <t>INE669C01036</t>
  </si>
  <si>
    <t>HZIN02</t>
  </si>
  <si>
    <t>Hindustan Zinc Limited</t>
  </si>
  <si>
    <t>INE267A01025</t>
  </si>
  <si>
    <t>Non - Ferrous Metals</t>
  </si>
  <si>
    <t>DIVI02</t>
  </si>
  <si>
    <t>Divi's Laboratories Limited</t>
  </si>
  <si>
    <t>INE361B01024</t>
  </si>
  <si>
    <t>NEST02</t>
  </si>
  <si>
    <t>Nestle India Limited</t>
  </si>
  <si>
    <t>INE239A01024</t>
  </si>
  <si>
    <t>Food Products</t>
  </si>
  <si>
    <t>TCSL01</t>
  </si>
  <si>
    <t>Tata Consultancy Services Limited</t>
  </si>
  <si>
    <t>INE467B01029</t>
  </si>
  <si>
    <t>TCAL01</t>
  </si>
  <si>
    <t>Tata Capital Limited</t>
  </si>
  <si>
    <t>INE976I01016</t>
  </si>
  <si>
    <t>Finance</t>
  </si>
  <si>
    <t>HLEL02</t>
  </si>
  <si>
    <t>Hindustan Unilever Limited</t>
  </si>
  <si>
    <t>INE030A01027</t>
  </si>
  <si>
    <t>Diversified FMCG</t>
  </si>
  <si>
    <t>EIML02</t>
  </si>
  <si>
    <t>Eicher Motors Limited</t>
  </si>
  <si>
    <t>INE066A01021</t>
  </si>
  <si>
    <t>Automobiles</t>
  </si>
  <si>
    <t>PUBA02</t>
  </si>
  <si>
    <t>Punjab National Bank</t>
  </si>
  <si>
    <t>INE160A01022</t>
  </si>
  <si>
    <t>ULCC01</t>
  </si>
  <si>
    <t>UltraTech Cement Limited</t>
  </si>
  <si>
    <t>INE481G01011</t>
  </si>
  <si>
    <t>Cement &amp; Cement Products</t>
  </si>
  <si>
    <t>BAFL03</t>
  </si>
  <si>
    <t>Bajaj Finance Limited</t>
  </si>
  <si>
    <t>INE296A01032</t>
  </si>
  <si>
    <t>ITCL02</t>
  </si>
  <si>
    <t>ITC Limited</t>
  </si>
  <si>
    <t>INE154A01025</t>
  </si>
  <si>
    <t>MOTI02</t>
  </si>
  <si>
    <t>Bosch Limited</t>
  </si>
  <si>
    <t>INE323A01026</t>
  </si>
  <si>
    <t>Auto Components</t>
  </si>
  <si>
    <t>MAUD01</t>
  </si>
  <si>
    <t>Maruti Suzuki India Limited</t>
  </si>
  <si>
    <t>INE585B01010</t>
  </si>
  <si>
    <t>VNBL03</t>
  </si>
  <si>
    <t>Varun Beverages Limited</t>
  </si>
  <si>
    <t>INE200M01039</t>
  </si>
  <si>
    <t>Beverages</t>
  </si>
  <si>
    <t>TWAT02</t>
  </si>
  <si>
    <t>Titan Company Limited</t>
  </si>
  <si>
    <t>INE280A01028</t>
  </si>
  <si>
    <t>Consumer Durables</t>
  </si>
  <si>
    <t>PGCI01</t>
  </si>
  <si>
    <t>Power Grid Corporation of India Limited</t>
  </si>
  <si>
    <t>INE752E01010</t>
  </si>
  <si>
    <t>JVSL04</t>
  </si>
  <si>
    <t>JSW Steel Limited</t>
  </si>
  <si>
    <t>INE019A01038</t>
  </si>
  <si>
    <t>Ferrous Metals</t>
  </si>
  <si>
    <t>HERO02</t>
  </si>
  <si>
    <t>Hero MotoCorp Limited</t>
  </si>
  <si>
    <t>INE158A01026</t>
  </si>
  <si>
    <t>UTIB02</t>
  </si>
  <si>
    <t>Axis Bank Limited</t>
  </si>
  <si>
    <t>INE238A01034</t>
  </si>
  <si>
    <t>BFSL02</t>
  </si>
  <si>
    <t>Bajaj Finserv Limited</t>
  </si>
  <si>
    <t>INE918I01026</t>
  </si>
  <si>
    <t>LGEL01</t>
  </si>
  <si>
    <t>LG Electronics India Ltd</t>
  </si>
  <si>
    <t>INE324D01010</t>
  </si>
  <si>
    <t>TOPH02</t>
  </si>
  <si>
    <t>Torrent Pharmaceuticals Limited</t>
  </si>
  <si>
    <t>INE685A01028</t>
  </si>
  <si>
    <t>BHEL02</t>
  </si>
  <si>
    <t>Bharat Electronics Limited</t>
  </si>
  <si>
    <t>INE263A01024</t>
  </si>
  <si>
    <t>Aerospace &amp; Defense</t>
  </si>
  <si>
    <t>TMLC01</t>
  </si>
  <si>
    <t>Tata Motors Ltd</t>
  </si>
  <si>
    <t>INE1TAE01010</t>
  </si>
  <si>
    <t>Agricultural, Commercial &amp; Construction Vehicles</t>
  </si>
  <si>
    <t>OIIL01</t>
  </si>
  <si>
    <t>Oil India Limited</t>
  </si>
  <si>
    <t>INE274J01014</t>
  </si>
  <si>
    <t>Oil</t>
  </si>
  <si>
    <t>NHPC01</t>
  </si>
  <si>
    <t>NHPC Limited</t>
  </si>
  <si>
    <t>INE848E01016</t>
  </si>
  <si>
    <t>PSYL02</t>
  </si>
  <si>
    <t>Persistent Systems Limited</t>
  </si>
  <si>
    <t>INE262H01021</t>
  </si>
  <si>
    <t>MCSP02</t>
  </si>
  <si>
    <t>United Spirits Limited</t>
  </si>
  <si>
    <t>INE854D01024</t>
  </si>
  <si>
    <t>COAL01</t>
  </si>
  <si>
    <t>Coal India Limited</t>
  </si>
  <si>
    <t>INE522F01014</t>
  </si>
  <si>
    <t>Consumable Fuels</t>
  </si>
  <si>
    <t>IIBL01</t>
  </si>
  <si>
    <t>IndusInd Bank Limited</t>
  </si>
  <si>
    <t>INE095A01012</t>
  </si>
  <si>
    <t>TPOW02</t>
  </si>
  <si>
    <t>Tata Power Company Limited</t>
  </si>
  <si>
    <t>INE245A01021</t>
  </si>
  <si>
    <t>HDLI01</t>
  </si>
  <si>
    <t>HDFC Life Insurance Company Limited</t>
  </si>
  <si>
    <t>INE795G01014</t>
  </si>
  <si>
    <t>Insurance</t>
  </si>
  <si>
    <t>ESCO01</t>
  </si>
  <si>
    <t>Escorts Kubota Limited</t>
  </si>
  <si>
    <t>INE042A01014</t>
  </si>
  <si>
    <t>WIPR02</t>
  </si>
  <si>
    <t>Wipro Limited</t>
  </si>
  <si>
    <t>INE075A01022</t>
  </si>
  <si>
    <t>ESMC02</t>
  </si>
  <si>
    <t>PB Fintech Limited</t>
  </si>
  <si>
    <t>INE417T01026</t>
  </si>
  <si>
    <t>Financial Technology (Fintech)</t>
  </si>
  <si>
    <t>Vedanta Iron And Steel Limited **</t>
  </si>
  <si>
    <t>INE1CLE01013</t>
  </si>
  <si>
    <t>Talwandi Sabo Power Limited **</t>
  </si>
  <si>
    <t>INE694L01019</t>
  </si>
  <si>
    <t>Malco Energy Limited **</t>
  </si>
  <si>
    <t>INE704J01044</t>
  </si>
  <si>
    <t>Vedanta Aluminium Metal Limited **</t>
  </si>
  <si>
    <t>INE1CDF01017</t>
  </si>
  <si>
    <t>Sub Total</t>
  </si>
  <si>
    <t>(b) Unlisted</t>
  </si>
  <si>
    <t>NIL</t>
  </si>
  <si>
    <t>Total</t>
  </si>
  <si>
    <t>Derivatives</t>
  </si>
  <si>
    <t>Index / Stock Futures</t>
  </si>
  <si>
    <t>MCEXJUN26</t>
  </si>
  <si>
    <t>Multi Commodity Exchange of India Limited June 2026 Future</t>
  </si>
  <si>
    <t xml:space="preserve"> </t>
  </si>
  <si>
    <t>ULCCJUN26</t>
  </si>
  <si>
    <t>UltraTech Cement Limited June 2026 Future</t>
  </si>
  <si>
    <t>Money Market Instruments</t>
  </si>
  <si>
    <t>Treasury Bill</t>
  </si>
  <si>
    <t>TBIL2525</t>
  </si>
  <si>
    <t>364 Days Tbill (MD 25/06/2026)</t>
  </si>
  <si>
    <t>IN002025Z138</t>
  </si>
  <si>
    <t>Sovereign</t>
  </si>
  <si>
    <t>TBIL2636</t>
  </si>
  <si>
    <t>364 Days Tbill (MD 04/02/2027)</t>
  </si>
  <si>
    <t>IN002025Z443</t>
  </si>
  <si>
    <t>Reverse Repo / TREPS</t>
  </si>
  <si>
    <t>TRP_010626</t>
  </si>
  <si>
    <t>Clearing Corporation of India Ltd</t>
  </si>
  <si>
    <t>Net Receivables / (Payables)</t>
  </si>
  <si>
    <t>GRAND TOTAL</t>
  </si>
  <si>
    <t>**  Thinly Traded / Non Traded Security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</si>
  <si>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</si>
  <si>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</si>
  <si>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</si>
  <si>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</si>
  <si>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</si>
  <si>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</si>
  <si>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</si>
  <si>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</si>
  <si>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</si>
  <si>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Multi Commodity Exchange of India Limited_30/06/2026</t>
  </si>
  <si>
    <t>Capital Markets</t>
  </si>
  <si>
    <t>Short</t>
  </si>
  <si>
    <t>UltraTech Cement Limited_30/06/2026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</si>
  <si>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</si>
  <si>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</si>
  <si>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</si>
  <si>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</si>
  <si>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</si>
  <si>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</si>
  <si>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</si>
  <si>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</si>
  <si>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</si>
  <si>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</si>
  <si>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</si>
  <si>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April 30, 2026</t>
  </si>
  <si>
    <t>As on May 29, 2026</t>
  </si>
  <si>
    <t>Regular Plan - IDCW Option</t>
  </si>
  <si>
    <t>Regular Plan - Growth Option</t>
  </si>
  <si>
    <t>Direct Plan - IDCW Option</t>
  </si>
  <si>
    <t>Direct Plan - Growth Option</t>
  </si>
  <si>
    <t>(8) No Dividend declared during the period ended May 31, 2026</t>
  </si>
  <si>
    <t>(9)  Total outstanding exposure in derivative instruments as on May 31, 2026 is 3211.72 Lacs.</t>
  </si>
  <si>
    <t>(10) Total Market value of investments in Foreign Securities/American Depositary Receipts/Global Depositary Receipts as at  May 31, 2026 is Rs. Nil.</t>
  </si>
  <si>
    <t>(11)  During the period, the portfolio turnover ratio is 0.70 times.</t>
  </si>
  <si>
    <t>(12)  Details of repo transaction in corporate debt securities for the period ended May 31, 2026 is Nil.</t>
  </si>
  <si>
    <t>(13)  Investments in debt instruments having structured obligations or credit enhancement features as at May 31, 2026 is Rs. Nil.</t>
  </si>
  <si>
    <t>(14) Investment in Partly paid Debentures during the periodly ended May 31, 2026 and as on  May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</si>
  <si>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</si>
  <si>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</si>
  <si>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</si>
  <si>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</si>
  <si>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</si>
  <si>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May 31, 2026 : Rs. Nil</t>
  </si>
  <si>
    <t>A.</t>
  </si>
  <si>
    <t xml:space="preserve">Hedging positions through futures as at 31 May 2026: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</si>
  <si>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</si>
  <si>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</si>
  <si>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</si>
  <si>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</si>
  <si>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</si>
  <si>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</si>
  <si>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Total % of existing assets hedged through futures: 0.12%</t>
  </si>
  <si>
    <t>For the month ended 31 May 2026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</si>
  <si>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</si>
  <si>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</si>
  <si>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</si>
  <si>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</si>
  <si>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</si>
  <si>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</si>
  <si>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31 May 2026:</t>
  </si>
  <si>
    <t>Multi Commodity Exchange of India Limited</t>
  </si>
  <si>
    <t>Total exposure due to futures (non hedging positions) as a % of net assets: 1.38%.</t>
  </si>
  <si>
    <t>For the month ended 31 May 2026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</si>
  <si>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</si>
  <si>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</si>
  <si>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31 May 2026 : Nil.</t>
  </si>
  <si>
    <t>Total % age of existing assets hedged through put options: Nil.</t>
  </si>
  <si>
    <t>For the month ended 31 May 2026  following details specified with regard to non-hedging transactions through options which have already been exercised/expired: Nil.</t>
  </si>
  <si>
    <t>D.</t>
  </si>
  <si>
    <t>Other than hedging position through options as at 31 May 2026: Nil.</t>
  </si>
  <si>
    <t>Total exposure through options as a % of net assets: Nil.</t>
  </si>
  <si>
    <t>For the month ended 31 May 2026 following details specified with regard to non-hedging transactions through options which have already been exercised/expired: Nil.</t>
  </si>
  <si>
    <t>E.</t>
  </si>
  <si>
    <t>Hedging positions through swaps as at 31 May 2026: Nil.</t>
  </si>
  <si>
    <t>Monthly Performance Link:     https://www.barodabnpparibasmf.in/assets/download_documents/Performance_of_Schemes_May_2026_18471.pdf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</si>
</sst>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#,##0.0000"/>
    <numFmt numFmtId="169" formatCode="_(* #,##0_);_(* \(#,##0\);_(* &quot;-&quot;??_);_(@_)"/>
    <numFmt numFmtId="170" formatCode="0.0000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62">
    <xf numFmtId="0" fontId="0" fillId="0" borderId="0" xfId="0"/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165" fontId="3" fillId="0" borderId="8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7" fontId="4" fillId="0" borderId="5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165" fontId="3" fillId="0" borderId="12" xfId="0" applyNumberFormat="1" applyFont="1" applyBorder="1" applyAlignment="1">
      <alignment horizontal="right" vertical="top" wrapText="1"/>
    </xf>
    <xf numFmtId="167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3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7" fontId="4" fillId="0" borderId="7" xfId="0" applyNumberFormat="1" applyFont="1" applyBorder="1" applyAlignment="1">
      <alignment horizontal="right" vertical="top" wrapText="1"/>
    </xf>
    <xf numFmtId="168" fontId="0" fillId="0" borderId="0" xfId="0" applyNumberFormat="1"/>
    <xf numFmtId="0" fontId="9" fillId="0" borderId="0" xfId="0" applyFont="1"/>
    <xf numFmtId="0" fontId="10" fillId="0" borderId="0" xfId="0" applyFont="1"/>
    <xf numFmtId="169" fontId="10" fillId="0" borderId="0" xfId="1" applyNumberFormat="1" applyFont="1"/>
    <xf numFmtId="0" fontId="10" fillId="0" borderId="0" xfId="0" applyFont="1" applyAlignment="1">
      <alignment horizontal="left"/>
    </xf>
    <xf numFmtId="0" fontId="10" fillId="2" borderId="0" xfId="0" applyFont="1" applyFill="1"/>
    <xf numFmtId="170" fontId="10" fillId="0" borderId="0" xfId="1" applyNumberFormat="1" applyFont="1"/>
    <xf numFmtId="0" fontId="2" fillId="0" borderId="0" xfId="0" applyFont="1"/>
    <xf numFmtId="0" fontId="11" fillId="0" borderId="0" xfId="0" applyFont="1" applyAlignment="1">
      <alignment vertical="top"/>
    </xf>
    <xf numFmtId="0" fontId="0" fillId="0" borderId="0" xfId="0" applyAlignment="1">
      <alignment vertical="top"/>
    </xf>
    <xf numFmtId="0" fontId="2" fillId="0" borderId="14" xfId="0" applyFont="1" applyBorder="1" applyAlignment="1">
      <alignment wrapText="1"/>
    </xf>
    <xf numFmtId="0" fontId="12" fillId="0" borderId="14" xfId="0" applyFont="1" applyBorder="1" applyAlignment="1">
      <alignment horizontal="right"/>
    </xf>
    <xf numFmtId="0" fontId="0" fillId="0" borderId="14" xfId="0" applyBorder="1"/>
    <xf numFmtId="3" fontId="0" fillId="0" borderId="14" xfId="0" applyNumberFormat="1" applyBorder="1"/>
    <xf numFmtId="165" fontId="0" fillId="0" borderId="14" xfId="0" applyNumberFormat="1" applyBorder="1"/>
    <xf numFmtId="4" fontId="0" fillId="0" borderId="14" xfId="0" applyNumberFormat="1" applyBorder="1" applyAlignment="1">
      <alignment horizontal="right"/>
    </xf>
    <xf numFmtId="4" fontId="13" fillId="0" borderId="14" xfId="0" applyNumberFormat="1" applyFont="1" applyBorder="1" applyAlignment="1">
      <alignment vertical="top" wrapText="1"/>
    </xf>
    <xf numFmtId="3" fontId="14" fillId="0" borderId="14" xfId="1" applyNumberFormat="1" applyFont="1" applyFill="1" applyBorder="1" applyAlignment="1">
      <alignment horizontal="center"/>
    </xf>
    <xf numFmtId="3" fontId="0" fillId="0" borderId="0" xfId="0" applyNumberFormat="1"/>
    <xf numFmtId="165" fontId="0" fillId="0" borderId="0" xfId="0" applyNumberFormat="1"/>
    <xf numFmtId="4" fontId="0" fillId="0" borderId="0" xfId="0" applyNumberFormat="1"/>
    <xf numFmtId="0" fontId="1" fillId="0" borderId="0" xfId="2" applyAlignment="1">
      <alignment vertical="top" wrapText="1"/>
    </xf>
    <xf numFmtId="0" fontId="4" fillId="0" borderId="7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</cellXfs>
  <cellStyles count="3">
    <cellStyle name="Comma" xfId="1" builtinId="3"/>
    <cellStyle name="Normal" xfId="0" builtinId="0"/>
    <cellStyle name="Normal 3 2 2" xfId="2" xr:uid="{09464C0B-1FCD-472A-8F24-FC1C7F85A6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156</xdr:row>
      <xdr:rowOff>0</xdr:rowOff>
    </xdr:from>
    <xdr:to>
      <xdr:col>4</xdr:col>
      <xdr:colOff>498348</xdr:colOff>
      <xdr:row>171</xdr:row>
      <xdr:rowOff>146304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449A18-ADE6-48E3-A63E-AD59CCE9B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28567380"/>
          <a:ext cx="7455408" cy="28895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6095F-53D5-44FD-8A2F-F9224CCA0BCE}">
  <sheetPr codeName="Sheet8">
    <outlinePr summaryBelow="0"/>
  </sheetPr>
  <dimension ref="A1:K175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58.109375" customWidth="1"/>
    <col min="3" max="3" width="19.5546875" customWidth="1"/>
    <col min="4" max="4" width="23.77734375" customWidth="1"/>
    <col min="5" max="5" width="19.554687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52" t="s">
        <v>0</v>
      </c>
      <c r="C1" s="52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59"/>
      <c r="C2" s="59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60" t="s">
        <v>2</v>
      </c>
      <c r="C3" s="60"/>
      <c r="D3" s="1"/>
      <c r="E3" s="1"/>
      <c r="F3" s="1"/>
      <c r="G3" s="1"/>
      <c r="H3" s="1"/>
      <c r="I3" s="1"/>
      <c r="J3" s="1"/>
      <c r="K3" s="1"/>
    </row>
    <row r="4" spans="1:11" ht="27.9" customHeight="1">
      <c r="A4" s="1"/>
      <c r="B4" s="61" t="s">
        <v>3</v>
      </c>
      <c r="C4" s="61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58" t="s">
        <v>12</v>
      </c>
      <c r="C5" s="58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58" t="s">
        <v>13</v>
      </c>
      <c r="C6" s="58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57" t="s">
        <v>15</v>
      </c>
      <c r="C7" s="57"/>
      <c r="D7" s="6" t="s">
        <v>16</v>
      </c>
      <c r="E7" s="6" t="s">
        <v>17</v>
      </c>
      <c r="F7" s="9">
        <v>40050</v>
      </c>
      <c r="G7" s="10">
        <v>15397.22</v>
      </c>
      <c r="H7" s="11">
        <v>6.0400000000000002E-2</v>
      </c>
      <c r="I7" s="12"/>
      <c r="J7" s="12"/>
      <c r="K7" s="1"/>
    </row>
    <row r="8" spans="1:11" ht="13.05" customHeight="1">
      <c r="A8" s="8" t="s">
        <v>18</v>
      </c>
      <c r="B8" s="57" t="s">
        <v>19</v>
      </c>
      <c r="C8" s="57"/>
      <c r="D8" s="6" t="s">
        <v>20</v>
      </c>
      <c r="E8" s="6" t="s">
        <v>21</v>
      </c>
      <c r="F8" s="9">
        <v>1125000</v>
      </c>
      <c r="G8" s="10">
        <v>14863.5</v>
      </c>
      <c r="H8" s="11">
        <v>5.8299999999999998E-2</v>
      </c>
      <c r="I8" s="12"/>
      <c r="J8" s="12"/>
      <c r="K8" s="1"/>
    </row>
    <row r="9" spans="1:11" ht="13.05" customHeight="1">
      <c r="A9" s="8" t="s">
        <v>22</v>
      </c>
      <c r="B9" s="57" t="s">
        <v>23</v>
      </c>
      <c r="C9" s="57"/>
      <c r="D9" s="6" t="s">
        <v>24</v>
      </c>
      <c r="E9" s="6" t="s">
        <v>25</v>
      </c>
      <c r="F9" s="9">
        <v>1980000</v>
      </c>
      <c r="G9" s="10">
        <v>14742.09</v>
      </c>
      <c r="H9" s="11">
        <v>5.7799999999999997E-2</v>
      </c>
      <c r="I9" s="12"/>
      <c r="J9" s="12"/>
      <c r="K9" s="1"/>
    </row>
    <row r="10" spans="1:11" ht="13.05" customHeight="1">
      <c r="A10" s="8" t="s">
        <v>26</v>
      </c>
      <c r="B10" s="57" t="s">
        <v>27</v>
      </c>
      <c r="C10" s="57"/>
      <c r="D10" s="6" t="s">
        <v>28</v>
      </c>
      <c r="E10" s="6" t="s">
        <v>25</v>
      </c>
      <c r="F10" s="9">
        <v>1143000</v>
      </c>
      <c r="G10" s="10">
        <v>14360.65</v>
      </c>
      <c r="H10" s="11">
        <v>5.6300000000000003E-2</v>
      </c>
      <c r="I10" s="12"/>
      <c r="J10" s="12"/>
      <c r="K10" s="1"/>
    </row>
    <row r="11" spans="1:11" ht="13.05" customHeight="1">
      <c r="A11" s="8" t="s">
        <v>29</v>
      </c>
      <c r="B11" s="57" t="s">
        <v>30</v>
      </c>
      <c r="C11" s="57"/>
      <c r="D11" s="6" t="s">
        <v>31</v>
      </c>
      <c r="E11" s="6" t="s">
        <v>32</v>
      </c>
      <c r="F11" s="9">
        <v>270000</v>
      </c>
      <c r="G11" s="10">
        <v>11006.55</v>
      </c>
      <c r="H11" s="11">
        <v>4.3200000000000002E-2</v>
      </c>
      <c r="I11" s="12"/>
      <c r="J11" s="12"/>
      <c r="K11" s="1"/>
    </row>
    <row r="12" spans="1:11" ht="13.05" customHeight="1">
      <c r="A12" s="8" t="s">
        <v>33</v>
      </c>
      <c r="B12" s="57" t="s">
        <v>34</v>
      </c>
      <c r="C12" s="57"/>
      <c r="D12" s="6" t="s">
        <v>35</v>
      </c>
      <c r="E12" s="6" t="s">
        <v>36</v>
      </c>
      <c r="F12" s="9">
        <v>549000</v>
      </c>
      <c r="G12" s="10">
        <v>10041.209999999999</v>
      </c>
      <c r="H12" s="11">
        <v>3.9399999999999998E-2</v>
      </c>
      <c r="I12" s="12"/>
      <c r="J12" s="12"/>
      <c r="K12" s="1"/>
    </row>
    <row r="13" spans="1:11" ht="13.05" customHeight="1">
      <c r="A13" s="8" t="s">
        <v>37</v>
      </c>
      <c r="B13" s="57" t="s">
        <v>38</v>
      </c>
      <c r="C13" s="57"/>
      <c r="D13" s="6" t="s">
        <v>39</v>
      </c>
      <c r="E13" s="6" t="s">
        <v>25</v>
      </c>
      <c r="F13" s="9">
        <v>774000</v>
      </c>
      <c r="G13" s="10">
        <v>7464.46</v>
      </c>
      <c r="H13" s="11">
        <v>2.93E-2</v>
      </c>
      <c r="I13" s="12"/>
      <c r="J13" s="12"/>
      <c r="K13" s="1"/>
    </row>
    <row r="14" spans="1:11" ht="13.05" customHeight="1">
      <c r="A14" s="8" t="s">
        <v>40</v>
      </c>
      <c r="B14" s="57" t="s">
        <v>41</v>
      </c>
      <c r="C14" s="57"/>
      <c r="D14" s="6" t="s">
        <v>42</v>
      </c>
      <c r="E14" s="6" t="s">
        <v>25</v>
      </c>
      <c r="F14" s="9">
        <v>1800000</v>
      </c>
      <c r="G14" s="10">
        <v>6915.6</v>
      </c>
      <c r="H14" s="11">
        <v>2.7099999999999999E-2</v>
      </c>
      <c r="I14" s="12"/>
      <c r="J14" s="12"/>
      <c r="K14" s="1"/>
    </row>
    <row r="15" spans="1:11" ht="13.05" customHeight="1">
      <c r="A15" s="8" t="s">
        <v>43</v>
      </c>
      <c r="B15" s="57" t="s">
        <v>44</v>
      </c>
      <c r="C15" s="57"/>
      <c r="D15" s="6" t="s">
        <v>45</v>
      </c>
      <c r="E15" s="6" t="s">
        <v>46</v>
      </c>
      <c r="F15" s="9">
        <v>540000</v>
      </c>
      <c r="G15" s="10">
        <v>6268.86</v>
      </c>
      <c r="H15" s="11">
        <v>2.46E-2</v>
      </c>
      <c r="I15" s="12"/>
      <c r="J15" s="12"/>
      <c r="K15" s="1"/>
    </row>
    <row r="16" spans="1:11" ht="13.05" customHeight="1">
      <c r="A16" s="8" t="s">
        <v>47</v>
      </c>
      <c r="B16" s="57" t="s">
        <v>48</v>
      </c>
      <c r="C16" s="57"/>
      <c r="D16" s="6" t="s">
        <v>49</v>
      </c>
      <c r="E16" s="6" t="s">
        <v>50</v>
      </c>
      <c r="F16" s="9">
        <v>2430000</v>
      </c>
      <c r="G16" s="10">
        <v>6089.09</v>
      </c>
      <c r="H16" s="11">
        <v>2.3900000000000001E-2</v>
      </c>
      <c r="I16" s="12"/>
      <c r="J16" s="12"/>
      <c r="K16" s="1"/>
    </row>
    <row r="17" spans="1:11" ht="13.05" customHeight="1">
      <c r="A17" s="8" t="s">
        <v>51</v>
      </c>
      <c r="B17" s="57" t="s">
        <v>52</v>
      </c>
      <c r="C17" s="57"/>
      <c r="D17" s="6" t="s">
        <v>53</v>
      </c>
      <c r="E17" s="6" t="s">
        <v>54</v>
      </c>
      <c r="F17" s="9">
        <v>1530000</v>
      </c>
      <c r="G17" s="10">
        <v>5919.57</v>
      </c>
      <c r="H17" s="11">
        <v>2.3199999999999998E-2</v>
      </c>
      <c r="I17" s="12"/>
      <c r="J17" s="12"/>
      <c r="K17" s="1"/>
    </row>
    <row r="18" spans="1:11" ht="13.05" customHeight="1">
      <c r="A18" s="8" t="s">
        <v>55</v>
      </c>
      <c r="B18" s="57" t="s">
        <v>56</v>
      </c>
      <c r="C18" s="57"/>
      <c r="D18" s="6" t="s">
        <v>57</v>
      </c>
      <c r="E18" s="6" t="s">
        <v>58</v>
      </c>
      <c r="F18" s="9">
        <v>315000</v>
      </c>
      <c r="G18" s="10">
        <v>5667.48</v>
      </c>
      <c r="H18" s="11">
        <v>2.2200000000000001E-2</v>
      </c>
      <c r="I18" s="12"/>
      <c r="J18" s="12"/>
      <c r="K18" s="1"/>
    </row>
    <row r="19" spans="1:11" ht="13.05" customHeight="1">
      <c r="A19" s="8" t="s">
        <v>59</v>
      </c>
      <c r="B19" s="57" t="s">
        <v>60</v>
      </c>
      <c r="C19" s="57"/>
      <c r="D19" s="6" t="s">
        <v>61</v>
      </c>
      <c r="E19" s="6" t="s">
        <v>17</v>
      </c>
      <c r="F19" s="9">
        <v>1350000</v>
      </c>
      <c r="G19" s="10">
        <v>5626.13</v>
      </c>
      <c r="H19" s="11">
        <v>2.2100000000000002E-2</v>
      </c>
      <c r="I19" s="12"/>
      <c r="J19" s="12"/>
      <c r="K19" s="1"/>
    </row>
    <row r="20" spans="1:11" ht="13.05" customHeight="1">
      <c r="A20" s="8" t="s">
        <v>62</v>
      </c>
      <c r="B20" s="57" t="s">
        <v>63</v>
      </c>
      <c r="C20" s="57"/>
      <c r="D20" s="6" t="s">
        <v>64</v>
      </c>
      <c r="E20" s="6" t="s">
        <v>46</v>
      </c>
      <c r="F20" s="9">
        <v>360000</v>
      </c>
      <c r="G20" s="10">
        <v>5342.04</v>
      </c>
      <c r="H20" s="11">
        <v>2.0899999999999998E-2</v>
      </c>
      <c r="I20" s="12"/>
      <c r="J20" s="12"/>
      <c r="K20" s="1"/>
    </row>
    <row r="21" spans="1:11" ht="13.05" customHeight="1">
      <c r="A21" s="8" t="s">
        <v>65</v>
      </c>
      <c r="B21" s="57" t="s">
        <v>66</v>
      </c>
      <c r="C21" s="57"/>
      <c r="D21" s="6" t="s">
        <v>67</v>
      </c>
      <c r="E21" s="6" t="s">
        <v>68</v>
      </c>
      <c r="F21" s="9">
        <v>810000</v>
      </c>
      <c r="G21" s="10">
        <v>5126.8999999999996</v>
      </c>
      <c r="H21" s="11">
        <v>2.01E-2</v>
      </c>
      <c r="I21" s="12"/>
      <c r="J21" s="12"/>
      <c r="K21" s="1"/>
    </row>
    <row r="22" spans="1:11" ht="13.05" customHeight="1">
      <c r="A22" s="8" t="s">
        <v>69</v>
      </c>
      <c r="B22" s="57" t="s">
        <v>70</v>
      </c>
      <c r="C22" s="57"/>
      <c r="D22" s="6" t="s">
        <v>71</v>
      </c>
      <c r="E22" s="6" t="s">
        <v>58</v>
      </c>
      <c r="F22" s="9">
        <v>73800</v>
      </c>
      <c r="G22" s="10">
        <v>4920.25</v>
      </c>
      <c r="H22" s="11">
        <v>1.9300000000000001E-2</v>
      </c>
      <c r="I22" s="12"/>
      <c r="J22" s="12"/>
      <c r="K22" s="1"/>
    </row>
    <row r="23" spans="1:11" ht="13.05" customHeight="1">
      <c r="A23" s="8" t="s">
        <v>72</v>
      </c>
      <c r="B23" s="57" t="s">
        <v>73</v>
      </c>
      <c r="C23" s="57"/>
      <c r="D23" s="6" t="s">
        <v>74</v>
      </c>
      <c r="E23" s="6" t="s">
        <v>75</v>
      </c>
      <c r="F23" s="9">
        <v>324000</v>
      </c>
      <c r="G23" s="10">
        <v>4605.66</v>
      </c>
      <c r="H23" s="11">
        <v>1.8100000000000002E-2</v>
      </c>
      <c r="I23" s="12"/>
      <c r="J23" s="12"/>
      <c r="K23" s="1"/>
    </row>
    <row r="24" spans="1:11" ht="13.05" customHeight="1">
      <c r="A24" s="8" t="s">
        <v>76</v>
      </c>
      <c r="B24" s="57" t="s">
        <v>77</v>
      </c>
      <c r="C24" s="57"/>
      <c r="D24" s="6" t="s">
        <v>78</v>
      </c>
      <c r="E24" s="6" t="s">
        <v>46</v>
      </c>
      <c r="F24" s="9">
        <v>198000</v>
      </c>
      <c r="G24" s="10">
        <v>4472.62</v>
      </c>
      <c r="H24" s="11">
        <v>1.7500000000000002E-2</v>
      </c>
      <c r="I24" s="12"/>
      <c r="J24" s="12"/>
      <c r="K24" s="1"/>
    </row>
    <row r="25" spans="1:11" ht="13.05" customHeight="1">
      <c r="A25" s="8" t="s">
        <v>79</v>
      </c>
      <c r="B25" s="57" t="s">
        <v>80</v>
      </c>
      <c r="C25" s="57"/>
      <c r="D25" s="6" t="s">
        <v>81</v>
      </c>
      <c r="E25" s="6" t="s">
        <v>82</v>
      </c>
      <c r="F25" s="9">
        <v>1350000</v>
      </c>
      <c r="G25" s="10">
        <v>4129.6499999999996</v>
      </c>
      <c r="H25" s="11">
        <v>1.6199999999999999E-2</v>
      </c>
      <c r="I25" s="12"/>
      <c r="J25" s="12"/>
      <c r="K25" s="1"/>
    </row>
    <row r="26" spans="1:11" ht="13.05" customHeight="1">
      <c r="A26" s="8" t="s">
        <v>83</v>
      </c>
      <c r="B26" s="57" t="s">
        <v>84</v>
      </c>
      <c r="C26" s="57"/>
      <c r="D26" s="6" t="s">
        <v>85</v>
      </c>
      <c r="E26" s="6" t="s">
        <v>86</v>
      </c>
      <c r="F26" s="9">
        <v>180000</v>
      </c>
      <c r="G26" s="10">
        <v>3876.3</v>
      </c>
      <c r="H26" s="11">
        <v>1.52E-2</v>
      </c>
      <c r="I26" s="12"/>
      <c r="J26" s="12"/>
      <c r="K26" s="1"/>
    </row>
    <row r="27" spans="1:11" ht="13.05" customHeight="1">
      <c r="A27" s="8" t="s">
        <v>87</v>
      </c>
      <c r="B27" s="57" t="s">
        <v>88</v>
      </c>
      <c r="C27" s="57"/>
      <c r="D27" s="6" t="s">
        <v>89</v>
      </c>
      <c r="E27" s="6" t="s">
        <v>90</v>
      </c>
      <c r="F27" s="9">
        <v>54000</v>
      </c>
      <c r="G27" s="10">
        <v>3875.58</v>
      </c>
      <c r="H27" s="11">
        <v>1.52E-2</v>
      </c>
      <c r="I27" s="12"/>
      <c r="J27" s="12"/>
      <c r="K27" s="1"/>
    </row>
    <row r="28" spans="1:11" ht="13.05" customHeight="1">
      <c r="A28" s="8" t="s">
        <v>91</v>
      </c>
      <c r="B28" s="57" t="s">
        <v>92</v>
      </c>
      <c r="C28" s="57"/>
      <c r="D28" s="6" t="s">
        <v>93</v>
      </c>
      <c r="E28" s="6" t="s">
        <v>25</v>
      </c>
      <c r="F28" s="9">
        <v>3600000</v>
      </c>
      <c r="G28" s="10">
        <v>3817.8</v>
      </c>
      <c r="H28" s="11">
        <v>1.4999999999999999E-2</v>
      </c>
      <c r="I28" s="12"/>
      <c r="J28" s="12"/>
      <c r="K28" s="1"/>
    </row>
    <row r="29" spans="1:11" ht="13.05" customHeight="1">
      <c r="A29" s="8" t="s">
        <v>94</v>
      </c>
      <c r="B29" s="57" t="s">
        <v>95</v>
      </c>
      <c r="C29" s="57"/>
      <c r="D29" s="6" t="s">
        <v>96</v>
      </c>
      <c r="E29" s="6" t="s">
        <v>97</v>
      </c>
      <c r="F29" s="9">
        <v>32400</v>
      </c>
      <c r="G29" s="10">
        <v>3720.17</v>
      </c>
      <c r="H29" s="11">
        <v>1.46E-2</v>
      </c>
      <c r="I29" s="12"/>
      <c r="J29" s="12"/>
      <c r="K29" s="1"/>
    </row>
    <row r="30" spans="1:11" ht="13.05" customHeight="1">
      <c r="A30" s="8" t="s">
        <v>98</v>
      </c>
      <c r="B30" s="57" t="s">
        <v>99</v>
      </c>
      <c r="C30" s="57"/>
      <c r="D30" s="6" t="s">
        <v>100</v>
      </c>
      <c r="E30" s="6" t="s">
        <v>82</v>
      </c>
      <c r="F30" s="9">
        <v>405000</v>
      </c>
      <c r="G30" s="10">
        <v>3678.41</v>
      </c>
      <c r="H30" s="11">
        <v>1.44E-2</v>
      </c>
      <c r="I30" s="12"/>
      <c r="J30" s="12"/>
      <c r="K30" s="1"/>
    </row>
    <row r="31" spans="1:11" ht="13.05" customHeight="1">
      <c r="A31" s="8" t="s">
        <v>101</v>
      </c>
      <c r="B31" s="57" t="s">
        <v>102</v>
      </c>
      <c r="C31" s="57"/>
      <c r="D31" s="6" t="s">
        <v>103</v>
      </c>
      <c r="E31" s="6" t="s">
        <v>86</v>
      </c>
      <c r="F31" s="9">
        <v>1260000</v>
      </c>
      <c r="G31" s="10">
        <v>3614.94</v>
      </c>
      <c r="H31" s="11">
        <v>1.4200000000000001E-2</v>
      </c>
      <c r="I31" s="12"/>
      <c r="J31" s="12"/>
      <c r="K31" s="1"/>
    </row>
    <row r="32" spans="1:11" ht="13.05" customHeight="1">
      <c r="A32" s="8" t="s">
        <v>104</v>
      </c>
      <c r="B32" s="57" t="s">
        <v>105</v>
      </c>
      <c r="C32" s="57"/>
      <c r="D32" s="6" t="s">
        <v>106</v>
      </c>
      <c r="E32" s="6" t="s">
        <v>107</v>
      </c>
      <c r="F32" s="9">
        <v>9720</v>
      </c>
      <c r="G32" s="10">
        <v>3559.95</v>
      </c>
      <c r="H32" s="11">
        <v>1.4E-2</v>
      </c>
      <c r="I32" s="12"/>
      <c r="J32" s="12"/>
      <c r="K32" s="1"/>
    </row>
    <row r="33" spans="1:11" ht="13.05" customHeight="1">
      <c r="A33" s="8" t="s">
        <v>108</v>
      </c>
      <c r="B33" s="57" t="s">
        <v>109</v>
      </c>
      <c r="C33" s="57"/>
      <c r="D33" s="6" t="s">
        <v>110</v>
      </c>
      <c r="E33" s="6" t="s">
        <v>90</v>
      </c>
      <c r="F33" s="9">
        <v>24300</v>
      </c>
      <c r="G33" s="10">
        <v>3189.86</v>
      </c>
      <c r="H33" s="11">
        <v>1.2500000000000001E-2</v>
      </c>
      <c r="I33" s="12"/>
      <c r="J33" s="12"/>
      <c r="K33" s="1"/>
    </row>
    <row r="34" spans="1:11" ht="13.05" customHeight="1">
      <c r="A34" s="8" t="s">
        <v>111</v>
      </c>
      <c r="B34" s="57" t="s">
        <v>112</v>
      </c>
      <c r="C34" s="57"/>
      <c r="D34" s="6" t="s">
        <v>113</v>
      </c>
      <c r="E34" s="6" t="s">
        <v>114</v>
      </c>
      <c r="F34" s="9">
        <v>603000</v>
      </c>
      <c r="G34" s="10">
        <v>3183.84</v>
      </c>
      <c r="H34" s="11">
        <v>1.2500000000000001E-2</v>
      </c>
      <c r="I34" s="12"/>
      <c r="J34" s="12"/>
      <c r="K34" s="1"/>
    </row>
    <row r="35" spans="1:11" ht="13.05" customHeight="1">
      <c r="A35" s="8" t="s">
        <v>115</v>
      </c>
      <c r="B35" s="57" t="s">
        <v>116</v>
      </c>
      <c r="C35" s="57"/>
      <c r="D35" s="6" t="s">
        <v>117</v>
      </c>
      <c r="E35" s="6" t="s">
        <v>118</v>
      </c>
      <c r="F35" s="9">
        <v>77400</v>
      </c>
      <c r="G35" s="10">
        <v>3153.97</v>
      </c>
      <c r="H35" s="11">
        <v>1.24E-2</v>
      </c>
      <c r="I35" s="12"/>
      <c r="J35" s="12"/>
      <c r="K35" s="1"/>
    </row>
    <row r="36" spans="1:11" ht="13.05" customHeight="1">
      <c r="A36" s="8" t="s">
        <v>119</v>
      </c>
      <c r="B36" s="57" t="s">
        <v>120</v>
      </c>
      <c r="C36" s="57"/>
      <c r="D36" s="6" t="s">
        <v>121</v>
      </c>
      <c r="E36" s="6" t="s">
        <v>54</v>
      </c>
      <c r="F36" s="9">
        <v>1080000</v>
      </c>
      <c r="G36" s="10">
        <v>3137.94</v>
      </c>
      <c r="H36" s="11">
        <v>1.23E-2</v>
      </c>
      <c r="I36" s="12"/>
      <c r="J36" s="12"/>
      <c r="K36" s="1"/>
    </row>
    <row r="37" spans="1:11" ht="13.05" customHeight="1">
      <c r="A37" s="8" t="s">
        <v>122</v>
      </c>
      <c r="B37" s="57" t="s">
        <v>123</v>
      </c>
      <c r="C37" s="57"/>
      <c r="D37" s="6" t="s">
        <v>124</v>
      </c>
      <c r="E37" s="6" t="s">
        <v>125</v>
      </c>
      <c r="F37" s="9">
        <v>243000</v>
      </c>
      <c r="G37" s="10">
        <v>3105.54</v>
      </c>
      <c r="H37" s="11">
        <v>1.2200000000000001E-2</v>
      </c>
      <c r="I37" s="12"/>
      <c r="J37" s="12"/>
      <c r="K37" s="1"/>
    </row>
    <row r="38" spans="1:11" ht="13.05" customHeight="1">
      <c r="A38" s="8" t="s">
        <v>126</v>
      </c>
      <c r="B38" s="57" t="s">
        <v>127</v>
      </c>
      <c r="C38" s="57"/>
      <c r="D38" s="6" t="s">
        <v>128</v>
      </c>
      <c r="E38" s="6" t="s">
        <v>90</v>
      </c>
      <c r="F38" s="9">
        <v>63000</v>
      </c>
      <c r="G38" s="10">
        <v>3088.89</v>
      </c>
      <c r="H38" s="11">
        <v>1.21E-2</v>
      </c>
      <c r="I38" s="12"/>
      <c r="J38" s="12"/>
      <c r="K38" s="1"/>
    </row>
    <row r="39" spans="1:11" ht="13.05" customHeight="1">
      <c r="A39" s="8" t="s">
        <v>129</v>
      </c>
      <c r="B39" s="57" t="s">
        <v>130</v>
      </c>
      <c r="C39" s="57"/>
      <c r="D39" s="6" t="s">
        <v>131</v>
      </c>
      <c r="E39" s="6" t="s">
        <v>25</v>
      </c>
      <c r="F39" s="9">
        <v>225000</v>
      </c>
      <c r="G39" s="10">
        <v>2894.85</v>
      </c>
      <c r="H39" s="11">
        <v>1.14E-2</v>
      </c>
      <c r="I39" s="12"/>
      <c r="J39" s="12"/>
      <c r="K39" s="1"/>
    </row>
    <row r="40" spans="1:11" ht="13.05" customHeight="1">
      <c r="A40" s="8" t="s">
        <v>132</v>
      </c>
      <c r="B40" s="57" t="s">
        <v>133</v>
      </c>
      <c r="C40" s="57"/>
      <c r="D40" s="6" t="s">
        <v>134</v>
      </c>
      <c r="E40" s="6" t="s">
        <v>82</v>
      </c>
      <c r="F40" s="9">
        <v>162000</v>
      </c>
      <c r="G40" s="10">
        <v>2889.43</v>
      </c>
      <c r="H40" s="11">
        <v>1.1299999999999999E-2</v>
      </c>
      <c r="I40" s="12"/>
      <c r="J40" s="12"/>
      <c r="K40" s="1"/>
    </row>
    <row r="41" spans="1:11" ht="13.05" customHeight="1">
      <c r="A41" s="8" t="s">
        <v>135</v>
      </c>
      <c r="B41" s="57" t="s">
        <v>136</v>
      </c>
      <c r="C41" s="57"/>
      <c r="D41" s="6" t="s">
        <v>137</v>
      </c>
      <c r="E41" s="6" t="s">
        <v>118</v>
      </c>
      <c r="F41" s="9">
        <v>189000</v>
      </c>
      <c r="G41" s="10">
        <v>2880.17</v>
      </c>
      <c r="H41" s="11">
        <v>1.1299999999999999E-2</v>
      </c>
      <c r="I41" s="12"/>
      <c r="J41" s="12"/>
      <c r="K41" s="1"/>
    </row>
    <row r="42" spans="1:11" ht="13.05" customHeight="1">
      <c r="A42" s="8" t="s">
        <v>138</v>
      </c>
      <c r="B42" s="57" t="s">
        <v>139</v>
      </c>
      <c r="C42" s="57"/>
      <c r="D42" s="6" t="s">
        <v>140</v>
      </c>
      <c r="E42" s="6" t="s">
        <v>58</v>
      </c>
      <c r="F42" s="9">
        <v>63000</v>
      </c>
      <c r="G42" s="10">
        <v>2778.8</v>
      </c>
      <c r="H42" s="11">
        <v>1.09E-2</v>
      </c>
      <c r="I42" s="12"/>
      <c r="J42" s="12"/>
      <c r="K42" s="1"/>
    </row>
    <row r="43" spans="1:11" ht="13.05" customHeight="1">
      <c r="A43" s="8" t="s">
        <v>141</v>
      </c>
      <c r="B43" s="57" t="s">
        <v>142</v>
      </c>
      <c r="C43" s="57"/>
      <c r="D43" s="6" t="s">
        <v>143</v>
      </c>
      <c r="E43" s="6" t="s">
        <v>144</v>
      </c>
      <c r="F43" s="9">
        <v>675000</v>
      </c>
      <c r="G43" s="10">
        <v>2772.56</v>
      </c>
      <c r="H43" s="11">
        <v>1.09E-2</v>
      </c>
      <c r="I43" s="12"/>
      <c r="J43" s="12"/>
      <c r="K43" s="1"/>
    </row>
    <row r="44" spans="1:11" ht="13.05" customHeight="1">
      <c r="A44" s="8" t="s">
        <v>145</v>
      </c>
      <c r="B44" s="57" t="s">
        <v>146</v>
      </c>
      <c r="C44" s="57"/>
      <c r="D44" s="6" t="s">
        <v>147</v>
      </c>
      <c r="E44" s="6" t="s">
        <v>148</v>
      </c>
      <c r="F44" s="9">
        <v>720000</v>
      </c>
      <c r="G44" s="10">
        <v>2732.4</v>
      </c>
      <c r="H44" s="11">
        <v>1.0699999999999999E-2</v>
      </c>
      <c r="I44" s="12"/>
      <c r="J44" s="12"/>
      <c r="K44" s="1"/>
    </row>
    <row r="45" spans="1:11" ht="13.05" customHeight="1">
      <c r="A45" s="8" t="s">
        <v>149</v>
      </c>
      <c r="B45" s="57" t="s">
        <v>150</v>
      </c>
      <c r="C45" s="57"/>
      <c r="D45" s="6" t="s">
        <v>151</v>
      </c>
      <c r="E45" s="6" t="s">
        <v>152</v>
      </c>
      <c r="F45" s="9">
        <v>558000</v>
      </c>
      <c r="G45" s="10">
        <v>2656.92</v>
      </c>
      <c r="H45" s="11">
        <v>1.04E-2</v>
      </c>
      <c r="I45" s="12"/>
      <c r="J45" s="12"/>
      <c r="K45" s="1"/>
    </row>
    <row r="46" spans="1:11" ht="13.05" customHeight="1">
      <c r="A46" s="8" t="s">
        <v>153</v>
      </c>
      <c r="B46" s="57" t="s">
        <v>154</v>
      </c>
      <c r="C46" s="57"/>
      <c r="D46" s="6" t="s">
        <v>155</v>
      </c>
      <c r="E46" s="6" t="s">
        <v>54</v>
      </c>
      <c r="F46" s="9">
        <v>3330000</v>
      </c>
      <c r="G46" s="10">
        <v>2626.37</v>
      </c>
      <c r="H46" s="11">
        <v>1.03E-2</v>
      </c>
      <c r="I46" s="12"/>
      <c r="J46" s="12"/>
      <c r="K46" s="1"/>
    </row>
    <row r="47" spans="1:11" ht="13.05" customHeight="1">
      <c r="A47" s="8" t="s">
        <v>156</v>
      </c>
      <c r="B47" s="57" t="s">
        <v>157</v>
      </c>
      <c r="C47" s="57"/>
      <c r="D47" s="6" t="s">
        <v>158</v>
      </c>
      <c r="E47" s="6" t="s">
        <v>46</v>
      </c>
      <c r="F47" s="9">
        <v>49500</v>
      </c>
      <c r="G47" s="10">
        <v>2571.1799999999998</v>
      </c>
      <c r="H47" s="11">
        <v>1.01E-2</v>
      </c>
      <c r="I47" s="12"/>
      <c r="J47" s="12"/>
      <c r="K47" s="1"/>
    </row>
    <row r="48" spans="1:11" ht="13.05" customHeight="1">
      <c r="A48" s="8" t="s">
        <v>159</v>
      </c>
      <c r="B48" s="57" t="s">
        <v>160</v>
      </c>
      <c r="C48" s="57"/>
      <c r="D48" s="6" t="s">
        <v>161</v>
      </c>
      <c r="E48" s="6" t="s">
        <v>114</v>
      </c>
      <c r="F48" s="9">
        <v>198000</v>
      </c>
      <c r="G48" s="10">
        <v>2514.6</v>
      </c>
      <c r="H48" s="11">
        <v>9.9000000000000008E-3</v>
      </c>
      <c r="I48" s="12"/>
      <c r="J48" s="12"/>
      <c r="K48" s="1"/>
    </row>
    <row r="49" spans="1:11" ht="13.05" customHeight="1">
      <c r="A49" s="8" t="s">
        <v>162</v>
      </c>
      <c r="B49" s="57" t="s">
        <v>163</v>
      </c>
      <c r="C49" s="57"/>
      <c r="D49" s="6" t="s">
        <v>164</v>
      </c>
      <c r="E49" s="6" t="s">
        <v>165</v>
      </c>
      <c r="F49" s="9">
        <v>540000</v>
      </c>
      <c r="G49" s="10">
        <v>2472.66</v>
      </c>
      <c r="H49" s="11">
        <v>9.7000000000000003E-3</v>
      </c>
      <c r="I49" s="12"/>
      <c r="J49" s="12"/>
      <c r="K49" s="1"/>
    </row>
    <row r="50" spans="1:11" ht="13.05" customHeight="1">
      <c r="A50" s="8" t="s">
        <v>166</v>
      </c>
      <c r="B50" s="57" t="s">
        <v>167</v>
      </c>
      <c r="C50" s="57"/>
      <c r="D50" s="6" t="s">
        <v>168</v>
      </c>
      <c r="E50" s="6" t="s">
        <v>25</v>
      </c>
      <c r="F50" s="9">
        <v>270000</v>
      </c>
      <c r="G50" s="10">
        <v>2468.75</v>
      </c>
      <c r="H50" s="11">
        <v>9.7000000000000003E-3</v>
      </c>
      <c r="I50" s="12"/>
      <c r="J50" s="12"/>
      <c r="K50" s="1"/>
    </row>
    <row r="51" spans="1:11" ht="13.05" customHeight="1">
      <c r="A51" s="8" t="s">
        <v>169</v>
      </c>
      <c r="B51" s="57" t="s">
        <v>170</v>
      </c>
      <c r="C51" s="57"/>
      <c r="D51" s="6" t="s">
        <v>171</v>
      </c>
      <c r="E51" s="6" t="s">
        <v>54</v>
      </c>
      <c r="F51" s="9">
        <v>585000</v>
      </c>
      <c r="G51" s="10">
        <v>2461.39</v>
      </c>
      <c r="H51" s="11">
        <v>9.7000000000000003E-3</v>
      </c>
      <c r="I51" s="12"/>
      <c r="J51" s="12"/>
      <c r="K51" s="1"/>
    </row>
    <row r="52" spans="1:11" ht="13.05" customHeight="1">
      <c r="A52" s="8" t="s">
        <v>172</v>
      </c>
      <c r="B52" s="57" t="s">
        <v>173</v>
      </c>
      <c r="C52" s="57"/>
      <c r="D52" s="6" t="s">
        <v>174</v>
      </c>
      <c r="E52" s="6" t="s">
        <v>175</v>
      </c>
      <c r="F52" s="9">
        <v>405000</v>
      </c>
      <c r="G52" s="10">
        <v>2408.94</v>
      </c>
      <c r="H52" s="11">
        <v>9.4000000000000004E-3</v>
      </c>
      <c r="I52" s="12"/>
      <c r="J52" s="12"/>
      <c r="K52" s="1"/>
    </row>
    <row r="53" spans="1:11" ht="13.05" customHeight="1">
      <c r="A53" s="8" t="s">
        <v>176</v>
      </c>
      <c r="B53" s="57" t="s">
        <v>177</v>
      </c>
      <c r="C53" s="57"/>
      <c r="D53" s="6" t="s">
        <v>178</v>
      </c>
      <c r="E53" s="6" t="s">
        <v>148</v>
      </c>
      <c r="F53" s="9">
        <v>75600</v>
      </c>
      <c r="G53" s="10">
        <v>2162.0100000000002</v>
      </c>
      <c r="H53" s="11">
        <v>8.5000000000000006E-3</v>
      </c>
      <c r="I53" s="12"/>
      <c r="J53" s="12"/>
      <c r="K53" s="1"/>
    </row>
    <row r="54" spans="1:11" ht="13.05" customHeight="1">
      <c r="A54" s="8" t="s">
        <v>179</v>
      </c>
      <c r="B54" s="57" t="s">
        <v>180</v>
      </c>
      <c r="C54" s="57"/>
      <c r="D54" s="6" t="s">
        <v>181</v>
      </c>
      <c r="E54" s="6" t="s">
        <v>46</v>
      </c>
      <c r="F54" s="9">
        <v>810000</v>
      </c>
      <c r="G54" s="10">
        <v>1654.43</v>
      </c>
      <c r="H54" s="11">
        <v>6.4999999999999997E-3</v>
      </c>
      <c r="I54" s="12"/>
      <c r="J54" s="12"/>
      <c r="K54" s="1"/>
    </row>
    <row r="55" spans="1:11" ht="13.05" customHeight="1">
      <c r="A55" s="8" t="s">
        <v>182</v>
      </c>
      <c r="B55" s="57" t="s">
        <v>183</v>
      </c>
      <c r="C55" s="57"/>
      <c r="D55" s="6" t="s">
        <v>184</v>
      </c>
      <c r="E55" s="6" t="s">
        <v>185</v>
      </c>
      <c r="F55" s="9">
        <v>90000</v>
      </c>
      <c r="G55" s="10">
        <v>1532.25</v>
      </c>
      <c r="H55" s="11">
        <v>6.0000000000000001E-3</v>
      </c>
      <c r="I55" s="12"/>
      <c r="J55" s="12"/>
      <c r="K55" s="1"/>
    </row>
    <row r="56" spans="1:11" ht="13.05" customHeight="1">
      <c r="A56" s="8"/>
      <c r="B56" s="57" t="s">
        <v>186</v>
      </c>
      <c r="C56" s="57"/>
      <c r="D56" s="6" t="s">
        <v>187</v>
      </c>
      <c r="E56" s="6" t="s">
        <v>125</v>
      </c>
      <c r="F56" s="9">
        <v>900000</v>
      </c>
      <c r="G56" s="10">
        <v>1089.27</v>
      </c>
      <c r="H56" s="11">
        <v>4.3E-3</v>
      </c>
      <c r="I56" s="12"/>
      <c r="J56" s="12"/>
      <c r="K56" s="1"/>
    </row>
    <row r="57" spans="1:11" ht="13.05" customHeight="1">
      <c r="A57" s="8"/>
      <c r="B57" s="57" t="s">
        <v>188</v>
      </c>
      <c r="C57" s="57"/>
      <c r="D57" s="6" t="s">
        <v>189</v>
      </c>
      <c r="E57" s="6" t="s">
        <v>54</v>
      </c>
      <c r="F57" s="9">
        <v>900000</v>
      </c>
      <c r="G57" s="10">
        <v>1089.27</v>
      </c>
      <c r="H57" s="11">
        <v>4.3E-3</v>
      </c>
      <c r="I57" s="12"/>
      <c r="J57" s="12"/>
      <c r="K57" s="1"/>
    </row>
    <row r="58" spans="1:11" ht="13.05" customHeight="1">
      <c r="A58" s="8"/>
      <c r="B58" s="57" t="s">
        <v>190</v>
      </c>
      <c r="C58" s="57"/>
      <c r="D58" s="6" t="s">
        <v>191</v>
      </c>
      <c r="E58" s="6" t="s">
        <v>152</v>
      </c>
      <c r="F58" s="9">
        <v>900000</v>
      </c>
      <c r="G58" s="10">
        <v>1089.27</v>
      </c>
      <c r="H58" s="11">
        <v>4.3E-3</v>
      </c>
      <c r="I58" s="12"/>
      <c r="J58" s="12"/>
      <c r="K58" s="1"/>
    </row>
    <row r="59" spans="1:11" ht="13.05" customHeight="1">
      <c r="A59" s="8"/>
      <c r="B59" s="57" t="s">
        <v>192</v>
      </c>
      <c r="C59" s="57"/>
      <c r="D59" s="6" t="s">
        <v>193</v>
      </c>
      <c r="E59" s="6" t="s">
        <v>68</v>
      </c>
      <c r="F59" s="9">
        <v>900000</v>
      </c>
      <c r="G59" s="10">
        <v>1089.27</v>
      </c>
      <c r="H59" s="11">
        <v>4.3E-3</v>
      </c>
      <c r="I59" s="12"/>
      <c r="J59" s="12"/>
      <c r="K59" s="1"/>
    </row>
    <row r="60" spans="1:11" ht="13.05" customHeight="1">
      <c r="A60" s="1"/>
      <c r="B60" s="54" t="s">
        <v>194</v>
      </c>
      <c r="C60" s="54"/>
      <c r="D60" s="13"/>
      <c r="E60" s="13"/>
      <c r="F60" s="13"/>
      <c r="G60" s="14">
        <f>SUM(G7:G59)</f>
        <v>244797.50999999998</v>
      </c>
      <c r="H60" s="15">
        <f>SUM(H7:H59)</f>
        <v>0.96039999999999959</v>
      </c>
      <c r="I60" s="16"/>
      <c r="J60" s="16"/>
      <c r="K60" s="1"/>
    </row>
    <row r="61" spans="1:11" ht="13.05" customHeight="1">
      <c r="A61" s="1"/>
      <c r="B61" s="54" t="s">
        <v>195</v>
      </c>
      <c r="C61" s="54"/>
      <c r="D61" s="13"/>
      <c r="E61" s="13"/>
      <c r="F61" s="13"/>
      <c r="G61" s="16" t="s">
        <v>196</v>
      </c>
      <c r="H61" s="16" t="s">
        <v>196</v>
      </c>
      <c r="I61" s="16"/>
      <c r="J61" s="16"/>
      <c r="K61" s="1"/>
    </row>
    <row r="62" spans="1:11" ht="13.05" customHeight="1">
      <c r="A62" s="1"/>
      <c r="B62" s="54" t="s">
        <v>194</v>
      </c>
      <c r="C62" s="54"/>
      <c r="D62" s="13"/>
      <c r="E62" s="13"/>
      <c r="F62" s="13"/>
      <c r="G62" s="16" t="s">
        <v>196</v>
      </c>
      <c r="H62" s="16" t="s">
        <v>196</v>
      </c>
      <c r="I62" s="16"/>
      <c r="J62" s="16"/>
      <c r="K62" s="1"/>
    </row>
    <row r="63" spans="1:11" ht="13.05" customHeight="1">
      <c r="A63" s="1"/>
      <c r="B63" s="54" t="s">
        <v>197</v>
      </c>
      <c r="C63" s="54"/>
      <c r="D63" s="17"/>
      <c r="E63" s="13"/>
      <c r="F63" s="17"/>
      <c r="G63" s="14">
        <v>244797.51</v>
      </c>
      <c r="H63" s="15">
        <v>0.96040000000000003</v>
      </c>
      <c r="I63" s="16"/>
      <c r="J63" s="16"/>
      <c r="K63" s="1"/>
    </row>
    <row r="64" spans="1:11" ht="13.05" customHeight="1">
      <c r="A64" s="1"/>
      <c r="B64" s="58" t="s">
        <v>198</v>
      </c>
      <c r="C64" s="58"/>
      <c r="D64" s="6"/>
      <c r="E64" s="6"/>
      <c r="F64" s="6"/>
      <c r="G64" s="6"/>
      <c r="H64" s="6"/>
      <c r="I64" s="7"/>
      <c r="J64" s="7"/>
      <c r="K64" s="1"/>
    </row>
    <row r="65" spans="1:11" ht="13.05" customHeight="1">
      <c r="A65" s="1"/>
      <c r="B65" s="58" t="s">
        <v>199</v>
      </c>
      <c r="C65" s="58"/>
      <c r="D65" s="6"/>
      <c r="E65" s="6"/>
      <c r="F65" s="6"/>
      <c r="G65" s="1"/>
      <c r="H65" s="7"/>
      <c r="I65" s="7"/>
      <c r="J65" s="7"/>
      <c r="K65" s="1"/>
    </row>
    <row r="66" spans="1:11" ht="13.05" customHeight="1">
      <c r="A66" s="8" t="s">
        <v>200</v>
      </c>
      <c r="B66" s="57" t="s">
        <v>201</v>
      </c>
      <c r="C66" s="57"/>
      <c r="D66" s="6"/>
      <c r="E66" s="6" t="s">
        <v>202</v>
      </c>
      <c r="F66" s="9">
        <v>118125</v>
      </c>
      <c r="G66" s="10">
        <v>3525.32</v>
      </c>
      <c r="H66" s="11">
        <v>1.38E-2</v>
      </c>
      <c r="I66" s="12"/>
      <c r="J66" s="12"/>
      <c r="K66" s="1"/>
    </row>
    <row r="67" spans="1:11" ht="13.05" customHeight="1">
      <c r="A67" s="8" t="s">
        <v>203</v>
      </c>
      <c r="B67" s="57" t="s">
        <v>204</v>
      </c>
      <c r="C67" s="57"/>
      <c r="D67" s="6"/>
      <c r="E67" s="6" t="s">
        <v>202</v>
      </c>
      <c r="F67" s="9">
        <v>-2700</v>
      </c>
      <c r="G67" s="10">
        <v>-313.61</v>
      </c>
      <c r="H67" s="11">
        <v>-1.1999999999999999E-3</v>
      </c>
      <c r="I67" s="12"/>
      <c r="J67" s="12"/>
      <c r="K67" s="1"/>
    </row>
    <row r="68" spans="1:11" ht="13.05" customHeight="1">
      <c r="A68" s="1"/>
      <c r="B68" s="54" t="s">
        <v>194</v>
      </c>
      <c r="C68" s="54"/>
      <c r="D68" s="13"/>
      <c r="E68" s="13"/>
      <c r="F68" s="13"/>
      <c r="G68" s="14">
        <v>3211.71</v>
      </c>
      <c r="H68" s="15">
        <v>1.26E-2</v>
      </c>
      <c r="I68" s="16"/>
      <c r="J68" s="16"/>
      <c r="K68" s="1"/>
    </row>
    <row r="69" spans="1:11" ht="13.05" customHeight="1">
      <c r="A69" s="1"/>
      <c r="B69" s="54" t="s">
        <v>197</v>
      </c>
      <c r="C69" s="54"/>
      <c r="D69" s="17"/>
      <c r="E69" s="13"/>
      <c r="F69" s="17"/>
      <c r="G69" s="14">
        <v>3211.71</v>
      </c>
      <c r="H69" s="15">
        <v>1.26E-2</v>
      </c>
      <c r="I69" s="16"/>
      <c r="J69" s="16"/>
      <c r="K69" s="1"/>
    </row>
    <row r="70" spans="1:11" ht="13.05" customHeight="1">
      <c r="A70" s="1"/>
      <c r="B70" s="58" t="s">
        <v>205</v>
      </c>
      <c r="C70" s="58"/>
      <c r="D70" s="6"/>
      <c r="E70" s="6"/>
      <c r="F70" s="6"/>
      <c r="G70" s="6"/>
      <c r="H70" s="6"/>
      <c r="I70" s="7"/>
      <c r="J70" s="7"/>
      <c r="K70" s="1"/>
    </row>
    <row r="71" spans="1:11" ht="13.05" customHeight="1">
      <c r="A71" s="1"/>
      <c r="B71" s="58" t="s">
        <v>206</v>
      </c>
      <c r="C71" s="58"/>
      <c r="D71" s="6"/>
      <c r="E71" s="6"/>
      <c r="F71" s="6"/>
      <c r="G71" s="1"/>
      <c r="H71" s="7"/>
      <c r="I71" s="7"/>
      <c r="J71" s="7"/>
      <c r="K71" s="1"/>
    </row>
    <row r="72" spans="1:11" ht="13.05" customHeight="1">
      <c r="A72" s="8" t="s">
        <v>207</v>
      </c>
      <c r="B72" s="57" t="s">
        <v>208</v>
      </c>
      <c r="C72" s="57"/>
      <c r="D72" s="6" t="s">
        <v>209</v>
      </c>
      <c r="E72" s="6" t="s">
        <v>210</v>
      </c>
      <c r="F72" s="9">
        <v>1500000</v>
      </c>
      <c r="G72" s="10">
        <v>1494.87</v>
      </c>
      <c r="H72" s="11">
        <v>5.8999999999999999E-3</v>
      </c>
      <c r="I72" s="18">
        <v>5.2169E-2</v>
      </c>
      <c r="J72" s="12"/>
      <c r="K72" s="1"/>
    </row>
    <row r="73" spans="1:11" ht="13.05" customHeight="1">
      <c r="A73" s="8" t="s">
        <v>211</v>
      </c>
      <c r="B73" s="57" t="s">
        <v>212</v>
      </c>
      <c r="C73" s="57"/>
      <c r="D73" s="6" t="s">
        <v>213</v>
      </c>
      <c r="E73" s="6" t="s">
        <v>210</v>
      </c>
      <c r="F73" s="9">
        <v>1200000</v>
      </c>
      <c r="G73" s="10">
        <v>1153.5899999999999</v>
      </c>
      <c r="H73" s="11">
        <v>4.4999999999999997E-3</v>
      </c>
      <c r="I73" s="18">
        <v>5.9206000000000002E-2</v>
      </c>
      <c r="J73" s="12"/>
      <c r="K73" s="1"/>
    </row>
    <row r="74" spans="1:11" ht="13.05" customHeight="1">
      <c r="A74" s="1"/>
      <c r="B74" s="54" t="s">
        <v>194</v>
      </c>
      <c r="C74" s="54"/>
      <c r="D74" s="13"/>
      <c r="E74" s="13"/>
      <c r="F74" s="13"/>
      <c r="G74" s="14">
        <v>2648.46</v>
      </c>
      <c r="H74" s="15">
        <v>1.04E-2</v>
      </c>
      <c r="I74" s="16"/>
      <c r="J74" s="16"/>
      <c r="K74" s="1"/>
    </row>
    <row r="75" spans="1:11" ht="13.05" customHeight="1">
      <c r="A75" s="1"/>
      <c r="B75" s="54" t="s">
        <v>197</v>
      </c>
      <c r="C75" s="54"/>
      <c r="D75" s="17"/>
      <c r="E75" s="13"/>
      <c r="F75" s="17"/>
      <c r="G75" s="14">
        <v>2648.46</v>
      </c>
      <c r="H75" s="15">
        <v>1.04E-2</v>
      </c>
      <c r="I75" s="16"/>
      <c r="J75" s="16"/>
      <c r="K75" s="1"/>
    </row>
    <row r="76" spans="1:11" ht="13.05" customHeight="1">
      <c r="A76" s="1"/>
      <c r="B76" s="58" t="s">
        <v>214</v>
      </c>
      <c r="C76" s="58"/>
      <c r="D76" s="6"/>
      <c r="E76" s="6"/>
      <c r="F76" s="6"/>
      <c r="G76" s="6"/>
      <c r="H76" s="6"/>
      <c r="I76" s="7"/>
      <c r="J76" s="7"/>
      <c r="K76" s="1"/>
    </row>
    <row r="77" spans="1:11" ht="13.05" customHeight="1">
      <c r="A77" s="8" t="s">
        <v>215</v>
      </c>
      <c r="B77" s="57" t="s">
        <v>216</v>
      </c>
      <c r="C77" s="57"/>
      <c r="D77" s="6"/>
      <c r="E77" s="6" t="s">
        <v>202</v>
      </c>
      <c r="F77" s="9"/>
      <c r="G77" s="10">
        <v>9295.06</v>
      </c>
      <c r="H77" s="11">
        <v>3.6499999999999998E-2</v>
      </c>
      <c r="I77" s="18">
        <v>0.16103455674666248</v>
      </c>
      <c r="J77" s="12"/>
      <c r="K77" s="1"/>
    </row>
    <row r="78" spans="1:11" ht="13.05" customHeight="1">
      <c r="A78" s="1"/>
      <c r="B78" s="54" t="s">
        <v>194</v>
      </c>
      <c r="C78" s="54"/>
      <c r="D78" s="13"/>
      <c r="E78" s="13"/>
      <c r="F78" s="13"/>
      <c r="G78" s="14">
        <v>9295.06</v>
      </c>
      <c r="H78" s="15">
        <v>3.6499999999999998E-2</v>
      </c>
      <c r="I78" s="16"/>
      <c r="J78" s="16"/>
      <c r="K78" s="1"/>
    </row>
    <row r="79" spans="1:11" ht="13.05" customHeight="1">
      <c r="A79" s="1"/>
      <c r="B79" s="54" t="s">
        <v>197</v>
      </c>
      <c r="C79" s="54"/>
      <c r="D79" s="17"/>
      <c r="E79" s="13"/>
      <c r="F79" s="17"/>
      <c r="G79" s="14">
        <v>9295.06</v>
      </c>
      <c r="H79" s="15">
        <v>3.6499999999999998E-2</v>
      </c>
      <c r="I79" s="16"/>
      <c r="J79" s="16"/>
      <c r="K79" s="1"/>
    </row>
    <row r="80" spans="1:11" ht="13.05" customHeight="1">
      <c r="A80" s="1"/>
      <c r="B80" s="54" t="s">
        <v>217</v>
      </c>
      <c r="C80" s="54"/>
      <c r="D80" s="6"/>
      <c r="E80" s="13"/>
      <c r="F80" s="6"/>
      <c r="G80" s="19">
        <v>-4944.63</v>
      </c>
      <c r="H80" s="15">
        <v>-1.9900000000000001E-2</v>
      </c>
      <c r="I80" s="16"/>
      <c r="J80" s="16"/>
      <c r="K80" s="1"/>
    </row>
    <row r="81" spans="1:11" ht="13.05" customHeight="1" thickBot="1">
      <c r="A81" s="1"/>
      <c r="B81" s="55" t="s">
        <v>218</v>
      </c>
      <c r="C81" s="55"/>
      <c r="D81" s="20"/>
      <c r="E81" s="20"/>
      <c r="F81" s="20"/>
      <c r="G81" s="21">
        <v>255008.11</v>
      </c>
      <c r="H81" s="22">
        <v>1</v>
      </c>
      <c r="I81" s="23"/>
      <c r="J81" s="23"/>
      <c r="K81" s="1"/>
    </row>
    <row r="82" spans="1:11" ht="13.05" customHeight="1">
      <c r="A82" s="1"/>
      <c r="B82" s="56"/>
      <c r="C82" s="56"/>
      <c r="D82" s="1"/>
      <c r="E82" s="1"/>
      <c r="F82" s="1"/>
      <c r="G82" s="1"/>
      <c r="H82" s="1"/>
      <c r="I82" s="1"/>
      <c r="J82" s="1"/>
      <c r="K82" s="1"/>
    </row>
    <row r="83" spans="1:11" ht="13.05" customHeight="1">
      <c r="A83" s="1"/>
      <c r="B83" s="52"/>
      <c r="C83" s="52"/>
      <c r="D83" s="52"/>
      <c r="E83" s="52"/>
      <c r="F83" s="52"/>
      <c r="G83" s="52"/>
      <c r="H83" s="52"/>
      <c r="I83" s="52"/>
      <c r="J83" s="1"/>
      <c r="K83" s="1"/>
    </row>
    <row r="84" spans="1:11" ht="13.05" customHeight="1">
      <c r="A84" s="1"/>
      <c r="B84" s="52"/>
      <c r="C84" s="52"/>
      <c r="D84" s="52"/>
      <c r="E84" s="52"/>
      <c r="F84" s="52"/>
      <c r="G84" s="52"/>
      <c r="H84" s="52"/>
      <c r="I84" s="52"/>
      <c r="J84" s="1"/>
      <c r="K84" s="1"/>
    </row>
    <row r="85" spans="1:11" ht="13.05" customHeight="1">
      <c r="A85" s="1"/>
      <c r="B85" s="52" t="s">
        <v>202</v>
      </c>
      <c r="C85" s="52"/>
      <c r="D85" s="1"/>
      <c r="E85" s="1"/>
      <c r="F85" s="1"/>
      <c r="G85" s="1"/>
      <c r="H85" s="1"/>
      <c r="I85" s="1"/>
      <c r="J85" s="1"/>
      <c r="K85" s="1"/>
    </row>
    <row r="86" spans="1:11" ht="13.05" customHeight="1">
      <c r="A86" s="1"/>
      <c r="B86" s="52" t="s">
        <v>219</v>
      </c>
      <c r="C86" s="52"/>
      <c r="D86" s="1"/>
      <c r="E86" s="1"/>
      <c r="F86" s="1"/>
      <c r="G86" s="1"/>
      <c r="H86" s="1"/>
      <c r="I86" s="1"/>
      <c r="J86" s="1"/>
      <c r="K86" s="1"/>
    </row>
    <row r="87" spans="1:11" ht="13.05" customHeight="1">
      <c r="A87" s="1"/>
      <c r="B87" s="52" t="s">
        <v>220</v>
      </c>
      <c r="C87" s="52"/>
      <c r="D87" s="1"/>
      <c r="E87" s="1"/>
      <c r="F87" s="1"/>
      <c r="G87" s="1"/>
      <c r="H87" s="1"/>
      <c r="I87" s="1"/>
      <c r="J87" s="1"/>
      <c r="K87" s="1"/>
    </row>
    <row r="88" spans="1:11" ht="26.25" customHeight="1">
      <c r="A88" s="1"/>
      <c r="B88" s="52" t="s">
        <v>221</v>
      </c>
      <c r="C88" s="52"/>
      <c r="D88" s="52"/>
      <c r="E88" s="52"/>
      <c r="F88" s="52"/>
      <c r="G88" s="52"/>
      <c r="H88" s="52"/>
      <c r="I88" s="52"/>
      <c r="J88" s="1"/>
      <c r="K88" s="1"/>
    </row>
    <row r="89" spans="1:11" ht="13.05" customHeight="1">
      <c r="A89" s="1"/>
      <c r="B89" s="24" t="s">
        <v>222</v>
      </c>
      <c r="C89" s="1"/>
      <c r="D89" s="1"/>
      <c r="E89" s="1"/>
      <c r="F89" s="1"/>
      <c r="G89" s="1"/>
      <c r="H89" s="1"/>
      <c r="I89" s="1"/>
      <c r="J89" s="1"/>
      <c r="K89" s="1"/>
    </row>
    <row r="90" spans="1:11" ht="40.049999999999997" customHeight="1">
      <c r="A90" s="1"/>
      <c r="B90" s="53" t="s">
        <v>223</v>
      </c>
      <c r="C90" s="53"/>
      <c r="D90" s="25" t="s">
        <v>3</v>
      </c>
      <c r="E90" s="25" t="s">
        <v>224</v>
      </c>
      <c r="F90" s="25" t="s">
        <v>225</v>
      </c>
      <c r="G90" s="25" t="s">
        <v>226</v>
      </c>
      <c r="H90" s="25" t="s">
        <v>227</v>
      </c>
      <c r="I90" s="1"/>
      <c r="J90" s="1"/>
      <c r="K90" s="1"/>
    </row>
    <row r="91" spans="1:11" ht="13.05" customHeight="1">
      <c r="A91" s="1"/>
      <c r="B91" s="51" t="s">
        <v>228</v>
      </c>
      <c r="C91" s="51"/>
      <c r="D91" s="13" t="s">
        <v>229</v>
      </c>
      <c r="E91" s="13" t="s">
        <v>230</v>
      </c>
      <c r="F91" s="26">
        <v>118125</v>
      </c>
      <c r="G91" s="27">
        <v>3525.3225000000002</v>
      </c>
      <c r="H91" s="28">
        <v>1.38E-2</v>
      </c>
      <c r="I91" s="1"/>
      <c r="J91" s="1"/>
      <c r="K91" s="1"/>
    </row>
    <row r="92" spans="1:11" ht="13.05" customHeight="1">
      <c r="A92" s="1"/>
      <c r="B92" s="51" t="s">
        <v>231</v>
      </c>
      <c r="C92" s="51"/>
      <c r="D92" s="13" t="s">
        <v>232</v>
      </c>
      <c r="E92" s="13" t="s">
        <v>97</v>
      </c>
      <c r="F92" s="26">
        <v>2700</v>
      </c>
      <c r="G92" s="27">
        <v>313.60500000000002</v>
      </c>
      <c r="H92" s="28">
        <v>1.1999999999999999E-3</v>
      </c>
      <c r="I92" s="1"/>
      <c r="J92" s="1"/>
      <c r="K92" s="1"/>
    </row>
    <row r="94" spans="1:11">
      <c r="G94" s="29"/>
    </row>
    <row r="96" spans="1:11">
      <c r="B96" s="30" t="s">
        <v>233</v>
      </c>
      <c r="C96" s="31"/>
      <c r="D96" s="31"/>
      <c r="E96" s="32"/>
    </row>
    <row r="97" spans="2:5">
      <c r="B97" s="31" t="s">
        <v>234</v>
      </c>
      <c r="C97" s="31"/>
      <c r="D97" s="31"/>
      <c r="E97" s="32"/>
    </row>
    <row r="98" spans="2:5">
      <c r="B98" s="33" t="s">
        <v>235</v>
      </c>
      <c r="C98" s="31"/>
      <c r="D98" s="31"/>
      <c r="E98" s="32"/>
    </row>
    <row r="99" spans="2:5">
      <c r="B99" s="31" t="s">
        <v>236</v>
      </c>
      <c r="C99" s="31"/>
      <c r="D99" s="31"/>
      <c r="E99" s="32"/>
    </row>
    <row r="100" spans="2:5">
      <c r="B100" s="31" t="s">
        <v>237</v>
      </c>
      <c r="C100" s="31"/>
      <c r="D100" s="31"/>
      <c r="E100" s="32"/>
    </row>
    <row r="101" spans="2:5">
      <c r="B101" s="31" t="s">
        <v>238</v>
      </c>
      <c r="C101" s="34"/>
      <c r="D101" s="34"/>
      <c r="E101" s="34"/>
    </row>
    <row r="102" spans="2:5">
      <c r="B102" s="31" t="s">
        <v>239</v>
      </c>
      <c r="C102" s="31"/>
      <c r="D102" s="31"/>
      <c r="E102" s="32"/>
    </row>
    <row r="103" spans="2:5">
      <c r="B103" s="31" t="s">
        <v>240</v>
      </c>
      <c r="C103" s="31"/>
      <c r="D103" s="31"/>
      <c r="E103" s="32"/>
    </row>
    <row r="104" spans="2:5">
      <c r="B104" s="31" t="s">
        <v>241</v>
      </c>
      <c r="C104" s="31"/>
      <c r="D104" s="31"/>
      <c r="E104" s="32"/>
    </row>
    <row r="105" spans="2:5">
      <c r="B105" s="31" t="s">
        <v>242</v>
      </c>
      <c r="C105" s="31"/>
      <c r="D105" s="31"/>
      <c r="E105" s="32"/>
    </row>
    <row r="106" spans="2:5">
      <c r="B106" s="30" t="s">
        <v>243</v>
      </c>
      <c r="C106" s="30"/>
      <c r="D106" s="30" t="s">
        <v>244</v>
      </c>
      <c r="E106" s="30" t="s">
        <v>245</v>
      </c>
    </row>
    <row r="107" spans="2:5">
      <c r="B107" s="31" t="s">
        <v>246</v>
      </c>
      <c r="C107" s="31"/>
      <c r="D107" s="35">
        <v>21.277699999999999</v>
      </c>
      <c r="E107" s="35">
        <v>21.0487</v>
      </c>
    </row>
    <row r="108" spans="2:5">
      <c r="B108" s="31" t="s">
        <v>247</v>
      </c>
      <c r="C108" s="31"/>
      <c r="D108" s="35">
        <v>218.11070000000001</v>
      </c>
      <c r="E108" s="35">
        <v>215.76329999999999</v>
      </c>
    </row>
    <row r="109" spans="2:5">
      <c r="B109" s="31" t="s">
        <v>248</v>
      </c>
      <c r="C109" s="31"/>
      <c r="D109" s="35">
        <v>25.8035</v>
      </c>
      <c r="E109" s="35">
        <v>25.5505</v>
      </c>
    </row>
    <row r="110" spans="2:5">
      <c r="B110" s="31" t="s">
        <v>249</v>
      </c>
      <c r="C110" s="31"/>
      <c r="D110" s="35">
        <v>253.9357</v>
      </c>
      <c r="E110" s="35">
        <v>251.44569999999999</v>
      </c>
    </row>
    <row r="111" spans="2:5">
      <c r="B111" s="31"/>
      <c r="C111" s="31"/>
      <c r="D111" s="31"/>
      <c r="E111" s="32"/>
    </row>
    <row r="112" spans="2:5">
      <c r="B112" s="31" t="s">
        <v>250</v>
      </c>
      <c r="C112" s="31"/>
      <c r="D112" s="31"/>
      <c r="E112" s="32"/>
    </row>
    <row r="113" spans="1:7">
      <c r="B113" t="s">
        <v>251</v>
      </c>
      <c r="C113" s="31"/>
      <c r="D113" s="31"/>
      <c r="E113" s="32"/>
    </row>
    <row r="114" spans="1:7">
      <c r="B114" s="31" t="s">
        <v>252</v>
      </c>
      <c r="C114" s="31"/>
      <c r="D114" s="31"/>
      <c r="E114" s="32"/>
    </row>
    <row r="115" spans="1:7">
      <c r="B115" s="31" t="s">
        <v>253</v>
      </c>
      <c r="C115" s="31"/>
      <c r="D115" s="31"/>
      <c r="E115" s="32"/>
    </row>
    <row r="116" spans="1:7">
      <c r="B116" s="31" t="s">
        <v>254</v>
      </c>
      <c r="C116" s="31"/>
      <c r="D116" s="31"/>
      <c r="E116" s="32"/>
    </row>
    <row r="117" spans="1:7">
      <c r="B117" s="31" t="s">
        <v>255</v>
      </c>
      <c r="C117" s="31"/>
      <c r="D117" s="31"/>
      <c r="E117" s="32"/>
    </row>
    <row r="118" spans="1:7">
      <c r="B118" s="31" t="s">
        <v>256</v>
      </c>
      <c r="C118" s="31"/>
      <c r="D118" s="31"/>
      <c r="E118" s="32"/>
    </row>
    <row r="119" spans="1:7">
      <c r="B119" s="31" t="s">
        <v>257</v>
      </c>
      <c r="C119" s="31"/>
      <c r="D119" s="31"/>
      <c r="E119" s="32"/>
    </row>
    <row r="120" spans="1:7">
      <c r="B120" s="31" t="s">
        <v>258</v>
      </c>
      <c r="C120" s="31"/>
      <c r="D120" s="31"/>
      <c r="E120" s="32"/>
    </row>
    <row r="121" spans="1:7">
      <c r="B121" s="31" t="s">
        <v>259</v>
      </c>
      <c r="C121" s="31"/>
      <c r="D121" s="31"/>
      <c r="E121" s="32"/>
    </row>
    <row r="122" spans="1:7">
      <c r="B122" s="31" t="s">
        <v>260</v>
      </c>
      <c r="C122" s="31"/>
      <c r="D122" s="31"/>
      <c r="E122" s="32"/>
    </row>
    <row r="123" spans="1:7">
      <c r="B123" s="31" t="s">
        <v>261</v>
      </c>
      <c r="C123" s="31"/>
      <c r="D123" s="31"/>
      <c r="E123" s="32"/>
    </row>
    <row r="124" spans="1:7">
      <c r="B124" s="31" t="s">
        <v>262</v>
      </c>
      <c r="C124" s="31"/>
      <c r="D124" s="31"/>
      <c r="E124" s="32"/>
    </row>
    <row r="126" spans="1:7">
      <c r="A126" t="s">
        <v>263</v>
      </c>
      <c r="B126" s="36" t="s">
        <v>264</v>
      </c>
      <c r="C126" s="37"/>
      <c r="D126" s="38"/>
      <c r="E126" s="38"/>
      <c r="F126" s="38"/>
      <c r="G126" s="38"/>
    </row>
    <row r="127" spans="1:7">
      <c r="B127" s="38"/>
      <c r="C127" s="38"/>
      <c r="D127" s="38"/>
      <c r="E127" s="38"/>
      <c r="F127" s="38"/>
      <c r="G127" s="38"/>
    </row>
    <row r="128" spans="1:7" ht="43.2">
      <c r="B128" s="39" t="s">
        <v>265</v>
      </c>
      <c r="C128" s="39" t="s">
        <v>266</v>
      </c>
      <c r="D128" s="40" t="s">
        <v>267</v>
      </c>
      <c r="E128" s="39" t="s">
        <v>268</v>
      </c>
      <c r="F128" s="39" t="s">
        <v>269</v>
      </c>
      <c r="G128" s="39" t="s">
        <v>270</v>
      </c>
    </row>
    <row r="129" spans="1:7">
      <c r="B129" s="41" t="s">
        <v>95</v>
      </c>
      <c r="C129" s="41" t="s">
        <v>231</v>
      </c>
      <c r="D129" s="42">
        <v>-54</v>
      </c>
      <c r="E129" s="43">
        <v>11554.037</v>
      </c>
      <c r="F129" s="43">
        <v>11615</v>
      </c>
      <c r="G129" s="44">
        <v>55.53</v>
      </c>
    </row>
    <row r="131" spans="1:7">
      <c r="B131" t="s">
        <v>271</v>
      </c>
    </row>
    <row r="132" spans="1:7">
      <c r="B132" t="s">
        <v>272</v>
      </c>
    </row>
    <row r="133" spans="1:7" ht="48">
      <c r="B133" s="45" t="s">
        <v>273</v>
      </c>
      <c r="C133" s="45" t="s">
        <v>274</v>
      </c>
      <c r="D133" s="45" t="s">
        <v>275</v>
      </c>
      <c r="E133" s="45" t="s">
        <v>276</v>
      </c>
      <c r="F133" s="45" t="s">
        <v>277</v>
      </c>
    </row>
    <row r="134" spans="1:7">
      <c r="B134" s="46">
        <v>54</v>
      </c>
      <c r="C134" s="46">
        <v>0</v>
      </c>
      <c r="D134" s="46">
        <v>31009600</v>
      </c>
      <c r="E134" s="46">
        <v>0</v>
      </c>
      <c r="F134" s="46">
        <v>1058300</v>
      </c>
    </row>
    <row r="136" spans="1:7">
      <c r="A136" t="s">
        <v>278</v>
      </c>
      <c r="B136" s="36" t="s">
        <v>279</v>
      </c>
    </row>
    <row r="137" spans="1:7" ht="43.2">
      <c r="B137" s="39" t="s">
        <v>265</v>
      </c>
      <c r="C137" s="39" t="s">
        <v>266</v>
      </c>
      <c r="D137" s="40" t="s">
        <v>267</v>
      </c>
      <c r="E137" s="39" t="s">
        <v>268</v>
      </c>
      <c r="F137" s="39" t="s">
        <v>269</v>
      </c>
      <c r="G137" s="39" t="s">
        <v>270</v>
      </c>
    </row>
    <row r="138" spans="1:7">
      <c r="B138" s="41" t="s">
        <v>280</v>
      </c>
      <c r="C138" s="41" t="s">
        <v>228</v>
      </c>
      <c r="D138" s="42">
        <v>189</v>
      </c>
      <c r="E138" s="43">
        <v>3386.1248000000001</v>
      </c>
      <c r="F138" s="43">
        <v>2984.4</v>
      </c>
      <c r="G138" s="44">
        <v>902.63</v>
      </c>
    </row>
    <row r="139" spans="1:7">
      <c r="D139" s="47"/>
      <c r="E139" s="48"/>
      <c r="F139" s="48"/>
      <c r="G139" s="49"/>
    </row>
    <row r="140" spans="1:7">
      <c r="B140" t="s">
        <v>281</v>
      </c>
    </row>
    <row r="141" spans="1:7">
      <c r="B141" t="s">
        <v>282</v>
      </c>
    </row>
    <row r="142" spans="1:7" ht="48">
      <c r="B142" s="45" t="s">
        <v>273</v>
      </c>
      <c r="C142" s="45" t="s">
        <v>274</v>
      </c>
      <c r="D142" s="45" t="s">
        <v>275</v>
      </c>
      <c r="E142" s="45" t="s">
        <v>276</v>
      </c>
      <c r="F142" s="45" t="s">
        <v>283</v>
      </c>
    </row>
    <row r="143" spans="1:7">
      <c r="B143" s="46">
        <v>0</v>
      </c>
      <c r="C143" s="46">
        <v>189</v>
      </c>
      <c r="D143" s="46">
        <v>0</v>
      </c>
      <c r="E143" s="46">
        <v>397849997</v>
      </c>
      <c r="F143" s="46">
        <v>68682872</v>
      </c>
    </row>
    <row r="145" spans="1:5">
      <c r="A145" t="s">
        <v>284</v>
      </c>
      <c r="B145" s="36" t="s">
        <v>285</v>
      </c>
    </row>
    <row r="146" spans="1:5">
      <c r="B146" t="s">
        <v>286</v>
      </c>
    </row>
    <row r="147" spans="1:5">
      <c r="B147" t="s">
        <v>287</v>
      </c>
      <c r="C147" s="50"/>
      <c r="D147" s="50"/>
      <c r="E147" s="50"/>
    </row>
    <row r="149" spans="1:5">
      <c r="A149" t="s">
        <v>288</v>
      </c>
      <c r="B149" s="36" t="s">
        <v>289</v>
      </c>
    </row>
    <row r="150" spans="1:5">
      <c r="B150" t="s">
        <v>290</v>
      </c>
    </row>
    <row r="151" spans="1:5">
      <c r="B151" t="s">
        <v>291</v>
      </c>
    </row>
    <row r="153" spans="1:5">
      <c r="A153" t="s">
        <v>292</v>
      </c>
      <c r="B153" s="36" t="s">
        <v>293</v>
      </c>
    </row>
    <row r="175" spans="2:2">
      <c r="B175" t="s">
        <v>294</v>
      </c>
    </row>
  </sheetData>
  <mergeCells count="91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72:C7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84:I84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I83"/>
    <mergeCell ref="B92:C92"/>
    <mergeCell ref="B85:C85"/>
    <mergeCell ref="B86:C86"/>
    <mergeCell ref="B87:C87"/>
    <mergeCell ref="B88:I88"/>
    <mergeCell ref="B90:C90"/>
    <mergeCell ref="B91:C91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T0ME04</vt:lpstr>
      <vt:lpstr>JR_PAGE_ANCHOR_0_8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Lalwani</dc:creator>
  <cp:lastModifiedBy>Celest Technologies Support</cp:lastModifiedBy>
  <dcterms:created xsi:type="dcterms:W3CDTF">2026-06-07T11:04:40Z</dcterms:created>
  <dcterms:modified xsi:type="dcterms:W3CDTF">2026-06-09T09:50:28Z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2026-06-07T11:04:40Z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4ab188f1-4f0d-47bd-ac02-2f5543b5d719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