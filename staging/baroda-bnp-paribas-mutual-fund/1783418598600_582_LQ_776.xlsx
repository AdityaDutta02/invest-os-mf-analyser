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barodabnpparibasmf-my.sharepoint.com/personal/kshitija_desai_barodabnpparibasmf_in/Documents/Desktop/portfolio/BOBNPMF_ Monthly Portfolio_Report 30th June 2022/"/>
    </mc:Choice>
  </mc:AlternateContent>
  <xr:revisionPtr revIDLastSave="1" documentId="10_ncr:8000_{BC31BE89-10F9-4DB4-BED6-50EB173C95D4}" xr6:coauthVersionLast="47" xr6:coauthVersionMax="47" xr10:uidLastSave="{5F3F77A1-499E-49CD-98D0-049336D9D9CD}"/>
  <bookViews>
    <workbookView xWindow="-108" yWindow="-108" windowWidth="23256" windowHeight="12576" xr2:uid="{91870501-F09F-4644-A553-560E08DCBA88}"/>
  </bookViews>
  <sheets>
    <sheet name="LQ" sheetId="1" r:id="rId1"/>
  </sheets>
  <externalReferences>
    <externalReference r:id="rId2"/>
  </externalReferences>
  <definedNames>
    <definedName name="XDO_?CLASS_3?15?">LQ!$C$18:$C$20</definedName>
    <definedName name="XDO_?FINAL_ISIN?62?">LQ!$D$20</definedName>
    <definedName name="XDO_?FINAL_ISIN?63?">LQ!$D$20:$D$56</definedName>
    <definedName name="XDO_?FINAL_ISIN?64?">LQ!$D$20:$D$67</definedName>
    <definedName name="XDO_?FINAL_ISIN?65?">LQ!$D$20:$D$75</definedName>
    <definedName name="XDO_?FINAL_ISIN?66?">LQ!$D$20:$D$91</definedName>
    <definedName name="XDO_?FINAL_ISIN?67?">LQ!$D$20:$D$95</definedName>
    <definedName name="XDO_?FINAL_MV?62?">LQ!$G$20</definedName>
    <definedName name="XDO_?FINAL_MV?63?">LQ!$G$20:$G$56</definedName>
    <definedName name="XDO_?FINAL_MV?64?">LQ!$G$20:$G$67</definedName>
    <definedName name="XDO_?FINAL_MV?65?">LQ!$G$20:$G$75</definedName>
    <definedName name="XDO_?FINAL_MV?66?">LQ!$G$20:$G$91</definedName>
    <definedName name="XDO_?FINAL_MV?67?">LQ!$G$20:$G$95</definedName>
    <definedName name="XDO_?FINAL_NAME?62?">LQ!$C$20</definedName>
    <definedName name="XDO_?FINAL_NAME?63?">LQ!$C$20:$C$56</definedName>
    <definedName name="XDO_?FINAL_NAME?64?">LQ!$C$20:$C$67</definedName>
    <definedName name="XDO_?FINAL_NAME?65?">LQ!$C$20:$C$75</definedName>
    <definedName name="XDO_?FINAL_NAME?66?">LQ!$C$20:$C$91</definedName>
    <definedName name="XDO_?FINAL_NAME?67?">LQ!$C$20:$C$95</definedName>
    <definedName name="XDO_?FINAL_PER_NET?62?">LQ!$H$20</definedName>
    <definedName name="XDO_?FINAL_PER_NET?63?">LQ!$H$20:$H$56</definedName>
    <definedName name="XDO_?FINAL_PER_NET?64?">LQ!$H$20:$H$67</definedName>
    <definedName name="XDO_?FINAL_PER_NET?65?">LQ!$H$20:$H$75</definedName>
    <definedName name="XDO_?FINAL_PER_NET?66?">LQ!$H$20:$H$91</definedName>
    <definedName name="XDO_?FINAL_PER_NET?67?">LQ!$H$20:$H$95</definedName>
    <definedName name="XDO_?FINAL_QUANTITE?62?">LQ!$F$20</definedName>
    <definedName name="XDO_?FINAL_QUANTITE?63?">LQ!$F$20:$F$56</definedName>
    <definedName name="XDO_?FINAL_QUANTITE?64?">LQ!$F$20:$F$67</definedName>
    <definedName name="XDO_?FINAL_QUANTITE?65?">LQ!$F$20:$F$75</definedName>
    <definedName name="XDO_?FINAL_QUANTITE?66?">LQ!$F$20:$F$91</definedName>
    <definedName name="XDO_?FINAL_QUANTITE?67?">LQ!$F$20:$F$95</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[1]LM!#REF!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5?">LQ!$C$2:$C$20</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[1]LM!#REF!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[1]LM!#REF!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62?">LQ!$B$20</definedName>
    <definedName name="XDO_?NOVAL?63?">LQ!$B$20:$B$56</definedName>
    <definedName name="XDO_?NOVAL?64?">LQ!$B$20:$B$67</definedName>
    <definedName name="XDO_?NOVAL?65?">LQ!$B$20:$B$75</definedName>
    <definedName name="XDO_?NOVAL?66?">LQ!$B$20:$B$91</definedName>
    <definedName name="XDO_?NOVAL?67?">LQ!$B$20:$B$95</definedName>
    <definedName name="XDO_?NPTF?15?">LQ!$D$2:$D$20</definedName>
    <definedName name="XDO_?RATING?62?">LQ!$E$20</definedName>
    <definedName name="XDO_?RATING?63?">LQ!$E$20:$E$56</definedName>
    <definedName name="XDO_?RATING?64?">LQ!$E$20:$E$67</definedName>
    <definedName name="XDO_?RATING?65?">LQ!$E$20:$E$75</definedName>
    <definedName name="XDO_?RATING?66?">LQ!$E$20:$E$91</definedName>
    <definedName name="XDO_?RATING?67?">LQ!$E$20:$E$95</definedName>
    <definedName name="XDO_?REMARKS?62?">LQ!$K$20</definedName>
    <definedName name="XDO_?REMARKS?63?">LQ!$K$20:$K$56</definedName>
    <definedName name="XDO_?REMARKS?64?">LQ!$K$20:$K$67</definedName>
    <definedName name="XDO_?REMARKS?65?">LQ!$K$20:$K$75</definedName>
    <definedName name="XDO_?REMARKS?66?">LQ!$K$20:$K$91</definedName>
    <definedName name="XDO_?REMARKS?67?">LQ!$K$20:$K$95</definedName>
    <definedName name="XDO_?TITL?15?">LQ!$A$18:$A$20</definedName>
    <definedName name="XDO_?YTM?62?">LQ!$I$20</definedName>
    <definedName name="XDO_?YTM?63?">LQ!$I$20:$I$56</definedName>
    <definedName name="XDO_?YTM?64?">LQ!$I$20:$I$67</definedName>
    <definedName name="XDO_?YTM?65?">LQ!$I$20:$I$75</definedName>
    <definedName name="XDO_?YTM?66?">LQ!$I$20:$I$91</definedName>
    <definedName name="XDO_?YTM?67?">LQ!$I$20:$I$95</definedName>
    <definedName name="XDO_GROUP_?G_2?15?">LQ!$2:$71</definedName>
    <definedName name="XDO_GROUP_?G_3?15?">LQ!$8:$70</definedName>
    <definedName name="XDO_GROUP_?G_4?62?">LQ!$B$10:$IV$10</definedName>
    <definedName name="XDO_GROUP_?G_4?63?">LQ!$B$15:$IV$38</definedName>
    <definedName name="XDO_GROUP_?G_4?64?">LQ!$B$42:$IV$49</definedName>
    <definedName name="XDO_GROUP_?G_4?65?">LQ!$B$53:$IV$57</definedName>
    <definedName name="XDO_GROUP_?G_4?66?">LQ!$B$62:$IV$63</definedName>
    <definedName name="XDO_GROUP_?G_4?67?">LQ!$B$68:$IV$68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98" i="1" l="1"/>
</calcChain>
</file>

<file path=xl/sharedStrings.xml><?xml version="1.0" encoding="utf-8"?>
<sst xmlns="http://schemas.openxmlformats.org/spreadsheetml/2006/main" count="333" uniqueCount="236">
  <si>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</si>
  <si>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</si>
  <si>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</si>
  <si>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</si>
  <si>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</si>
  <si>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</si>
  <si>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</si>
  <si>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</si>
  <si>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</si>
  <si>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</si>
  <si>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</si>
  <si>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</si>
  <si>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</si>
  <si>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</si>
  <si>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</si>
  <si>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</si>
  <si>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</si>
  <si>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</si>
  <si>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</si>
  <si>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</si>
  <si>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</si>
  <si>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</si>
  <si>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701490</t>
  </si>
  <si>
    <t>7.62% Housing and Urban Development Corporation Ltd. 15-Jul-2022</t>
  </si>
  <si>
    <t>INE031A08723</t>
  </si>
  <si>
    <t>[ICRA]AAA</t>
  </si>
  <si>
    <t>Total</t>
  </si>
  <si>
    <t>b) Privately Placed/Unlisted</t>
  </si>
  <si>
    <t>c) Securitised Debt Instruments</t>
  </si>
  <si>
    <t>d) Central Government Securities</t>
  </si>
  <si>
    <t>e) State Government Securities</t>
  </si>
  <si>
    <t>MONEY MARKET INSTRUMENTS</t>
  </si>
  <si>
    <t>a) Commercial Paper</t>
  </si>
  <si>
    <t>1008271</t>
  </si>
  <si>
    <t>National Bank for Agriculture and Rural Development 19-Aug-2022</t>
  </si>
  <si>
    <t>INE261F14IV1</t>
  </si>
  <si>
    <t>CRISIL A1+</t>
  </si>
  <si>
    <t>N**</t>
  </si>
  <si>
    <t>1008262</t>
  </si>
  <si>
    <t>Housing Development Finance Corporation Ltd. 17-Aug-2022</t>
  </si>
  <si>
    <t>INE001A14YU1</t>
  </si>
  <si>
    <t>1008272</t>
  </si>
  <si>
    <t>Larsen &amp; Toubro Ltd. 19-Aug-2022</t>
  </si>
  <si>
    <t>INE018A14IP8</t>
  </si>
  <si>
    <t>1008340</t>
  </si>
  <si>
    <t>Tata Steel Ltd. 23-Aug-2022</t>
  </si>
  <si>
    <t>INE081A14DB7</t>
  </si>
  <si>
    <t>IND A1+</t>
  </si>
  <si>
    <t>1008281</t>
  </si>
  <si>
    <t>Bajaj Finance Ltd. 30-Aug-2022</t>
  </si>
  <si>
    <t>INE296A14TF8</t>
  </si>
  <si>
    <t>1008291</t>
  </si>
  <si>
    <t>IIFL Wealth Prime Ltd. 30-Aug-2022</t>
  </si>
  <si>
    <t>INE248U14LC1</t>
  </si>
  <si>
    <t>1008306</t>
  </si>
  <si>
    <t>NTPC Ltd. 13-Sep-2022</t>
  </si>
  <si>
    <t>INE733E14BB9</t>
  </si>
  <si>
    <t>CARE A1+</t>
  </si>
  <si>
    <t>1008311</t>
  </si>
  <si>
    <t>Tata Capital Housing Finance Ltd. 20-Sep-2022</t>
  </si>
  <si>
    <t>INE033L14MA8</t>
  </si>
  <si>
    <t>1008232</t>
  </si>
  <si>
    <t>TVS Credit Services Ltd. 22-Jul-2022</t>
  </si>
  <si>
    <t>INE729N14GK8</t>
  </si>
  <si>
    <t>1008228</t>
  </si>
  <si>
    <t>Indostar Capital Finance Ltd. 18-Jul-2022</t>
  </si>
  <si>
    <t>INE896L14DB5</t>
  </si>
  <si>
    <t>1008280</t>
  </si>
  <si>
    <t>Export-Import Bank of India 26-Aug-2022</t>
  </si>
  <si>
    <t>INE514E14QL0</t>
  </si>
  <si>
    <t>1008275</t>
  </si>
  <si>
    <t>IIFL Wealth Management Ltd. 22-Aug-2022</t>
  </si>
  <si>
    <t>INE466L14AZ2</t>
  </si>
  <si>
    <t>1008250</t>
  </si>
  <si>
    <t>Motilal Oswal Financial Services Ltd. 22-Jul-2022</t>
  </si>
  <si>
    <t>INE338I14DF5</t>
  </si>
  <si>
    <t>1008278</t>
  </si>
  <si>
    <t>Motilal Oswal Financial Services Ltd. 29-Jul-2022</t>
  </si>
  <si>
    <t>INE338I14DK5</t>
  </si>
  <si>
    <t>1008274</t>
  </si>
  <si>
    <t>LIC Housing Finance Ltd. 12-Aug-2022</t>
  </si>
  <si>
    <t>INE115A14DI8</t>
  </si>
  <si>
    <t>1008143</t>
  </si>
  <si>
    <t>National Bank for Agriculture and Rural Development 30-Aug-2022</t>
  </si>
  <si>
    <t>INE261F14IS7</t>
  </si>
  <si>
    <t>1008296</t>
  </si>
  <si>
    <t>The Ramco Cements Ltd. 01-Sep-2022</t>
  </si>
  <si>
    <t>INE331A14MJ0</t>
  </si>
  <si>
    <t>1008339</t>
  </si>
  <si>
    <t>Adani Ports and Special Economic Zone Ltd. 01-Sep-2022</t>
  </si>
  <si>
    <t>INE742F14QK6</t>
  </si>
  <si>
    <t>[ICRA]A1+</t>
  </si>
  <si>
    <t>1008321</t>
  </si>
  <si>
    <t>LIC Housing Finance Ltd. 12-Sep-2022</t>
  </si>
  <si>
    <t>INE115A14DL2</t>
  </si>
  <si>
    <t>1008326</t>
  </si>
  <si>
    <t>Berger Paints India Ltd. 10-Aug-2022</t>
  </si>
  <si>
    <t>INE463A14MD4</t>
  </si>
  <si>
    <t>1008236</t>
  </si>
  <si>
    <t>KEC International Ltd. 21-Jul-2022</t>
  </si>
  <si>
    <t>INE389H14HW6</t>
  </si>
  <si>
    <t>1008243</t>
  </si>
  <si>
    <t>JM Financial Services Ltd. 26-Jul-2022</t>
  </si>
  <si>
    <t>INE012I14MY8</t>
  </si>
  <si>
    <t>1008305</t>
  </si>
  <si>
    <t>KEC International Ltd. 14-Sep-2022</t>
  </si>
  <si>
    <t>INE389H14II3</t>
  </si>
  <si>
    <t>1008300</t>
  </si>
  <si>
    <t>KEC International Ltd. 06-Sep-2022</t>
  </si>
  <si>
    <t>INE389H14IG7</t>
  </si>
  <si>
    <t>b) Certificate of Deposits</t>
  </si>
  <si>
    <t>1101871</t>
  </si>
  <si>
    <t>HDFC Bank Ltd. 17-Aug-2022</t>
  </si>
  <si>
    <t>INE040A16CI5</t>
  </si>
  <si>
    <t>1101924</t>
  </si>
  <si>
    <t>Canara Bank 17-Aug-2022</t>
  </si>
  <si>
    <t>INE476A16SS6</t>
  </si>
  <si>
    <t>1101978</t>
  </si>
  <si>
    <t>Export-Import Bank of India 14-Sep-2022</t>
  </si>
  <si>
    <t>INE514E16BX2</t>
  </si>
  <si>
    <t>1101933</t>
  </si>
  <si>
    <t>HDFC Bank Ltd. 02-Sep-2022</t>
  </si>
  <si>
    <t>INE040A16CY2</t>
  </si>
  <si>
    <t>1101979</t>
  </si>
  <si>
    <t>AU Small Finance Bank Ltd. 01-Sep-2022</t>
  </si>
  <si>
    <t>INE949L16BD7</t>
  </si>
  <si>
    <t>1101988</t>
  </si>
  <si>
    <t>ICICI Bank Ltd. 22-Aug-2022</t>
  </si>
  <si>
    <t>INE090A165X6</t>
  </si>
  <si>
    <t>1101932</t>
  </si>
  <si>
    <t>Axis Bank Ltd. 29-Aug-2022</t>
  </si>
  <si>
    <t>INE238A169Y9</t>
  </si>
  <si>
    <t>1101967</t>
  </si>
  <si>
    <t>Axis Bank Ltd. 10-Aug-2022</t>
  </si>
  <si>
    <t>INE238A166Y5</t>
  </si>
  <si>
    <t>c) Treasury Bills</t>
  </si>
  <si>
    <t>1800787</t>
  </si>
  <si>
    <t>182 DAY T-BILL 15-Sep-2022</t>
  </si>
  <si>
    <t>IN002021Y536</t>
  </si>
  <si>
    <t>Sovereign</t>
  </si>
  <si>
    <t>1800835</t>
  </si>
  <si>
    <t>91 DAY T-BILL 01-Sep-2022</t>
  </si>
  <si>
    <t>IN002022X098</t>
  </si>
  <si>
    <t>1800808</t>
  </si>
  <si>
    <t>182 DAY T-BILL 07-Jul-2022</t>
  </si>
  <si>
    <t>IN002021Y437</t>
  </si>
  <si>
    <t>1800826</t>
  </si>
  <si>
    <t>91 DAY T-BILL 25-Aug-2022</t>
  </si>
  <si>
    <t>IN002022X080</t>
  </si>
  <si>
    <t>1800770</t>
  </si>
  <si>
    <t>182 DAY T-BILL 04-Aug-2022</t>
  </si>
  <si>
    <t>IN002021Y478</t>
  </si>
  <si>
    <t>d) Bills Re- Discounting</t>
  </si>
  <si>
    <t>OTHERS</t>
  </si>
  <si>
    <t>a) Mutual Fund Units / Exchange Traded Funds</t>
  </si>
  <si>
    <t>b) Gold</t>
  </si>
  <si>
    <t>c) Short Term Deposits</t>
  </si>
  <si>
    <t>d) Term Deposits Placed as Margins</t>
  </si>
  <si>
    <t>e) TREPS / Reverse Repo Investments</t>
  </si>
  <si>
    <t>107221001</t>
  </si>
  <si>
    <t>4.68% Reverse Repo 01-Jul-2022</t>
  </si>
  <si>
    <t>107220100</t>
  </si>
  <si>
    <t>TREPS 01-Jul-2022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</si>
  <si>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</si>
  <si>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</si>
  <si>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</si>
  <si>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</si>
  <si>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</si>
  <si>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</si>
  <si>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</si>
  <si>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</si>
  <si>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</si>
  <si>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June,30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</si>
  <si>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</si>
  <si>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</si>
  <si>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</si>
  <si>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May 31, 2022</t>
  </si>
  <si>
    <t>As on June,30 2022</t>
  </si>
  <si>
    <t xml:space="preserve">      Growth Option</t>
  </si>
  <si>
    <t>Regular Plan - Daily IDCW Option</t>
  </si>
  <si>
    <t xml:space="preserve">      Monthly Dividend Option</t>
  </si>
  <si>
    <t>Regular Plan - Growth Option</t>
  </si>
  <si>
    <t xml:space="preserve">      Calendar Quarterly Dividend Option</t>
  </si>
  <si>
    <t>Regular Plan - Weekly IDCW Option</t>
  </si>
  <si>
    <t xml:space="preserve">      Half-Yearly Dividend Option</t>
  </si>
  <si>
    <t>Direct Plan - Daily IDCW Option</t>
  </si>
  <si>
    <t>Direct Plan - Growth Option</t>
  </si>
  <si>
    <t>Direct Plan - Weekly IDCW Option</t>
  </si>
  <si>
    <t xml:space="preserve">      Direct Plan - Calendar Quarterly Dividend Option</t>
  </si>
  <si>
    <t>Defunct Plan - Growth Option</t>
  </si>
  <si>
    <t>Defunct Plan - Daily IDCW Option</t>
  </si>
  <si>
    <t xml:space="preserve">      Direct Plan - Annual Dividend Option</t>
  </si>
  <si>
    <t>Defunct Plan -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</si>
  <si>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</si>
  <si>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</si>
  <si>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</si>
  <si>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June,30 2022. Further there are no investments in derivative instruments as on June,30 2022.</t>
  </si>
  <si>
    <t>(9) Total Market value of investments in Foreign Securities/American Depositary Receipts/Global Depositary Receipts as at June,30 2022 is Rs. Nil .</t>
  </si>
  <si>
    <t>(10)  The Average Maturity period of the portfolio has been  49 Days .</t>
  </si>
  <si>
    <t>(11)  Details of repo transaction in corporate debt securities for the Month ended June,30 2022 is Nil.</t>
  </si>
  <si>
    <t xml:space="preserve">(12)  Investments in debt instruments having structured obligations or credit enhancement features as at June,30 2022 is Rs. Nil </t>
  </si>
  <si>
    <t>(13) Investment in Partly paid Debentures during the Month ended June,30 2022 and as on June,30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</si>
  <si>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</si>
  <si>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</si>
  <si>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</si>
  <si>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</si>
  <si>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</si>
  <si>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June,30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</si>
  <si>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</si>
  <si>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</si>
  <si>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</si>
  <si>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</si>
  <si>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</si>
  <si>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</si>
  <si>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Liquid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</si>
  <si>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</si>
  <si>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</si>
  <si>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</si>
  <si>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</si>
  <si>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</si>
  <si>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</si>
  <si>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Liquid Fund has been merged with Baroda Liquid Fund and Baroda Liquid Fund has been renamed as Baroda BNP Paribas Liquid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</si>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</sst>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8" fillId="4" borderId="29"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22" fillId="5" borderId="31"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23" fillId="0" borderId="0" xfId="0" applyFont="1" applyAlignment="1">
      <alignment horizontal="justify" vertical="center"/>
    </xf>
  </cellXfs>
  <cellStyles count="6">
    <cellStyle name="Comma" xfId="1" builtinId="3"/>
    <cellStyle name="Comma 2" xfId="5" xr:uid="{9D2CEA3B-0546-4F2C-9231-25233A6F55A6}"/>
    <cellStyle name="Hyperlink" xfId="2" builtinId="8"/>
    <cellStyle name="Normal" xfId="0" builtinId="0"/>
    <cellStyle name="Normal 2" xfId="4" xr:uid="{2A249039-BA3C-448F-9994-ADAC52FE21A3}"/>
    <cellStyle name="Style 1" xfId="3" xr:uid="{E766D90C-FFA8-48A8-B05D-5B9B1B6463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5</xdr:col>
      <xdr:colOff>504275</xdr:colOff>
      <xdr:row>167</xdr:row>
      <xdr:rowOff>82296</xdr:rowOff>
    </xdr:to>
    <xdr:pic>
      <xdr:nvPicPr>
        <xdr:cNvPr id="3" name="Picture 2">
          <a:extLst>
            <a:ext uri="{FF2B5EF4-FFF2-40B4-BE49-F238E27FC236}">
              <a16:creationId xmlns:a16="http://schemas.microsoft.com/office/drawing/2014/main" id="{91C597A5-22FC-43DF-884C-DFB48BC41E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1318200"/>
          <a:ext cx="7455408"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P_Monthly_Portfolio_Report%2030%20June%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FA2E4-DB5D-4F4A-A7CE-A343ACBA42C5}">
  <dimension ref="A1:IS179"/>
  <sheetViews>
    <sheetView showGridLines="0" tabSelected="1" zoomScale="85" zoomScaleNormal="85" workbookViewId="0">
      <pane ySplit="6" topLeftCell="A166" activePane="bottomLeft" state="frozen"/>
      <selection activeCell="L1" sqref="L1:L65536"/>
      <selection pane="bottomLeft" activeCell="C169" sqref="C169:F17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44742</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250</v>
      </c>
      <c r="G20" s="33">
        <v>2502.16</v>
      </c>
      <c r="H20" s="33">
        <v>0.43</v>
      </c>
      <c r="I20" s="34">
        <v>4.9993999999999996</v>
      </c>
      <c r="J20" s="35"/>
      <c r="K20" s="36"/>
    </row>
    <row r="21" spans="1:11" x14ac:dyDescent="0.3">
      <c r="C21" s="29" t="s">
        <v>26</v>
      </c>
      <c r="D21" s="30"/>
      <c r="E21" s="31"/>
      <c r="F21" s="32"/>
      <c r="G21" s="40">
        <v>2502.16</v>
      </c>
      <c r="H21" s="40">
        <v>0.43</v>
      </c>
      <c r="I21" s="34"/>
      <c r="J21" s="35"/>
      <c r="K21" s="36"/>
    </row>
    <row r="22" spans="1:11" x14ac:dyDescent="0.3">
      <c r="C22" s="21"/>
      <c r="D22" s="30"/>
      <c r="E22" s="31"/>
      <c r="F22" s="32"/>
      <c r="G22" s="33"/>
      <c r="H22" s="33"/>
      <c r="I22" s="34"/>
      <c r="J22" s="35"/>
      <c r="K22" s="36"/>
    </row>
    <row r="23" spans="1:11" x14ac:dyDescent="0.3">
      <c r="C23" s="29" t="s">
        <v>27</v>
      </c>
      <c r="D23" s="30"/>
      <c r="E23" s="31"/>
      <c r="F23" s="32"/>
      <c r="G23" s="33" t="s">
        <v>16</v>
      </c>
      <c r="H23" s="33" t="s">
        <v>16</v>
      </c>
      <c r="I23" s="34"/>
      <c r="J23" s="35"/>
      <c r="K23" s="36"/>
    </row>
    <row r="24" spans="1:11" x14ac:dyDescent="0.3">
      <c r="C24" s="21"/>
      <c r="D24" s="30"/>
      <c r="E24" s="31"/>
      <c r="F24" s="32"/>
      <c r="G24" s="33"/>
      <c r="H24" s="33"/>
      <c r="I24" s="34"/>
      <c r="J24" s="35"/>
      <c r="K24" s="36"/>
    </row>
    <row r="25" spans="1:11" x14ac:dyDescent="0.3">
      <c r="C25" s="29" t="s">
        <v>28</v>
      </c>
      <c r="D25" s="30"/>
      <c r="E25" s="31"/>
      <c r="F25" s="32"/>
      <c r="G25" s="33" t="s">
        <v>16</v>
      </c>
      <c r="H25" s="33" t="s">
        <v>16</v>
      </c>
      <c r="I25" s="34"/>
      <c r="J25" s="35"/>
      <c r="K25" s="36"/>
    </row>
    <row r="26" spans="1:11" x14ac:dyDescent="0.3">
      <c r="C26" s="21"/>
      <c r="D26" s="30"/>
      <c r="E26" s="31"/>
      <c r="F26" s="32"/>
      <c r="G26" s="33"/>
      <c r="H26" s="33"/>
      <c r="I26" s="34"/>
      <c r="J26" s="35"/>
      <c r="K26" s="36"/>
    </row>
    <row r="27" spans="1:11" x14ac:dyDescent="0.3">
      <c r="C27" s="29" t="s">
        <v>29</v>
      </c>
      <c r="D27" s="30"/>
      <c r="E27" s="31"/>
      <c r="F27" s="32"/>
      <c r="G27" s="33" t="s">
        <v>16</v>
      </c>
      <c r="H27" s="33" t="s">
        <v>16</v>
      </c>
      <c r="I27" s="34"/>
      <c r="J27" s="35"/>
      <c r="K27" s="36"/>
    </row>
    <row r="28" spans="1:11" x14ac:dyDescent="0.3">
      <c r="C28" s="21"/>
      <c r="D28" s="30"/>
      <c r="E28" s="31"/>
      <c r="F28" s="32"/>
      <c r="G28" s="33"/>
      <c r="H28" s="33"/>
      <c r="I28" s="34"/>
      <c r="J28" s="35"/>
      <c r="K28" s="36"/>
    </row>
    <row r="29" spans="1:11" x14ac:dyDescent="0.3">
      <c r="C29" s="29" t="s">
        <v>30</v>
      </c>
      <c r="D29" s="30"/>
      <c r="E29" s="31"/>
      <c r="F29" s="32"/>
      <c r="G29" s="33" t="s">
        <v>16</v>
      </c>
      <c r="H29" s="33" t="s">
        <v>16</v>
      </c>
      <c r="I29" s="34"/>
      <c r="J29" s="35"/>
      <c r="K29" s="36"/>
    </row>
    <row r="30" spans="1:11" x14ac:dyDescent="0.3">
      <c r="C30" s="21"/>
      <c r="D30" s="30"/>
      <c r="E30" s="31"/>
      <c r="F30" s="32"/>
      <c r="G30" s="33"/>
      <c r="H30" s="33"/>
      <c r="I30" s="34"/>
      <c r="J30" s="35"/>
      <c r="K30" s="36"/>
    </row>
    <row r="31" spans="1:11" x14ac:dyDescent="0.3">
      <c r="A31" s="37"/>
      <c r="B31" s="38"/>
      <c r="C31" s="29" t="s">
        <v>31</v>
      </c>
      <c r="D31" s="30"/>
      <c r="E31" s="31"/>
      <c r="F31" s="32"/>
      <c r="G31" s="33"/>
      <c r="H31" s="33"/>
      <c r="I31" s="34"/>
      <c r="J31" s="35"/>
      <c r="K31" s="36"/>
    </row>
    <row r="32" spans="1:11" x14ac:dyDescent="0.3">
      <c r="C32" s="39" t="s">
        <v>32</v>
      </c>
      <c r="D32" s="30"/>
      <c r="E32" s="31"/>
      <c r="F32" s="32"/>
      <c r="G32" s="33"/>
      <c r="H32" s="33"/>
      <c r="I32" s="34"/>
      <c r="J32" s="35"/>
      <c r="K32" s="36"/>
    </row>
    <row r="33" spans="2:11" x14ac:dyDescent="0.3">
      <c r="B33" s="1" t="s">
        <v>33</v>
      </c>
      <c r="C33" s="21" t="s">
        <v>34</v>
      </c>
      <c r="D33" s="30" t="s">
        <v>35</v>
      </c>
      <c r="E33" s="31" t="s">
        <v>36</v>
      </c>
      <c r="F33" s="32">
        <v>6000</v>
      </c>
      <c r="G33" s="33">
        <v>29796</v>
      </c>
      <c r="H33" s="33">
        <v>5.1100000000000003</v>
      </c>
      <c r="I33" s="34">
        <v>5.0999999999999996</v>
      </c>
      <c r="J33" s="35"/>
      <c r="K33" s="36" t="s">
        <v>37</v>
      </c>
    </row>
    <row r="34" spans="2:11" x14ac:dyDescent="0.3">
      <c r="B34" s="1" t="s">
        <v>38</v>
      </c>
      <c r="C34" s="21" t="s">
        <v>39</v>
      </c>
      <c r="D34" s="30" t="s">
        <v>40</v>
      </c>
      <c r="E34" s="31" t="s">
        <v>36</v>
      </c>
      <c r="F34" s="32">
        <v>5000</v>
      </c>
      <c r="G34" s="33">
        <v>24832.93</v>
      </c>
      <c r="H34" s="33">
        <v>4.26</v>
      </c>
      <c r="I34" s="34">
        <v>5.2248999999999999</v>
      </c>
      <c r="J34" s="35"/>
      <c r="K34" s="36" t="s">
        <v>37</v>
      </c>
    </row>
    <row r="35" spans="2:11" x14ac:dyDescent="0.3">
      <c r="B35" s="1" t="s">
        <v>41</v>
      </c>
      <c r="C35" s="21" t="s">
        <v>42</v>
      </c>
      <c r="D35" s="30" t="s">
        <v>43</v>
      </c>
      <c r="E35" s="31" t="s">
        <v>36</v>
      </c>
      <c r="F35" s="32">
        <v>4000</v>
      </c>
      <c r="G35" s="33">
        <v>19863.88</v>
      </c>
      <c r="H35" s="33">
        <v>3.41</v>
      </c>
      <c r="I35" s="34">
        <v>5.1048999999999998</v>
      </c>
      <c r="J35" s="35"/>
      <c r="K35" s="36" t="s">
        <v>37</v>
      </c>
    </row>
    <row r="36" spans="2:11" x14ac:dyDescent="0.3">
      <c r="B36" s="1" t="s">
        <v>44</v>
      </c>
      <c r="C36" s="21" t="s">
        <v>45</v>
      </c>
      <c r="D36" s="30" t="s">
        <v>46</v>
      </c>
      <c r="E36" s="31" t="s">
        <v>47</v>
      </c>
      <c r="F36" s="32">
        <v>4000</v>
      </c>
      <c r="G36" s="33">
        <v>19854.5</v>
      </c>
      <c r="H36" s="33">
        <v>3.41</v>
      </c>
      <c r="I36" s="34">
        <v>5.35</v>
      </c>
      <c r="J36" s="35"/>
      <c r="K36" s="36" t="s">
        <v>37</v>
      </c>
    </row>
    <row r="37" spans="2:11" x14ac:dyDescent="0.3">
      <c r="B37" s="1" t="s">
        <v>48</v>
      </c>
      <c r="C37" s="21" t="s">
        <v>49</v>
      </c>
      <c r="D37" s="30" t="s">
        <v>50</v>
      </c>
      <c r="E37" s="31" t="s">
        <v>36</v>
      </c>
      <c r="F37" s="32">
        <v>4000</v>
      </c>
      <c r="G37" s="33">
        <v>19824.04</v>
      </c>
      <c r="H37" s="33">
        <v>3.4</v>
      </c>
      <c r="I37" s="34">
        <v>5.3998999999999997</v>
      </c>
      <c r="J37" s="35"/>
      <c r="K37" s="36" t="s">
        <v>37</v>
      </c>
    </row>
    <row r="38" spans="2:11" x14ac:dyDescent="0.3">
      <c r="B38" s="1" t="s">
        <v>51</v>
      </c>
      <c r="C38" s="21" t="s">
        <v>52</v>
      </c>
      <c r="D38" s="30" t="s">
        <v>53</v>
      </c>
      <c r="E38" s="31" t="s">
        <v>36</v>
      </c>
      <c r="F38" s="32">
        <v>4000</v>
      </c>
      <c r="G38" s="33">
        <v>19796.62</v>
      </c>
      <c r="H38" s="33">
        <v>3.4</v>
      </c>
      <c r="I38" s="34">
        <v>6.25</v>
      </c>
      <c r="J38" s="35"/>
      <c r="K38" s="36" t="s">
        <v>37</v>
      </c>
    </row>
    <row r="39" spans="2:11" x14ac:dyDescent="0.3">
      <c r="B39" s="1" t="s">
        <v>54</v>
      </c>
      <c r="C39" s="21" t="s">
        <v>55</v>
      </c>
      <c r="D39" s="30" t="s">
        <v>56</v>
      </c>
      <c r="E39" s="31" t="s">
        <v>57</v>
      </c>
      <c r="F39" s="32">
        <v>4000</v>
      </c>
      <c r="G39" s="33">
        <v>19791.16</v>
      </c>
      <c r="H39" s="33">
        <v>3.39</v>
      </c>
      <c r="I39" s="34">
        <v>5.2047999999999996</v>
      </c>
      <c r="J39" s="35"/>
      <c r="K39" s="36" t="s">
        <v>37</v>
      </c>
    </row>
    <row r="40" spans="2:11" x14ac:dyDescent="0.3">
      <c r="B40" s="1" t="s">
        <v>58</v>
      </c>
      <c r="C40" s="21" t="s">
        <v>59</v>
      </c>
      <c r="D40" s="30" t="s">
        <v>60</v>
      </c>
      <c r="E40" s="31" t="s">
        <v>36</v>
      </c>
      <c r="F40" s="32">
        <v>4000</v>
      </c>
      <c r="G40" s="33">
        <v>19760.36</v>
      </c>
      <c r="H40" s="33">
        <v>3.39</v>
      </c>
      <c r="I40" s="34">
        <v>5.4649999999999999</v>
      </c>
      <c r="J40" s="35"/>
      <c r="K40" s="36" t="s">
        <v>37</v>
      </c>
    </row>
    <row r="41" spans="2:11" x14ac:dyDescent="0.3">
      <c r="B41" s="1" t="s">
        <v>61</v>
      </c>
      <c r="C41" s="21" t="s">
        <v>62</v>
      </c>
      <c r="D41" s="30" t="s">
        <v>63</v>
      </c>
      <c r="E41" s="31" t="s">
        <v>36</v>
      </c>
      <c r="F41" s="32">
        <v>3000</v>
      </c>
      <c r="G41" s="33">
        <v>14950.04</v>
      </c>
      <c r="H41" s="33">
        <v>2.56</v>
      </c>
      <c r="I41" s="34">
        <v>5.8098000000000001</v>
      </c>
      <c r="J41" s="35"/>
      <c r="K41" s="36" t="s">
        <v>37</v>
      </c>
    </row>
    <row r="42" spans="2:11" x14ac:dyDescent="0.3">
      <c r="B42" s="1" t="s">
        <v>64</v>
      </c>
      <c r="C42" s="21" t="s">
        <v>65</v>
      </c>
      <c r="D42" s="30" t="s">
        <v>66</v>
      </c>
      <c r="E42" s="31" t="s">
        <v>36</v>
      </c>
      <c r="F42" s="32">
        <v>3000</v>
      </c>
      <c r="G42" s="33">
        <v>14948.84</v>
      </c>
      <c r="H42" s="33">
        <v>2.56</v>
      </c>
      <c r="I42" s="34">
        <v>7.3498000000000001</v>
      </c>
      <c r="J42" s="35"/>
      <c r="K42" s="36" t="s">
        <v>37</v>
      </c>
    </row>
    <row r="43" spans="2:11" x14ac:dyDescent="0.3">
      <c r="B43" s="1" t="s">
        <v>67</v>
      </c>
      <c r="C43" s="21" t="s">
        <v>68</v>
      </c>
      <c r="D43" s="30" t="s">
        <v>69</v>
      </c>
      <c r="E43" s="31" t="s">
        <v>36</v>
      </c>
      <c r="F43" s="32">
        <v>3000</v>
      </c>
      <c r="G43" s="33">
        <v>14884.11</v>
      </c>
      <c r="H43" s="33">
        <v>2.5499999999999998</v>
      </c>
      <c r="I43" s="34">
        <v>5.0751999999999997</v>
      </c>
      <c r="J43" s="35"/>
      <c r="K43" s="36" t="s">
        <v>37</v>
      </c>
    </row>
    <row r="44" spans="2:11" x14ac:dyDescent="0.3">
      <c r="B44" s="1" t="s">
        <v>70</v>
      </c>
      <c r="C44" s="21" t="s">
        <v>71</v>
      </c>
      <c r="D44" s="30" t="s">
        <v>72</v>
      </c>
      <c r="E44" s="31" t="s">
        <v>36</v>
      </c>
      <c r="F44" s="32">
        <v>3000</v>
      </c>
      <c r="G44" s="33">
        <v>14867.82</v>
      </c>
      <c r="H44" s="33">
        <v>2.5499999999999998</v>
      </c>
      <c r="I44" s="34">
        <v>6.2403000000000004</v>
      </c>
      <c r="J44" s="35"/>
      <c r="K44" s="36" t="s">
        <v>37</v>
      </c>
    </row>
    <row r="45" spans="2:11" x14ac:dyDescent="0.3">
      <c r="B45" s="1" t="s">
        <v>73</v>
      </c>
      <c r="C45" s="21" t="s">
        <v>74</v>
      </c>
      <c r="D45" s="30" t="s">
        <v>75</v>
      </c>
      <c r="E45" s="31" t="s">
        <v>36</v>
      </c>
      <c r="F45" s="32">
        <v>2000</v>
      </c>
      <c r="G45" s="33">
        <v>9965.74</v>
      </c>
      <c r="H45" s="33">
        <v>1.71</v>
      </c>
      <c r="I45" s="34">
        <v>5.9752000000000001</v>
      </c>
      <c r="J45" s="35"/>
      <c r="K45" s="36" t="s">
        <v>37</v>
      </c>
    </row>
    <row r="46" spans="2:11" x14ac:dyDescent="0.3">
      <c r="B46" s="1" t="s">
        <v>76</v>
      </c>
      <c r="C46" s="21" t="s">
        <v>77</v>
      </c>
      <c r="D46" s="30" t="s">
        <v>78</v>
      </c>
      <c r="E46" s="31" t="s">
        <v>36</v>
      </c>
      <c r="F46" s="32">
        <v>2000</v>
      </c>
      <c r="G46" s="33">
        <v>9954.3700000000008</v>
      </c>
      <c r="H46" s="33">
        <v>1.71</v>
      </c>
      <c r="I46" s="34">
        <v>5.9755000000000003</v>
      </c>
      <c r="J46" s="35"/>
      <c r="K46" s="36" t="s">
        <v>37</v>
      </c>
    </row>
    <row r="47" spans="2:11" x14ac:dyDescent="0.3">
      <c r="B47" s="1" t="s">
        <v>79</v>
      </c>
      <c r="C47" s="21" t="s">
        <v>80</v>
      </c>
      <c r="D47" s="30" t="s">
        <v>81</v>
      </c>
      <c r="E47" s="31" t="s">
        <v>36</v>
      </c>
      <c r="F47" s="32">
        <v>2000</v>
      </c>
      <c r="G47" s="33">
        <v>9940.24</v>
      </c>
      <c r="H47" s="33">
        <v>1.7</v>
      </c>
      <c r="I47" s="34">
        <v>5.2251000000000003</v>
      </c>
      <c r="J47" s="35"/>
      <c r="K47" s="36" t="s">
        <v>37</v>
      </c>
    </row>
    <row r="48" spans="2:11" x14ac:dyDescent="0.3">
      <c r="B48" s="1" t="s">
        <v>82</v>
      </c>
      <c r="C48" s="21" t="s">
        <v>83</v>
      </c>
      <c r="D48" s="30" t="s">
        <v>84</v>
      </c>
      <c r="E48" s="31" t="s">
        <v>36</v>
      </c>
      <c r="F48" s="32">
        <v>2000</v>
      </c>
      <c r="G48" s="33">
        <v>9916.86</v>
      </c>
      <c r="H48" s="33">
        <v>1.7</v>
      </c>
      <c r="I48" s="34">
        <v>5.1001000000000003</v>
      </c>
      <c r="J48" s="35"/>
      <c r="K48" s="36"/>
    </row>
    <row r="49" spans="2:11" x14ac:dyDescent="0.3">
      <c r="B49" s="1" t="s">
        <v>85</v>
      </c>
      <c r="C49" s="21" t="s">
        <v>86</v>
      </c>
      <c r="D49" s="30" t="s">
        <v>87</v>
      </c>
      <c r="E49" s="31" t="s">
        <v>36</v>
      </c>
      <c r="F49" s="32">
        <v>2000</v>
      </c>
      <c r="G49" s="33">
        <v>9907.94</v>
      </c>
      <c r="H49" s="33">
        <v>1.7</v>
      </c>
      <c r="I49" s="34">
        <v>5.47</v>
      </c>
      <c r="J49" s="35"/>
      <c r="K49" s="36" t="s">
        <v>37</v>
      </c>
    </row>
    <row r="50" spans="2:11" x14ac:dyDescent="0.3">
      <c r="B50" s="1" t="s">
        <v>88</v>
      </c>
      <c r="C50" s="21" t="s">
        <v>89</v>
      </c>
      <c r="D50" s="30" t="s">
        <v>90</v>
      </c>
      <c r="E50" s="31" t="s">
        <v>91</v>
      </c>
      <c r="F50" s="32">
        <v>2000</v>
      </c>
      <c r="G50" s="33">
        <v>9906.5300000000007</v>
      </c>
      <c r="H50" s="33">
        <v>1.7</v>
      </c>
      <c r="I50" s="34">
        <v>5.5548999999999999</v>
      </c>
      <c r="J50" s="35"/>
      <c r="K50" s="36" t="s">
        <v>37</v>
      </c>
    </row>
    <row r="51" spans="2:11" x14ac:dyDescent="0.3">
      <c r="B51" s="1" t="s">
        <v>92</v>
      </c>
      <c r="C51" s="21" t="s">
        <v>93</v>
      </c>
      <c r="D51" s="30" t="s">
        <v>94</v>
      </c>
      <c r="E51" s="31" t="s">
        <v>36</v>
      </c>
      <c r="F51" s="32">
        <v>2000</v>
      </c>
      <c r="G51" s="33">
        <v>9894.1299999999992</v>
      </c>
      <c r="H51" s="33">
        <v>1.7</v>
      </c>
      <c r="I51" s="34">
        <v>5.3501000000000003</v>
      </c>
      <c r="J51" s="35"/>
      <c r="K51" s="36" t="s">
        <v>37</v>
      </c>
    </row>
    <row r="52" spans="2:11" x14ac:dyDescent="0.3">
      <c r="B52" s="1" t="s">
        <v>95</v>
      </c>
      <c r="C52" s="21" t="s">
        <v>96</v>
      </c>
      <c r="D52" s="30" t="s">
        <v>97</v>
      </c>
      <c r="E52" s="31" t="s">
        <v>36</v>
      </c>
      <c r="F52" s="32">
        <v>1400</v>
      </c>
      <c r="G52" s="33">
        <v>6960.79</v>
      </c>
      <c r="H52" s="33">
        <v>1.19</v>
      </c>
      <c r="I52" s="34">
        <v>5.1402000000000001</v>
      </c>
      <c r="J52" s="35"/>
      <c r="K52" s="36" t="s">
        <v>37</v>
      </c>
    </row>
    <row r="53" spans="2:11" x14ac:dyDescent="0.3">
      <c r="B53" s="1" t="s">
        <v>98</v>
      </c>
      <c r="C53" s="21" t="s">
        <v>99</v>
      </c>
      <c r="D53" s="30" t="s">
        <v>100</v>
      </c>
      <c r="E53" s="31" t="s">
        <v>36</v>
      </c>
      <c r="F53" s="32">
        <v>1000</v>
      </c>
      <c r="G53" s="33">
        <v>4984.5600000000004</v>
      </c>
      <c r="H53" s="33">
        <v>0.85</v>
      </c>
      <c r="I53" s="34">
        <v>5.6548999999999996</v>
      </c>
      <c r="J53" s="35"/>
      <c r="K53" s="36" t="s">
        <v>37</v>
      </c>
    </row>
    <row r="54" spans="2:11" x14ac:dyDescent="0.3">
      <c r="B54" s="1" t="s">
        <v>101</v>
      </c>
      <c r="C54" s="21" t="s">
        <v>102</v>
      </c>
      <c r="D54" s="30" t="s">
        <v>103</v>
      </c>
      <c r="E54" s="31" t="s">
        <v>36</v>
      </c>
      <c r="F54" s="32">
        <v>1000</v>
      </c>
      <c r="G54" s="33">
        <v>4979.62</v>
      </c>
      <c r="H54" s="33">
        <v>0.85</v>
      </c>
      <c r="I54" s="34">
        <v>5.9752999999999998</v>
      </c>
      <c r="J54" s="35"/>
      <c r="K54" s="36" t="s">
        <v>37</v>
      </c>
    </row>
    <row r="55" spans="2:11" x14ac:dyDescent="0.3">
      <c r="B55" s="1" t="s">
        <v>104</v>
      </c>
      <c r="C55" s="21" t="s">
        <v>105</v>
      </c>
      <c r="D55" s="30" t="s">
        <v>106</v>
      </c>
      <c r="E55" s="31" t="s">
        <v>57</v>
      </c>
      <c r="F55" s="32">
        <v>1000</v>
      </c>
      <c r="G55" s="33">
        <v>4939.8100000000004</v>
      </c>
      <c r="H55" s="33">
        <v>0.85</v>
      </c>
      <c r="I55" s="34">
        <v>5.9298999999999999</v>
      </c>
      <c r="J55" s="35"/>
      <c r="K55" s="36" t="s">
        <v>37</v>
      </c>
    </row>
    <row r="56" spans="2:11" x14ac:dyDescent="0.3">
      <c r="B56" s="1" t="s">
        <v>107</v>
      </c>
      <c r="C56" s="21" t="s">
        <v>108</v>
      </c>
      <c r="D56" s="30" t="s">
        <v>109</v>
      </c>
      <c r="E56" s="31" t="s">
        <v>36</v>
      </c>
      <c r="F56" s="32">
        <v>500</v>
      </c>
      <c r="G56" s="33">
        <v>2473.08</v>
      </c>
      <c r="H56" s="33">
        <v>0.42</v>
      </c>
      <c r="I56" s="34">
        <v>5.93</v>
      </c>
      <c r="J56" s="35"/>
      <c r="K56" s="36" t="s">
        <v>37</v>
      </c>
    </row>
    <row r="57" spans="2:11" x14ac:dyDescent="0.3">
      <c r="C57" s="29" t="s">
        <v>26</v>
      </c>
      <c r="D57" s="30"/>
      <c r="E57" s="31"/>
      <c r="F57" s="32"/>
      <c r="G57" s="40">
        <v>326993.96999999997</v>
      </c>
      <c r="H57" s="40">
        <v>56.07</v>
      </c>
      <c r="I57" s="34"/>
      <c r="J57" s="35"/>
      <c r="K57" s="36"/>
    </row>
    <row r="58" spans="2:11" x14ac:dyDescent="0.3">
      <c r="C58" s="21"/>
      <c r="D58" s="30"/>
      <c r="E58" s="31"/>
      <c r="F58" s="32"/>
      <c r="G58" s="33"/>
      <c r="H58" s="33"/>
      <c r="I58" s="34"/>
      <c r="J58" s="35"/>
      <c r="K58" s="36"/>
    </row>
    <row r="59" spans="2:11" x14ac:dyDescent="0.3">
      <c r="C59" s="39" t="s">
        <v>110</v>
      </c>
      <c r="D59" s="30"/>
      <c r="E59" s="31"/>
      <c r="F59" s="32"/>
      <c r="G59" s="33"/>
      <c r="H59" s="33"/>
      <c r="I59" s="34"/>
      <c r="J59" s="35"/>
      <c r="K59" s="36"/>
    </row>
    <row r="60" spans="2:11" x14ac:dyDescent="0.3">
      <c r="B60" s="1" t="s">
        <v>111</v>
      </c>
      <c r="C60" s="21" t="s">
        <v>112</v>
      </c>
      <c r="D60" s="30" t="s">
        <v>113</v>
      </c>
      <c r="E60" s="31" t="s">
        <v>47</v>
      </c>
      <c r="F60" s="32">
        <v>8420</v>
      </c>
      <c r="G60" s="33">
        <v>41827.19</v>
      </c>
      <c r="H60" s="33">
        <v>7.17</v>
      </c>
      <c r="I60" s="34">
        <v>5.0651999999999999</v>
      </c>
      <c r="J60" s="35"/>
      <c r="K60" s="36" t="s">
        <v>37</v>
      </c>
    </row>
    <row r="61" spans="2:11" x14ac:dyDescent="0.3">
      <c r="B61" s="1" t="s">
        <v>114</v>
      </c>
      <c r="C61" s="21" t="s">
        <v>115</v>
      </c>
      <c r="D61" s="30" t="s">
        <v>116</v>
      </c>
      <c r="E61" s="31" t="s">
        <v>36</v>
      </c>
      <c r="F61" s="32">
        <v>6000</v>
      </c>
      <c r="G61" s="33">
        <v>29806.2</v>
      </c>
      <c r="H61" s="33">
        <v>5.1100000000000003</v>
      </c>
      <c r="I61" s="34">
        <v>5.0494000000000003</v>
      </c>
      <c r="J61" s="35"/>
      <c r="K61" s="36"/>
    </row>
    <row r="62" spans="2:11" x14ac:dyDescent="0.3">
      <c r="B62" s="1" t="s">
        <v>117</v>
      </c>
      <c r="C62" s="21" t="s">
        <v>118</v>
      </c>
      <c r="D62" s="30" t="s">
        <v>119</v>
      </c>
      <c r="E62" s="31" t="s">
        <v>36</v>
      </c>
      <c r="F62" s="32">
        <v>3500</v>
      </c>
      <c r="G62" s="33">
        <v>17315.88</v>
      </c>
      <c r="H62" s="33">
        <v>2.97</v>
      </c>
      <c r="I62" s="34">
        <v>5.1749000000000001</v>
      </c>
      <c r="J62" s="35"/>
      <c r="K62" s="36" t="s">
        <v>37</v>
      </c>
    </row>
    <row r="63" spans="2:11" x14ac:dyDescent="0.3">
      <c r="B63" s="1" t="s">
        <v>120</v>
      </c>
      <c r="C63" s="21" t="s">
        <v>121</v>
      </c>
      <c r="D63" s="30" t="s">
        <v>122</v>
      </c>
      <c r="E63" s="31" t="s">
        <v>47</v>
      </c>
      <c r="F63" s="32">
        <v>2000</v>
      </c>
      <c r="G63" s="33">
        <v>9910.7900000000009</v>
      </c>
      <c r="H63" s="33">
        <v>1.7</v>
      </c>
      <c r="I63" s="34">
        <v>5.2149999999999999</v>
      </c>
      <c r="J63" s="35"/>
      <c r="K63" s="36" t="s">
        <v>37</v>
      </c>
    </row>
    <row r="64" spans="2:11" x14ac:dyDescent="0.3">
      <c r="B64" s="1" t="s">
        <v>123</v>
      </c>
      <c r="C64" s="21" t="s">
        <v>124</v>
      </c>
      <c r="D64" s="30" t="s">
        <v>125</v>
      </c>
      <c r="E64" s="31" t="s">
        <v>36</v>
      </c>
      <c r="F64" s="32">
        <v>1500</v>
      </c>
      <c r="G64" s="33">
        <v>7424.27</v>
      </c>
      <c r="H64" s="33">
        <v>1.27</v>
      </c>
      <c r="I64" s="34">
        <v>6.0050999999999997</v>
      </c>
      <c r="J64" s="35"/>
      <c r="K64" s="36" t="s">
        <v>37</v>
      </c>
    </row>
    <row r="65" spans="1:11" x14ac:dyDescent="0.3">
      <c r="B65" s="1" t="s">
        <v>126</v>
      </c>
      <c r="C65" s="21" t="s">
        <v>127</v>
      </c>
      <c r="D65" s="30" t="s">
        <v>128</v>
      </c>
      <c r="E65" s="31" t="s">
        <v>91</v>
      </c>
      <c r="F65" s="32">
        <v>1000</v>
      </c>
      <c r="G65" s="33">
        <v>4964.29</v>
      </c>
      <c r="H65" s="33">
        <v>0.85</v>
      </c>
      <c r="I65" s="34">
        <v>5.0499000000000001</v>
      </c>
      <c r="J65" s="35"/>
      <c r="K65" s="36" t="s">
        <v>37</v>
      </c>
    </row>
    <row r="66" spans="1:11" x14ac:dyDescent="0.3">
      <c r="B66" s="1" t="s">
        <v>129</v>
      </c>
      <c r="C66" s="21" t="s">
        <v>130</v>
      </c>
      <c r="D66" s="30" t="s">
        <v>131</v>
      </c>
      <c r="E66" s="31" t="s">
        <v>36</v>
      </c>
      <c r="F66" s="32">
        <v>1000</v>
      </c>
      <c r="G66" s="33">
        <v>4959.3999999999996</v>
      </c>
      <c r="H66" s="33">
        <v>0.85</v>
      </c>
      <c r="I66" s="34">
        <v>5.0651000000000002</v>
      </c>
      <c r="J66" s="35"/>
      <c r="K66" s="36" t="s">
        <v>37</v>
      </c>
    </row>
    <row r="67" spans="1:11" x14ac:dyDescent="0.3">
      <c r="B67" s="1" t="s">
        <v>132</v>
      </c>
      <c r="C67" s="21" t="s">
        <v>133</v>
      </c>
      <c r="D67" s="30" t="s">
        <v>134</v>
      </c>
      <c r="E67" s="31" t="s">
        <v>36</v>
      </c>
      <c r="F67" s="32">
        <v>500</v>
      </c>
      <c r="G67" s="33">
        <v>2486.34</v>
      </c>
      <c r="H67" s="33">
        <v>0.43</v>
      </c>
      <c r="I67" s="34">
        <v>5.0151000000000003</v>
      </c>
      <c r="J67" s="35"/>
      <c r="K67" s="36" t="s">
        <v>37</v>
      </c>
    </row>
    <row r="68" spans="1:11" x14ac:dyDescent="0.3">
      <c r="C68" s="29" t="s">
        <v>26</v>
      </c>
      <c r="D68" s="30"/>
      <c r="E68" s="31"/>
      <c r="F68" s="32"/>
      <c r="G68" s="40">
        <v>118694.36</v>
      </c>
      <c r="H68" s="40">
        <v>20.350000000000001</v>
      </c>
      <c r="I68" s="34"/>
      <c r="J68" s="35"/>
      <c r="K68" s="36"/>
    </row>
    <row r="69" spans="1:11" x14ac:dyDescent="0.3">
      <c r="C69" s="21"/>
      <c r="D69" s="30"/>
      <c r="E69" s="31"/>
      <c r="F69" s="32"/>
      <c r="G69" s="33"/>
      <c r="H69" s="33"/>
      <c r="I69" s="34"/>
      <c r="J69" s="35"/>
      <c r="K69" s="36"/>
    </row>
    <row r="70" spans="1:11" x14ac:dyDescent="0.3">
      <c r="C70" s="39" t="s">
        <v>135</v>
      </c>
      <c r="D70" s="30"/>
      <c r="E70" s="31"/>
      <c r="F70" s="32"/>
      <c r="G70" s="33"/>
      <c r="H70" s="33"/>
      <c r="I70" s="34"/>
      <c r="J70" s="35"/>
      <c r="K70" s="36"/>
    </row>
    <row r="71" spans="1:11" x14ac:dyDescent="0.3">
      <c r="B71" s="1" t="s">
        <v>136</v>
      </c>
      <c r="C71" s="21" t="s">
        <v>137</v>
      </c>
      <c r="D71" s="30" t="s">
        <v>138</v>
      </c>
      <c r="E71" s="31" t="s">
        <v>139</v>
      </c>
      <c r="F71" s="32">
        <v>37500000</v>
      </c>
      <c r="G71" s="33">
        <v>37108.28</v>
      </c>
      <c r="H71" s="33">
        <v>6.36</v>
      </c>
      <c r="I71" s="34">
        <v>5.0697999999999999</v>
      </c>
      <c r="J71" s="35"/>
      <c r="K71" s="36"/>
    </row>
    <row r="72" spans="1:11" x14ac:dyDescent="0.3">
      <c r="B72" s="1" t="s">
        <v>140</v>
      </c>
      <c r="C72" s="21" t="s">
        <v>141</v>
      </c>
      <c r="D72" s="30" t="s">
        <v>142</v>
      </c>
      <c r="E72" s="31" t="s">
        <v>139</v>
      </c>
      <c r="F72" s="32">
        <v>17500000</v>
      </c>
      <c r="G72" s="33">
        <v>17352.13</v>
      </c>
      <c r="H72" s="33">
        <v>2.98</v>
      </c>
      <c r="I72" s="34">
        <v>5.0170000000000003</v>
      </c>
      <c r="J72" s="35"/>
      <c r="K72" s="36"/>
    </row>
    <row r="73" spans="1:11" x14ac:dyDescent="0.3">
      <c r="B73" s="1" t="s">
        <v>143</v>
      </c>
      <c r="C73" s="21" t="s">
        <v>144</v>
      </c>
      <c r="D73" s="30" t="s">
        <v>145</v>
      </c>
      <c r="E73" s="31" t="s">
        <v>139</v>
      </c>
      <c r="F73" s="32">
        <v>10000000</v>
      </c>
      <c r="G73" s="33">
        <v>9992.85</v>
      </c>
      <c r="H73" s="33">
        <v>1.71</v>
      </c>
      <c r="I73" s="34">
        <v>4.3556999999999997</v>
      </c>
      <c r="J73" s="35"/>
      <c r="K73" s="36"/>
    </row>
    <row r="74" spans="1:11" x14ac:dyDescent="0.3">
      <c r="B74" s="1" t="s">
        <v>146</v>
      </c>
      <c r="C74" s="21" t="s">
        <v>147</v>
      </c>
      <c r="D74" s="30" t="s">
        <v>148</v>
      </c>
      <c r="E74" s="31" t="s">
        <v>139</v>
      </c>
      <c r="F74" s="32">
        <v>10000000</v>
      </c>
      <c r="G74" s="33">
        <v>9927.4500000000007</v>
      </c>
      <c r="H74" s="33">
        <v>1.7</v>
      </c>
      <c r="I74" s="34">
        <v>4.8498999999999999</v>
      </c>
      <c r="J74" s="35"/>
      <c r="K74" s="36"/>
    </row>
    <row r="75" spans="1:11" x14ac:dyDescent="0.3">
      <c r="B75" s="1" t="s">
        <v>149</v>
      </c>
      <c r="C75" s="21" t="s">
        <v>150</v>
      </c>
      <c r="D75" s="30" t="s">
        <v>151</v>
      </c>
      <c r="E75" s="31" t="s">
        <v>139</v>
      </c>
      <c r="F75" s="32">
        <v>8500000</v>
      </c>
      <c r="G75" s="33">
        <v>8463.26</v>
      </c>
      <c r="H75" s="33">
        <v>1.45</v>
      </c>
      <c r="I75" s="34">
        <v>4.6604999999999999</v>
      </c>
      <c r="J75" s="35"/>
      <c r="K75" s="36"/>
    </row>
    <row r="76" spans="1:11" x14ac:dyDescent="0.3">
      <c r="C76" s="29" t="s">
        <v>26</v>
      </c>
      <c r="D76" s="30"/>
      <c r="E76" s="31"/>
      <c r="F76" s="32"/>
      <c r="G76" s="40">
        <v>82843.97</v>
      </c>
      <c r="H76" s="40">
        <v>14.2</v>
      </c>
      <c r="I76" s="34"/>
      <c r="J76" s="35"/>
      <c r="K76" s="36"/>
    </row>
    <row r="77" spans="1:11" x14ac:dyDescent="0.3">
      <c r="C77" s="21"/>
      <c r="D77" s="30"/>
      <c r="E77" s="31"/>
      <c r="F77" s="32"/>
      <c r="G77" s="33"/>
      <c r="H77" s="33"/>
      <c r="I77" s="34"/>
      <c r="J77" s="35"/>
      <c r="K77" s="36"/>
    </row>
    <row r="78" spans="1:11" x14ac:dyDescent="0.3">
      <c r="C78" s="29" t="s">
        <v>152</v>
      </c>
      <c r="D78" s="30"/>
      <c r="E78" s="31"/>
      <c r="F78" s="32"/>
      <c r="G78" s="33" t="s">
        <v>16</v>
      </c>
      <c r="H78" s="33" t="s">
        <v>16</v>
      </c>
      <c r="I78" s="34"/>
      <c r="J78" s="35"/>
      <c r="K78" s="36"/>
    </row>
    <row r="79" spans="1:11" x14ac:dyDescent="0.3">
      <c r="C79" s="21"/>
      <c r="D79" s="30"/>
      <c r="E79" s="31"/>
      <c r="F79" s="32"/>
      <c r="G79" s="33"/>
      <c r="H79" s="33"/>
      <c r="I79" s="34"/>
      <c r="J79" s="35"/>
      <c r="K79" s="36"/>
    </row>
    <row r="80" spans="1:11" x14ac:dyDescent="0.3">
      <c r="A80" s="37"/>
      <c r="B80" s="38"/>
      <c r="C80" s="29" t="s">
        <v>153</v>
      </c>
      <c r="D80" s="30"/>
      <c r="E80" s="31"/>
      <c r="F80" s="32"/>
      <c r="G80" s="33"/>
      <c r="H80" s="33"/>
      <c r="I80" s="34"/>
      <c r="J80" s="35"/>
      <c r="K80" s="36"/>
    </row>
    <row r="81" spans="1:11" x14ac:dyDescent="0.3">
      <c r="A81" s="38"/>
      <c r="B81" s="38"/>
      <c r="C81" s="29" t="s">
        <v>154</v>
      </c>
      <c r="D81" s="30"/>
      <c r="E81" s="31"/>
      <c r="F81" s="32"/>
      <c r="G81" s="33" t="s">
        <v>16</v>
      </c>
      <c r="H81" s="33" t="s">
        <v>16</v>
      </c>
      <c r="I81" s="34"/>
      <c r="J81" s="35"/>
      <c r="K81" s="36"/>
    </row>
    <row r="82" spans="1:11" x14ac:dyDescent="0.3">
      <c r="A82" s="38"/>
      <c r="B82" s="38"/>
      <c r="C82" s="29"/>
      <c r="D82" s="30"/>
      <c r="E82" s="31"/>
      <c r="F82" s="32"/>
      <c r="G82" s="33"/>
      <c r="H82" s="33"/>
      <c r="I82" s="34"/>
      <c r="J82" s="35"/>
      <c r="K82" s="36"/>
    </row>
    <row r="83" spans="1:11" x14ac:dyDescent="0.3">
      <c r="A83" s="38"/>
      <c r="B83" s="38"/>
      <c r="C83" s="29" t="s">
        <v>155</v>
      </c>
      <c r="D83" s="30"/>
      <c r="E83" s="31"/>
      <c r="F83" s="32"/>
      <c r="G83" s="33" t="s">
        <v>16</v>
      </c>
      <c r="H83" s="33" t="s">
        <v>16</v>
      </c>
      <c r="I83" s="34"/>
      <c r="J83" s="35"/>
      <c r="K83" s="36"/>
    </row>
    <row r="84" spans="1:11" x14ac:dyDescent="0.3">
      <c r="A84" s="38"/>
      <c r="B84" s="38"/>
      <c r="C84" s="29"/>
      <c r="D84" s="30"/>
      <c r="E84" s="31"/>
      <c r="F84" s="32"/>
      <c r="G84" s="33"/>
      <c r="H84" s="33"/>
      <c r="I84" s="34"/>
      <c r="J84" s="35"/>
      <c r="K84" s="36"/>
    </row>
    <row r="85" spans="1:11" x14ac:dyDescent="0.3">
      <c r="A85" s="38"/>
      <c r="B85" s="38"/>
      <c r="C85" s="29" t="s">
        <v>156</v>
      </c>
      <c r="D85" s="30"/>
      <c r="E85" s="31"/>
      <c r="F85" s="32"/>
      <c r="G85" s="33" t="s">
        <v>16</v>
      </c>
      <c r="H85" s="33" t="s">
        <v>16</v>
      </c>
      <c r="I85" s="34"/>
      <c r="J85" s="35"/>
      <c r="K85" s="36"/>
    </row>
    <row r="86" spans="1:11" x14ac:dyDescent="0.3">
      <c r="A86" s="38"/>
      <c r="B86" s="38"/>
      <c r="C86" s="29"/>
      <c r="D86" s="30"/>
      <c r="E86" s="31"/>
      <c r="F86" s="32"/>
      <c r="G86" s="33"/>
      <c r="H86" s="33"/>
      <c r="I86" s="34"/>
      <c r="J86" s="35"/>
      <c r="K86" s="36"/>
    </row>
    <row r="87" spans="1:11" x14ac:dyDescent="0.3">
      <c r="A87" s="38"/>
      <c r="B87" s="38"/>
      <c r="C87" s="29" t="s">
        <v>157</v>
      </c>
      <c r="D87" s="30"/>
      <c r="E87" s="31"/>
      <c r="F87" s="32"/>
      <c r="G87" s="33" t="s">
        <v>16</v>
      </c>
      <c r="H87" s="33" t="s">
        <v>16</v>
      </c>
      <c r="I87" s="34"/>
      <c r="J87" s="35"/>
      <c r="K87" s="36"/>
    </row>
    <row r="88" spans="1:11" x14ac:dyDescent="0.3">
      <c r="A88" s="38"/>
      <c r="B88" s="38"/>
      <c r="C88" s="29"/>
      <c r="D88" s="30"/>
      <c r="E88" s="31"/>
      <c r="F88" s="32"/>
      <c r="G88" s="33"/>
      <c r="H88" s="33"/>
      <c r="I88" s="34"/>
      <c r="J88" s="35"/>
      <c r="K88" s="36"/>
    </row>
    <row r="89" spans="1:11" x14ac:dyDescent="0.3">
      <c r="C89" s="39" t="s">
        <v>158</v>
      </c>
      <c r="D89" s="30"/>
      <c r="E89" s="31"/>
      <c r="F89" s="32"/>
      <c r="G89" s="33"/>
      <c r="H89" s="33"/>
      <c r="I89" s="34"/>
      <c r="J89" s="35"/>
      <c r="K89" s="36"/>
    </row>
    <row r="90" spans="1:11" x14ac:dyDescent="0.3">
      <c r="B90" s="1" t="s">
        <v>159</v>
      </c>
      <c r="C90" s="21" t="s">
        <v>160</v>
      </c>
      <c r="D90" s="30"/>
      <c r="E90" s="31"/>
      <c r="F90" s="32"/>
      <c r="G90" s="33">
        <v>49999.9</v>
      </c>
      <c r="H90" s="33">
        <v>8.58</v>
      </c>
      <c r="I90" s="34">
        <v>4.68</v>
      </c>
      <c r="J90" s="35"/>
      <c r="K90" s="36"/>
    </row>
    <row r="91" spans="1:11" x14ac:dyDescent="0.3">
      <c r="B91" s="1" t="s">
        <v>161</v>
      </c>
      <c r="C91" s="21" t="s">
        <v>162</v>
      </c>
      <c r="D91" s="30"/>
      <c r="E91" s="31"/>
      <c r="F91" s="32"/>
      <c r="G91" s="33">
        <v>21002.97</v>
      </c>
      <c r="H91" s="33">
        <v>3.6</v>
      </c>
      <c r="I91" s="34">
        <v>4.71</v>
      </c>
      <c r="J91" s="35"/>
      <c r="K91" s="36"/>
    </row>
    <row r="92" spans="1:11" x14ac:dyDescent="0.3">
      <c r="C92" s="29" t="s">
        <v>26</v>
      </c>
      <c r="D92" s="30"/>
      <c r="E92" s="31"/>
      <c r="F92" s="32"/>
      <c r="G92" s="40">
        <v>71002.87</v>
      </c>
      <c r="H92" s="40">
        <v>12.18</v>
      </c>
      <c r="I92" s="34"/>
      <c r="J92" s="35"/>
      <c r="K92" s="36"/>
    </row>
    <row r="93" spans="1:11" x14ac:dyDescent="0.3">
      <c r="C93" s="21"/>
      <c r="D93" s="30"/>
      <c r="E93" s="31"/>
      <c r="F93" s="32"/>
      <c r="G93" s="33"/>
      <c r="H93" s="33"/>
      <c r="I93" s="34"/>
      <c r="J93" s="35"/>
      <c r="K93" s="36"/>
    </row>
    <row r="94" spans="1:11" x14ac:dyDescent="0.3">
      <c r="A94" s="37"/>
      <c r="B94" s="38"/>
      <c r="C94" s="29" t="s">
        <v>163</v>
      </c>
      <c r="D94" s="30"/>
      <c r="E94" s="31"/>
      <c r="F94" s="32"/>
      <c r="G94" s="33"/>
      <c r="H94" s="33"/>
      <c r="I94" s="34"/>
      <c r="J94" s="35"/>
      <c r="K94" s="36"/>
    </row>
    <row r="95" spans="1:11" x14ac:dyDescent="0.3">
      <c r="B95" s="1"/>
      <c r="C95" s="21" t="s">
        <v>164</v>
      </c>
      <c r="D95" s="30"/>
      <c r="E95" s="31"/>
      <c r="F95" s="32"/>
      <c r="G95" s="33">
        <v>-18994.560000000001</v>
      </c>
      <c r="H95" s="33">
        <v>-3.23</v>
      </c>
      <c r="I95" s="34"/>
      <c r="J95" s="35"/>
      <c r="K95" s="36"/>
    </row>
    <row r="96" spans="1:11" x14ac:dyDescent="0.3">
      <c r="C96" s="29" t="s">
        <v>26</v>
      </c>
      <c r="D96" s="30"/>
      <c r="E96" s="31"/>
      <c r="F96" s="32"/>
      <c r="G96" s="40">
        <v>-18994.560000000001</v>
      </c>
      <c r="H96" s="40">
        <v>-3.23</v>
      </c>
      <c r="I96" s="34"/>
      <c r="J96" s="35"/>
      <c r="K96" s="36"/>
    </row>
    <row r="97" spans="2:54" x14ac:dyDescent="0.3">
      <c r="C97" s="21"/>
      <c r="D97" s="30"/>
      <c r="E97" s="31"/>
      <c r="F97" s="32"/>
      <c r="G97" s="33"/>
      <c r="H97" s="33"/>
      <c r="I97" s="34"/>
      <c r="J97" s="35"/>
      <c r="K97" s="36"/>
    </row>
    <row r="98" spans="2:54" ht="14.4" thickBot="1" x14ac:dyDescent="0.35">
      <c r="C98" s="41" t="s">
        <v>165</v>
      </c>
      <c r="D98" s="42"/>
      <c r="E98" s="43"/>
      <c r="F98" s="44"/>
      <c r="G98" s="45">
        <v>583042.77</v>
      </c>
      <c r="H98" s="45">
        <f>SUMIFS(H:H,C:C,"Total")</f>
        <v>99.999999999999986</v>
      </c>
      <c r="I98" s="46"/>
      <c r="J98" s="47"/>
      <c r="K98" s="48"/>
    </row>
    <row r="101" spans="2:54" x14ac:dyDescent="0.3">
      <c r="C101" s="11" t="s">
        <v>166</v>
      </c>
      <c r="E101" s="7"/>
      <c r="F101" s="8"/>
      <c r="I101" s="10"/>
      <c r="J101" s="2"/>
      <c r="K101" s="2"/>
      <c r="L101" s="2"/>
      <c r="T101" s="10"/>
      <c r="AG101" s="10"/>
      <c r="AM101" s="10"/>
      <c r="AV101" s="2"/>
      <c r="AX101" s="2"/>
      <c r="BB101" s="2"/>
    </row>
    <row r="102" spans="2:54" ht="13.5" customHeight="1" x14ac:dyDescent="0.3">
      <c r="C102" s="2" t="s">
        <v>167</v>
      </c>
      <c r="F102" s="2"/>
      <c r="G102" s="2"/>
      <c r="H102" s="2"/>
      <c r="I102" s="2"/>
      <c r="J102" s="2"/>
      <c r="L102" s="2"/>
      <c r="AB102" s="10"/>
      <c r="AI102" s="2"/>
      <c r="AO102" s="10"/>
      <c r="AQ102" s="10"/>
      <c r="AU102" s="10"/>
      <c r="AV102" s="2"/>
      <c r="AX102" s="2"/>
      <c r="BB102" s="2"/>
    </row>
    <row r="103" spans="2:54" ht="13.5" customHeight="1" x14ac:dyDescent="0.3">
      <c r="C103" s="49" t="s">
        <v>168</v>
      </c>
      <c r="D103" s="50"/>
      <c r="E103" s="50"/>
      <c r="F103" s="50"/>
      <c r="G103" s="50"/>
      <c r="H103" s="50"/>
      <c r="I103" s="50"/>
      <c r="J103" s="50"/>
      <c r="L103" s="2"/>
      <c r="AB103" s="10"/>
      <c r="AI103" s="2"/>
      <c r="AO103" s="10"/>
      <c r="AQ103" s="10"/>
      <c r="AU103" s="10"/>
      <c r="AV103" s="2"/>
      <c r="AX103" s="2"/>
      <c r="BB103" s="2"/>
    </row>
    <row r="104" spans="2:54" x14ac:dyDescent="0.3">
      <c r="C104" s="51" t="s">
        <v>169</v>
      </c>
      <c r="D104" s="51"/>
      <c r="E104" s="51"/>
      <c r="F104" s="52"/>
      <c r="G104" s="52"/>
      <c r="I104" s="10"/>
      <c r="J104" s="2"/>
      <c r="K104" s="2"/>
      <c r="L104" s="2"/>
      <c r="M104" s="10"/>
      <c r="Z104" s="10"/>
      <c r="AB104" s="10"/>
      <c r="AF104" s="10"/>
      <c r="AI104" s="2"/>
      <c r="AV104" s="2"/>
      <c r="AX104" s="2"/>
      <c r="BB104" s="2"/>
    </row>
    <row r="105" spans="2:54" x14ac:dyDescent="0.3">
      <c r="C105" s="51" t="s">
        <v>170</v>
      </c>
      <c r="D105" s="51"/>
      <c r="E105" s="51"/>
      <c r="F105" s="52"/>
      <c r="G105" s="52"/>
      <c r="I105" s="10"/>
      <c r="J105" s="2"/>
      <c r="K105" s="2"/>
      <c r="L105" s="2"/>
      <c r="M105" s="10"/>
      <c r="Z105" s="10"/>
      <c r="AB105" s="10"/>
      <c r="AF105" s="10"/>
      <c r="AI105" s="2"/>
      <c r="AV105" s="2"/>
      <c r="AX105" s="2"/>
      <c r="BB105" s="2"/>
    </row>
    <row r="106" spans="2:54" x14ac:dyDescent="0.3">
      <c r="C106" s="51" t="s">
        <v>171</v>
      </c>
      <c r="D106" s="51"/>
      <c r="E106" s="51"/>
      <c r="F106" s="52"/>
      <c r="G106" s="52"/>
      <c r="I106" s="10"/>
      <c r="J106" s="2"/>
      <c r="K106" s="2"/>
      <c r="L106" s="2"/>
      <c r="M106" s="10"/>
      <c r="Z106" s="10"/>
      <c r="AB106" s="10"/>
      <c r="AF106" s="10"/>
      <c r="AI106" s="2"/>
      <c r="AV106" s="2"/>
      <c r="AX106" s="2"/>
      <c r="BB106" s="2"/>
    </row>
    <row r="107" spans="2:54" x14ac:dyDescent="0.3">
      <c r="C107" s="51" t="s">
        <v>172</v>
      </c>
      <c r="D107" s="51"/>
      <c r="E107" s="51"/>
      <c r="F107" s="52"/>
      <c r="G107" s="52"/>
      <c r="I107" s="10"/>
      <c r="J107" s="2"/>
      <c r="K107" s="2"/>
      <c r="L107" s="2"/>
      <c r="M107" s="10"/>
      <c r="Z107" s="10"/>
      <c r="AB107" s="10"/>
      <c r="AF107" s="10"/>
      <c r="AI107" s="2"/>
      <c r="AV107" s="2"/>
      <c r="AX107" s="2"/>
      <c r="BB107" s="2"/>
    </row>
    <row r="108" spans="2:54" x14ac:dyDescent="0.3">
      <c r="C108" s="51" t="s">
        <v>173</v>
      </c>
      <c r="D108" s="51"/>
      <c r="E108" s="51"/>
      <c r="F108" s="52"/>
      <c r="G108" s="52"/>
      <c r="I108" s="10"/>
      <c r="J108" s="2"/>
      <c r="K108" s="2"/>
      <c r="L108" s="2"/>
      <c r="M108" s="10"/>
      <c r="Z108" s="10"/>
      <c r="AB108" s="10"/>
      <c r="AF108" s="10"/>
      <c r="AI108" s="2"/>
      <c r="AV108" s="2"/>
      <c r="AX108" s="2"/>
      <c r="BB108" s="2"/>
    </row>
    <row r="109" spans="2:54" x14ac:dyDescent="0.3">
      <c r="C109" s="51" t="s">
        <v>174</v>
      </c>
      <c r="D109" s="51"/>
      <c r="E109" s="51"/>
      <c r="F109" s="52"/>
      <c r="G109" s="52"/>
      <c r="I109" s="10"/>
      <c r="J109" s="2"/>
      <c r="K109" s="2"/>
      <c r="L109" s="2"/>
      <c r="M109" s="10"/>
      <c r="Z109" s="10"/>
      <c r="AB109" s="10"/>
      <c r="AF109" s="10"/>
      <c r="AI109" s="2"/>
      <c r="AV109" s="2"/>
      <c r="AX109" s="2"/>
      <c r="BB109" s="2"/>
    </row>
    <row r="110" spans="2:54" s="51" customFormat="1" x14ac:dyDescent="0.3">
      <c r="B110" s="53" t="s">
        <v>175</v>
      </c>
      <c r="C110" s="53" t="s">
        <v>175</v>
      </c>
      <c r="D110" s="53"/>
      <c r="E110" s="54" t="s">
        <v>176</v>
      </c>
      <c r="F110" s="54" t="s">
        <v>177</v>
      </c>
    </row>
    <row r="111" spans="2:54" x14ac:dyDescent="0.3">
      <c r="B111" s="2" t="s">
        <v>178</v>
      </c>
      <c r="C111" s="2" t="s">
        <v>179</v>
      </c>
      <c r="E111" s="2">
        <v>1001.1996</v>
      </c>
      <c r="F111" s="2">
        <v>1001.1996</v>
      </c>
      <c r="G111" s="2"/>
      <c r="H111" s="2"/>
      <c r="I111" s="2"/>
      <c r="J111" s="2"/>
      <c r="K111" s="2"/>
      <c r="L111" s="2"/>
      <c r="AI111" s="2"/>
      <c r="AV111" s="2"/>
      <c r="AX111" s="2"/>
      <c r="BB111" s="2"/>
    </row>
    <row r="112" spans="2:54" x14ac:dyDescent="0.3">
      <c r="B112" s="2" t="s">
        <v>180</v>
      </c>
      <c r="C112" s="2" t="s">
        <v>181</v>
      </c>
      <c r="E112" s="2">
        <v>2446.2691</v>
      </c>
      <c r="F112" s="2">
        <v>2455.8568</v>
      </c>
      <c r="G112" s="2"/>
      <c r="H112" s="2"/>
      <c r="I112" s="2"/>
      <c r="J112" s="2"/>
      <c r="K112" s="2"/>
      <c r="L112" s="2"/>
      <c r="AI112" s="2"/>
      <c r="AV112" s="2"/>
      <c r="AX112" s="2"/>
      <c r="BB112" s="2"/>
    </row>
    <row r="113" spans="2:54" x14ac:dyDescent="0.3">
      <c r="B113" s="2" t="s">
        <v>182</v>
      </c>
      <c r="C113" s="2" t="s">
        <v>183</v>
      </c>
      <c r="E113" s="2">
        <v>1000.0853</v>
      </c>
      <c r="F113" s="2">
        <v>1000.4139</v>
      </c>
      <c r="G113" s="2"/>
      <c r="H113" s="2"/>
      <c r="I113" s="2"/>
      <c r="J113" s="2"/>
      <c r="K113" s="2"/>
      <c r="L113" s="2"/>
      <c r="AI113" s="2"/>
      <c r="AV113" s="2"/>
      <c r="AX113" s="2"/>
      <c r="BB113" s="2"/>
    </row>
    <row r="114" spans="2:54" x14ac:dyDescent="0.3">
      <c r="B114" s="2" t="s">
        <v>184</v>
      </c>
      <c r="C114" s="2" t="s">
        <v>185</v>
      </c>
      <c r="E114" s="2">
        <v>1002.0848999999999</v>
      </c>
      <c r="F114" s="2">
        <v>1002.0848999999999</v>
      </c>
      <c r="G114" s="2"/>
      <c r="H114" s="2"/>
      <c r="I114" s="2"/>
      <c r="J114" s="2"/>
      <c r="K114" s="2"/>
      <c r="L114" s="2"/>
      <c r="AI114" s="2"/>
      <c r="AV114" s="2"/>
      <c r="AX114" s="2"/>
      <c r="BB114" s="2"/>
    </row>
    <row r="115" spans="2:54" x14ac:dyDescent="0.3">
      <c r="C115" s="2" t="s">
        <v>186</v>
      </c>
      <c r="E115" s="2">
        <v>2468.5535</v>
      </c>
      <c r="F115" s="2">
        <v>2478.3951999999999</v>
      </c>
      <c r="G115" s="2"/>
      <c r="H115" s="2"/>
      <c r="I115" s="2"/>
      <c r="J115" s="2"/>
      <c r="K115" s="2"/>
      <c r="L115" s="2"/>
      <c r="AI115" s="2"/>
      <c r="AV115" s="2"/>
      <c r="AX115" s="2"/>
      <c r="BB115" s="2"/>
    </row>
    <row r="116" spans="2:54" x14ac:dyDescent="0.3">
      <c r="C116" s="2" t="s">
        <v>187</v>
      </c>
      <c r="E116" s="2">
        <v>1218.4861000000001</v>
      </c>
      <c r="F116" s="2">
        <v>1218.8915</v>
      </c>
      <c r="G116" s="2"/>
      <c r="H116" s="2"/>
      <c r="I116" s="2"/>
      <c r="J116" s="2"/>
      <c r="K116" s="2"/>
      <c r="L116" s="2"/>
      <c r="AI116" s="2"/>
      <c r="AV116" s="2"/>
      <c r="AX116" s="2"/>
      <c r="BB116" s="2"/>
    </row>
    <row r="117" spans="2:54" x14ac:dyDescent="0.3">
      <c r="B117" s="2" t="s">
        <v>188</v>
      </c>
      <c r="C117" s="2" t="s">
        <v>189</v>
      </c>
      <c r="E117" s="2">
        <v>3600.4603000000002</v>
      </c>
      <c r="F117" s="2">
        <v>3614.6392000000001</v>
      </c>
      <c r="G117" s="2"/>
      <c r="H117" s="2"/>
      <c r="I117" s="2"/>
      <c r="J117" s="2"/>
      <c r="K117" s="2"/>
      <c r="L117" s="2"/>
      <c r="AI117" s="2"/>
      <c r="AV117" s="2"/>
      <c r="AX117" s="2"/>
      <c r="BB117" s="2"/>
    </row>
    <row r="118" spans="2:54" x14ac:dyDescent="0.3">
      <c r="C118" s="2" t="s">
        <v>190</v>
      </c>
      <c r="E118" s="2">
        <v>1006.0602</v>
      </c>
      <c r="F118" s="2">
        <v>1006.0602</v>
      </c>
      <c r="G118" s="2"/>
      <c r="H118" s="2"/>
      <c r="I118" s="2"/>
      <c r="J118" s="2"/>
      <c r="K118" s="2"/>
      <c r="L118" s="2"/>
      <c r="AI118" s="2"/>
      <c r="AV118" s="2"/>
      <c r="AX118" s="2"/>
      <c r="BB118" s="2"/>
    </row>
    <row r="119" spans="2:54" x14ac:dyDescent="0.3">
      <c r="B119" s="2" t="s">
        <v>191</v>
      </c>
      <c r="C119" s="2" t="s">
        <v>192</v>
      </c>
      <c r="E119" s="2">
        <v>2970.7561000000001</v>
      </c>
      <c r="F119" s="2">
        <v>2982.4529000000002</v>
      </c>
      <c r="G119" s="2"/>
      <c r="H119" s="2"/>
      <c r="I119" s="2"/>
      <c r="J119" s="2"/>
      <c r="K119" s="2"/>
      <c r="L119" s="2"/>
      <c r="AI119" s="2"/>
      <c r="AV119" s="2"/>
      <c r="AX119" s="2"/>
      <c r="BB119" s="2"/>
    </row>
    <row r="120" spans="2:54" x14ac:dyDescent="0.3">
      <c r="E120" s="55"/>
      <c r="F120" s="55"/>
      <c r="G120" s="2"/>
      <c r="H120" s="2"/>
      <c r="I120" s="2"/>
      <c r="J120" s="2"/>
      <c r="K120" s="2"/>
      <c r="L120" s="2"/>
      <c r="AI120" s="2"/>
      <c r="AV120" s="2"/>
      <c r="AX120" s="2"/>
      <c r="BB120" s="2"/>
    </row>
    <row r="121" spans="2:54" x14ac:dyDescent="0.3">
      <c r="C121" s="2" t="s">
        <v>193</v>
      </c>
      <c r="E121" s="56" t="s">
        <v>194</v>
      </c>
      <c r="F121" s="56" t="s">
        <v>195</v>
      </c>
      <c r="G121" s="57"/>
      <c r="H121" s="58"/>
      <c r="I121" s="10"/>
      <c r="J121" s="2"/>
      <c r="K121" s="2"/>
      <c r="L121" s="2"/>
      <c r="N121" s="10"/>
      <c r="AA121" s="10"/>
      <c r="AC121" s="10"/>
      <c r="AG121" s="10"/>
      <c r="AI121" s="2"/>
      <c r="AV121" s="2"/>
      <c r="AX121" s="2"/>
      <c r="BB121" s="2"/>
    </row>
    <row r="122" spans="2:54" x14ac:dyDescent="0.3">
      <c r="C122" s="2" t="s">
        <v>179</v>
      </c>
      <c r="E122" s="59">
        <v>3.9168866500000004</v>
      </c>
      <c r="F122" s="59">
        <v>3.9168866500000004</v>
      </c>
      <c r="G122" s="57"/>
      <c r="H122" s="58"/>
      <c r="I122" s="10"/>
      <c r="J122" s="2"/>
      <c r="K122" s="2"/>
      <c r="L122" s="2"/>
      <c r="N122" s="10"/>
      <c r="AA122" s="10"/>
      <c r="AC122" s="10"/>
      <c r="AG122" s="10"/>
      <c r="AI122" s="2"/>
      <c r="AV122" s="2"/>
      <c r="AX122" s="2"/>
      <c r="BB122" s="2"/>
    </row>
    <row r="123" spans="2:54" x14ac:dyDescent="0.3">
      <c r="C123" s="2" t="s">
        <v>183</v>
      </c>
      <c r="E123" s="59">
        <v>3.5853681999999996</v>
      </c>
      <c r="F123" s="59">
        <v>3.5853681999999996</v>
      </c>
      <c r="G123" s="57"/>
      <c r="H123" s="58"/>
      <c r="I123" s="10"/>
      <c r="J123" s="2"/>
      <c r="K123" s="2"/>
      <c r="L123" s="2"/>
      <c r="N123" s="10"/>
      <c r="AA123" s="10"/>
      <c r="AC123" s="10"/>
      <c r="AG123" s="10"/>
      <c r="AI123" s="2"/>
      <c r="AV123" s="2"/>
      <c r="AX123" s="2"/>
      <c r="BB123" s="2"/>
    </row>
    <row r="124" spans="2:54" x14ac:dyDescent="0.3">
      <c r="C124" s="2" t="s">
        <v>185</v>
      </c>
      <c r="E124" s="59">
        <v>3.9874898600000002</v>
      </c>
      <c r="F124" s="59">
        <v>3.9874898600000002</v>
      </c>
      <c r="G124" s="57"/>
      <c r="H124" s="58"/>
      <c r="I124" s="10"/>
      <c r="J124" s="2"/>
      <c r="K124" s="2"/>
      <c r="L124" s="2"/>
      <c r="N124" s="10"/>
      <c r="AA124" s="10"/>
      <c r="AC124" s="10"/>
      <c r="AG124" s="10"/>
      <c r="AI124" s="2"/>
      <c r="AV124" s="2"/>
      <c r="AX124" s="2"/>
      <c r="BB124" s="2"/>
    </row>
    <row r="125" spans="2:54" x14ac:dyDescent="0.3">
      <c r="C125" s="2" t="s">
        <v>187</v>
      </c>
      <c r="E125" s="59">
        <v>4.4449442599999998</v>
      </c>
      <c r="F125" s="59">
        <v>4.4449442599999998</v>
      </c>
      <c r="G125" s="57"/>
      <c r="H125" s="58"/>
      <c r="I125" s="10"/>
      <c r="J125" s="2"/>
      <c r="K125" s="2"/>
      <c r="L125" s="2"/>
      <c r="N125" s="10"/>
      <c r="AA125" s="10"/>
      <c r="AC125" s="10"/>
      <c r="AG125" s="10"/>
      <c r="AI125" s="2"/>
      <c r="AV125" s="2"/>
      <c r="AX125" s="2"/>
      <c r="BB125" s="2"/>
    </row>
    <row r="126" spans="2:54" x14ac:dyDescent="0.3">
      <c r="C126" s="2" t="s">
        <v>190</v>
      </c>
      <c r="E126" s="59">
        <v>3.8129647499999999</v>
      </c>
      <c r="F126" s="59">
        <v>3.8129647499999999</v>
      </c>
      <c r="G126" s="57"/>
      <c r="H126" s="58"/>
      <c r="I126" s="10"/>
      <c r="J126" s="2"/>
      <c r="K126" s="2"/>
      <c r="L126" s="2"/>
      <c r="N126" s="10"/>
      <c r="AA126" s="10"/>
      <c r="AC126" s="10"/>
      <c r="AG126" s="10"/>
      <c r="AI126" s="2"/>
      <c r="AV126" s="2"/>
      <c r="AX126" s="2"/>
      <c r="BB126" s="2"/>
    </row>
    <row r="127" spans="2:54" x14ac:dyDescent="0.3">
      <c r="C127" s="60"/>
      <c r="E127" s="57"/>
      <c r="F127" s="2"/>
      <c r="G127" s="57"/>
      <c r="H127" s="58"/>
      <c r="I127" s="10"/>
      <c r="J127" s="2"/>
      <c r="K127" s="2"/>
      <c r="L127" s="2"/>
      <c r="N127" s="10"/>
      <c r="AA127" s="10"/>
      <c r="AC127" s="10"/>
      <c r="AG127" s="10"/>
      <c r="AI127" s="2"/>
      <c r="AV127" s="2"/>
      <c r="AX127" s="2"/>
      <c r="BB127" s="2"/>
    </row>
    <row r="128" spans="2:54" x14ac:dyDescent="0.3">
      <c r="C128" s="2" t="s">
        <v>196</v>
      </c>
      <c r="J128" s="10"/>
      <c r="L128" s="2"/>
      <c r="AC128" s="10"/>
      <c r="AI128" s="2"/>
      <c r="AP128" s="10"/>
      <c r="AR128" s="10"/>
      <c r="AX128" s="2"/>
      <c r="BB128" s="2"/>
    </row>
    <row r="129" spans="1:253" x14ac:dyDescent="0.3">
      <c r="C129" s="2" t="s">
        <v>197</v>
      </c>
      <c r="F129" s="57"/>
      <c r="G129" s="52"/>
      <c r="I129" s="10"/>
      <c r="J129" s="2"/>
      <c r="K129" s="2"/>
      <c r="L129" s="2"/>
      <c r="M129" s="10"/>
      <c r="Z129" s="10"/>
      <c r="AB129" s="10"/>
      <c r="AF129" s="10"/>
      <c r="AI129" s="2"/>
      <c r="AV129" s="2"/>
      <c r="AX129" s="2"/>
      <c r="BB129" s="2"/>
    </row>
    <row r="130" spans="1:253" x14ac:dyDescent="0.3">
      <c r="C130" s="2" t="s">
        <v>198</v>
      </c>
      <c r="F130" s="57"/>
      <c r="G130" s="57"/>
      <c r="H130" s="58"/>
      <c r="I130" s="10"/>
      <c r="J130" s="2"/>
      <c r="K130" s="2"/>
      <c r="L130" s="2"/>
      <c r="M130" s="10"/>
      <c r="Z130" s="10"/>
      <c r="AB130" s="10"/>
      <c r="AF130" s="10"/>
      <c r="AI130" s="2"/>
      <c r="AV130" s="2"/>
      <c r="AX130" s="2"/>
      <c r="BB130" s="2"/>
    </row>
    <row r="131" spans="1:253" x14ac:dyDescent="0.3">
      <c r="C131" s="2" t="s">
        <v>199</v>
      </c>
      <c r="F131" s="57"/>
      <c r="G131" s="57"/>
      <c r="H131" s="58"/>
      <c r="I131" s="10"/>
      <c r="J131" s="2"/>
      <c r="K131" s="2"/>
      <c r="L131" s="2"/>
      <c r="M131" s="10"/>
      <c r="Z131" s="10"/>
      <c r="AB131" s="10"/>
      <c r="AF131" s="10"/>
      <c r="AI131" s="2"/>
      <c r="AV131" s="2"/>
      <c r="AX131" s="2"/>
      <c r="BB131" s="2"/>
    </row>
    <row r="132" spans="1:253" x14ac:dyDescent="0.3">
      <c r="C132" s="2" t="s">
        <v>200</v>
      </c>
      <c r="F132" s="57"/>
      <c r="G132" s="52"/>
      <c r="I132" s="10"/>
      <c r="J132" s="2"/>
      <c r="K132" s="2"/>
      <c r="L132" s="2"/>
      <c r="M132" s="10"/>
      <c r="Z132" s="10"/>
      <c r="AB132" s="10"/>
      <c r="AF132" s="10"/>
      <c r="AI132" s="2"/>
      <c r="AV132" s="2"/>
      <c r="AX132" s="2"/>
      <c r="BB132" s="2"/>
    </row>
    <row r="133" spans="1:253" x14ac:dyDescent="0.3">
      <c r="C133" s="2" t="s">
        <v>201</v>
      </c>
      <c r="F133" s="57"/>
      <c r="G133" s="52"/>
      <c r="I133" s="10"/>
      <c r="J133" s="2"/>
      <c r="K133" s="2"/>
      <c r="L133" s="2"/>
      <c r="M133" s="10"/>
      <c r="Z133" s="10"/>
      <c r="AB133" s="10"/>
      <c r="AF133" s="10"/>
      <c r="AI133" s="2"/>
      <c r="AV133" s="2"/>
      <c r="AX133" s="2"/>
      <c r="BB133" s="2"/>
    </row>
    <row r="134" spans="1:253" ht="14.4" x14ac:dyDescent="0.3">
      <c r="A134"/>
      <c r="B134"/>
      <c r="C134" s="2" t="s">
        <v>202</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row>
    <row r="135" spans="1:253" ht="14.4" x14ac:dyDescent="0.3">
      <c r="A135"/>
      <c r="B135"/>
      <c r="C135" s="2" t="s">
        <v>203</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row>
    <row r="136" spans="1:253" ht="14.4" x14ac:dyDescent="0.3">
      <c r="A136"/>
      <c r="B136"/>
      <c r="C136" s="2" t="s">
        <v>204</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row>
    <row r="137" spans="1:253" ht="14.4" x14ac:dyDescent="0.3">
      <c r="A137"/>
      <c r="B137"/>
      <c r="C137" s="2" t="s">
        <v>205</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row>
    <row r="138" spans="1:253" ht="14.4" x14ac:dyDescent="0.3">
      <c r="A138"/>
      <c r="B138"/>
      <c r="C138" s="2" t="s">
        <v>206</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row>
    <row r="139" spans="1:253" ht="14.4" x14ac:dyDescent="0.3">
      <c r="A139"/>
      <c r="B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row>
    <row r="140" spans="1:253" x14ac:dyDescent="0.3">
      <c r="C140" s="2" t="s">
        <v>207</v>
      </c>
      <c r="F140" s="57"/>
      <c r="G140" s="52"/>
      <c r="I140" s="10"/>
      <c r="J140" s="2"/>
      <c r="K140" s="2"/>
      <c r="L140" s="2"/>
      <c r="M140" s="10"/>
      <c r="Z140" s="10"/>
      <c r="AB140" s="10"/>
      <c r="AF140" s="10"/>
      <c r="AI140" s="2"/>
      <c r="AV140" s="2"/>
      <c r="AX140" s="2"/>
      <c r="BB140" s="2"/>
    </row>
    <row r="141" spans="1:253" ht="52.5" customHeight="1" x14ac:dyDescent="0.3">
      <c r="A141"/>
      <c r="B141"/>
      <c r="C141" s="69" t="s">
        <v>208</v>
      </c>
      <c r="D141" s="69"/>
      <c r="E141" s="69"/>
      <c r="F141" s="69"/>
      <c r="G141" s="69"/>
      <c r="H141" s="69"/>
      <c r="I141" s="69"/>
      <c r="J141" s="69"/>
      <c r="K141" s="69"/>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row>
    <row r="142" spans="1:253" ht="24" customHeight="1" thickBot="1" x14ac:dyDescent="0.35">
      <c r="A142"/>
      <c r="B142"/>
      <c r="C142" s="61"/>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row>
    <row r="143" spans="1:253" ht="27.6" x14ac:dyDescent="0.3">
      <c r="A143"/>
      <c r="B143"/>
      <c r="C143" s="70" t="s">
        <v>209</v>
      </c>
      <c r="D143" s="70" t="s">
        <v>210</v>
      </c>
      <c r="E143" s="70" t="s">
        <v>211</v>
      </c>
      <c r="F143" s="62" t="s">
        <v>212</v>
      </c>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row>
    <row r="144" spans="1:253" ht="28.2" thickBot="1" x14ac:dyDescent="0.35">
      <c r="A144"/>
      <c r="B144"/>
      <c r="C144" s="71"/>
      <c r="D144" s="71"/>
      <c r="E144" s="71"/>
      <c r="F144" s="63" t="s">
        <v>213</v>
      </c>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row>
    <row r="145" spans="1:253" s="65" customFormat="1" ht="70.5" customHeight="1" thickBot="1" x14ac:dyDescent="0.35">
      <c r="A145"/>
      <c r="B145"/>
      <c r="C145" s="72">
        <v>1</v>
      </c>
      <c r="D145" s="74" t="s">
        <v>214</v>
      </c>
      <c r="E145" s="64" t="s">
        <v>215</v>
      </c>
      <c r="F145" s="64" t="s">
        <v>216</v>
      </c>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row>
    <row r="146" spans="1:253" s="65" customFormat="1" ht="53.25" customHeight="1" thickBot="1" x14ac:dyDescent="0.35">
      <c r="A146"/>
      <c r="B146"/>
      <c r="C146" s="73"/>
      <c r="D146" s="75"/>
      <c r="E146" s="64" t="s">
        <v>217</v>
      </c>
      <c r="F146" s="64" t="s">
        <v>218</v>
      </c>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row>
    <row r="147" spans="1:253" ht="15" x14ac:dyDescent="0.3">
      <c r="A147"/>
      <c r="B147"/>
      <c r="C147" s="61"/>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row>
    <row r="148" spans="1:253" ht="14.4" x14ac:dyDescent="0.3">
      <c r="A148"/>
      <c r="B148"/>
      <c r="C148" s="66" t="s">
        <v>219</v>
      </c>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row>
    <row r="149" spans="1:253" x14ac:dyDescent="0.3">
      <c r="F149" s="57"/>
      <c r="G149" s="52"/>
      <c r="I149" s="10"/>
      <c r="J149" s="2"/>
      <c r="K149" s="2"/>
      <c r="L149" s="2"/>
      <c r="M149" s="10"/>
      <c r="Z149" s="10"/>
      <c r="AB149" s="10"/>
      <c r="AF149" s="10"/>
      <c r="AI149" s="2"/>
      <c r="AV149" s="2"/>
      <c r="AX149" s="2"/>
      <c r="BB149" s="2"/>
    </row>
    <row r="150" spans="1:253" x14ac:dyDescent="0.3">
      <c r="L150" s="2"/>
      <c r="AE150" s="10"/>
      <c r="AI150" s="2"/>
      <c r="AR150" s="10"/>
      <c r="AT150" s="10"/>
      <c r="AV150" s="2"/>
      <c r="BB150" s="2"/>
    </row>
    <row r="151" spans="1:253" ht="117" customHeight="1" x14ac:dyDescent="0.3">
      <c r="A151" s="65"/>
      <c r="B151" s="65"/>
      <c r="C151" s="68" t="s">
        <v>220</v>
      </c>
      <c r="D151" s="68"/>
      <c r="E151" s="68"/>
      <c r="F151" s="68"/>
      <c r="G151" s="68"/>
      <c r="H151" s="68"/>
      <c r="I151" s="68"/>
      <c r="J151" s="68"/>
      <c r="K151" s="68"/>
      <c r="L151" s="65"/>
      <c r="M151" s="65"/>
      <c r="N151" s="65"/>
      <c r="O151" s="65"/>
      <c r="P151" s="65"/>
      <c r="Q151" s="65"/>
      <c r="R151" s="65"/>
      <c r="S151" s="65"/>
      <c r="T151" s="65"/>
      <c r="U151" s="65"/>
      <c r="V151" s="65"/>
      <c r="W151" s="65"/>
      <c r="X151" s="65"/>
      <c r="Y151" s="65"/>
      <c r="Z151" s="65"/>
      <c r="AA151" s="67"/>
      <c r="AB151" s="65"/>
      <c r="AC151" s="65"/>
      <c r="AD151" s="65"/>
      <c r="AE151" s="65"/>
      <c r="AF151" s="65"/>
      <c r="AG151" s="65"/>
      <c r="AH151" s="65"/>
      <c r="AI151" s="65"/>
      <c r="AJ151" s="65"/>
      <c r="AK151" s="65"/>
      <c r="AL151" s="65"/>
      <c r="AM151" s="65"/>
      <c r="AN151" s="67"/>
      <c r="AO151" s="65"/>
      <c r="AP151" s="67"/>
      <c r="AQ151" s="65"/>
      <c r="AR151" s="65"/>
      <c r="AS151" s="65"/>
      <c r="AT151" s="67"/>
      <c r="AU151" s="65"/>
      <c r="AV151" s="65"/>
      <c r="AW151" s="65"/>
      <c r="AX151" s="65"/>
      <c r="AY151" s="65"/>
      <c r="AZ151" s="65"/>
      <c r="BA151" s="65"/>
      <c r="BB151" s="65"/>
      <c r="BC151" s="65"/>
      <c r="BD151" s="65"/>
      <c r="BE151" s="65"/>
      <c r="BF151" s="65"/>
      <c r="BG151" s="65"/>
      <c r="BH151" s="65"/>
      <c r="BI151" s="65"/>
      <c r="BJ151" s="65"/>
      <c r="BK151" s="65"/>
      <c r="BL151" s="65"/>
      <c r="BM151" s="65"/>
      <c r="BN151" s="65"/>
      <c r="BO151" s="65"/>
      <c r="BP151" s="65"/>
      <c r="BQ151" s="65"/>
      <c r="BR151" s="65"/>
      <c r="BS151" s="65"/>
      <c r="BT151" s="65"/>
      <c r="BU151" s="65"/>
      <c r="BV151" s="65"/>
      <c r="BW151" s="65"/>
      <c r="BX151" s="65"/>
      <c r="BY151" s="65"/>
      <c r="BZ151" s="65"/>
      <c r="CA151" s="65"/>
      <c r="CB151" s="65"/>
      <c r="CC151" s="65"/>
      <c r="CD151" s="65"/>
      <c r="CE151" s="65"/>
      <c r="CF151" s="65"/>
      <c r="CG151" s="65"/>
      <c r="CH151" s="65"/>
      <c r="CI151" s="65"/>
      <c r="CJ151" s="65"/>
      <c r="CK151" s="65"/>
      <c r="CL151" s="65"/>
      <c r="CM151" s="65"/>
      <c r="CN151" s="65"/>
      <c r="CO151" s="65"/>
      <c r="CP151" s="65"/>
      <c r="CQ151" s="65"/>
      <c r="CR151" s="65"/>
      <c r="CS151" s="65"/>
      <c r="CT151" s="65"/>
      <c r="CU151" s="65"/>
      <c r="CV151" s="65"/>
      <c r="CW151" s="65"/>
      <c r="CX151" s="65"/>
      <c r="CY151" s="65"/>
      <c r="CZ151" s="65"/>
      <c r="DA151" s="65"/>
      <c r="DB151" s="65"/>
      <c r="DC151" s="65"/>
      <c r="DD151" s="65"/>
      <c r="DE151" s="65"/>
      <c r="DF151" s="65"/>
      <c r="DG151" s="65"/>
      <c r="DH151" s="65"/>
      <c r="DI151" s="65"/>
      <c r="DJ151" s="65"/>
      <c r="DK151" s="65"/>
      <c r="DL151" s="65"/>
      <c r="DM151" s="65"/>
      <c r="DN151" s="65"/>
      <c r="DO151" s="65"/>
      <c r="DP151" s="65"/>
      <c r="DQ151" s="65"/>
      <c r="DR151" s="65"/>
      <c r="DS151" s="65"/>
      <c r="DT151" s="65"/>
      <c r="DU151" s="65"/>
      <c r="DV151" s="65"/>
      <c r="DW151" s="65"/>
      <c r="DX151" s="65"/>
      <c r="DY151" s="65"/>
      <c r="DZ151" s="65"/>
      <c r="EA151" s="65"/>
      <c r="EB151" s="65"/>
      <c r="EC151" s="65"/>
      <c r="ED151" s="65"/>
      <c r="EE151" s="65"/>
      <c r="EF151" s="65"/>
      <c r="EG151" s="65"/>
      <c r="EH151" s="65"/>
      <c r="EI151" s="65"/>
      <c r="EJ151" s="65"/>
      <c r="EK151" s="65"/>
      <c r="EL151" s="65"/>
      <c r="EM151" s="65"/>
      <c r="EN151" s="65"/>
      <c r="EO151" s="65"/>
      <c r="EP151" s="65"/>
      <c r="EQ151" s="65"/>
      <c r="ER151" s="65"/>
      <c r="ES151" s="65"/>
      <c r="ET151" s="65"/>
      <c r="EU151" s="65"/>
      <c r="EV151" s="65"/>
      <c r="EW151" s="65"/>
      <c r="EX151" s="65"/>
      <c r="EY151" s="65"/>
      <c r="EZ151" s="65"/>
      <c r="FA151" s="65"/>
      <c r="FB151" s="65"/>
      <c r="FC151" s="65"/>
      <c r="FD151" s="65"/>
      <c r="FE151" s="65"/>
      <c r="FF151" s="65"/>
      <c r="FG151" s="65"/>
      <c r="FH151" s="65"/>
      <c r="FI151" s="65"/>
      <c r="FJ151" s="65"/>
      <c r="FK151" s="65"/>
      <c r="FL151" s="65"/>
      <c r="FM151" s="65"/>
      <c r="FN151" s="65"/>
      <c r="FO151" s="65"/>
      <c r="FP151" s="65"/>
      <c r="FQ151" s="65"/>
      <c r="FR151" s="65"/>
      <c r="FS151" s="65"/>
      <c r="FT151" s="65"/>
      <c r="FU151" s="65"/>
      <c r="FV151" s="65"/>
      <c r="FW151" s="65"/>
      <c r="FX151" s="65"/>
      <c r="FY151" s="65"/>
      <c r="FZ151" s="65"/>
      <c r="GA151" s="65"/>
      <c r="GB151" s="65"/>
      <c r="GC151" s="65"/>
      <c r="GD151" s="65"/>
      <c r="GE151" s="65"/>
      <c r="GF151" s="65"/>
      <c r="GG151" s="65"/>
      <c r="GH151" s="65"/>
      <c r="GI151" s="65"/>
      <c r="GJ151" s="65"/>
      <c r="GK151" s="65"/>
      <c r="GL151" s="65"/>
      <c r="GM151" s="65"/>
      <c r="GN151" s="65"/>
      <c r="GO151" s="65"/>
      <c r="GP151" s="65"/>
      <c r="GQ151" s="65"/>
      <c r="GR151" s="65"/>
      <c r="GS151" s="65"/>
      <c r="GT151" s="65"/>
      <c r="GU151" s="65"/>
      <c r="GV151" s="65"/>
      <c r="GW151" s="65"/>
      <c r="GX151" s="65"/>
      <c r="GY151" s="65"/>
      <c r="GZ151" s="65"/>
      <c r="HA151" s="65"/>
      <c r="HB151" s="65"/>
      <c r="HC151" s="65"/>
      <c r="HD151" s="65"/>
      <c r="HE151" s="65"/>
      <c r="HF151" s="65"/>
      <c r="HG151" s="65"/>
      <c r="HH151" s="65"/>
      <c r="HI151" s="65"/>
      <c r="HJ151" s="65"/>
      <c r="HK151" s="65"/>
      <c r="HL151" s="65"/>
      <c r="HM151" s="65"/>
      <c r="HN151" s="65"/>
      <c r="HO151" s="65"/>
      <c r="HP151" s="65"/>
      <c r="HQ151" s="65"/>
      <c r="HR151" s="65"/>
      <c r="HS151" s="65"/>
      <c r="HT151" s="65"/>
      <c r="HU151" s="65"/>
      <c r="HV151" s="65"/>
      <c r="HW151" s="65"/>
      <c r="HX151" s="65"/>
      <c r="HY151" s="65"/>
      <c r="HZ151" s="65"/>
      <c r="IA151" s="65"/>
      <c r="IB151" s="65"/>
      <c r="IC151" s="65"/>
      <c r="ID151" s="65"/>
      <c r="IE151" s="65"/>
      <c r="IF151" s="65"/>
      <c r="IG151" s="65"/>
      <c r="IH151" s="65"/>
      <c r="II151" s="65"/>
      <c r="IJ151" s="65"/>
      <c r="IK151" s="65"/>
      <c r="IL151" s="65"/>
      <c r="IM151" s="65"/>
      <c r="IN151" s="65"/>
      <c r="IO151" s="65"/>
      <c r="IP151" s="65"/>
      <c r="IQ151" s="65"/>
      <c r="IR151" s="65"/>
      <c r="IS151" s="65"/>
    </row>
    <row r="152" spans="1:253" ht="51" customHeight="1" x14ac:dyDescent="0.3">
      <c r="A152" s="65"/>
      <c r="B152" s="65"/>
      <c r="C152" s="68" t="s">
        <v>221</v>
      </c>
      <c r="D152" s="68"/>
      <c r="E152" s="68"/>
      <c r="F152" s="68"/>
      <c r="G152" s="68"/>
      <c r="H152" s="68"/>
      <c r="I152" s="68"/>
      <c r="J152" s="68"/>
      <c r="K152" s="68"/>
      <c r="L152" s="65"/>
      <c r="M152" s="65"/>
      <c r="N152" s="65"/>
      <c r="O152" s="65"/>
      <c r="P152" s="65"/>
      <c r="Q152" s="65"/>
      <c r="R152" s="65"/>
      <c r="S152" s="65"/>
      <c r="T152" s="65"/>
      <c r="U152" s="65"/>
      <c r="V152" s="65"/>
      <c r="W152" s="65"/>
      <c r="X152" s="65"/>
      <c r="Y152" s="65"/>
      <c r="Z152" s="65"/>
      <c r="AA152" s="67"/>
      <c r="AB152" s="65"/>
      <c r="AC152" s="65"/>
      <c r="AD152" s="65"/>
      <c r="AE152" s="65"/>
      <c r="AF152" s="65"/>
      <c r="AG152" s="65"/>
      <c r="AH152" s="65"/>
      <c r="AI152" s="65"/>
      <c r="AJ152" s="65"/>
      <c r="AK152" s="65"/>
      <c r="AL152" s="65"/>
      <c r="AM152" s="65"/>
      <c r="AN152" s="67"/>
      <c r="AO152" s="65"/>
      <c r="AP152" s="67"/>
      <c r="AQ152" s="65"/>
      <c r="AR152" s="65"/>
      <c r="AS152" s="65"/>
      <c r="AT152" s="67"/>
      <c r="AU152" s="65"/>
      <c r="AV152" s="65"/>
      <c r="AW152" s="65"/>
      <c r="AX152" s="65"/>
      <c r="AY152" s="65"/>
      <c r="AZ152" s="65"/>
      <c r="BA152" s="65"/>
      <c r="BB152" s="65"/>
      <c r="BC152" s="65"/>
      <c r="BD152" s="65"/>
      <c r="BE152" s="65"/>
      <c r="BF152" s="65"/>
      <c r="BG152" s="65"/>
      <c r="BH152" s="65"/>
      <c r="BI152" s="65"/>
      <c r="BJ152" s="65"/>
      <c r="BK152" s="65"/>
      <c r="BL152" s="65"/>
      <c r="BM152" s="65"/>
      <c r="BN152" s="65"/>
      <c r="BO152" s="65"/>
      <c r="BP152" s="65"/>
      <c r="BQ152" s="65"/>
      <c r="BR152" s="65"/>
      <c r="BS152" s="65"/>
      <c r="BT152" s="65"/>
      <c r="BU152" s="65"/>
      <c r="BV152" s="65"/>
      <c r="BW152" s="65"/>
      <c r="BX152" s="65"/>
      <c r="BY152" s="65"/>
      <c r="BZ152" s="65"/>
      <c r="CA152" s="65"/>
      <c r="CB152" s="65"/>
      <c r="CC152" s="65"/>
      <c r="CD152" s="65"/>
      <c r="CE152" s="65"/>
      <c r="CF152" s="65"/>
      <c r="CG152" s="65"/>
      <c r="CH152" s="65"/>
      <c r="CI152" s="65"/>
      <c r="CJ152" s="65"/>
      <c r="CK152" s="65"/>
      <c r="CL152" s="65"/>
      <c r="CM152" s="65"/>
      <c r="CN152" s="65"/>
      <c r="CO152" s="65"/>
      <c r="CP152" s="65"/>
      <c r="CQ152" s="65"/>
      <c r="CR152" s="65"/>
      <c r="CS152" s="65"/>
      <c r="CT152" s="65"/>
      <c r="CU152" s="65"/>
      <c r="CV152" s="65"/>
      <c r="CW152" s="65"/>
      <c r="CX152" s="65"/>
      <c r="CY152" s="65"/>
      <c r="CZ152" s="65"/>
      <c r="DA152" s="65"/>
      <c r="DB152" s="65"/>
      <c r="DC152" s="65"/>
      <c r="DD152" s="65"/>
      <c r="DE152" s="65"/>
      <c r="DF152" s="65"/>
      <c r="DG152" s="65"/>
      <c r="DH152" s="65"/>
      <c r="DI152" s="65"/>
      <c r="DJ152" s="65"/>
      <c r="DK152" s="65"/>
      <c r="DL152" s="65"/>
      <c r="DM152" s="65"/>
      <c r="DN152" s="65"/>
      <c r="DO152" s="65"/>
      <c r="DP152" s="65"/>
      <c r="DQ152" s="65"/>
      <c r="DR152" s="65"/>
      <c r="DS152" s="65"/>
      <c r="DT152" s="65"/>
      <c r="DU152" s="65"/>
      <c r="DV152" s="65"/>
      <c r="DW152" s="65"/>
      <c r="DX152" s="65"/>
      <c r="DY152" s="65"/>
      <c r="DZ152" s="65"/>
      <c r="EA152" s="65"/>
      <c r="EB152" s="65"/>
      <c r="EC152" s="65"/>
      <c r="ED152" s="65"/>
      <c r="EE152" s="65"/>
      <c r="EF152" s="65"/>
      <c r="EG152" s="65"/>
      <c r="EH152" s="65"/>
      <c r="EI152" s="65"/>
      <c r="EJ152" s="65"/>
      <c r="EK152" s="65"/>
      <c r="EL152" s="65"/>
      <c r="EM152" s="65"/>
      <c r="EN152" s="65"/>
      <c r="EO152" s="65"/>
      <c r="EP152" s="65"/>
      <c r="EQ152" s="65"/>
      <c r="ER152" s="65"/>
      <c r="ES152" s="65"/>
      <c r="ET152" s="65"/>
      <c r="EU152" s="65"/>
      <c r="EV152" s="65"/>
      <c r="EW152" s="65"/>
      <c r="EX152" s="65"/>
      <c r="EY152" s="65"/>
      <c r="EZ152" s="65"/>
      <c r="FA152" s="65"/>
      <c r="FB152" s="65"/>
      <c r="FC152" s="65"/>
      <c r="FD152" s="65"/>
      <c r="FE152" s="65"/>
      <c r="FF152" s="65"/>
      <c r="FG152" s="65"/>
      <c r="FH152" s="65"/>
      <c r="FI152" s="65"/>
      <c r="FJ152" s="65"/>
      <c r="FK152" s="65"/>
      <c r="FL152" s="65"/>
      <c r="FM152" s="65"/>
      <c r="FN152" s="65"/>
      <c r="FO152" s="65"/>
      <c r="FP152" s="65"/>
      <c r="FQ152" s="65"/>
      <c r="FR152" s="65"/>
      <c r="FS152" s="65"/>
      <c r="FT152" s="65"/>
      <c r="FU152" s="65"/>
      <c r="FV152" s="65"/>
      <c r="FW152" s="65"/>
      <c r="FX152" s="65"/>
      <c r="FY152" s="65"/>
      <c r="FZ152" s="65"/>
      <c r="GA152" s="65"/>
      <c r="GB152" s="65"/>
      <c r="GC152" s="65"/>
      <c r="GD152" s="65"/>
      <c r="GE152" s="65"/>
      <c r="GF152" s="65"/>
      <c r="GG152" s="65"/>
      <c r="GH152" s="65"/>
      <c r="GI152" s="65"/>
      <c r="GJ152" s="65"/>
      <c r="GK152" s="65"/>
      <c r="GL152" s="65"/>
      <c r="GM152" s="65"/>
      <c r="GN152" s="65"/>
      <c r="GO152" s="65"/>
      <c r="GP152" s="65"/>
      <c r="GQ152" s="65"/>
      <c r="GR152" s="65"/>
      <c r="GS152" s="65"/>
      <c r="GT152" s="65"/>
      <c r="GU152" s="65"/>
      <c r="GV152" s="65"/>
      <c r="GW152" s="65"/>
      <c r="GX152" s="65"/>
      <c r="GY152" s="65"/>
      <c r="GZ152" s="65"/>
      <c r="HA152" s="65"/>
      <c r="HB152" s="65"/>
      <c r="HC152" s="65"/>
      <c r="HD152" s="65"/>
      <c r="HE152" s="65"/>
      <c r="HF152" s="65"/>
      <c r="HG152" s="65"/>
      <c r="HH152" s="65"/>
      <c r="HI152" s="65"/>
      <c r="HJ152" s="65"/>
      <c r="HK152" s="65"/>
      <c r="HL152" s="65"/>
      <c r="HM152" s="65"/>
      <c r="HN152" s="65"/>
      <c r="HO152" s="65"/>
      <c r="HP152" s="65"/>
      <c r="HQ152" s="65"/>
      <c r="HR152" s="65"/>
      <c r="HS152" s="65"/>
      <c r="HT152" s="65"/>
      <c r="HU152" s="65"/>
      <c r="HV152" s="65"/>
      <c r="HW152" s="65"/>
      <c r="HX152" s="65"/>
      <c r="HY152" s="65"/>
      <c r="HZ152" s="65"/>
      <c r="IA152" s="65"/>
      <c r="IB152" s="65"/>
      <c r="IC152" s="65"/>
      <c r="ID152" s="65"/>
      <c r="IE152" s="65"/>
      <c r="IF152" s="65"/>
      <c r="IG152" s="65"/>
      <c r="IH152" s="65"/>
      <c r="II152" s="65"/>
      <c r="IJ152" s="65"/>
      <c r="IK152" s="65"/>
      <c r="IL152" s="65"/>
      <c r="IM152" s="65"/>
      <c r="IN152" s="65"/>
      <c r="IO152" s="65"/>
      <c r="IP152" s="65"/>
      <c r="IQ152" s="65"/>
      <c r="IR152" s="65"/>
      <c r="IS152" s="65"/>
    </row>
    <row r="153" spans="1:253" x14ac:dyDescent="0.3">
      <c r="L153" s="2"/>
      <c r="AE153" s="10"/>
      <c r="AI153" s="2"/>
      <c r="AR153" s="10"/>
      <c r="AT153" s="10"/>
      <c r="AV153" s="2"/>
      <c r="BB153" s="2"/>
    </row>
    <row r="168" spans="3:6" ht="14.4" thickBot="1" x14ac:dyDescent="0.35"/>
    <row r="169" spans="3:6" ht="15" thickBot="1" x14ac:dyDescent="0.35">
      <c r="C169" s="76" t="s">
        <v>222</v>
      </c>
      <c r="D169" s="77"/>
      <c r="E169" s="77"/>
      <c r="F169" s="78"/>
    </row>
    <row r="170" spans="3:6" ht="15" thickBot="1" x14ac:dyDescent="0.35">
      <c r="C170" s="79" t="s">
        <v>223</v>
      </c>
      <c r="D170" s="80" t="s">
        <v>224</v>
      </c>
      <c r="E170" s="80" t="s">
        <v>225</v>
      </c>
      <c r="F170" s="80" t="s">
        <v>226</v>
      </c>
    </row>
    <row r="171" spans="3:6" ht="15" thickBot="1" x14ac:dyDescent="0.35">
      <c r="C171" s="79" t="s">
        <v>227</v>
      </c>
      <c r="D171" s="81"/>
      <c r="E171" s="81"/>
      <c r="F171" s="81"/>
    </row>
    <row r="172" spans="3:6" ht="15" thickBot="1" x14ac:dyDescent="0.35">
      <c r="C172" s="82" t="s">
        <v>228</v>
      </c>
      <c r="D172" s="83"/>
      <c r="E172" s="84" t="s">
        <v>229</v>
      </c>
      <c r="F172" s="83"/>
    </row>
    <row r="173" spans="3:6" ht="14.4" x14ac:dyDescent="0.3">
      <c r="C173" s="85" t="s">
        <v>230</v>
      </c>
      <c r="D173" s="86"/>
      <c r="E173" s="86"/>
      <c r="F173" s="86"/>
    </row>
    <row r="174" spans="3:6" ht="15" thickBot="1" x14ac:dyDescent="0.35">
      <c r="C174" s="82" t="s">
        <v>231</v>
      </c>
      <c r="D174" s="87"/>
      <c r="E174" s="87"/>
      <c r="F174" s="87"/>
    </row>
    <row r="175" spans="3:6" ht="14.4" x14ac:dyDescent="0.3">
      <c r="C175" s="85" t="s">
        <v>232</v>
      </c>
      <c r="D175" s="86"/>
      <c r="E175" s="86"/>
      <c r="F175" s="86"/>
    </row>
    <row r="176" spans="3:6" ht="15" thickBot="1" x14ac:dyDescent="0.35">
      <c r="C176" s="82" t="s">
        <v>233</v>
      </c>
      <c r="D176" s="87"/>
      <c r="E176" s="87"/>
      <c r="F176" s="87"/>
    </row>
    <row r="178" spans="3:3" ht="14.4" x14ac:dyDescent="0.3">
      <c r="C178" s="88" t="s">
        <v>234</v>
      </c>
    </row>
    <row r="179" spans="3:3" x14ac:dyDescent="0.3">
      <c r="C179" s="2" t="s">
        <v>235</v>
      </c>
    </row>
  </sheetData>
  <mergeCells count="18">
    <mergeCell ref="D175:D176"/>
    <mergeCell ref="E175:E176"/>
    <mergeCell ref="F175:F176"/>
    <mergeCell ref="C169:F169"/>
    <mergeCell ref="D170:D171"/>
    <mergeCell ref="E170:E171"/>
    <mergeCell ref="F170:F171"/>
    <mergeCell ref="D173:D174"/>
    <mergeCell ref="E173:E174"/>
    <mergeCell ref="F173:F174"/>
    <mergeCell ref="C151:K151"/>
    <mergeCell ref="C152:K152"/>
    <mergeCell ref="C141:K141"/>
    <mergeCell ref="C143:C144"/>
    <mergeCell ref="D143:D144"/>
    <mergeCell ref="E143:E144"/>
    <mergeCell ref="C145:C146"/>
    <mergeCell ref="D145:D146"/>
  </mergeCells>
  <hyperlinks>
    <hyperlink ref="C15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933C480F-6F81-499B-B647-A8301B4B2166}"/>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LQ</vt:lpstr>
      <vt:lpstr>XDO_?CLASS_3?15?</vt:lpstr>
      <vt:lpstr>XDO_?FINAL_ISIN?62?</vt:lpstr>
      <vt:lpstr>XDO_?FINAL_ISIN?63?</vt:lpstr>
      <vt:lpstr>XDO_?FINAL_ISIN?64?</vt:lpstr>
      <vt:lpstr>XDO_?FINAL_ISIN?65?</vt:lpstr>
      <vt:lpstr>XDO_?FINAL_ISIN?66?</vt:lpstr>
      <vt:lpstr>XDO_?FINAL_ISIN?67?</vt:lpstr>
      <vt:lpstr>XDO_?FINAL_MV?62?</vt:lpstr>
      <vt:lpstr>XDO_?FINAL_MV?63?</vt:lpstr>
      <vt:lpstr>XDO_?FINAL_MV?64?</vt:lpstr>
      <vt:lpstr>XDO_?FINAL_MV?65?</vt:lpstr>
      <vt:lpstr>XDO_?FINAL_MV?66?</vt:lpstr>
      <vt:lpstr>XDO_?FINAL_MV?67?</vt:lpstr>
      <vt:lpstr>XDO_?FINAL_NAME?62?</vt:lpstr>
      <vt:lpstr>XDO_?FINAL_NAME?63?</vt:lpstr>
      <vt:lpstr>XDO_?FINAL_NAME?64?</vt:lpstr>
      <vt:lpstr>XDO_?FINAL_NAME?65?</vt:lpstr>
      <vt:lpstr>XDO_?FINAL_NAME?66?</vt:lpstr>
      <vt:lpstr>XDO_?FINAL_NAME?67?</vt:lpstr>
      <vt:lpstr>XDO_?FINAL_PER_NET?62?</vt:lpstr>
      <vt:lpstr>XDO_?FINAL_PER_NET?63?</vt:lpstr>
      <vt:lpstr>XDO_?FINAL_PER_NET?64?</vt:lpstr>
      <vt:lpstr>XDO_?FINAL_PER_NET?65?</vt:lpstr>
      <vt:lpstr>XDO_?FINAL_PER_NET?66?</vt:lpstr>
      <vt:lpstr>XDO_?FINAL_PER_NET?67?</vt:lpstr>
      <vt:lpstr>XDO_?FINAL_QUANTITE?62?</vt:lpstr>
      <vt:lpstr>XDO_?FINAL_QUANTITE?63?</vt:lpstr>
      <vt:lpstr>XDO_?FINAL_QUANTITE?64?</vt:lpstr>
      <vt:lpstr>XDO_?FINAL_QUANTITE?65?</vt:lpstr>
      <vt:lpstr>XDO_?FINAL_QUANTITE?66?</vt:lpstr>
      <vt:lpstr>XDO_?FINAL_QUANTITE?67?</vt:lpstr>
      <vt:lpstr>XDO_?NAMCNAME?15?</vt:lpstr>
      <vt:lpstr>XDO_?NOVAL?62?</vt:lpstr>
      <vt:lpstr>XDO_?NOVAL?63?</vt:lpstr>
      <vt:lpstr>XDO_?NOVAL?64?</vt:lpstr>
      <vt:lpstr>XDO_?NOVAL?65?</vt:lpstr>
      <vt:lpstr>XDO_?NOVAL?66?</vt:lpstr>
      <vt:lpstr>XDO_?NOVAL?67?</vt:lpstr>
      <vt:lpstr>XDO_?NPTF?15?</vt:lpstr>
      <vt:lpstr>XDO_?RATING?62?</vt:lpstr>
      <vt:lpstr>XDO_?RATING?63?</vt:lpstr>
      <vt:lpstr>XDO_?RATING?64?</vt:lpstr>
      <vt:lpstr>XDO_?RATING?65?</vt:lpstr>
      <vt:lpstr>XDO_?RATING?66?</vt:lpstr>
      <vt:lpstr>XDO_?RATING?67?</vt:lpstr>
      <vt:lpstr>XDO_?REMARKS?62?</vt:lpstr>
      <vt:lpstr>XDO_?REMARKS?63?</vt:lpstr>
      <vt:lpstr>XDO_?REMARKS?64?</vt:lpstr>
      <vt:lpstr>XDO_?REMARKS?65?</vt:lpstr>
      <vt:lpstr>XDO_?REMARKS?66?</vt:lpstr>
      <vt:lpstr>XDO_?REMARKS?67?</vt:lpstr>
      <vt:lpstr>XDO_?TITL?15?</vt:lpstr>
      <vt:lpstr>XDO_?YTM?62?</vt:lpstr>
      <vt:lpstr>XDO_?YTM?63?</vt:lpstr>
      <vt:lpstr>XDO_?YTM?64?</vt:lpstr>
      <vt:lpstr>XDO_?YTM?65?</vt:lpstr>
      <vt:lpstr>XDO_?YTM?66?</vt:lpstr>
      <vt:lpstr>XDO_?YTM?67?</vt:lpstr>
      <vt:lpstr>XDO_GROUP_?G_2?15?</vt:lpstr>
      <vt:lpstr>XDO_GROUP_?G_3?15?</vt:lpstr>
      <vt:lpstr>XDO_GROUP_?G_4?62?</vt:lpstr>
      <vt:lpstr>XDO_GROUP_?G_4?63?</vt:lpstr>
      <vt:lpstr>XDO_GROUP_?G_4?64?</vt:lpstr>
      <vt:lpstr>XDO_GROUP_?G_4?65?</vt:lpstr>
      <vt:lpstr>XDO_GROUP_?G_4?66?</vt:lpstr>
      <vt:lpstr>XDO_GROUP_?G_4?67?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2022-07-04T12:15:44Z</dcterms:created>
  <dcterms:modified xsi:type="dcterms:W3CDTF">2022-07-08T11:51:13Z</dcterms:modified>
</cp:coreProperties>
</file>