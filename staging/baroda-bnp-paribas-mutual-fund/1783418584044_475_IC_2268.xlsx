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3?">'Monthly Portfolio'!$C$8:$C$46</definedName>
    <definedName name="XDO_?FINAL_ISIN?57?">'Monthly Portfolio'!$D$10:$D$46</definedName>
    <definedName name="XDO_?FINAL_ISIN?58?">'Monthly Portfolio'!$D$10:$D$71</definedName>
    <definedName name="XDO_?FINAL_ISIN?59?">'Monthly Portfolio'!$D$10:$D$86</definedName>
    <definedName name="XDO_?FINAL_ISIN?60?">'Monthly Portfolio'!$D$10:$D$90</definedName>
    <definedName name="XDO_?FINAL_MV?57?">'Monthly Portfolio'!$G$10:$G$46</definedName>
    <definedName name="XDO_?FINAL_MV?58?">'Monthly Portfolio'!$G$10:$G$71</definedName>
    <definedName name="XDO_?FINAL_MV?59?">'Monthly Portfolio'!$G$10:$G$86</definedName>
    <definedName name="XDO_?FINAL_MV?60?">'Monthly Portfolio'!$G$10:$G$90</definedName>
    <definedName name="XDO_?FINAL_NAME?57?">'Monthly Portfolio'!$C$10:$C$46</definedName>
    <definedName name="XDO_?FINAL_NAME?58?">'Monthly Portfolio'!$C$10:$C$71</definedName>
    <definedName name="XDO_?FINAL_NAME?59?">'Monthly Portfolio'!$C$10:$C$86</definedName>
    <definedName name="XDO_?FINAL_NAME?60?">'Monthly Portfolio'!$C$10:$C$90</definedName>
    <definedName name="XDO_?FINAL_PER_NET?57?">'Monthly Portfolio'!$H$10:$H$46</definedName>
    <definedName name="XDO_?FINAL_PER_NET?58?">'Monthly Portfolio'!$H$10:$H$71</definedName>
    <definedName name="XDO_?FINAL_PER_NET?59?">'Monthly Portfolio'!$H$10:$H$86</definedName>
    <definedName name="XDO_?FINAL_PER_NET?60?">'Monthly Portfolio'!$H$10:$H$90</definedName>
    <definedName name="XDO_?FINAL_QUANTITE?57?">'Monthly Portfolio'!$F$10:$F$46</definedName>
    <definedName name="XDO_?FINAL_QUANTITE?58?">'Monthly Portfolio'!$F$10:$F$71</definedName>
    <definedName name="XDO_?FINAL_QUANTITE?59?">'Monthly Portfolio'!$F$10:$F$86</definedName>
    <definedName name="XDO_?FINAL_QUANTITE?60?">'Monthly Portfolio'!$F$10:$F$90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'Monthly Portfolio'!#REF!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13?">'Monthly Portfolio'!$C$2:$C$46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'Monthly Portfolio'!#REF!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'Monthly Portfolio'!#REF!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57?">'Monthly Portfolio'!$B$10:$B$46</definedName>
    <definedName name="XDO_?NOVAL?58?">'Monthly Portfolio'!$B$10:$B$71</definedName>
    <definedName name="XDO_?NOVAL?59?">'Monthly Portfolio'!$B$10:$B$86</definedName>
    <definedName name="XDO_?NOVAL?60?">'Monthly Portfolio'!$B$10:$B$90</definedName>
    <definedName name="XDO_?NPTF?13?">'Monthly Portfolio'!$D$2:$D$46</definedName>
    <definedName name="XDO_?RATING?57?">'Monthly Portfolio'!$E$10:$E$46</definedName>
    <definedName name="XDO_?RATING?58?">'Monthly Portfolio'!$E$10:$E$71</definedName>
    <definedName name="XDO_?RATING?59?">'Monthly Portfolio'!$E$10:$E$86</definedName>
    <definedName name="XDO_?RATING?60?">'Monthly Portfolio'!$E$10:$E$90</definedName>
    <definedName name="XDO_?REMARKS?57?">'Monthly Portfolio'!$K$10:$K$46</definedName>
    <definedName name="XDO_?REMARKS?58?">'Monthly Portfolio'!$K$10:$K$71</definedName>
    <definedName name="XDO_?REMARKS?59?">'Monthly Portfolio'!$K$10:$K$86</definedName>
    <definedName name="XDO_?REMARKS?60?">'Monthly Portfolio'!$K$10:$K$90</definedName>
    <definedName name="XDO_?TITL?13?">'Monthly Portfolio'!$A$8:$A$46</definedName>
    <definedName name="XDO_?YTM?57?">'Monthly Portfolio'!$I$10:$I$46</definedName>
    <definedName name="XDO_?YTM?58?">'Monthly Portfolio'!$I$10:$I$71</definedName>
    <definedName name="XDO_?YTM?59?">'Monthly Portfolio'!$I$10:$I$86</definedName>
    <definedName name="XDO_?YTM?60?">'Monthly Portfolio'!$I$10:$I$90</definedName>
    <definedName name="XDO_GROUP_?G_2?13?">'Monthly Portfolio'!$2:$62</definedName>
    <definedName name="XDO_GROUP_?G_3?13?">'Monthly Portfolio'!$8:$61</definedName>
    <definedName name="XDO_GROUP_?G_4?117?">[1]ON!#REF!</definedName>
    <definedName name="XDO_GROUP_?G_4?32?">[1]TA!#REF!</definedName>
    <definedName name="XDO_GROUP_?G_4?57?">'Monthly Portfolio'!$B$10:$IV$46</definedName>
    <definedName name="XDO_GROUP_?G_4?58?">'Monthly Portfolio'!$B$51:$IV$51</definedName>
    <definedName name="XDO_GROUP_?G_4?59?">'Monthly Portfolio'!$B$54:$IV$54</definedName>
    <definedName name="XDO_GROUP_?G_4?60?">'Monthly Portfolio'!$B$59:$IV$59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2"/>
  <c r="H93" i="1"/>
</calcChain>
</file>

<file path=xl/sharedStrings.xml><?xml version="1.0" encoding="utf-8"?>
<sst xmlns="http://schemas.openxmlformats.org/spreadsheetml/2006/main" count="513" uniqueCount="214">
  <si>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</si>
  <si>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</si>
  <si>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</si>
  <si>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</si>
  <si>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</si>
  <si>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</si>
  <si>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</si>
  <si>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</si>
  <si>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</si>
  <si>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</si>
  <si>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</si>
  <si>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</si>
  <si>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</si>
  <si>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</si>
  <si>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</si>
  <si>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</si>
  <si>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</si>
  <si>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</si>
  <si>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</si>
  <si>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</si>
  <si>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</si>
  <si>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</si>
  <si>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</si>
  <si>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</si>
  <si>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</si>
  <si>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</si>
  <si>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</si>
  <si>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100025</t>
  </si>
  <si>
    <t>Nestle India Ltd.</t>
  </si>
  <si>
    <t>INE239A01016</t>
  </si>
  <si>
    <t>Food Products</t>
  </si>
  <si>
    <t>100081</t>
  </si>
  <si>
    <t>Titan Company Ltd.</t>
  </si>
  <si>
    <t>INE280A01028</t>
  </si>
  <si>
    <t>Consumer Durables</t>
  </si>
  <si>
    <t>100106</t>
  </si>
  <si>
    <t>Maruti Suzuki India Ltd.</t>
  </si>
  <si>
    <t>INE585B01010</t>
  </si>
  <si>
    <t>Automobiles</t>
  </si>
  <si>
    <t>100050</t>
  </si>
  <si>
    <t>Trent Ltd.</t>
  </si>
  <si>
    <t>INE849A01020</t>
  </si>
  <si>
    <t>Retailing</t>
  </si>
  <si>
    <t>100014</t>
  </si>
  <si>
    <t>Mahindra &amp; Mahindra Ltd.</t>
  </si>
  <si>
    <t>INE101A01026</t>
  </si>
  <si>
    <t>100157</t>
  </si>
  <si>
    <t>Godrej Consumer Products Ltd.</t>
  </si>
  <si>
    <t>INE102D01028</t>
  </si>
  <si>
    <t>Personal Products</t>
  </si>
  <si>
    <t>100173</t>
  </si>
  <si>
    <t>Asian Paints Ltd.</t>
  </si>
  <si>
    <t>INE021A01026</t>
  </si>
  <si>
    <t>100280</t>
  </si>
  <si>
    <t>TVS Motor Company Ltd.</t>
  </si>
  <si>
    <t>INE494B01023</t>
  </si>
  <si>
    <t>100001</t>
  </si>
  <si>
    <t>Housing Development Finance Corporation Ltd.</t>
  </si>
  <si>
    <t>INE001A01036</t>
  </si>
  <si>
    <t>Finance</t>
  </si>
  <si>
    <t>100363</t>
  </si>
  <si>
    <t>Procter &amp; Gamble Hygiene and Health Care Ltd.</t>
  </si>
  <si>
    <t>INE179A01014</t>
  </si>
  <si>
    <t>100126</t>
  </si>
  <si>
    <t>Britannia Industries Ltd.</t>
  </si>
  <si>
    <t>INE216A01030</t>
  </si>
  <si>
    <t>100020</t>
  </si>
  <si>
    <t>Tata Consumer Products Ltd.</t>
  </si>
  <si>
    <t>INE192A01025</t>
  </si>
  <si>
    <t>Agricultural Food &amp; other Products</t>
  </si>
  <si>
    <t>100421</t>
  </si>
  <si>
    <t>Dabur India Ltd.</t>
  </si>
  <si>
    <t>INE016A01026</t>
  </si>
  <si>
    <t>100012</t>
  </si>
  <si>
    <t>ICICI Bank Ltd.</t>
  </si>
  <si>
    <t>INE090A01021</t>
  </si>
  <si>
    <t>Banks</t>
  </si>
  <si>
    <t>100505</t>
  </si>
  <si>
    <t>ICICI Prudential Life Insurance Company Ltd.</t>
  </si>
  <si>
    <t>INE726G01019</t>
  </si>
  <si>
    <t>Insurance</t>
  </si>
  <si>
    <t>100282</t>
  </si>
  <si>
    <t>Blue Star Ltd.</t>
  </si>
  <si>
    <t>INE472A01039</t>
  </si>
  <si>
    <t>100105</t>
  </si>
  <si>
    <t>Marico Ltd.</t>
  </si>
  <si>
    <t>INE196A01026</t>
  </si>
  <si>
    <t>100814</t>
  </si>
  <si>
    <t>HDFC Asset Management Co. Ltd.</t>
  </si>
  <si>
    <t>INE127D01025</t>
  </si>
  <si>
    <t>Capital Markets</t>
  </si>
  <si>
    <t>100128</t>
  </si>
  <si>
    <t>Eicher Motors Ltd.</t>
  </si>
  <si>
    <t>INE066A01021</t>
  </si>
  <si>
    <t>100289</t>
  </si>
  <si>
    <t>Shoppers Stop Ltd.</t>
  </si>
  <si>
    <t>INE498B01024</t>
  </si>
  <si>
    <t>100706</t>
  </si>
  <si>
    <t>HDFC Life Insurance Company Ltd.</t>
  </si>
  <si>
    <t>INE795G01014</t>
  </si>
  <si>
    <t>100138</t>
  </si>
  <si>
    <t>PVR Ltd.</t>
  </si>
  <si>
    <t>INE191H01014</t>
  </si>
  <si>
    <t>Entertainment</t>
  </si>
  <si>
    <t>100821</t>
  </si>
  <si>
    <t>TTK Prestige Ltd.</t>
  </si>
  <si>
    <t>INE690A01028</t>
  </si>
  <si>
    <t>100222</t>
  </si>
  <si>
    <t>The Indian Hotels Company Ltd.</t>
  </si>
  <si>
    <t>INE053A01029</t>
  </si>
  <si>
    <t>Leisure Services</t>
  </si>
  <si>
    <t>101313</t>
  </si>
  <si>
    <t>Zomato Ltd.</t>
  </si>
  <si>
    <t>INE758T01015</t>
  </si>
  <si>
    <t>100121</t>
  </si>
  <si>
    <t>United Breweries Ltd.</t>
  </si>
  <si>
    <t>INE686F01025</t>
  </si>
  <si>
    <t>Beverages</t>
  </si>
  <si>
    <t>100227</t>
  </si>
  <si>
    <t>Jubilant Foodworks Ltd.</t>
  </si>
  <si>
    <t>INE797F01020</t>
  </si>
  <si>
    <t>100519</t>
  </si>
  <si>
    <t>Westlife Foodworld Ltd.</t>
  </si>
  <si>
    <t>INE274F01020</t>
  </si>
  <si>
    <t>100223</t>
  </si>
  <si>
    <t>United Spirits Ltd.</t>
  </si>
  <si>
    <t>INE854D01024</t>
  </si>
  <si>
    <t>100335</t>
  </si>
  <si>
    <t>Kajaria Ceramics Ltd.</t>
  </si>
  <si>
    <t>INE217B01036</t>
  </si>
  <si>
    <t>100068</t>
  </si>
  <si>
    <t>Kansai Nerolac Paints Ltd.</t>
  </si>
  <si>
    <t>INE531A01024</t>
  </si>
  <si>
    <t>100125</t>
  </si>
  <si>
    <t>Bajaj Finance Ltd.</t>
  </si>
  <si>
    <t>INE296A01024</t>
  </si>
  <si>
    <t>100186</t>
  </si>
  <si>
    <t>Zee Entertainment Enterprises Ltd.</t>
  </si>
  <si>
    <t>INE256A01028</t>
  </si>
  <si>
    <t>100768</t>
  </si>
  <si>
    <t>V-Mart Retail Ltd.</t>
  </si>
  <si>
    <t>INE665J01013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</si>
  <si>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</si>
  <si>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</si>
  <si>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</si>
  <si>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</si>
  <si>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</si>
  <si>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</si>
  <si>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</si>
  <si>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</si>
  <si>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</si>
  <si>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</si>
  <si>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</si>
  <si>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</si>
  <si>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</si>
  <si>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</si>
  <si>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</si>
  <si>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</si>
  <si>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</si>
  <si>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</si>
  <si>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</si>
  <si>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</si>
  <si>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</si>
  <si>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</si>
  <si>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</si>
  <si>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</si>
  <si>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</si>
  <si>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</si>
  <si>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</si>
  <si>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</si>
  <si>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</si>
  <si>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</si>
  <si>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</si>
  <si>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</si>
  <si>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</si>
  <si>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</si>
  <si>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</si>
  <si>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</si>
  <si>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</si>
  <si>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</si>
  <si>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</si>
  <si>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</si>
  <si>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</si>
  <si>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</si>
  <si>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</si>
  <si>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</si>
  <si>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</si>
  <si>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</si>
  <si>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</si>
  <si>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</si>
  <si>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</si>
  <si>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</si>
  <si>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</si>
  <si>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</si>
  <si>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During the period, the portfolio turnover ratio is  0.03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</si>
  <si>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</si>
  <si>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</si>
  <si>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</si>
  <si>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</si>
  <si>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</si>
  <si>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</si>
  <si>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</si>
  <si>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</si>
  <si>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</si>
  <si>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INDIA CONSUMPTION FUND
(An open ended equity scheme following consumption theme)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</si>
  <si>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</si>
  <si>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</si>
  <si>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</si>
  <si>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</si>
  <si>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(11)  During the period, the portfolio turnover ratio is  0.17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</si>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</sst>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5</xdr:col>
      <xdr:colOff>703241</xdr:colOff>
      <xdr:row>147</xdr:row>
      <xdr:rowOff>105325</xdr:rowOff>
    </xdr:to>
    <xdr:pic>
      <xdr:nvPicPr>
        <xdr:cNvPr id="2" name="Picture 1" descr="Consumption Fund 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22034500"/>
          <a:ext cx="7455408" cy="33649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5</xdr:col>
      <xdr:colOff>703241</xdr:colOff>
      <xdr:row>149</xdr:row>
      <xdr:rowOff>105325</xdr:rowOff>
    </xdr:to>
    <xdr:pic>
      <xdr:nvPicPr>
        <xdr:cNvPr id="2" name="Picture 1" descr="Consumption Fund 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22738080"/>
          <a:ext cx="7652681" cy="34505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30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2500000</v>
      </c>
      <c r="G10" s="34">
        <v>9587.5</v>
      </c>
      <c r="H10" s="34">
        <v>10.81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19</v>
      </c>
      <c r="F11" s="33">
        <v>300000</v>
      </c>
      <c r="G11" s="34">
        <v>7681.05</v>
      </c>
      <c r="H11" s="34">
        <v>8.66</v>
      </c>
      <c r="I11" s="35"/>
      <c r="J11" s="35"/>
      <c r="K11" s="36"/>
    </row>
    <row r="12" spans="1:54">
      <c r="B12" s="1" t="s">
        <v>23</v>
      </c>
      <c r="C12" s="21" t="s">
        <v>24</v>
      </c>
      <c r="D12" s="31" t="s">
        <v>25</v>
      </c>
      <c r="E12" s="32" t="s">
        <v>26</v>
      </c>
      <c r="F12" s="33">
        <v>850000</v>
      </c>
      <c r="G12" s="34">
        <v>6366.5</v>
      </c>
      <c r="H12" s="34">
        <v>7.18</v>
      </c>
      <c r="I12" s="35"/>
      <c r="J12" s="35"/>
      <c r="K12" s="36"/>
    </row>
    <row r="13" spans="1:54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25000</v>
      </c>
      <c r="G13" s="34">
        <v>4926.13</v>
      </c>
      <c r="H13" s="34">
        <v>5.55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34</v>
      </c>
      <c r="F14" s="33">
        <v>160000</v>
      </c>
      <c r="G14" s="34">
        <v>4023.84</v>
      </c>
      <c r="H14" s="34">
        <v>4.54</v>
      </c>
      <c r="I14" s="35"/>
      <c r="J14" s="35"/>
      <c r="K14" s="36"/>
    </row>
    <row r="15" spans="1:54">
      <c r="B15" s="1" t="s">
        <v>35</v>
      </c>
      <c r="C15" s="21" t="s">
        <v>36</v>
      </c>
      <c r="D15" s="31" t="s">
        <v>37</v>
      </c>
      <c r="E15" s="32" t="s">
        <v>38</v>
      </c>
      <c r="F15" s="33">
        <v>48500</v>
      </c>
      <c r="G15" s="34">
        <v>4021.69</v>
      </c>
      <c r="H15" s="34">
        <v>4.53</v>
      </c>
      <c r="I15" s="35"/>
      <c r="J15" s="35"/>
      <c r="K15" s="36"/>
    </row>
    <row r="16" spans="1:54">
      <c r="B16" s="1" t="s">
        <v>39</v>
      </c>
      <c r="C16" s="21" t="s">
        <v>40</v>
      </c>
      <c r="D16" s="31" t="s">
        <v>41</v>
      </c>
      <c r="E16" s="32" t="s">
        <v>42</v>
      </c>
      <c r="F16" s="33">
        <v>265000</v>
      </c>
      <c r="G16" s="34">
        <v>3643.62</v>
      </c>
      <c r="H16" s="34">
        <v>4.1100000000000003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38</v>
      </c>
      <c r="F17" s="33">
        <v>300000</v>
      </c>
      <c r="G17" s="34">
        <v>3476.1</v>
      </c>
      <c r="H17" s="34">
        <v>3.92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350000</v>
      </c>
      <c r="G18" s="34">
        <v>3388.53</v>
      </c>
      <c r="H18" s="34">
        <v>3.82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34</v>
      </c>
      <c r="F19" s="33">
        <v>110000</v>
      </c>
      <c r="G19" s="34">
        <v>3037.82</v>
      </c>
      <c r="H19" s="34">
        <v>3.42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38</v>
      </c>
      <c r="F20" s="33">
        <v>270000</v>
      </c>
      <c r="G20" s="34">
        <v>2908.44</v>
      </c>
      <c r="H20" s="34">
        <v>3.28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87000</v>
      </c>
      <c r="G21" s="34">
        <v>2284.19</v>
      </c>
      <c r="H21" s="34">
        <v>2.57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49</v>
      </c>
      <c r="F22" s="33">
        <v>13000</v>
      </c>
      <c r="G22" s="34">
        <v>1734.15</v>
      </c>
      <c r="H22" s="34">
        <v>1.95</v>
      </c>
      <c r="I22" s="35"/>
      <c r="J22" s="35"/>
      <c r="K22" s="36"/>
    </row>
    <row r="23" spans="2:11">
      <c r="B23" s="1" t="s">
        <v>63</v>
      </c>
      <c r="C23" s="21" t="s">
        <v>64</v>
      </c>
      <c r="D23" s="31" t="s">
        <v>65</v>
      </c>
      <c r="E23" s="32" t="s">
        <v>30</v>
      </c>
      <c r="F23" s="33">
        <v>40000</v>
      </c>
      <c r="G23" s="34">
        <v>1728.86</v>
      </c>
      <c r="H23" s="34">
        <v>1.95</v>
      </c>
      <c r="I23" s="35"/>
      <c r="J23" s="35"/>
      <c r="K23" s="36"/>
    </row>
    <row r="24" spans="2:11">
      <c r="B24" s="1" t="s">
        <v>66</v>
      </c>
      <c r="C24" s="21" t="s">
        <v>67</v>
      </c>
      <c r="D24" s="31" t="s">
        <v>68</v>
      </c>
      <c r="E24" s="32" t="s">
        <v>69</v>
      </c>
      <c r="F24" s="33">
        <v>230000</v>
      </c>
      <c r="G24" s="34">
        <v>1630.36</v>
      </c>
      <c r="H24" s="34">
        <v>1.84</v>
      </c>
      <c r="I24" s="35"/>
      <c r="J24" s="35"/>
      <c r="K24" s="36"/>
    </row>
    <row r="25" spans="2:11">
      <c r="B25" s="1" t="s">
        <v>70</v>
      </c>
      <c r="C25" s="21" t="s">
        <v>71</v>
      </c>
      <c r="D25" s="31" t="s">
        <v>72</v>
      </c>
      <c r="E25" s="32" t="s">
        <v>49</v>
      </c>
      <c r="F25" s="33">
        <v>250000</v>
      </c>
      <c r="G25" s="34">
        <v>1362.25</v>
      </c>
      <c r="H25" s="34">
        <v>1.54</v>
      </c>
      <c r="I25" s="35"/>
      <c r="J25" s="35"/>
      <c r="K25" s="36"/>
    </row>
    <row r="26" spans="2:11">
      <c r="B26" s="1" t="s">
        <v>73</v>
      </c>
      <c r="C26" s="21" t="s">
        <v>74</v>
      </c>
      <c r="D26" s="31" t="s">
        <v>75</v>
      </c>
      <c r="E26" s="32" t="s">
        <v>76</v>
      </c>
      <c r="F26" s="33">
        <v>150000</v>
      </c>
      <c r="G26" s="34">
        <v>1315.88</v>
      </c>
      <c r="H26" s="34">
        <v>1.48</v>
      </c>
      <c r="I26" s="35"/>
      <c r="J26" s="35"/>
      <c r="K26" s="36"/>
    </row>
    <row r="27" spans="2:11">
      <c r="B27" s="1" t="s">
        <v>77</v>
      </c>
      <c r="C27" s="21" t="s">
        <v>78</v>
      </c>
      <c r="D27" s="31" t="s">
        <v>79</v>
      </c>
      <c r="E27" s="32" t="s">
        <v>80</v>
      </c>
      <c r="F27" s="33">
        <v>300000</v>
      </c>
      <c r="G27" s="34">
        <v>1307.0999999999999</v>
      </c>
      <c r="H27" s="34">
        <v>1.47</v>
      </c>
      <c r="I27" s="35"/>
      <c r="J27" s="35"/>
      <c r="K27" s="36"/>
    </row>
    <row r="28" spans="2:11">
      <c r="B28" s="1" t="s">
        <v>81</v>
      </c>
      <c r="C28" s="21" t="s">
        <v>82</v>
      </c>
      <c r="D28" s="31" t="s">
        <v>83</v>
      </c>
      <c r="E28" s="32" t="s">
        <v>34</v>
      </c>
      <c r="F28" s="33">
        <v>90000</v>
      </c>
      <c r="G28" s="34">
        <v>1241.24</v>
      </c>
      <c r="H28" s="34">
        <v>1.4</v>
      </c>
      <c r="I28" s="35"/>
      <c r="J28" s="35"/>
      <c r="K28" s="36"/>
    </row>
    <row r="29" spans="2:11">
      <c r="B29" s="1" t="s">
        <v>84</v>
      </c>
      <c r="C29" s="21" t="s">
        <v>85</v>
      </c>
      <c r="D29" s="31" t="s">
        <v>86</v>
      </c>
      <c r="E29" s="32" t="s">
        <v>69</v>
      </c>
      <c r="F29" s="33">
        <v>250000</v>
      </c>
      <c r="G29" s="34">
        <v>1199.5</v>
      </c>
      <c r="H29" s="34">
        <v>1.35</v>
      </c>
      <c r="I29" s="35"/>
      <c r="J29" s="35"/>
      <c r="K29" s="36"/>
    </row>
    <row r="30" spans="2:11">
      <c r="B30" s="1" t="s">
        <v>87</v>
      </c>
      <c r="C30" s="21" t="s">
        <v>88</v>
      </c>
      <c r="D30" s="31" t="s">
        <v>89</v>
      </c>
      <c r="E30" s="32" t="s">
        <v>90</v>
      </c>
      <c r="F30" s="33">
        <v>70000</v>
      </c>
      <c r="G30" s="34">
        <v>1195.5</v>
      </c>
      <c r="H30" s="34">
        <v>1.35</v>
      </c>
      <c r="I30" s="35"/>
      <c r="J30" s="35"/>
      <c r="K30" s="36"/>
    </row>
    <row r="31" spans="2:11">
      <c r="B31" s="1" t="s">
        <v>91</v>
      </c>
      <c r="C31" s="21" t="s">
        <v>92</v>
      </c>
      <c r="D31" s="31" t="s">
        <v>93</v>
      </c>
      <c r="E31" s="32" t="s">
        <v>38</v>
      </c>
      <c r="F31" s="33">
        <v>40000</v>
      </c>
      <c r="G31" s="34">
        <v>1179.54</v>
      </c>
      <c r="H31" s="34">
        <v>1.33</v>
      </c>
      <c r="I31" s="35"/>
      <c r="J31" s="35"/>
      <c r="K31" s="36"/>
    </row>
    <row r="32" spans="2:11">
      <c r="B32" s="1" t="s">
        <v>94</v>
      </c>
      <c r="C32" s="21" t="s">
        <v>95</v>
      </c>
      <c r="D32" s="31" t="s">
        <v>96</v>
      </c>
      <c r="E32" s="32" t="s">
        <v>42</v>
      </c>
      <c r="F32" s="33">
        <v>180000</v>
      </c>
      <c r="G32" s="34">
        <v>1167.75</v>
      </c>
      <c r="H32" s="34">
        <v>1.32</v>
      </c>
      <c r="I32" s="35"/>
      <c r="J32" s="35"/>
      <c r="K32" s="36"/>
    </row>
    <row r="33" spans="2:11">
      <c r="B33" s="1" t="s">
        <v>97</v>
      </c>
      <c r="C33" s="21" t="s">
        <v>98</v>
      </c>
      <c r="D33" s="31" t="s">
        <v>99</v>
      </c>
      <c r="E33" s="32" t="s">
        <v>80</v>
      </c>
      <c r="F33" s="33">
        <v>230000</v>
      </c>
      <c r="G33" s="34">
        <v>1148.1600000000001</v>
      </c>
      <c r="H33" s="34">
        <v>1.29</v>
      </c>
      <c r="I33" s="35"/>
      <c r="J33" s="35"/>
      <c r="K33" s="36"/>
    </row>
    <row r="34" spans="2:11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69000</v>
      </c>
      <c r="G34" s="34">
        <v>1058.46</v>
      </c>
      <c r="H34" s="34">
        <v>1.19</v>
      </c>
      <c r="I34" s="35"/>
      <c r="J34" s="35"/>
      <c r="K34" s="36"/>
    </row>
    <row r="35" spans="2:11">
      <c r="B35" s="1" t="s">
        <v>104</v>
      </c>
      <c r="C35" s="21" t="s">
        <v>105</v>
      </c>
      <c r="D35" s="31" t="s">
        <v>106</v>
      </c>
      <c r="E35" s="32" t="s">
        <v>34</v>
      </c>
      <c r="F35" s="33">
        <v>149024</v>
      </c>
      <c r="G35" s="34">
        <v>1041.9000000000001</v>
      </c>
      <c r="H35" s="34">
        <v>1.17</v>
      </c>
      <c r="I35" s="35"/>
      <c r="J35" s="35"/>
      <c r="K35" s="36"/>
    </row>
    <row r="36" spans="2:11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310000</v>
      </c>
      <c r="G36" s="34">
        <v>1005.49</v>
      </c>
      <c r="H36" s="34">
        <v>1.1299999999999999</v>
      </c>
      <c r="I36" s="35"/>
      <c r="J36" s="35"/>
      <c r="K36" s="36"/>
    </row>
    <row r="37" spans="2:11">
      <c r="B37" s="1" t="s">
        <v>111</v>
      </c>
      <c r="C37" s="21" t="s">
        <v>112</v>
      </c>
      <c r="D37" s="31" t="s">
        <v>113</v>
      </c>
      <c r="E37" s="32" t="s">
        <v>42</v>
      </c>
      <c r="F37" s="33">
        <v>1900000</v>
      </c>
      <c r="G37" s="34">
        <v>969</v>
      </c>
      <c r="H37" s="34">
        <v>1.0900000000000001</v>
      </c>
      <c r="I37" s="35"/>
      <c r="J37" s="35"/>
      <c r="K37" s="36"/>
    </row>
    <row r="38" spans="2:11">
      <c r="B38" s="1" t="s">
        <v>114</v>
      </c>
      <c r="C38" s="21" t="s">
        <v>115</v>
      </c>
      <c r="D38" s="31" t="s">
        <v>116</v>
      </c>
      <c r="E38" s="32" t="s">
        <v>117</v>
      </c>
      <c r="F38" s="33">
        <v>65000</v>
      </c>
      <c r="G38" s="34">
        <v>925.89</v>
      </c>
      <c r="H38" s="34">
        <v>1.04</v>
      </c>
      <c r="I38" s="35"/>
      <c r="J38" s="35"/>
      <c r="K38" s="36"/>
    </row>
    <row r="39" spans="2:11">
      <c r="B39" s="1" t="s">
        <v>118</v>
      </c>
      <c r="C39" s="21" t="s">
        <v>119</v>
      </c>
      <c r="D39" s="31" t="s">
        <v>120</v>
      </c>
      <c r="E39" s="32" t="s">
        <v>110</v>
      </c>
      <c r="F39" s="33">
        <v>210000</v>
      </c>
      <c r="G39" s="34">
        <v>924.21</v>
      </c>
      <c r="H39" s="34">
        <v>1.04</v>
      </c>
      <c r="I39" s="35"/>
      <c r="J39" s="35"/>
      <c r="K39" s="36"/>
    </row>
    <row r="40" spans="2:11">
      <c r="B40" s="1" t="s">
        <v>121</v>
      </c>
      <c r="C40" s="21" t="s">
        <v>122</v>
      </c>
      <c r="D40" s="31" t="s">
        <v>123</v>
      </c>
      <c r="E40" s="32" t="s">
        <v>110</v>
      </c>
      <c r="F40" s="33">
        <v>135000</v>
      </c>
      <c r="G40" s="34">
        <v>922.52</v>
      </c>
      <c r="H40" s="34">
        <v>1.04</v>
      </c>
      <c r="I40" s="35"/>
      <c r="J40" s="35"/>
      <c r="K40" s="36"/>
    </row>
    <row r="41" spans="2:11">
      <c r="B41" s="1" t="s">
        <v>124</v>
      </c>
      <c r="C41" s="21" t="s">
        <v>125</v>
      </c>
      <c r="D41" s="31" t="s">
        <v>126</v>
      </c>
      <c r="E41" s="32" t="s">
        <v>117</v>
      </c>
      <c r="F41" s="33">
        <v>120000</v>
      </c>
      <c r="G41" s="34">
        <v>907.56</v>
      </c>
      <c r="H41" s="34">
        <v>1.02</v>
      </c>
      <c r="I41" s="35"/>
      <c r="J41" s="35"/>
      <c r="K41" s="36"/>
    </row>
    <row r="42" spans="2:11">
      <c r="B42" s="1" t="s">
        <v>127</v>
      </c>
      <c r="C42" s="21" t="s">
        <v>128</v>
      </c>
      <c r="D42" s="31" t="s">
        <v>129</v>
      </c>
      <c r="E42" s="32" t="s">
        <v>34</v>
      </c>
      <c r="F42" s="33">
        <v>85000</v>
      </c>
      <c r="G42" s="34">
        <v>896.16</v>
      </c>
      <c r="H42" s="34">
        <v>1.01</v>
      </c>
      <c r="I42" s="35"/>
      <c r="J42" s="35"/>
      <c r="K42" s="36"/>
    </row>
    <row r="43" spans="2:11">
      <c r="B43" s="1" t="s">
        <v>130</v>
      </c>
      <c r="C43" s="21" t="s">
        <v>131</v>
      </c>
      <c r="D43" s="31" t="s">
        <v>132</v>
      </c>
      <c r="E43" s="32" t="s">
        <v>34</v>
      </c>
      <c r="F43" s="33">
        <v>230000</v>
      </c>
      <c r="G43" s="34">
        <v>889.64</v>
      </c>
      <c r="H43" s="34">
        <v>1</v>
      </c>
      <c r="I43" s="35"/>
      <c r="J43" s="35"/>
      <c r="K43" s="36"/>
    </row>
    <row r="44" spans="2:11">
      <c r="B44" s="1" t="s">
        <v>133</v>
      </c>
      <c r="C44" s="21" t="s">
        <v>134</v>
      </c>
      <c r="D44" s="31" t="s">
        <v>135</v>
      </c>
      <c r="E44" s="32" t="s">
        <v>59</v>
      </c>
      <c r="F44" s="33">
        <v>15000</v>
      </c>
      <c r="G44" s="34">
        <v>842.51</v>
      </c>
      <c r="H44" s="34">
        <v>0.95</v>
      </c>
      <c r="I44" s="35"/>
      <c r="J44" s="35"/>
      <c r="K44" s="36"/>
    </row>
    <row r="45" spans="2:11">
      <c r="B45" s="1" t="s">
        <v>136</v>
      </c>
      <c r="C45" s="21" t="s">
        <v>137</v>
      </c>
      <c r="D45" s="31" t="s">
        <v>138</v>
      </c>
      <c r="E45" s="32" t="s">
        <v>103</v>
      </c>
      <c r="F45" s="33">
        <v>360000</v>
      </c>
      <c r="G45" s="34">
        <v>764.1</v>
      </c>
      <c r="H45" s="34">
        <v>0.86</v>
      </c>
      <c r="I45" s="35"/>
      <c r="J45" s="35"/>
      <c r="K45" s="36"/>
    </row>
    <row r="46" spans="2:11">
      <c r="B46" s="1" t="s">
        <v>139</v>
      </c>
      <c r="C46" s="21" t="s">
        <v>140</v>
      </c>
      <c r="D46" s="31" t="s">
        <v>141</v>
      </c>
      <c r="E46" s="32" t="s">
        <v>42</v>
      </c>
      <c r="F46" s="33">
        <v>29972</v>
      </c>
      <c r="G46" s="34">
        <v>648.08000000000004</v>
      </c>
      <c r="H46" s="34">
        <v>0.73</v>
      </c>
      <c r="I46" s="35"/>
      <c r="J46" s="35"/>
      <c r="K46" s="36"/>
    </row>
    <row r="47" spans="2:11">
      <c r="C47" s="30" t="s">
        <v>142</v>
      </c>
      <c r="D47" s="31"/>
      <c r="E47" s="32"/>
      <c r="F47" s="33"/>
      <c r="G47" s="38">
        <v>83351.22</v>
      </c>
      <c r="H47" s="38">
        <v>93.93</v>
      </c>
      <c r="I47" s="35"/>
      <c r="J47" s="35"/>
      <c r="K47" s="36"/>
    </row>
    <row r="48" spans="2:11">
      <c r="C48" s="21"/>
      <c r="D48" s="31"/>
      <c r="E48" s="32"/>
      <c r="F48" s="33"/>
      <c r="G48" s="34"/>
      <c r="H48" s="34"/>
      <c r="I48" s="35"/>
      <c r="J48" s="35"/>
      <c r="K48" s="36"/>
    </row>
    <row r="49" spans="3:11">
      <c r="C49" s="30" t="s">
        <v>143</v>
      </c>
      <c r="D49" s="31"/>
      <c r="E49" s="32"/>
      <c r="F49" s="33"/>
      <c r="G49" s="34" t="s">
        <v>144</v>
      </c>
      <c r="H49" s="34" t="s">
        <v>144</v>
      </c>
      <c r="I49" s="35"/>
      <c r="J49" s="35"/>
      <c r="K49" s="36"/>
    </row>
    <row r="50" spans="3:11">
      <c r="C50" s="21"/>
      <c r="D50" s="31"/>
      <c r="E50" s="32"/>
      <c r="F50" s="33"/>
      <c r="G50" s="34"/>
      <c r="H50" s="34"/>
      <c r="I50" s="35"/>
      <c r="J50" s="35"/>
      <c r="K50" s="36"/>
    </row>
    <row r="51" spans="3:11">
      <c r="C51" s="30" t="s">
        <v>145</v>
      </c>
      <c r="D51" s="31"/>
      <c r="E51" s="32"/>
      <c r="F51" s="33"/>
      <c r="G51" s="34" t="s">
        <v>144</v>
      </c>
      <c r="H51" s="34" t="s">
        <v>144</v>
      </c>
      <c r="I51" s="35"/>
      <c r="J51" s="35"/>
      <c r="K51" s="36"/>
    </row>
    <row r="52" spans="3:11">
      <c r="C52" s="21"/>
      <c r="D52" s="31"/>
      <c r="E52" s="32"/>
      <c r="F52" s="33"/>
      <c r="G52" s="34"/>
      <c r="H52" s="34"/>
      <c r="I52" s="35"/>
      <c r="J52" s="35"/>
      <c r="K52" s="36"/>
    </row>
    <row r="53" spans="3:11">
      <c r="C53" s="30" t="s">
        <v>146</v>
      </c>
      <c r="D53" s="31"/>
      <c r="E53" s="32"/>
      <c r="F53" s="33"/>
      <c r="G53" s="34"/>
      <c r="H53" s="34"/>
      <c r="I53" s="35"/>
      <c r="J53" s="35"/>
      <c r="K53" s="36"/>
    </row>
    <row r="54" spans="3:11">
      <c r="C54" s="21"/>
      <c r="D54" s="31"/>
      <c r="E54" s="32"/>
      <c r="F54" s="33"/>
      <c r="G54" s="34"/>
      <c r="H54" s="34"/>
      <c r="I54" s="35"/>
      <c r="J54" s="35"/>
      <c r="K54" s="36"/>
    </row>
    <row r="55" spans="3:11">
      <c r="C55" s="30" t="s">
        <v>147</v>
      </c>
      <c r="D55" s="31"/>
      <c r="E55" s="32"/>
      <c r="F55" s="33"/>
      <c r="G55" s="34" t="s">
        <v>144</v>
      </c>
      <c r="H55" s="34" t="s">
        <v>144</v>
      </c>
      <c r="I55" s="35"/>
      <c r="J55" s="35"/>
      <c r="K55" s="36"/>
    </row>
    <row r="56" spans="3:11">
      <c r="C56" s="21"/>
      <c r="D56" s="31"/>
      <c r="E56" s="32"/>
      <c r="F56" s="33"/>
      <c r="G56" s="34"/>
      <c r="H56" s="34"/>
      <c r="I56" s="35"/>
      <c r="J56" s="35"/>
      <c r="K56" s="36"/>
    </row>
    <row r="57" spans="3:11">
      <c r="C57" s="30" t="s">
        <v>148</v>
      </c>
      <c r="D57" s="31"/>
      <c r="E57" s="32"/>
      <c r="F57" s="33"/>
      <c r="G57" s="34" t="s">
        <v>144</v>
      </c>
      <c r="H57" s="34" t="s">
        <v>144</v>
      </c>
      <c r="I57" s="35"/>
      <c r="J57" s="35"/>
      <c r="K57" s="36"/>
    </row>
    <row r="58" spans="3:11">
      <c r="C58" s="21"/>
      <c r="D58" s="31"/>
      <c r="E58" s="32"/>
      <c r="F58" s="33"/>
      <c r="G58" s="34"/>
      <c r="H58" s="34"/>
      <c r="I58" s="35"/>
      <c r="J58" s="35"/>
      <c r="K58" s="36"/>
    </row>
    <row r="59" spans="3:11">
      <c r="C59" s="30" t="s">
        <v>149</v>
      </c>
      <c r="D59" s="31"/>
      <c r="E59" s="32"/>
      <c r="F59" s="33"/>
      <c r="G59" s="34" t="s">
        <v>144</v>
      </c>
      <c r="H59" s="34" t="s">
        <v>144</v>
      </c>
      <c r="I59" s="35"/>
      <c r="J59" s="35"/>
      <c r="K59" s="36"/>
    </row>
    <row r="60" spans="3:11">
      <c r="C60" s="21"/>
      <c r="D60" s="31"/>
      <c r="E60" s="32"/>
      <c r="F60" s="33"/>
      <c r="G60" s="34"/>
      <c r="H60" s="34"/>
      <c r="I60" s="35"/>
      <c r="J60" s="35"/>
      <c r="K60" s="36"/>
    </row>
    <row r="61" spans="3:11">
      <c r="C61" s="30" t="s">
        <v>150</v>
      </c>
      <c r="D61" s="31"/>
      <c r="E61" s="32"/>
      <c r="F61" s="33"/>
      <c r="G61" s="34" t="s">
        <v>144</v>
      </c>
      <c r="H61" s="34" t="s">
        <v>144</v>
      </c>
      <c r="I61" s="35"/>
      <c r="J61" s="35"/>
      <c r="K61" s="36"/>
    </row>
    <row r="62" spans="3:11">
      <c r="C62" s="21"/>
      <c r="D62" s="31"/>
      <c r="E62" s="32"/>
      <c r="F62" s="33"/>
      <c r="G62" s="34"/>
      <c r="H62" s="34"/>
      <c r="I62" s="35"/>
      <c r="J62" s="35"/>
      <c r="K62" s="36"/>
    </row>
    <row r="63" spans="3:11">
      <c r="C63" s="30" t="s">
        <v>151</v>
      </c>
      <c r="D63" s="31"/>
      <c r="E63" s="32"/>
      <c r="F63" s="33"/>
      <c r="G63" s="34" t="s">
        <v>144</v>
      </c>
      <c r="H63" s="34" t="s">
        <v>144</v>
      </c>
      <c r="I63" s="35"/>
      <c r="J63" s="35"/>
      <c r="K63" s="36"/>
    </row>
    <row r="64" spans="3:11">
      <c r="C64" s="21"/>
      <c r="D64" s="31"/>
      <c r="E64" s="32"/>
      <c r="F64" s="33"/>
      <c r="G64" s="34"/>
      <c r="H64" s="34"/>
      <c r="I64" s="35"/>
      <c r="J64" s="35"/>
      <c r="K64" s="36"/>
    </row>
    <row r="65" spans="1:11">
      <c r="A65" s="28"/>
      <c r="B65" s="29"/>
      <c r="C65" s="30" t="s">
        <v>152</v>
      </c>
      <c r="D65" s="31"/>
      <c r="E65" s="32"/>
      <c r="F65" s="33"/>
      <c r="G65" s="34"/>
      <c r="H65" s="34"/>
      <c r="I65" s="35"/>
      <c r="J65" s="35"/>
      <c r="K65" s="36"/>
    </row>
    <row r="66" spans="1:11">
      <c r="A66" s="29"/>
      <c r="B66" s="29"/>
      <c r="C66" s="30" t="s">
        <v>153</v>
      </c>
      <c r="D66" s="31"/>
      <c r="E66" s="32"/>
      <c r="F66" s="33"/>
      <c r="G66" s="34" t="s">
        <v>144</v>
      </c>
      <c r="H66" s="34" t="s">
        <v>144</v>
      </c>
      <c r="I66" s="35"/>
      <c r="J66" s="35"/>
      <c r="K66" s="36"/>
    </row>
    <row r="67" spans="1:11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>
      <c r="A68" s="29"/>
      <c r="B68" s="29"/>
      <c r="C68" s="30" t="s">
        <v>154</v>
      </c>
      <c r="D68" s="31"/>
      <c r="E68" s="32"/>
      <c r="F68" s="33"/>
      <c r="G68" s="34" t="s">
        <v>144</v>
      </c>
      <c r="H68" s="34" t="s">
        <v>144</v>
      </c>
      <c r="I68" s="35"/>
      <c r="J68" s="35"/>
      <c r="K68" s="36"/>
    </row>
    <row r="69" spans="1:11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>
      <c r="C70" s="37" t="s">
        <v>155</v>
      </c>
      <c r="D70" s="31"/>
      <c r="E70" s="32"/>
      <c r="F70" s="33"/>
      <c r="G70" s="34"/>
      <c r="H70" s="34"/>
      <c r="I70" s="35"/>
      <c r="J70" s="35"/>
      <c r="K70" s="36"/>
    </row>
    <row r="71" spans="1:11">
      <c r="B71" s="1" t="s">
        <v>156</v>
      </c>
      <c r="C71" s="21" t="s">
        <v>157</v>
      </c>
      <c r="D71" s="31" t="s">
        <v>158</v>
      </c>
      <c r="E71" s="32" t="s">
        <v>159</v>
      </c>
      <c r="F71" s="33">
        <v>900000</v>
      </c>
      <c r="G71" s="34">
        <v>855.72</v>
      </c>
      <c r="H71" s="34">
        <v>0.96</v>
      </c>
      <c r="I71" s="35">
        <v>7.1550000000000002</v>
      </c>
      <c r="J71" s="35"/>
      <c r="K71" s="36"/>
    </row>
    <row r="72" spans="1:11">
      <c r="C72" s="30" t="s">
        <v>142</v>
      </c>
      <c r="D72" s="31"/>
      <c r="E72" s="32"/>
      <c r="F72" s="33"/>
      <c r="G72" s="38">
        <v>855.72</v>
      </c>
      <c r="H72" s="38">
        <v>0.96</v>
      </c>
      <c r="I72" s="35"/>
      <c r="J72" s="35"/>
      <c r="K72" s="36"/>
    </row>
    <row r="73" spans="1:11">
      <c r="C73" s="21"/>
      <c r="D73" s="31"/>
      <c r="E73" s="32"/>
      <c r="F73" s="33"/>
      <c r="G73" s="34"/>
      <c r="H73" s="34"/>
      <c r="I73" s="35"/>
      <c r="J73" s="35"/>
      <c r="K73" s="36"/>
    </row>
    <row r="74" spans="1:11">
      <c r="C74" s="30" t="s">
        <v>160</v>
      </c>
      <c r="D74" s="31"/>
      <c r="E74" s="32"/>
      <c r="F74" s="33"/>
      <c r="G74" s="34" t="s">
        <v>144</v>
      </c>
      <c r="H74" s="34" t="s">
        <v>144</v>
      </c>
      <c r="I74" s="35"/>
      <c r="J74" s="35"/>
      <c r="K74" s="36"/>
    </row>
    <row r="75" spans="1:11">
      <c r="C75" s="21"/>
      <c r="D75" s="31"/>
      <c r="E75" s="32"/>
      <c r="F75" s="33"/>
      <c r="G75" s="34"/>
      <c r="H75" s="34"/>
      <c r="I75" s="35"/>
      <c r="J75" s="35"/>
      <c r="K75" s="36"/>
    </row>
    <row r="76" spans="1:11">
      <c r="A76" s="28"/>
      <c r="B76" s="29"/>
      <c r="C76" s="30" t="s">
        <v>161</v>
      </c>
      <c r="D76" s="31"/>
      <c r="E76" s="32"/>
      <c r="F76" s="33"/>
      <c r="G76" s="34"/>
      <c r="H76" s="34"/>
      <c r="I76" s="35"/>
      <c r="J76" s="35"/>
      <c r="K76" s="36"/>
    </row>
    <row r="77" spans="1:11">
      <c r="A77" s="29"/>
      <c r="B77" s="29"/>
      <c r="C77" s="30" t="s">
        <v>162</v>
      </c>
      <c r="D77" s="31"/>
      <c r="E77" s="32"/>
      <c r="F77" s="33"/>
      <c r="G77" s="34" t="s">
        <v>144</v>
      </c>
      <c r="H77" s="34" t="s">
        <v>144</v>
      </c>
      <c r="I77" s="35"/>
      <c r="J77" s="35"/>
      <c r="K77" s="36"/>
    </row>
    <row r="78" spans="1:11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>
      <c r="A79" s="29"/>
      <c r="B79" s="29"/>
      <c r="C79" s="30" t="s">
        <v>163</v>
      </c>
      <c r="D79" s="31"/>
      <c r="E79" s="32"/>
      <c r="F79" s="33"/>
      <c r="G79" s="34" t="s">
        <v>144</v>
      </c>
      <c r="H79" s="34" t="s">
        <v>144</v>
      </c>
      <c r="I79" s="35"/>
      <c r="J79" s="35"/>
      <c r="K79" s="36"/>
    </row>
    <row r="80" spans="1:11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>
      <c r="A81" s="29"/>
      <c r="B81" s="29"/>
      <c r="C81" s="30" t="s">
        <v>164</v>
      </c>
      <c r="D81" s="31"/>
      <c r="E81" s="32"/>
      <c r="F81" s="33"/>
      <c r="G81" s="34" t="s">
        <v>144</v>
      </c>
      <c r="H81" s="34" t="s">
        <v>144</v>
      </c>
      <c r="I81" s="35"/>
      <c r="J81" s="35"/>
      <c r="K81" s="36"/>
    </row>
    <row r="82" spans="1:11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>
      <c r="A83" s="29"/>
      <c r="B83" s="29"/>
      <c r="C83" s="30" t="s">
        <v>165</v>
      </c>
      <c r="D83" s="31"/>
      <c r="E83" s="32"/>
      <c r="F83" s="33"/>
      <c r="G83" s="34" t="s">
        <v>144</v>
      </c>
      <c r="H83" s="34" t="s">
        <v>144</v>
      </c>
      <c r="I83" s="35"/>
      <c r="J83" s="35"/>
      <c r="K83" s="36"/>
    </row>
    <row r="84" spans="1:11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>
      <c r="C85" s="37" t="s">
        <v>166</v>
      </c>
      <c r="D85" s="31"/>
      <c r="E85" s="32"/>
      <c r="F85" s="33"/>
      <c r="G85" s="34"/>
      <c r="H85" s="34"/>
      <c r="I85" s="35"/>
      <c r="J85" s="35"/>
      <c r="K85" s="36"/>
    </row>
    <row r="86" spans="1:11">
      <c r="B86" s="1" t="s">
        <v>167</v>
      </c>
      <c r="C86" s="21" t="s">
        <v>168</v>
      </c>
      <c r="D86" s="31"/>
      <c r="E86" s="32"/>
      <c r="F86" s="33"/>
      <c r="G86" s="34">
        <v>4837.01</v>
      </c>
      <c r="H86" s="34">
        <v>5.45</v>
      </c>
      <c r="I86" s="35">
        <v>7.14</v>
      </c>
      <c r="J86" s="35"/>
      <c r="K86" s="36"/>
    </row>
    <row r="87" spans="1:11">
      <c r="C87" s="30" t="s">
        <v>142</v>
      </c>
      <c r="D87" s="31"/>
      <c r="E87" s="32"/>
      <c r="F87" s="33"/>
      <c r="G87" s="38">
        <v>4837.01</v>
      </c>
      <c r="H87" s="38">
        <v>5.45</v>
      </c>
      <c r="I87" s="35"/>
      <c r="J87" s="35"/>
      <c r="K87" s="36"/>
    </row>
    <row r="88" spans="1:11">
      <c r="C88" s="21"/>
      <c r="D88" s="31"/>
      <c r="E88" s="32"/>
      <c r="F88" s="33"/>
      <c r="G88" s="34"/>
      <c r="H88" s="34"/>
      <c r="I88" s="35"/>
      <c r="J88" s="35"/>
      <c r="K88" s="36"/>
    </row>
    <row r="89" spans="1:11">
      <c r="A89" s="28"/>
      <c r="B89" s="29"/>
      <c r="C89" s="30" t="s">
        <v>169</v>
      </c>
      <c r="D89" s="31"/>
      <c r="E89" s="32"/>
      <c r="F89" s="33"/>
      <c r="G89" s="34"/>
      <c r="H89" s="34"/>
      <c r="I89" s="35"/>
      <c r="J89" s="35"/>
      <c r="K89" s="36"/>
    </row>
    <row r="90" spans="1:11">
      <c r="B90" s="1"/>
      <c r="C90" s="21" t="s">
        <v>170</v>
      </c>
      <c r="D90" s="31"/>
      <c r="E90" s="32"/>
      <c r="F90" s="33"/>
      <c r="G90" s="34">
        <v>-332.93</v>
      </c>
      <c r="H90" s="34">
        <v>-0.34</v>
      </c>
      <c r="I90" s="35"/>
      <c r="J90" s="35"/>
      <c r="K90" s="36"/>
    </row>
    <row r="91" spans="1:11">
      <c r="C91" s="30" t="s">
        <v>142</v>
      </c>
      <c r="D91" s="31"/>
      <c r="E91" s="32"/>
      <c r="F91" s="33"/>
      <c r="G91" s="38">
        <v>-332.93</v>
      </c>
      <c r="H91" s="38">
        <v>-0.34</v>
      </c>
      <c r="I91" s="35"/>
      <c r="J91" s="35"/>
      <c r="K91" s="36"/>
    </row>
    <row r="92" spans="1:11">
      <c r="C92" s="21"/>
      <c r="D92" s="31"/>
      <c r="E92" s="32"/>
      <c r="F92" s="33"/>
      <c r="G92" s="34"/>
      <c r="H92" s="34"/>
      <c r="I92" s="35"/>
      <c r="J92" s="35"/>
      <c r="K92" s="36"/>
    </row>
    <row r="93" spans="1:11" ht="14.4" thickBot="1">
      <c r="C93" s="39" t="s">
        <v>171</v>
      </c>
      <c r="D93" s="40"/>
      <c r="E93" s="41"/>
      <c r="F93" s="42"/>
      <c r="G93" s="43">
        <v>88711.02</v>
      </c>
      <c r="H93" s="43">
        <f>SUMIFS(H:H,C:C,"Total")</f>
        <v>100</v>
      </c>
      <c r="I93" s="44"/>
      <c r="J93" s="44"/>
      <c r="K93" s="45"/>
    </row>
    <row r="96" spans="1:11">
      <c r="C96" s="11" t="s">
        <v>172</v>
      </c>
    </row>
    <row r="97" spans="3:54">
      <c r="C97" s="2" t="s">
        <v>173</v>
      </c>
    </row>
    <row r="98" spans="3:54">
      <c r="C98" s="46" t="s">
        <v>174</v>
      </c>
    </row>
    <row r="99" spans="3:54">
      <c r="C99" s="2" t="s">
        <v>175</v>
      </c>
    </row>
    <row r="100" spans="3:54">
      <c r="C100" s="2" t="s">
        <v>176</v>
      </c>
    </row>
    <row r="101" spans="3:54">
      <c r="C101" s="2" t="s">
        <v>177</v>
      </c>
      <c r="D101" s="47"/>
      <c r="E101" s="47"/>
      <c r="F101" s="47"/>
      <c r="G101" s="48"/>
      <c r="H101" s="48"/>
    </row>
    <row r="102" spans="3:54">
      <c r="C102" s="2" t="s">
        <v>178</v>
      </c>
    </row>
    <row r="103" spans="3:54">
      <c r="C103" s="2" t="s">
        <v>179</v>
      </c>
    </row>
    <row r="104" spans="3:54">
      <c r="C104" s="2" t="s">
        <v>180</v>
      </c>
    </row>
    <row r="105" spans="3:54">
      <c r="C105" s="2" t="s">
        <v>181</v>
      </c>
    </row>
    <row r="106" spans="3:54" s="11" customFormat="1">
      <c r="C106" s="11" t="s">
        <v>182</v>
      </c>
      <c r="E106" s="11" t="s">
        <v>183</v>
      </c>
      <c r="F106" s="49" t="s">
        <v>184</v>
      </c>
      <c r="G106" s="50"/>
      <c r="H106" s="50"/>
      <c r="I106" s="50"/>
      <c r="J106" s="50"/>
      <c r="K106" s="51"/>
      <c r="L106" s="51"/>
      <c r="AI106" s="51"/>
      <c r="AV106" s="51"/>
      <c r="AX106" s="51"/>
      <c r="BB106" s="51"/>
    </row>
    <row r="107" spans="3:54">
      <c r="C107" s="2" t="s">
        <v>185</v>
      </c>
      <c r="E107" s="52">
        <v>17.163799999999998</v>
      </c>
      <c r="F107" s="53">
        <v>15.8362</v>
      </c>
    </row>
    <row r="108" spans="3:54">
      <c r="C108" s="2" t="s">
        <v>186</v>
      </c>
      <c r="E108" s="52">
        <v>19.482600000000001</v>
      </c>
      <c r="F108" s="53">
        <v>19.558199999999999</v>
      </c>
    </row>
    <row r="109" spans="3:54">
      <c r="C109" s="2" t="s">
        <v>187</v>
      </c>
      <c r="E109" s="52">
        <v>18.949300000000001</v>
      </c>
      <c r="F109" s="53">
        <v>17.5091</v>
      </c>
    </row>
    <row r="110" spans="3:54">
      <c r="C110" s="2" t="s">
        <v>188</v>
      </c>
      <c r="E110" s="52">
        <v>20.8446</v>
      </c>
      <c r="F110" s="53">
        <v>20.950800000000001</v>
      </c>
    </row>
    <row r="112" spans="3:54">
      <c r="C112" s="2" t="s">
        <v>189</v>
      </c>
      <c r="E112" s="11" t="s">
        <v>190</v>
      </c>
      <c r="F112" s="49" t="s">
        <v>191</v>
      </c>
    </row>
    <row r="113" spans="3:11">
      <c r="C113" s="2" t="s">
        <v>185</v>
      </c>
      <c r="E113" s="52">
        <v>1.37</v>
      </c>
      <c r="F113" s="53">
        <v>1.37</v>
      </c>
    </row>
    <row r="114" spans="3:11">
      <c r="C114" s="2" t="s">
        <v>187</v>
      </c>
      <c r="E114" s="52">
        <v>1.51</v>
      </c>
      <c r="F114" s="53">
        <v>1.51</v>
      </c>
    </row>
    <row r="116" spans="3:11">
      <c r="C116" s="2" t="s">
        <v>192</v>
      </c>
    </row>
    <row r="117" spans="3:11">
      <c r="C117" s="2" t="s">
        <v>193</v>
      </c>
    </row>
    <row r="118" spans="3:11">
      <c r="C118" s="2" t="s">
        <v>194</v>
      </c>
    </row>
    <row r="119" spans="3:11">
      <c r="C119" s="2" t="s">
        <v>195</v>
      </c>
    </row>
    <row r="120" spans="3:11">
      <c r="C120" s="2" t="s">
        <v>196</v>
      </c>
    </row>
    <row r="121" spans="3:11">
      <c r="C121" s="2" t="s">
        <v>197</v>
      </c>
    </row>
    <row r="122" spans="3:11">
      <c r="C122" s="2" t="s">
        <v>198</v>
      </c>
    </row>
    <row r="123" spans="3:11">
      <c r="C123" s="2" t="s">
        <v>199</v>
      </c>
    </row>
    <row r="124" spans="3:11">
      <c r="C124" s="2" t="s">
        <v>200</v>
      </c>
    </row>
    <row r="125" spans="3:11">
      <c r="C125" s="2" t="s">
        <v>201</v>
      </c>
    </row>
    <row r="126" spans="3:11">
      <c r="C126" s="2" t="s">
        <v>202</v>
      </c>
    </row>
    <row r="127" spans="3:11">
      <c r="C127" s="2" t="s">
        <v>203</v>
      </c>
    </row>
    <row r="128" spans="3:11" ht="14.4">
      <c r="C128" s="54"/>
      <c r="D128" s="54"/>
      <c r="E128" s="55"/>
      <c r="F128" s="55"/>
      <c r="G128" s="55"/>
      <c r="H128" s="55"/>
      <c r="I128" s="55"/>
      <c r="J128" s="55"/>
      <c r="K128" s="55"/>
    </row>
    <row r="129" spans="3:11" ht="14.4">
      <c r="C129" s="55"/>
      <c r="D129" s="55"/>
      <c r="E129" s="55"/>
      <c r="F129" s="55"/>
      <c r="G129" s="55"/>
      <c r="H129" s="55"/>
      <c r="I129" s="55"/>
      <c r="J129" s="55"/>
      <c r="K129" s="55"/>
    </row>
    <row r="130" spans="3:11" ht="14.4">
      <c r="C130" s="55"/>
      <c r="D130" s="55"/>
      <c r="E130" s="55"/>
      <c r="F130" s="55"/>
      <c r="G130" s="55"/>
      <c r="H130" s="55"/>
      <c r="I130" s="55"/>
      <c r="J130" s="55"/>
      <c r="K130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32"/>
  <sheetViews>
    <sheetView workbookViewId="0">
      <selection activeCell="C17" sqref="C17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6" t="s">
        <v>204</v>
      </c>
      <c r="D2" s="57"/>
      <c r="E2" s="57"/>
      <c r="F2" s="57"/>
      <c r="G2" s="57"/>
      <c r="H2" s="57"/>
      <c r="I2" s="57"/>
      <c r="J2" s="57"/>
      <c r="K2" s="58"/>
      <c r="M2" s="9"/>
    </row>
    <row r="3" spans="1:54" ht="14.4" thickBot="1">
      <c r="C3" s="59"/>
      <c r="D3" s="60"/>
      <c r="E3" s="60"/>
      <c r="F3" s="60"/>
      <c r="G3" s="60"/>
      <c r="H3" s="60"/>
      <c r="I3" s="60"/>
      <c r="J3" s="60"/>
      <c r="K3" s="61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2" t="s">
        <v>205</v>
      </c>
      <c r="D5" s="63"/>
      <c r="E5" s="63"/>
      <c r="F5" s="63"/>
      <c r="G5" s="63"/>
      <c r="H5" s="63"/>
      <c r="I5" s="63"/>
      <c r="J5" s="63"/>
      <c r="K5" s="6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2500000</v>
      </c>
      <c r="G11" s="34">
        <v>9587.5</v>
      </c>
      <c r="H11" s="34">
        <v>10.81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19</v>
      </c>
      <c r="F12" s="33">
        <v>300000</v>
      </c>
      <c r="G12" s="34">
        <v>7681.05</v>
      </c>
      <c r="H12" s="34">
        <v>8.66</v>
      </c>
      <c r="I12" s="35"/>
      <c r="J12" s="35"/>
      <c r="K12" s="36"/>
    </row>
    <row r="13" spans="1:54">
      <c r="B13" s="1" t="s">
        <v>23</v>
      </c>
      <c r="C13" s="21" t="s">
        <v>24</v>
      </c>
      <c r="D13" s="31" t="s">
        <v>25</v>
      </c>
      <c r="E13" s="32" t="s">
        <v>26</v>
      </c>
      <c r="F13" s="33">
        <v>850000</v>
      </c>
      <c r="G13" s="34">
        <v>6366.5</v>
      </c>
      <c r="H13" s="34">
        <v>7.18</v>
      </c>
      <c r="I13" s="35"/>
      <c r="J13" s="35"/>
      <c r="K13" s="36"/>
    </row>
    <row r="14" spans="1:54">
      <c r="B14" s="1" t="s">
        <v>27</v>
      </c>
      <c r="C14" s="21" t="s">
        <v>28</v>
      </c>
      <c r="D14" s="31" t="s">
        <v>29</v>
      </c>
      <c r="E14" s="32" t="s">
        <v>30</v>
      </c>
      <c r="F14" s="33">
        <v>25000</v>
      </c>
      <c r="G14" s="34">
        <v>4926.13</v>
      </c>
      <c r="H14" s="34">
        <v>5.55</v>
      </c>
      <c r="I14" s="35"/>
      <c r="J14" s="35"/>
      <c r="K14" s="36"/>
    </row>
    <row r="15" spans="1:54">
      <c r="B15" s="1" t="s">
        <v>31</v>
      </c>
      <c r="C15" s="21" t="s">
        <v>32</v>
      </c>
      <c r="D15" s="31" t="s">
        <v>33</v>
      </c>
      <c r="E15" s="32" t="s">
        <v>34</v>
      </c>
      <c r="F15" s="33">
        <v>160000</v>
      </c>
      <c r="G15" s="34">
        <v>4023.84</v>
      </c>
      <c r="H15" s="34">
        <v>4.54</v>
      </c>
      <c r="I15" s="35"/>
      <c r="J15" s="35"/>
      <c r="K15" s="36"/>
    </row>
    <row r="16" spans="1:54">
      <c r="B16" s="1" t="s">
        <v>35</v>
      </c>
      <c r="C16" s="21" t="s">
        <v>36</v>
      </c>
      <c r="D16" s="31" t="s">
        <v>37</v>
      </c>
      <c r="E16" s="32" t="s">
        <v>38</v>
      </c>
      <c r="F16" s="33">
        <v>48500</v>
      </c>
      <c r="G16" s="34">
        <v>4021.69</v>
      </c>
      <c r="H16" s="34">
        <v>4.53</v>
      </c>
      <c r="I16" s="35"/>
      <c r="J16" s="35"/>
      <c r="K16" s="36"/>
    </row>
    <row r="17" spans="2:11">
      <c r="B17" s="1" t="s">
        <v>39</v>
      </c>
      <c r="C17" s="21" t="s">
        <v>40</v>
      </c>
      <c r="D17" s="31" t="s">
        <v>41</v>
      </c>
      <c r="E17" s="32" t="s">
        <v>42</v>
      </c>
      <c r="F17" s="33">
        <v>265000</v>
      </c>
      <c r="G17" s="34">
        <v>3643.62</v>
      </c>
      <c r="H17" s="34">
        <v>4.1100000000000003</v>
      </c>
      <c r="I17" s="35"/>
      <c r="J17" s="35"/>
      <c r="K17" s="36"/>
    </row>
    <row r="18" spans="2:11">
      <c r="B18" s="1" t="s">
        <v>43</v>
      </c>
      <c r="C18" s="21" t="s">
        <v>44</v>
      </c>
      <c r="D18" s="31" t="s">
        <v>45</v>
      </c>
      <c r="E18" s="32" t="s">
        <v>38</v>
      </c>
      <c r="F18" s="33">
        <v>300000</v>
      </c>
      <c r="G18" s="34">
        <v>3476.1</v>
      </c>
      <c r="H18" s="34">
        <v>3.92</v>
      </c>
      <c r="I18" s="35"/>
      <c r="J18" s="35"/>
      <c r="K18" s="36"/>
    </row>
    <row r="19" spans="2:11">
      <c r="B19" s="1" t="s">
        <v>46</v>
      </c>
      <c r="C19" s="21" t="s">
        <v>47</v>
      </c>
      <c r="D19" s="31" t="s">
        <v>48</v>
      </c>
      <c r="E19" s="32" t="s">
        <v>49</v>
      </c>
      <c r="F19" s="33">
        <v>350000</v>
      </c>
      <c r="G19" s="34">
        <v>3388.53</v>
      </c>
      <c r="H19" s="34">
        <v>3.82</v>
      </c>
      <c r="I19" s="35"/>
      <c r="J19" s="35"/>
      <c r="K19" s="36"/>
    </row>
    <row r="20" spans="2:11">
      <c r="B20" s="1" t="s">
        <v>50</v>
      </c>
      <c r="C20" s="21" t="s">
        <v>51</v>
      </c>
      <c r="D20" s="31" t="s">
        <v>52</v>
      </c>
      <c r="E20" s="32" t="s">
        <v>34</v>
      </c>
      <c r="F20" s="33">
        <v>110000</v>
      </c>
      <c r="G20" s="34">
        <v>3037.82</v>
      </c>
      <c r="H20" s="34">
        <v>3.42</v>
      </c>
      <c r="I20" s="35"/>
      <c r="J20" s="35"/>
      <c r="K20" s="36"/>
    </row>
    <row r="21" spans="2:11">
      <c r="B21" s="1" t="s">
        <v>53</v>
      </c>
      <c r="C21" s="21" t="s">
        <v>54</v>
      </c>
      <c r="D21" s="31" t="s">
        <v>55</v>
      </c>
      <c r="E21" s="32" t="s">
        <v>38</v>
      </c>
      <c r="F21" s="33">
        <v>270000</v>
      </c>
      <c r="G21" s="34">
        <v>2908.44</v>
      </c>
      <c r="H21" s="34">
        <v>3.28</v>
      </c>
      <c r="I21" s="35"/>
      <c r="J21" s="35"/>
      <c r="K21" s="36"/>
    </row>
    <row r="22" spans="2:11">
      <c r="B22" s="1" t="s">
        <v>56</v>
      </c>
      <c r="C22" s="21" t="s">
        <v>57</v>
      </c>
      <c r="D22" s="31" t="s">
        <v>58</v>
      </c>
      <c r="E22" s="32" t="s">
        <v>59</v>
      </c>
      <c r="F22" s="33">
        <v>87000</v>
      </c>
      <c r="G22" s="34">
        <v>2284.19</v>
      </c>
      <c r="H22" s="34">
        <v>2.57</v>
      </c>
      <c r="I22" s="35"/>
      <c r="J22" s="35"/>
      <c r="K22" s="36"/>
    </row>
    <row r="23" spans="2:11">
      <c r="B23" s="1" t="s">
        <v>60</v>
      </c>
      <c r="C23" s="21" t="s">
        <v>61</v>
      </c>
      <c r="D23" s="31" t="s">
        <v>62</v>
      </c>
      <c r="E23" s="32" t="s">
        <v>49</v>
      </c>
      <c r="F23" s="33">
        <v>13000</v>
      </c>
      <c r="G23" s="34">
        <v>1734.15</v>
      </c>
      <c r="H23" s="34">
        <v>1.95</v>
      </c>
      <c r="I23" s="35"/>
      <c r="J23" s="35"/>
      <c r="K23" s="36"/>
    </row>
    <row r="24" spans="2:11">
      <c r="B24" s="1" t="s">
        <v>63</v>
      </c>
      <c r="C24" s="21" t="s">
        <v>64</v>
      </c>
      <c r="D24" s="31" t="s">
        <v>65</v>
      </c>
      <c r="E24" s="32" t="s">
        <v>30</v>
      </c>
      <c r="F24" s="33">
        <v>40000</v>
      </c>
      <c r="G24" s="34">
        <v>1728.86</v>
      </c>
      <c r="H24" s="34">
        <v>1.95</v>
      </c>
      <c r="I24" s="35"/>
      <c r="J24" s="35"/>
      <c r="K24" s="36"/>
    </row>
    <row r="25" spans="2:11">
      <c r="B25" s="1" t="s">
        <v>66</v>
      </c>
      <c r="C25" s="21" t="s">
        <v>67</v>
      </c>
      <c r="D25" s="31" t="s">
        <v>68</v>
      </c>
      <c r="E25" s="32" t="s">
        <v>69</v>
      </c>
      <c r="F25" s="33">
        <v>230000</v>
      </c>
      <c r="G25" s="34">
        <v>1630.36</v>
      </c>
      <c r="H25" s="34">
        <v>1.84</v>
      </c>
      <c r="I25" s="35"/>
      <c r="J25" s="35"/>
      <c r="K25" s="36"/>
    </row>
    <row r="26" spans="2:11">
      <c r="B26" s="1" t="s">
        <v>70</v>
      </c>
      <c r="C26" s="21" t="s">
        <v>71</v>
      </c>
      <c r="D26" s="31" t="s">
        <v>72</v>
      </c>
      <c r="E26" s="32" t="s">
        <v>49</v>
      </c>
      <c r="F26" s="33">
        <v>250000</v>
      </c>
      <c r="G26" s="34">
        <v>1362.25</v>
      </c>
      <c r="H26" s="34">
        <v>1.54</v>
      </c>
      <c r="I26" s="35"/>
      <c r="J26" s="35"/>
      <c r="K26" s="36"/>
    </row>
    <row r="27" spans="2:11">
      <c r="B27" s="1" t="s">
        <v>73</v>
      </c>
      <c r="C27" s="21" t="s">
        <v>74</v>
      </c>
      <c r="D27" s="31" t="s">
        <v>75</v>
      </c>
      <c r="E27" s="32" t="s">
        <v>76</v>
      </c>
      <c r="F27" s="33">
        <v>150000</v>
      </c>
      <c r="G27" s="34">
        <v>1315.88</v>
      </c>
      <c r="H27" s="34">
        <v>1.48</v>
      </c>
      <c r="I27" s="35"/>
      <c r="J27" s="35"/>
      <c r="K27" s="36"/>
    </row>
    <row r="28" spans="2:11">
      <c r="B28" s="1" t="s">
        <v>77</v>
      </c>
      <c r="C28" s="21" t="s">
        <v>78</v>
      </c>
      <c r="D28" s="31" t="s">
        <v>79</v>
      </c>
      <c r="E28" s="32" t="s">
        <v>80</v>
      </c>
      <c r="F28" s="33">
        <v>300000</v>
      </c>
      <c r="G28" s="34">
        <v>1307.0999999999999</v>
      </c>
      <c r="H28" s="34">
        <v>1.47</v>
      </c>
      <c r="I28" s="35"/>
      <c r="J28" s="35"/>
      <c r="K28" s="36"/>
    </row>
    <row r="29" spans="2:11">
      <c r="B29" s="1" t="s">
        <v>81</v>
      </c>
      <c r="C29" s="21" t="s">
        <v>82</v>
      </c>
      <c r="D29" s="31" t="s">
        <v>83</v>
      </c>
      <c r="E29" s="32" t="s">
        <v>34</v>
      </c>
      <c r="F29" s="33">
        <v>90000</v>
      </c>
      <c r="G29" s="34">
        <v>1241.24</v>
      </c>
      <c r="H29" s="34">
        <v>1.4</v>
      </c>
      <c r="I29" s="35"/>
      <c r="J29" s="35"/>
      <c r="K29" s="36"/>
    </row>
    <row r="30" spans="2:11">
      <c r="B30" s="1" t="s">
        <v>84</v>
      </c>
      <c r="C30" s="21" t="s">
        <v>85</v>
      </c>
      <c r="D30" s="31" t="s">
        <v>86</v>
      </c>
      <c r="E30" s="32" t="s">
        <v>69</v>
      </c>
      <c r="F30" s="33">
        <v>250000</v>
      </c>
      <c r="G30" s="34">
        <v>1199.5</v>
      </c>
      <c r="H30" s="34">
        <v>1.35</v>
      </c>
      <c r="I30" s="35"/>
      <c r="J30" s="35"/>
      <c r="K30" s="36"/>
    </row>
    <row r="31" spans="2:11">
      <c r="B31" s="1" t="s">
        <v>87</v>
      </c>
      <c r="C31" s="21" t="s">
        <v>88</v>
      </c>
      <c r="D31" s="31" t="s">
        <v>89</v>
      </c>
      <c r="E31" s="32" t="s">
        <v>90</v>
      </c>
      <c r="F31" s="33">
        <v>70000</v>
      </c>
      <c r="G31" s="34">
        <v>1195.5</v>
      </c>
      <c r="H31" s="34">
        <v>1.35</v>
      </c>
      <c r="I31" s="35"/>
      <c r="J31" s="35"/>
      <c r="K31" s="36"/>
    </row>
    <row r="32" spans="2:11">
      <c r="B32" s="1" t="s">
        <v>91</v>
      </c>
      <c r="C32" s="21" t="s">
        <v>92</v>
      </c>
      <c r="D32" s="31" t="s">
        <v>93</v>
      </c>
      <c r="E32" s="32" t="s">
        <v>38</v>
      </c>
      <c r="F32" s="33">
        <v>40000</v>
      </c>
      <c r="G32" s="34">
        <v>1179.54</v>
      </c>
      <c r="H32" s="34">
        <v>1.33</v>
      </c>
      <c r="I32" s="35"/>
      <c r="J32" s="35"/>
      <c r="K32" s="36"/>
    </row>
    <row r="33" spans="2:11">
      <c r="B33" s="1" t="s">
        <v>94</v>
      </c>
      <c r="C33" s="21" t="s">
        <v>95</v>
      </c>
      <c r="D33" s="31" t="s">
        <v>96</v>
      </c>
      <c r="E33" s="32" t="s">
        <v>42</v>
      </c>
      <c r="F33" s="33">
        <v>180000</v>
      </c>
      <c r="G33" s="34">
        <v>1167.75</v>
      </c>
      <c r="H33" s="34">
        <v>1.32</v>
      </c>
      <c r="I33" s="35"/>
      <c r="J33" s="35"/>
      <c r="K33" s="36"/>
    </row>
    <row r="34" spans="2:11">
      <c r="B34" s="1" t="s">
        <v>97</v>
      </c>
      <c r="C34" s="21" t="s">
        <v>98</v>
      </c>
      <c r="D34" s="31" t="s">
        <v>99</v>
      </c>
      <c r="E34" s="32" t="s">
        <v>80</v>
      </c>
      <c r="F34" s="33">
        <v>230000</v>
      </c>
      <c r="G34" s="34">
        <v>1148.1600000000001</v>
      </c>
      <c r="H34" s="34">
        <v>1.29</v>
      </c>
      <c r="I34" s="35"/>
      <c r="J34" s="35"/>
      <c r="K34" s="36"/>
    </row>
    <row r="35" spans="2:11">
      <c r="B35" s="1" t="s">
        <v>100</v>
      </c>
      <c r="C35" s="21" t="s">
        <v>101</v>
      </c>
      <c r="D35" s="31" t="s">
        <v>102</v>
      </c>
      <c r="E35" s="32" t="s">
        <v>103</v>
      </c>
      <c r="F35" s="33">
        <v>69000</v>
      </c>
      <c r="G35" s="34">
        <v>1058.46</v>
      </c>
      <c r="H35" s="34">
        <v>1.19</v>
      </c>
      <c r="I35" s="35"/>
      <c r="J35" s="35"/>
      <c r="K35" s="36"/>
    </row>
    <row r="36" spans="2:11">
      <c r="B36" s="1" t="s">
        <v>104</v>
      </c>
      <c r="C36" s="21" t="s">
        <v>105</v>
      </c>
      <c r="D36" s="31" t="s">
        <v>106</v>
      </c>
      <c r="E36" s="32" t="s">
        <v>34</v>
      </c>
      <c r="F36" s="33">
        <v>149024</v>
      </c>
      <c r="G36" s="34">
        <v>1041.9000000000001</v>
      </c>
      <c r="H36" s="34">
        <v>1.17</v>
      </c>
      <c r="I36" s="35"/>
      <c r="J36" s="35"/>
      <c r="K36" s="36"/>
    </row>
    <row r="37" spans="2:11">
      <c r="B37" s="1" t="s">
        <v>107</v>
      </c>
      <c r="C37" s="21" t="s">
        <v>108</v>
      </c>
      <c r="D37" s="31" t="s">
        <v>109</v>
      </c>
      <c r="E37" s="32" t="s">
        <v>110</v>
      </c>
      <c r="F37" s="33">
        <v>310000</v>
      </c>
      <c r="G37" s="34">
        <v>1005.49</v>
      </c>
      <c r="H37" s="34">
        <v>1.1299999999999999</v>
      </c>
      <c r="I37" s="35"/>
      <c r="J37" s="35"/>
      <c r="K37" s="36"/>
    </row>
    <row r="38" spans="2:11">
      <c r="B38" s="1" t="s">
        <v>111</v>
      </c>
      <c r="C38" s="21" t="s">
        <v>112</v>
      </c>
      <c r="D38" s="31" t="s">
        <v>113</v>
      </c>
      <c r="E38" s="32" t="s">
        <v>42</v>
      </c>
      <c r="F38" s="33">
        <v>1900000</v>
      </c>
      <c r="G38" s="34">
        <v>969</v>
      </c>
      <c r="H38" s="34">
        <v>1.0900000000000001</v>
      </c>
      <c r="I38" s="35"/>
      <c r="J38" s="35"/>
      <c r="K38" s="36"/>
    </row>
    <row r="39" spans="2:11">
      <c r="B39" s="1" t="s">
        <v>114</v>
      </c>
      <c r="C39" s="21" t="s">
        <v>115</v>
      </c>
      <c r="D39" s="31" t="s">
        <v>116</v>
      </c>
      <c r="E39" s="32" t="s">
        <v>117</v>
      </c>
      <c r="F39" s="33">
        <v>65000</v>
      </c>
      <c r="G39" s="34">
        <v>925.89</v>
      </c>
      <c r="H39" s="34">
        <v>1.04</v>
      </c>
      <c r="I39" s="35"/>
      <c r="J39" s="35"/>
      <c r="K39" s="36"/>
    </row>
    <row r="40" spans="2:11">
      <c r="B40" s="1" t="s">
        <v>118</v>
      </c>
      <c r="C40" s="21" t="s">
        <v>119</v>
      </c>
      <c r="D40" s="31" t="s">
        <v>120</v>
      </c>
      <c r="E40" s="32" t="s">
        <v>110</v>
      </c>
      <c r="F40" s="33">
        <v>210000</v>
      </c>
      <c r="G40" s="34">
        <v>924.21</v>
      </c>
      <c r="H40" s="34">
        <v>1.04</v>
      </c>
      <c r="I40" s="35"/>
      <c r="J40" s="35"/>
      <c r="K40" s="36"/>
    </row>
    <row r="41" spans="2:11">
      <c r="B41" s="1" t="s">
        <v>121</v>
      </c>
      <c r="C41" s="21" t="s">
        <v>122</v>
      </c>
      <c r="D41" s="31" t="s">
        <v>123</v>
      </c>
      <c r="E41" s="32" t="s">
        <v>110</v>
      </c>
      <c r="F41" s="33">
        <v>135000</v>
      </c>
      <c r="G41" s="34">
        <v>922.52</v>
      </c>
      <c r="H41" s="34">
        <v>1.04</v>
      </c>
      <c r="I41" s="35"/>
      <c r="J41" s="35"/>
      <c r="K41" s="36"/>
    </row>
    <row r="42" spans="2:11">
      <c r="B42" s="1" t="s">
        <v>124</v>
      </c>
      <c r="C42" s="21" t="s">
        <v>125</v>
      </c>
      <c r="D42" s="31" t="s">
        <v>126</v>
      </c>
      <c r="E42" s="32" t="s">
        <v>117</v>
      </c>
      <c r="F42" s="33">
        <v>120000</v>
      </c>
      <c r="G42" s="34">
        <v>907.56</v>
      </c>
      <c r="H42" s="34">
        <v>1.02</v>
      </c>
      <c r="I42" s="35"/>
      <c r="J42" s="35"/>
      <c r="K42" s="36"/>
    </row>
    <row r="43" spans="2:11">
      <c r="B43" s="1" t="s">
        <v>127</v>
      </c>
      <c r="C43" s="21" t="s">
        <v>128</v>
      </c>
      <c r="D43" s="31" t="s">
        <v>129</v>
      </c>
      <c r="E43" s="32" t="s">
        <v>34</v>
      </c>
      <c r="F43" s="33">
        <v>85000</v>
      </c>
      <c r="G43" s="34">
        <v>896.16</v>
      </c>
      <c r="H43" s="34">
        <v>1.01</v>
      </c>
      <c r="I43" s="35"/>
      <c r="J43" s="35"/>
      <c r="K43" s="36"/>
    </row>
    <row r="44" spans="2:11">
      <c r="B44" s="1" t="s">
        <v>130</v>
      </c>
      <c r="C44" s="21" t="s">
        <v>131</v>
      </c>
      <c r="D44" s="31" t="s">
        <v>132</v>
      </c>
      <c r="E44" s="32" t="s">
        <v>34</v>
      </c>
      <c r="F44" s="33">
        <v>230000</v>
      </c>
      <c r="G44" s="34">
        <v>889.64</v>
      </c>
      <c r="H44" s="34">
        <v>1</v>
      </c>
      <c r="I44" s="35"/>
      <c r="J44" s="35"/>
      <c r="K44" s="36"/>
    </row>
    <row r="45" spans="2:11">
      <c r="B45" s="1" t="s">
        <v>133</v>
      </c>
      <c r="C45" s="21" t="s">
        <v>134</v>
      </c>
      <c r="D45" s="31" t="s">
        <v>135</v>
      </c>
      <c r="E45" s="32" t="s">
        <v>59</v>
      </c>
      <c r="F45" s="33">
        <v>15000</v>
      </c>
      <c r="G45" s="34">
        <v>842.51</v>
      </c>
      <c r="H45" s="34">
        <v>0.95</v>
      </c>
      <c r="I45" s="35"/>
      <c r="J45" s="35"/>
      <c r="K45" s="36"/>
    </row>
    <row r="46" spans="2:11">
      <c r="B46" s="1" t="s">
        <v>136</v>
      </c>
      <c r="C46" s="21" t="s">
        <v>137</v>
      </c>
      <c r="D46" s="31" t="s">
        <v>138</v>
      </c>
      <c r="E46" s="32" t="s">
        <v>103</v>
      </c>
      <c r="F46" s="33">
        <v>360000</v>
      </c>
      <c r="G46" s="34">
        <v>764.1</v>
      </c>
      <c r="H46" s="34">
        <v>0.86</v>
      </c>
      <c r="I46" s="35"/>
      <c r="J46" s="35"/>
      <c r="K46" s="36"/>
    </row>
    <row r="47" spans="2:11">
      <c r="B47" s="1" t="s">
        <v>139</v>
      </c>
      <c r="C47" s="21" t="s">
        <v>140</v>
      </c>
      <c r="D47" s="31" t="s">
        <v>141</v>
      </c>
      <c r="E47" s="32" t="s">
        <v>42</v>
      </c>
      <c r="F47" s="33">
        <v>29972</v>
      </c>
      <c r="G47" s="34">
        <v>648.08000000000004</v>
      </c>
      <c r="H47" s="34">
        <v>0.73</v>
      </c>
      <c r="I47" s="35"/>
      <c r="J47" s="35"/>
      <c r="K47" s="36"/>
    </row>
    <row r="48" spans="2:11">
      <c r="C48" s="30" t="s">
        <v>142</v>
      </c>
      <c r="D48" s="31"/>
      <c r="E48" s="32"/>
      <c r="F48" s="33"/>
      <c r="G48" s="38">
        <v>83351.22</v>
      </c>
      <c r="H48" s="38">
        <v>93.93</v>
      </c>
      <c r="I48" s="35"/>
      <c r="J48" s="35"/>
      <c r="K48" s="36"/>
    </row>
    <row r="49" spans="3:11">
      <c r="C49" s="21"/>
      <c r="D49" s="31"/>
      <c r="E49" s="32"/>
      <c r="F49" s="33"/>
      <c r="G49" s="34"/>
      <c r="H49" s="34"/>
      <c r="I49" s="35"/>
      <c r="J49" s="35"/>
      <c r="K49" s="36"/>
    </row>
    <row r="50" spans="3:11">
      <c r="C50" s="30" t="s">
        <v>143</v>
      </c>
      <c r="D50" s="31"/>
      <c r="E50" s="32"/>
      <c r="F50" s="33"/>
      <c r="G50" s="34" t="s">
        <v>144</v>
      </c>
      <c r="H50" s="34" t="s">
        <v>144</v>
      </c>
      <c r="I50" s="35"/>
      <c r="J50" s="35"/>
      <c r="K50" s="36"/>
    </row>
    <row r="51" spans="3:11">
      <c r="C51" s="21"/>
      <c r="D51" s="31"/>
      <c r="E51" s="32"/>
      <c r="F51" s="33"/>
      <c r="G51" s="34"/>
      <c r="H51" s="34"/>
      <c r="I51" s="35"/>
      <c r="J51" s="35"/>
      <c r="K51" s="36"/>
    </row>
    <row r="52" spans="3:11">
      <c r="C52" s="30" t="s">
        <v>145</v>
      </c>
      <c r="D52" s="31"/>
      <c r="E52" s="32"/>
      <c r="F52" s="33"/>
      <c r="G52" s="34" t="s">
        <v>144</v>
      </c>
      <c r="H52" s="34" t="s">
        <v>144</v>
      </c>
      <c r="I52" s="35"/>
      <c r="J52" s="35"/>
      <c r="K52" s="36"/>
    </row>
    <row r="53" spans="3:11">
      <c r="C53" s="21"/>
      <c r="D53" s="31"/>
      <c r="E53" s="32"/>
      <c r="F53" s="33"/>
      <c r="G53" s="34"/>
      <c r="H53" s="34"/>
      <c r="I53" s="35"/>
      <c r="J53" s="35"/>
      <c r="K53" s="36"/>
    </row>
    <row r="54" spans="3:11">
      <c r="C54" s="30" t="s">
        <v>146</v>
      </c>
      <c r="D54" s="31"/>
      <c r="E54" s="32"/>
      <c r="F54" s="33"/>
      <c r="G54" s="34"/>
      <c r="H54" s="34"/>
      <c r="I54" s="35"/>
      <c r="J54" s="35"/>
      <c r="K54" s="36"/>
    </row>
    <row r="55" spans="3:11">
      <c r="C55" s="21"/>
      <c r="D55" s="31"/>
      <c r="E55" s="32"/>
      <c r="F55" s="33"/>
      <c r="G55" s="34"/>
      <c r="H55" s="34"/>
      <c r="I55" s="35"/>
      <c r="J55" s="35"/>
      <c r="K55" s="36"/>
    </row>
    <row r="56" spans="3:11">
      <c r="C56" s="30" t="s">
        <v>147</v>
      </c>
      <c r="D56" s="31"/>
      <c r="E56" s="32"/>
      <c r="F56" s="33"/>
      <c r="G56" s="34" t="s">
        <v>144</v>
      </c>
      <c r="H56" s="34" t="s">
        <v>144</v>
      </c>
      <c r="I56" s="35"/>
      <c r="J56" s="35"/>
      <c r="K56" s="36"/>
    </row>
    <row r="57" spans="3:11">
      <c r="C57" s="21"/>
      <c r="D57" s="31"/>
      <c r="E57" s="32"/>
      <c r="F57" s="33"/>
      <c r="G57" s="34"/>
      <c r="H57" s="34"/>
      <c r="I57" s="35"/>
      <c r="J57" s="35"/>
      <c r="K57" s="36"/>
    </row>
    <row r="58" spans="3:11">
      <c r="C58" s="30" t="s">
        <v>148</v>
      </c>
      <c r="D58" s="31"/>
      <c r="E58" s="32"/>
      <c r="F58" s="33"/>
      <c r="G58" s="34" t="s">
        <v>144</v>
      </c>
      <c r="H58" s="34" t="s">
        <v>144</v>
      </c>
      <c r="I58" s="35"/>
      <c r="J58" s="35"/>
      <c r="K58" s="36"/>
    </row>
    <row r="59" spans="3:11">
      <c r="C59" s="21"/>
      <c r="D59" s="31"/>
      <c r="E59" s="32"/>
      <c r="F59" s="33"/>
      <c r="G59" s="34"/>
      <c r="H59" s="34"/>
      <c r="I59" s="35"/>
      <c r="J59" s="35"/>
      <c r="K59" s="36"/>
    </row>
    <row r="60" spans="3:11">
      <c r="C60" s="30" t="s">
        <v>149</v>
      </c>
      <c r="D60" s="31"/>
      <c r="E60" s="32"/>
      <c r="F60" s="33"/>
      <c r="G60" s="34" t="s">
        <v>144</v>
      </c>
      <c r="H60" s="34" t="s">
        <v>144</v>
      </c>
      <c r="I60" s="35"/>
      <c r="J60" s="35"/>
      <c r="K60" s="36"/>
    </row>
    <row r="61" spans="3:11">
      <c r="C61" s="21"/>
      <c r="D61" s="31"/>
      <c r="E61" s="32"/>
      <c r="F61" s="33"/>
      <c r="G61" s="34"/>
      <c r="H61" s="34"/>
      <c r="I61" s="35"/>
      <c r="J61" s="35"/>
      <c r="K61" s="36"/>
    </row>
    <row r="62" spans="3:11">
      <c r="C62" s="30" t="s">
        <v>150</v>
      </c>
      <c r="D62" s="31"/>
      <c r="E62" s="32"/>
      <c r="F62" s="33"/>
      <c r="G62" s="34" t="s">
        <v>144</v>
      </c>
      <c r="H62" s="34" t="s">
        <v>144</v>
      </c>
      <c r="I62" s="35"/>
      <c r="J62" s="35"/>
      <c r="K62" s="36"/>
    </row>
    <row r="63" spans="3:11">
      <c r="C63" s="21"/>
      <c r="D63" s="31"/>
      <c r="E63" s="32"/>
      <c r="F63" s="33"/>
      <c r="G63" s="34"/>
      <c r="H63" s="34"/>
      <c r="I63" s="35"/>
      <c r="J63" s="35"/>
      <c r="K63" s="36"/>
    </row>
    <row r="64" spans="3:11">
      <c r="C64" s="30" t="s">
        <v>151</v>
      </c>
      <c r="D64" s="31"/>
      <c r="E64" s="32"/>
      <c r="F64" s="33"/>
      <c r="G64" s="34" t="s">
        <v>144</v>
      </c>
      <c r="H64" s="34" t="s">
        <v>144</v>
      </c>
      <c r="I64" s="35"/>
      <c r="J64" s="35"/>
      <c r="K64" s="36"/>
    </row>
    <row r="65" spans="1:11">
      <c r="C65" s="21"/>
      <c r="D65" s="31"/>
      <c r="E65" s="32"/>
      <c r="F65" s="33"/>
      <c r="G65" s="34"/>
      <c r="H65" s="34"/>
      <c r="I65" s="35"/>
      <c r="J65" s="35"/>
      <c r="K65" s="36"/>
    </row>
    <row r="66" spans="1:11">
      <c r="A66" s="28"/>
      <c r="B66" s="29"/>
      <c r="C66" s="30" t="s">
        <v>152</v>
      </c>
      <c r="D66" s="31"/>
      <c r="E66" s="32"/>
      <c r="F66" s="33"/>
      <c r="G66" s="34"/>
      <c r="H66" s="34"/>
      <c r="I66" s="35"/>
      <c r="J66" s="35"/>
      <c r="K66" s="36"/>
    </row>
    <row r="67" spans="1:11">
      <c r="A67" s="29"/>
      <c r="B67" s="29"/>
      <c r="C67" s="30" t="s">
        <v>153</v>
      </c>
      <c r="D67" s="31"/>
      <c r="E67" s="32"/>
      <c r="F67" s="33"/>
      <c r="G67" s="34" t="s">
        <v>144</v>
      </c>
      <c r="H67" s="34" t="s">
        <v>144</v>
      </c>
      <c r="I67" s="35"/>
      <c r="J67" s="35"/>
      <c r="K67" s="36"/>
    </row>
    <row r="68" spans="1:11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>
      <c r="A69" s="29"/>
      <c r="B69" s="29"/>
      <c r="C69" s="30" t="s">
        <v>154</v>
      </c>
      <c r="D69" s="31"/>
      <c r="E69" s="32"/>
      <c r="F69" s="33"/>
      <c r="G69" s="34" t="s">
        <v>144</v>
      </c>
      <c r="H69" s="34" t="s">
        <v>144</v>
      </c>
      <c r="I69" s="35"/>
      <c r="J69" s="35"/>
      <c r="K69" s="36"/>
    </row>
    <row r="70" spans="1:11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>
      <c r="C71" s="37" t="s">
        <v>155</v>
      </c>
      <c r="D71" s="31"/>
      <c r="E71" s="32"/>
      <c r="F71" s="33"/>
      <c r="G71" s="34"/>
      <c r="H71" s="34"/>
      <c r="I71" s="35"/>
      <c r="J71" s="35"/>
      <c r="K71" s="36"/>
    </row>
    <row r="72" spans="1:11">
      <c r="B72" s="1" t="s">
        <v>156</v>
      </c>
      <c r="C72" s="21" t="s">
        <v>157</v>
      </c>
      <c r="D72" s="31" t="s">
        <v>158</v>
      </c>
      <c r="E72" s="32" t="s">
        <v>159</v>
      </c>
      <c r="F72" s="33">
        <v>900000</v>
      </c>
      <c r="G72" s="34">
        <v>855.72</v>
      </c>
      <c r="H72" s="34">
        <v>0.96</v>
      </c>
      <c r="I72" s="35">
        <v>7.1550000000000002</v>
      </c>
      <c r="J72" s="35"/>
      <c r="K72" s="36"/>
    </row>
    <row r="73" spans="1:11">
      <c r="C73" s="30" t="s">
        <v>142</v>
      </c>
      <c r="D73" s="31"/>
      <c r="E73" s="32"/>
      <c r="F73" s="33"/>
      <c r="G73" s="38">
        <v>855.72</v>
      </c>
      <c r="H73" s="38">
        <v>0.96</v>
      </c>
      <c r="I73" s="35"/>
      <c r="J73" s="35"/>
      <c r="K73" s="36"/>
    </row>
    <row r="74" spans="1:11">
      <c r="C74" s="21"/>
      <c r="D74" s="31"/>
      <c r="E74" s="32"/>
      <c r="F74" s="33"/>
      <c r="G74" s="34"/>
      <c r="H74" s="34"/>
      <c r="I74" s="35"/>
      <c r="J74" s="35"/>
      <c r="K74" s="36"/>
    </row>
    <row r="75" spans="1:11">
      <c r="C75" s="30" t="s">
        <v>160</v>
      </c>
      <c r="D75" s="31"/>
      <c r="E75" s="32"/>
      <c r="F75" s="33"/>
      <c r="G75" s="34" t="s">
        <v>144</v>
      </c>
      <c r="H75" s="34" t="s">
        <v>144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>
      <c r="A77" s="28"/>
      <c r="B77" s="29"/>
      <c r="C77" s="30" t="s">
        <v>161</v>
      </c>
      <c r="D77" s="31"/>
      <c r="E77" s="32"/>
      <c r="F77" s="33"/>
      <c r="G77" s="34"/>
      <c r="H77" s="34"/>
      <c r="I77" s="35"/>
      <c r="J77" s="35"/>
      <c r="K77" s="36"/>
    </row>
    <row r="78" spans="1:11">
      <c r="A78" s="29"/>
      <c r="B78" s="29"/>
      <c r="C78" s="30" t="s">
        <v>162</v>
      </c>
      <c r="D78" s="31"/>
      <c r="E78" s="32"/>
      <c r="F78" s="33"/>
      <c r="G78" s="34" t="s">
        <v>144</v>
      </c>
      <c r="H78" s="34" t="s">
        <v>144</v>
      </c>
      <c r="I78" s="35"/>
      <c r="J78" s="35"/>
      <c r="K78" s="36"/>
    </row>
    <row r="79" spans="1:11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>
      <c r="A80" s="29"/>
      <c r="B80" s="29"/>
      <c r="C80" s="30" t="s">
        <v>163</v>
      </c>
      <c r="D80" s="31"/>
      <c r="E80" s="32"/>
      <c r="F80" s="33"/>
      <c r="G80" s="34" t="s">
        <v>144</v>
      </c>
      <c r="H80" s="34" t="s">
        <v>144</v>
      </c>
      <c r="I80" s="35"/>
      <c r="J80" s="35"/>
      <c r="K80" s="36"/>
    </row>
    <row r="81" spans="1:11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>
      <c r="A82" s="29"/>
      <c r="B82" s="29"/>
      <c r="C82" s="30" t="s">
        <v>164</v>
      </c>
      <c r="D82" s="31"/>
      <c r="E82" s="32"/>
      <c r="F82" s="33"/>
      <c r="G82" s="34" t="s">
        <v>144</v>
      </c>
      <c r="H82" s="34" t="s">
        <v>144</v>
      </c>
      <c r="I82" s="35"/>
      <c r="J82" s="35"/>
      <c r="K82" s="36"/>
    </row>
    <row r="83" spans="1:11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>
      <c r="A84" s="29"/>
      <c r="B84" s="29"/>
      <c r="C84" s="30" t="s">
        <v>165</v>
      </c>
      <c r="D84" s="31"/>
      <c r="E84" s="32"/>
      <c r="F84" s="33"/>
      <c r="G84" s="34" t="s">
        <v>144</v>
      </c>
      <c r="H84" s="34" t="s">
        <v>144</v>
      </c>
      <c r="I84" s="35"/>
      <c r="J84" s="35"/>
      <c r="K84" s="36"/>
    </row>
    <row r="85" spans="1:11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>
      <c r="C86" s="37" t="s">
        <v>166</v>
      </c>
      <c r="D86" s="31"/>
      <c r="E86" s="32"/>
      <c r="F86" s="33"/>
      <c r="G86" s="34"/>
      <c r="H86" s="34"/>
      <c r="I86" s="35"/>
      <c r="J86" s="35"/>
      <c r="K86" s="36"/>
    </row>
    <row r="87" spans="1:11">
      <c r="B87" s="1" t="s">
        <v>167</v>
      </c>
      <c r="C87" s="21" t="s">
        <v>168</v>
      </c>
      <c r="D87" s="31"/>
      <c r="E87" s="32"/>
      <c r="F87" s="33"/>
      <c r="G87" s="34">
        <v>4837.01</v>
      </c>
      <c r="H87" s="34">
        <v>5.45</v>
      </c>
      <c r="I87" s="35">
        <v>7.14</v>
      </c>
      <c r="J87" s="35"/>
      <c r="K87" s="36"/>
    </row>
    <row r="88" spans="1:11">
      <c r="C88" s="30" t="s">
        <v>142</v>
      </c>
      <c r="D88" s="31"/>
      <c r="E88" s="32"/>
      <c r="F88" s="33"/>
      <c r="G88" s="38">
        <v>4837.01</v>
      </c>
      <c r="H88" s="38">
        <v>5.45</v>
      </c>
      <c r="I88" s="35"/>
      <c r="J88" s="35"/>
      <c r="K88" s="36"/>
    </row>
    <row r="89" spans="1:11">
      <c r="C89" s="21"/>
      <c r="D89" s="31"/>
      <c r="E89" s="32"/>
      <c r="F89" s="33"/>
      <c r="G89" s="34"/>
      <c r="H89" s="34"/>
      <c r="I89" s="35"/>
      <c r="J89" s="35"/>
      <c r="K89" s="36"/>
    </row>
    <row r="90" spans="1:11">
      <c r="A90" s="28"/>
      <c r="B90" s="29"/>
      <c r="C90" s="30" t="s">
        <v>169</v>
      </c>
      <c r="D90" s="31"/>
      <c r="E90" s="32"/>
      <c r="F90" s="33"/>
      <c r="G90" s="34"/>
      <c r="H90" s="34"/>
      <c r="I90" s="35"/>
      <c r="J90" s="35"/>
      <c r="K90" s="36"/>
    </row>
    <row r="91" spans="1:11">
      <c r="B91" s="1"/>
      <c r="C91" s="21" t="s">
        <v>170</v>
      </c>
      <c r="D91" s="31"/>
      <c r="E91" s="32"/>
      <c r="F91" s="33"/>
      <c r="G91" s="34">
        <v>-332.93</v>
      </c>
      <c r="H91" s="34">
        <v>-0.34</v>
      </c>
      <c r="I91" s="35"/>
      <c r="J91" s="35"/>
      <c r="K91" s="36"/>
    </row>
    <row r="92" spans="1:11">
      <c r="C92" s="30" t="s">
        <v>142</v>
      </c>
      <c r="D92" s="31"/>
      <c r="E92" s="32"/>
      <c r="F92" s="33"/>
      <c r="G92" s="38">
        <v>-332.93</v>
      </c>
      <c r="H92" s="38">
        <v>-0.34</v>
      </c>
      <c r="I92" s="35"/>
      <c r="J92" s="35"/>
      <c r="K92" s="36"/>
    </row>
    <row r="93" spans="1:11">
      <c r="C93" s="21"/>
      <c r="D93" s="31"/>
      <c r="E93" s="32"/>
      <c r="F93" s="33"/>
      <c r="G93" s="34"/>
      <c r="H93" s="34"/>
      <c r="I93" s="35"/>
      <c r="J93" s="35"/>
      <c r="K93" s="36"/>
    </row>
    <row r="94" spans="1:11" ht="14.4" thickBot="1">
      <c r="C94" s="39" t="s">
        <v>171</v>
      </c>
      <c r="D94" s="40"/>
      <c r="E94" s="41"/>
      <c r="F94" s="42"/>
      <c r="G94" s="43">
        <v>88711.02</v>
      </c>
      <c r="H94" s="43">
        <f>SUMIFS(H:H,C:C,"Total")</f>
        <v>100</v>
      </c>
      <c r="I94" s="44"/>
      <c r="J94" s="44"/>
      <c r="K94" s="45"/>
    </row>
    <row r="97" spans="3:55">
      <c r="C97" s="11" t="s">
        <v>172</v>
      </c>
    </row>
    <row r="98" spans="3:55">
      <c r="C98" s="2" t="s">
        <v>173</v>
      </c>
    </row>
    <row r="99" spans="3:55">
      <c r="C99" s="46" t="s">
        <v>174</v>
      </c>
    </row>
    <row r="100" spans="3:55">
      <c r="C100" s="2" t="s">
        <v>175</v>
      </c>
    </row>
    <row r="101" spans="3:55">
      <c r="C101" s="2" t="s">
        <v>176</v>
      </c>
    </row>
    <row r="102" spans="3:55">
      <c r="C102" s="2" t="s">
        <v>177</v>
      </c>
      <c r="D102" s="47"/>
      <c r="E102" s="47"/>
      <c r="F102" s="47"/>
      <c r="G102" s="48"/>
      <c r="H102" s="48"/>
    </row>
    <row r="103" spans="3:55">
      <c r="C103" s="2" t="s">
        <v>178</v>
      </c>
    </row>
    <row r="104" spans="3:55">
      <c r="C104" s="2" t="s">
        <v>179</v>
      </c>
    </row>
    <row r="105" spans="3:55">
      <c r="C105" s="2" t="s">
        <v>180</v>
      </c>
    </row>
    <row r="106" spans="3:55">
      <c r="C106" s="2" t="s">
        <v>181</v>
      </c>
    </row>
    <row r="107" spans="3:55" s="11" customFormat="1">
      <c r="C107" s="11" t="s">
        <v>182</v>
      </c>
      <c r="E107" s="11" t="s">
        <v>206</v>
      </c>
      <c r="F107" s="49" t="s">
        <v>184</v>
      </c>
      <c r="G107" s="50"/>
      <c r="H107" s="50"/>
      <c r="I107" s="50"/>
      <c r="J107" s="50"/>
      <c r="K107" s="51"/>
      <c r="L107" s="51"/>
      <c r="M107" s="51"/>
      <c r="AJ107" s="51"/>
      <c r="AW107" s="51"/>
      <c r="AY107" s="51"/>
      <c r="BC107" s="51"/>
    </row>
    <row r="108" spans="3:55">
      <c r="C108" s="2" t="s">
        <v>185</v>
      </c>
      <c r="E108" s="52">
        <v>18.2822</v>
      </c>
      <c r="F108" s="53">
        <v>15.8362</v>
      </c>
      <c r="M108" s="10"/>
      <c r="AI108" s="2"/>
      <c r="AJ108" s="10"/>
      <c r="AV108" s="2"/>
      <c r="AW108" s="10"/>
      <c r="AX108" s="2"/>
      <c r="AY108" s="10"/>
      <c r="BB108" s="2"/>
      <c r="BC108" s="10"/>
    </row>
    <row r="109" spans="3:55">
      <c r="C109" s="2" t="s">
        <v>186</v>
      </c>
      <c r="E109" s="52">
        <v>20.752099999999999</v>
      </c>
      <c r="F109" s="53">
        <v>19.558199999999999</v>
      </c>
      <c r="M109" s="10"/>
      <c r="AI109" s="2"/>
      <c r="AJ109" s="10"/>
      <c r="AV109" s="2"/>
      <c r="AW109" s="10"/>
      <c r="AX109" s="2"/>
      <c r="AY109" s="10"/>
      <c r="BB109" s="2"/>
      <c r="BC109" s="10"/>
    </row>
    <row r="110" spans="3:55">
      <c r="C110" s="2" t="s">
        <v>187</v>
      </c>
      <c r="E110" s="52">
        <v>20.063600000000001</v>
      </c>
      <c r="F110" s="53">
        <v>17.5091</v>
      </c>
      <c r="M110" s="10"/>
      <c r="AI110" s="2"/>
      <c r="AJ110" s="10"/>
      <c r="AV110" s="2"/>
      <c r="AW110" s="10"/>
      <c r="AX110" s="2"/>
      <c r="AY110" s="10"/>
      <c r="BB110" s="2"/>
      <c r="BC110" s="10"/>
    </row>
    <row r="111" spans="3:55">
      <c r="C111" s="2" t="s">
        <v>188</v>
      </c>
      <c r="E111" s="52">
        <v>22.070399999999999</v>
      </c>
      <c r="F111" s="53">
        <v>20.950800000000001</v>
      </c>
      <c r="M111" s="10"/>
      <c r="AI111" s="2"/>
      <c r="AJ111" s="10"/>
      <c r="AV111" s="2"/>
      <c r="AW111" s="10"/>
      <c r="AX111" s="2"/>
      <c r="AY111" s="10"/>
      <c r="BB111" s="2"/>
      <c r="BC111" s="10"/>
    </row>
    <row r="112" spans="3:55">
      <c r="M112" s="10"/>
      <c r="AI112" s="2"/>
      <c r="AJ112" s="10"/>
      <c r="AV112" s="2"/>
      <c r="AW112" s="10"/>
      <c r="AX112" s="2"/>
      <c r="AY112" s="10"/>
      <c r="BB112" s="2"/>
      <c r="BC112" s="10"/>
    </row>
    <row r="113" spans="3:55">
      <c r="C113" s="2" t="s">
        <v>207</v>
      </c>
      <c r="E113" s="11" t="s">
        <v>190</v>
      </c>
      <c r="F113" s="49" t="s">
        <v>191</v>
      </c>
      <c r="M113" s="10"/>
      <c r="AI113" s="2"/>
      <c r="AJ113" s="10"/>
      <c r="AV113" s="2"/>
      <c r="AW113" s="10"/>
      <c r="AX113" s="2"/>
      <c r="AY113" s="10"/>
      <c r="BB113" s="2"/>
      <c r="BC113" s="10"/>
    </row>
    <row r="114" spans="3:55">
      <c r="C114" s="2" t="s">
        <v>185</v>
      </c>
      <c r="E114" s="52">
        <v>1.37</v>
      </c>
      <c r="F114" s="53">
        <v>1.37</v>
      </c>
      <c r="M114" s="10"/>
      <c r="AI114" s="2"/>
      <c r="AJ114" s="10"/>
      <c r="AV114" s="2"/>
      <c r="AW114" s="10"/>
      <c r="AX114" s="2"/>
      <c r="AY114" s="10"/>
      <c r="BB114" s="2"/>
      <c r="BC114" s="10"/>
    </row>
    <row r="115" spans="3:55">
      <c r="C115" s="2" t="s">
        <v>187</v>
      </c>
      <c r="E115" s="52">
        <v>1.51</v>
      </c>
      <c r="F115" s="53">
        <v>1.51</v>
      </c>
      <c r="M115" s="10"/>
      <c r="AI115" s="2"/>
      <c r="AJ115" s="10"/>
      <c r="AV115" s="2"/>
      <c r="AW115" s="10"/>
      <c r="AX115" s="2"/>
      <c r="AY115" s="10"/>
      <c r="BB115" s="2"/>
      <c r="BC115" s="10"/>
    </row>
    <row r="117" spans="3:55">
      <c r="C117" s="2" t="s">
        <v>208</v>
      </c>
    </row>
    <row r="118" spans="3:55">
      <c r="C118" s="2" t="s">
        <v>193</v>
      </c>
    </row>
    <row r="119" spans="3:55">
      <c r="C119" s="2" t="s">
        <v>209</v>
      </c>
    </row>
    <row r="120" spans="3:55">
      <c r="C120" s="2" t="s">
        <v>210</v>
      </c>
    </row>
    <row r="121" spans="3:55">
      <c r="C121" s="2" t="s">
        <v>196</v>
      </c>
    </row>
    <row r="122" spans="3:55">
      <c r="C122" s="2" t="s">
        <v>211</v>
      </c>
    </row>
    <row r="123" spans="3:55">
      <c r="C123" s="2" t="s">
        <v>198</v>
      </c>
    </row>
    <row r="124" spans="3:55">
      <c r="C124" s="2" t="s">
        <v>199</v>
      </c>
    </row>
    <row r="125" spans="3:55">
      <c r="C125" s="2" t="s">
        <v>212</v>
      </c>
    </row>
    <row r="126" spans="3:55">
      <c r="C126" s="2" t="s">
        <v>201</v>
      </c>
    </row>
    <row r="127" spans="3:55">
      <c r="C127" s="2" t="s">
        <v>202</v>
      </c>
    </row>
    <row r="128" spans="3:55">
      <c r="C128" s="2" t="s">
        <v>213</v>
      </c>
    </row>
    <row r="129" spans="3:11" ht="14.4">
      <c r="C129" s="54"/>
      <c r="D129" s="54"/>
      <c r="E129" s="55"/>
      <c r="F129" s="55"/>
      <c r="G129" s="55"/>
      <c r="H129" s="55"/>
      <c r="I129" s="55"/>
      <c r="J129" s="55"/>
      <c r="K129" s="55"/>
    </row>
    <row r="130" spans="3:11" ht="14.4">
      <c r="C130" s="54"/>
      <c r="D130" s="54"/>
      <c r="E130" s="55"/>
      <c r="F130" s="55"/>
      <c r="G130" s="55"/>
      <c r="H130" s="55"/>
      <c r="I130" s="55"/>
      <c r="J130" s="55"/>
      <c r="K130" s="55"/>
    </row>
    <row r="131" spans="3:11" ht="14.4">
      <c r="C131" s="55"/>
      <c r="D131" s="55"/>
      <c r="E131" s="55"/>
      <c r="F131" s="55"/>
      <c r="G131" s="55"/>
      <c r="H131" s="55"/>
      <c r="I131" s="55"/>
      <c r="J131" s="55"/>
      <c r="K131" s="55"/>
    </row>
    <row r="132" spans="3:11" ht="14.4">
      <c r="C132" s="55"/>
      <c r="D132" s="55"/>
      <c r="E132" s="55"/>
      <c r="F132" s="55"/>
      <c r="G132" s="55"/>
      <c r="H132" s="55"/>
      <c r="I132" s="55"/>
      <c r="J132" s="55"/>
      <c r="K132" s="55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Monthly Portfolio</vt:lpstr>
      <vt:lpstr>Half Yearly Portfolio</vt:lpstr>
      <vt:lpstr>XDO_?CLASS_3?13?</vt:lpstr>
      <vt:lpstr>XDO_?FINAL_ISIN?57?</vt:lpstr>
      <vt:lpstr>XDO_?FINAL_ISIN?58?</vt:lpstr>
      <vt:lpstr>XDO_?FINAL_ISIN?59?</vt:lpstr>
      <vt:lpstr>XDO_?FINAL_ISIN?60?</vt:lpstr>
      <vt:lpstr>XDO_?FINAL_MV?57?</vt:lpstr>
      <vt:lpstr>XDO_?FINAL_MV?58?</vt:lpstr>
      <vt:lpstr>XDO_?FINAL_MV?59?</vt:lpstr>
      <vt:lpstr>XDO_?FINAL_MV?60?</vt:lpstr>
      <vt:lpstr>XDO_?FINAL_NAME?57?</vt:lpstr>
      <vt:lpstr>XDO_?FINAL_NAME?58?</vt:lpstr>
      <vt:lpstr>XDO_?FINAL_NAME?59?</vt:lpstr>
      <vt:lpstr>XDO_?FINAL_NAME?60?</vt:lpstr>
      <vt:lpstr>XDO_?FINAL_PER_NET?57?</vt:lpstr>
      <vt:lpstr>XDO_?FINAL_PER_NET?58?</vt:lpstr>
      <vt:lpstr>XDO_?FINAL_PER_NET?59?</vt:lpstr>
      <vt:lpstr>XDO_?FINAL_PER_NET?60?</vt:lpstr>
      <vt:lpstr>XDO_?FINAL_QUANTITE?57?</vt:lpstr>
      <vt:lpstr>XDO_?FINAL_QUANTITE?58?</vt:lpstr>
      <vt:lpstr>XDO_?FINAL_QUANTITE?59?</vt:lpstr>
      <vt:lpstr>XDO_?FINAL_QUANTITE?60?</vt:lpstr>
      <vt:lpstr>XDO_?NAMCNAME?13?</vt:lpstr>
      <vt:lpstr>XDO_?NOVAL?57?</vt:lpstr>
      <vt:lpstr>XDO_?NOVAL?58?</vt:lpstr>
      <vt:lpstr>XDO_?NOVAL?59?</vt:lpstr>
      <vt:lpstr>XDO_?NOVAL?60?</vt:lpstr>
      <vt:lpstr>XDO_?NPTF?13?</vt:lpstr>
      <vt:lpstr>XDO_?RATING?57?</vt:lpstr>
      <vt:lpstr>XDO_?RATING?58?</vt:lpstr>
      <vt:lpstr>XDO_?RATING?59?</vt:lpstr>
      <vt:lpstr>XDO_?RATING?60?</vt:lpstr>
      <vt:lpstr>XDO_?REMARKS?57?</vt:lpstr>
      <vt:lpstr>XDO_?REMARKS?58?</vt:lpstr>
      <vt:lpstr>XDO_?REMARKS?59?</vt:lpstr>
      <vt:lpstr>XDO_?REMARKS?60?</vt:lpstr>
      <vt:lpstr>XDO_?TITL?13?</vt:lpstr>
      <vt:lpstr>XDO_?YTM?57?</vt:lpstr>
      <vt:lpstr>XDO_?YTM?58?</vt:lpstr>
      <vt:lpstr>XDO_?YTM?59?</vt:lpstr>
      <vt:lpstr>XDO_?YTM?60?</vt:lpstr>
      <vt:lpstr>XDO_GROUP_?G_2?13?</vt:lpstr>
      <vt:lpstr>XDO_GROUP_?G_3?13?</vt:lpstr>
      <vt:lpstr>XDO_GROUP_?G_4?57?</vt:lpstr>
      <vt:lpstr>XDO_GROUP_?G_4?58?</vt:lpstr>
      <vt:lpstr>XDO_GROUP_?G_4?59?</vt:lpstr>
      <vt:lpstr>XDO_GROUP_?G_4?60?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2023-04-05T12:36:16Z</dcterms:created>
  <dcterms:modified xsi:type="dcterms:W3CDTF">2023-04-08T12:06:15Z</dcterms:modified>
</cp:coreProperties>
</file>