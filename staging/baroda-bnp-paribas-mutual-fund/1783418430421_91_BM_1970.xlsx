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Debt\"/>
    </mc:Choice>
  </mc:AlternateContent>
  <xr:revisionPtr revIDLastSave="0" documentId="13_ncr:1_{F75D7DD5-7CC1-4A80-A15A-25FC5EE1980B}" xr6:coauthVersionLast="47" xr6:coauthVersionMax="47" xr10:uidLastSave="{00000000-0000-0000-0000-000000000000}"/>
  <bookViews>
    <workbookView xWindow="-108" yWindow="-108" windowWidth="23256" windowHeight="12576" xr2:uid="{BC81C0C1-059F-41ED-A51B-A1685DC01ACC}"/>
  </bookViews>
  <sheets>
    <sheet name="BM" sheetId="1" r:id="rId1"/>
  </sheets>
  <externalReferences>
    <externalReference r:id="rId2"/>
  </externalReferences>
  <definedNames>
    <definedName name="XDO_?CLASS_3?25?">BM!$C$28:$C$32</definedName>
    <definedName name="XDO_?FINAL_ISIN?115?">BM!$D$30:$D$32</definedName>
    <definedName name="XDO_?FINAL_ISIN?116?">BM!$D$30:$D$41</definedName>
    <definedName name="XDO_?FINAL_ISIN?117?">BM!$D$30:$D$45</definedName>
    <definedName name="XDO_?FINAL_ISIN?118?">BM!$D$30:$D$60</definedName>
    <definedName name="XDO_?FINAL_ISIN?119?">BM!$D$30:$D$64</definedName>
    <definedName name="XDO_?FINAL_MV?115?">BM!$G$30:$G$32</definedName>
    <definedName name="XDO_?FINAL_MV?116?">BM!$G$30:$G$41</definedName>
    <definedName name="XDO_?FINAL_MV?117?">BM!$G$30:$G$45</definedName>
    <definedName name="XDO_?FINAL_MV?118?">BM!$G$30:$G$60</definedName>
    <definedName name="XDO_?FINAL_MV?119?">BM!$G$30:$G$64</definedName>
    <definedName name="XDO_?FINAL_NAME?115?">BM!$C$30:$C$32</definedName>
    <definedName name="XDO_?FINAL_NAME?116?">BM!$C$30:$C$41</definedName>
    <definedName name="XDO_?FINAL_NAME?117?">BM!$C$30:$C$45</definedName>
    <definedName name="XDO_?FINAL_NAME?118?">BM!$C$30:$C$60</definedName>
    <definedName name="XDO_?FINAL_NAME?119?">BM!$C$30:$C$64</definedName>
    <definedName name="XDO_?FINAL_PER_NET?115?">BM!$H$30:$H$32</definedName>
    <definedName name="XDO_?FINAL_PER_NET?116?">BM!$H$30:$H$41</definedName>
    <definedName name="XDO_?FINAL_PER_NET?117?">BM!$H$30:$H$45</definedName>
    <definedName name="XDO_?FINAL_PER_NET?118?">BM!$H$30:$H$60</definedName>
    <definedName name="XDO_?FINAL_PER_NET?119?">BM!$H$30:$H$64</definedName>
    <definedName name="XDO_?FINAL_QUANTITE?115?">BM!$F$30:$F$32</definedName>
    <definedName name="XDO_?FINAL_QUANTITE?116?">BM!$F$30:$F$41</definedName>
    <definedName name="XDO_?FINAL_QUANTITE?117?">BM!$F$30:$F$45</definedName>
    <definedName name="XDO_?FINAL_QUANTITE?118?">BM!$F$30:$F$60</definedName>
    <definedName name="XDO_?FINAL_QUANTITE?119?">BM!$F$30:$F$64</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5?">BM!$C$2:$C$32</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15?">BM!$B$30:$B$32</definedName>
    <definedName name="XDO_?NOVAL?116?">BM!$B$30:$B$41</definedName>
    <definedName name="XDO_?NOVAL?117?">BM!$B$30:$B$45</definedName>
    <definedName name="XDO_?NOVAL?118?">BM!$B$30:$B$60</definedName>
    <definedName name="XDO_?NOVAL?119?">BM!$B$30:$B$64</definedName>
    <definedName name="XDO_?NPTF?25?">BM!$D$2:$D$32</definedName>
    <definedName name="XDO_?RATING?115?">BM!$E$30:$E$32</definedName>
    <definedName name="XDO_?RATING?116?">BM!$E$30:$E$41</definedName>
    <definedName name="XDO_?RATING?117?">BM!$E$30:$E$45</definedName>
    <definedName name="XDO_?RATING?118?">BM!$E$30:$E$60</definedName>
    <definedName name="XDO_?RATING?119?">BM!$E$30:$E$64</definedName>
    <definedName name="XDO_?REMARKS?115?">BM!$K$30:$K$32</definedName>
    <definedName name="XDO_?REMARKS?116?">BM!$K$30:$K$41</definedName>
    <definedName name="XDO_?REMARKS?117?">BM!$K$30:$K$45</definedName>
    <definedName name="XDO_?REMARKS?118?">BM!$K$30:$K$60</definedName>
    <definedName name="XDO_?REMARKS?119?">BM!$K$30:$K$64</definedName>
    <definedName name="XDO_?TITL?25?">BM!$A$28:$A$32</definedName>
    <definedName name="XDO_?YTM?115?">BM!$I$30:$I$32</definedName>
    <definedName name="XDO_?YTM?116?">BM!$I$30:$I$41</definedName>
    <definedName name="XDO_?YTM?117?">BM!$I$30:$I$45</definedName>
    <definedName name="XDO_?YTM?118?">BM!$I$30:$I$60</definedName>
    <definedName name="XDO_?YTM?119?">BM!$I$30:$I$64</definedName>
    <definedName name="XDO_GROUP_?G_2?25?">BM!$2:$36</definedName>
    <definedName name="XDO_GROUP_?G_3?25?">BM!$8:$35</definedName>
    <definedName name="XDO_GROUP_?G_4?115?">BM!$B$10:$IV$12</definedName>
    <definedName name="XDO_GROUP_?G_4?116?">BM!$B$16:$IV$19</definedName>
    <definedName name="XDO_GROUP_?G_4?117?">BM!$B$23:$IV$23</definedName>
    <definedName name="XDO_GROUP_?G_4?118?">BM!$B$28:$IV$28</definedName>
    <definedName name="XDO_GROUP_?G_4?119?">BM!$B$33:$IV$33</definedName>
    <definedName name="XDO_GROUP_?G_4?28?">[1]TA!#REF!</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1" l="1"/>
</calcChain>
</file>

<file path=xl/sharedStrings.xml><?xml version="1.0" encoding="utf-8"?>
<sst xmlns="http://schemas.openxmlformats.org/spreadsheetml/2006/main" count="174" uniqueCount="129">
  <si>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</si>
  <si>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</si>
  <si>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</si>
  <si>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</si>
  <si>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</si>
  <si>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</si>
  <si>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</si>
  <si>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</si>
  <si>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</si>
  <si>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</si>
  <si>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</si>
  <si>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</si>
  <si>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</si>
  <si>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</si>
  <si>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</si>
  <si>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</si>
  <si>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</si>
  <si>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</si>
  <si>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</si>
  <si>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</si>
  <si>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</si>
  <si>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</si>
  <si>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</si>
  <si>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</si>
  <si>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</si>
  <si>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</si>
  <si>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</si>
  <si>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1008641</t>
  </si>
  <si>
    <t>Kotak Mahindra Investments Ltd. 24-Jul-2023</t>
  </si>
  <si>
    <t>INE975F14XW3</t>
  </si>
  <si>
    <t>CRISIL A1+</t>
  </si>
  <si>
    <t>N**</t>
  </si>
  <si>
    <t>1008609</t>
  </si>
  <si>
    <t>L&amp;T Finance Ltd. 28-Nov-2023</t>
  </si>
  <si>
    <t>INE027E14NV9</t>
  </si>
  <si>
    <t>1008660</t>
  </si>
  <si>
    <t>LIC Housing Finance Ltd. 12-Dec-2023</t>
  </si>
  <si>
    <t>INE115A14EB1</t>
  </si>
  <si>
    <t>Total</t>
  </si>
  <si>
    <t>b) Certificate of Deposits</t>
  </si>
  <si>
    <t>1102128</t>
  </si>
  <si>
    <t>ICICI Bank Ltd. 12-Dec-2023</t>
  </si>
  <si>
    <t>INE090A161Z0</t>
  </si>
  <si>
    <t>[ICRA]A1+</t>
  </si>
  <si>
    <t>1102131</t>
  </si>
  <si>
    <t>HDFC Bank Ltd. 14-Dec-2023</t>
  </si>
  <si>
    <t>INE040A16DO1</t>
  </si>
  <si>
    <t>IND A1+</t>
  </si>
  <si>
    <t>1102042</t>
  </si>
  <si>
    <t>State Bank of India 12-Sep-2023</t>
  </si>
  <si>
    <t>INE062A16465</t>
  </si>
  <si>
    <t>1102078</t>
  </si>
  <si>
    <t>IndusInd Bank Ltd. 11-Oct-2023</t>
  </si>
  <si>
    <t>INE095A16R00</t>
  </si>
  <si>
    <t>1102113</t>
  </si>
  <si>
    <t>Small Industries Development Bank of India 21-Nov-2023</t>
  </si>
  <si>
    <t>INE556F16AB8</t>
  </si>
  <si>
    <t>1102099</t>
  </si>
  <si>
    <t>The Federal Bank Ltd. 13-Nov-2023</t>
  </si>
  <si>
    <t>INE171A16KJ9</t>
  </si>
  <si>
    <t>c) Treasury Bills</t>
  </si>
  <si>
    <t>1800937</t>
  </si>
  <si>
    <t>364 DAY T-BILL 16-Nov-2023</t>
  </si>
  <si>
    <t>IN002022Z333</t>
  </si>
  <si>
    <t>Sovereign</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</si>
  <si>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</si>
  <si>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</si>
  <si>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</si>
  <si>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</si>
  <si>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</si>
  <si>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</si>
  <si>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</si>
  <si>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</si>
  <si>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</si>
  <si>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</si>
  <si>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</si>
  <si>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</si>
  <si>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</si>
  <si>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</si>
  <si>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</si>
  <si>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</si>
  <si>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</si>
  <si>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</si>
  <si>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</si>
  <si>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28,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</si>
  <si>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</si>
  <si>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</si>
  <si>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</si>
  <si>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2023</t>
  </si>
  <si>
    <t>As on February 28,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</si>
  <si>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</si>
  <si>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</si>
  <si>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</si>
  <si>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</si>
  <si>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</si>
  <si>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</si>
  <si>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</si>
  <si>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</si>
  <si>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</si>
  <si>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</si>
  <si>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</si>
  <si>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February 28, 2023. Further there are no investments in derivative instruments as on February 28, 2023.</t>
  </si>
  <si>
    <t>(10) Total Market value of investments in Foreign Securities/American Depositary Receipts/Global Depositary Receipts as at  February 28, 2023 is Rs. Nil.</t>
  </si>
  <si>
    <t>(11)  The Average Maturity period of the portfolio has been 244 days.</t>
  </si>
  <si>
    <t>(12)  Details of repo transaction in corporate debt securities for the Month ended February 28, 2023 is Nil.</t>
  </si>
  <si>
    <t>(13)  Investments in debt instruments having structured obligations or credit enhancement features as at February 28, 2023 is Rs. Nil.</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</si>
  <si>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</si>
  <si>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</si>
  <si>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</si>
  <si>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</si>
  <si>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</si>
  <si>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</si>
  <si>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</si>
  <si>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Macaulay Duration of the portfolio has been 243 days.</t>
  </si>
  <si>
    <t>(18) Annualised Portfolio YTM has been 7.7208.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</si>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</sst>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1D00CDCB-C602-4AE7-A4D7-F80A4FBD30F3}"/>
    <cellStyle name="Hyperlink" xfId="2" builtinId="8"/>
    <cellStyle name="Normal" xfId="0" builtinId="0"/>
    <cellStyle name="Normal 2" xfId="4" xr:uid="{97877817-5BED-4E96-866A-3C227E1F573E}"/>
    <cellStyle name="Style 1" xfId="3" xr:uid="{C79D6F2E-9E88-42AB-AA55-074DC4BF73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5</xdr:col>
      <xdr:colOff>504275</xdr:colOff>
      <xdr:row>126</xdr:row>
      <xdr:rowOff>75184</xdr:rowOff>
    </xdr:to>
    <xdr:pic>
      <xdr:nvPicPr>
        <xdr:cNvPr id="3" name="Picture 2">
          <a:extLst>
            <a:ext uri="{FF2B5EF4-FFF2-40B4-BE49-F238E27FC236}">
              <a16:creationId xmlns:a16="http://schemas.microsoft.com/office/drawing/2014/main" id="{BF700FDA-2FBF-F140-2525-45DC0E83B3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854333"/>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E2FB-8A7B-49A7-A0C7-5D522C32629F}">
  <dimension ref="A1:BC137"/>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c r="H16" s="32"/>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A28" s="35"/>
      <c r="B28" s="36"/>
      <c r="C28" s="28" t="s">
        <v>25</v>
      </c>
      <c r="D28" s="29"/>
      <c r="E28" s="30"/>
      <c r="F28" s="31"/>
      <c r="G28" s="32"/>
      <c r="H28" s="32"/>
      <c r="I28" s="33"/>
      <c r="J28" s="33"/>
      <c r="K28" s="34"/>
    </row>
    <row r="29" spans="1:11" x14ac:dyDescent="0.3">
      <c r="C29" s="37" t="s">
        <v>26</v>
      </c>
      <c r="D29" s="29"/>
      <c r="E29" s="30"/>
      <c r="F29" s="31"/>
      <c r="G29" s="32"/>
      <c r="H29" s="32"/>
      <c r="I29" s="33"/>
      <c r="J29" s="33"/>
      <c r="K29" s="34"/>
    </row>
    <row r="30" spans="1:11" x14ac:dyDescent="0.3">
      <c r="B30" s="1" t="s">
        <v>27</v>
      </c>
      <c r="C30" s="21" t="s">
        <v>28</v>
      </c>
      <c r="D30" s="29" t="s">
        <v>29</v>
      </c>
      <c r="E30" s="30" t="s">
        <v>30</v>
      </c>
      <c r="F30" s="31">
        <v>200</v>
      </c>
      <c r="G30" s="32">
        <v>969.27</v>
      </c>
      <c r="H30" s="32">
        <v>8.68</v>
      </c>
      <c r="I30" s="33">
        <v>7.9798999999999998</v>
      </c>
      <c r="J30" s="33"/>
      <c r="K30" s="34" t="s">
        <v>31</v>
      </c>
    </row>
    <row r="31" spans="1:11" x14ac:dyDescent="0.3">
      <c r="B31" s="1" t="s">
        <v>32</v>
      </c>
      <c r="C31" s="21" t="s">
        <v>33</v>
      </c>
      <c r="D31" s="29" t="s">
        <v>34</v>
      </c>
      <c r="E31" s="30" t="s">
        <v>30</v>
      </c>
      <c r="F31" s="31">
        <v>200</v>
      </c>
      <c r="G31" s="32">
        <v>943.04</v>
      </c>
      <c r="H31" s="32">
        <v>8.4499999999999993</v>
      </c>
      <c r="I31" s="33">
        <v>8.1050000000000004</v>
      </c>
      <c r="J31" s="33"/>
      <c r="K31" s="34" t="s">
        <v>31</v>
      </c>
    </row>
    <row r="32" spans="1:11" x14ac:dyDescent="0.3">
      <c r="B32" s="1" t="s">
        <v>35</v>
      </c>
      <c r="C32" s="21" t="s">
        <v>36</v>
      </c>
      <c r="D32" s="29" t="s">
        <v>37</v>
      </c>
      <c r="E32" s="30" t="s">
        <v>30</v>
      </c>
      <c r="F32" s="31">
        <v>160</v>
      </c>
      <c r="G32" s="32">
        <v>753.06</v>
      </c>
      <c r="H32" s="32">
        <v>6.75</v>
      </c>
      <c r="I32" s="33">
        <v>7.9549000000000003</v>
      </c>
      <c r="J32" s="33"/>
      <c r="K32" s="34"/>
    </row>
    <row r="33" spans="2:11" x14ac:dyDescent="0.3">
      <c r="C33" s="28" t="s">
        <v>38</v>
      </c>
      <c r="D33" s="29"/>
      <c r="E33" s="30"/>
      <c r="F33" s="31"/>
      <c r="G33" s="38">
        <v>2665.37</v>
      </c>
      <c r="H33" s="38">
        <v>23.88</v>
      </c>
      <c r="I33" s="33"/>
      <c r="J33" s="33"/>
      <c r="K33" s="34"/>
    </row>
    <row r="34" spans="2:11" x14ac:dyDescent="0.3">
      <c r="C34" s="21"/>
      <c r="D34" s="29"/>
      <c r="E34" s="30"/>
      <c r="F34" s="31"/>
      <c r="G34" s="32"/>
      <c r="H34" s="32"/>
      <c r="I34" s="33"/>
      <c r="J34" s="33"/>
      <c r="K34" s="34"/>
    </row>
    <row r="35" spans="2:11" x14ac:dyDescent="0.3">
      <c r="C35" s="37" t="s">
        <v>39</v>
      </c>
      <c r="D35" s="29"/>
      <c r="E35" s="30"/>
      <c r="F35" s="31"/>
      <c r="G35" s="32"/>
      <c r="H35" s="32"/>
      <c r="I35" s="33"/>
      <c r="J35" s="33"/>
      <c r="K35" s="34"/>
    </row>
    <row r="36" spans="2:11" x14ac:dyDescent="0.3">
      <c r="B36" s="1" t="s">
        <v>40</v>
      </c>
      <c r="C36" s="21" t="s">
        <v>41</v>
      </c>
      <c r="D36" s="29" t="s">
        <v>42</v>
      </c>
      <c r="E36" s="30" t="s">
        <v>43</v>
      </c>
      <c r="F36" s="31">
        <v>280</v>
      </c>
      <c r="G36" s="32">
        <v>1319.75</v>
      </c>
      <c r="H36" s="32">
        <v>11.82</v>
      </c>
      <c r="I36" s="33">
        <v>7.76</v>
      </c>
      <c r="J36" s="33"/>
      <c r="K36" s="34" t="s">
        <v>31</v>
      </c>
    </row>
    <row r="37" spans="2:11" x14ac:dyDescent="0.3">
      <c r="B37" s="1" t="s">
        <v>44</v>
      </c>
      <c r="C37" s="21" t="s">
        <v>45</v>
      </c>
      <c r="D37" s="29" t="s">
        <v>46</v>
      </c>
      <c r="E37" s="30" t="s">
        <v>47</v>
      </c>
      <c r="F37" s="31">
        <v>260</v>
      </c>
      <c r="G37" s="32">
        <v>1224.49</v>
      </c>
      <c r="H37" s="32">
        <v>10.97</v>
      </c>
      <c r="I37" s="33">
        <v>7.8150000000000004</v>
      </c>
      <c r="J37" s="33"/>
      <c r="K37" s="34" t="s">
        <v>31</v>
      </c>
    </row>
    <row r="38" spans="2:11" x14ac:dyDescent="0.3">
      <c r="B38" s="1" t="s">
        <v>48</v>
      </c>
      <c r="C38" s="21" t="s">
        <v>49</v>
      </c>
      <c r="D38" s="29" t="s">
        <v>50</v>
      </c>
      <c r="E38" s="30" t="s">
        <v>47</v>
      </c>
      <c r="F38" s="31">
        <v>200</v>
      </c>
      <c r="G38" s="32">
        <v>960.68</v>
      </c>
      <c r="H38" s="32">
        <v>8.61</v>
      </c>
      <c r="I38" s="33">
        <v>7.6619000000000002</v>
      </c>
      <c r="J38" s="33"/>
      <c r="K38" s="34"/>
    </row>
    <row r="39" spans="2:11" x14ac:dyDescent="0.3">
      <c r="B39" s="1" t="s">
        <v>51</v>
      </c>
      <c r="C39" s="21" t="s">
        <v>52</v>
      </c>
      <c r="D39" s="29" t="s">
        <v>53</v>
      </c>
      <c r="E39" s="30" t="s">
        <v>30</v>
      </c>
      <c r="F39" s="31">
        <v>200</v>
      </c>
      <c r="G39" s="32">
        <v>953.98</v>
      </c>
      <c r="H39" s="32">
        <v>8.5500000000000007</v>
      </c>
      <c r="I39" s="33">
        <v>7.8598999999999997</v>
      </c>
      <c r="J39" s="33"/>
      <c r="K39" s="34" t="s">
        <v>31</v>
      </c>
    </row>
    <row r="40" spans="2:11" x14ac:dyDescent="0.3">
      <c r="B40" s="1" t="s">
        <v>54</v>
      </c>
      <c r="C40" s="21" t="s">
        <v>55</v>
      </c>
      <c r="D40" s="29" t="s">
        <v>56</v>
      </c>
      <c r="E40" s="30" t="s">
        <v>30</v>
      </c>
      <c r="F40" s="31">
        <v>200</v>
      </c>
      <c r="G40" s="32">
        <v>946.47</v>
      </c>
      <c r="H40" s="32">
        <v>8.48</v>
      </c>
      <c r="I40" s="33">
        <v>7.79</v>
      </c>
      <c r="J40" s="33"/>
      <c r="K40" s="34" t="s">
        <v>31</v>
      </c>
    </row>
    <row r="41" spans="2:11" x14ac:dyDescent="0.3">
      <c r="B41" s="1" t="s">
        <v>57</v>
      </c>
      <c r="C41" s="21" t="s">
        <v>58</v>
      </c>
      <c r="D41" s="29" t="s">
        <v>59</v>
      </c>
      <c r="E41" s="30" t="s">
        <v>30</v>
      </c>
      <c r="F41" s="31">
        <v>180</v>
      </c>
      <c r="G41" s="32">
        <v>852.35</v>
      </c>
      <c r="H41" s="32">
        <v>7.64</v>
      </c>
      <c r="I41" s="33">
        <v>7.94</v>
      </c>
      <c r="J41" s="33"/>
      <c r="K41" s="34" t="s">
        <v>31</v>
      </c>
    </row>
    <row r="42" spans="2:11" x14ac:dyDescent="0.3">
      <c r="C42" s="28" t="s">
        <v>38</v>
      </c>
      <c r="D42" s="29"/>
      <c r="E42" s="30"/>
      <c r="F42" s="31"/>
      <c r="G42" s="38">
        <v>6257.72</v>
      </c>
      <c r="H42" s="38">
        <v>56.07</v>
      </c>
      <c r="I42" s="33"/>
      <c r="J42" s="33"/>
      <c r="K42" s="34"/>
    </row>
    <row r="43" spans="2:11" x14ac:dyDescent="0.3">
      <c r="C43" s="21"/>
      <c r="D43" s="29"/>
      <c r="E43" s="30"/>
      <c r="F43" s="31"/>
      <c r="G43" s="32"/>
      <c r="H43" s="32"/>
      <c r="I43" s="33"/>
      <c r="J43" s="33"/>
      <c r="K43" s="34"/>
    </row>
    <row r="44" spans="2:11" x14ac:dyDescent="0.3">
      <c r="C44" s="37" t="s">
        <v>60</v>
      </c>
      <c r="D44" s="29"/>
      <c r="E44" s="30"/>
      <c r="F44" s="31"/>
      <c r="G44" s="32"/>
      <c r="H44" s="32"/>
      <c r="I44" s="33"/>
      <c r="J44" s="33"/>
      <c r="K44" s="34"/>
    </row>
    <row r="45" spans="2:11" x14ac:dyDescent="0.3">
      <c r="B45" s="1" t="s">
        <v>61</v>
      </c>
      <c r="C45" s="21" t="s">
        <v>62</v>
      </c>
      <c r="D45" s="29" t="s">
        <v>63</v>
      </c>
      <c r="E45" s="30" t="s">
        <v>64</v>
      </c>
      <c r="F45" s="31">
        <v>2000000</v>
      </c>
      <c r="G45" s="32">
        <v>1901.66</v>
      </c>
      <c r="H45" s="32">
        <v>17.04</v>
      </c>
      <c r="I45" s="33">
        <v>7.26</v>
      </c>
      <c r="J45" s="33"/>
      <c r="K45" s="34"/>
    </row>
    <row r="46" spans="2:11" x14ac:dyDescent="0.3">
      <c r="C46" s="28" t="s">
        <v>38</v>
      </c>
      <c r="D46" s="29"/>
      <c r="E46" s="30"/>
      <c r="F46" s="31"/>
      <c r="G46" s="38">
        <v>1901.66</v>
      </c>
      <c r="H46" s="38">
        <v>17.04</v>
      </c>
      <c r="I46" s="33"/>
      <c r="J46" s="33"/>
      <c r="K46" s="34"/>
    </row>
    <row r="47" spans="2:11" x14ac:dyDescent="0.3">
      <c r="C47" s="21"/>
      <c r="D47" s="29"/>
      <c r="E47" s="30"/>
      <c r="F47" s="31"/>
      <c r="G47" s="32"/>
      <c r="H47" s="32"/>
      <c r="I47" s="33"/>
      <c r="J47" s="33"/>
      <c r="K47" s="34"/>
    </row>
    <row r="48" spans="2:11" x14ac:dyDescent="0.3">
      <c r="C48" s="28" t="s">
        <v>65</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A50" s="35"/>
      <c r="B50" s="36"/>
      <c r="C50" s="28" t="s">
        <v>66</v>
      </c>
      <c r="D50" s="29"/>
      <c r="E50" s="30"/>
      <c r="F50" s="31"/>
      <c r="G50" s="32"/>
      <c r="H50" s="32"/>
      <c r="I50" s="33"/>
      <c r="J50" s="33"/>
      <c r="K50" s="34"/>
    </row>
    <row r="51" spans="1:11" x14ac:dyDescent="0.3">
      <c r="A51" s="36"/>
      <c r="B51" s="36"/>
      <c r="C51" s="28" t="s">
        <v>67</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A53" s="36"/>
      <c r="B53" s="36"/>
      <c r="C53" s="28" t="s">
        <v>68</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A55" s="36"/>
      <c r="B55" s="36"/>
      <c r="C55" s="28" t="s">
        <v>69</v>
      </c>
      <c r="D55" s="29"/>
      <c r="E55" s="30"/>
      <c r="F55" s="31"/>
      <c r="G55" s="32" t="s">
        <v>16</v>
      </c>
      <c r="H55" s="32" t="s">
        <v>16</v>
      </c>
      <c r="I55" s="33"/>
      <c r="J55" s="33"/>
      <c r="K55" s="34"/>
    </row>
    <row r="56" spans="1:11" x14ac:dyDescent="0.3">
      <c r="A56" s="36"/>
      <c r="B56" s="36"/>
      <c r="C56" s="28"/>
      <c r="D56" s="29"/>
      <c r="E56" s="30"/>
      <c r="F56" s="31"/>
      <c r="G56" s="32"/>
      <c r="H56" s="32"/>
      <c r="I56" s="33"/>
      <c r="J56" s="33"/>
      <c r="K56" s="34"/>
    </row>
    <row r="57" spans="1:11" x14ac:dyDescent="0.3">
      <c r="A57" s="36"/>
      <c r="B57" s="36"/>
      <c r="C57" s="28" t="s">
        <v>70</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C59" s="37" t="s">
        <v>71</v>
      </c>
      <c r="D59" s="29"/>
      <c r="E59" s="30"/>
      <c r="F59" s="31"/>
      <c r="G59" s="32"/>
      <c r="H59" s="32"/>
      <c r="I59" s="33"/>
      <c r="J59" s="33"/>
      <c r="K59" s="34"/>
    </row>
    <row r="60" spans="1:11" x14ac:dyDescent="0.3">
      <c r="B60" s="1" t="s">
        <v>72</v>
      </c>
      <c r="C60" s="21" t="s">
        <v>73</v>
      </c>
      <c r="D60" s="29"/>
      <c r="E60" s="30"/>
      <c r="F60" s="31"/>
      <c r="G60" s="32">
        <v>110.95</v>
      </c>
      <c r="H60" s="32">
        <v>0.99</v>
      </c>
      <c r="I60" s="33">
        <v>6.51</v>
      </c>
      <c r="J60" s="33"/>
      <c r="K60" s="34"/>
    </row>
    <row r="61" spans="1:11" x14ac:dyDescent="0.3">
      <c r="C61" s="28" t="s">
        <v>38</v>
      </c>
      <c r="D61" s="29"/>
      <c r="E61" s="30"/>
      <c r="F61" s="31"/>
      <c r="G61" s="38">
        <v>110.95</v>
      </c>
      <c r="H61" s="38">
        <v>0.99</v>
      </c>
      <c r="I61" s="33"/>
      <c r="J61" s="33"/>
      <c r="K61" s="34"/>
    </row>
    <row r="62" spans="1:11" x14ac:dyDescent="0.3">
      <c r="C62" s="21"/>
      <c r="D62" s="29"/>
      <c r="E62" s="30"/>
      <c r="F62" s="31"/>
      <c r="G62" s="32"/>
      <c r="H62" s="32"/>
      <c r="I62" s="33"/>
      <c r="J62" s="33"/>
      <c r="K62" s="34"/>
    </row>
    <row r="63" spans="1:11" x14ac:dyDescent="0.3">
      <c r="A63" s="35"/>
      <c r="B63" s="36"/>
      <c r="C63" s="28" t="s">
        <v>74</v>
      </c>
      <c r="D63" s="29"/>
      <c r="E63" s="30"/>
      <c r="F63" s="31"/>
      <c r="G63" s="32"/>
      <c r="H63" s="32"/>
      <c r="I63" s="33"/>
      <c r="J63" s="33"/>
      <c r="K63" s="34"/>
    </row>
    <row r="64" spans="1:11" x14ac:dyDescent="0.3">
      <c r="B64" s="1"/>
      <c r="C64" s="21" t="s">
        <v>75</v>
      </c>
      <c r="D64" s="29"/>
      <c r="E64" s="30"/>
      <c r="F64" s="31"/>
      <c r="G64" s="32">
        <v>226.53</v>
      </c>
      <c r="H64" s="32">
        <v>2.02</v>
      </c>
      <c r="I64" s="33"/>
      <c r="J64" s="33"/>
      <c r="K64" s="34"/>
    </row>
    <row r="65" spans="3:55" x14ac:dyDescent="0.3">
      <c r="C65" s="28" t="s">
        <v>38</v>
      </c>
      <c r="D65" s="29"/>
      <c r="E65" s="30"/>
      <c r="F65" s="31"/>
      <c r="G65" s="38">
        <v>226.53</v>
      </c>
      <c r="H65" s="38">
        <v>2.02</v>
      </c>
      <c r="I65" s="33"/>
      <c r="J65" s="33"/>
      <c r="K65" s="34"/>
    </row>
    <row r="66" spans="3:55" x14ac:dyDescent="0.3">
      <c r="C66" s="21"/>
      <c r="D66" s="29"/>
      <c r="E66" s="30"/>
      <c r="F66" s="31"/>
      <c r="G66" s="32"/>
      <c r="H66" s="32"/>
      <c r="I66" s="33"/>
      <c r="J66" s="33"/>
      <c r="K66" s="34"/>
    </row>
    <row r="67" spans="3:55" ht="14.4" thickBot="1" x14ac:dyDescent="0.35">
      <c r="C67" s="39" t="s">
        <v>76</v>
      </c>
      <c r="D67" s="40"/>
      <c r="E67" s="41"/>
      <c r="F67" s="42"/>
      <c r="G67" s="43">
        <v>11162.23</v>
      </c>
      <c r="H67" s="43">
        <f>SUMIFS(H:H,C:C,"Total")</f>
        <v>100</v>
      </c>
      <c r="I67" s="44"/>
      <c r="J67" s="44"/>
      <c r="K67" s="45"/>
    </row>
    <row r="70" spans="3:55" x14ac:dyDescent="0.3">
      <c r="C70" s="11" t="s">
        <v>77</v>
      </c>
    </row>
    <row r="71" spans="3:55" x14ac:dyDescent="0.3">
      <c r="C71" s="2" t="s">
        <v>78</v>
      </c>
    </row>
    <row r="72" spans="3:55" x14ac:dyDescent="0.3">
      <c r="C72" s="46" t="s">
        <v>79</v>
      </c>
    </row>
    <row r="73" spans="3:55" x14ac:dyDescent="0.3">
      <c r="C73" s="2" t="s">
        <v>80</v>
      </c>
    </row>
    <row r="74" spans="3:55" x14ac:dyDescent="0.3">
      <c r="C74" s="2" t="s">
        <v>81</v>
      </c>
    </row>
    <row r="75" spans="3:55" x14ac:dyDescent="0.3">
      <c r="C75" s="2" t="s">
        <v>82</v>
      </c>
      <c r="D75" s="47"/>
      <c r="E75" s="47"/>
      <c r="F75" s="47"/>
      <c r="G75" s="48"/>
      <c r="H75" s="48"/>
    </row>
    <row r="76" spans="3:55" x14ac:dyDescent="0.3">
      <c r="C76" s="2" t="s">
        <v>83</v>
      </c>
    </row>
    <row r="77" spans="3:55" x14ac:dyDescent="0.3">
      <c r="C77" s="2" t="s">
        <v>84</v>
      </c>
    </row>
    <row r="78" spans="3:55" x14ac:dyDescent="0.3">
      <c r="C78" s="2" t="s">
        <v>85</v>
      </c>
    </row>
    <row r="79" spans="3:55" x14ac:dyDescent="0.3">
      <c r="C79" s="2" t="s">
        <v>86</v>
      </c>
    </row>
    <row r="80" spans="3:55" s="11" customFormat="1" x14ac:dyDescent="0.3">
      <c r="C80" s="11" t="s">
        <v>87</v>
      </c>
      <c r="E80" s="11" t="s">
        <v>88</v>
      </c>
      <c r="F80" s="49" t="s">
        <v>89</v>
      </c>
      <c r="G80" s="50"/>
      <c r="H80" s="50"/>
      <c r="I80" s="50"/>
      <c r="J80" s="50"/>
      <c r="K80" s="51"/>
      <c r="L80" s="51"/>
      <c r="M80" s="51"/>
      <c r="AJ80" s="51"/>
      <c r="AW80" s="51"/>
      <c r="AY80" s="51"/>
      <c r="BC80" s="51"/>
    </row>
    <row r="81" spans="3:6" x14ac:dyDescent="0.3">
      <c r="C81" s="2" t="s">
        <v>90</v>
      </c>
      <c r="E81" s="52">
        <v>1005.9766</v>
      </c>
      <c r="F81" s="53">
        <v>1005.9763</v>
      </c>
    </row>
    <row r="82" spans="3:6" x14ac:dyDescent="0.3">
      <c r="C82" s="2" t="s">
        <v>91</v>
      </c>
      <c r="E82" s="52">
        <v>1161.9077</v>
      </c>
      <c r="F82" s="53">
        <v>1166.913</v>
      </c>
    </row>
    <row r="83" spans="3:6" x14ac:dyDescent="0.3">
      <c r="C83" s="2" t="s">
        <v>92</v>
      </c>
      <c r="E83" s="52">
        <v>1006.1415</v>
      </c>
      <c r="F83" s="53">
        <v>1005.3377</v>
      </c>
    </row>
    <row r="84" spans="3:6" x14ac:dyDescent="0.3">
      <c r="C84" s="2" t="s">
        <v>93</v>
      </c>
      <c r="E84" s="52">
        <v>1000.1572</v>
      </c>
      <c r="F84" s="53">
        <v>1000.1565000000001</v>
      </c>
    </row>
    <row r="85" spans="3:6" x14ac:dyDescent="0.3">
      <c r="C85" s="2" t="s">
        <v>94</v>
      </c>
      <c r="E85" s="52">
        <v>1000</v>
      </c>
      <c r="F85" s="53">
        <v>1000</v>
      </c>
    </row>
    <row r="86" spans="3:6" x14ac:dyDescent="0.3">
      <c r="C86" s="2" t="s">
        <v>95</v>
      </c>
      <c r="E86" s="52">
        <v>1173.3670999999999</v>
      </c>
      <c r="F86" s="53">
        <v>1178.5934999999999</v>
      </c>
    </row>
    <row r="87" spans="3:6" x14ac:dyDescent="0.3">
      <c r="C87" s="2" t="s">
        <v>96</v>
      </c>
      <c r="E87" s="52">
        <v>1000.0001</v>
      </c>
      <c r="F87" s="53">
        <v>1000.0001</v>
      </c>
    </row>
    <row r="88" spans="3:6" x14ac:dyDescent="0.3">
      <c r="C88" s="2" t="s">
        <v>97</v>
      </c>
      <c r="E88" s="54">
        <v>1000</v>
      </c>
      <c r="F88" s="55">
        <v>1000</v>
      </c>
    </row>
    <row r="90" spans="3:6" x14ac:dyDescent="0.3">
      <c r="C90" s="2" t="s">
        <v>98</v>
      </c>
      <c r="E90" s="11" t="s">
        <v>99</v>
      </c>
      <c r="F90" s="49" t="s">
        <v>100</v>
      </c>
    </row>
    <row r="91" spans="3:6" x14ac:dyDescent="0.3">
      <c r="C91" s="2" t="s">
        <v>90</v>
      </c>
      <c r="E91" s="52">
        <v>4.1943159799999989</v>
      </c>
      <c r="F91" s="53">
        <v>4.1943159799999989</v>
      </c>
    </row>
    <row r="92" spans="3:6" x14ac:dyDescent="0.3">
      <c r="C92" s="2" t="s">
        <v>92</v>
      </c>
      <c r="E92" s="52">
        <v>5.13</v>
      </c>
      <c r="F92" s="53">
        <v>5.13</v>
      </c>
    </row>
    <row r="93" spans="3:6" x14ac:dyDescent="0.3">
      <c r="C93" s="2" t="s">
        <v>93</v>
      </c>
      <c r="E93" s="52">
        <v>4.3126016099999998</v>
      </c>
      <c r="F93" s="53">
        <v>4.3126016099999998</v>
      </c>
    </row>
    <row r="94" spans="3:6" x14ac:dyDescent="0.3">
      <c r="C94" s="2" t="s">
        <v>96</v>
      </c>
      <c r="E94" s="52">
        <v>4.44699679</v>
      </c>
      <c r="F94" s="53">
        <v>4.44699679</v>
      </c>
    </row>
    <row r="96" spans="3:6" x14ac:dyDescent="0.3">
      <c r="C96" s="2" t="s">
        <v>101</v>
      </c>
    </row>
    <row r="97" spans="3:11" x14ac:dyDescent="0.3">
      <c r="C97" s="2" t="s">
        <v>102</v>
      </c>
    </row>
    <row r="98" spans="3:11" x14ac:dyDescent="0.3">
      <c r="C98" s="2" t="s">
        <v>103</v>
      </c>
    </row>
    <row r="99" spans="3:11" x14ac:dyDescent="0.3">
      <c r="C99" s="2" t="s">
        <v>104</v>
      </c>
    </row>
    <row r="100" spans="3:11" x14ac:dyDescent="0.3">
      <c r="C100" s="2" t="s">
        <v>105</v>
      </c>
    </row>
    <row r="101" spans="3:11" x14ac:dyDescent="0.3">
      <c r="C101" s="2" t="s">
        <v>106</v>
      </c>
    </row>
    <row r="102" spans="3:11" x14ac:dyDescent="0.3">
      <c r="C102" s="2" t="s">
        <v>107</v>
      </c>
    </row>
    <row r="103" spans="3:11" x14ac:dyDescent="0.3">
      <c r="C103" s="2" t="s">
        <v>108</v>
      </c>
    </row>
    <row r="104" spans="3:11" x14ac:dyDescent="0.3">
      <c r="C104" s="2" t="s">
        <v>109</v>
      </c>
    </row>
    <row r="105" spans="3:11" x14ac:dyDescent="0.3">
      <c r="C105" s="2" t="s">
        <v>110</v>
      </c>
    </row>
    <row r="106" spans="3:11" x14ac:dyDescent="0.3">
      <c r="C106" s="2" t="s">
        <v>111</v>
      </c>
    </row>
    <row r="107" spans="3:11" x14ac:dyDescent="0.3">
      <c r="C107" s="2" t="s">
        <v>112</v>
      </c>
    </row>
    <row r="108" spans="3:11" x14ac:dyDescent="0.3">
      <c r="C108" s="2" t="s">
        <v>113</v>
      </c>
    </row>
    <row r="109" spans="3:11" x14ac:dyDescent="0.3">
      <c r="C109" s="2" t="s">
        <v>114</v>
      </c>
    </row>
    <row r="110" spans="3:11" ht="14.4" x14ac:dyDescent="0.3">
      <c r="C110" s="56"/>
      <c r="D110" s="56"/>
      <c r="E110" s="56"/>
      <c r="F110" s="56"/>
      <c r="G110" s="56"/>
      <c r="H110" s="56"/>
      <c r="I110" s="56"/>
      <c r="J110" s="56"/>
      <c r="K110" s="56"/>
    </row>
    <row r="127" spans="3:6" ht="14.4" thickBot="1" x14ac:dyDescent="0.35"/>
    <row r="128" spans="3:6" ht="15" thickBot="1" x14ac:dyDescent="0.35">
      <c r="C128" s="57" t="s">
        <v>115</v>
      </c>
      <c r="D128" s="58"/>
      <c r="E128" s="58"/>
      <c r="F128" s="59"/>
    </row>
    <row r="129" spans="3:6" ht="15" thickBot="1" x14ac:dyDescent="0.35">
      <c r="C129" s="60" t="s">
        <v>116</v>
      </c>
      <c r="D129" s="61" t="s">
        <v>117</v>
      </c>
      <c r="E129" s="61" t="s">
        <v>118</v>
      </c>
      <c r="F129" s="61" t="s">
        <v>119</v>
      </c>
    </row>
    <row r="130" spans="3:6" ht="15" thickBot="1" x14ac:dyDescent="0.35">
      <c r="C130" s="60" t="s">
        <v>120</v>
      </c>
      <c r="D130" s="62"/>
      <c r="E130" s="62"/>
      <c r="F130" s="62"/>
    </row>
    <row r="131" spans="3:6" ht="15" thickBot="1" x14ac:dyDescent="0.35">
      <c r="C131" s="63" t="s">
        <v>121</v>
      </c>
      <c r="D131"/>
      <c r="E131" s="64" t="s">
        <v>122</v>
      </c>
      <c r="F131" s="65"/>
    </row>
    <row r="132" spans="3:6" ht="14.4" x14ac:dyDescent="0.3">
      <c r="C132" s="66" t="s">
        <v>123</v>
      </c>
      <c r="D132" s="67"/>
      <c r="E132" s="67"/>
      <c r="F132" s="67"/>
    </row>
    <row r="133" spans="3:6" ht="15" thickBot="1" x14ac:dyDescent="0.35">
      <c r="C133" s="63" t="s">
        <v>124</v>
      </c>
      <c r="D133" s="68"/>
      <c r="E133" s="68"/>
      <c r="F133" s="68"/>
    </row>
    <row r="134" spans="3:6" ht="14.4" x14ac:dyDescent="0.3">
      <c r="C134" s="66" t="s">
        <v>125</v>
      </c>
      <c r="D134" s="67"/>
      <c r="E134" s="69"/>
      <c r="F134" s="67"/>
    </row>
    <row r="135" spans="3:6" ht="15" thickBot="1" x14ac:dyDescent="0.35">
      <c r="C135" s="63" t="s">
        <v>126</v>
      </c>
      <c r="D135" s="68"/>
      <c r="E135" s="70"/>
      <c r="F135" s="68"/>
    </row>
    <row r="136" spans="3:6" ht="14.4" x14ac:dyDescent="0.35">
      <c r="C136" s="71" t="s">
        <v>127</v>
      </c>
      <c r="D136" s="72"/>
      <c r="E136" s="72"/>
      <c r="F136" s="72"/>
    </row>
    <row r="137" spans="3:6" ht="14.4" x14ac:dyDescent="0.35">
      <c r="C137" s="2" t="s">
        <v>128</v>
      </c>
      <c r="D137" s="72"/>
      <c r="E137" s="72"/>
      <c r="F137" s="72"/>
    </row>
  </sheetData>
  <mergeCells count="10">
    <mergeCell ref="D134:D135"/>
    <mergeCell ref="E134:E135"/>
    <mergeCell ref="F134:F135"/>
    <mergeCell ref="C128:F128"/>
    <mergeCell ref="D129:D130"/>
    <mergeCell ref="E129:E130"/>
    <mergeCell ref="F129:F130"/>
    <mergeCell ref="D132:D133"/>
    <mergeCell ref="E132:E133"/>
    <mergeCell ref="F132:F13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BM</vt:lpstr>
      <vt:lpstr>XDO_?CLASS_3?25?</vt:lpstr>
      <vt:lpstr>XDO_?FINAL_ISIN?115?</vt:lpstr>
      <vt:lpstr>XDO_?FINAL_ISIN?116?</vt:lpstr>
      <vt:lpstr>XDO_?FINAL_ISIN?117?</vt:lpstr>
      <vt:lpstr>XDO_?FINAL_ISIN?118?</vt:lpstr>
      <vt:lpstr>XDO_?FINAL_ISIN?119?</vt:lpstr>
      <vt:lpstr>XDO_?FINAL_MV?115?</vt:lpstr>
      <vt:lpstr>XDO_?FINAL_MV?116?</vt:lpstr>
      <vt:lpstr>XDO_?FINAL_MV?117?</vt:lpstr>
      <vt:lpstr>XDO_?FINAL_MV?118?</vt:lpstr>
      <vt:lpstr>XDO_?FINAL_MV?119?</vt:lpstr>
      <vt:lpstr>XDO_?FINAL_NAME?115?</vt:lpstr>
      <vt:lpstr>XDO_?FINAL_NAME?116?</vt:lpstr>
      <vt:lpstr>XDO_?FINAL_NAME?117?</vt:lpstr>
      <vt:lpstr>XDO_?FINAL_NAME?118?</vt:lpstr>
      <vt:lpstr>XDO_?FINAL_NAME?119?</vt:lpstr>
      <vt:lpstr>XDO_?FINAL_PER_NET?115?</vt:lpstr>
      <vt:lpstr>XDO_?FINAL_PER_NET?116?</vt:lpstr>
      <vt:lpstr>XDO_?FINAL_PER_NET?117?</vt:lpstr>
      <vt:lpstr>XDO_?FINAL_PER_NET?118?</vt:lpstr>
      <vt:lpstr>XDO_?FINAL_PER_NET?119?</vt:lpstr>
      <vt:lpstr>XDO_?FINAL_QUANTITE?115?</vt:lpstr>
      <vt:lpstr>XDO_?FINAL_QUANTITE?116?</vt:lpstr>
      <vt:lpstr>XDO_?FINAL_QUANTITE?117?</vt:lpstr>
      <vt:lpstr>XDO_?FINAL_QUANTITE?118?</vt:lpstr>
      <vt:lpstr>XDO_?FINAL_QUANTITE?119?</vt:lpstr>
      <vt:lpstr>XDO_?NAMCNAME?25?</vt:lpstr>
      <vt:lpstr>XDO_?NOVAL?115?</vt:lpstr>
      <vt:lpstr>XDO_?NOVAL?116?</vt:lpstr>
      <vt:lpstr>XDO_?NOVAL?117?</vt:lpstr>
      <vt:lpstr>XDO_?NOVAL?118?</vt:lpstr>
      <vt:lpstr>XDO_?NOVAL?119?</vt:lpstr>
      <vt:lpstr>XDO_?NPTF?25?</vt:lpstr>
      <vt:lpstr>XDO_?RATING?115?</vt:lpstr>
      <vt:lpstr>XDO_?RATING?116?</vt:lpstr>
      <vt:lpstr>XDO_?RATING?117?</vt:lpstr>
      <vt:lpstr>XDO_?RATING?118?</vt:lpstr>
      <vt:lpstr>XDO_?RATING?119?</vt:lpstr>
      <vt:lpstr>XDO_?REMARKS?115?</vt:lpstr>
      <vt:lpstr>XDO_?REMARKS?116?</vt:lpstr>
      <vt:lpstr>XDO_?REMARKS?117?</vt:lpstr>
      <vt:lpstr>XDO_?REMARKS?118?</vt:lpstr>
      <vt:lpstr>XDO_?REMARKS?119?</vt:lpstr>
      <vt:lpstr>XDO_?TITL?25?</vt:lpstr>
      <vt:lpstr>XDO_?YTM?115?</vt:lpstr>
      <vt:lpstr>XDO_?YTM?116?</vt:lpstr>
      <vt:lpstr>XDO_?YTM?117?</vt:lpstr>
      <vt:lpstr>XDO_?YTM?118?</vt:lpstr>
      <vt:lpstr>XDO_?YTM?119?</vt:lpstr>
      <vt:lpstr>XDO_GROUP_?G_2?25?</vt:lpstr>
      <vt:lpstr>XDO_GROUP_?G_3?25?</vt:lpstr>
      <vt:lpstr>XDO_GROUP_?G_4?115?</vt:lpstr>
      <vt:lpstr>XDO_GROUP_?G_4?116?</vt:lpstr>
      <vt:lpstr>XDO_GROUP_?G_4?117?</vt:lpstr>
      <vt:lpstr>XDO_GROUP_?G_4?118?</vt:lpstr>
      <vt:lpstr>XDO_GROUP_?G_4?119?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2023-03-06T13:25:41Z</dcterms:created>
  <dcterms:modified xsi:type="dcterms:W3CDTF">2023-03-09T10:09:22Z</dcterms:modified>
</cp:coreProperties>
</file>