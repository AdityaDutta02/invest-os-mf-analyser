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BOBNPMF_ Monthly Portfolio_Report 30th June 2022/"/>
    </mc:Choice>
  </mc:AlternateContent>
  <xr:revisionPtr revIDLastSave="0" documentId="10_ncr:8000_{1ABE410F-531E-4624-B465-308B3A3B06A0}" xr6:coauthVersionLast="47" xr6:coauthVersionMax="47" xr10:uidLastSave="{00000000-0000-0000-0000-000000000000}"/>
  <bookViews>
    <workbookView xWindow="-108" yWindow="-108" windowWidth="23256" windowHeight="12576" xr2:uid="{8E05D905-4B2C-41F8-A919-2965AA4FA8E3}"/>
  </bookViews>
  <sheets>
    <sheet name="FO" sheetId="1" r:id="rId1"/>
  </sheets>
  <externalReferences>
    <externalReference r:id="rId2"/>
  </externalReferences>
  <definedNames>
    <definedName name="XDO_?CLASS_3?10?">FO!$C$8:$C$33</definedName>
    <definedName name="XDO_?FINAL_ISIN?45?">FO!$D$10:$D$33</definedName>
    <definedName name="XDO_?FINAL_ISIN?46?">FO!$D$10:$D$74</definedName>
    <definedName name="XDO_?FINAL_ISIN?47?">FO!$D$10:$D$78</definedName>
    <definedName name="XDO_?FINAL_MV?45?">FO!$G$10:$G$33</definedName>
    <definedName name="XDO_?FINAL_MV?46?">FO!$G$10:$G$74</definedName>
    <definedName name="XDO_?FINAL_MV?47?">FO!$G$10:$G$78</definedName>
    <definedName name="XDO_?FINAL_NAME?45?">FO!$C$10:$C$33</definedName>
    <definedName name="XDO_?FINAL_NAME?46?">FO!$C$10:$C$74</definedName>
    <definedName name="XDO_?FINAL_NAME?47?">FO!$C$10:$C$78</definedName>
    <definedName name="XDO_?FINAL_PER_NET?45?">FO!$H$10:$H$33</definedName>
    <definedName name="XDO_?FINAL_PER_NET?46?">FO!$H$10:$H$74</definedName>
    <definedName name="XDO_?FINAL_PER_NET?47?">FO!$H$10:$H$78</definedName>
    <definedName name="XDO_?FINAL_QUANTITE?45?">FO!$F$10:$F$33</definedName>
    <definedName name="XDO_?FINAL_QUANTITE?46?">FO!$F$10:$F$74</definedName>
    <definedName name="XDO_?FINAL_QUANTITE?47?">FO!$F$10:$F$78</definedName>
    <definedName name="XDO_?NAMC?">[1]MT!#REF!</definedName>
    <definedName name="XDO_?NAMC?1?">[1]LW!#REF!</definedName>
    <definedName name="XDO_?NAMC?10?">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0?">FO!$C$2:$C$33</definedName>
    <definedName name="XDO_?NDATE?">[1]MT!#REF!</definedName>
    <definedName name="XDO_?NDATE?1?">[1]LW!#REF!</definedName>
    <definedName name="XDO_?NDATE?10?">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45?">FO!$B$10:$B$33</definedName>
    <definedName name="XDO_?NOVAL?46?">FO!$B$10:$B$74</definedName>
    <definedName name="XDO_?NOVAL?47?">FO!$B$10:$B$78</definedName>
    <definedName name="XDO_?NPTF?10?">FO!$D$2:$D$33</definedName>
    <definedName name="XDO_?RATING?45?">FO!$E$10:$E$33</definedName>
    <definedName name="XDO_?RATING?46?">FO!$E$10:$E$74</definedName>
    <definedName name="XDO_?RATING?47?">FO!$E$10:$E$78</definedName>
    <definedName name="XDO_?REMARKS?45?">FO!$K$10:$K$33</definedName>
    <definedName name="XDO_?REMARKS?46?">FO!$K$10:$K$74</definedName>
    <definedName name="XDO_?REMARKS?47?">FO!$K$10:$K$78</definedName>
    <definedName name="XDO_?TITL?10?">FO!$A$8:$A$33</definedName>
    <definedName name="XDO_?YTM?45?">FO!$I$10:$I$33</definedName>
    <definedName name="XDO_?YTM?46?">FO!$I$10:$I$74</definedName>
    <definedName name="XDO_?YTM?47?">FO!$I$10:$I$78</definedName>
    <definedName name="XDO_GROUP_?G_2?10?">FO!$2:$46</definedName>
    <definedName name="XDO_GROUP_?G_3?10?">FO!$8:$45</definedName>
    <definedName name="XDO_GROUP_?G_4?45?">FO!$B$10:$IV$33</definedName>
    <definedName name="XDO_GROUP_?G_4?46?">FO!$B$38:$IV$38</definedName>
    <definedName name="XDO_GROUP_?G_4?47?">FO!$B$43:$IV$43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81" i="1" l="1"/>
</calcChain>
</file>

<file path=xl/sharedStrings.xml><?xml version="1.0" encoding="utf-8"?>
<sst xmlns="http://schemas.openxmlformats.org/spreadsheetml/2006/main" count="202" uniqueCount="162">
  <si>
    <t>Baroda BNP Paribas Mutual Fund</t>
  </si>
  <si>
    <t>T0ME20</t>
  </si>
  <si>
    <t>SCHEME NAME :</t>
  </si>
  <si>
    <t xml:space="preserve">Baroda BNP Paribas Focused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</si>
  <si>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</si>
  <si>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</si>
  <si>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</si>
  <si>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</si>
  <si>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</si>
  <si>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</si>
  <si>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</si>
  <si>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</si>
  <si>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</si>
  <si>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</si>
  <si>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</si>
  <si>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</si>
  <si>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100006</t>
  </si>
  <si>
    <t>HDFC Bank Ltd.</t>
  </si>
  <si>
    <t>INE040A01034</t>
  </si>
  <si>
    <t>Banks</t>
  </si>
  <si>
    <t>100012</t>
  </si>
  <si>
    <t>ICICI Bank Ltd.</t>
  </si>
  <si>
    <t>INE090A01021</t>
  </si>
  <si>
    <t>100003</t>
  </si>
  <si>
    <t>Infosys Ltd.</t>
  </si>
  <si>
    <t>INE009A01021</t>
  </si>
  <si>
    <t>IT - Software</t>
  </si>
  <si>
    <t>100019</t>
  </si>
  <si>
    <t>ITC Ltd.</t>
  </si>
  <si>
    <t>INE154A01025</t>
  </si>
  <si>
    <t>Diversified FMCG</t>
  </si>
  <si>
    <t>100002</t>
  </si>
  <si>
    <t>Reliance Industries Ltd.</t>
  </si>
  <si>
    <t>INE002A01018</t>
  </si>
  <si>
    <t>Petroleum Products</t>
  </si>
  <si>
    <t>100181</t>
  </si>
  <si>
    <t>NTPC Ltd.</t>
  </si>
  <si>
    <t>INE733E01010</t>
  </si>
  <si>
    <t>Power</t>
  </si>
  <si>
    <t>100037</t>
  </si>
  <si>
    <t>HCL Technologies Ltd.</t>
  </si>
  <si>
    <t>INE860A01027</t>
  </si>
  <si>
    <t>100050</t>
  </si>
  <si>
    <t>Trent Ltd.</t>
  </si>
  <si>
    <t>INE849A01020</t>
  </si>
  <si>
    <t>Retailing</t>
  </si>
  <si>
    <t>100318</t>
  </si>
  <si>
    <t>Tata Motors DVR Ltd.</t>
  </si>
  <si>
    <t>IN9155A01020</t>
  </si>
  <si>
    <t>Automobiles</t>
  </si>
  <si>
    <t>100104</t>
  </si>
  <si>
    <t>Kotak Mahindra Bank Ltd.</t>
  </si>
  <si>
    <t>INE237A01028</t>
  </si>
  <si>
    <t>100144</t>
  </si>
  <si>
    <t>Voltas Ltd.</t>
  </si>
  <si>
    <t>INE226A01021</t>
  </si>
  <si>
    <t>Consumer Durables</t>
  </si>
  <si>
    <t>100125</t>
  </si>
  <si>
    <t>Bajaj Finance Ltd.</t>
  </si>
  <si>
    <t>INE296A01024</t>
  </si>
  <si>
    <t>Finance</t>
  </si>
  <si>
    <t>100115</t>
  </si>
  <si>
    <t>Siemens Ltd.</t>
  </si>
  <si>
    <t>INE003A01024</t>
  </si>
  <si>
    <t>Electrical Equipment</t>
  </si>
  <si>
    <t>100684</t>
  </si>
  <si>
    <t>SBI Life Insurance Company Ltd.</t>
  </si>
  <si>
    <t>INE123W01016</t>
  </si>
  <si>
    <t>Insurance</t>
  </si>
  <si>
    <t>100153</t>
  </si>
  <si>
    <t>Cipla Ltd.</t>
  </si>
  <si>
    <t>INE059A01026</t>
  </si>
  <si>
    <t>Pharmaceuticals &amp; Biotechnology</t>
  </si>
  <si>
    <t>100378</t>
  </si>
  <si>
    <t>Jindal Steel &amp; Power Ltd.</t>
  </si>
  <si>
    <t>INE749A01030</t>
  </si>
  <si>
    <t>Ferrous Metals</t>
  </si>
  <si>
    <t>100089</t>
  </si>
  <si>
    <t>Bharat Electronics Ltd.</t>
  </si>
  <si>
    <t>INE263A01024</t>
  </si>
  <si>
    <t>Aerospace &amp; Defense</t>
  </si>
  <si>
    <t>100032</t>
  </si>
  <si>
    <t>Tata Consultancy Services Ltd.</t>
  </si>
  <si>
    <t>INE467B01029</t>
  </si>
  <si>
    <t>100559</t>
  </si>
  <si>
    <t>Avanti Feeds Ltd.</t>
  </si>
  <si>
    <t>INE871C01038</t>
  </si>
  <si>
    <t>Food Products</t>
  </si>
  <si>
    <t>100176</t>
  </si>
  <si>
    <t>GAIL (India) Ltd.</t>
  </si>
  <si>
    <t>INE129A01019</t>
  </si>
  <si>
    <t>Gas</t>
  </si>
  <si>
    <t>100280</t>
  </si>
  <si>
    <t>TVS Motor Company Ltd.</t>
  </si>
  <si>
    <t>INE494B01023</t>
  </si>
  <si>
    <t>101119</t>
  </si>
  <si>
    <t>SBI Cards &amp; Payment Services Ltd.</t>
  </si>
  <si>
    <t>INE018E01016</t>
  </si>
  <si>
    <t>100106</t>
  </si>
  <si>
    <t>Maruti Suzuki India Ltd.</t>
  </si>
  <si>
    <t>INE585B01010</t>
  </si>
  <si>
    <t>101256</t>
  </si>
  <si>
    <t>Nazara Technologies Ltd.</t>
  </si>
  <si>
    <t>INE418L01021</t>
  </si>
  <si>
    <t>Entertainment</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</si>
  <si>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</si>
  <si>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</si>
  <si>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</si>
  <si>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</si>
  <si>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</si>
  <si>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</si>
  <si>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</si>
  <si>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</si>
  <si>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</si>
  <si>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</si>
  <si>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</si>
  <si>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</si>
  <si>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</si>
  <si>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</si>
  <si>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</si>
  <si>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</si>
  <si>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</si>
  <si>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</si>
  <si>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</si>
  <si>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</si>
  <si>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</si>
  <si>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</si>
  <si>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107220100</t>
  </si>
  <si>
    <t>TREPS 01-Jul-2022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</si>
  <si>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</si>
  <si>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</si>
  <si>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</si>
  <si>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</si>
  <si>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</si>
  <si>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</si>
  <si>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</si>
  <si>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</si>
  <si>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</si>
  <si>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June,30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</si>
  <si>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</si>
  <si>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</si>
  <si>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</si>
  <si>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May 31, 2022</t>
  </si>
  <si>
    <t>As on June,30 2022</t>
  </si>
  <si>
    <t>Regular Plan - IDCW Option</t>
  </si>
  <si>
    <t>Regular Plan - Growth Option</t>
  </si>
  <si>
    <t>Direct Plan - IDCW Option</t>
  </si>
  <si>
    <t>Direct Plan - Growth Option</t>
  </si>
  <si>
    <t>(7) No Dividend declared during the Month ended June,30 2022</t>
  </si>
  <si>
    <t>(8) There were no investments made in derivative instruments and no such derivative instrument was squared off/ expired /exercised during the Month ended June,30 2022. Further there are no investments in derivative instruments as on June,30 2022.</t>
  </si>
  <si>
    <t>(9) Total Market value of investments in Foreign Securities/American Depositary Receipts/Global Depositary Receipts as at June,30 2022 is Rs. Nil.</t>
  </si>
  <si>
    <t>(10)  During the period, the portfolio turnover ratio is  0.06 times.</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</si>
  <si>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</si>
  <si>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</si>
  <si>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</si>
  <si>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</si>
  <si>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</si>
  <si>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</si>
  <si>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</si>
  <si>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</si>
  <si>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June,30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</si>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</sst>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dd/mm/yyyy;@"/>
    <numFmt numFmtId="167" formatCode="mmmm\ dd\,\ yyyy"/>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5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DC0F3174-6AD2-4A68-8892-3D7849DD3310}"/>
    <cellStyle name="Hyperlink" xfId="2" builtinId="8"/>
    <cellStyle name="Normal" xfId="0" builtinId="0"/>
    <cellStyle name="Normal 2" xfId="4" xr:uid="{86A53425-482D-4C14-BEB8-19820945973F}"/>
    <cellStyle name="Style 1" xfId="3" xr:uid="{74DB3665-B14B-4C36-85E7-525ED843B8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114</xdr:row>
      <xdr:rowOff>0</xdr:rowOff>
    </xdr:from>
    <xdr:to>
      <xdr:col>5</xdr:col>
      <xdr:colOff>504275</xdr:colOff>
      <xdr:row>129</xdr:row>
      <xdr:rowOff>143256</xdr:rowOff>
    </xdr:to>
    <xdr:pic>
      <xdr:nvPicPr>
        <xdr:cNvPr id="3" name="Picture 2">
          <a:extLst>
            <a:ext uri="{FF2B5EF4-FFF2-40B4-BE49-F238E27FC236}">
              <a16:creationId xmlns:a16="http://schemas.microsoft.com/office/drawing/2014/main" id="{23E8D62B-F8B7-4FBE-BD1A-8576D1E5456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174200"/>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P_Monthly_Portfolio_Report%2030%20June%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6ABD8-B755-45F9-B52B-E4CFFA1399A3}">
  <dimension ref="A1:IS116"/>
  <sheetViews>
    <sheetView showGridLines="0" tabSelected="1" zoomScale="85" zoomScaleNormal="85" workbookViewId="0">
      <pane ySplit="6" topLeftCell="A114" activePane="bottomLeft" state="frozen"/>
      <selection activeCell="L1" sqref="L1:L65536"/>
      <selection pane="bottomLeft" activeCell="C115" sqref="C115"/>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44742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170000</v>
      </c>
      <c r="G10" s="35">
        <v>2291.6</v>
      </c>
      <c r="H10" s="35">
        <v>9.6</v>
      </c>
      <c r="I10" s="36"/>
      <c r="J10" s="37"/>
      <c r="K10" s="38"/>
    </row>
    <row r="11" spans="1:54" x14ac:dyDescent="0.3">
      <c r="B11" s="1" t="s">
        <v>20</v>
      </c>
      <c r="C11" s="21" t="s">
        <v>21</v>
      </c>
      <c r="D11" s="32" t="s">
        <v>22</v>
      </c>
      <c r="E11" s="33" t="s">
        <v>19</v>
      </c>
      <c r="F11" s="34">
        <v>285000</v>
      </c>
      <c r="G11" s="35">
        <v>2015.52</v>
      </c>
      <c r="H11" s="35">
        <v>8.44</v>
      </c>
      <c r="I11" s="36"/>
      <c r="J11" s="37"/>
      <c r="K11" s="38"/>
    </row>
    <row r="12" spans="1:54" x14ac:dyDescent="0.3">
      <c r="B12" s="1" t="s">
        <v>23</v>
      </c>
      <c r="C12" s="21" t="s">
        <v>24</v>
      </c>
      <c r="D12" s="32" t="s">
        <v>25</v>
      </c>
      <c r="E12" s="33" t="s">
        <v>26</v>
      </c>
      <c r="F12" s="34">
        <v>116000</v>
      </c>
      <c r="G12" s="35">
        <v>1695.8</v>
      </c>
      <c r="H12" s="35">
        <v>7.11</v>
      </c>
      <c r="I12" s="36"/>
      <c r="J12" s="37"/>
      <c r="K12" s="38"/>
    </row>
    <row r="13" spans="1:54" x14ac:dyDescent="0.3">
      <c r="B13" s="1" t="s">
        <v>27</v>
      </c>
      <c r="C13" s="21" t="s">
        <v>28</v>
      </c>
      <c r="D13" s="32" t="s">
        <v>29</v>
      </c>
      <c r="E13" s="33" t="s">
        <v>30</v>
      </c>
      <c r="F13" s="34">
        <v>610000</v>
      </c>
      <c r="G13" s="35">
        <v>1668.35</v>
      </c>
      <c r="H13" s="35">
        <v>6.99</v>
      </c>
      <c r="I13" s="36"/>
      <c r="J13" s="37"/>
      <c r="K13" s="38"/>
    </row>
    <row r="14" spans="1:54" x14ac:dyDescent="0.3">
      <c r="B14" s="1" t="s">
        <v>31</v>
      </c>
      <c r="C14" s="21" t="s">
        <v>32</v>
      </c>
      <c r="D14" s="32" t="s">
        <v>33</v>
      </c>
      <c r="E14" s="33" t="s">
        <v>34</v>
      </c>
      <c r="F14" s="34">
        <v>54500</v>
      </c>
      <c r="G14" s="35">
        <v>1414.63</v>
      </c>
      <c r="H14" s="35">
        <v>5.93</v>
      </c>
      <c r="I14" s="36"/>
      <c r="J14" s="37"/>
      <c r="K14" s="38"/>
    </row>
    <row r="15" spans="1:54" x14ac:dyDescent="0.3">
      <c r="B15" s="1" t="s">
        <v>35</v>
      </c>
      <c r="C15" s="21" t="s">
        <v>36</v>
      </c>
      <c r="D15" s="32" t="s">
        <v>37</v>
      </c>
      <c r="E15" s="33" t="s">
        <v>38</v>
      </c>
      <c r="F15" s="34">
        <v>710000</v>
      </c>
      <c r="G15" s="35">
        <v>1014.59</v>
      </c>
      <c r="H15" s="35">
        <v>4.25</v>
      </c>
      <c r="I15" s="36"/>
      <c r="J15" s="37"/>
      <c r="K15" s="38"/>
    </row>
    <row r="16" spans="1:54" x14ac:dyDescent="0.3">
      <c r="B16" s="1" t="s">
        <v>39</v>
      </c>
      <c r="C16" s="21" t="s">
        <v>40</v>
      </c>
      <c r="D16" s="32" t="s">
        <v>41</v>
      </c>
      <c r="E16" s="33" t="s">
        <v>26</v>
      </c>
      <c r="F16" s="34">
        <v>100000</v>
      </c>
      <c r="G16" s="35">
        <v>973.25</v>
      </c>
      <c r="H16" s="35">
        <v>4.08</v>
      </c>
      <c r="I16" s="36"/>
      <c r="J16" s="37"/>
      <c r="K16" s="38"/>
    </row>
    <row r="17" spans="2:11" x14ac:dyDescent="0.3">
      <c r="B17" s="1" t="s">
        <v>42</v>
      </c>
      <c r="C17" s="21" t="s">
        <v>43</v>
      </c>
      <c r="D17" s="32" t="s">
        <v>44</v>
      </c>
      <c r="E17" s="33" t="s">
        <v>45</v>
      </c>
      <c r="F17" s="34">
        <v>86000</v>
      </c>
      <c r="G17" s="35">
        <v>923.77</v>
      </c>
      <c r="H17" s="35">
        <v>3.87</v>
      </c>
      <c r="I17" s="36"/>
      <c r="J17" s="37"/>
      <c r="K17" s="38"/>
    </row>
    <row r="18" spans="2:11" x14ac:dyDescent="0.3">
      <c r="B18" s="1" t="s">
        <v>46</v>
      </c>
      <c r="C18" s="21" t="s">
        <v>47</v>
      </c>
      <c r="D18" s="32" t="s">
        <v>48</v>
      </c>
      <c r="E18" s="33" t="s">
        <v>49</v>
      </c>
      <c r="F18" s="34">
        <v>450000</v>
      </c>
      <c r="G18" s="35">
        <v>890.1</v>
      </c>
      <c r="H18" s="35">
        <v>3.73</v>
      </c>
      <c r="I18" s="36"/>
      <c r="J18" s="37"/>
      <c r="K18" s="38"/>
    </row>
    <row r="19" spans="2:11" x14ac:dyDescent="0.3">
      <c r="B19" s="1" t="s">
        <v>50</v>
      </c>
      <c r="C19" s="21" t="s">
        <v>51</v>
      </c>
      <c r="D19" s="32" t="s">
        <v>52</v>
      </c>
      <c r="E19" s="33" t="s">
        <v>19</v>
      </c>
      <c r="F19" s="34">
        <v>50000</v>
      </c>
      <c r="G19" s="35">
        <v>830.55</v>
      </c>
      <c r="H19" s="35">
        <v>3.48</v>
      </c>
      <c r="I19" s="36"/>
      <c r="J19" s="37"/>
      <c r="K19" s="38"/>
    </row>
    <row r="20" spans="2:11" x14ac:dyDescent="0.3">
      <c r="B20" s="1" t="s">
        <v>53</v>
      </c>
      <c r="C20" s="21" t="s">
        <v>54</v>
      </c>
      <c r="D20" s="32" t="s">
        <v>55</v>
      </c>
      <c r="E20" s="33" t="s">
        <v>56</v>
      </c>
      <c r="F20" s="34">
        <v>78000</v>
      </c>
      <c r="G20" s="35">
        <v>758.47</v>
      </c>
      <c r="H20" s="35">
        <v>3.18</v>
      </c>
      <c r="I20" s="36"/>
      <c r="J20" s="37"/>
      <c r="K20" s="38"/>
    </row>
    <row r="21" spans="2:11" x14ac:dyDescent="0.3">
      <c r="B21" s="1" t="s">
        <v>57</v>
      </c>
      <c r="C21" s="21" t="s">
        <v>58</v>
      </c>
      <c r="D21" s="32" t="s">
        <v>59</v>
      </c>
      <c r="E21" s="33" t="s">
        <v>60</v>
      </c>
      <c r="F21" s="34">
        <v>13500</v>
      </c>
      <c r="G21" s="35">
        <v>729.07</v>
      </c>
      <c r="H21" s="35">
        <v>3.05</v>
      </c>
      <c r="I21" s="36"/>
      <c r="J21" s="37"/>
      <c r="K21" s="38"/>
    </row>
    <row r="22" spans="2:11" x14ac:dyDescent="0.3">
      <c r="B22" s="1" t="s">
        <v>61</v>
      </c>
      <c r="C22" s="21" t="s">
        <v>62</v>
      </c>
      <c r="D22" s="32" t="s">
        <v>63</v>
      </c>
      <c r="E22" s="33" t="s">
        <v>64</v>
      </c>
      <c r="F22" s="34">
        <v>27000</v>
      </c>
      <c r="G22" s="35">
        <v>648.12</v>
      </c>
      <c r="H22" s="35">
        <v>2.72</v>
      </c>
      <c r="I22" s="36"/>
      <c r="J22" s="37"/>
      <c r="K22" s="38"/>
    </row>
    <row r="23" spans="2:11" x14ac:dyDescent="0.3">
      <c r="B23" s="1" t="s">
        <v>65</v>
      </c>
      <c r="C23" s="21" t="s">
        <v>66</v>
      </c>
      <c r="D23" s="32" t="s">
        <v>67</v>
      </c>
      <c r="E23" s="33" t="s">
        <v>68</v>
      </c>
      <c r="F23" s="34">
        <v>58000</v>
      </c>
      <c r="G23" s="35">
        <v>627.33000000000004</v>
      </c>
      <c r="H23" s="35">
        <v>2.63</v>
      </c>
      <c r="I23" s="36"/>
      <c r="J23" s="37"/>
      <c r="K23" s="38"/>
    </row>
    <row r="24" spans="2:11" x14ac:dyDescent="0.3">
      <c r="B24" s="1" t="s">
        <v>69</v>
      </c>
      <c r="C24" s="21" t="s">
        <v>70</v>
      </c>
      <c r="D24" s="32" t="s">
        <v>71</v>
      </c>
      <c r="E24" s="33" t="s">
        <v>72</v>
      </c>
      <c r="F24" s="34">
        <v>67500</v>
      </c>
      <c r="G24" s="35">
        <v>619.11</v>
      </c>
      <c r="H24" s="35">
        <v>2.59</v>
      </c>
      <c r="I24" s="36"/>
      <c r="J24" s="37"/>
      <c r="K24" s="38"/>
    </row>
    <row r="25" spans="2:11" x14ac:dyDescent="0.3">
      <c r="B25" s="1" t="s">
        <v>73</v>
      </c>
      <c r="C25" s="21" t="s">
        <v>74</v>
      </c>
      <c r="D25" s="32" t="s">
        <v>75</v>
      </c>
      <c r="E25" s="33" t="s">
        <v>76</v>
      </c>
      <c r="F25" s="34">
        <v>181000</v>
      </c>
      <c r="G25" s="35">
        <v>595.94000000000005</v>
      </c>
      <c r="H25" s="35">
        <v>2.5</v>
      </c>
      <c r="I25" s="36"/>
      <c r="J25" s="37"/>
      <c r="K25" s="38"/>
    </row>
    <row r="26" spans="2:11" x14ac:dyDescent="0.3">
      <c r="B26" s="1" t="s">
        <v>77</v>
      </c>
      <c r="C26" s="21" t="s">
        <v>78</v>
      </c>
      <c r="D26" s="32" t="s">
        <v>79</v>
      </c>
      <c r="E26" s="33" t="s">
        <v>80</v>
      </c>
      <c r="F26" s="34">
        <v>252348</v>
      </c>
      <c r="G26" s="35">
        <v>590.75</v>
      </c>
      <c r="H26" s="35">
        <v>2.48</v>
      </c>
      <c r="I26" s="36"/>
      <c r="J26" s="37"/>
      <c r="K26" s="38"/>
    </row>
    <row r="27" spans="2:11" x14ac:dyDescent="0.3">
      <c r="B27" s="1" t="s">
        <v>81</v>
      </c>
      <c r="C27" s="21" t="s">
        <v>82</v>
      </c>
      <c r="D27" s="32" t="s">
        <v>83</v>
      </c>
      <c r="E27" s="33" t="s">
        <v>26</v>
      </c>
      <c r="F27" s="34">
        <v>17000</v>
      </c>
      <c r="G27" s="35">
        <v>555.41</v>
      </c>
      <c r="H27" s="35">
        <v>2.33</v>
      </c>
      <c r="I27" s="36"/>
      <c r="J27" s="37"/>
      <c r="K27" s="38"/>
    </row>
    <row r="28" spans="2:11" x14ac:dyDescent="0.3">
      <c r="B28" s="1" t="s">
        <v>84</v>
      </c>
      <c r="C28" s="21" t="s">
        <v>85</v>
      </c>
      <c r="D28" s="32" t="s">
        <v>86</v>
      </c>
      <c r="E28" s="33" t="s">
        <v>87</v>
      </c>
      <c r="F28" s="34">
        <v>123600</v>
      </c>
      <c r="G28" s="35">
        <v>535</v>
      </c>
      <c r="H28" s="35">
        <v>2.2400000000000002</v>
      </c>
      <c r="I28" s="36"/>
      <c r="J28" s="37"/>
      <c r="K28" s="38"/>
    </row>
    <row r="29" spans="2:11" x14ac:dyDescent="0.3">
      <c r="B29" s="1" t="s">
        <v>88</v>
      </c>
      <c r="C29" s="21" t="s">
        <v>89</v>
      </c>
      <c r="D29" s="32" t="s">
        <v>90</v>
      </c>
      <c r="E29" s="33" t="s">
        <v>91</v>
      </c>
      <c r="F29" s="34">
        <v>375000</v>
      </c>
      <c r="G29" s="35">
        <v>507</v>
      </c>
      <c r="H29" s="35">
        <v>2.12</v>
      </c>
      <c r="I29" s="36"/>
      <c r="J29" s="37"/>
      <c r="K29" s="38"/>
    </row>
    <row r="30" spans="2:11" x14ac:dyDescent="0.3">
      <c r="B30" s="1" t="s">
        <v>92</v>
      </c>
      <c r="C30" s="21" t="s">
        <v>93</v>
      </c>
      <c r="D30" s="32" t="s">
        <v>94</v>
      </c>
      <c r="E30" s="33" t="s">
        <v>49</v>
      </c>
      <c r="F30" s="34">
        <v>58000</v>
      </c>
      <c r="G30" s="35">
        <v>488.33</v>
      </c>
      <c r="H30" s="35">
        <v>2.0499999999999998</v>
      </c>
      <c r="I30" s="36"/>
      <c r="J30" s="37"/>
      <c r="K30" s="38"/>
    </row>
    <row r="31" spans="2:11" x14ac:dyDescent="0.3">
      <c r="B31" s="1" t="s">
        <v>95</v>
      </c>
      <c r="C31" s="21" t="s">
        <v>96</v>
      </c>
      <c r="D31" s="32" t="s">
        <v>97</v>
      </c>
      <c r="E31" s="33" t="s">
        <v>60</v>
      </c>
      <c r="F31" s="34">
        <v>62500</v>
      </c>
      <c r="G31" s="35">
        <v>480.16</v>
      </c>
      <c r="H31" s="35">
        <v>2.0099999999999998</v>
      </c>
      <c r="I31" s="36"/>
      <c r="J31" s="37"/>
      <c r="K31" s="38"/>
    </row>
    <row r="32" spans="2:11" x14ac:dyDescent="0.3">
      <c r="B32" s="1" t="s">
        <v>98</v>
      </c>
      <c r="C32" s="21" t="s">
        <v>99</v>
      </c>
      <c r="D32" s="32" t="s">
        <v>100</v>
      </c>
      <c r="E32" s="33" t="s">
        <v>49</v>
      </c>
      <c r="F32" s="34">
        <v>5500</v>
      </c>
      <c r="G32" s="35">
        <v>465.89</v>
      </c>
      <c r="H32" s="35">
        <v>1.95</v>
      </c>
      <c r="I32" s="36"/>
      <c r="J32" s="37"/>
      <c r="K32" s="38"/>
    </row>
    <row r="33" spans="2:11" x14ac:dyDescent="0.3">
      <c r="B33" s="1" t="s">
        <v>101</v>
      </c>
      <c r="C33" s="21" t="s">
        <v>102</v>
      </c>
      <c r="D33" s="32" t="s">
        <v>103</v>
      </c>
      <c r="E33" s="33" t="s">
        <v>104</v>
      </c>
      <c r="F33" s="34">
        <v>42628</v>
      </c>
      <c r="G33" s="35">
        <v>286.2</v>
      </c>
      <c r="H33" s="35">
        <v>1.2</v>
      </c>
      <c r="I33" s="36"/>
      <c r="J33" s="37"/>
      <c r="K33" s="38"/>
    </row>
    <row r="34" spans="2:11" x14ac:dyDescent="0.3">
      <c r="C34" s="31" t="s">
        <v>105</v>
      </c>
      <c r="D34" s="32"/>
      <c r="E34" s="33"/>
      <c r="F34" s="34"/>
      <c r="G34" s="40">
        <v>21604.94</v>
      </c>
      <c r="H34" s="40">
        <v>90.53</v>
      </c>
      <c r="I34" s="36"/>
      <c r="J34" s="37"/>
      <c r="K34" s="38"/>
    </row>
    <row r="35" spans="2:11" x14ac:dyDescent="0.3">
      <c r="C35" s="21"/>
      <c r="D35" s="32"/>
      <c r="E35" s="33"/>
      <c r="F35" s="34"/>
      <c r="G35" s="35"/>
      <c r="H35" s="35"/>
      <c r="I35" s="36"/>
      <c r="J35" s="37"/>
      <c r="K35" s="38"/>
    </row>
    <row r="36" spans="2:11" x14ac:dyDescent="0.3">
      <c r="C36" s="31" t="s">
        <v>106</v>
      </c>
      <c r="D36" s="32"/>
      <c r="E36" s="33"/>
      <c r="F36" s="34"/>
      <c r="G36" s="35" t="s">
        <v>107</v>
      </c>
      <c r="H36" s="35" t="s">
        <v>107</v>
      </c>
      <c r="I36" s="36"/>
      <c r="J36" s="37"/>
      <c r="K36" s="38"/>
    </row>
    <row r="37" spans="2:11" x14ac:dyDescent="0.3">
      <c r="C37" s="21"/>
      <c r="D37" s="32"/>
      <c r="E37" s="33"/>
      <c r="F37" s="34"/>
      <c r="G37" s="35"/>
      <c r="H37" s="35"/>
      <c r="I37" s="36"/>
      <c r="J37" s="37"/>
      <c r="K37" s="38"/>
    </row>
    <row r="38" spans="2:11" x14ac:dyDescent="0.3">
      <c r="C38" s="31" t="s">
        <v>108</v>
      </c>
      <c r="D38" s="32"/>
      <c r="E38" s="33"/>
      <c r="F38" s="34"/>
      <c r="G38" s="35" t="s">
        <v>107</v>
      </c>
      <c r="H38" s="35" t="s">
        <v>107</v>
      </c>
      <c r="I38" s="36"/>
      <c r="J38" s="37"/>
      <c r="K38" s="38"/>
    </row>
    <row r="39" spans="2:11" x14ac:dyDescent="0.3">
      <c r="C39" s="21"/>
      <c r="D39" s="32"/>
      <c r="E39" s="33"/>
      <c r="F39" s="34"/>
      <c r="G39" s="35"/>
      <c r="H39" s="35"/>
      <c r="I39" s="36"/>
      <c r="J39" s="37"/>
      <c r="K39" s="38"/>
    </row>
    <row r="40" spans="2:11" x14ac:dyDescent="0.3">
      <c r="C40" s="31" t="s">
        <v>109</v>
      </c>
      <c r="D40" s="32"/>
      <c r="E40" s="33"/>
      <c r="F40" s="34"/>
      <c r="G40" s="35" t="s">
        <v>107</v>
      </c>
      <c r="H40" s="35" t="s">
        <v>107</v>
      </c>
      <c r="I40" s="36"/>
      <c r="J40" s="37"/>
      <c r="K40" s="38"/>
    </row>
    <row r="41" spans="2:11" x14ac:dyDescent="0.3">
      <c r="C41" s="21"/>
      <c r="D41" s="32"/>
      <c r="E41" s="33"/>
      <c r="F41" s="34"/>
      <c r="G41" s="35"/>
      <c r="H41" s="35"/>
      <c r="I41" s="36"/>
      <c r="J41" s="37"/>
      <c r="K41" s="38"/>
    </row>
    <row r="42" spans="2:11" x14ac:dyDescent="0.3">
      <c r="C42" s="31" t="s">
        <v>110</v>
      </c>
      <c r="D42" s="32"/>
      <c r="E42" s="33"/>
      <c r="F42" s="34"/>
      <c r="G42" s="35"/>
      <c r="H42" s="35"/>
      <c r="I42" s="36"/>
      <c r="J42" s="37"/>
      <c r="K42" s="38"/>
    </row>
    <row r="43" spans="2:11" x14ac:dyDescent="0.3">
      <c r="C43" s="21"/>
      <c r="D43" s="32"/>
      <c r="E43" s="33"/>
      <c r="F43" s="34"/>
      <c r="G43" s="35"/>
      <c r="H43" s="35"/>
      <c r="I43" s="36"/>
      <c r="J43" s="37"/>
      <c r="K43" s="38"/>
    </row>
    <row r="44" spans="2:11" x14ac:dyDescent="0.3">
      <c r="C44" s="31" t="s">
        <v>111</v>
      </c>
      <c r="D44" s="32"/>
      <c r="E44" s="33"/>
      <c r="F44" s="34"/>
      <c r="G44" s="35" t="s">
        <v>107</v>
      </c>
      <c r="H44" s="35" t="s">
        <v>107</v>
      </c>
      <c r="I44" s="36"/>
      <c r="J44" s="37"/>
      <c r="K44" s="38"/>
    </row>
    <row r="45" spans="2:11" x14ac:dyDescent="0.3">
      <c r="C45" s="21"/>
      <c r="D45" s="32"/>
      <c r="E45" s="33"/>
      <c r="F45" s="34"/>
      <c r="G45" s="35"/>
      <c r="H45" s="35"/>
      <c r="I45" s="36"/>
      <c r="J45" s="37"/>
      <c r="K45" s="38"/>
    </row>
    <row r="46" spans="2:11" x14ac:dyDescent="0.3">
      <c r="C46" s="31" t="s">
        <v>112</v>
      </c>
      <c r="D46" s="32"/>
      <c r="E46" s="33"/>
      <c r="F46" s="34"/>
      <c r="G46" s="35" t="s">
        <v>107</v>
      </c>
      <c r="H46" s="35" t="s">
        <v>107</v>
      </c>
      <c r="I46" s="36"/>
      <c r="J46" s="37"/>
      <c r="K46" s="38"/>
    </row>
    <row r="47" spans="2:11" x14ac:dyDescent="0.3">
      <c r="C47" s="21"/>
      <c r="D47" s="32"/>
      <c r="E47" s="33"/>
      <c r="F47" s="34"/>
      <c r="G47" s="35"/>
      <c r="H47" s="35"/>
      <c r="I47" s="36"/>
      <c r="J47" s="37"/>
      <c r="K47" s="38"/>
    </row>
    <row r="48" spans="2:11" x14ac:dyDescent="0.3">
      <c r="C48" s="31" t="s">
        <v>113</v>
      </c>
      <c r="D48" s="32"/>
      <c r="E48" s="33"/>
      <c r="F48" s="34"/>
      <c r="G48" s="35" t="s">
        <v>107</v>
      </c>
      <c r="H48" s="35" t="s">
        <v>107</v>
      </c>
      <c r="I48" s="36"/>
      <c r="J48" s="37"/>
      <c r="K48" s="38"/>
    </row>
    <row r="49" spans="1:11" x14ac:dyDescent="0.3">
      <c r="C49" s="21"/>
      <c r="D49" s="32"/>
      <c r="E49" s="33"/>
      <c r="F49" s="34"/>
      <c r="G49" s="35"/>
      <c r="H49" s="35"/>
      <c r="I49" s="36"/>
      <c r="J49" s="37"/>
      <c r="K49" s="38"/>
    </row>
    <row r="50" spans="1:11" x14ac:dyDescent="0.3">
      <c r="C50" s="31" t="s">
        <v>114</v>
      </c>
      <c r="D50" s="32"/>
      <c r="E50" s="33"/>
      <c r="F50" s="34"/>
      <c r="G50" s="35" t="s">
        <v>107</v>
      </c>
      <c r="H50" s="35" t="s">
        <v>107</v>
      </c>
      <c r="I50" s="36"/>
      <c r="J50" s="37"/>
      <c r="K50" s="38"/>
    </row>
    <row r="51" spans="1:11" x14ac:dyDescent="0.3">
      <c r="C51" s="21"/>
      <c r="D51" s="32"/>
      <c r="E51" s="33"/>
      <c r="F51" s="34"/>
      <c r="G51" s="35"/>
      <c r="H51" s="35"/>
      <c r="I51" s="36"/>
      <c r="J51" s="37"/>
      <c r="K51" s="38"/>
    </row>
    <row r="52" spans="1:11" x14ac:dyDescent="0.3">
      <c r="C52" s="31" t="s">
        <v>115</v>
      </c>
      <c r="D52" s="32"/>
      <c r="E52" s="33"/>
      <c r="F52" s="34"/>
      <c r="G52" s="35" t="s">
        <v>107</v>
      </c>
      <c r="H52" s="35" t="s">
        <v>107</v>
      </c>
      <c r="I52" s="36"/>
      <c r="J52" s="37"/>
      <c r="K52" s="38"/>
    </row>
    <row r="53" spans="1:11" x14ac:dyDescent="0.3">
      <c r="C53" s="21"/>
      <c r="D53" s="32"/>
      <c r="E53" s="33"/>
      <c r="F53" s="34"/>
      <c r="G53" s="35"/>
      <c r="H53" s="35"/>
      <c r="I53" s="36"/>
      <c r="J53" s="37"/>
      <c r="K53" s="38"/>
    </row>
    <row r="54" spans="1:11" x14ac:dyDescent="0.3">
      <c r="C54" s="31" t="s">
        <v>116</v>
      </c>
      <c r="D54" s="32"/>
      <c r="E54" s="33"/>
      <c r="F54" s="34"/>
      <c r="G54" s="35"/>
      <c r="H54" s="35"/>
      <c r="I54" s="36"/>
      <c r="J54" s="37"/>
      <c r="K54" s="38"/>
    </row>
    <row r="55" spans="1:11" x14ac:dyDescent="0.3">
      <c r="C55" s="21"/>
      <c r="D55" s="32"/>
      <c r="E55" s="33"/>
      <c r="F55" s="34"/>
      <c r="G55" s="35"/>
      <c r="H55" s="35"/>
      <c r="I55" s="36"/>
      <c r="J55" s="37"/>
      <c r="K55" s="38"/>
    </row>
    <row r="56" spans="1:11" x14ac:dyDescent="0.3">
      <c r="C56" s="31" t="s">
        <v>117</v>
      </c>
      <c r="D56" s="32"/>
      <c r="E56" s="33"/>
      <c r="F56" s="34"/>
      <c r="G56" s="35" t="s">
        <v>107</v>
      </c>
      <c r="H56" s="35" t="s">
        <v>107</v>
      </c>
      <c r="I56" s="36"/>
      <c r="J56" s="37"/>
      <c r="K56" s="38"/>
    </row>
    <row r="57" spans="1:11" x14ac:dyDescent="0.3">
      <c r="C57" s="21"/>
      <c r="D57" s="32"/>
      <c r="E57" s="33"/>
      <c r="F57" s="34"/>
      <c r="G57" s="35"/>
      <c r="H57" s="35"/>
      <c r="I57" s="36"/>
      <c r="J57" s="37"/>
      <c r="K57" s="38"/>
    </row>
    <row r="58" spans="1:11" x14ac:dyDescent="0.3">
      <c r="C58" s="31" t="s">
        <v>118</v>
      </c>
      <c r="D58" s="32"/>
      <c r="E58" s="33"/>
      <c r="F58" s="34"/>
      <c r="G58" s="35" t="s">
        <v>107</v>
      </c>
      <c r="H58" s="35" t="s">
        <v>107</v>
      </c>
      <c r="I58" s="36"/>
      <c r="J58" s="37"/>
      <c r="K58" s="38"/>
    </row>
    <row r="59" spans="1:11" x14ac:dyDescent="0.3">
      <c r="C59" s="21"/>
      <c r="D59" s="32"/>
      <c r="E59" s="33"/>
      <c r="F59" s="34"/>
      <c r="G59" s="35"/>
      <c r="H59" s="35"/>
      <c r="I59" s="36"/>
      <c r="J59" s="37"/>
      <c r="K59" s="38"/>
    </row>
    <row r="60" spans="1:11" x14ac:dyDescent="0.3">
      <c r="C60" s="31" t="s">
        <v>119</v>
      </c>
      <c r="D60" s="32"/>
      <c r="E60" s="33"/>
      <c r="F60" s="34"/>
      <c r="G60" s="35" t="s">
        <v>107</v>
      </c>
      <c r="H60" s="35" t="s">
        <v>107</v>
      </c>
      <c r="I60" s="36"/>
      <c r="J60" s="37"/>
      <c r="K60" s="38"/>
    </row>
    <row r="61" spans="1:11" x14ac:dyDescent="0.3">
      <c r="C61" s="21"/>
      <c r="D61" s="32"/>
      <c r="E61" s="33"/>
      <c r="F61" s="34"/>
      <c r="G61" s="35"/>
      <c r="H61" s="35"/>
      <c r="I61" s="36"/>
      <c r="J61" s="37"/>
      <c r="K61" s="38"/>
    </row>
    <row r="62" spans="1:11" x14ac:dyDescent="0.3">
      <c r="C62" s="31" t="s">
        <v>120</v>
      </c>
      <c r="D62" s="32"/>
      <c r="E62" s="33"/>
      <c r="F62" s="34"/>
      <c r="G62" s="35" t="s">
        <v>107</v>
      </c>
      <c r="H62" s="35" t="s">
        <v>107</v>
      </c>
      <c r="I62" s="36"/>
      <c r="J62" s="37"/>
      <c r="K62" s="38"/>
    </row>
    <row r="63" spans="1:11" x14ac:dyDescent="0.3">
      <c r="C63" s="21"/>
      <c r="D63" s="32"/>
      <c r="E63" s="33"/>
      <c r="F63" s="34"/>
      <c r="G63" s="35"/>
      <c r="H63" s="35"/>
      <c r="I63" s="36"/>
      <c r="J63" s="37"/>
      <c r="K63" s="38"/>
    </row>
    <row r="64" spans="1:11" x14ac:dyDescent="0.3">
      <c r="A64" s="29"/>
      <c r="B64" s="30"/>
      <c r="C64" s="31" t="s">
        <v>121</v>
      </c>
      <c r="D64" s="32"/>
      <c r="E64" s="33"/>
      <c r="F64" s="34"/>
      <c r="G64" s="35"/>
      <c r="H64" s="35"/>
      <c r="I64" s="36"/>
      <c r="J64" s="37"/>
      <c r="K64" s="38"/>
    </row>
    <row r="65" spans="1:11" x14ac:dyDescent="0.3">
      <c r="A65" s="30"/>
      <c r="B65" s="30"/>
      <c r="C65" s="31" t="s">
        <v>122</v>
      </c>
      <c r="D65" s="32"/>
      <c r="E65" s="33"/>
      <c r="F65" s="34"/>
      <c r="G65" s="35" t="s">
        <v>107</v>
      </c>
      <c r="H65" s="35" t="s">
        <v>107</v>
      </c>
      <c r="I65" s="36"/>
      <c r="J65" s="37"/>
      <c r="K65" s="38"/>
    </row>
    <row r="66" spans="1:11" x14ac:dyDescent="0.3">
      <c r="A66" s="30"/>
      <c r="B66" s="30"/>
      <c r="C66" s="31"/>
      <c r="D66" s="32"/>
      <c r="E66" s="33"/>
      <c r="F66" s="34"/>
      <c r="G66" s="35"/>
      <c r="H66" s="35"/>
      <c r="I66" s="36"/>
      <c r="J66" s="37"/>
      <c r="K66" s="38"/>
    </row>
    <row r="67" spans="1:11" x14ac:dyDescent="0.3">
      <c r="A67" s="30"/>
      <c r="B67" s="30"/>
      <c r="C67" s="31" t="s">
        <v>123</v>
      </c>
      <c r="D67" s="32"/>
      <c r="E67" s="33"/>
      <c r="F67" s="34"/>
      <c r="G67" s="35" t="s">
        <v>107</v>
      </c>
      <c r="H67" s="35" t="s">
        <v>107</v>
      </c>
      <c r="I67" s="36"/>
      <c r="J67" s="37"/>
      <c r="K67" s="38"/>
    </row>
    <row r="68" spans="1:11" x14ac:dyDescent="0.3">
      <c r="A68" s="30"/>
      <c r="B68" s="30"/>
      <c r="C68" s="31"/>
      <c r="D68" s="32"/>
      <c r="E68" s="33"/>
      <c r="F68" s="34"/>
      <c r="G68" s="35"/>
      <c r="H68" s="35"/>
      <c r="I68" s="36"/>
      <c r="J68" s="37"/>
      <c r="K68" s="38"/>
    </row>
    <row r="69" spans="1:11" x14ac:dyDescent="0.3">
      <c r="A69" s="30"/>
      <c r="B69" s="30"/>
      <c r="C69" s="31" t="s">
        <v>124</v>
      </c>
      <c r="D69" s="32"/>
      <c r="E69" s="33"/>
      <c r="F69" s="34"/>
      <c r="G69" s="35" t="s">
        <v>107</v>
      </c>
      <c r="H69" s="35" t="s">
        <v>107</v>
      </c>
      <c r="I69" s="36"/>
      <c r="J69" s="37"/>
      <c r="K69" s="38"/>
    </row>
    <row r="70" spans="1:11" x14ac:dyDescent="0.3">
      <c r="A70" s="30"/>
      <c r="B70" s="30"/>
      <c r="C70" s="31"/>
      <c r="D70" s="32"/>
      <c r="E70" s="33"/>
      <c r="F70" s="34"/>
      <c r="G70" s="35"/>
      <c r="H70" s="35"/>
      <c r="I70" s="36"/>
      <c r="J70" s="37"/>
      <c r="K70" s="38"/>
    </row>
    <row r="71" spans="1:11" x14ac:dyDescent="0.3">
      <c r="A71" s="30"/>
      <c r="B71" s="30"/>
      <c r="C71" s="31" t="s">
        <v>125</v>
      </c>
      <c r="D71" s="32"/>
      <c r="E71" s="33"/>
      <c r="F71" s="34"/>
      <c r="G71" s="35" t="s">
        <v>107</v>
      </c>
      <c r="H71" s="35" t="s">
        <v>107</v>
      </c>
      <c r="I71" s="36"/>
      <c r="J71" s="37"/>
      <c r="K71" s="38"/>
    </row>
    <row r="72" spans="1:11" x14ac:dyDescent="0.3">
      <c r="A72" s="30"/>
      <c r="B72" s="30"/>
      <c r="C72" s="31"/>
      <c r="D72" s="32"/>
      <c r="E72" s="33"/>
      <c r="F72" s="34"/>
      <c r="G72" s="35"/>
      <c r="H72" s="35"/>
      <c r="I72" s="36"/>
      <c r="J72" s="37"/>
      <c r="K72" s="38"/>
    </row>
    <row r="73" spans="1:11" x14ac:dyDescent="0.3">
      <c r="C73" s="39" t="s">
        <v>126</v>
      </c>
      <c r="D73" s="32"/>
      <c r="E73" s="33"/>
      <c r="F73" s="34"/>
      <c r="G73" s="35"/>
      <c r="H73" s="35"/>
      <c r="I73" s="36"/>
      <c r="J73" s="37"/>
      <c r="K73" s="38"/>
    </row>
    <row r="74" spans="1:11" x14ac:dyDescent="0.3">
      <c r="B74" s="1" t="s">
        <v>127</v>
      </c>
      <c r="C74" s="21" t="s">
        <v>128</v>
      </c>
      <c r="D74" s="32"/>
      <c r="E74" s="33"/>
      <c r="F74" s="34"/>
      <c r="G74" s="35">
        <v>2224.79</v>
      </c>
      <c r="H74" s="35">
        <v>9.32</v>
      </c>
      <c r="I74" s="36">
        <v>4.71</v>
      </c>
      <c r="J74" s="37"/>
      <c r="K74" s="38"/>
    </row>
    <row r="75" spans="1:11" x14ac:dyDescent="0.3">
      <c r="C75" s="31" t="s">
        <v>105</v>
      </c>
      <c r="D75" s="32"/>
      <c r="E75" s="33"/>
      <c r="F75" s="34"/>
      <c r="G75" s="40">
        <v>2224.79</v>
      </c>
      <c r="H75" s="40">
        <v>9.32</v>
      </c>
      <c r="I75" s="36"/>
      <c r="J75" s="37"/>
      <c r="K75" s="38"/>
    </row>
    <row r="76" spans="1:11" x14ac:dyDescent="0.3">
      <c r="C76" s="21"/>
      <c r="D76" s="32"/>
      <c r="E76" s="33"/>
      <c r="F76" s="34"/>
      <c r="G76" s="35"/>
      <c r="H76" s="35"/>
      <c r="I76" s="36"/>
      <c r="J76" s="37"/>
      <c r="K76" s="38"/>
    </row>
    <row r="77" spans="1:11" x14ac:dyDescent="0.3">
      <c r="A77" s="29"/>
      <c r="B77" s="30"/>
      <c r="C77" s="31" t="s">
        <v>129</v>
      </c>
      <c r="D77" s="32"/>
      <c r="E77" s="33"/>
      <c r="F77" s="34"/>
      <c r="G77" s="35"/>
      <c r="H77" s="35"/>
      <c r="I77" s="36"/>
      <c r="J77" s="37"/>
      <c r="K77" s="38"/>
    </row>
    <row r="78" spans="1:11" x14ac:dyDescent="0.3">
      <c r="B78" s="1"/>
      <c r="C78" s="21" t="s">
        <v>130</v>
      </c>
      <c r="D78" s="32"/>
      <c r="E78" s="33"/>
      <c r="F78" s="34"/>
      <c r="G78" s="35">
        <v>37.29</v>
      </c>
      <c r="H78" s="35">
        <v>0.15</v>
      </c>
      <c r="I78" s="36"/>
      <c r="J78" s="37"/>
      <c r="K78" s="38"/>
    </row>
    <row r="79" spans="1:11" x14ac:dyDescent="0.3">
      <c r="C79" s="31" t="s">
        <v>105</v>
      </c>
      <c r="D79" s="32"/>
      <c r="E79" s="33"/>
      <c r="F79" s="34"/>
      <c r="G79" s="40">
        <v>37.29</v>
      </c>
      <c r="H79" s="40">
        <v>0.15</v>
      </c>
      <c r="I79" s="36"/>
      <c r="J79" s="37"/>
      <c r="K79" s="38"/>
    </row>
    <row r="80" spans="1:11" x14ac:dyDescent="0.3">
      <c r="C80" s="21"/>
      <c r="D80" s="32"/>
      <c r="E80" s="33"/>
      <c r="F80" s="34"/>
      <c r="G80" s="35"/>
      <c r="H80" s="35"/>
      <c r="I80" s="36"/>
      <c r="J80" s="37"/>
      <c r="K80" s="38"/>
    </row>
    <row r="81" spans="3:54" ht="14.4" thickBot="1" x14ac:dyDescent="0.35">
      <c r="C81" s="41" t="s">
        <v>131</v>
      </c>
      <c r="D81" s="42"/>
      <c r="E81" s="43"/>
      <c r="F81" s="44"/>
      <c r="G81" s="45">
        <v>23867.02</v>
      </c>
      <c r="H81" s="45">
        <f>SUMIFS(H:H,C:C,"Total")</f>
        <v>100</v>
      </c>
      <c r="I81" s="46"/>
      <c r="J81" s="47"/>
      <c r="K81" s="48"/>
    </row>
    <row r="84" spans="3:54" x14ac:dyDescent="0.3">
      <c r="C84" s="11" t="s">
        <v>132</v>
      </c>
      <c r="J84" s="10"/>
      <c r="L84" s="2"/>
      <c r="AC84" s="10"/>
      <c r="AI84" s="2"/>
      <c r="AP84" s="10"/>
      <c r="AR84" s="10"/>
      <c r="AX84" s="2"/>
      <c r="BB84" s="2"/>
    </row>
    <row r="85" spans="3:54" ht="13.5" customHeight="1" x14ac:dyDescent="0.3">
      <c r="C85" s="2" t="s">
        <v>133</v>
      </c>
      <c r="F85" s="2"/>
      <c r="G85" s="2"/>
      <c r="H85" s="2"/>
      <c r="I85" s="2"/>
      <c r="J85" s="2"/>
      <c r="L85" s="2"/>
      <c r="AB85" s="10"/>
      <c r="AI85" s="2"/>
      <c r="AO85" s="10"/>
      <c r="AQ85" s="10"/>
      <c r="AU85" s="10"/>
      <c r="AV85" s="2"/>
      <c r="AX85" s="2"/>
      <c r="BB85" s="2"/>
    </row>
    <row r="86" spans="3:54" ht="13.5" customHeight="1" x14ac:dyDescent="0.3">
      <c r="C86" s="49" t="s">
        <v>134</v>
      </c>
      <c r="D86" s="50"/>
      <c r="E86" s="50"/>
      <c r="F86" s="50"/>
      <c r="G86" s="50"/>
      <c r="H86" s="50"/>
      <c r="I86" s="50"/>
      <c r="J86" s="50"/>
      <c r="L86" s="2"/>
      <c r="AB86" s="10"/>
      <c r="AI86" s="2"/>
      <c r="AO86" s="10"/>
      <c r="AQ86" s="10"/>
      <c r="AU86" s="10"/>
      <c r="AV86" s="2"/>
      <c r="AX86" s="2"/>
      <c r="BB86" s="2"/>
    </row>
    <row r="87" spans="3:54" x14ac:dyDescent="0.3">
      <c r="C87" s="2" t="s">
        <v>135</v>
      </c>
      <c r="J87" s="10"/>
      <c r="L87" s="2"/>
      <c r="AC87" s="10"/>
      <c r="AI87" s="2"/>
      <c r="AP87" s="10"/>
      <c r="AR87" s="10"/>
      <c r="AX87" s="2"/>
      <c r="BB87" s="2"/>
    </row>
    <row r="88" spans="3:54" x14ac:dyDescent="0.3">
      <c r="C88" s="2" t="s">
        <v>136</v>
      </c>
      <c r="J88" s="10"/>
      <c r="L88" s="2"/>
      <c r="AC88" s="10"/>
      <c r="AI88" s="2"/>
      <c r="AP88" s="10"/>
      <c r="AR88" s="10"/>
      <c r="AX88" s="2"/>
      <c r="BB88" s="2"/>
    </row>
    <row r="89" spans="3:54" x14ac:dyDescent="0.3">
      <c r="C89" s="2" t="s">
        <v>137</v>
      </c>
      <c r="J89" s="10"/>
      <c r="L89" s="2"/>
      <c r="AC89" s="10"/>
      <c r="AI89" s="2"/>
      <c r="AP89" s="10"/>
      <c r="AR89" s="10"/>
      <c r="AX89" s="2"/>
      <c r="BB89" s="2"/>
    </row>
    <row r="90" spans="3:54" x14ac:dyDescent="0.3">
      <c r="C90" s="51" t="s">
        <v>138</v>
      </c>
      <c r="D90" s="51"/>
      <c r="E90" s="51"/>
      <c r="F90" s="51"/>
      <c r="G90" s="52"/>
      <c r="H90" s="52"/>
      <c r="J90" s="10"/>
      <c r="L90" s="2"/>
      <c r="AC90" s="10"/>
      <c r="AI90" s="2"/>
      <c r="AP90" s="10"/>
      <c r="AR90" s="10"/>
      <c r="AX90" s="2"/>
      <c r="BB90" s="2"/>
    </row>
    <row r="91" spans="3:54" x14ac:dyDescent="0.3">
      <c r="C91" s="2" t="s">
        <v>139</v>
      </c>
      <c r="J91" s="10"/>
      <c r="L91" s="2"/>
      <c r="AC91" s="10"/>
      <c r="AI91" s="2"/>
      <c r="AP91" s="10"/>
      <c r="AR91" s="10"/>
      <c r="AX91" s="2"/>
      <c r="BB91" s="2"/>
    </row>
    <row r="92" spans="3:54" x14ac:dyDescent="0.3">
      <c r="C92" s="2" t="s">
        <v>140</v>
      </c>
      <c r="J92" s="10"/>
      <c r="L92" s="2"/>
      <c r="AC92" s="10"/>
      <c r="AI92" s="2"/>
      <c r="AP92" s="10"/>
      <c r="AR92" s="10"/>
      <c r="AX92" s="2"/>
      <c r="BB92" s="2"/>
    </row>
    <row r="93" spans="3:54" s="11" customFormat="1" x14ac:dyDescent="0.3">
      <c r="C93" s="11" t="s">
        <v>141</v>
      </c>
      <c r="E93" s="53" t="s">
        <v>142</v>
      </c>
      <c r="F93" s="53" t="s">
        <v>143</v>
      </c>
      <c r="G93" s="54"/>
      <c r="H93" s="54"/>
      <c r="I93" s="54"/>
      <c r="J93" s="55"/>
      <c r="K93" s="55"/>
      <c r="AC93" s="55"/>
      <c r="AP93" s="55"/>
      <c r="AR93" s="55"/>
      <c r="AV93" s="55"/>
    </row>
    <row r="94" spans="3:54" x14ac:dyDescent="0.3">
      <c r="C94" s="2" t="s">
        <v>144</v>
      </c>
      <c r="E94" s="2">
        <v>12.9062</v>
      </c>
      <c r="F94" s="2">
        <v>12.458299999999999</v>
      </c>
      <c r="J94" s="10"/>
      <c r="L94" s="2"/>
      <c r="AC94" s="10"/>
      <c r="AI94" s="2"/>
      <c r="AP94" s="10"/>
      <c r="AR94" s="10"/>
      <c r="AX94" s="2"/>
      <c r="BB94" s="2"/>
    </row>
    <row r="95" spans="3:54" x14ac:dyDescent="0.3">
      <c r="C95" s="2" t="s">
        <v>145</v>
      </c>
      <c r="E95" s="2">
        <v>13.7461</v>
      </c>
      <c r="F95" s="2">
        <v>13.2691</v>
      </c>
      <c r="J95" s="10"/>
      <c r="L95" s="2"/>
      <c r="AC95" s="10"/>
      <c r="AI95" s="2"/>
      <c r="AP95" s="10"/>
      <c r="AR95" s="10"/>
      <c r="AX95" s="2"/>
      <c r="BB95" s="2"/>
    </row>
    <row r="96" spans="3:54" x14ac:dyDescent="0.3">
      <c r="C96" s="2" t="s">
        <v>146</v>
      </c>
      <c r="E96" s="2">
        <v>13.775600000000001</v>
      </c>
      <c r="F96" s="2">
        <v>13.3162</v>
      </c>
      <c r="J96" s="10"/>
      <c r="L96" s="2"/>
      <c r="AC96" s="10"/>
      <c r="AI96" s="2"/>
      <c r="AP96" s="10"/>
      <c r="AR96" s="10"/>
      <c r="AX96" s="2"/>
      <c r="BB96" s="2"/>
    </row>
    <row r="97" spans="1:253" x14ac:dyDescent="0.3">
      <c r="C97" s="2" t="s">
        <v>147</v>
      </c>
      <c r="E97" s="2">
        <v>14.7097</v>
      </c>
      <c r="F97" s="2">
        <v>14.219200000000001</v>
      </c>
      <c r="J97" s="10"/>
      <c r="L97" s="2"/>
      <c r="AC97" s="10"/>
      <c r="AI97" s="2"/>
      <c r="AP97" s="10"/>
      <c r="AR97" s="10"/>
      <c r="AX97" s="2"/>
      <c r="BB97" s="2"/>
    </row>
    <row r="98" spans="1:253" x14ac:dyDescent="0.3">
      <c r="J98" s="10"/>
      <c r="L98" s="2"/>
      <c r="AC98" s="10"/>
      <c r="AI98" s="2"/>
      <c r="AP98" s="10"/>
      <c r="AR98" s="10"/>
      <c r="AX98" s="2"/>
      <c r="BB98" s="2"/>
    </row>
    <row r="99" spans="1:253" x14ac:dyDescent="0.3">
      <c r="C99" s="2" t="s">
        <v>148</v>
      </c>
      <c r="J99" s="10"/>
      <c r="L99" s="2"/>
      <c r="AC99" s="10"/>
      <c r="AI99" s="2"/>
      <c r="AP99" s="10"/>
      <c r="AR99" s="10"/>
      <c r="AX99" s="2"/>
      <c r="BB99" s="2"/>
    </row>
    <row r="100" spans="1:253" x14ac:dyDescent="0.3">
      <c r="C100" s="2" t="s">
        <v>149</v>
      </c>
      <c r="J100" s="10"/>
      <c r="L100" s="2"/>
      <c r="AC100" s="10"/>
      <c r="AI100" s="2"/>
      <c r="AP100" s="10"/>
      <c r="AR100" s="10"/>
      <c r="AX100" s="2"/>
      <c r="BB100" s="2"/>
    </row>
    <row r="101" spans="1:253" x14ac:dyDescent="0.3">
      <c r="C101" s="2" t="s">
        <v>150</v>
      </c>
      <c r="J101" s="10"/>
      <c r="L101" s="2"/>
      <c r="AC101" s="10"/>
      <c r="AI101" s="2"/>
      <c r="AP101" s="10"/>
      <c r="AR101" s="10"/>
      <c r="AX101" s="2"/>
      <c r="BB101" s="2"/>
    </row>
    <row r="102" spans="1:253" x14ac:dyDescent="0.3">
      <c r="C102" s="2" t="s">
        <v>151</v>
      </c>
      <c r="J102" s="10"/>
      <c r="L102" s="2"/>
      <c r="AC102" s="10"/>
      <c r="AI102" s="2"/>
      <c r="AP102" s="10"/>
      <c r="AR102" s="10"/>
      <c r="AX102" s="2"/>
      <c r="BB102" s="2"/>
    </row>
    <row r="103" spans="1:253" x14ac:dyDescent="0.3">
      <c r="C103" s="2" t="s">
        <v>152</v>
      </c>
      <c r="J103" s="10"/>
      <c r="L103" s="2"/>
      <c r="AC103" s="10"/>
      <c r="AI103" s="2"/>
      <c r="AP103" s="10"/>
      <c r="AR103" s="10"/>
      <c r="AX103" s="2"/>
      <c r="BB103" s="2"/>
    </row>
    <row r="104" spans="1:253" x14ac:dyDescent="0.3">
      <c r="C104" s="2" t="s">
        <v>153</v>
      </c>
      <c r="J104" s="10"/>
      <c r="L104" s="2"/>
      <c r="AC104" s="10"/>
      <c r="AI104" s="2"/>
      <c r="AP104" s="10"/>
      <c r="AR104" s="10"/>
      <c r="AX104" s="2"/>
      <c r="BB104" s="2"/>
    </row>
    <row r="105" spans="1:253" x14ac:dyDescent="0.3">
      <c r="C105" s="2" t="s">
        <v>154</v>
      </c>
      <c r="J105" s="10"/>
      <c r="L105" s="2"/>
      <c r="AC105" s="10"/>
      <c r="AI105" s="2"/>
      <c r="AP105" s="10"/>
      <c r="AR105" s="10"/>
      <c r="AX105" s="2"/>
      <c r="BB105" s="2"/>
    </row>
    <row r="106" spans="1:253" ht="14.4" x14ac:dyDescent="0.3">
      <c r="A106"/>
      <c r="B106"/>
      <c r="C106" s="2" t="s">
        <v>155</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row>
    <row r="107" spans="1:253" ht="14.4" x14ac:dyDescent="0.3">
      <c r="A107"/>
      <c r="B107"/>
      <c r="C107" s="2" t="s">
        <v>156</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row>
    <row r="108" spans="1:253" ht="14.4" x14ac:dyDescent="0.3">
      <c r="A108"/>
      <c r="B108"/>
      <c r="C108" s="2" t="s">
        <v>157</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row>
    <row r="109" spans="1:253" ht="14.4" x14ac:dyDescent="0.3">
      <c r="A109"/>
      <c r="B109"/>
      <c r="C109" s="2" t="s">
        <v>158</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row>
    <row r="110" spans="1:253" ht="14.4" x14ac:dyDescent="0.3">
      <c r="A110"/>
      <c r="B110"/>
      <c r="C110" s="2" t="s">
        <v>159</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row>
    <row r="111" spans="1:253" x14ac:dyDescent="0.3">
      <c r="J111" s="10"/>
      <c r="L111" s="2"/>
      <c r="AC111" s="10"/>
      <c r="AI111" s="2"/>
      <c r="AP111" s="10"/>
      <c r="AR111" s="10"/>
      <c r="AX111" s="2"/>
      <c r="BB111" s="2"/>
    </row>
    <row r="112" spans="1:253" x14ac:dyDescent="0.3">
      <c r="C112" s="2" t="s">
        <v>160</v>
      </c>
      <c r="J112" s="10"/>
      <c r="L112" s="2"/>
      <c r="AC112" s="10"/>
      <c r="AI112" s="2"/>
      <c r="AP112" s="10"/>
      <c r="AR112" s="10"/>
      <c r="AX112" s="2"/>
      <c r="BB112" s="2"/>
    </row>
    <row r="113" spans="1:253" s="56" customFormat="1" ht="24" customHeight="1" x14ac:dyDescent="0.3">
      <c r="A113" s="2"/>
      <c r="B113" s="2"/>
      <c r="C113" s="2"/>
      <c r="D113" s="2"/>
      <c r="E113" s="2"/>
      <c r="F113" s="7"/>
      <c r="G113" s="8"/>
      <c r="H113" s="8"/>
      <c r="I113" s="8"/>
      <c r="J113" s="10"/>
      <c r="K113" s="10"/>
      <c r="L113" s="2"/>
      <c r="M113" s="2"/>
      <c r="N113" s="2"/>
      <c r="O113" s="2"/>
      <c r="P113" s="2"/>
      <c r="Q113" s="2"/>
      <c r="R113" s="2"/>
      <c r="S113" s="2"/>
      <c r="T113" s="2"/>
      <c r="U113" s="2"/>
      <c r="V113" s="2"/>
      <c r="W113" s="2"/>
      <c r="X113" s="2"/>
      <c r="Y113" s="2"/>
      <c r="Z113" s="2"/>
      <c r="AA113" s="2"/>
      <c r="AB113" s="2"/>
      <c r="AC113" s="10"/>
      <c r="AD113" s="2"/>
      <c r="AE113" s="2"/>
      <c r="AF113" s="2"/>
      <c r="AG113" s="2"/>
      <c r="AH113" s="2"/>
      <c r="AI113" s="2"/>
      <c r="AJ113" s="2"/>
      <c r="AK113" s="2"/>
      <c r="AL113" s="2"/>
      <c r="AM113" s="2"/>
      <c r="AN113" s="2"/>
      <c r="AO113" s="2"/>
      <c r="AP113" s="10"/>
      <c r="AQ113" s="2"/>
      <c r="AR113" s="10"/>
      <c r="AS113" s="2"/>
      <c r="AT113" s="2"/>
      <c r="AU113" s="2"/>
      <c r="AV113" s="10"/>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c r="HE113" s="2"/>
      <c r="HF113" s="2"/>
      <c r="HG113" s="2"/>
      <c r="HH113" s="2"/>
      <c r="HI113" s="2"/>
      <c r="HJ113" s="2"/>
      <c r="HK113" s="2"/>
      <c r="HL113" s="2"/>
      <c r="HM113" s="2"/>
      <c r="HN113" s="2"/>
      <c r="HO113" s="2"/>
      <c r="HP113" s="2"/>
      <c r="HQ113" s="2"/>
      <c r="HR113" s="2"/>
      <c r="HS113" s="2"/>
      <c r="HT113" s="2"/>
      <c r="HU113" s="2"/>
      <c r="HV113" s="2"/>
      <c r="HW113" s="2"/>
      <c r="HX113" s="2"/>
      <c r="HY113" s="2"/>
      <c r="HZ113" s="2"/>
      <c r="IA113" s="2"/>
      <c r="IB113" s="2"/>
      <c r="IC113" s="2"/>
      <c r="ID113" s="2"/>
      <c r="IE113" s="2"/>
      <c r="IF113" s="2"/>
      <c r="IG113" s="2"/>
      <c r="IH113" s="2"/>
      <c r="II113" s="2"/>
      <c r="IJ113" s="2"/>
      <c r="IK113" s="2"/>
      <c r="IL113" s="2"/>
      <c r="IM113" s="2"/>
      <c r="IN113" s="2"/>
      <c r="IO113" s="2"/>
      <c r="IP113" s="2"/>
      <c r="IQ113" s="2"/>
      <c r="IR113" s="2"/>
      <c r="IS113" s="2"/>
    </row>
    <row r="114" spans="1:253" ht="129" customHeight="1" x14ac:dyDescent="0.3">
      <c r="A114" s="56"/>
      <c r="B114" s="56"/>
      <c r="C114" s="58" t="s">
        <v>161</v>
      </c>
      <c r="D114" s="58"/>
      <c r="E114" s="58"/>
      <c r="F114" s="58"/>
      <c r="G114" s="58"/>
      <c r="H114" s="58"/>
      <c r="I114" s="58"/>
      <c r="J114" s="58"/>
      <c r="K114" s="58"/>
      <c r="L114" s="56"/>
      <c r="M114" s="56"/>
      <c r="N114" s="56"/>
      <c r="O114" s="56"/>
      <c r="P114" s="56"/>
      <c r="Q114" s="56"/>
      <c r="R114" s="56"/>
      <c r="S114" s="56"/>
      <c r="T114" s="56"/>
      <c r="U114" s="56"/>
      <c r="V114" s="56"/>
      <c r="W114" s="56"/>
      <c r="X114" s="56"/>
      <c r="Y114" s="56"/>
      <c r="Z114" s="56"/>
      <c r="AA114" s="57"/>
      <c r="AB114" s="56"/>
      <c r="AC114" s="56"/>
      <c r="AD114" s="56"/>
      <c r="AE114" s="56"/>
      <c r="AF114" s="56"/>
      <c r="AG114" s="56"/>
      <c r="AH114" s="56"/>
      <c r="AI114" s="56"/>
      <c r="AJ114" s="56"/>
      <c r="AK114" s="56"/>
      <c r="AL114" s="56"/>
      <c r="AM114" s="56"/>
      <c r="AN114" s="57"/>
      <c r="AO114" s="56"/>
      <c r="AP114" s="57"/>
      <c r="AQ114" s="56"/>
      <c r="AR114" s="56"/>
      <c r="AS114" s="56"/>
      <c r="AT114" s="57"/>
      <c r="AU114" s="56"/>
      <c r="AV114" s="56"/>
      <c r="AW114" s="56"/>
      <c r="AX114" s="56"/>
      <c r="AY114" s="56"/>
      <c r="AZ114" s="56"/>
      <c r="BA114" s="56"/>
      <c r="BB114" s="56"/>
      <c r="BC114" s="56"/>
      <c r="BD114" s="56"/>
      <c r="BE114" s="56"/>
      <c r="BF114" s="56"/>
      <c r="BG114" s="56"/>
      <c r="BH114" s="56"/>
      <c r="BI114" s="56"/>
      <c r="BJ114" s="56"/>
      <c r="BK114" s="56"/>
      <c r="BL114" s="56"/>
      <c r="BM114" s="56"/>
      <c r="BN114" s="56"/>
      <c r="BO114" s="56"/>
      <c r="BP114" s="56"/>
      <c r="BQ114" s="56"/>
      <c r="BR114" s="56"/>
      <c r="BS114" s="56"/>
      <c r="BT114" s="56"/>
      <c r="BU114" s="56"/>
      <c r="BV114" s="56"/>
      <c r="BW114" s="56"/>
      <c r="BX114" s="56"/>
      <c r="BY114" s="56"/>
      <c r="BZ114" s="56"/>
      <c r="CA114" s="56"/>
      <c r="CB114" s="56"/>
      <c r="CC114" s="56"/>
      <c r="CD114" s="56"/>
      <c r="CE114" s="56"/>
      <c r="CF114" s="56"/>
      <c r="CG114" s="56"/>
      <c r="CH114" s="56"/>
      <c r="CI114" s="56"/>
      <c r="CJ114" s="56"/>
      <c r="CK114" s="56"/>
      <c r="CL114" s="56"/>
      <c r="CM114" s="56"/>
      <c r="CN114" s="56"/>
      <c r="CO114" s="56"/>
      <c r="CP114" s="56"/>
      <c r="CQ114" s="56"/>
      <c r="CR114" s="56"/>
      <c r="CS114" s="56"/>
      <c r="CT114" s="56"/>
      <c r="CU114" s="56"/>
      <c r="CV114" s="56"/>
      <c r="CW114" s="56"/>
      <c r="CX114" s="56"/>
      <c r="CY114" s="56"/>
      <c r="CZ114" s="56"/>
      <c r="DA114" s="56"/>
      <c r="DB114" s="56"/>
      <c r="DC114" s="56"/>
      <c r="DD114" s="56"/>
      <c r="DE114" s="56"/>
      <c r="DF114" s="56"/>
      <c r="DG114" s="56"/>
      <c r="DH114" s="56"/>
      <c r="DI114" s="56"/>
      <c r="DJ114" s="56"/>
      <c r="DK114" s="56"/>
      <c r="DL114" s="56"/>
      <c r="DM114" s="56"/>
      <c r="DN114" s="56"/>
      <c r="DO114" s="56"/>
      <c r="DP114" s="56"/>
      <c r="DQ114" s="56"/>
      <c r="DR114" s="56"/>
      <c r="DS114" s="56"/>
      <c r="DT114" s="56"/>
      <c r="DU114" s="56"/>
      <c r="DV114" s="56"/>
      <c r="DW114" s="56"/>
      <c r="DX114" s="56"/>
      <c r="DY114" s="56"/>
      <c r="DZ114" s="56"/>
      <c r="EA114" s="56"/>
      <c r="EB114" s="56"/>
      <c r="EC114" s="56"/>
      <c r="ED114" s="56"/>
      <c r="EE114" s="56"/>
      <c r="EF114" s="56"/>
      <c r="EG114" s="56"/>
      <c r="EH114" s="56"/>
      <c r="EI114" s="56"/>
      <c r="EJ114" s="56"/>
      <c r="EK114" s="56"/>
      <c r="EL114" s="56"/>
      <c r="EM114" s="56"/>
      <c r="EN114" s="56"/>
      <c r="EO114" s="56"/>
      <c r="EP114" s="56"/>
      <c r="EQ114" s="56"/>
      <c r="ER114" s="56"/>
      <c r="ES114" s="56"/>
      <c r="ET114" s="56"/>
      <c r="EU114" s="56"/>
      <c r="EV114" s="56"/>
      <c r="EW114" s="56"/>
      <c r="EX114" s="56"/>
      <c r="EY114" s="56"/>
      <c r="EZ114" s="56"/>
      <c r="FA114" s="56"/>
      <c r="FB114" s="56"/>
      <c r="FC114" s="56"/>
      <c r="FD114" s="56"/>
      <c r="FE114" s="56"/>
      <c r="FF114" s="56"/>
      <c r="FG114" s="56"/>
      <c r="FH114" s="56"/>
      <c r="FI114" s="56"/>
      <c r="FJ114" s="56"/>
      <c r="FK114" s="56"/>
      <c r="FL114" s="56"/>
      <c r="FM114" s="56"/>
      <c r="FN114" s="56"/>
      <c r="FO114" s="56"/>
      <c r="FP114" s="56"/>
      <c r="FQ114" s="56"/>
      <c r="FR114" s="56"/>
      <c r="FS114" s="56"/>
      <c r="FT114" s="56"/>
      <c r="FU114" s="56"/>
      <c r="FV114" s="56"/>
      <c r="FW114" s="56"/>
      <c r="FX114" s="56"/>
      <c r="FY114" s="56"/>
      <c r="FZ114" s="56"/>
      <c r="GA114" s="56"/>
      <c r="GB114" s="56"/>
      <c r="GC114" s="56"/>
      <c r="GD114" s="56"/>
      <c r="GE114" s="56"/>
      <c r="GF114" s="56"/>
      <c r="GG114" s="56"/>
      <c r="GH114" s="56"/>
      <c r="GI114" s="56"/>
      <c r="GJ114" s="56"/>
      <c r="GK114" s="56"/>
      <c r="GL114" s="56"/>
      <c r="GM114" s="56"/>
      <c r="GN114" s="56"/>
      <c r="GO114" s="56"/>
      <c r="GP114" s="56"/>
      <c r="GQ114" s="56"/>
      <c r="GR114" s="56"/>
      <c r="GS114" s="56"/>
      <c r="GT114" s="56"/>
      <c r="GU114" s="56"/>
      <c r="GV114" s="56"/>
      <c r="GW114" s="56"/>
      <c r="GX114" s="56"/>
      <c r="GY114" s="56"/>
      <c r="GZ114" s="56"/>
      <c r="HA114" s="56"/>
      <c r="HB114" s="56"/>
      <c r="HC114" s="56"/>
      <c r="HD114" s="56"/>
      <c r="HE114" s="56"/>
      <c r="HF114" s="56"/>
      <c r="HG114" s="56"/>
      <c r="HH114" s="56"/>
      <c r="HI114" s="56"/>
      <c r="HJ114" s="56"/>
      <c r="HK114" s="56"/>
      <c r="HL114" s="56"/>
      <c r="HM114" s="56"/>
      <c r="HN114" s="56"/>
      <c r="HO114" s="56"/>
      <c r="HP114" s="56"/>
      <c r="HQ114" s="56"/>
      <c r="HR114" s="56"/>
      <c r="HS114" s="56"/>
      <c r="HT114" s="56"/>
      <c r="HU114" s="56"/>
      <c r="HV114" s="56"/>
      <c r="HW114" s="56"/>
      <c r="HX114" s="56"/>
      <c r="HY114" s="56"/>
      <c r="HZ114" s="56"/>
      <c r="IA114" s="56"/>
      <c r="IB114" s="56"/>
      <c r="IC114" s="56"/>
      <c r="ID114" s="56"/>
      <c r="IE114" s="56"/>
      <c r="IF114" s="56"/>
      <c r="IG114" s="56"/>
      <c r="IH114" s="56"/>
      <c r="II114" s="56"/>
      <c r="IJ114" s="56"/>
      <c r="IK114" s="56"/>
      <c r="IL114" s="56"/>
      <c r="IM114" s="56"/>
      <c r="IN114" s="56"/>
      <c r="IO114" s="56"/>
      <c r="IP114" s="56"/>
      <c r="IQ114" s="56"/>
      <c r="IR114" s="56"/>
      <c r="IS114" s="56"/>
    </row>
    <row r="115" spans="1:253" x14ac:dyDescent="0.3">
      <c r="J115" s="10"/>
      <c r="L115" s="2"/>
      <c r="AC115" s="10"/>
      <c r="AI115" s="2"/>
      <c r="AP115" s="10"/>
      <c r="AR115" s="10"/>
      <c r="AX115" s="2"/>
      <c r="BB115" s="2"/>
    </row>
    <row r="116" spans="1:253" x14ac:dyDescent="0.3">
      <c r="J116" s="10"/>
      <c r="L116" s="2"/>
      <c r="AC116" s="10"/>
      <c r="AI116" s="2"/>
      <c r="AP116" s="10"/>
      <c r="AR116" s="10"/>
      <c r="AX116" s="2"/>
      <c r="BB116" s="2"/>
    </row>
  </sheetData>
  <mergeCells count="1">
    <mergeCell ref="C114:K114"/>
  </mergeCells>
  <hyperlinks>
    <hyperlink ref="C114"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345C3A4E-9910-4999-BB6D-0DCA7E18337C}"/>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FO</vt:lpstr>
      <vt:lpstr>XDO_?CLASS_3?10?</vt:lpstr>
      <vt:lpstr>XDO_?FINAL_ISIN?45?</vt:lpstr>
      <vt:lpstr>XDO_?FINAL_ISIN?46?</vt:lpstr>
      <vt:lpstr>XDO_?FINAL_ISIN?47?</vt:lpstr>
      <vt:lpstr>XDO_?FINAL_MV?45?</vt:lpstr>
      <vt:lpstr>XDO_?FINAL_MV?46?</vt:lpstr>
      <vt:lpstr>XDO_?FINAL_MV?47?</vt:lpstr>
      <vt:lpstr>XDO_?FINAL_NAME?45?</vt:lpstr>
      <vt:lpstr>XDO_?FINAL_NAME?46?</vt:lpstr>
      <vt:lpstr>XDO_?FINAL_NAME?47?</vt:lpstr>
      <vt:lpstr>XDO_?FINAL_PER_NET?45?</vt:lpstr>
      <vt:lpstr>XDO_?FINAL_PER_NET?46?</vt:lpstr>
      <vt:lpstr>XDO_?FINAL_PER_NET?47?</vt:lpstr>
      <vt:lpstr>XDO_?FINAL_QUANTITE?45?</vt:lpstr>
      <vt:lpstr>XDO_?FINAL_QUANTITE?46?</vt:lpstr>
      <vt:lpstr>XDO_?FINAL_QUANTITE?47?</vt:lpstr>
      <vt:lpstr>XDO_?NAMCNAME?10?</vt:lpstr>
      <vt:lpstr>XDO_?NOVAL?45?</vt:lpstr>
      <vt:lpstr>XDO_?NOVAL?46?</vt:lpstr>
      <vt:lpstr>XDO_?NOVAL?47?</vt:lpstr>
      <vt:lpstr>XDO_?NPTF?10?</vt:lpstr>
      <vt:lpstr>XDO_?RATING?45?</vt:lpstr>
      <vt:lpstr>XDO_?RATING?46?</vt:lpstr>
      <vt:lpstr>XDO_?RATING?47?</vt:lpstr>
      <vt:lpstr>XDO_?REMARKS?45?</vt:lpstr>
      <vt:lpstr>XDO_?REMARKS?46?</vt:lpstr>
      <vt:lpstr>XDO_?REMARKS?47?</vt:lpstr>
      <vt:lpstr>XDO_?TITL?10?</vt:lpstr>
      <vt:lpstr>XDO_?YTM?45?</vt:lpstr>
      <vt:lpstr>XDO_?YTM?46?</vt:lpstr>
      <vt:lpstr>XDO_?YTM?47?</vt:lpstr>
      <vt:lpstr>XDO_GROUP_?G_2?10?</vt:lpstr>
      <vt:lpstr>XDO_GROUP_?G_3?10?</vt:lpstr>
      <vt:lpstr>XDO_GROUP_?G_4?45?</vt:lpstr>
      <vt:lpstr>XDO_GROUP_?G_4?46?</vt:lpstr>
      <vt:lpstr>XDO_GROUP_?G_4?47?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2022-07-04T12:15:11Z</dcterms:created>
  <dcterms:modified xsi:type="dcterms:W3CDTF">2022-07-08T11:14:22Z</dcterms:modified>
</cp:coreProperties>
</file>