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70956EA0-E008-4C57-8B60-313D38EA6552}" xr6:coauthVersionLast="47" xr6:coauthVersionMax="47" xr10:uidLastSave="{00000000-0000-0000-0000-000000000000}"/>
  <bookViews>
    <workbookView xWindow="-108" yWindow="-108" windowWidth="23256" windowHeight="12456" xr2:uid="{3E56EB23-56A3-4A58-B71A-535A9BBD6DBC}"/>
  </bookViews>
  <sheets>
    <sheet name="T0ME30" sheetId="1" r:id="rId1"/>
  </sheets>
  <definedNames>
    <definedName name="JR_PAGE_ANCHOR_0_18">T0ME30!$A$1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9" i="1" l="1"/>
  <c r="G59" i="1"/>
</calcChain>
</file>

<file path=xl/sharedStrings.xml><?xml version="1.0" encoding="utf-8"?>
<sst xmlns="http://schemas.openxmlformats.org/spreadsheetml/2006/main" count="336" uniqueCount="279">
  <si>
    <t>Baroda BNP Paribas Value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</si>
  <si>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</si>
  <si>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</si>
  <si>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</si>
  <si>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</si>
  <si>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</si>
  <si>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</si>
  <si>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</si>
  <si>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</si>
  <si>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</si>
  <si>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</si>
  <si>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</si>
  <si>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</si>
  <si>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</si>
  <si>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</si>
  <si>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</si>
  <si>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</si>
  <si>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</si>
  <si>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ALLI02</t>
  </si>
  <si>
    <t>GE Vernova T&amp;D India Limited</t>
  </si>
  <si>
    <t>INE200A01026</t>
  </si>
  <si>
    <t>Electrical Equipment</t>
  </si>
  <si>
    <t>HDFB03</t>
  </si>
  <si>
    <t>HDFC Bank Limited</t>
  </si>
  <si>
    <t>INE040A01034</t>
  </si>
  <si>
    <t>Banks</t>
  </si>
  <si>
    <t>BHAH02</t>
  </si>
  <si>
    <t>Bharat Heavy Electricals Limited</t>
  </si>
  <si>
    <t>INE257A01026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</si>
  <si>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</si>
  <si>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</si>
  <si>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</si>
  <si>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</si>
  <si>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</si>
  <si>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</si>
  <si>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</si>
  <si>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</si>
  <si>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</si>
  <si>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</si>
  <si>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</si>
  <si>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</si>
  <si>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</si>
  <si>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</si>
  <si>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INFS02</t>
  </si>
  <si>
    <t>Infosys Limited</t>
  </si>
  <si>
    <t>INE009A01021</t>
  </si>
  <si>
    <t>IT - Software</t>
  </si>
  <si>
    <t>HZIN02</t>
  </si>
  <si>
    <t>Hindustan Zinc Limited</t>
  </si>
  <si>
    <t>INE267A01025</t>
  </si>
  <si>
    <t>Non - Ferrous Metals</t>
  </si>
  <si>
    <t>KOMA03</t>
  </si>
  <si>
    <t>Kotak Mahindra Bank Limited</t>
  </si>
  <si>
    <t>INE237A01036</t>
  </si>
  <si>
    <t>HERO02</t>
  </si>
  <si>
    <t>Hero MotoCorp Limited</t>
  </si>
  <si>
    <t>INE158A01026</t>
  </si>
  <si>
    <t>Automobiles</t>
  </si>
  <si>
    <t>SBAI02</t>
  </si>
  <si>
    <t>State Bank of India</t>
  </si>
  <si>
    <t>INE062A01020</t>
  </si>
  <si>
    <t>JBCH03</t>
  </si>
  <si>
    <t>JB Chemicals &amp; Pharmaceuticals Limited</t>
  </si>
  <si>
    <t>INE572A01036</t>
  </si>
  <si>
    <t>OIIL01</t>
  </si>
  <si>
    <t>Oil India Limited</t>
  </si>
  <si>
    <t>INE274J01014</t>
  </si>
  <si>
    <t>Oil</t>
  </si>
  <si>
    <t>TEMA02</t>
  </si>
  <si>
    <t>Tech Mahindra Limited</t>
  </si>
  <si>
    <t>INE669C01036</t>
  </si>
  <si>
    <t>TCSL01</t>
  </si>
  <si>
    <t>Tata Consultancy Services Limited</t>
  </si>
  <si>
    <t>INE467B01029</t>
  </si>
  <si>
    <t>PGCI01</t>
  </si>
  <si>
    <t>Power Grid Corporation of India Limited</t>
  </si>
  <si>
    <t>INE752E01010</t>
  </si>
  <si>
    <t>Power</t>
  </si>
  <si>
    <t>NHPC01</t>
  </si>
  <si>
    <t>NHPC Limited</t>
  </si>
  <si>
    <t>INE848E01016</t>
  </si>
  <si>
    <t>CHEL02</t>
  </si>
  <si>
    <t>Zydus Lifesciences Limited</t>
  </si>
  <si>
    <t>INE010B01027</t>
  </si>
  <si>
    <t>BHEL02</t>
  </si>
  <si>
    <t>Bharat Electronics Limited</t>
  </si>
  <si>
    <t>INE263A01024</t>
  </si>
  <si>
    <t>Aerospace &amp; Defense</t>
  </si>
  <si>
    <t>NACL03</t>
  </si>
  <si>
    <t>National Aluminium Company Limited</t>
  </si>
  <si>
    <t>INE139A01034</t>
  </si>
  <si>
    <t>ULCC01</t>
  </si>
  <si>
    <t>UltraTech Cement Limited</t>
  </si>
  <si>
    <t>INE481G01011</t>
  </si>
  <si>
    <t>Cement &amp; Cement Products</t>
  </si>
  <si>
    <t>EIML02</t>
  </si>
  <si>
    <t>Eicher Motors Limited</t>
  </si>
  <si>
    <t>INE066A01021</t>
  </si>
  <si>
    <t>SOKO03</t>
  </si>
  <si>
    <t>Jtekt India Limited</t>
  </si>
  <si>
    <t>INE643A01035</t>
  </si>
  <si>
    <t>Auto Components</t>
  </si>
  <si>
    <t>ITCL02</t>
  </si>
  <si>
    <t>ITC Limited</t>
  </si>
  <si>
    <t>INE154A01025</t>
  </si>
  <si>
    <t>Diversified FMCG</t>
  </si>
  <si>
    <t>TPOW02</t>
  </si>
  <si>
    <t>Tata Power Company Limited</t>
  </si>
  <si>
    <t>INE245A01021</t>
  </si>
  <si>
    <t>YESB03</t>
  </si>
  <si>
    <t>Yes Bank Limited</t>
  </si>
  <si>
    <t>INE528G01035</t>
  </si>
  <si>
    <t>HLEL02</t>
  </si>
  <si>
    <t>Hindustan Unilever Limited</t>
  </si>
  <si>
    <t>INE030A01027</t>
  </si>
  <si>
    <t>MCEX02</t>
  </si>
  <si>
    <t>Multi Commodity Exchange of India Limited</t>
  </si>
  <si>
    <t>INE745G01043</t>
  </si>
  <si>
    <t>Capital Markets</t>
  </si>
  <si>
    <t>ICEM01</t>
  </si>
  <si>
    <t>The India Cements Limited</t>
  </si>
  <si>
    <t>INE383A01012</t>
  </si>
  <si>
    <t>TENN01</t>
  </si>
  <si>
    <t>Tenneco Clean Air India Limited</t>
  </si>
  <si>
    <t>INE19RI01016</t>
  </si>
  <si>
    <t>MAUD01</t>
  </si>
  <si>
    <t>Maruti Suzuki India Limited</t>
  </si>
  <si>
    <t>INE585B01010</t>
  </si>
  <si>
    <t>HDLI01</t>
  </si>
  <si>
    <t>HDFC Life Insurance Company Limited</t>
  </si>
  <si>
    <t>INE795G01014</t>
  </si>
  <si>
    <t>Insurance</t>
  </si>
  <si>
    <t>TMLC01</t>
  </si>
  <si>
    <t>Tata Motors Ltd</t>
  </si>
  <si>
    <t>INE1TAE01010</t>
  </si>
  <si>
    <t>Agricultural, Commercial &amp; Construction Vehicles</t>
  </si>
  <si>
    <t>ALKE01</t>
  </si>
  <si>
    <t>Alkem Laboratories Limited</t>
  </si>
  <si>
    <t>INE540L01014</t>
  </si>
  <si>
    <t>SJVN01</t>
  </si>
  <si>
    <t>SJVN Limited</t>
  </si>
  <si>
    <t>INE002L01015</t>
  </si>
  <si>
    <t>SCHI01</t>
  </si>
  <si>
    <t>Sanofi Consumer Healthcare India Limited</t>
  </si>
  <si>
    <t>INE0UOS01011</t>
  </si>
  <si>
    <t>CANB02</t>
  </si>
  <si>
    <t>Canara Bank</t>
  </si>
  <si>
    <t>INE476A01022</t>
  </si>
  <si>
    <t>LGEL01</t>
  </si>
  <si>
    <t>LG Electronics India Ltd</t>
  </si>
  <si>
    <t>INE324D01010</t>
  </si>
  <si>
    <t>Consumer Durables</t>
  </si>
  <si>
    <t>UTIB02</t>
  </si>
  <si>
    <t>Axis Bank Limited</t>
  </si>
  <si>
    <t>INE238A01034</t>
  </si>
  <si>
    <t>IIBL01</t>
  </si>
  <si>
    <t>IndusInd Bank Limited</t>
  </si>
  <si>
    <t>INE095A01012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</si>
  <si>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</si>
  <si>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</si>
  <si>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</si>
  <si>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</si>
  <si>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</si>
  <si>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</si>
  <si>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</si>
  <si>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ICII01</t>
  </si>
  <si>
    <t>JSW Dulux Limited</t>
  </si>
  <si>
    <t>INE133A01011</t>
  </si>
  <si>
    <t>MAGL01</t>
  </si>
  <si>
    <t>Mahanagar Gas Limited</t>
  </si>
  <si>
    <t>INE002S01010</t>
  </si>
  <si>
    <t>Gas</t>
  </si>
  <si>
    <t>KPIT03</t>
  </si>
  <si>
    <t>Birlasoft Limited</t>
  </si>
  <si>
    <t>INE836A01035</t>
  </si>
  <si>
    <t>SCDL01</t>
  </si>
  <si>
    <t>Sundaram Clayton Limited</t>
  </si>
  <si>
    <t>INE0Q3R01026</t>
  </si>
  <si>
    <t>Talwandi Sabo Power Limited **</t>
  </si>
  <si>
    <t>INE694L01019</t>
  </si>
  <si>
    <t>Vedanta Iron And Steel Limited **</t>
  </si>
  <si>
    <t>INE1CLE01013</t>
  </si>
  <si>
    <t>Ferrous Metals</t>
  </si>
  <si>
    <t>Vedanta Aluminium Metal Limited **</t>
  </si>
  <si>
    <t>INE1CDF01017</t>
  </si>
  <si>
    <t>Malco Energy Limited **</t>
  </si>
  <si>
    <t>INE704J01044</t>
  </si>
  <si>
    <t>Sub Total</t>
  </si>
  <si>
    <t>(b) Unlisted</t>
  </si>
  <si>
    <t>NIL</t>
  </si>
  <si>
    <t>Total</t>
  </si>
  <si>
    <t>Derivatives</t>
  </si>
  <si>
    <t>Index / Stock Futures</t>
  </si>
  <si>
    <t>ULCCJUN26</t>
  </si>
  <si>
    <t>UltraTech Cement Limited June 2026 Future</t>
  </si>
  <si>
    <t xml:space="preserve"> </t>
  </si>
  <si>
    <t>Money Market Instruments</t>
  </si>
  <si>
    <t>Treasury Bill</t>
  </si>
  <si>
    <t>TBIL2636</t>
  </si>
  <si>
    <t>364 Days Tbill (MD 04/02/2027)</t>
  </si>
  <si>
    <t>IN002025Z443</t>
  </si>
  <si>
    <t>Sovereign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</si>
  <si>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</si>
  <si>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</si>
  <si>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</si>
  <si>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</si>
  <si>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</si>
  <si>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</si>
  <si>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</si>
  <si>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</si>
  <si>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</si>
  <si>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</si>
  <si>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</si>
  <si>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</si>
  <si>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</si>
  <si>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</si>
  <si>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</si>
  <si>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UltraTech Cement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</si>
  <si>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</si>
  <si>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</si>
  <si>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</si>
  <si>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</si>
  <si>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</si>
  <si>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</si>
  <si>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</si>
  <si>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</si>
  <si>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</si>
  <si>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</si>
  <si>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</si>
  <si>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</si>
  <si>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</si>
  <si>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</si>
  <si>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</si>
  <si>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</si>
  <si>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</si>
  <si>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period ended May 31, 2026</t>
  </si>
  <si>
    <t>(9)  Total outstanding exposure in derivative instruments as on May 31, 2026 is 209.07 Lacs.</t>
  </si>
  <si>
    <t>(10) Total Market value of investments in Foreign Securities/American Depositary Receipts/Global Depositary Receipts as at  May 31, 2026 is Rs. Nil.</t>
  </si>
  <si>
    <t>(11)  During the period, the portfolio turnover ratio is 0.63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</si>
  <si>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</si>
  <si>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</si>
  <si>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</si>
  <si>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</si>
  <si>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</si>
  <si>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</si>
  <si>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</si>
  <si>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</si>
  <si>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</si>
  <si>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</si>
  <si>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</si>
  <si>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</si>
  <si>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</si>
  <si>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</si>
  <si>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</si>
  <si>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</si>
  <si>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</si>
  <si>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0.2%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</si>
  <si>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</si>
  <si>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</si>
  <si>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</si>
  <si>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</si>
  <si>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</si>
  <si>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</si>
  <si>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</si>
  <si>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</si>
  <si>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Total exposure due to futures (non hedging positions) as a % of net assets: Nil.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</si>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</sst>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>
      <alignment horizontal="center"/>
    </xf>
    <xf numFmtId="164" fontId="10" fillId="0" borderId="0" xfId="1" applyFont="1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FF5EC7BE-F5D0-4E2F-9CEB-EA2C14D257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4</xdr:col>
      <xdr:colOff>498348</xdr:colOff>
      <xdr:row>166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50A79-B059-4C75-AE29-A43D9D22A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9273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0243-AA61-4890-B5F2-6182D137695E}">
  <sheetPr codeName="Sheet18">
    <outlinePr summaryBelow="0"/>
  </sheetPr>
  <dimension ref="A1:BB17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59" t="s">
        <v>0</v>
      </c>
      <c r="C1" s="5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7"/>
      <c r="C2" s="6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68" t="s">
        <v>2</v>
      </c>
      <c r="C3" s="68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69" t="s">
        <v>3</v>
      </c>
      <c r="C4" s="6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3" t="s">
        <v>12</v>
      </c>
      <c r="C5" s="6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3" t="s">
        <v>13</v>
      </c>
      <c r="C6" s="6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4" t="s">
        <v>15</v>
      </c>
      <c r="C7" s="64"/>
      <c r="D7" s="6" t="s">
        <v>16</v>
      </c>
      <c r="E7" s="6" t="s">
        <v>17</v>
      </c>
      <c r="F7" s="9">
        <v>513000</v>
      </c>
      <c r="G7" s="10">
        <v>6777.76</v>
      </c>
      <c r="H7" s="11">
        <v>6.5100000000000005E-2</v>
      </c>
      <c r="I7" s="12"/>
      <c r="J7" s="12"/>
      <c r="K7" s="1"/>
    </row>
    <row r="8" spans="1:11" ht="13.05" customHeight="1">
      <c r="A8" s="8" t="s">
        <v>18</v>
      </c>
      <c r="B8" s="64" t="s">
        <v>19</v>
      </c>
      <c r="C8" s="64"/>
      <c r="D8" s="6" t="s">
        <v>20</v>
      </c>
      <c r="E8" s="6" t="s">
        <v>21</v>
      </c>
      <c r="F8" s="9">
        <v>103500</v>
      </c>
      <c r="G8" s="10">
        <v>5328.8</v>
      </c>
      <c r="H8" s="11">
        <v>5.1200000000000002E-2</v>
      </c>
      <c r="I8" s="12"/>
      <c r="J8" s="12"/>
      <c r="K8" s="1"/>
    </row>
    <row r="9" spans="1:11" ht="13.05" customHeight="1">
      <c r="A9" s="8" t="s">
        <v>22</v>
      </c>
      <c r="B9" s="64" t="s">
        <v>23</v>
      </c>
      <c r="C9" s="64"/>
      <c r="D9" s="6" t="s">
        <v>24</v>
      </c>
      <c r="E9" s="6" t="s">
        <v>25</v>
      </c>
      <c r="F9" s="9">
        <v>711000</v>
      </c>
      <c r="G9" s="10">
        <v>5293.75</v>
      </c>
      <c r="H9" s="11">
        <v>5.0799999999999998E-2</v>
      </c>
      <c r="I9" s="12"/>
      <c r="J9" s="12"/>
      <c r="K9" s="1"/>
    </row>
    <row r="10" spans="1:11" ht="13.05" customHeight="1">
      <c r="A10" s="8" t="s">
        <v>26</v>
      </c>
      <c r="B10" s="64" t="s">
        <v>27</v>
      </c>
      <c r="C10" s="64"/>
      <c r="D10" s="6" t="s">
        <v>28</v>
      </c>
      <c r="E10" s="6" t="s">
        <v>21</v>
      </c>
      <c r="F10" s="9">
        <v>1170000</v>
      </c>
      <c r="G10" s="10">
        <v>4875.9799999999996</v>
      </c>
      <c r="H10" s="11">
        <v>4.6800000000000001E-2</v>
      </c>
      <c r="I10" s="12"/>
      <c r="J10" s="12"/>
      <c r="K10" s="1"/>
    </row>
    <row r="11" spans="1:11" ht="13.05" customHeight="1">
      <c r="A11" s="8" t="s">
        <v>29</v>
      </c>
      <c r="B11" s="64" t="s">
        <v>30</v>
      </c>
      <c r="C11" s="64"/>
      <c r="D11" s="6" t="s">
        <v>31</v>
      </c>
      <c r="E11" s="6" t="s">
        <v>25</v>
      </c>
      <c r="F11" s="9">
        <v>360000</v>
      </c>
      <c r="G11" s="10">
        <v>4523.04</v>
      </c>
      <c r="H11" s="11">
        <v>4.3400000000000001E-2</v>
      </c>
      <c r="I11" s="12"/>
      <c r="J11" s="12"/>
      <c r="K11" s="1"/>
    </row>
    <row r="12" spans="1:11" ht="13.05" customHeight="1">
      <c r="A12" s="8" t="s">
        <v>32</v>
      </c>
      <c r="B12" s="64" t="s">
        <v>33</v>
      </c>
      <c r="C12" s="64"/>
      <c r="D12" s="6" t="s">
        <v>34</v>
      </c>
      <c r="E12" s="6" t="s">
        <v>35</v>
      </c>
      <c r="F12" s="9">
        <v>103500</v>
      </c>
      <c r="G12" s="10">
        <v>4219.18</v>
      </c>
      <c r="H12" s="11">
        <v>4.0500000000000001E-2</v>
      </c>
      <c r="I12" s="12"/>
      <c r="J12" s="12"/>
      <c r="K12" s="1"/>
    </row>
    <row r="13" spans="1:11" ht="13.05" customHeight="1">
      <c r="A13" s="8" t="s">
        <v>36</v>
      </c>
      <c r="B13" s="64" t="s">
        <v>37</v>
      </c>
      <c r="C13" s="64"/>
      <c r="D13" s="6" t="s">
        <v>38</v>
      </c>
      <c r="E13" s="6" t="s">
        <v>39</v>
      </c>
      <c r="F13" s="9">
        <v>49500</v>
      </c>
      <c r="G13" s="10">
        <v>3300.17</v>
      </c>
      <c r="H13" s="11">
        <v>3.1699999999999999E-2</v>
      </c>
      <c r="I13" s="12"/>
      <c r="J13" s="12"/>
      <c r="K13" s="1"/>
    </row>
    <row r="14" spans="1:11" ht="13.05" customHeight="1">
      <c r="A14" s="8" t="s">
        <v>40</v>
      </c>
      <c r="B14" s="64" t="s">
        <v>41</v>
      </c>
      <c r="C14" s="64"/>
      <c r="D14" s="6" t="s">
        <v>42</v>
      </c>
      <c r="E14" s="6" t="s">
        <v>39</v>
      </c>
      <c r="F14" s="9">
        <v>135000</v>
      </c>
      <c r="G14" s="10">
        <v>2428.92</v>
      </c>
      <c r="H14" s="11">
        <v>2.3300000000000001E-2</v>
      </c>
      <c r="I14" s="12"/>
      <c r="J14" s="12"/>
      <c r="K14" s="1"/>
    </row>
    <row r="15" spans="1:11" ht="13.05" customHeight="1">
      <c r="A15" s="8" t="s">
        <v>43</v>
      </c>
      <c r="B15" s="64" t="s">
        <v>44</v>
      </c>
      <c r="C15" s="64"/>
      <c r="D15" s="6" t="s">
        <v>45</v>
      </c>
      <c r="E15" s="6" t="s">
        <v>46</v>
      </c>
      <c r="F15" s="9">
        <v>207000</v>
      </c>
      <c r="G15" s="10">
        <v>2403.06</v>
      </c>
      <c r="H15" s="11">
        <v>2.3099999999999999E-2</v>
      </c>
      <c r="I15" s="12"/>
      <c r="J15" s="12"/>
      <c r="K15" s="1"/>
    </row>
    <row r="16" spans="1:11" ht="13.05" customHeight="1">
      <c r="A16" s="8" t="s">
        <v>47</v>
      </c>
      <c r="B16" s="64" t="s">
        <v>48</v>
      </c>
      <c r="C16" s="64"/>
      <c r="D16" s="6" t="s">
        <v>49</v>
      </c>
      <c r="E16" s="6" t="s">
        <v>50</v>
      </c>
      <c r="F16" s="9">
        <v>378000</v>
      </c>
      <c r="G16" s="10">
        <v>2392.5500000000002</v>
      </c>
      <c r="H16" s="11">
        <v>2.3E-2</v>
      </c>
      <c r="I16" s="12"/>
      <c r="J16" s="12"/>
      <c r="K16" s="1"/>
    </row>
    <row r="17" spans="1:11" ht="13.05" customHeight="1">
      <c r="A17" s="8" t="s">
        <v>51</v>
      </c>
      <c r="B17" s="64" t="s">
        <v>52</v>
      </c>
      <c r="C17" s="64"/>
      <c r="D17" s="6" t="s">
        <v>53</v>
      </c>
      <c r="E17" s="6" t="s">
        <v>25</v>
      </c>
      <c r="F17" s="9">
        <v>621000</v>
      </c>
      <c r="G17" s="10">
        <v>2385.88</v>
      </c>
      <c r="H17" s="11">
        <v>2.29E-2</v>
      </c>
      <c r="I17" s="12"/>
      <c r="J17" s="12"/>
      <c r="K17" s="1"/>
    </row>
    <row r="18" spans="1:11" ht="13.05" customHeight="1">
      <c r="A18" s="8" t="s">
        <v>54</v>
      </c>
      <c r="B18" s="64" t="s">
        <v>55</v>
      </c>
      <c r="C18" s="64"/>
      <c r="D18" s="6" t="s">
        <v>56</v>
      </c>
      <c r="E18" s="6" t="s">
        <v>57</v>
      </c>
      <c r="F18" s="9">
        <v>45000</v>
      </c>
      <c r="G18" s="10">
        <v>2206.35</v>
      </c>
      <c r="H18" s="11">
        <v>2.12E-2</v>
      </c>
      <c r="I18" s="12"/>
      <c r="J18" s="12"/>
      <c r="K18" s="1"/>
    </row>
    <row r="19" spans="1:11" ht="13.05" customHeight="1">
      <c r="A19" s="8" t="s">
        <v>58</v>
      </c>
      <c r="B19" s="64" t="s">
        <v>59</v>
      </c>
      <c r="C19" s="64"/>
      <c r="D19" s="6" t="s">
        <v>60</v>
      </c>
      <c r="E19" s="6" t="s">
        <v>25</v>
      </c>
      <c r="F19" s="9">
        <v>225000</v>
      </c>
      <c r="G19" s="10">
        <v>2169.9</v>
      </c>
      <c r="H19" s="11">
        <v>2.0799999999999999E-2</v>
      </c>
      <c r="I19" s="12"/>
      <c r="J19" s="12"/>
      <c r="K19" s="1"/>
    </row>
    <row r="20" spans="1:11" ht="13.05" customHeight="1">
      <c r="A20" s="8" t="s">
        <v>61</v>
      </c>
      <c r="B20" s="64" t="s">
        <v>62</v>
      </c>
      <c r="C20" s="64"/>
      <c r="D20" s="6" t="s">
        <v>63</v>
      </c>
      <c r="E20" s="6" t="s">
        <v>39</v>
      </c>
      <c r="F20" s="9">
        <v>99000</v>
      </c>
      <c r="G20" s="10">
        <v>2145.73</v>
      </c>
      <c r="H20" s="11">
        <v>2.06E-2</v>
      </c>
      <c r="I20" s="12"/>
      <c r="J20" s="12"/>
      <c r="K20" s="1"/>
    </row>
    <row r="21" spans="1:11" ht="13.05" customHeight="1">
      <c r="A21" s="8" t="s">
        <v>64</v>
      </c>
      <c r="B21" s="64" t="s">
        <v>65</v>
      </c>
      <c r="C21" s="64"/>
      <c r="D21" s="6" t="s">
        <v>66</v>
      </c>
      <c r="E21" s="6" t="s">
        <v>67</v>
      </c>
      <c r="F21" s="9">
        <v>450000</v>
      </c>
      <c r="G21" s="10">
        <v>2142.6799999999998</v>
      </c>
      <c r="H21" s="11">
        <v>2.06E-2</v>
      </c>
      <c r="I21" s="12"/>
      <c r="J21" s="12"/>
      <c r="K21" s="1"/>
    </row>
    <row r="22" spans="1:11" ht="13.05" customHeight="1">
      <c r="A22" s="8" t="s">
        <v>68</v>
      </c>
      <c r="B22" s="64" t="s">
        <v>69</v>
      </c>
      <c r="C22" s="64"/>
      <c r="D22" s="6" t="s">
        <v>70</v>
      </c>
      <c r="E22" s="6" t="s">
        <v>46</v>
      </c>
      <c r="F22" s="9">
        <v>144000</v>
      </c>
      <c r="G22" s="10">
        <v>2136.8200000000002</v>
      </c>
      <c r="H22" s="11">
        <v>2.0500000000000001E-2</v>
      </c>
      <c r="I22" s="12"/>
      <c r="J22" s="12"/>
      <c r="K22" s="1"/>
    </row>
    <row r="23" spans="1:11" ht="13.05" customHeight="1">
      <c r="A23" s="8" t="s">
        <v>71</v>
      </c>
      <c r="B23" s="64" t="s">
        <v>72</v>
      </c>
      <c r="C23" s="64"/>
      <c r="D23" s="6" t="s">
        <v>73</v>
      </c>
      <c r="E23" s="6" t="s">
        <v>46</v>
      </c>
      <c r="F23" s="9">
        <v>90000</v>
      </c>
      <c r="G23" s="10">
        <v>2033.01</v>
      </c>
      <c r="H23" s="11">
        <v>1.95E-2</v>
      </c>
      <c r="I23" s="12"/>
      <c r="J23" s="12"/>
      <c r="K23" s="1"/>
    </row>
    <row r="24" spans="1:11" ht="13.05" customHeight="1">
      <c r="A24" s="8" t="s">
        <v>74</v>
      </c>
      <c r="B24" s="64" t="s">
        <v>75</v>
      </c>
      <c r="C24" s="64"/>
      <c r="D24" s="6" t="s">
        <v>76</v>
      </c>
      <c r="E24" s="6" t="s">
        <v>77</v>
      </c>
      <c r="F24" s="9">
        <v>693000</v>
      </c>
      <c r="G24" s="10">
        <v>2013.51</v>
      </c>
      <c r="H24" s="11">
        <v>1.9300000000000001E-2</v>
      </c>
      <c r="I24" s="12"/>
      <c r="J24" s="12"/>
      <c r="K24" s="1"/>
    </row>
    <row r="25" spans="1:11" ht="13.05" customHeight="1">
      <c r="A25" s="8" t="s">
        <v>78</v>
      </c>
      <c r="B25" s="64" t="s">
        <v>79</v>
      </c>
      <c r="C25" s="64"/>
      <c r="D25" s="6" t="s">
        <v>80</v>
      </c>
      <c r="E25" s="6" t="s">
        <v>77</v>
      </c>
      <c r="F25" s="9">
        <v>2520000</v>
      </c>
      <c r="G25" s="10">
        <v>1987.52</v>
      </c>
      <c r="H25" s="11">
        <v>1.9099999999999999E-2</v>
      </c>
      <c r="I25" s="12"/>
      <c r="J25" s="12"/>
      <c r="K25" s="1"/>
    </row>
    <row r="26" spans="1:11" ht="13.05" customHeight="1">
      <c r="A26" s="8" t="s">
        <v>81</v>
      </c>
      <c r="B26" s="64" t="s">
        <v>82</v>
      </c>
      <c r="C26" s="64"/>
      <c r="D26" s="6" t="s">
        <v>83</v>
      </c>
      <c r="E26" s="6" t="s">
        <v>39</v>
      </c>
      <c r="F26" s="9">
        <v>180000</v>
      </c>
      <c r="G26" s="10">
        <v>1939.86</v>
      </c>
      <c r="H26" s="11">
        <v>1.8599999999999998E-2</v>
      </c>
      <c r="I26" s="12"/>
      <c r="J26" s="12"/>
      <c r="K26" s="1"/>
    </row>
    <row r="27" spans="1:11" ht="13.05" customHeight="1">
      <c r="A27" s="8" t="s">
        <v>84</v>
      </c>
      <c r="B27" s="64" t="s">
        <v>85</v>
      </c>
      <c r="C27" s="64"/>
      <c r="D27" s="6" t="s">
        <v>86</v>
      </c>
      <c r="E27" s="6" t="s">
        <v>87</v>
      </c>
      <c r="F27" s="9">
        <v>450000</v>
      </c>
      <c r="G27" s="10">
        <v>1848.38</v>
      </c>
      <c r="H27" s="11">
        <v>1.78E-2</v>
      </c>
      <c r="I27" s="12"/>
      <c r="J27" s="12"/>
      <c r="K27" s="1"/>
    </row>
    <row r="28" spans="1:11" ht="13.05" customHeight="1">
      <c r="A28" s="8" t="s">
        <v>88</v>
      </c>
      <c r="B28" s="64" t="s">
        <v>89</v>
      </c>
      <c r="C28" s="64"/>
      <c r="D28" s="6" t="s">
        <v>90</v>
      </c>
      <c r="E28" s="6" t="s">
        <v>50</v>
      </c>
      <c r="F28" s="9">
        <v>432000</v>
      </c>
      <c r="G28" s="10">
        <v>1833.62</v>
      </c>
      <c r="H28" s="11">
        <v>1.7600000000000001E-2</v>
      </c>
      <c r="I28" s="12"/>
      <c r="J28" s="12"/>
      <c r="K28" s="1"/>
    </row>
    <row r="29" spans="1:11" ht="13.05" customHeight="1">
      <c r="A29" s="8" t="s">
        <v>91</v>
      </c>
      <c r="B29" s="64" t="s">
        <v>92</v>
      </c>
      <c r="C29" s="64"/>
      <c r="D29" s="6" t="s">
        <v>93</v>
      </c>
      <c r="E29" s="6" t="s">
        <v>94</v>
      </c>
      <c r="F29" s="9">
        <v>15300</v>
      </c>
      <c r="G29" s="10">
        <v>1756.75</v>
      </c>
      <c r="H29" s="11">
        <v>1.6899999999999998E-2</v>
      </c>
      <c r="I29" s="12"/>
      <c r="J29" s="12"/>
      <c r="K29" s="1"/>
    </row>
    <row r="30" spans="1:11" ht="13.05" customHeight="1">
      <c r="A30" s="8" t="s">
        <v>95</v>
      </c>
      <c r="B30" s="64" t="s">
        <v>96</v>
      </c>
      <c r="C30" s="64"/>
      <c r="D30" s="6" t="s">
        <v>97</v>
      </c>
      <c r="E30" s="6" t="s">
        <v>57</v>
      </c>
      <c r="F30" s="9">
        <v>24300</v>
      </c>
      <c r="G30" s="10">
        <v>1744.01</v>
      </c>
      <c r="H30" s="11">
        <v>1.67E-2</v>
      </c>
      <c r="I30" s="12"/>
      <c r="J30" s="12"/>
      <c r="K30" s="1"/>
    </row>
    <row r="31" spans="1:11" ht="13.05" customHeight="1">
      <c r="A31" s="8" t="s">
        <v>98</v>
      </c>
      <c r="B31" s="64" t="s">
        <v>99</v>
      </c>
      <c r="C31" s="64"/>
      <c r="D31" s="6" t="s">
        <v>100</v>
      </c>
      <c r="E31" s="6" t="s">
        <v>101</v>
      </c>
      <c r="F31" s="9">
        <v>1232286</v>
      </c>
      <c r="G31" s="10">
        <v>1619.47</v>
      </c>
      <c r="H31" s="11">
        <v>1.5599999999999999E-2</v>
      </c>
      <c r="I31" s="12"/>
      <c r="J31" s="12"/>
      <c r="K31" s="1"/>
    </row>
    <row r="32" spans="1:11" ht="13.05" customHeight="1">
      <c r="A32" s="8" t="s">
        <v>102</v>
      </c>
      <c r="B32" s="64" t="s">
        <v>103</v>
      </c>
      <c r="C32" s="64"/>
      <c r="D32" s="6" t="s">
        <v>104</v>
      </c>
      <c r="E32" s="6" t="s">
        <v>105</v>
      </c>
      <c r="F32" s="9">
        <v>540000</v>
      </c>
      <c r="G32" s="10">
        <v>1549.26</v>
      </c>
      <c r="H32" s="11">
        <v>1.49E-2</v>
      </c>
      <c r="I32" s="12"/>
      <c r="J32" s="12"/>
      <c r="K32" s="1"/>
    </row>
    <row r="33" spans="1:11" ht="13.05" customHeight="1">
      <c r="A33" s="8" t="s">
        <v>106</v>
      </c>
      <c r="B33" s="64" t="s">
        <v>107</v>
      </c>
      <c r="C33" s="64"/>
      <c r="D33" s="6" t="s">
        <v>108</v>
      </c>
      <c r="E33" s="6" t="s">
        <v>77</v>
      </c>
      <c r="F33" s="9">
        <v>360000</v>
      </c>
      <c r="G33" s="10">
        <v>1514.7</v>
      </c>
      <c r="H33" s="11">
        <v>1.4500000000000001E-2</v>
      </c>
      <c r="I33" s="12"/>
      <c r="J33" s="12"/>
      <c r="K33" s="1"/>
    </row>
    <row r="34" spans="1:11" ht="13.05" customHeight="1">
      <c r="A34" s="8" t="s">
        <v>109</v>
      </c>
      <c r="B34" s="64" t="s">
        <v>110</v>
      </c>
      <c r="C34" s="64"/>
      <c r="D34" s="6" t="s">
        <v>111</v>
      </c>
      <c r="E34" s="6" t="s">
        <v>25</v>
      </c>
      <c r="F34" s="9">
        <v>6030000</v>
      </c>
      <c r="G34" s="10">
        <v>1395.95</v>
      </c>
      <c r="H34" s="11">
        <v>1.34E-2</v>
      </c>
      <c r="I34" s="12"/>
      <c r="J34" s="12"/>
      <c r="K34" s="1"/>
    </row>
    <row r="35" spans="1:11" ht="13.05" customHeight="1">
      <c r="A35" s="8" t="s">
        <v>112</v>
      </c>
      <c r="B35" s="64" t="s">
        <v>113</v>
      </c>
      <c r="C35" s="64"/>
      <c r="D35" s="6" t="s">
        <v>114</v>
      </c>
      <c r="E35" s="6" t="s">
        <v>105</v>
      </c>
      <c r="F35" s="9">
        <v>63000</v>
      </c>
      <c r="G35" s="10">
        <v>1356.71</v>
      </c>
      <c r="H35" s="11">
        <v>1.2999999999999999E-2</v>
      </c>
      <c r="I35" s="12"/>
      <c r="J35" s="12"/>
      <c r="K35" s="1"/>
    </row>
    <row r="36" spans="1:11" ht="13.05" customHeight="1">
      <c r="A36" s="8" t="s">
        <v>115</v>
      </c>
      <c r="B36" s="64" t="s">
        <v>116</v>
      </c>
      <c r="C36" s="64"/>
      <c r="D36" s="6" t="s">
        <v>117</v>
      </c>
      <c r="E36" s="6" t="s">
        <v>118</v>
      </c>
      <c r="F36" s="9">
        <v>45000</v>
      </c>
      <c r="G36" s="10">
        <v>1329.53</v>
      </c>
      <c r="H36" s="11">
        <v>1.2800000000000001E-2</v>
      </c>
      <c r="I36" s="12"/>
      <c r="J36" s="12"/>
      <c r="K36" s="1"/>
    </row>
    <row r="37" spans="1:11" ht="13.05" customHeight="1">
      <c r="A37" s="8" t="s">
        <v>119</v>
      </c>
      <c r="B37" s="64" t="s">
        <v>120</v>
      </c>
      <c r="C37" s="64"/>
      <c r="D37" s="6" t="s">
        <v>121</v>
      </c>
      <c r="E37" s="6" t="s">
        <v>94</v>
      </c>
      <c r="F37" s="9">
        <v>346801</v>
      </c>
      <c r="G37" s="10">
        <v>1324.61</v>
      </c>
      <c r="H37" s="11">
        <v>1.2699999999999999E-2</v>
      </c>
      <c r="I37" s="12"/>
      <c r="J37" s="12"/>
      <c r="K37" s="1"/>
    </row>
    <row r="38" spans="1:11" ht="13.05" customHeight="1">
      <c r="A38" s="8" t="s">
        <v>122</v>
      </c>
      <c r="B38" s="64" t="s">
        <v>123</v>
      </c>
      <c r="C38" s="64"/>
      <c r="D38" s="6" t="s">
        <v>124</v>
      </c>
      <c r="E38" s="6" t="s">
        <v>101</v>
      </c>
      <c r="F38" s="9">
        <v>225000</v>
      </c>
      <c r="G38" s="10">
        <v>1323.68</v>
      </c>
      <c r="H38" s="11">
        <v>1.2699999999999999E-2</v>
      </c>
      <c r="I38" s="12"/>
      <c r="J38" s="12"/>
      <c r="K38" s="1"/>
    </row>
    <row r="39" spans="1:11" ht="13.05" customHeight="1">
      <c r="A39" s="8" t="s">
        <v>125</v>
      </c>
      <c r="B39" s="64" t="s">
        <v>126</v>
      </c>
      <c r="C39" s="64"/>
      <c r="D39" s="6" t="s">
        <v>127</v>
      </c>
      <c r="E39" s="6" t="s">
        <v>57</v>
      </c>
      <c r="F39" s="9">
        <v>10000</v>
      </c>
      <c r="G39" s="10">
        <v>1312.7</v>
      </c>
      <c r="H39" s="11">
        <v>1.26E-2</v>
      </c>
      <c r="I39" s="12"/>
      <c r="J39" s="12"/>
      <c r="K39" s="1"/>
    </row>
    <row r="40" spans="1:11" ht="13.05" customHeight="1">
      <c r="A40" s="8" t="s">
        <v>128</v>
      </c>
      <c r="B40" s="64" t="s">
        <v>129</v>
      </c>
      <c r="C40" s="64"/>
      <c r="D40" s="6" t="s">
        <v>130</v>
      </c>
      <c r="E40" s="6" t="s">
        <v>131</v>
      </c>
      <c r="F40" s="9">
        <v>216000</v>
      </c>
      <c r="G40" s="10">
        <v>1284.77</v>
      </c>
      <c r="H40" s="11">
        <v>1.23E-2</v>
      </c>
      <c r="I40" s="12"/>
      <c r="J40" s="12"/>
      <c r="K40" s="1"/>
    </row>
    <row r="41" spans="1:11" ht="13.05" customHeight="1">
      <c r="A41" s="8" t="s">
        <v>132</v>
      </c>
      <c r="B41" s="64" t="s">
        <v>133</v>
      </c>
      <c r="C41" s="64"/>
      <c r="D41" s="6" t="s">
        <v>134</v>
      </c>
      <c r="E41" s="6" t="s">
        <v>135</v>
      </c>
      <c r="F41" s="9">
        <v>333000</v>
      </c>
      <c r="G41" s="10">
        <v>1263.74</v>
      </c>
      <c r="H41" s="11">
        <v>1.21E-2</v>
      </c>
      <c r="I41" s="12"/>
      <c r="J41" s="12"/>
      <c r="K41" s="1"/>
    </row>
    <row r="42" spans="1:11" ht="13.05" customHeight="1">
      <c r="A42" s="8" t="s">
        <v>136</v>
      </c>
      <c r="B42" s="64" t="s">
        <v>137</v>
      </c>
      <c r="C42" s="64"/>
      <c r="D42" s="6" t="s">
        <v>138</v>
      </c>
      <c r="E42" s="6" t="s">
        <v>39</v>
      </c>
      <c r="F42" s="9">
        <v>22500</v>
      </c>
      <c r="G42" s="10">
        <v>1237.05</v>
      </c>
      <c r="H42" s="11">
        <v>1.1900000000000001E-2</v>
      </c>
      <c r="I42" s="12"/>
      <c r="J42" s="12"/>
      <c r="K42" s="1"/>
    </row>
    <row r="43" spans="1:11" ht="13.05" customHeight="1">
      <c r="A43" s="8" t="s">
        <v>139</v>
      </c>
      <c r="B43" s="64" t="s">
        <v>140</v>
      </c>
      <c r="C43" s="64"/>
      <c r="D43" s="6" t="s">
        <v>141</v>
      </c>
      <c r="E43" s="6" t="s">
        <v>77</v>
      </c>
      <c r="F43" s="9">
        <v>1620000</v>
      </c>
      <c r="G43" s="10">
        <v>1217.5899999999999</v>
      </c>
      <c r="H43" s="11">
        <v>1.17E-2</v>
      </c>
      <c r="I43" s="12"/>
      <c r="J43" s="12"/>
      <c r="K43" s="1"/>
    </row>
    <row r="44" spans="1:11" ht="13.05" customHeight="1">
      <c r="A44" s="8" t="s">
        <v>142</v>
      </c>
      <c r="B44" s="64" t="s">
        <v>143</v>
      </c>
      <c r="C44" s="64"/>
      <c r="D44" s="6" t="s">
        <v>144</v>
      </c>
      <c r="E44" s="6" t="s">
        <v>39</v>
      </c>
      <c r="F44" s="9">
        <v>26000</v>
      </c>
      <c r="G44" s="10">
        <v>1193.01</v>
      </c>
      <c r="H44" s="11">
        <v>1.15E-2</v>
      </c>
      <c r="I44" s="12"/>
      <c r="J44" s="12"/>
      <c r="K44" s="1"/>
    </row>
    <row r="45" spans="1:11" ht="13.05" customHeight="1">
      <c r="A45" s="8" t="s">
        <v>145</v>
      </c>
      <c r="B45" s="64" t="s">
        <v>146</v>
      </c>
      <c r="C45" s="64"/>
      <c r="D45" s="6" t="s">
        <v>147</v>
      </c>
      <c r="E45" s="6" t="s">
        <v>25</v>
      </c>
      <c r="F45" s="9">
        <v>900000</v>
      </c>
      <c r="G45" s="10">
        <v>1177.2</v>
      </c>
      <c r="H45" s="11">
        <v>1.1299999999999999E-2</v>
      </c>
      <c r="I45" s="12"/>
      <c r="J45" s="12"/>
      <c r="K45" s="1"/>
    </row>
    <row r="46" spans="1:11" ht="13.05" customHeight="1">
      <c r="A46" s="8" t="s">
        <v>148</v>
      </c>
      <c r="B46" s="64" t="s">
        <v>149</v>
      </c>
      <c r="C46" s="64"/>
      <c r="D46" s="6" t="s">
        <v>150</v>
      </c>
      <c r="E46" s="6" t="s">
        <v>151</v>
      </c>
      <c r="F46" s="9">
        <v>76500</v>
      </c>
      <c r="G46" s="10">
        <v>1165.78</v>
      </c>
      <c r="H46" s="11">
        <v>1.12E-2</v>
      </c>
      <c r="I46" s="12"/>
      <c r="J46" s="12"/>
      <c r="K46" s="1"/>
    </row>
    <row r="47" spans="1:11" ht="13.05" customHeight="1">
      <c r="A47" s="8" t="s">
        <v>152</v>
      </c>
      <c r="B47" s="64" t="s">
        <v>153</v>
      </c>
      <c r="C47" s="64"/>
      <c r="D47" s="6" t="s">
        <v>154</v>
      </c>
      <c r="E47" s="6" t="s">
        <v>25</v>
      </c>
      <c r="F47" s="9">
        <v>90000</v>
      </c>
      <c r="G47" s="10">
        <v>1157.94</v>
      </c>
      <c r="H47" s="11">
        <v>1.11E-2</v>
      </c>
      <c r="I47" s="12"/>
      <c r="J47" s="12"/>
      <c r="K47" s="1"/>
    </row>
    <row r="48" spans="1:11" ht="13.05" customHeight="1">
      <c r="A48" s="8" t="s">
        <v>155</v>
      </c>
      <c r="B48" s="64" t="s">
        <v>156</v>
      </c>
      <c r="C48" s="64"/>
      <c r="D48" s="6" t="s">
        <v>157</v>
      </c>
      <c r="E48" s="6" t="s">
        <v>25</v>
      </c>
      <c r="F48" s="9">
        <v>126000</v>
      </c>
      <c r="G48" s="10">
        <v>1152.08</v>
      </c>
      <c r="H48" s="11">
        <v>1.11E-2</v>
      </c>
      <c r="I48" s="12"/>
      <c r="J48" s="12"/>
      <c r="K48" s="1"/>
    </row>
    <row r="49" spans="1:11" ht="13.05" customHeight="1">
      <c r="A49" s="8" t="s">
        <v>158</v>
      </c>
      <c r="B49" s="64" t="s">
        <v>159</v>
      </c>
      <c r="C49" s="64"/>
      <c r="D49" s="6" t="s">
        <v>160</v>
      </c>
      <c r="E49" s="6" t="s">
        <v>161</v>
      </c>
      <c r="F49" s="9">
        <v>243000</v>
      </c>
      <c r="G49" s="10">
        <v>1112.7</v>
      </c>
      <c r="H49" s="11">
        <v>1.0699999999999999E-2</v>
      </c>
      <c r="I49" s="12"/>
      <c r="J49" s="12"/>
      <c r="K49" s="1"/>
    </row>
    <row r="50" spans="1:11" ht="13.05" customHeight="1">
      <c r="A50" s="8" t="s">
        <v>162</v>
      </c>
      <c r="B50" s="64" t="s">
        <v>163</v>
      </c>
      <c r="C50" s="64"/>
      <c r="D50" s="6" t="s">
        <v>164</v>
      </c>
      <c r="E50" s="6" t="s">
        <v>46</v>
      </c>
      <c r="F50" s="9">
        <v>540000</v>
      </c>
      <c r="G50" s="10">
        <v>1102.95</v>
      </c>
      <c r="H50" s="11">
        <v>1.06E-2</v>
      </c>
      <c r="I50" s="12"/>
      <c r="J50" s="12"/>
      <c r="K50" s="1"/>
    </row>
    <row r="51" spans="1:11" ht="13.05" customHeight="1">
      <c r="A51" s="8" t="s">
        <v>165</v>
      </c>
      <c r="B51" s="64" t="s">
        <v>166</v>
      </c>
      <c r="C51" s="64"/>
      <c r="D51" s="6" t="s">
        <v>167</v>
      </c>
      <c r="E51" s="6" t="s">
        <v>151</v>
      </c>
      <c r="F51" s="9">
        <v>31500</v>
      </c>
      <c r="G51" s="10">
        <v>992.82</v>
      </c>
      <c r="H51" s="11">
        <v>9.4999999999999998E-3</v>
      </c>
      <c r="I51" s="12"/>
      <c r="J51" s="12"/>
      <c r="K51" s="1"/>
    </row>
    <row r="52" spans="1:11" ht="13.05" customHeight="1">
      <c r="A52" s="8" t="s">
        <v>168</v>
      </c>
      <c r="B52" s="64" t="s">
        <v>169</v>
      </c>
      <c r="C52" s="64"/>
      <c r="D52" s="6" t="s">
        <v>170</v>
      </c>
      <c r="E52" s="6" t="s">
        <v>171</v>
      </c>
      <c r="F52" s="9">
        <v>90000</v>
      </c>
      <c r="G52" s="10">
        <v>985.5</v>
      </c>
      <c r="H52" s="11">
        <v>9.4999999999999998E-3</v>
      </c>
      <c r="I52" s="12"/>
      <c r="J52" s="12"/>
      <c r="K52" s="1"/>
    </row>
    <row r="53" spans="1:11" ht="13.05" customHeight="1">
      <c r="A53" s="8" t="s">
        <v>172</v>
      </c>
      <c r="B53" s="64" t="s">
        <v>173</v>
      </c>
      <c r="C53" s="64"/>
      <c r="D53" s="6" t="s">
        <v>174</v>
      </c>
      <c r="E53" s="6" t="s">
        <v>46</v>
      </c>
      <c r="F53" s="9">
        <v>297000</v>
      </c>
      <c r="G53" s="10">
        <v>948.47</v>
      </c>
      <c r="H53" s="11">
        <v>9.1000000000000004E-3</v>
      </c>
      <c r="I53" s="12"/>
      <c r="J53" s="12"/>
      <c r="K53" s="1"/>
    </row>
    <row r="54" spans="1:11" ht="13.05" customHeight="1">
      <c r="A54" s="8" t="s">
        <v>175</v>
      </c>
      <c r="B54" s="64" t="s">
        <v>176</v>
      </c>
      <c r="C54" s="64"/>
      <c r="D54" s="6" t="s">
        <v>177</v>
      </c>
      <c r="E54" s="6" t="s">
        <v>101</v>
      </c>
      <c r="F54" s="9">
        <v>49876</v>
      </c>
      <c r="G54" s="10">
        <v>657.76</v>
      </c>
      <c r="H54" s="11">
        <v>6.3E-3</v>
      </c>
      <c r="I54" s="12"/>
      <c r="J54" s="12"/>
      <c r="K54" s="1"/>
    </row>
    <row r="55" spans="1:11" ht="13.05" customHeight="1">
      <c r="A55" s="8"/>
      <c r="B55" s="64" t="s">
        <v>178</v>
      </c>
      <c r="C55" s="64"/>
      <c r="D55" s="6" t="s">
        <v>179</v>
      </c>
      <c r="E55" s="6" t="s">
        <v>77</v>
      </c>
      <c r="F55" s="9">
        <v>396000</v>
      </c>
      <c r="G55" s="10">
        <v>479.28</v>
      </c>
      <c r="H55" s="11">
        <v>4.5999999999999999E-3</v>
      </c>
      <c r="I55" s="12"/>
      <c r="J55" s="12"/>
      <c r="K55" s="1"/>
    </row>
    <row r="56" spans="1:11" ht="13.05" customHeight="1">
      <c r="A56" s="8"/>
      <c r="B56" s="64" t="s">
        <v>180</v>
      </c>
      <c r="C56" s="64"/>
      <c r="D56" s="6" t="s">
        <v>181</v>
      </c>
      <c r="E56" s="6" t="s">
        <v>182</v>
      </c>
      <c r="F56" s="9">
        <v>396000</v>
      </c>
      <c r="G56" s="10">
        <v>479.28</v>
      </c>
      <c r="H56" s="11">
        <v>4.5999999999999999E-3</v>
      </c>
      <c r="I56" s="12"/>
      <c r="J56" s="12"/>
      <c r="K56" s="1"/>
    </row>
    <row r="57" spans="1:11" ht="13.05" customHeight="1">
      <c r="A57" s="8"/>
      <c r="B57" s="64" t="s">
        <v>183</v>
      </c>
      <c r="C57" s="64"/>
      <c r="D57" s="6" t="s">
        <v>184</v>
      </c>
      <c r="E57" s="6" t="s">
        <v>50</v>
      </c>
      <c r="F57" s="9">
        <v>396000</v>
      </c>
      <c r="G57" s="10">
        <v>479.28</v>
      </c>
      <c r="H57" s="11">
        <v>4.5999999999999999E-3</v>
      </c>
      <c r="I57" s="12"/>
      <c r="J57" s="12"/>
      <c r="K57" s="1"/>
    </row>
    <row r="58" spans="1:11" ht="13.05" customHeight="1">
      <c r="A58" s="8"/>
      <c r="B58" s="64" t="s">
        <v>185</v>
      </c>
      <c r="C58" s="64"/>
      <c r="D58" s="6" t="s">
        <v>186</v>
      </c>
      <c r="E58" s="6" t="s">
        <v>67</v>
      </c>
      <c r="F58" s="9">
        <v>396000</v>
      </c>
      <c r="G58" s="10">
        <v>479.28</v>
      </c>
      <c r="H58" s="11">
        <v>4.5999999999999999E-3</v>
      </c>
      <c r="I58" s="12"/>
      <c r="J58" s="12"/>
      <c r="K58" s="1"/>
    </row>
    <row r="59" spans="1:11" ht="13.05" customHeight="1">
      <c r="A59" s="1"/>
      <c r="B59" s="65" t="s">
        <v>187</v>
      </c>
      <c r="C59" s="65"/>
      <c r="D59" s="13"/>
      <c r="E59" s="13"/>
      <c r="F59" s="13"/>
      <c r="G59" s="14">
        <f>SUM(G7:G58)</f>
        <v>101180.31999999998</v>
      </c>
      <c r="H59" s="15">
        <f>SUM(H7:H58)</f>
        <v>0.97150000000000003</v>
      </c>
      <c r="I59" s="16"/>
      <c r="J59" s="16"/>
      <c r="K59" s="1"/>
    </row>
    <row r="60" spans="1:11" ht="13.05" customHeight="1">
      <c r="A60" s="1"/>
      <c r="B60" s="65" t="s">
        <v>188</v>
      </c>
      <c r="C60" s="65"/>
      <c r="D60" s="13"/>
      <c r="E60" s="13"/>
      <c r="F60" s="13"/>
      <c r="G60" s="16" t="s">
        <v>189</v>
      </c>
      <c r="H60" s="16" t="s">
        <v>189</v>
      </c>
      <c r="I60" s="16"/>
      <c r="J60" s="16"/>
      <c r="K60" s="1"/>
    </row>
    <row r="61" spans="1:11" ht="13.05" customHeight="1">
      <c r="A61" s="1"/>
      <c r="B61" s="65" t="s">
        <v>187</v>
      </c>
      <c r="C61" s="65"/>
      <c r="D61" s="13"/>
      <c r="E61" s="13"/>
      <c r="F61" s="13"/>
      <c r="G61" s="16" t="s">
        <v>189</v>
      </c>
      <c r="H61" s="16" t="s">
        <v>189</v>
      </c>
      <c r="I61" s="16"/>
      <c r="J61" s="16"/>
      <c r="K61" s="1"/>
    </row>
    <row r="62" spans="1:11" ht="13.05" customHeight="1">
      <c r="A62" s="1"/>
      <c r="B62" s="65" t="s">
        <v>190</v>
      </c>
      <c r="C62" s="65"/>
      <c r="D62" s="17"/>
      <c r="E62" s="13"/>
      <c r="F62" s="17"/>
      <c r="G62" s="14">
        <v>101180.32</v>
      </c>
      <c r="H62" s="15">
        <v>0.97150000000000003</v>
      </c>
      <c r="I62" s="16"/>
      <c r="J62" s="16"/>
      <c r="K62" s="1"/>
    </row>
    <row r="63" spans="1:11" ht="13.05" customHeight="1">
      <c r="A63" s="1"/>
      <c r="B63" s="63" t="s">
        <v>191</v>
      </c>
      <c r="C63" s="63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63" t="s">
        <v>192</v>
      </c>
      <c r="C64" s="63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193</v>
      </c>
      <c r="B65" s="64" t="s">
        <v>194</v>
      </c>
      <c r="C65" s="64"/>
      <c r="D65" s="6"/>
      <c r="E65" s="6" t="s">
        <v>195</v>
      </c>
      <c r="F65" s="9">
        <v>-1800</v>
      </c>
      <c r="G65" s="10">
        <v>-209.07</v>
      </c>
      <c r="H65" s="11">
        <v>-2E-3</v>
      </c>
      <c r="I65" s="12"/>
      <c r="J65" s="12"/>
      <c r="K65" s="1"/>
    </row>
    <row r="66" spans="1:11" ht="13.05" customHeight="1">
      <c r="A66" s="1"/>
      <c r="B66" s="65" t="s">
        <v>187</v>
      </c>
      <c r="C66" s="65"/>
      <c r="D66" s="13"/>
      <c r="E66" s="13"/>
      <c r="F66" s="13"/>
      <c r="G66" s="14">
        <v>-209.07</v>
      </c>
      <c r="H66" s="15">
        <v>-2E-3</v>
      </c>
      <c r="I66" s="16"/>
      <c r="J66" s="16"/>
      <c r="K66" s="1"/>
    </row>
    <row r="67" spans="1:11" ht="13.05" customHeight="1">
      <c r="A67" s="1"/>
      <c r="B67" s="65" t="s">
        <v>190</v>
      </c>
      <c r="C67" s="65"/>
      <c r="D67" s="17"/>
      <c r="E67" s="13"/>
      <c r="F67" s="17"/>
      <c r="G67" s="14">
        <v>-209.07</v>
      </c>
      <c r="H67" s="15">
        <v>-2E-3</v>
      </c>
      <c r="I67" s="16"/>
      <c r="J67" s="16"/>
      <c r="K67" s="1"/>
    </row>
    <row r="68" spans="1:11" ht="13.05" customHeight="1">
      <c r="A68" s="1"/>
      <c r="B68" s="63" t="s">
        <v>196</v>
      </c>
      <c r="C68" s="63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63" t="s">
        <v>197</v>
      </c>
      <c r="C69" s="63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198</v>
      </c>
      <c r="B70" s="64" t="s">
        <v>199</v>
      </c>
      <c r="C70" s="64"/>
      <c r="D70" s="6" t="s">
        <v>200</v>
      </c>
      <c r="E70" s="6" t="s">
        <v>201</v>
      </c>
      <c r="F70" s="9">
        <v>500000</v>
      </c>
      <c r="G70" s="10">
        <v>480.66</v>
      </c>
      <c r="H70" s="11">
        <v>4.5999999999999999E-3</v>
      </c>
      <c r="I70" s="18">
        <v>5.9206000000000002E-2</v>
      </c>
      <c r="J70" s="12"/>
      <c r="K70" s="1"/>
    </row>
    <row r="71" spans="1:11" ht="13.05" customHeight="1">
      <c r="A71" s="1"/>
      <c r="B71" s="65" t="s">
        <v>187</v>
      </c>
      <c r="C71" s="65"/>
      <c r="D71" s="13"/>
      <c r="E71" s="13"/>
      <c r="F71" s="13"/>
      <c r="G71" s="14">
        <v>480.66</v>
      </c>
      <c r="H71" s="15">
        <v>4.5999999999999999E-3</v>
      </c>
      <c r="I71" s="16"/>
      <c r="J71" s="16"/>
      <c r="K71" s="1"/>
    </row>
    <row r="72" spans="1:11" ht="13.05" customHeight="1">
      <c r="A72" s="1"/>
      <c r="B72" s="65" t="s">
        <v>190</v>
      </c>
      <c r="C72" s="65"/>
      <c r="D72" s="17"/>
      <c r="E72" s="13"/>
      <c r="F72" s="17"/>
      <c r="G72" s="14">
        <v>480.66</v>
      </c>
      <c r="H72" s="15">
        <v>4.5999999999999999E-3</v>
      </c>
      <c r="I72" s="16"/>
      <c r="J72" s="16"/>
      <c r="K72" s="1"/>
    </row>
    <row r="73" spans="1:11" ht="13.05" customHeight="1">
      <c r="A73" s="1"/>
      <c r="B73" s="63" t="s">
        <v>202</v>
      </c>
      <c r="C73" s="63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8" t="s">
        <v>203</v>
      </c>
      <c r="B74" s="64" t="s">
        <v>204</v>
      </c>
      <c r="C74" s="64"/>
      <c r="D74" s="6"/>
      <c r="E74" s="6" t="s">
        <v>195</v>
      </c>
      <c r="F74" s="9"/>
      <c r="G74" s="10">
        <v>1960.34</v>
      </c>
      <c r="H74" s="11">
        <v>1.8800000000000001E-2</v>
      </c>
      <c r="I74" s="18">
        <v>0.16103455962252441</v>
      </c>
      <c r="J74" s="12"/>
      <c r="K74" s="1"/>
    </row>
    <row r="75" spans="1:11" ht="13.05" customHeight="1">
      <c r="A75" s="1"/>
      <c r="B75" s="65" t="s">
        <v>187</v>
      </c>
      <c r="C75" s="65"/>
      <c r="D75" s="13"/>
      <c r="E75" s="13"/>
      <c r="F75" s="13"/>
      <c r="G75" s="14">
        <v>1960.34</v>
      </c>
      <c r="H75" s="15">
        <v>1.8800000000000001E-2</v>
      </c>
      <c r="I75" s="16"/>
      <c r="J75" s="16"/>
      <c r="K75" s="1"/>
    </row>
    <row r="76" spans="1:11" ht="13.05" customHeight="1">
      <c r="A76" s="1"/>
      <c r="B76" s="65" t="s">
        <v>190</v>
      </c>
      <c r="C76" s="65"/>
      <c r="D76" s="17"/>
      <c r="E76" s="13"/>
      <c r="F76" s="17"/>
      <c r="G76" s="14">
        <v>1960.34</v>
      </c>
      <c r="H76" s="15">
        <v>1.8800000000000001E-2</v>
      </c>
      <c r="I76" s="16"/>
      <c r="J76" s="16"/>
      <c r="K76" s="1"/>
    </row>
    <row r="77" spans="1:11" ht="13.05" customHeight="1">
      <c r="A77" s="1"/>
      <c r="B77" s="65" t="s">
        <v>205</v>
      </c>
      <c r="C77" s="65"/>
      <c r="D77" s="6"/>
      <c r="E77" s="13"/>
      <c r="F77" s="6"/>
      <c r="G77" s="19">
        <v>718.19</v>
      </c>
      <c r="H77" s="15">
        <v>7.1000000000000004E-3</v>
      </c>
      <c r="I77" s="16"/>
      <c r="J77" s="16"/>
      <c r="K77" s="1"/>
    </row>
    <row r="78" spans="1:11" ht="13.05" customHeight="1" thickBot="1">
      <c r="A78" s="1"/>
      <c r="B78" s="66" t="s">
        <v>206</v>
      </c>
      <c r="C78" s="66"/>
      <c r="D78" s="20"/>
      <c r="E78" s="20"/>
      <c r="F78" s="20"/>
      <c r="G78" s="21">
        <v>104130.44</v>
      </c>
      <c r="H78" s="22">
        <v>1</v>
      </c>
      <c r="I78" s="23"/>
      <c r="J78" s="23"/>
      <c r="K78" s="1"/>
    </row>
    <row r="79" spans="1:11" ht="13.05" customHeight="1">
      <c r="A79" s="1"/>
      <c r="B79" s="62"/>
      <c r="C79" s="62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59"/>
      <c r="C80" s="59"/>
      <c r="D80" s="59"/>
      <c r="E80" s="59"/>
      <c r="F80" s="59"/>
      <c r="G80" s="59"/>
      <c r="H80" s="59"/>
      <c r="I80" s="59"/>
      <c r="J80" s="1"/>
      <c r="K80" s="1"/>
    </row>
    <row r="81" spans="1:11" ht="13.05" customHeight="1">
      <c r="A81" s="1"/>
      <c r="B81" s="59"/>
      <c r="C81" s="59"/>
      <c r="D81" s="59"/>
      <c r="E81" s="59"/>
      <c r="F81" s="59"/>
      <c r="G81" s="59"/>
      <c r="H81" s="59"/>
      <c r="I81" s="59"/>
      <c r="J81" s="1"/>
      <c r="K81" s="1"/>
    </row>
    <row r="82" spans="1:11" ht="13.05" customHeight="1">
      <c r="A82" s="1"/>
      <c r="B82" s="59" t="s">
        <v>195</v>
      </c>
      <c r="C82" s="59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59" t="s">
        <v>207</v>
      </c>
      <c r="C83" s="5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59" t="s">
        <v>208</v>
      </c>
      <c r="C84" s="59"/>
      <c r="D84" s="1"/>
      <c r="E84" s="1"/>
      <c r="F84" s="1"/>
      <c r="G84" s="1"/>
      <c r="H84" s="1"/>
      <c r="I84" s="1"/>
      <c r="J84" s="1"/>
      <c r="K84" s="1"/>
    </row>
    <row r="85" spans="1:11" ht="26.25" customHeight="1">
      <c r="A85" s="1"/>
      <c r="B85" s="59" t="s">
        <v>209</v>
      </c>
      <c r="C85" s="59"/>
      <c r="D85" s="59"/>
      <c r="E85" s="59"/>
      <c r="F85" s="59"/>
      <c r="G85" s="59"/>
      <c r="H85" s="59"/>
      <c r="I85" s="59"/>
      <c r="J85" s="1"/>
      <c r="K85" s="1"/>
    </row>
    <row r="86" spans="1:11" ht="13.05" customHeight="1">
      <c r="A86" s="1"/>
      <c r="B86" s="24" t="s">
        <v>210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60" t="s">
        <v>211</v>
      </c>
      <c r="C87" s="60"/>
      <c r="D87" s="25" t="s">
        <v>3</v>
      </c>
      <c r="E87" s="25" t="s">
        <v>212</v>
      </c>
      <c r="F87" s="25" t="s">
        <v>213</v>
      </c>
      <c r="G87" s="25" t="s">
        <v>214</v>
      </c>
      <c r="H87" s="25" t="s">
        <v>215</v>
      </c>
      <c r="I87" s="1"/>
      <c r="J87" s="1"/>
      <c r="K87" s="1"/>
    </row>
    <row r="88" spans="1:11" ht="13.05" customHeight="1">
      <c r="A88" s="1"/>
      <c r="B88" s="61" t="s">
        <v>216</v>
      </c>
      <c r="C88" s="61"/>
      <c r="D88" s="13" t="s">
        <v>217</v>
      </c>
      <c r="E88" s="13" t="s">
        <v>94</v>
      </c>
      <c r="F88" s="26">
        <v>1800</v>
      </c>
      <c r="G88" s="27">
        <v>209.07</v>
      </c>
      <c r="H88" s="28">
        <v>2E-3</v>
      </c>
      <c r="I88" s="1"/>
      <c r="J88" s="1"/>
      <c r="K88" s="1"/>
    </row>
    <row r="92" spans="1:11">
      <c r="B92" s="29" t="s">
        <v>218</v>
      </c>
      <c r="C92" s="30"/>
      <c r="D92" s="30"/>
      <c r="E92" s="31"/>
    </row>
    <row r="93" spans="1:11">
      <c r="B93" s="30" t="s">
        <v>219</v>
      </c>
      <c r="C93" s="30"/>
      <c r="D93" s="30"/>
      <c r="E93" s="31"/>
    </row>
    <row r="94" spans="1:11">
      <c r="B94" s="32" t="s">
        <v>220</v>
      </c>
      <c r="C94" s="30"/>
      <c r="D94" s="30"/>
      <c r="E94" s="31"/>
    </row>
    <row r="95" spans="1:11">
      <c r="B95" s="30" t="s">
        <v>221</v>
      </c>
      <c r="C95" s="30"/>
      <c r="D95" s="30"/>
      <c r="E95" s="31"/>
    </row>
    <row r="96" spans="1:11">
      <c r="B96" s="30" t="s">
        <v>222</v>
      </c>
      <c r="C96" s="30"/>
      <c r="D96" s="30"/>
      <c r="E96" s="31"/>
    </row>
    <row r="97" spans="2:5">
      <c r="B97" s="30" t="s">
        <v>223</v>
      </c>
      <c r="C97" s="33"/>
      <c r="D97" s="33"/>
      <c r="E97" s="33"/>
    </row>
    <row r="98" spans="2:5">
      <c r="B98" s="30" t="s">
        <v>224</v>
      </c>
      <c r="C98" s="30"/>
      <c r="D98" s="30"/>
      <c r="E98" s="31"/>
    </row>
    <row r="99" spans="2:5">
      <c r="B99" s="30" t="s">
        <v>225</v>
      </c>
      <c r="C99" s="30"/>
      <c r="D99" s="30"/>
      <c r="E99" s="31"/>
    </row>
    <row r="100" spans="2:5">
      <c r="B100" s="30" t="s">
        <v>226</v>
      </c>
      <c r="C100" s="30"/>
      <c r="D100" s="30"/>
      <c r="E100" s="31"/>
    </row>
    <row r="101" spans="2:5">
      <c r="B101" s="30" t="s">
        <v>227</v>
      </c>
      <c r="C101" s="30"/>
      <c r="D101" s="30"/>
      <c r="E101" s="31"/>
    </row>
    <row r="102" spans="2:5">
      <c r="B102" s="29" t="s">
        <v>228</v>
      </c>
      <c r="C102" s="29"/>
      <c r="D102" s="29" t="s">
        <v>229</v>
      </c>
      <c r="E102" s="29" t="s">
        <v>230</v>
      </c>
    </row>
    <row r="103" spans="2:5">
      <c r="B103" s="30" t="s">
        <v>231</v>
      </c>
      <c r="C103" s="30"/>
      <c r="D103" s="34">
        <v>12.476000000000001</v>
      </c>
      <c r="E103" s="34">
        <v>12.4587</v>
      </c>
    </row>
    <row r="104" spans="2:5">
      <c r="B104" s="30" t="s">
        <v>232</v>
      </c>
      <c r="C104" s="30"/>
      <c r="D104" s="34">
        <v>13.683400000000001</v>
      </c>
      <c r="E104" s="34">
        <v>13.664300000000001</v>
      </c>
    </row>
    <row r="105" spans="2:5">
      <c r="B105" s="30" t="s">
        <v>233</v>
      </c>
      <c r="C105" s="30"/>
      <c r="D105" s="34">
        <v>12.957100000000001</v>
      </c>
      <c r="E105" s="34">
        <v>12.950100000000001</v>
      </c>
    </row>
    <row r="106" spans="2:5">
      <c r="B106" s="30" t="s">
        <v>234</v>
      </c>
      <c r="C106" s="30"/>
      <c r="D106" s="34">
        <v>14.210100000000001</v>
      </c>
      <c r="E106" s="34">
        <v>14.202400000000001</v>
      </c>
    </row>
    <row r="107" spans="2:5">
      <c r="B107" s="30"/>
      <c r="C107" s="30"/>
      <c r="D107" s="30"/>
      <c r="E107" s="31"/>
    </row>
    <row r="108" spans="2:5">
      <c r="B108" s="30" t="s">
        <v>235</v>
      </c>
      <c r="C108" s="30"/>
      <c r="D108" s="30"/>
      <c r="E108" s="31"/>
    </row>
    <row r="109" spans="2:5">
      <c r="B109" t="s">
        <v>236</v>
      </c>
      <c r="C109" s="30"/>
      <c r="D109" s="30"/>
      <c r="E109" s="31"/>
    </row>
    <row r="110" spans="2:5">
      <c r="B110" s="30" t="s">
        <v>237</v>
      </c>
      <c r="C110" s="30"/>
      <c r="D110" s="30"/>
      <c r="E110" s="31"/>
    </row>
    <row r="111" spans="2:5">
      <c r="B111" s="30" t="s">
        <v>238</v>
      </c>
      <c r="C111" s="30"/>
      <c r="D111" s="30"/>
      <c r="E111" s="31"/>
    </row>
    <row r="112" spans="2:5">
      <c r="B112" s="30" t="s">
        <v>239</v>
      </c>
      <c r="C112" s="30"/>
      <c r="D112" s="30"/>
      <c r="E112" s="31"/>
    </row>
    <row r="113" spans="1:54">
      <c r="B113" s="30" t="s">
        <v>240</v>
      </c>
      <c r="C113" s="30"/>
      <c r="D113" s="30"/>
      <c r="E113" s="31"/>
    </row>
    <row r="114" spans="1:54">
      <c r="B114" s="30" t="s">
        <v>241</v>
      </c>
      <c r="C114" s="30"/>
      <c r="D114" s="30"/>
      <c r="E114" s="31"/>
    </row>
    <row r="115" spans="1:54">
      <c r="B115" s="30" t="s">
        <v>242</v>
      </c>
      <c r="C115" s="30"/>
      <c r="D115" s="30"/>
      <c r="E115" s="31"/>
    </row>
    <row r="116" spans="1:54">
      <c r="B116" s="30" t="s">
        <v>243</v>
      </c>
      <c r="C116" s="30"/>
      <c r="D116" s="30"/>
      <c r="E116" s="31"/>
    </row>
    <row r="117" spans="1:54">
      <c r="B117" s="30" t="s">
        <v>244</v>
      </c>
      <c r="C117" s="30"/>
      <c r="D117" s="30"/>
      <c r="E117" s="31"/>
    </row>
    <row r="118" spans="1:54">
      <c r="B118" s="30" t="s">
        <v>245</v>
      </c>
      <c r="C118" s="30"/>
      <c r="D118" s="30"/>
      <c r="E118" s="31"/>
    </row>
    <row r="119" spans="1:54">
      <c r="B119" s="30" t="s">
        <v>246</v>
      </c>
      <c r="C119" s="30"/>
      <c r="D119" s="30"/>
      <c r="E119" s="31"/>
    </row>
    <row r="120" spans="1:54">
      <c r="B120" s="30" t="s">
        <v>247</v>
      </c>
      <c r="C120" s="30"/>
      <c r="D120" s="30"/>
      <c r="E120" s="31"/>
    </row>
    <row r="122" spans="1:54">
      <c r="A122" t="s">
        <v>248</v>
      </c>
      <c r="B122" s="35" t="s">
        <v>249</v>
      </c>
      <c r="C122" s="36"/>
      <c r="D122" s="37"/>
      <c r="E122" s="37"/>
      <c r="F122" s="37"/>
      <c r="G122" s="37"/>
      <c r="H122" s="38"/>
      <c r="I122" s="38"/>
      <c r="J122" s="39"/>
      <c r="K122" s="39"/>
      <c r="L122" s="3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40"/>
      <c r="AD122" s="40"/>
      <c r="AE122" s="40"/>
      <c r="AF122" s="40"/>
      <c r="AG122" s="40"/>
      <c r="AH122" s="40"/>
      <c r="AI122" s="41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1"/>
      <c r="AW122" s="40"/>
      <c r="AX122" s="41"/>
      <c r="AY122" s="40"/>
      <c r="AZ122" s="40"/>
      <c r="BA122" s="40"/>
      <c r="BB122" s="41"/>
    </row>
    <row r="123" spans="1:54">
      <c r="B123" s="37"/>
      <c r="C123" s="37"/>
      <c r="D123" s="37"/>
      <c r="E123" s="37"/>
      <c r="F123" s="37"/>
      <c r="G123" s="37"/>
      <c r="H123" s="42"/>
      <c r="I123" s="42"/>
      <c r="J123" s="42"/>
      <c r="K123" s="39"/>
      <c r="L123" s="3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40"/>
      <c r="AD123" s="40"/>
      <c r="AE123" s="40"/>
      <c r="AF123" s="40"/>
      <c r="AG123" s="40"/>
      <c r="AH123" s="40"/>
      <c r="AI123" s="41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1"/>
      <c r="AW123" s="40"/>
      <c r="AX123" s="41"/>
      <c r="AY123" s="40"/>
      <c r="AZ123" s="40"/>
      <c r="BA123" s="40"/>
      <c r="BB123" s="41"/>
    </row>
    <row r="124" spans="1:54" ht="43.2">
      <c r="B124" s="43" t="s">
        <v>250</v>
      </c>
      <c r="C124" s="43" t="s">
        <v>251</v>
      </c>
      <c r="D124" s="44" t="s">
        <v>252</v>
      </c>
      <c r="E124" s="43" t="s">
        <v>253</v>
      </c>
      <c r="F124" s="43" t="s">
        <v>254</v>
      </c>
      <c r="G124" s="43" t="s">
        <v>255</v>
      </c>
      <c r="H124" s="42"/>
      <c r="I124" s="42"/>
      <c r="J124" s="42"/>
      <c r="K124" s="39"/>
      <c r="L124" s="3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40"/>
      <c r="AD124" s="40"/>
      <c r="AE124" s="40"/>
      <c r="AF124" s="40"/>
      <c r="AG124" s="40"/>
      <c r="AH124" s="40"/>
      <c r="AI124" s="41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1"/>
      <c r="AW124" s="40"/>
      <c r="AX124" s="41"/>
      <c r="AY124" s="40"/>
      <c r="AZ124" s="40"/>
      <c r="BA124" s="40"/>
      <c r="BB124" s="41"/>
    </row>
    <row r="125" spans="1:54">
      <c r="B125" s="45" t="s">
        <v>92</v>
      </c>
      <c r="C125" s="45" t="s">
        <v>216</v>
      </c>
      <c r="D125" s="46">
        <v>-36</v>
      </c>
      <c r="E125" s="47">
        <v>11556</v>
      </c>
      <c r="F125" s="47">
        <v>11615</v>
      </c>
      <c r="G125" s="48">
        <v>37.020000000000003</v>
      </c>
      <c r="H125" s="42"/>
      <c r="I125" s="42"/>
      <c r="J125" s="42"/>
      <c r="K125" s="39"/>
      <c r="L125" s="3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40"/>
      <c r="AD125" s="40"/>
      <c r="AE125" s="40"/>
      <c r="AF125" s="40"/>
      <c r="AG125" s="40"/>
      <c r="AH125" s="40"/>
      <c r="AI125" s="41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1"/>
      <c r="AW125" s="40"/>
      <c r="AX125" s="41"/>
      <c r="AY125" s="40"/>
      <c r="AZ125" s="40"/>
      <c r="BA125" s="40"/>
      <c r="BB125" s="41"/>
    </row>
    <row r="126" spans="1:54">
      <c r="H126" s="38"/>
      <c r="I126" s="38"/>
      <c r="J126" s="39"/>
      <c r="K126" s="39"/>
      <c r="L126" s="3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40"/>
      <c r="AD126" s="40"/>
      <c r="AE126" s="40"/>
      <c r="AF126" s="40"/>
      <c r="AG126" s="40"/>
      <c r="AH126" s="40"/>
      <c r="AI126" s="41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1"/>
      <c r="AW126" s="40"/>
      <c r="AX126" s="41"/>
      <c r="AY126" s="40"/>
      <c r="AZ126" s="40"/>
      <c r="BA126" s="40"/>
      <c r="BB126" s="41"/>
    </row>
    <row r="127" spans="1:54">
      <c r="B127" t="s">
        <v>256</v>
      </c>
      <c r="H127" s="38"/>
      <c r="I127" s="38"/>
      <c r="J127" s="39"/>
      <c r="K127" s="39"/>
      <c r="L127" s="3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40"/>
      <c r="AD127" s="40"/>
      <c r="AE127" s="40"/>
      <c r="AF127" s="40"/>
      <c r="AG127" s="40"/>
      <c r="AH127" s="40"/>
      <c r="AI127" s="41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1"/>
      <c r="AW127" s="40"/>
      <c r="AX127" s="41"/>
      <c r="AY127" s="40"/>
      <c r="AZ127" s="40"/>
      <c r="BA127" s="40"/>
      <c r="BB127" s="41"/>
    </row>
    <row r="128" spans="1:54">
      <c r="B128" t="s">
        <v>257</v>
      </c>
      <c r="H128" s="38"/>
      <c r="I128" s="38"/>
      <c r="J128" s="39"/>
      <c r="K128" s="39"/>
      <c r="L128" s="3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40"/>
      <c r="AD128" s="40"/>
      <c r="AE128" s="40"/>
      <c r="AF128" s="40"/>
      <c r="AG128" s="40"/>
      <c r="AH128" s="40"/>
      <c r="AI128" s="41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1"/>
      <c r="AW128" s="40"/>
      <c r="AX128" s="41"/>
      <c r="AY128" s="40"/>
      <c r="AZ128" s="40"/>
      <c r="BA128" s="40"/>
      <c r="BB128" s="41"/>
    </row>
    <row r="129" spans="1:54" ht="48">
      <c r="B129" s="49" t="s">
        <v>258</v>
      </c>
      <c r="C129" s="49" t="s">
        <v>259</v>
      </c>
      <c r="D129" s="49" t="s">
        <v>260</v>
      </c>
      <c r="E129" s="49" t="s">
        <v>261</v>
      </c>
      <c r="F129" s="49" t="s">
        <v>262</v>
      </c>
      <c r="H129" s="38"/>
      <c r="I129" s="38"/>
      <c r="J129" s="39"/>
      <c r="K129" s="39"/>
      <c r="L129" s="3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40"/>
      <c r="AD129" s="40"/>
      <c r="AE129" s="40"/>
      <c r="AF129" s="40"/>
      <c r="AG129" s="40"/>
      <c r="AH129" s="40"/>
      <c r="AI129" s="41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1"/>
      <c r="AW129" s="40"/>
      <c r="AX129" s="41"/>
      <c r="AY129" s="40"/>
      <c r="AZ129" s="40"/>
      <c r="BA129" s="40"/>
      <c r="BB129" s="41"/>
    </row>
    <row r="130" spans="1:54">
      <c r="B130" s="50">
        <v>36</v>
      </c>
      <c r="C130" s="50">
        <v>0</v>
      </c>
      <c r="D130" s="50">
        <v>20676600</v>
      </c>
      <c r="E130" s="50">
        <v>0</v>
      </c>
      <c r="F130" s="50">
        <v>676400</v>
      </c>
      <c r="H130" s="51"/>
      <c r="I130" s="51"/>
      <c r="J130" s="39"/>
      <c r="K130" s="39"/>
      <c r="L130" s="3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40"/>
      <c r="AD130" s="40"/>
      <c r="AE130" s="40"/>
      <c r="AF130" s="40"/>
      <c r="AG130" s="40"/>
      <c r="AH130" s="40"/>
      <c r="AI130" s="41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1"/>
      <c r="AW130" s="40"/>
      <c r="AX130" s="41"/>
      <c r="AY130" s="40"/>
      <c r="AZ130" s="40"/>
      <c r="BA130" s="40"/>
      <c r="BB130" s="41"/>
    </row>
    <row r="131" spans="1:54">
      <c r="H131" s="38"/>
      <c r="I131" s="38"/>
      <c r="J131" s="39"/>
      <c r="K131" s="39"/>
      <c r="L131" s="3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40"/>
      <c r="AD131" s="40"/>
      <c r="AE131" s="40"/>
      <c r="AF131" s="40"/>
      <c r="AG131" s="40"/>
      <c r="AH131" s="40"/>
      <c r="AI131" s="41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1"/>
      <c r="AW131" s="40"/>
      <c r="AX131" s="41"/>
      <c r="AY131" s="40"/>
      <c r="AZ131" s="40"/>
      <c r="BA131" s="40"/>
      <c r="BB131" s="41"/>
    </row>
    <row r="132" spans="1:54">
      <c r="A132" t="s">
        <v>263</v>
      </c>
      <c r="B132" s="35" t="s">
        <v>264</v>
      </c>
      <c r="H132" s="38"/>
      <c r="I132" s="38"/>
      <c r="J132" s="39"/>
      <c r="K132" s="39"/>
      <c r="L132" s="3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40"/>
      <c r="AD132" s="40"/>
      <c r="AE132" s="40"/>
      <c r="AF132" s="40"/>
      <c r="AG132" s="40"/>
      <c r="AH132" s="40"/>
      <c r="AI132" s="41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1"/>
      <c r="AW132" s="40"/>
      <c r="AX132" s="41"/>
      <c r="AY132" s="40"/>
      <c r="AZ132" s="40"/>
      <c r="BA132" s="40"/>
      <c r="BB132" s="41"/>
    </row>
    <row r="133" spans="1:54" ht="43.2">
      <c r="B133" s="43" t="s">
        <v>250</v>
      </c>
      <c r="C133" s="43" t="s">
        <v>251</v>
      </c>
      <c r="D133" s="44" t="s">
        <v>252</v>
      </c>
      <c r="E133" s="43" t="s">
        <v>253</v>
      </c>
      <c r="F133" s="43" t="s">
        <v>254</v>
      </c>
      <c r="G133" s="43" t="s">
        <v>255</v>
      </c>
      <c r="H133" s="38"/>
      <c r="I133" s="38"/>
      <c r="J133" s="39"/>
      <c r="K133" s="39"/>
      <c r="L133" s="3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40"/>
      <c r="AD133" s="40"/>
      <c r="AE133" s="40"/>
      <c r="AF133" s="40"/>
      <c r="AG133" s="40"/>
      <c r="AH133" s="40"/>
      <c r="AI133" s="41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1"/>
      <c r="AW133" s="40"/>
      <c r="AX133" s="41"/>
      <c r="AY133" s="40"/>
      <c r="AZ133" s="40"/>
      <c r="BA133" s="40"/>
      <c r="BB133" s="41"/>
    </row>
    <row r="134" spans="1:54">
      <c r="B134" s="52"/>
      <c r="C134" s="53"/>
      <c r="D134" s="53"/>
      <c r="E134" s="53"/>
      <c r="F134" s="53"/>
      <c r="G134" s="54"/>
      <c r="H134" s="42"/>
      <c r="I134" s="42"/>
      <c r="J134" s="42"/>
      <c r="K134" s="39"/>
      <c r="L134" s="3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40"/>
      <c r="AD134" s="40"/>
      <c r="AE134" s="40"/>
      <c r="AF134" s="40"/>
      <c r="AG134" s="40"/>
      <c r="AH134" s="40"/>
      <c r="AI134" s="41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1"/>
      <c r="AW134" s="40"/>
      <c r="AX134" s="41"/>
      <c r="AY134" s="40"/>
      <c r="AZ134" s="40"/>
      <c r="BA134" s="40"/>
      <c r="BB134" s="41"/>
    </row>
    <row r="135" spans="1:54">
      <c r="D135" s="55"/>
      <c r="E135" s="56"/>
      <c r="F135" s="56"/>
      <c r="G135" s="57"/>
      <c r="H135" s="42"/>
      <c r="I135" s="42"/>
      <c r="J135" s="42"/>
      <c r="K135" s="39"/>
      <c r="L135" s="3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40"/>
      <c r="AD135" s="40"/>
      <c r="AE135" s="40"/>
      <c r="AF135" s="40"/>
      <c r="AG135" s="40"/>
      <c r="AH135" s="40"/>
      <c r="AI135" s="41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1"/>
      <c r="AW135" s="40"/>
      <c r="AX135" s="41"/>
      <c r="AY135" s="40"/>
      <c r="AZ135" s="40"/>
      <c r="BA135" s="40"/>
      <c r="BB135" s="41"/>
    </row>
    <row r="136" spans="1:54">
      <c r="B136" t="s">
        <v>265</v>
      </c>
    </row>
    <row r="137" spans="1:54">
      <c r="B137" t="s">
        <v>266</v>
      </c>
    </row>
    <row r="138" spans="1:54" ht="48">
      <c r="B138" s="49" t="s">
        <v>258</v>
      </c>
      <c r="C138" s="49" t="s">
        <v>259</v>
      </c>
      <c r="D138" s="49" t="s">
        <v>260</v>
      </c>
      <c r="E138" s="49" t="s">
        <v>261</v>
      </c>
      <c r="F138" s="49" t="s">
        <v>267</v>
      </c>
    </row>
    <row r="139" spans="1:54">
      <c r="B139" s="50">
        <v>387</v>
      </c>
      <c r="C139" s="50">
        <v>459</v>
      </c>
      <c r="D139" s="50">
        <v>201533253</v>
      </c>
      <c r="E139" s="50">
        <v>331781807</v>
      </c>
      <c r="F139" s="50">
        <v>4806554</v>
      </c>
    </row>
    <row r="141" spans="1:54">
      <c r="A141" t="s">
        <v>268</v>
      </c>
      <c r="B141" s="35" t="s">
        <v>269</v>
      </c>
    </row>
    <row r="142" spans="1:54">
      <c r="B142" t="s">
        <v>270</v>
      </c>
    </row>
    <row r="143" spans="1:54" ht="14.55" customHeight="1">
      <c r="B143" t="s">
        <v>271</v>
      </c>
      <c r="C143" s="58"/>
      <c r="D143" s="58"/>
      <c r="E143" s="58"/>
    </row>
    <row r="145" spans="1:2">
      <c r="A145" t="s">
        <v>272</v>
      </c>
      <c r="B145" s="35" t="s">
        <v>273</v>
      </c>
    </row>
    <row r="146" spans="1:2">
      <c r="B146" t="s">
        <v>274</v>
      </c>
    </row>
    <row r="147" spans="1:2">
      <c r="B147" t="s">
        <v>275</v>
      </c>
    </row>
    <row r="149" spans="1:2">
      <c r="A149" t="s">
        <v>276</v>
      </c>
      <c r="B149" s="35" t="s">
        <v>277</v>
      </c>
    </row>
    <row r="170" spans="2:2">
      <c r="B170" t="s">
        <v>278</v>
      </c>
    </row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5:I85"/>
    <mergeCell ref="B87:C87"/>
    <mergeCell ref="B88:C88"/>
    <mergeCell ref="B79:C79"/>
    <mergeCell ref="B80:I80"/>
    <mergeCell ref="B81:I81"/>
    <mergeCell ref="B82:C82"/>
    <mergeCell ref="B83:C83"/>
    <mergeCell ref="B84:C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2026-06-07T11:07:49Z</dcterms:created>
  <dcterms:modified xsi:type="dcterms:W3CDTF">2026-06-09T09:57:21Z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2026-06-07T11:07:49Z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60328693-a4d2-4ca4-998c-d0d98ff2319c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