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IC" sheetId="1" r:id="rId1"/>
  </sheets>
  <externalReferences>
    <externalReference r:id="rId2"/>
  </externalReferences>
  <definedNames>
    <definedName name="XDO_?CLASS_3?14?">IC!$C$8:$C$51</definedName>
    <definedName name="XDO_?FINAL_ISIN?66?">IC!$D$10:$D$51</definedName>
    <definedName name="XDO_?FINAL_ISIN?67?">IC!$D$10:$D$76</definedName>
    <definedName name="XDO_?FINAL_ISIN?68?">IC!$D$10:$D$91</definedName>
    <definedName name="XDO_?FINAL_ISIN?69?">IC!$D$10:$D$95</definedName>
    <definedName name="XDO_?FINAL_MV?66?">IC!$G$10:$G$51</definedName>
    <definedName name="XDO_?FINAL_MV?67?">IC!$G$10:$G$76</definedName>
    <definedName name="XDO_?FINAL_MV?68?">IC!$G$10:$G$91</definedName>
    <definedName name="XDO_?FINAL_MV?69?">IC!$G$10:$G$95</definedName>
    <definedName name="XDO_?FINAL_NAME?66?">IC!$C$10:$C$51</definedName>
    <definedName name="XDO_?FINAL_NAME?67?">IC!$C$10:$C$76</definedName>
    <definedName name="XDO_?FINAL_NAME?68?">IC!$C$10:$C$91</definedName>
    <definedName name="XDO_?FINAL_NAME?69?">IC!$C$10:$C$95</definedName>
    <definedName name="XDO_?FINAL_PER_NET?66?">IC!$H$10:$H$51</definedName>
    <definedName name="XDO_?FINAL_PER_NET?67?">IC!$H$10:$H$76</definedName>
    <definedName name="XDO_?FINAL_PER_NET?68?">IC!$H$10:$H$91</definedName>
    <definedName name="XDO_?FINAL_PER_NET?69?">IC!$H$10:$H$95</definedName>
    <definedName name="XDO_?FINAL_QUANTITE?66?">IC!$F$10:$F$51</definedName>
    <definedName name="XDO_?FINAL_QUANTITE?67?">IC!$F$10:$F$76</definedName>
    <definedName name="XDO_?FINAL_QUANTITE?68?">IC!$F$10:$F$91</definedName>
    <definedName name="XDO_?FINAL_QUANTITE?69?">IC!$F$10:$F$95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IC!$C$2:$C$51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6?">IC!$B$10:$B$51</definedName>
    <definedName name="XDO_?NOVAL?67?">IC!$B$10:$B$76</definedName>
    <definedName name="XDO_?NOVAL?68?">IC!$B$10:$B$91</definedName>
    <definedName name="XDO_?NOVAL?69?">IC!$B$10:$B$95</definedName>
    <definedName name="XDO_?NPTF?14?">IC!$D$2:$D$51</definedName>
    <definedName name="XDO_?RATING?66?">IC!$E$10:$E$51</definedName>
    <definedName name="XDO_?RATING?67?">IC!$E$10:$E$76</definedName>
    <definedName name="XDO_?RATING?68?">IC!$E$10:$E$91</definedName>
    <definedName name="XDO_?RATING?69?">IC!$E$10:$E$95</definedName>
    <definedName name="XDO_?REMARKS?66?">IC!$K$10:$K$51</definedName>
    <definedName name="XDO_?REMARKS?67?">IC!$K$10:$K$76</definedName>
    <definedName name="XDO_?REMARKS?68?">IC!$K$10:$K$91</definedName>
    <definedName name="XDO_?REMARKS?69?">IC!$K$10:$K$95</definedName>
    <definedName name="XDO_?TITL?14?">IC!$A$8:$A$51</definedName>
    <definedName name="XDO_?YTM?66?">IC!$I$10:$I$51</definedName>
    <definedName name="XDO_?YTM?67?">IC!$I$10:$I$76</definedName>
    <definedName name="XDO_?YTM?68?">IC!$I$10:$I$91</definedName>
    <definedName name="XDO_?YTM?69?">IC!$I$10:$I$95</definedName>
    <definedName name="XDO_GROUP_?G_2?14?">IC!$2:$67</definedName>
    <definedName name="XDO_GROUP_?G_3?14?">IC!$8:$66</definedName>
    <definedName name="XDO_GROUP_?G_4?41?">[1]TA!#REF!</definedName>
    <definedName name="XDO_GROUP_?G_4?66?">IC!$B$10:$IV$51</definedName>
    <definedName name="XDO_GROUP_?G_4?67?">IC!$B$56:$IV$56</definedName>
    <definedName name="XDO_GROUP_?G_4?68?">IC!$B$59:$IV$59</definedName>
    <definedName name="XDO_GROUP_?G_4?69?">IC!$B$64:$IV$64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" l="1"/>
</calcChain>
</file>

<file path=xl/sharedStrings.xml><?xml version="1.0" encoding="utf-8"?>
<sst xmlns="http://schemas.openxmlformats.org/spreadsheetml/2006/main" count="274" uniqueCount="218">
  <si>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</si>
  <si>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</si>
  <si>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</si>
  <si>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</si>
  <si>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</si>
  <si>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</si>
  <si>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</si>
  <si>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</si>
  <si>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</si>
  <si>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</si>
  <si>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</si>
  <si>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</si>
  <si>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</si>
  <si>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</si>
  <si>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</si>
  <si>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</si>
  <si>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</si>
  <si>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</si>
  <si>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</si>
  <si>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</si>
  <si>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</si>
  <si>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</si>
  <si>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</si>
  <si>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</si>
  <si>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100081</t>
  </si>
  <si>
    <t>Titan Company Ltd.</t>
  </si>
  <si>
    <t>INE280A01028</t>
  </si>
  <si>
    <t>Consumer Durables</t>
  </si>
  <si>
    <t>100099</t>
  </si>
  <si>
    <t>Hindustan Unilever Ltd.</t>
  </si>
  <si>
    <t>INE030A01027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</si>
  <si>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</si>
  <si>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</si>
  <si>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</si>
  <si>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</si>
  <si>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</si>
  <si>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</si>
  <si>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</si>
  <si>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</si>
  <si>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</si>
  <si>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</si>
  <si>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</si>
  <si>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100050</t>
  </si>
  <si>
    <t>Trent Ltd.</t>
  </si>
  <si>
    <t>INE849A01020</t>
  </si>
  <si>
    <t>Retailing</t>
  </si>
  <si>
    <t>100157</t>
  </si>
  <si>
    <t>Godrej Consumer Products Ltd.</t>
  </si>
  <si>
    <t>INE102D01028</t>
  </si>
  <si>
    <t>Personal Products</t>
  </si>
  <si>
    <t>100280</t>
  </si>
  <si>
    <t>TVS Motor Company Ltd.</t>
  </si>
  <si>
    <t>INE494B01023</t>
  </si>
  <si>
    <t>100173</t>
  </si>
  <si>
    <t>Asian Paints Ltd.</t>
  </si>
  <si>
    <t>INE021A01026</t>
  </si>
  <si>
    <t>100006</t>
  </si>
  <si>
    <t>HDFC Bank Ltd.</t>
  </si>
  <si>
    <t>INE040A01034</t>
  </si>
  <si>
    <t>Banks</t>
  </si>
  <si>
    <t>100519</t>
  </si>
  <si>
    <t>Westlife Foodworld Ltd.</t>
  </si>
  <si>
    <t>INE274F01020</t>
  </si>
  <si>
    <t>Leisure Services</t>
  </si>
  <si>
    <t>100363</t>
  </si>
  <si>
    <t>Procter &amp; Gamble Hygiene and Health Care Ltd.</t>
  </si>
  <si>
    <t>INE179A01014</t>
  </si>
  <si>
    <t>100222</t>
  </si>
  <si>
    <t>The Indian Hotels Company Ltd.</t>
  </si>
  <si>
    <t>INE053A01029</t>
  </si>
  <si>
    <t>100126</t>
  </si>
  <si>
    <t>Britannia Industries Ltd.</t>
  </si>
  <si>
    <t>INE216A01030</t>
  </si>
  <si>
    <t>100505</t>
  </si>
  <si>
    <t>ICICI Prudential Life Insurance Company Ltd.</t>
  </si>
  <si>
    <t>INE726G01019</t>
  </si>
  <si>
    <t>Insurance</t>
  </si>
  <si>
    <t>100020</t>
  </si>
  <si>
    <t>Tata Consumer Products Ltd.</t>
  </si>
  <si>
    <t>INE192A01025</t>
  </si>
  <si>
    <t>Agricultural Food &amp; other Products</t>
  </si>
  <si>
    <t>100902</t>
  </si>
  <si>
    <t>Jtekt India Ltd.</t>
  </si>
  <si>
    <t>INE643A01035</t>
  </si>
  <si>
    <t>Auto Components</t>
  </si>
  <si>
    <t>101313</t>
  </si>
  <si>
    <t>Zomato Ltd.</t>
  </si>
  <si>
    <t>INE758T01015</t>
  </si>
  <si>
    <t>101433</t>
  </si>
  <si>
    <t>Metro Brands Ltd.</t>
  </si>
  <si>
    <t>INE317I01021</t>
  </si>
  <si>
    <t>100012</t>
  </si>
  <si>
    <t>ICICI Bank Ltd.</t>
  </si>
  <si>
    <t>INE090A01021</t>
  </si>
  <si>
    <t>100706</t>
  </si>
  <si>
    <t>HDFC Life Insurance Company Ltd.</t>
  </si>
  <si>
    <t>INE795G01014</t>
  </si>
  <si>
    <t>100421</t>
  </si>
  <si>
    <t>Dabur India Ltd.</t>
  </si>
  <si>
    <t>INE016A01026</t>
  </si>
  <si>
    <t>100289</t>
  </si>
  <si>
    <t>Shoppers Stop Ltd.</t>
  </si>
  <si>
    <t>INE498B01024</t>
  </si>
  <si>
    <t>100105</t>
  </si>
  <si>
    <t>Marico Ltd.</t>
  </si>
  <si>
    <t>INE196A01026</t>
  </si>
  <si>
    <t>101213</t>
  </si>
  <si>
    <t>Mrs. Bectors Food Specialities Ltd.</t>
  </si>
  <si>
    <t>INE495P01012</t>
  </si>
  <si>
    <t>100128</t>
  </si>
  <si>
    <t>Eicher Motors Ltd.</t>
  </si>
  <si>
    <t>INE066A01021</t>
  </si>
  <si>
    <t>100814</t>
  </si>
  <si>
    <t>HDFC Asset Management Co. Ltd.</t>
  </si>
  <si>
    <t>INE127D01025</t>
  </si>
  <si>
    <t>Capital Markets</t>
  </si>
  <si>
    <t>100335</t>
  </si>
  <si>
    <t>Kajaria Ceramics Ltd.</t>
  </si>
  <si>
    <t>INE217B01036</t>
  </si>
  <si>
    <t>100223</t>
  </si>
  <si>
    <t>United Spirits Ltd.</t>
  </si>
  <si>
    <t>INE854D01024</t>
  </si>
  <si>
    <t>Beverages</t>
  </si>
  <si>
    <t>100068</t>
  </si>
  <si>
    <t>Kansai Nerolac Paints Ltd.</t>
  </si>
  <si>
    <t>INE531A01024</t>
  </si>
  <si>
    <t>100821</t>
  </si>
  <si>
    <t>TTK Prestige Ltd.</t>
  </si>
  <si>
    <t>INE690A01028</t>
  </si>
  <si>
    <t>100047</t>
  </si>
  <si>
    <t>Emami Ltd.</t>
  </si>
  <si>
    <t>INE548C01032</t>
  </si>
  <si>
    <t>100125</t>
  </si>
  <si>
    <t>Bajaj Finance Ltd.</t>
  </si>
  <si>
    <t>INE296A01024</t>
  </si>
  <si>
    <t>Finance</t>
  </si>
  <si>
    <t>100138</t>
  </si>
  <si>
    <t>PVR Inox Ltd.</t>
  </si>
  <si>
    <t>INE191H01014</t>
  </si>
  <si>
    <t>Entertainment</t>
  </si>
  <si>
    <t>100179</t>
  </si>
  <si>
    <t>Hero MotoCorp Ltd.</t>
  </si>
  <si>
    <t>INE158A01026</t>
  </si>
  <si>
    <t>100039</t>
  </si>
  <si>
    <t>Bajaj Auto Ltd.</t>
  </si>
  <si>
    <t>INE917I01010</t>
  </si>
  <si>
    <t>100227</t>
  </si>
  <si>
    <t>Jubilant Foodworks Ltd.</t>
  </si>
  <si>
    <t>INE797F01020</t>
  </si>
  <si>
    <t>100121</t>
  </si>
  <si>
    <t>United Breweries Ltd.</t>
  </si>
  <si>
    <t>INE686F01025</t>
  </si>
  <si>
    <t>100830</t>
  </si>
  <si>
    <t>Varun Beverages Ltd.</t>
  </si>
  <si>
    <t>INE200M01021</t>
  </si>
  <si>
    <t>100144</t>
  </si>
  <si>
    <t>Voltas Ltd.</t>
  </si>
  <si>
    <t>INE226A01021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</si>
  <si>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</si>
  <si>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</si>
  <si>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</si>
  <si>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</si>
  <si>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</si>
  <si>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</si>
  <si>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</si>
  <si>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</si>
  <si>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</si>
  <si>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</si>
  <si>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</si>
  <si>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</si>
  <si>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</si>
  <si>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</si>
  <si>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</si>
  <si>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</si>
  <si>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</si>
  <si>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</si>
  <si>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</si>
  <si>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</si>
  <si>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</si>
  <si>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</si>
  <si>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</si>
  <si>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</si>
  <si>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</si>
  <si>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</si>
  <si>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</si>
  <si>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</si>
  <si>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</si>
  <si>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</si>
  <si>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</si>
  <si>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</si>
  <si>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</si>
  <si>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</si>
  <si>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</si>
  <si>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</si>
  <si>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</si>
  <si>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</si>
  <si>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</si>
  <si>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</si>
  <si>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</si>
  <si>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</si>
  <si>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</si>
  <si>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</si>
  <si>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</si>
  <si>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</si>
  <si>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</si>
  <si>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</si>
  <si>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made in derivative instruments and no such derivative instrument was squared off/ expired /exercised during the Month ended July 31, 2023. Further there are no investments in derivative instruments as on July 31, 2023.</t>
  </si>
  <si>
    <t>(10) Total Market value of investments in Foreign Securities/American Depositary Receipts/Global Depositary Receipts as at  July 31, 2023 is Rs. Nil.</t>
  </si>
  <si>
    <t>(11)  During the period, the portfolio turnover ratio is  0.04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</si>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</sst>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5</xdr:col>
      <xdr:colOff>502920</xdr:colOff>
      <xdr:row>149</xdr:row>
      <xdr:rowOff>152400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3073360"/>
          <a:ext cx="7452360" cy="332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1"/>
  <sheetViews>
    <sheetView showGridLines="0" tabSelected="1" zoomScale="90" zoomScaleNormal="90" workbookViewId="0">
      <pane ySplit="6" topLeftCell="A128" activePane="bottomLeft" state="frozen"/>
      <selection activeCell="I2" sqref="I2"/>
      <selection pane="bottomLeft" activeCell="I142" sqref="I14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2000000</v>
      </c>
      <c r="G10" s="34">
        <v>9314</v>
      </c>
      <c r="H10" s="34">
        <v>8.9700000000000006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700000</v>
      </c>
      <c r="G11" s="34">
        <v>6229.3</v>
      </c>
      <c r="H11" s="34">
        <v>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180000</v>
      </c>
      <c r="G12" s="34">
        <v>5407.29</v>
      </c>
      <c r="H12" s="34">
        <v>5.21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19</v>
      </c>
      <c r="F13" s="33">
        <v>200000</v>
      </c>
      <c r="G13" s="34">
        <v>5121.6000000000004</v>
      </c>
      <c r="H13" s="34">
        <v>4.93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22500</v>
      </c>
      <c r="G14" s="34">
        <v>5074.49</v>
      </c>
      <c r="H14" s="34">
        <v>4.88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48500</v>
      </c>
      <c r="G15" s="34">
        <v>4763.0600000000004</v>
      </c>
      <c r="H15" s="34">
        <v>4.59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300000</v>
      </c>
      <c r="G16" s="34">
        <v>4425.6000000000004</v>
      </c>
      <c r="H16" s="34">
        <v>4.26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250000</v>
      </c>
      <c r="G17" s="34">
        <v>4392.75</v>
      </c>
      <c r="H17" s="34">
        <v>4.2300000000000004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365000</v>
      </c>
      <c r="G18" s="34">
        <v>3781.22</v>
      </c>
      <c r="H18" s="34">
        <v>3.64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38</v>
      </c>
      <c r="F19" s="33">
        <v>270000</v>
      </c>
      <c r="G19" s="34">
        <v>3717.09</v>
      </c>
      <c r="H19" s="34">
        <v>3.58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27</v>
      </c>
      <c r="F20" s="33">
        <v>110000</v>
      </c>
      <c r="G20" s="34">
        <v>3715.09</v>
      </c>
      <c r="H20" s="34">
        <v>3.58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146160</v>
      </c>
      <c r="G21" s="34">
        <v>2413.39</v>
      </c>
      <c r="H21" s="34">
        <v>2.3199999999999998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242600</v>
      </c>
      <c r="G22" s="34">
        <v>2271.1</v>
      </c>
      <c r="H22" s="34">
        <v>2.19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49</v>
      </c>
      <c r="F23" s="33">
        <v>13000</v>
      </c>
      <c r="G23" s="34">
        <v>2049.27</v>
      </c>
      <c r="H23" s="34">
        <v>1.97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63</v>
      </c>
      <c r="F24" s="33">
        <v>500000</v>
      </c>
      <c r="G24" s="34">
        <v>1975.5</v>
      </c>
      <c r="H24" s="34">
        <v>1.9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34</v>
      </c>
      <c r="F25" s="33">
        <v>40000</v>
      </c>
      <c r="G25" s="34">
        <v>1917.58</v>
      </c>
      <c r="H25" s="34">
        <v>1.85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300000</v>
      </c>
      <c r="G26" s="34">
        <v>1738.5</v>
      </c>
      <c r="H26" s="34">
        <v>1.67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200000</v>
      </c>
      <c r="G27" s="34">
        <v>1718.6</v>
      </c>
      <c r="H27" s="34">
        <v>1.65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1063670</v>
      </c>
      <c r="G28" s="34">
        <v>1638.58</v>
      </c>
      <c r="H28" s="34">
        <v>1.58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45</v>
      </c>
      <c r="F29" s="33">
        <v>1900000</v>
      </c>
      <c r="G29" s="34">
        <v>1597.9</v>
      </c>
      <c r="H29" s="34">
        <v>1.54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27</v>
      </c>
      <c r="F30" s="33">
        <v>150000</v>
      </c>
      <c r="G30" s="34">
        <v>1551</v>
      </c>
      <c r="H30" s="34">
        <v>1.49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59</v>
      </c>
      <c r="F31" s="33">
        <v>150000</v>
      </c>
      <c r="G31" s="34">
        <v>1497.45</v>
      </c>
      <c r="H31" s="34">
        <v>1.44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76</v>
      </c>
      <c r="F32" s="33">
        <v>230000</v>
      </c>
      <c r="G32" s="34">
        <v>1487.76</v>
      </c>
      <c r="H32" s="34">
        <v>1.43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49</v>
      </c>
      <c r="F33" s="33">
        <v>250000</v>
      </c>
      <c r="G33" s="34">
        <v>1439</v>
      </c>
      <c r="H33" s="34">
        <v>1.39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45</v>
      </c>
      <c r="F34" s="33">
        <v>180000</v>
      </c>
      <c r="G34" s="34">
        <v>1435.32</v>
      </c>
      <c r="H34" s="34">
        <v>1.38</v>
      </c>
      <c r="I34" s="35"/>
      <c r="J34" s="35"/>
      <c r="K34" s="36"/>
    </row>
    <row r="35" spans="2:11" x14ac:dyDescent="0.3">
      <c r="B35" s="1" t="s">
        <v>103</v>
      </c>
      <c r="C35" s="21" t="s">
        <v>104</v>
      </c>
      <c r="D35" s="31" t="s">
        <v>105</v>
      </c>
      <c r="E35" s="32" t="s">
        <v>80</v>
      </c>
      <c r="F35" s="33">
        <v>250000</v>
      </c>
      <c r="G35" s="34">
        <v>1401.38</v>
      </c>
      <c r="H35" s="34">
        <v>1.35</v>
      </c>
      <c r="I35" s="35"/>
      <c r="J35" s="35"/>
      <c r="K35" s="36"/>
    </row>
    <row r="36" spans="2:11" x14ac:dyDescent="0.3">
      <c r="B36" s="1" t="s">
        <v>106</v>
      </c>
      <c r="C36" s="21" t="s">
        <v>107</v>
      </c>
      <c r="D36" s="31" t="s">
        <v>108</v>
      </c>
      <c r="E36" s="32" t="s">
        <v>34</v>
      </c>
      <c r="F36" s="33">
        <v>150000</v>
      </c>
      <c r="G36" s="34">
        <v>1378.05</v>
      </c>
      <c r="H36" s="34">
        <v>1.33</v>
      </c>
      <c r="I36" s="35"/>
      <c r="J36" s="35"/>
      <c r="K36" s="36"/>
    </row>
    <row r="37" spans="2:11" x14ac:dyDescent="0.3">
      <c r="B37" s="1" t="s">
        <v>109</v>
      </c>
      <c r="C37" s="21" t="s">
        <v>110</v>
      </c>
      <c r="D37" s="31" t="s">
        <v>111</v>
      </c>
      <c r="E37" s="32" t="s">
        <v>38</v>
      </c>
      <c r="F37" s="33">
        <v>40000</v>
      </c>
      <c r="G37" s="34">
        <v>1346.2</v>
      </c>
      <c r="H37" s="34">
        <v>1.3</v>
      </c>
      <c r="I37" s="35"/>
      <c r="J37" s="35"/>
      <c r="K37" s="36"/>
    </row>
    <row r="38" spans="2:11" x14ac:dyDescent="0.3">
      <c r="B38" s="1" t="s">
        <v>112</v>
      </c>
      <c r="C38" s="21" t="s">
        <v>113</v>
      </c>
      <c r="D38" s="31" t="s">
        <v>114</v>
      </c>
      <c r="E38" s="32" t="s">
        <v>115</v>
      </c>
      <c r="F38" s="33">
        <v>50000</v>
      </c>
      <c r="G38" s="34">
        <v>1267</v>
      </c>
      <c r="H38" s="34">
        <v>1.22</v>
      </c>
      <c r="I38" s="35"/>
      <c r="J38" s="35"/>
      <c r="K38" s="36"/>
    </row>
    <row r="39" spans="2:11" x14ac:dyDescent="0.3">
      <c r="B39" s="1" t="s">
        <v>116</v>
      </c>
      <c r="C39" s="21" t="s">
        <v>117</v>
      </c>
      <c r="D39" s="31" t="s">
        <v>118</v>
      </c>
      <c r="E39" s="32" t="s">
        <v>27</v>
      </c>
      <c r="F39" s="33">
        <v>85000</v>
      </c>
      <c r="G39" s="34">
        <v>1221.96</v>
      </c>
      <c r="H39" s="34">
        <v>1.18</v>
      </c>
      <c r="I39" s="35"/>
      <c r="J39" s="35"/>
      <c r="K39" s="36"/>
    </row>
    <row r="40" spans="2:11" x14ac:dyDescent="0.3">
      <c r="B40" s="1" t="s">
        <v>119</v>
      </c>
      <c r="C40" s="21" t="s">
        <v>120</v>
      </c>
      <c r="D40" s="31" t="s">
        <v>121</v>
      </c>
      <c r="E40" s="32" t="s">
        <v>122</v>
      </c>
      <c r="F40" s="33">
        <v>120000</v>
      </c>
      <c r="G40" s="34">
        <v>1219.02</v>
      </c>
      <c r="H40" s="34">
        <v>1.17</v>
      </c>
      <c r="I40" s="35"/>
      <c r="J40" s="35"/>
      <c r="K40" s="36"/>
    </row>
    <row r="41" spans="2:11" x14ac:dyDescent="0.3">
      <c r="B41" s="1" t="s">
        <v>123</v>
      </c>
      <c r="C41" s="21" t="s">
        <v>124</v>
      </c>
      <c r="D41" s="31" t="s">
        <v>125</v>
      </c>
      <c r="E41" s="32" t="s">
        <v>27</v>
      </c>
      <c r="F41" s="33">
        <v>352500</v>
      </c>
      <c r="G41" s="34">
        <v>1182.29</v>
      </c>
      <c r="H41" s="34">
        <v>1.1399999999999999</v>
      </c>
      <c r="I41" s="35"/>
      <c r="J41" s="35"/>
      <c r="K41" s="36"/>
    </row>
    <row r="42" spans="2:11" x14ac:dyDescent="0.3">
      <c r="B42" s="1" t="s">
        <v>126</v>
      </c>
      <c r="C42" s="21" t="s">
        <v>127</v>
      </c>
      <c r="D42" s="31" t="s">
        <v>128</v>
      </c>
      <c r="E42" s="32" t="s">
        <v>27</v>
      </c>
      <c r="F42" s="33">
        <v>149024</v>
      </c>
      <c r="G42" s="34">
        <v>1174.98</v>
      </c>
      <c r="H42" s="34">
        <v>1.1299999999999999</v>
      </c>
      <c r="I42" s="35"/>
      <c r="J42" s="35"/>
      <c r="K42" s="36"/>
    </row>
    <row r="43" spans="2:11" x14ac:dyDescent="0.3">
      <c r="B43" s="1" t="s">
        <v>129</v>
      </c>
      <c r="C43" s="21" t="s">
        <v>130</v>
      </c>
      <c r="D43" s="31" t="s">
        <v>131</v>
      </c>
      <c r="E43" s="32" t="s">
        <v>49</v>
      </c>
      <c r="F43" s="33">
        <v>250000</v>
      </c>
      <c r="G43" s="34">
        <v>1157.25</v>
      </c>
      <c r="H43" s="34">
        <v>1.1100000000000001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135</v>
      </c>
      <c r="F44" s="33">
        <v>15000</v>
      </c>
      <c r="G44" s="34">
        <v>1095.05</v>
      </c>
      <c r="H44" s="34">
        <v>1.05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139</v>
      </c>
      <c r="F45" s="33">
        <v>69000</v>
      </c>
      <c r="G45" s="34">
        <v>1074.4000000000001</v>
      </c>
      <c r="H45" s="34">
        <v>1.03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38</v>
      </c>
      <c r="F46" s="33">
        <v>33000</v>
      </c>
      <c r="G46" s="34">
        <v>1057.22</v>
      </c>
      <c r="H46" s="34">
        <v>1.02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38</v>
      </c>
      <c r="F47" s="33">
        <v>21000</v>
      </c>
      <c r="G47" s="34">
        <v>1035.5899999999999</v>
      </c>
      <c r="H47" s="34">
        <v>1</v>
      </c>
      <c r="I47" s="35"/>
      <c r="J47" s="35"/>
      <c r="K47" s="36"/>
    </row>
    <row r="48" spans="2:11" x14ac:dyDescent="0.3">
      <c r="B48" s="1" t="s">
        <v>146</v>
      </c>
      <c r="C48" s="21" t="s">
        <v>147</v>
      </c>
      <c r="D48" s="31" t="s">
        <v>148</v>
      </c>
      <c r="E48" s="32" t="s">
        <v>63</v>
      </c>
      <c r="F48" s="33">
        <v>210000</v>
      </c>
      <c r="G48" s="34">
        <v>1004.85</v>
      </c>
      <c r="H48" s="34">
        <v>0.97</v>
      </c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122</v>
      </c>
      <c r="F49" s="33">
        <v>65000</v>
      </c>
      <c r="G49" s="34">
        <v>1001.16</v>
      </c>
      <c r="H49" s="34">
        <v>0.96</v>
      </c>
      <c r="I49" s="35"/>
      <c r="J49" s="35"/>
      <c r="K49" s="36"/>
    </row>
    <row r="50" spans="2:11" x14ac:dyDescent="0.3">
      <c r="B50" s="1" t="s">
        <v>152</v>
      </c>
      <c r="C50" s="21" t="s">
        <v>153</v>
      </c>
      <c r="D50" s="31" t="s">
        <v>154</v>
      </c>
      <c r="E50" s="32" t="s">
        <v>122</v>
      </c>
      <c r="F50" s="33">
        <v>120000</v>
      </c>
      <c r="G50" s="34">
        <v>965.28</v>
      </c>
      <c r="H50" s="34">
        <v>0.93</v>
      </c>
      <c r="I50" s="35"/>
      <c r="J50" s="35"/>
      <c r="K50" s="36"/>
    </row>
    <row r="51" spans="2:11" x14ac:dyDescent="0.3">
      <c r="B51" s="1" t="s">
        <v>155</v>
      </c>
      <c r="C51" s="21" t="s">
        <v>156</v>
      </c>
      <c r="D51" s="31" t="s">
        <v>157</v>
      </c>
      <c r="E51" s="32" t="s">
        <v>27</v>
      </c>
      <c r="F51" s="33">
        <v>100000</v>
      </c>
      <c r="G51" s="34">
        <v>780.1</v>
      </c>
      <c r="H51" s="34">
        <v>0.75</v>
      </c>
      <c r="I51" s="35"/>
      <c r="J51" s="35"/>
      <c r="K51" s="36"/>
    </row>
    <row r="52" spans="2:11" x14ac:dyDescent="0.3">
      <c r="C52" s="30" t="s">
        <v>158</v>
      </c>
      <c r="D52" s="31"/>
      <c r="E52" s="32"/>
      <c r="F52" s="33"/>
      <c r="G52" s="38">
        <v>100034.22</v>
      </c>
      <c r="H52" s="38">
        <v>96.31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159</v>
      </c>
      <c r="D54" s="31"/>
      <c r="E54" s="32"/>
      <c r="F54" s="33"/>
      <c r="G54" s="34" t="s">
        <v>160</v>
      </c>
      <c r="H54" s="34" t="s">
        <v>160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161</v>
      </c>
      <c r="D56" s="31"/>
      <c r="E56" s="32"/>
      <c r="F56" s="33"/>
      <c r="G56" s="34" t="s">
        <v>160</v>
      </c>
      <c r="H56" s="34" t="s">
        <v>160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162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163</v>
      </c>
      <c r="D60" s="31"/>
      <c r="E60" s="32"/>
      <c r="F60" s="33"/>
      <c r="G60" s="34" t="s">
        <v>160</v>
      </c>
      <c r="H60" s="34" t="s">
        <v>160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164</v>
      </c>
      <c r="D62" s="31"/>
      <c r="E62" s="32"/>
      <c r="F62" s="33"/>
      <c r="G62" s="34" t="s">
        <v>160</v>
      </c>
      <c r="H62" s="34" t="s">
        <v>160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165</v>
      </c>
      <c r="D64" s="31"/>
      <c r="E64" s="32"/>
      <c r="F64" s="33"/>
      <c r="G64" s="34" t="s">
        <v>160</v>
      </c>
      <c r="H64" s="34" t="s">
        <v>160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166</v>
      </c>
      <c r="D66" s="31"/>
      <c r="E66" s="32"/>
      <c r="F66" s="33"/>
      <c r="G66" s="34" t="s">
        <v>160</v>
      </c>
      <c r="H66" s="34" t="s">
        <v>160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167</v>
      </c>
      <c r="D68" s="31"/>
      <c r="E68" s="32"/>
      <c r="F68" s="33"/>
      <c r="G68" s="34" t="s">
        <v>160</v>
      </c>
      <c r="H68" s="34" t="s">
        <v>160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8"/>
      <c r="B70" s="29"/>
      <c r="C70" s="30" t="s">
        <v>168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169</v>
      </c>
      <c r="D71" s="31"/>
      <c r="E71" s="32"/>
      <c r="F71" s="33"/>
      <c r="G71" s="34" t="s">
        <v>160</v>
      </c>
      <c r="H71" s="34" t="s">
        <v>160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170</v>
      </c>
      <c r="D73" s="31"/>
      <c r="E73" s="32"/>
      <c r="F73" s="33"/>
      <c r="G73" s="34" t="s">
        <v>160</v>
      </c>
      <c r="H73" s="34" t="s">
        <v>160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7" t="s">
        <v>171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 t="s">
        <v>172</v>
      </c>
      <c r="C76" s="21" t="s">
        <v>173</v>
      </c>
      <c r="D76" s="31" t="s">
        <v>174</v>
      </c>
      <c r="E76" s="32" t="s">
        <v>175</v>
      </c>
      <c r="F76" s="33">
        <v>900000</v>
      </c>
      <c r="G76" s="34">
        <v>877.02</v>
      </c>
      <c r="H76" s="34">
        <v>0.84</v>
      </c>
      <c r="I76" s="35">
        <v>6.7361000000000004</v>
      </c>
      <c r="J76" s="35"/>
      <c r="K76" s="36"/>
    </row>
    <row r="77" spans="1:11" x14ac:dyDescent="0.3">
      <c r="C77" s="30" t="s">
        <v>158</v>
      </c>
      <c r="D77" s="31"/>
      <c r="E77" s="32"/>
      <c r="F77" s="33"/>
      <c r="G77" s="38">
        <v>877.02</v>
      </c>
      <c r="H77" s="38">
        <v>0.84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176</v>
      </c>
      <c r="D79" s="31"/>
      <c r="E79" s="32"/>
      <c r="F79" s="33"/>
      <c r="G79" s="34" t="s">
        <v>160</v>
      </c>
      <c r="H79" s="34" t="s">
        <v>160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8"/>
      <c r="B81" s="29"/>
      <c r="C81" s="30" t="s">
        <v>177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178</v>
      </c>
      <c r="D82" s="31"/>
      <c r="E82" s="32"/>
      <c r="F82" s="33"/>
      <c r="G82" s="34" t="s">
        <v>160</v>
      </c>
      <c r="H82" s="34" t="s">
        <v>160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179</v>
      </c>
      <c r="D84" s="31"/>
      <c r="E84" s="32"/>
      <c r="F84" s="33"/>
      <c r="G84" s="34" t="s">
        <v>160</v>
      </c>
      <c r="H84" s="34" t="s">
        <v>160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180</v>
      </c>
      <c r="D86" s="31"/>
      <c r="E86" s="32"/>
      <c r="F86" s="33"/>
      <c r="G86" s="34" t="s">
        <v>160</v>
      </c>
      <c r="H86" s="34" t="s">
        <v>160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181</v>
      </c>
      <c r="D88" s="31"/>
      <c r="E88" s="32"/>
      <c r="F88" s="33"/>
      <c r="G88" s="34" t="s">
        <v>160</v>
      </c>
      <c r="H88" s="34" t="s">
        <v>160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7" t="s">
        <v>182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 t="s">
        <v>183</v>
      </c>
      <c r="C91" s="21" t="s">
        <v>184</v>
      </c>
      <c r="D91" s="31"/>
      <c r="E91" s="32"/>
      <c r="F91" s="33"/>
      <c r="G91" s="34">
        <v>2825.14</v>
      </c>
      <c r="H91" s="34">
        <v>2.72</v>
      </c>
      <c r="I91" s="35">
        <v>6.37</v>
      </c>
      <c r="J91" s="35"/>
      <c r="K91" s="36"/>
    </row>
    <row r="92" spans="1:11" x14ac:dyDescent="0.3">
      <c r="C92" s="30" t="s">
        <v>158</v>
      </c>
      <c r="D92" s="31"/>
      <c r="E92" s="32"/>
      <c r="F92" s="33"/>
      <c r="G92" s="38">
        <v>2825.14</v>
      </c>
      <c r="H92" s="38">
        <v>2.72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8"/>
      <c r="B94" s="29"/>
      <c r="C94" s="30" t="s">
        <v>185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B95" s="1"/>
      <c r="C95" s="21" t="s">
        <v>186</v>
      </c>
      <c r="D95" s="31"/>
      <c r="E95" s="32"/>
      <c r="F95" s="33"/>
      <c r="G95" s="34">
        <v>146.94999999999999</v>
      </c>
      <c r="H95" s="34">
        <v>0.13</v>
      </c>
      <c r="I95" s="35"/>
      <c r="J95" s="35"/>
      <c r="K95" s="36"/>
    </row>
    <row r="96" spans="1:11" x14ac:dyDescent="0.3">
      <c r="C96" s="30" t="s">
        <v>158</v>
      </c>
      <c r="D96" s="31"/>
      <c r="E96" s="32"/>
      <c r="F96" s="33"/>
      <c r="G96" s="38">
        <v>146.94999999999999</v>
      </c>
      <c r="H96" s="38">
        <v>0.13</v>
      </c>
      <c r="I96" s="35"/>
      <c r="J96" s="35"/>
      <c r="K96" s="36"/>
    </row>
    <row r="97" spans="3:55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3:55" ht="14.4" thickBot="1" x14ac:dyDescent="0.35">
      <c r="C98" s="39" t="s">
        <v>187</v>
      </c>
      <c r="D98" s="40"/>
      <c r="E98" s="41"/>
      <c r="F98" s="42"/>
      <c r="G98" s="43">
        <v>103883.33</v>
      </c>
      <c r="H98" s="43">
        <f>SUMIFS(H:H,C:C,"Total")</f>
        <v>100</v>
      </c>
      <c r="I98" s="44"/>
      <c r="J98" s="44"/>
      <c r="K98" s="45"/>
    </row>
    <row r="101" spans="3:55" x14ac:dyDescent="0.3">
      <c r="C101" s="11" t="s">
        <v>188</v>
      </c>
    </row>
    <row r="102" spans="3:55" x14ac:dyDescent="0.3">
      <c r="C102" s="2" t="s">
        <v>189</v>
      </c>
    </row>
    <row r="103" spans="3:55" x14ac:dyDescent="0.3">
      <c r="C103" s="46" t="s">
        <v>190</v>
      </c>
    </row>
    <row r="104" spans="3:55" x14ac:dyDescent="0.3">
      <c r="C104" s="2" t="s">
        <v>191</v>
      </c>
    </row>
    <row r="105" spans="3:55" x14ac:dyDescent="0.3">
      <c r="C105" s="2" t="s">
        <v>192</v>
      </c>
    </row>
    <row r="106" spans="3:55" x14ac:dyDescent="0.3">
      <c r="C106" s="2" t="s">
        <v>193</v>
      </c>
      <c r="D106" s="47"/>
      <c r="E106" s="47"/>
      <c r="F106" s="47"/>
      <c r="G106" s="48"/>
      <c r="H106" s="48"/>
    </row>
    <row r="107" spans="3:55" x14ac:dyDescent="0.3">
      <c r="C107" s="2" t="s">
        <v>194</v>
      </c>
    </row>
    <row r="108" spans="3:55" x14ac:dyDescent="0.3">
      <c r="C108" s="2" t="s">
        <v>195</v>
      </c>
    </row>
    <row r="109" spans="3:55" x14ac:dyDescent="0.3">
      <c r="C109" s="2" t="s">
        <v>196</v>
      </c>
    </row>
    <row r="110" spans="3:55" x14ac:dyDescent="0.3">
      <c r="C110" s="2" t="s">
        <v>197</v>
      </c>
    </row>
    <row r="111" spans="3:55" s="11" customFormat="1" x14ac:dyDescent="0.3">
      <c r="C111" s="11" t="s">
        <v>198</v>
      </c>
      <c r="E111" s="11" t="s">
        <v>199</v>
      </c>
      <c r="F111" s="49" t="s">
        <v>200</v>
      </c>
      <c r="G111" s="50"/>
      <c r="H111" s="50"/>
      <c r="I111" s="50"/>
      <c r="J111" s="50"/>
      <c r="K111" s="51"/>
      <c r="L111" s="51"/>
      <c r="M111" s="51"/>
      <c r="AJ111" s="51"/>
      <c r="AW111" s="51"/>
      <c r="AY111" s="51"/>
      <c r="BC111" s="51"/>
    </row>
    <row r="112" spans="3:55" x14ac:dyDescent="0.3">
      <c r="C112" s="2" t="s">
        <v>201</v>
      </c>
      <c r="E112" s="52">
        <v>18.357399999999998</v>
      </c>
      <c r="F112" s="53">
        <v>18.6739</v>
      </c>
    </row>
    <row r="113" spans="3:6" x14ac:dyDescent="0.3">
      <c r="C113" s="2" t="s">
        <v>202</v>
      </c>
      <c r="E113" s="52">
        <v>22.671900000000001</v>
      </c>
      <c r="F113" s="53">
        <v>23.0627</v>
      </c>
    </row>
    <row r="114" spans="3:6" x14ac:dyDescent="0.3">
      <c r="C114" s="2" t="s">
        <v>203</v>
      </c>
      <c r="E114" s="52">
        <v>20.3687</v>
      </c>
      <c r="F114" s="53">
        <v>20.744900000000001</v>
      </c>
    </row>
    <row r="115" spans="3:6" x14ac:dyDescent="0.3">
      <c r="C115" s="2" t="s">
        <v>204</v>
      </c>
      <c r="E115" s="52">
        <v>24.372399999999999</v>
      </c>
      <c r="F115" s="53">
        <v>24.822500000000002</v>
      </c>
    </row>
    <row r="117" spans="3:6" x14ac:dyDescent="0.3">
      <c r="C117" s="2" t="s">
        <v>205</v>
      </c>
    </row>
    <row r="119" spans="3:6" x14ac:dyDescent="0.3">
      <c r="C119" s="2" t="s">
        <v>206</v>
      </c>
    </row>
    <row r="120" spans="3:6" x14ac:dyDescent="0.3">
      <c r="C120" s="2" t="s">
        <v>207</v>
      </c>
    </row>
    <row r="121" spans="3:6" x14ac:dyDescent="0.3">
      <c r="C121" s="2" t="s">
        <v>208</v>
      </c>
    </row>
    <row r="122" spans="3:6" x14ac:dyDescent="0.3">
      <c r="C122" s="2" t="s">
        <v>209</v>
      </c>
    </row>
    <row r="123" spans="3:6" x14ac:dyDescent="0.3">
      <c r="C123" s="2" t="s">
        <v>210</v>
      </c>
    </row>
    <row r="124" spans="3:6" x14ac:dyDescent="0.3">
      <c r="C124" s="2" t="s">
        <v>211</v>
      </c>
    </row>
    <row r="125" spans="3:6" x14ac:dyDescent="0.3">
      <c r="C125" s="2" t="s">
        <v>212</v>
      </c>
    </row>
    <row r="126" spans="3:6" x14ac:dyDescent="0.3">
      <c r="C126" s="2" t="s">
        <v>213</v>
      </c>
    </row>
    <row r="127" spans="3:6" x14ac:dyDescent="0.3">
      <c r="C127" s="2" t="s">
        <v>214</v>
      </c>
    </row>
    <row r="128" spans="3:6" x14ac:dyDescent="0.3">
      <c r="C128" s="2" t="s">
        <v>215</v>
      </c>
    </row>
    <row r="129" spans="3:11" x14ac:dyDescent="0.3">
      <c r="C129" s="2" t="s">
        <v>216</v>
      </c>
    </row>
    <row r="130" spans="3:11" x14ac:dyDescent="0.3">
      <c r="C130" s="2" t="s">
        <v>217</v>
      </c>
    </row>
    <row r="131" spans="3:11" ht="14.4" x14ac:dyDescent="0.3">
      <c r="C131" s="54"/>
      <c r="D131" s="54"/>
      <c r="E131" s="55"/>
      <c r="F131" s="55"/>
      <c r="G131" s="55"/>
      <c r="H131" s="55"/>
      <c r="I131" s="55"/>
      <c r="J131" s="55"/>
      <c r="K13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IC</vt:lpstr>
      <vt:lpstr>XDO_?CLASS_3?14?</vt:lpstr>
      <vt:lpstr>XDO_?FINAL_ISIN?66?</vt:lpstr>
      <vt:lpstr>XDO_?FINAL_ISIN?67?</vt:lpstr>
      <vt:lpstr>XDO_?FINAL_ISIN?68?</vt:lpstr>
      <vt:lpstr>XDO_?FINAL_ISIN?69?</vt:lpstr>
      <vt:lpstr>XDO_?FINAL_MV?66?</vt:lpstr>
      <vt:lpstr>XDO_?FINAL_MV?67?</vt:lpstr>
      <vt:lpstr>XDO_?FINAL_MV?68?</vt:lpstr>
      <vt:lpstr>XDO_?FINAL_MV?69?</vt:lpstr>
      <vt:lpstr>XDO_?FINAL_NAME?66?</vt:lpstr>
      <vt:lpstr>XDO_?FINAL_NAME?67?</vt:lpstr>
      <vt:lpstr>XDO_?FINAL_NAME?68?</vt:lpstr>
      <vt:lpstr>XDO_?FINAL_NAME?69?</vt:lpstr>
      <vt:lpstr>XDO_?FINAL_PER_NET?66?</vt:lpstr>
      <vt:lpstr>XDO_?FINAL_PER_NET?67?</vt:lpstr>
      <vt:lpstr>XDO_?FINAL_PER_NET?68?</vt:lpstr>
      <vt:lpstr>XDO_?FINAL_PER_NET?69?</vt:lpstr>
      <vt:lpstr>XDO_?FINAL_QUANTITE?66?</vt:lpstr>
      <vt:lpstr>XDO_?FINAL_QUANTITE?67?</vt:lpstr>
      <vt:lpstr>XDO_?FINAL_QUANTITE?68?</vt:lpstr>
      <vt:lpstr>XDO_?FINAL_QUANTITE?69?</vt:lpstr>
      <vt:lpstr>XDO_?NAMCNAME?14?</vt:lpstr>
      <vt:lpstr>XDO_?NOVAL?66?</vt:lpstr>
      <vt:lpstr>XDO_?NOVAL?67?</vt:lpstr>
      <vt:lpstr>XDO_?NOVAL?68?</vt:lpstr>
      <vt:lpstr>XDO_?NOVAL?69?</vt:lpstr>
      <vt:lpstr>XDO_?NPTF?14?</vt:lpstr>
      <vt:lpstr>XDO_?RATING?66?</vt:lpstr>
      <vt:lpstr>XDO_?RATING?67?</vt:lpstr>
      <vt:lpstr>XDO_?RATING?68?</vt:lpstr>
      <vt:lpstr>XDO_?RATING?69?</vt:lpstr>
      <vt:lpstr>XDO_?REMARKS?66?</vt:lpstr>
      <vt:lpstr>XDO_?REMARKS?67?</vt:lpstr>
      <vt:lpstr>XDO_?REMARKS?68?</vt:lpstr>
      <vt:lpstr>XDO_?REMARKS?69?</vt:lpstr>
      <vt:lpstr>XDO_?TITL?14?</vt:lpstr>
      <vt:lpstr>XDO_?YTM?66?</vt:lpstr>
      <vt:lpstr>XDO_?YTM?67?</vt:lpstr>
      <vt:lpstr>XDO_?YTM?68?</vt:lpstr>
      <vt:lpstr>XDO_?YTM?69?</vt:lpstr>
      <vt:lpstr>XDO_GROUP_?G_2?14?</vt:lpstr>
      <vt:lpstr>XDO_GROUP_?G_3?14?</vt:lpstr>
      <vt:lpstr>XDO_GROUP_?G_4?66?</vt:lpstr>
      <vt:lpstr>XDO_GROUP_?G_4?67?</vt:lpstr>
      <vt:lpstr>XDO_GROUP_?G_4?68?</vt:lpstr>
      <vt:lpstr>XDO_GROUP_?G_4?69?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2023-08-07T09:10:29Z</dcterms:created>
  <dcterms:modified xsi:type="dcterms:W3CDTF">2023-08-07T10:56:19Z</dcterms:modified>
</cp:coreProperties>
</file>