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https://barodabnpparibasmf-my.sharepoint.com/personal/sanket_uchil_ext_barodabnpparibasmf_in/Documents/Documents/DebT Funds/"/>
    </mc:Choice>
  </mc:AlternateContent>
  <xr:revisionPtr revIDLastSave="1" documentId="8_{C9A14DA8-2EAD-4D63-88D9-A48217E9287E}" xr6:coauthVersionLast="47" xr6:coauthVersionMax="47" xr10:uidLastSave="{B57A7B64-E2E3-436F-9AC4-6F14BF429DC7}"/>
  <bookViews>
    <workbookView xWindow="-108" yWindow="-108" windowWidth="23256" windowHeight="12576" xr2:uid="{4F35EC62-7809-452B-A5E9-19E3489CC0E9}"/>
  </bookViews>
  <sheets>
    <sheet name="US" sheetId="1" r:id="rId1"/>
  </sheets>
  <externalReferences>
    <externalReference r:id="rId2"/>
  </externalReferences>
  <definedNames>
    <definedName name="XDO_?CLASS_3?22?">US!$C$16:$C$21</definedName>
    <definedName name="XDO_?FINAL_ISIN?100?">US!$D$18:$D$63</definedName>
    <definedName name="XDO_?FINAL_ISIN?101?">US!$D$18:$D$78</definedName>
    <definedName name="XDO_?FINAL_ISIN?102?">US!$D$18:$D$82</definedName>
    <definedName name="XDO_?FINAL_ISIN?95?">US!$D$18:$D$21</definedName>
    <definedName name="XDO_?FINAL_ISIN?96?">US!$D$18:$D$29</definedName>
    <definedName name="XDO_?FINAL_ISIN?97?">US!$D$18:$D$33</definedName>
    <definedName name="XDO_?FINAL_ISIN?98?">US!$D$18:$D$44</definedName>
    <definedName name="XDO_?FINAL_ISIN?99?">US!$D$18:$D$59</definedName>
    <definedName name="XDO_?FINAL_MV?100?">US!$G$18:$G$63</definedName>
    <definedName name="XDO_?FINAL_MV?101?">US!$G$18:$G$78</definedName>
    <definedName name="XDO_?FINAL_MV?102?">US!$G$18:$G$82</definedName>
    <definedName name="XDO_?FINAL_MV?95?">US!$G$18:$G$21</definedName>
    <definedName name="XDO_?FINAL_MV?96?">US!$G$18:$G$29</definedName>
    <definedName name="XDO_?FINAL_MV?97?">US!$G$18:$G$33</definedName>
    <definedName name="XDO_?FINAL_MV?98?">US!$G$18:$G$44</definedName>
    <definedName name="XDO_?FINAL_MV?99?">US!$G$18:$G$59</definedName>
    <definedName name="XDO_?FINAL_NAME?100?">US!$C$18:$C$63</definedName>
    <definedName name="XDO_?FINAL_NAME?101?">US!$C$18:$C$78</definedName>
    <definedName name="XDO_?FINAL_NAME?102?">US!$C$18:$C$82</definedName>
    <definedName name="XDO_?FINAL_NAME?95?">US!$C$18:$C$21</definedName>
    <definedName name="XDO_?FINAL_NAME?96?">US!$C$18:$C$29</definedName>
    <definedName name="XDO_?FINAL_NAME?97?">US!$C$18:$C$33</definedName>
    <definedName name="XDO_?FINAL_NAME?98?">US!$C$18:$C$44</definedName>
    <definedName name="XDO_?FINAL_NAME?99?">US!$C$18:$C$59</definedName>
    <definedName name="XDO_?FINAL_PER_NET?100?">US!$H$18:$H$63</definedName>
    <definedName name="XDO_?FINAL_PER_NET?101?">US!$H$18:$H$78</definedName>
    <definedName name="XDO_?FINAL_PER_NET?102?">US!$H$18:$H$82</definedName>
    <definedName name="XDO_?FINAL_PER_NET?95?">US!$H$18:$H$21</definedName>
    <definedName name="XDO_?FINAL_PER_NET?96?">US!$H$18:$H$29</definedName>
    <definedName name="XDO_?FINAL_PER_NET?97?">US!$H$18:$H$33</definedName>
    <definedName name="XDO_?FINAL_PER_NET?98?">US!$H$18:$H$44</definedName>
    <definedName name="XDO_?FINAL_PER_NET?99?">US!$H$18:$H$59</definedName>
    <definedName name="XDO_?FINAL_QUANTITE?100?">US!$F$18:$F$63</definedName>
    <definedName name="XDO_?FINAL_QUANTITE?101?">US!$F$18:$F$78</definedName>
    <definedName name="XDO_?FINAL_QUANTITE?102?">US!$F$18:$F$82</definedName>
    <definedName name="XDO_?FINAL_QUANTITE?95?">US!$F$18:$F$21</definedName>
    <definedName name="XDO_?FINAL_QUANTITE?96?">US!$F$18:$F$29</definedName>
    <definedName name="XDO_?FINAL_QUANTITE?97?">US!$F$18:$F$33</definedName>
    <definedName name="XDO_?FINAL_QUANTITE?98?">US!$F$18:$F$44</definedName>
    <definedName name="XDO_?FINAL_QUANTITE?99?">US!$F$18:$F$59</definedName>
    <definedName name="XDO_?NAMC?">[1]MT!#REF!</definedName>
    <definedName name="XDO_?NAMC?1?">[1]LW!#REF!</definedName>
    <definedName name="XDO_?NAMC?10?">[1]SE!#REF!</definedName>
    <definedName name="XDO_?NAMC?11?">[1]FO!#REF!</definedName>
    <definedName name="XDO_?NAMC?12?">[1]IC!#REF!</definedName>
    <definedName name="XDO_?NAMC?13?">[1]AF!#REF!</definedName>
    <definedName name="XDO_?NAMC?14?">[1]FX!#REF!</definedName>
    <definedName name="XDO_?NAMC?15?">[1]MA!#REF!</definedName>
    <definedName name="XDO_?NAMC?16?">[1]GR!#REF!</definedName>
    <definedName name="XDO_?NAMC?17?">[1]GF!#REF!</definedName>
    <definedName name="XDO_?NAMC?18?">[1]LQ!#REF!</definedName>
    <definedName name="XDO_?NAMC?19?">[1]SI!#REF!</definedName>
    <definedName name="XDO_?NAMC?2?">[1]FL!#REF!</definedName>
    <definedName name="XDO_?NAMC?20?">[1]BS!#REF!</definedName>
    <definedName name="XDO_?NAMC?21?">[1]CO!#REF!</definedName>
    <definedName name="XDO_?NAMC?22?">US!#REF!</definedName>
    <definedName name="XDO_?NAMC?23?">[1]DE!#REF!</definedName>
    <definedName name="XDO_?NAMC?24?">[1]ON!#REF!</definedName>
    <definedName name="XDO_?NAMC?25?">[1]BM!#REF!</definedName>
    <definedName name="XDO_?NAMC?26?">[1]ES!#REF!</definedName>
    <definedName name="XDO_?NAMC?27?">[1]LM!#REF!</definedName>
    <definedName name="XDO_?NAMC?28?">[1]BP!#REF!</definedName>
    <definedName name="XDO_?NAMC?29?">[1]BC!#REF!</definedName>
    <definedName name="XDO_?NAMC?3?">[1]CB!#REF!</definedName>
    <definedName name="XDO_?NAMC?4?">[1]NS!#REF!</definedName>
    <definedName name="XDO_?NAMC?5?">[1]MC!#REF!</definedName>
    <definedName name="XDO_?NAMC?6?">[1]LC!#REF!</definedName>
    <definedName name="XDO_?NAMC?7?">[1]TA!#REF!</definedName>
    <definedName name="XDO_?NAMC?8?">[1]CH!#REF!</definedName>
    <definedName name="XDO_?NAMC?9?">[1]AR!#REF!</definedName>
    <definedName name="XDO_?NAMCNAME?22?">US!$C$2:$C$21</definedName>
    <definedName name="XDO_?NDATE?">[1]MT!#REF!</definedName>
    <definedName name="XDO_?NDATE?1?">[1]LW!#REF!</definedName>
    <definedName name="XDO_?NDATE?10?">[1]SE!#REF!</definedName>
    <definedName name="XDO_?NDATE?11?">[1]FO!#REF!</definedName>
    <definedName name="XDO_?NDATE?12?">[1]IC!#REF!</definedName>
    <definedName name="XDO_?NDATE?13?">[1]AF!#REF!</definedName>
    <definedName name="XDO_?NDATE?14?">[1]FX!#REF!</definedName>
    <definedName name="XDO_?NDATE?15?">[1]MA!#REF!</definedName>
    <definedName name="XDO_?NDATE?16?">[1]GR!#REF!</definedName>
    <definedName name="XDO_?NDATE?17?">[1]GF!#REF!</definedName>
    <definedName name="XDO_?NDATE?18?">[1]LQ!#REF!</definedName>
    <definedName name="XDO_?NDATE?19?">[1]SI!#REF!</definedName>
    <definedName name="XDO_?NDATE?2?">[1]FL!#REF!</definedName>
    <definedName name="XDO_?NDATE?20?">[1]BS!#REF!</definedName>
    <definedName name="XDO_?NDATE?21?">[1]CO!#REF!</definedName>
    <definedName name="XDO_?NDATE?22?">US!#REF!</definedName>
    <definedName name="XDO_?NDATE?23?">[1]DE!#REF!</definedName>
    <definedName name="XDO_?NDATE?24?">[1]ON!#REF!</definedName>
    <definedName name="XDO_?NDATE?25?">[1]BM!#REF!</definedName>
    <definedName name="XDO_?NDATE?26?">[1]ES!#REF!</definedName>
    <definedName name="XDO_?NDATE?27?">[1]LM!#REF!</definedName>
    <definedName name="XDO_?NDATE?28?">[1]BP!#REF!</definedName>
    <definedName name="XDO_?NDATE?29?">[1]BC!#REF!</definedName>
    <definedName name="XDO_?NDATE?3?">[1]CB!#REF!</definedName>
    <definedName name="XDO_?NDATE?4?">[1]NS!#REF!</definedName>
    <definedName name="XDO_?NDATE?5?">[1]MC!#REF!</definedName>
    <definedName name="XDO_?NDATE?6?">[1]LC!#REF!</definedName>
    <definedName name="XDO_?NDATE?7?">[1]TA!#REF!</definedName>
    <definedName name="XDO_?NDATE?8?">[1]CH!#REF!</definedName>
    <definedName name="XDO_?NDATE?9?">[1]AR!#REF!</definedName>
    <definedName name="XDO_?NNPTF?">[1]MT!#REF!</definedName>
    <definedName name="XDO_?NNPTF?1?">[1]LW!#REF!</definedName>
    <definedName name="XDO_?NNPTF?10?">[1]SE!#REF!</definedName>
    <definedName name="XDO_?NNPTF?11?">[1]FO!#REF!</definedName>
    <definedName name="XDO_?NNPTF?12?">[1]IC!#REF!</definedName>
    <definedName name="XDO_?NNPTF?13?">[1]AF!#REF!</definedName>
    <definedName name="XDO_?NNPTF?14?">[1]FX!#REF!</definedName>
    <definedName name="XDO_?NNPTF?15?">[1]MA!#REF!</definedName>
    <definedName name="XDO_?NNPTF?16?">[1]GR!#REF!</definedName>
    <definedName name="XDO_?NNPTF?17?">[1]GF!#REF!</definedName>
    <definedName name="XDO_?NNPTF?18?">[1]LQ!#REF!</definedName>
    <definedName name="XDO_?NNPTF?19?">[1]SI!#REF!</definedName>
    <definedName name="XDO_?NNPTF?2?">[1]FL!#REF!</definedName>
    <definedName name="XDO_?NNPTF?20?">[1]BS!#REF!</definedName>
    <definedName name="XDO_?NNPTF?21?">[1]CO!#REF!</definedName>
    <definedName name="XDO_?NNPTF?22?">US!#REF!</definedName>
    <definedName name="XDO_?NNPTF?23?">[1]DE!#REF!</definedName>
    <definedName name="XDO_?NNPTF?24?">[1]ON!#REF!</definedName>
    <definedName name="XDO_?NNPTF?25?">[1]BM!#REF!</definedName>
    <definedName name="XDO_?NNPTF?26?">[1]ES!#REF!</definedName>
    <definedName name="XDO_?NNPTF?27?">[1]LM!#REF!</definedName>
    <definedName name="XDO_?NNPTF?28?">[1]BP!#REF!</definedName>
    <definedName name="XDO_?NNPTF?29?">[1]BC!#REF!</definedName>
    <definedName name="XDO_?NNPTF?3?">[1]CB!#REF!</definedName>
    <definedName name="XDO_?NNPTF?4?">[1]NS!#REF!</definedName>
    <definedName name="XDO_?NNPTF?5?">[1]MC!#REF!</definedName>
    <definedName name="XDO_?NNPTF?6?">[1]LC!#REF!</definedName>
    <definedName name="XDO_?NNPTF?7?">[1]TA!#REF!</definedName>
    <definedName name="XDO_?NNPTF?8?">[1]CH!#REF!</definedName>
    <definedName name="XDO_?NNPTF?9?">[1]AR!#REF!</definedName>
    <definedName name="XDO_?NOVAL?100?">US!$B$18:$B$63</definedName>
    <definedName name="XDO_?NOVAL?101?">US!$B$18:$B$78</definedName>
    <definedName name="XDO_?NOVAL?102?">US!$B$18:$B$82</definedName>
    <definedName name="XDO_?NOVAL?95?">US!$B$18:$B$21</definedName>
    <definedName name="XDO_?NOVAL?96?">US!$B$18:$B$29</definedName>
    <definedName name="XDO_?NOVAL?97?">US!$B$18:$B$33</definedName>
    <definedName name="XDO_?NOVAL?98?">US!$B$18:$B$44</definedName>
    <definedName name="XDO_?NOVAL?99?">US!$B$18:$B$59</definedName>
    <definedName name="XDO_?NPTF?22?">US!$D$2:$D$21</definedName>
    <definedName name="XDO_?RATING?100?">US!$E$18:$E$63</definedName>
    <definedName name="XDO_?RATING?101?">US!$E$18:$E$78</definedName>
    <definedName name="XDO_?RATING?102?">US!$E$18:$E$82</definedName>
    <definedName name="XDO_?RATING?95?">US!$E$18:$E$21</definedName>
    <definedName name="XDO_?RATING?96?">US!$E$18:$E$29</definedName>
    <definedName name="XDO_?RATING?97?">US!$E$18:$E$33</definedName>
    <definedName name="XDO_?RATING?98?">US!$E$18:$E$44</definedName>
    <definedName name="XDO_?RATING?99?">US!$E$18:$E$59</definedName>
    <definedName name="XDO_?REMARKS?100?">US!$K$18:$K$63</definedName>
    <definedName name="XDO_?REMARKS?101?">US!$K$18:$K$78</definedName>
    <definedName name="XDO_?REMARKS?102?">US!$K$18:$K$82</definedName>
    <definedName name="XDO_?REMARKS?95?">US!$K$18:$K$21</definedName>
    <definedName name="XDO_?REMARKS?96?">US!$K$18:$K$29</definedName>
    <definedName name="XDO_?REMARKS?97?">US!$K$18:$K$33</definedName>
    <definedName name="XDO_?REMARKS?98?">US!$K$18:$K$44</definedName>
    <definedName name="XDO_?REMARKS?99?">US!$K$18:$K$59</definedName>
    <definedName name="XDO_?TITL?22?">US!$A$16:$A$21</definedName>
    <definedName name="XDO_?YTM?100?">US!$I$18:$I$63</definedName>
    <definedName name="XDO_?YTM?101?">US!$I$18:$I$78</definedName>
    <definedName name="XDO_?YTM?102?">US!$I$18:$I$82</definedName>
    <definedName name="XDO_?YTM?95?">US!$I$18:$I$21</definedName>
    <definedName name="XDO_?YTM?96?">US!$I$18:$I$29</definedName>
    <definedName name="XDO_?YTM?97?">US!$I$18:$I$33</definedName>
    <definedName name="XDO_?YTM?98?">US!$I$18:$I$44</definedName>
    <definedName name="XDO_?YTM?99?">US!$I$18:$I$59</definedName>
    <definedName name="XDO_GROUP_?G_2?22?">US!$2:$62</definedName>
    <definedName name="XDO_GROUP_?G_3?22?">US!$8:$61</definedName>
    <definedName name="XDO_GROUP_?G_4?100?">US!$B$49:$IV$49</definedName>
    <definedName name="XDO_GROUP_?G_4?101?">US!$B$54:$IV$54</definedName>
    <definedName name="XDO_GROUP_?G_4?102?">US!$B$59:$IV$59</definedName>
    <definedName name="XDO_GROUP_?G_4?114?">[1]ON!#REF!</definedName>
    <definedName name="XDO_GROUP_?G_4?28?">[1]TA!#REF!</definedName>
    <definedName name="XDO_GROUP_?G_4?71?">[1]GR!#REF!</definedName>
    <definedName name="XDO_GROUP_?G_4?95?">US!$B$10:$IV$13</definedName>
    <definedName name="XDO_GROUP_?G_4?96?">US!#REF!</definedName>
    <definedName name="XDO_GROUP_?G_4?97?">US!$B$19:$IV$19</definedName>
    <definedName name="XDO_GROUP_?G_4?98?">US!$B$24:$IV$30</definedName>
    <definedName name="XDO_GROUP_?G_4?99?">US!$B$34:$IV$45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5" i="1" l="1"/>
</calcChain>
</file>

<file path=xl/sharedStrings.xml><?xml version="1.0" encoding="utf-8"?>
<sst xmlns="http://schemas.openxmlformats.org/spreadsheetml/2006/main" count="233" uniqueCount="165">
  <si>
    <t>Baroda BNP Paribas Mutual Fund</t>
  </si>
  <si>
    <t>YR47</t>
  </si>
  <si>
    <t>SCHEME NAME :</t>
  </si>
  <si>
    <t xml:space="preserve">Baroda BNP Paribas Ultra Short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</si>
  <si>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</si>
  <si>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</si>
  <si>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</si>
  <si>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</si>
  <si>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</si>
  <si>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</si>
  <si>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</si>
  <si>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</si>
  <si>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</si>
  <si>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</si>
  <si>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</si>
  <si>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</si>
  <si>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</si>
  <si>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</si>
  <si>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</si>
  <si>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</si>
  <si>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</si>
  <si>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702700</t>
  </si>
  <si>
    <t>5.04% Indian Railway Finance Corporation Ltd. 05-May-2023</t>
  </si>
  <si>
    <t>INE053F07CU1</t>
  </si>
  <si>
    <t>CRISIL AAA</t>
  </si>
  <si>
    <t>N**</t>
  </si>
  <si>
    <t>703776</t>
  </si>
  <si>
    <t>7.00% Shriram Finance Ltd. 21-Feb-2024</t>
  </si>
  <si>
    <t>INE721A07QS8</t>
  </si>
  <si>
    <t>CRISIL AA+</t>
  </si>
  <si>
    <t>703630</t>
  </si>
  <si>
    <t>8.50% Piramal Capital &amp; Housing Finance Ltd. 31-Jul-2023</t>
  </si>
  <si>
    <t>INE516Y07188</t>
  </si>
  <si>
    <t>[ICRA]AA</t>
  </si>
  <si>
    <t>702468</t>
  </si>
  <si>
    <t>6.55% National Housing Bank 17-Apr-2023</t>
  </si>
  <si>
    <t>INE557F08FI7</t>
  </si>
  <si>
    <t>Total</t>
  </si>
  <si>
    <t>b) Privately Placed/Unlisted</t>
  </si>
  <si>
    <t>c) Securitised Debt Instruments</t>
  </si>
  <si>
    <t>d) Central Government Securities</t>
  </si>
  <si>
    <t>900166</t>
  </si>
  <si>
    <t>7.69% Government of India 30-Oct-2034</t>
  </si>
  <si>
    <t>IN0020210137</t>
  </si>
  <si>
    <t>Sovereign</t>
  </si>
  <si>
    <t>e) State Government Securities</t>
  </si>
  <si>
    <t>1900490</t>
  </si>
  <si>
    <t>9.37% State Government of Gujarat 04-Dec-2023</t>
  </si>
  <si>
    <t>IN1520130130</t>
  </si>
  <si>
    <t>MONEY MARKET INSTRUMENTS</t>
  </si>
  <si>
    <t>a) Commercial Paper</t>
  </si>
  <si>
    <t>1008699</t>
  </si>
  <si>
    <t>Bajaj Finance Ltd. 23-May-2023</t>
  </si>
  <si>
    <t>INE296A14TX1</t>
  </si>
  <si>
    <t>CRISIL A1+</t>
  </si>
  <si>
    <t>1008696</t>
  </si>
  <si>
    <t>National Bank for Agriculture and Rural Development 07-Jun-2023</t>
  </si>
  <si>
    <t>INE261F14JJ4</t>
  </si>
  <si>
    <t>1008697</t>
  </si>
  <si>
    <t>Aditya Birla Finance Ltd. 07-Jun-2023</t>
  </si>
  <si>
    <t>INE860H14Z40</t>
  </si>
  <si>
    <t>[ICRA]A1+</t>
  </si>
  <si>
    <t>1008570</t>
  </si>
  <si>
    <t>Housing Development Finance Corporation Ltd. 25-Jul-2023</t>
  </si>
  <si>
    <t>INE001A14ZE2</t>
  </si>
  <si>
    <t>1008601</t>
  </si>
  <si>
    <t>Housing Development Finance Corporation Ltd. 23-Nov-2023</t>
  </si>
  <si>
    <t>INE001A14ZT0</t>
  </si>
  <si>
    <t>1008641</t>
  </si>
  <si>
    <t>Kotak Mahindra Investments Ltd. 24-Jul-2023</t>
  </si>
  <si>
    <t>INE975F14XW3</t>
  </si>
  <si>
    <t>1008669</t>
  </si>
  <si>
    <t>Housing Development Finance Corporation Ltd. 05-Dec-2023</t>
  </si>
  <si>
    <t>INE001A14ZV6</t>
  </si>
  <si>
    <t>b) Certificate of Deposits</t>
  </si>
  <si>
    <t>1102092</t>
  </si>
  <si>
    <t>ICICI Bank Ltd. 29-Sep-2023</t>
  </si>
  <si>
    <t>INE090A162Y1</t>
  </si>
  <si>
    <t>1101993</t>
  </si>
  <si>
    <t>HDFC Bank Ltd. 15-May-2023</t>
  </si>
  <si>
    <t>INE040A16DF9</t>
  </si>
  <si>
    <t>IND A1+</t>
  </si>
  <si>
    <t>1102130</t>
  </si>
  <si>
    <t>Small Industries Development Bank of India 07-Jun-2023</t>
  </si>
  <si>
    <t>INE556F16978</t>
  </si>
  <si>
    <t>1102174</t>
  </si>
  <si>
    <t>Axis Bank Ltd. 16-Jun-2023</t>
  </si>
  <si>
    <t>INE238AD6017</t>
  </si>
  <si>
    <t>1102049</t>
  </si>
  <si>
    <t>Kotak Mahindra Bank Ltd. 18-Aug-2023</t>
  </si>
  <si>
    <t>INE237A160Q5</t>
  </si>
  <si>
    <t>1102042</t>
  </si>
  <si>
    <t>State Bank of India 12-Sep-2023</t>
  </si>
  <si>
    <t>INE062A16465</t>
  </si>
  <si>
    <t>1102131</t>
  </si>
  <si>
    <t>HDFC Bank Ltd. 14-Dec-2023</t>
  </si>
  <si>
    <t>INE040A16DO1</t>
  </si>
  <si>
    <t>1102018</t>
  </si>
  <si>
    <t>Export-Import Bank of India 17-Aug-2023</t>
  </si>
  <si>
    <t>INE514E16CC4</t>
  </si>
  <si>
    <t>1102015</t>
  </si>
  <si>
    <t>Kotak Mahindra Bank Ltd. 11-Aug-2023</t>
  </si>
  <si>
    <t>INE237A168P0</t>
  </si>
  <si>
    <t>1102127</t>
  </si>
  <si>
    <t>Canara Bank 12-Jun-2023</t>
  </si>
  <si>
    <t>INE476A16UK9</t>
  </si>
  <si>
    <t>1102128</t>
  </si>
  <si>
    <t>ICICI Bank Ltd. 12-Dec-2023</t>
  </si>
  <si>
    <t>INE090A161Z0</t>
  </si>
  <si>
    <t>1102078</t>
  </si>
  <si>
    <t>IndusInd Bank Ltd. 11-Oct-2023</t>
  </si>
  <si>
    <t>INE095A16R00</t>
  </si>
  <si>
    <t>c) Treasury Bills</t>
  </si>
  <si>
    <t>1800937</t>
  </si>
  <si>
    <t>364 DAY T-BILL 16-Nov-2023</t>
  </si>
  <si>
    <t>IN002022Z333</t>
  </si>
  <si>
    <t>d) Bills Re- Discounting</t>
  </si>
  <si>
    <t>OTHERS</t>
  </si>
  <si>
    <t>a) Mutual Fund Units / Exchange Traded Funds</t>
  </si>
  <si>
    <t>b) Gold</t>
  </si>
  <si>
    <t>c) Short Term Deposits</t>
  </si>
  <si>
    <t>d) Term Deposits Placed as Margins</t>
  </si>
  <si>
    <t>e) TREPS / Reverse Repo Investments</t>
  </si>
  <si>
    <t>102230100</t>
  </si>
  <si>
    <t>TREPS 01-Feb-2023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</si>
  <si>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</si>
  <si>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</si>
  <si>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</si>
  <si>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</si>
  <si>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</si>
  <si>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</si>
  <si>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</si>
  <si>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</si>
  <si>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</si>
  <si>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</si>
  <si>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January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</si>
  <si>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</si>
  <si>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</si>
  <si>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</si>
  <si>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December 30, 2022</t>
  </si>
  <si>
    <t>As on January 31, 2023</t>
  </si>
  <si>
    <t>Regular Plan - Daily IDCW Option</t>
  </si>
  <si>
    <t>Regular Plan - Growth Option</t>
  </si>
  <si>
    <t>Regular Plan - Weekly IDCW Option</t>
  </si>
  <si>
    <t>Direct Plan - Daily IDCW Option</t>
  </si>
  <si>
    <t>Direct Plan - Growth Option</t>
  </si>
  <si>
    <t>Direct Plan - Weekly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</si>
  <si>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</si>
  <si>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</si>
  <si>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</si>
  <si>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January 31, 2023. Further there are no investments in derivative instruments as on January 31, 2023.</t>
  </si>
  <si>
    <t>(10) Total Market value of investments in Foreign Securities/American Depositary Receipts/Global Depositary Receipts as at  January 31, 2023 is Rs. Nil.</t>
  </si>
  <si>
    <t>(11)  The Average Maturity period of the portfolio has been 348 days.</t>
  </si>
  <si>
    <t>(12)  Details of repo transaction in corporate debt securities for the Month ended January 31, 2023 is Nil.</t>
  </si>
  <si>
    <t>(13)  Investments in debt instruments having structured obligations or credit enhancement features as at January 31, 2023 is Rs. Nil.</t>
  </si>
  <si>
    <t>(14) Investment in Partly paid Debentures during the Month ended  January 31, 2023 and as on  January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</si>
  <si>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</si>
  <si>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</si>
  <si>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</si>
  <si>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</si>
  <si>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</si>
  <si>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January 31, 2023 : Rs. Nil</t>
  </si>
  <si>
    <t>(17) Macaulay Duration of the portfolio has been 162 days.</t>
  </si>
  <si>
    <t>(18) Annualised Portfolio YTM has been 7.1937.</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</si>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</sst>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3"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1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12" fillId="0" borderId="0" xfId="0" applyFont="1" applyAlignment="1">
      <alignment vertical="top"/>
    </xf>
    <xf numFmtId="0" fontId="0" fillId="0" borderId="0" xfId="0" applyAlignment="1">
      <alignment vertical="top"/>
    </xf>
    <xf numFmtId="0" fontId="3" fillId="0" borderId="0" xfId="0" applyFont="1" applyAlignment="1">
      <alignment vertical="top" wrapText="1"/>
    </xf>
    <xf numFmtId="0" fontId="0" fillId="0" borderId="0" xfId="0" applyAlignment="1">
      <alignment vertical="top" wrapText="1"/>
    </xf>
  </cellXfs>
  <cellStyles count="6">
    <cellStyle name="Comma" xfId="1" builtinId="3"/>
    <cellStyle name="Comma 2" xfId="5" xr:uid="{EDBB2FA8-848F-4AB3-BA80-A99A25BE0A7B}"/>
    <cellStyle name="Hyperlink" xfId="2" builtinId="8"/>
    <cellStyle name="Normal" xfId="0" builtinId="0"/>
    <cellStyle name="Normal 2" xfId="4" xr:uid="{29F47776-4B90-4E2C-ABE2-07BC0B91BF05}"/>
    <cellStyle name="Style 1" xfId="3" xr:uid="{791FF8F2-5C9C-4C2D-8F42-FD24963B61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126</xdr:row>
      <xdr:rowOff>0</xdr:rowOff>
    </xdr:from>
    <xdr:to>
      <xdr:col>5</xdr:col>
      <xdr:colOff>504275</xdr:colOff>
      <xdr:row>150</xdr:row>
      <xdr:rowOff>68411</xdr:rowOff>
    </xdr:to>
    <xdr:pic>
      <xdr:nvPicPr>
        <xdr:cNvPr id="3" name="Picture 2">
          <a:extLst>
            <a:ext uri="{FF2B5EF4-FFF2-40B4-BE49-F238E27FC236}">
              <a16:creationId xmlns:a16="http://schemas.microsoft.com/office/drawing/2014/main" id="{BBE445B7-9F2C-F94D-91E3-9355B15B2ED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3122467"/>
          <a:ext cx="7455408" cy="43525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T:\18.%20BNPP%20MF\Reporting\Monthly\Monthly%20Portfolio%20ISIN\2022-23\January%202023\Month%20End%2031%20January%202023\Split%20portfolio\BOBBNPMF_Monthly%20portfolio%2031-01-2023.xls" TargetMode="External"/><Relationship Id="rId1" Type="http://schemas.openxmlformats.org/officeDocument/2006/relationships/externalLinkPath" Target="BOBBNPMF_Monthly%20portfolio%2031-01-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MT"/>
      <sheetName val="LW"/>
      <sheetName val="FL"/>
      <sheetName val="CB"/>
      <sheetName val="NS"/>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4CF56-11B2-4B45-A265-4C56966CF322}">
  <dimension ref="A1:BC128"/>
  <sheetViews>
    <sheetView showGridLines="0" tabSelected="1" zoomScale="90" zoomScaleNormal="90" workbookViewId="0">
      <pane ySplit="6" topLeftCell="A133" activePane="bottomLeft" state="frozen"/>
      <selection activeCell="J4" sqref="J4"/>
      <selection pane="bottomLeft" activeCell="F145" sqref="F145"/>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44957</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A16" s="35"/>
      <c r="B16" s="36"/>
      <c r="C16" s="28" t="s">
        <v>19</v>
      </c>
      <c r="D16" s="29"/>
      <c r="E16" s="30"/>
      <c r="F16" s="31"/>
      <c r="G16" s="32"/>
      <c r="H16" s="32"/>
      <c r="I16" s="33"/>
      <c r="J16" s="33"/>
      <c r="K16" s="34"/>
    </row>
    <row r="17" spans="2:11" x14ac:dyDescent="0.3">
      <c r="C17" s="37" t="s">
        <v>20</v>
      </c>
      <c r="D17" s="29"/>
      <c r="E17" s="30"/>
      <c r="F17" s="31"/>
      <c r="G17" s="32"/>
      <c r="H17" s="32"/>
      <c r="I17" s="33"/>
      <c r="J17" s="33"/>
      <c r="K17" s="34"/>
    </row>
    <row r="18" spans="2:11" x14ac:dyDescent="0.3">
      <c r="B18" s="1" t="s">
        <v>21</v>
      </c>
      <c r="C18" s="21" t="s">
        <v>22</v>
      </c>
      <c r="D18" s="29" t="s">
        <v>23</v>
      </c>
      <c r="E18" s="30" t="s">
        <v>24</v>
      </c>
      <c r="F18" s="31">
        <v>250</v>
      </c>
      <c r="G18" s="32">
        <v>2484.3000000000002</v>
      </c>
      <c r="H18" s="32">
        <v>5.58</v>
      </c>
      <c r="I18" s="33">
        <v>7.4401000000000002</v>
      </c>
      <c r="J18" s="33"/>
      <c r="K18" s="34" t="s">
        <v>25</v>
      </c>
    </row>
    <row r="19" spans="2:11" x14ac:dyDescent="0.3">
      <c r="B19" s="1" t="s">
        <v>26</v>
      </c>
      <c r="C19" s="21" t="s">
        <v>27</v>
      </c>
      <c r="D19" s="29" t="s">
        <v>28</v>
      </c>
      <c r="E19" s="30" t="s">
        <v>29</v>
      </c>
      <c r="F19" s="31">
        <v>140</v>
      </c>
      <c r="G19" s="32">
        <v>1380.02</v>
      </c>
      <c r="H19" s="32">
        <v>3.1</v>
      </c>
      <c r="I19" s="33">
        <v>8.4550000000000001</v>
      </c>
      <c r="J19" s="33"/>
      <c r="K19" s="34" t="s">
        <v>25</v>
      </c>
    </row>
    <row r="20" spans="2:11" x14ac:dyDescent="0.3">
      <c r="B20" s="1" t="s">
        <v>30</v>
      </c>
      <c r="C20" s="21" t="s">
        <v>31</v>
      </c>
      <c r="D20" s="29" t="s">
        <v>32</v>
      </c>
      <c r="E20" s="30" t="s">
        <v>33</v>
      </c>
      <c r="F20" s="31">
        <v>130</v>
      </c>
      <c r="G20" s="32">
        <v>1298.95</v>
      </c>
      <c r="H20" s="32">
        <v>2.92</v>
      </c>
      <c r="I20" s="33">
        <v>8.4906000000000006</v>
      </c>
      <c r="J20" s="33"/>
      <c r="K20" s="34" t="s">
        <v>25</v>
      </c>
    </row>
    <row r="21" spans="2:11" x14ac:dyDescent="0.3">
      <c r="B21" s="1" t="s">
        <v>34</v>
      </c>
      <c r="C21" s="21" t="s">
        <v>35</v>
      </c>
      <c r="D21" s="29" t="s">
        <v>36</v>
      </c>
      <c r="E21" s="30" t="s">
        <v>24</v>
      </c>
      <c r="F21" s="31">
        <v>80</v>
      </c>
      <c r="G21" s="32">
        <v>798.17</v>
      </c>
      <c r="H21" s="32">
        <v>1.79</v>
      </c>
      <c r="I21" s="33">
        <v>7.3000999999999996</v>
      </c>
      <c r="J21" s="33"/>
      <c r="K21" s="34" t="s">
        <v>25</v>
      </c>
    </row>
    <row r="22" spans="2:11" x14ac:dyDescent="0.3">
      <c r="C22" s="28" t="s">
        <v>37</v>
      </c>
      <c r="D22" s="29"/>
      <c r="E22" s="30"/>
      <c r="F22" s="31"/>
      <c r="G22" s="38">
        <v>5961.44</v>
      </c>
      <c r="H22" s="38">
        <v>13.39</v>
      </c>
      <c r="I22" s="33"/>
      <c r="J22" s="33"/>
      <c r="K22" s="34"/>
    </row>
    <row r="23" spans="2:11" x14ac:dyDescent="0.3">
      <c r="C23" s="21"/>
      <c r="D23" s="29"/>
      <c r="E23" s="30"/>
      <c r="F23" s="31"/>
      <c r="G23" s="32"/>
      <c r="H23" s="32"/>
      <c r="I23" s="33"/>
      <c r="J23" s="33"/>
      <c r="K23" s="34"/>
    </row>
    <row r="24" spans="2:11" x14ac:dyDescent="0.3">
      <c r="C24" s="28" t="s">
        <v>38</v>
      </c>
      <c r="D24" s="29"/>
      <c r="E24" s="30"/>
      <c r="F24" s="31"/>
      <c r="G24" s="32" t="s">
        <v>16</v>
      </c>
      <c r="H24" s="32" t="s">
        <v>16</v>
      </c>
      <c r="I24" s="33"/>
      <c r="J24" s="33"/>
      <c r="K24" s="34"/>
    </row>
    <row r="25" spans="2:11" x14ac:dyDescent="0.3">
      <c r="C25" s="21"/>
      <c r="D25" s="29"/>
      <c r="E25" s="30"/>
      <c r="F25" s="31"/>
      <c r="G25" s="32"/>
      <c r="H25" s="32"/>
      <c r="I25" s="33"/>
      <c r="J25" s="33"/>
      <c r="K25" s="34"/>
    </row>
    <row r="26" spans="2:11" x14ac:dyDescent="0.3">
      <c r="C26" s="28" t="s">
        <v>39</v>
      </c>
      <c r="D26" s="29"/>
      <c r="E26" s="30"/>
      <c r="F26" s="31"/>
      <c r="G26" s="32" t="s">
        <v>16</v>
      </c>
      <c r="H26" s="32" t="s">
        <v>16</v>
      </c>
      <c r="I26" s="33"/>
      <c r="J26" s="33"/>
      <c r="K26" s="34"/>
    </row>
    <row r="27" spans="2:11" x14ac:dyDescent="0.3">
      <c r="C27" s="21"/>
      <c r="D27" s="29"/>
      <c r="E27" s="30"/>
      <c r="F27" s="31"/>
      <c r="G27" s="32"/>
      <c r="H27" s="32"/>
      <c r="I27" s="33"/>
      <c r="J27" s="33"/>
      <c r="K27" s="34"/>
    </row>
    <row r="28" spans="2:11" x14ac:dyDescent="0.3">
      <c r="C28" s="37" t="s">
        <v>40</v>
      </c>
      <c r="D28" s="29"/>
      <c r="E28" s="30"/>
      <c r="F28" s="31"/>
      <c r="G28" s="32"/>
      <c r="H28" s="32"/>
      <c r="I28" s="33"/>
      <c r="J28" s="33"/>
      <c r="K28" s="34"/>
    </row>
    <row r="29" spans="2:11" x14ac:dyDescent="0.3">
      <c r="B29" s="1" t="s">
        <v>41</v>
      </c>
      <c r="C29" s="21" t="s">
        <v>42</v>
      </c>
      <c r="D29" s="29" t="s">
        <v>43</v>
      </c>
      <c r="E29" s="30" t="s">
        <v>44</v>
      </c>
      <c r="F29" s="31">
        <v>2000000</v>
      </c>
      <c r="G29" s="32">
        <v>1949.6</v>
      </c>
      <c r="H29" s="32">
        <v>4.38</v>
      </c>
      <c r="I29" s="33">
        <v>0</v>
      </c>
      <c r="J29" s="33"/>
      <c r="K29" s="34"/>
    </row>
    <row r="30" spans="2:11" x14ac:dyDescent="0.3">
      <c r="C30" s="28" t="s">
        <v>37</v>
      </c>
      <c r="D30" s="29"/>
      <c r="E30" s="30"/>
      <c r="F30" s="31"/>
      <c r="G30" s="38">
        <v>1949.6</v>
      </c>
      <c r="H30" s="38">
        <v>4.38</v>
      </c>
      <c r="I30" s="33"/>
      <c r="J30" s="33"/>
      <c r="K30" s="34"/>
    </row>
    <row r="31" spans="2:11" x14ac:dyDescent="0.3">
      <c r="C31" s="21"/>
      <c r="D31" s="29"/>
      <c r="E31" s="30"/>
      <c r="F31" s="31"/>
      <c r="G31" s="32"/>
      <c r="H31" s="32"/>
      <c r="I31" s="33"/>
      <c r="J31" s="33"/>
      <c r="K31" s="34"/>
    </row>
    <row r="32" spans="2:11" x14ac:dyDescent="0.3">
      <c r="C32" s="37" t="s">
        <v>45</v>
      </c>
      <c r="D32" s="29"/>
      <c r="E32" s="30"/>
      <c r="F32" s="31"/>
      <c r="G32" s="32"/>
      <c r="H32" s="32"/>
      <c r="I32" s="33"/>
      <c r="J32" s="33"/>
      <c r="K32" s="34"/>
    </row>
    <row r="33" spans="1:11" x14ac:dyDescent="0.3">
      <c r="B33" s="1" t="s">
        <v>46</v>
      </c>
      <c r="C33" s="21" t="s">
        <v>47</v>
      </c>
      <c r="D33" s="29" t="s">
        <v>48</v>
      </c>
      <c r="E33" s="30" t="s">
        <v>44</v>
      </c>
      <c r="F33" s="31">
        <v>100000</v>
      </c>
      <c r="G33" s="32">
        <v>101.8</v>
      </c>
      <c r="H33" s="32">
        <v>0.23</v>
      </c>
      <c r="I33" s="33">
        <v>7.2311810999999997</v>
      </c>
      <c r="J33" s="33"/>
      <c r="K33" s="34"/>
    </row>
    <row r="34" spans="1:11" x14ac:dyDescent="0.3">
      <c r="C34" s="28" t="s">
        <v>37</v>
      </c>
      <c r="D34" s="29"/>
      <c r="E34" s="30"/>
      <c r="F34" s="31"/>
      <c r="G34" s="38">
        <v>101.8</v>
      </c>
      <c r="H34" s="38">
        <v>0.23</v>
      </c>
      <c r="I34" s="33"/>
      <c r="J34" s="33"/>
      <c r="K34" s="34"/>
    </row>
    <row r="35" spans="1:11" x14ac:dyDescent="0.3">
      <c r="C35" s="21"/>
      <c r="D35" s="29"/>
      <c r="E35" s="30"/>
      <c r="F35" s="31"/>
      <c r="G35" s="32"/>
      <c r="H35" s="32"/>
      <c r="I35" s="33"/>
      <c r="J35" s="33"/>
      <c r="K35" s="34"/>
    </row>
    <row r="36" spans="1:11" x14ac:dyDescent="0.3">
      <c r="A36" s="35"/>
      <c r="B36" s="36"/>
      <c r="C36" s="28" t="s">
        <v>49</v>
      </c>
      <c r="D36" s="29"/>
      <c r="E36" s="30"/>
      <c r="F36" s="31"/>
      <c r="G36" s="32"/>
      <c r="H36" s="32"/>
      <c r="I36" s="33"/>
      <c r="J36" s="33"/>
      <c r="K36" s="34"/>
    </row>
    <row r="37" spans="1:11" x14ac:dyDescent="0.3">
      <c r="C37" s="37" t="s">
        <v>50</v>
      </c>
      <c r="D37" s="29"/>
      <c r="E37" s="30"/>
      <c r="F37" s="31"/>
      <c r="G37" s="32"/>
      <c r="H37" s="32"/>
      <c r="I37" s="33"/>
      <c r="J37" s="33"/>
      <c r="K37" s="34"/>
    </row>
    <row r="38" spans="1:11" x14ac:dyDescent="0.3">
      <c r="B38" s="1" t="s">
        <v>51</v>
      </c>
      <c r="C38" s="21" t="s">
        <v>52</v>
      </c>
      <c r="D38" s="29" t="s">
        <v>53</v>
      </c>
      <c r="E38" s="30" t="s">
        <v>54</v>
      </c>
      <c r="F38" s="31">
        <v>500</v>
      </c>
      <c r="G38" s="32">
        <v>2443.7800000000002</v>
      </c>
      <c r="H38" s="32">
        <v>5.49</v>
      </c>
      <c r="I38" s="33">
        <v>7.5650000000000004</v>
      </c>
      <c r="J38" s="33"/>
      <c r="K38" s="34" t="s">
        <v>25</v>
      </c>
    </row>
    <row r="39" spans="1:11" x14ac:dyDescent="0.3">
      <c r="B39" s="1" t="s">
        <v>55</v>
      </c>
      <c r="C39" s="21" t="s">
        <v>56</v>
      </c>
      <c r="D39" s="29" t="s">
        <v>57</v>
      </c>
      <c r="E39" s="30" t="s">
        <v>54</v>
      </c>
      <c r="F39" s="31">
        <v>500</v>
      </c>
      <c r="G39" s="32">
        <v>2437.0700000000002</v>
      </c>
      <c r="H39" s="32">
        <v>5.48</v>
      </c>
      <c r="I39" s="33">
        <v>7.48</v>
      </c>
      <c r="J39" s="33"/>
      <c r="K39" s="34" t="s">
        <v>25</v>
      </c>
    </row>
    <row r="40" spans="1:11" x14ac:dyDescent="0.3">
      <c r="B40" s="1" t="s">
        <v>58</v>
      </c>
      <c r="C40" s="21" t="s">
        <v>59</v>
      </c>
      <c r="D40" s="29" t="s">
        <v>60</v>
      </c>
      <c r="E40" s="30" t="s">
        <v>61</v>
      </c>
      <c r="F40" s="31">
        <v>500</v>
      </c>
      <c r="G40" s="32">
        <v>2435.11</v>
      </c>
      <c r="H40" s="32">
        <v>5.47</v>
      </c>
      <c r="I40" s="33">
        <v>7.7201000000000004</v>
      </c>
      <c r="J40" s="33"/>
      <c r="K40" s="34" t="s">
        <v>25</v>
      </c>
    </row>
    <row r="41" spans="1:11" x14ac:dyDescent="0.3">
      <c r="B41" s="1" t="s">
        <v>62</v>
      </c>
      <c r="C41" s="21" t="s">
        <v>63</v>
      </c>
      <c r="D41" s="29" t="s">
        <v>64</v>
      </c>
      <c r="E41" s="30" t="s">
        <v>54</v>
      </c>
      <c r="F41" s="31">
        <v>300</v>
      </c>
      <c r="G41" s="32">
        <v>1446.72</v>
      </c>
      <c r="H41" s="32">
        <v>3.25</v>
      </c>
      <c r="I41" s="33">
        <v>7.7249999999999996</v>
      </c>
      <c r="J41" s="33"/>
      <c r="K41" s="34" t="s">
        <v>25</v>
      </c>
    </row>
    <row r="42" spans="1:11" x14ac:dyDescent="0.3">
      <c r="B42" s="1" t="s">
        <v>65</v>
      </c>
      <c r="C42" s="21" t="s">
        <v>66</v>
      </c>
      <c r="D42" s="29" t="s">
        <v>67</v>
      </c>
      <c r="E42" s="30" t="s">
        <v>54</v>
      </c>
      <c r="F42" s="31">
        <v>300</v>
      </c>
      <c r="G42" s="32">
        <v>1409.96</v>
      </c>
      <c r="H42" s="32">
        <v>3.17</v>
      </c>
      <c r="I42" s="33">
        <v>7.9012000000000002</v>
      </c>
      <c r="J42" s="33"/>
      <c r="K42" s="34" t="s">
        <v>25</v>
      </c>
    </row>
    <row r="43" spans="1:11" x14ac:dyDescent="0.3">
      <c r="B43" s="1" t="s">
        <v>68</v>
      </c>
      <c r="C43" s="21" t="s">
        <v>69</v>
      </c>
      <c r="D43" s="29" t="s">
        <v>70</v>
      </c>
      <c r="E43" s="30" t="s">
        <v>54</v>
      </c>
      <c r="F43" s="31">
        <v>100</v>
      </c>
      <c r="G43" s="32">
        <v>482.14</v>
      </c>
      <c r="H43" s="32">
        <v>1.08</v>
      </c>
      <c r="I43" s="33">
        <v>7.8150000000000004</v>
      </c>
      <c r="J43" s="33"/>
      <c r="K43" s="34" t="s">
        <v>25</v>
      </c>
    </row>
    <row r="44" spans="1:11" x14ac:dyDescent="0.3">
      <c r="B44" s="1" t="s">
        <v>71</v>
      </c>
      <c r="C44" s="21" t="s">
        <v>72</v>
      </c>
      <c r="D44" s="29" t="s">
        <v>73</v>
      </c>
      <c r="E44" s="30" t="s">
        <v>54</v>
      </c>
      <c r="F44" s="31">
        <v>100</v>
      </c>
      <c r="G44" s="32">
        <v>468.81</v>
      </c>
      <c r="H44" s="32">
        <v>1.05</v>
      </c>
      <c r="I44" s="33">
        <v>7.9099000000000004</v>
      </c>
      <c r="J44" s="33"/>
      <c r="K44" s="34" t="s">
        <v>25</v>
      </c>
    </row>
    <row r="45" spans="1:11" x14ac:dyDescent="0.3">
      <c r="C45" s="28" t="s">
        <v>37</v>
      </c>
      <c r="D45" s="29"/>
      <c r="E45" s="30"/>
      <c r="F45" s="31"/>
      <c r="G45" s="38">
        <v>11123.59</v>
      </c>
      <c r="H45" s="38">
        <v>24.99</v>
      </c>
      <c r="I45" s="33"/>
      <c r="J45" s="33"/>
      <c r="K45" s="34"/>
    </row>
    <row r="46" spans="1:11" x14ac:dyDescent="0.3">
      <c r="C46" s="21"/>
      <c r="D46" s="29"/>
      <c r="E46" s="30"/>
      <c r="F46" s="31"/>
      <c r="G46" s="32"/>
      <c r="H46" s="32"/>
      <c r="I46" s="33"/>
      <c r="J46" s="33"/>
      <c r="K46" s="34"/>
    </row>
    <row r="47" spans="1:11" x14ac:dyDescent="0.3">
      <c r="C47" s="37" t="s">
        <v>74</v>
      </c>
      <c r="D47" s="29"/>
      <c r="E47" s="30"/>
      <c r="F47" s="31"/>
      <c r="G47" s="32"/>
      <c r="H47" s="32"/>
      <c r="I47" s="33"/>
      <c r="J47" s="33"/>
      <c r="K47" s="34"/>
    </row>
    <row r="48" spans="1:11" x14ac:dyDescent="0.3">
      <c r="B48" s="1" t="s">
        <v>75</v>
      </c>
      <c r="C48" s="21" t="s">
        <v>76</v>
      </c>
      <c r="D48" s="29" t="s">
        <v>77</v>
      </c>
      <c r="E48" s="30" t="s">
        <v>61</v>
      </c>
      <c r="F48" s="31">
        <v>700</v>
      </c>
      <c r="G48" s="32">
        <v>3333.16</v>
      </c>
      <c r="H48" s="32">
        <v>7.49</v>
      </c>
      <c r="I48" s="33">
        <v>7.6124999999999998</v>
      </c>
      <c r="J48" s="33"/>
      <c r="K48" s="34" t="s">
        <v>25</v>
      </c>
    </row>
    <row r="49" spans="2:11" x14ac:dyDescent="0.3">
      <c r="B49" s="1" t="s">
        <v>78</v>
      </c>
      <c r="C49" s="21" t="s">
        <v>79</v>
      </c>
      <c r="D49" s="29" t="s">
        <v>80</v>
      </c>
      <c r="E49" s="30" t="s">
        <v>81</v>
      </c>
      <c r="F49" s="31">
        <v>500</v>
      </c>
      <c r="G49" s="32">
        <v>2449.04</v>
      </c>
      <c r="H49" s="32">
        <v>5.5</v>
      </c>
      <c r="I49" s="33">
        <v>7.3738999999999999</v>
      </c>
      <c r="J49" s="33"/>
      <c r="K49" s="34" t="s">
        <v>25</v>
      </c>
    </row>
    <row r="50" spans="2:11" x14ac:dyDescent="0.3">
      <c r="B50" s="1" t="s">
        <v>82</v>
      </c>
      <c r="C50" s="21" t="s">
        <v>83</v>
      </c>
      <c r="D50" s="29" t="s">
        <v>84</v>
      </c>
      <c r="E50" s="30" t="s">
        <v>54</v>
      </c>
      <c r="F50" s="31">
        <v>500</v>
      </c>
      <c r="G50" s="32">
        <v>2437.0300000000002</v>
      </c>
      <c r="H50" s="32">
        <v>5.48</v>
      </c>
      <c r="I50" s="33">
        <v>7.4851000000000001</v>
      </c>
      <c r="J50" s="33"/>
      <c r="K50" s="34" t="s">
        <v>25</v>
      </c>
    </row>
    <row r="51" spans="2:11" x14ac:dyDescent="0.3">
      <c r="B51" s="1" t="s">
        <v>85</v>
      </c>
      <c r="C51" s="21" t="s">
        <v>86</v>
      </c>
      <c r="D51" s="29" t="s">
        <v>87</v>
      </c>
      <c r="E51" s="30" t="s">
        <v>54</v>
      </c>
      <c r="F51" s="31">
        <v>500</v>
      </c>
      <c r="G51" s="32">
        <v>2432.79</v>
      </c>
      <c r="H51" s="32">
        <v>5.47</v>
      </c>
      <c r="I51" s="33">
        <v>7.47</v>
      </c>
      <c r="J51" s="33"/>
      <c r="K51" s="34" t="s">
        <v>25</v>
      </c>
    </row>
    <row r="52" spans="2:11" x14ac:dyDescent="0.3">
      <c r="B52" s="1" t="s">
        <v>88</v>
      </c>
      <c r="C52" s="21" t="s">
        <v>89</v>
      </c>
      <c r="D52" s="29" t="s">
        <v>90</v>
      </c>
      <c r="E52" s="30" t="s">
        <v>54</v>
      </c>
      <c r="F52" s="31">
        <v>400</v>
      </c>
      <c r="G52" s="32">
        <v>1921.06</v>
      </c>
      <c r="H52" s="32">
        <v>4.32</v>
      </c>
      <c r="I52" s="33">
        <v>7.5750000000000002</v>
      </c>
      <c r="J52" s="33"/>
      <c r="K52" s="34" t="s">
        <v>25</v>
      </c>
    </row>
    <row r="53" spans="2:11" x14ac:dyDescent="0.3">
      <c r="B53" s="1" t="s">
        <v>91</v>
      </c>
      <c r="C53" s="21" t="s">
        <v>92</v>
      </c>
      <c r="D53" s="29" t="s">
        <v>93</v>
      </c>
      <c r="E53" s="30" t="s">
        <v>81</v>
      </c>
      <c r="F53" s="31">
        <v>360</v>
      </c>
      <c r="G53" s="32">
        <v>1720.63</v>
      </c>
      <c r="H53" s="32">
        <v>3.87</v>
      </c>
      <c r="I53" s="33">
        <v>7.5499000000000001</v>
      </c>
      <c r="J53" s="33"/>
      <c r="K53" s="34"/>
    </row>
    <row r="54" spans="2:11" x14ac:dyDescent="0.3">
      <c r="B54" s="1" t="s">
        <v>94</v>
      </c>
      <c r="C54" s="21" t="s">
        <v>95</v>
      </c>
      <c r="D54" s="29" t="s">
        <v>96</v>
      </c>
      <c r="E54" s="30" t="s">
        <v>81</v>
      </c>
      <c r="F54" s="31">
        <v>340</v>
      </c>
      <c r="G54" s="32">
        <v>1593.69</v>
      </c>
      <c r="H54" s="32">
        <v>3.58</v>
      </c>
      <c r="I54" s="33">
        <v>7.7050000000000001</v>
      </c>
      <c r="J54" s="33"/>
      <c r="K54" s="34" t="s">
        <v>25</v>
      </c>
    </row>
    <row r="55" spans="2:11" x14ac:dyDescent="0.3">
      <c r="B55" s="1" t="s">
        <v>97</v>
      </c>
      <c r="C55" s="21" t="s">
        <v>98</v>
      </c>
      <c r="D55" s="29" t="s">
        <v>99</v>
      </c>
      <c r="E55" s="30" t="s">
        <v>54</v>
      </c>
      <c r="F55" s="31">
        <v>300</v>
      </c>
      <c r="G55" s="32">
        <v>1440.82</v>
      </c>
      <c r="H55" s="32">
        <v>3.24</v>
      </c>
      <c r="I55" s="33">
        <v>7.61</v>
      </c>
      <c r="J55" s="33"/>
      <c r="K55" s="34" t="s">
        <v>25</v>
      </c>
    </row>
    <row r="56" spans="2:11" x14ac:dyDescent="0.3">
      <c r="B56" s="1" t="s">
        <v>100</v>
      </c>
      <c r="C56" s="21" t="s">
        <v>101</v>
      </c>
      <c r="D56" s="29" t="s">
        <v>102</v>
      </c>
      <c r="E56" s="30" t="s">
        <v>54</v>
      </c>
      <c r="F56" s="31">
        <v>260</v>
      </c>
      <c r="G56" s="32">
        <v>1250.43</v>
      </c>
      <c r="H56" s="32">
        <v>2.81</v>
      </c>
      <c r="I56" s="33">
        <v>7.5750000000000002</v>
      </c>
      <c r="J56" s="33"/>
      <c r="K56" s="34" t="s">
        <v>25</v>
      </c>
    </row>
    <row r="57" spans="2:11" x14ac:dyDescent="0.3">
      <c r="B57" s="1" t="s">
        <v>103</v>
      </c>
      <c r="C57" s="21" t="s">
        <v>104</v>
      </c>
      <c r="D57" s="29" t="s">
        <v>105</v>
      </c>
      <c r="E57" s="30" t="s">
        <v>54</v>
      </c>
      <c r="F57" s="31">
        <v>240</v>
      </c>
      <c r="G57" s="32">
        <v>1168.5899999999999</v>
      </c>
      <c r="H57" s="32">
        <v>2.63</v>
      </c>
      <c r="I57" s="33">
        <v>7.4901999999999997</v>
      </c>
      <c r="J57" s="33"/>
      <c r="K57" s="34"/>
    </row>
    <row r="58" spans="2:11" x14ac:dyDescent="0.3">
      <c r="B58" s="1" t="s">
        <v>106</v>
      </c>
      <c r="C58" s="21" t="s">
        <v>107</v>
      </c>
      <c r="D58" s="29" t="s">
        <v>108</v>
      </c>
      <c r="E58" s="30" t="s">
        <v>61</v>
      </c>
      <c r="F58" s="31">
        <v>220</v>
      </c>
      <c r="G58" s="32">
        <v>1031.6199999999999</v>
      </c>
      <c r="H58" s="32">
        <v>2.3199999999999998</v>
      </c>
      <c r="I58" s="33">
        <v>7.7050000000000001</v>
      </c>
      <c r="J58" s="33"/>
      <c r="K58" s="34" t="s">
        <v>25</v>
      </c>
    </row>
    <row r="59" spans="2:11" x14ac:dyDescent="0.3">
      <c r="B59" s="1" t="s">
        <v>109</v>
      </c>
      <c r="C59" s="21" t="s">
        <v>110</v>
      </c>
      <c r="D59" s="29" t="s">
        <v>111</v>
      </c>
      <c r="E59" s="30" t="s">
        <v>54</v>
      </c>
      <c r="F59" s="31">
        <v>100</v>
      </c>
      <c r="G59" s="32">
        <v>474.5</v>
      </c>
      <c r="H59" s="32">
        <v>1.07</v>
      </c>
      <c r="I59" s="33">
        <v>7.7850000000000001</v>
      </c>
      <c r="J59" s="33"/>
      <c r="K59" s="34" t="s">
        <v>25</v>
      </c>
    </row>
    <row r="60" spans="2:11" x14ac:dyDescent="0.3">
      <c r="C60" s="28" t="s">
        <v>37</v>
      </c>
      <c r="D60" s="29"/>
      <c r="E60" s="30"/>
      <c r="F60" s="31"/>
      <c r="G60" s="38">
        <v>21253.360000000001</v>
      </c>
      <c r="H60" s="38">
        <v>47.78</v>
      </c>
      <c r="I60" s="33"/>
      <c r="J60" s="33"/>
      <c r="K60" s="34"/>
    </row>
    <row r="61" spans="2:11" x14ac:dyDescent="0.3">
      <c r="C61" s="21"/>
      <c r="D61" s="29"/>
      <c r="E61" s="30"/>
      <c r="F61" s="31"/>
      <c r="G61" s="32"/>
      <c r="H61" s="32"/>
      <c r="I61" s="33"/>
      <c r="J61" s="33"/>
      <c r="K61" s="34"/>
    </row>
    <row r="62" spans="2:11" x14ac:dyDescent="0.3">
      <c r="C62" s="37" t="s">
        <v>112</v>
      </c>
      <c r="D62" s="29"/>
      <c r="E62" s="30"/>
      <c r="F62" s="31"/>
      <c r="G62" s="32"/>
      <c r="H62" s="32"/>
      <c r="I62" s="33"/>
      <c r="J62" s="33"/>
      <c r="K62" s="34"/>
    </row>
    <row r="63" spans="2:11" x14ac:dyDescent="0.3">
      <c r="B63" s="1" t="s">
        <v>113</v>
      </c>
      <c r="C63" s="21" t="s">
        <v>114</v>
      </c>
      <c r="D63" s="29" t="s">
        <v>115</v>
      </c>
      <c r="E63" s="30" t="s">
        <v>44</v>
      </c>
      <c r="F63" s="31">
        <v>500000</v>
      </c>
      <c r="G63" s="32">
        <v>474.27</v>
      </c>
      <c r="H63" s="32">
        <v>1.07</v>
      </c>
      <c r="I63" s="33">
        <v>6.875</v>
      </c>
      <c r="J63" s="33"/>
      <c r="K63" s="34"/>
    </row>
    <row r="64" spans="2:11" x14ac:dyDescent="0.3">
      <c r="C64" s="28" t="s">
        <v>37</v>
      </c>
      <c r="D64" s="29"/>
      <c r="E64" s="30"/>
      <c r="F64" s="31"/>
      <c r="G64" s="38">
        <v>474.27</v>
      </c>
      <c r="H64" s="38">
        <v>1.07</v>
      </c>
      <c r="I64" s="33"/>
      <c r="J64" s="33"/>
      <c r="K64" s="34"/>
    </row>
    <row r="65" spans="1:11" x14ac:dyDescent="0.3">
      <c r="C65" s="21"/>
      <c r="D65" s="29"/>
      <c r="E65" s="30"/>
      <c r="F65" s="31"/>
      <c r="G65" s="32"/>
      <c r="H65" s="32"/>
      <c r="I65" s="33"/>
      <c r="J65" s="33"/>
      <c r="K65" s="34"/>
    </row>
    <row r="66" spans="1:11" x14ac:dyDescent="0.3">
      <c r="C66" s="28" t="s">
        <v>116</v>
      </c>
      <c r="D66" s="29"/>
      <c r="E66" s="30"/>
      <c r="F66" s="31"/>
      <c r="G66" s="32" t="s">
        <v>16</v>
      </c>
      <c r="H66" s="32" t="s">
        <v>16</v>
      </c>
      <c r="I66" s="33"/>
      <c r="J66" s="33"/>
      <c r="K66" s="34"/>
    </row>
    <row r="67" spans="1:11" x14ac:dyDescent="0.3">
      <c r="C67" s="21"/>
      <c r="D67" s="29"/>
      <c r="E67" s="30"/>
      <c r="F67" s="31"/>
      <c r="G67" s="32"/>
      <c r="H67" s="32"/>
      <c r="I67" s="33"/>
      <c r="J67" s="33"/>
      <c r="K67" s="34"/>
    </row>
    <row r="68" spans="1:11" x14ac:dyDescent="0.3">
      <c r="A68" s="35"/>
      <c r="B68" s="36"/>
      <c r="C68" s="28" t="s">
        <v>117</v>
      </c>
      <c r="D68" s="29"/>
      <c r="E68" s="30"/>
      <c r="F68" s="31"/>
      <c r="G68" s="32"/>
      <c r="H68" s="32"/>
      <c r="I68" s="33"/>
      <c r="J68" s="33"/>
      <c r="K68" s="34"/>
    </row>
    <row r="69" spans="1:11" x14ac:dyDescent="0.3">
      <c r="A69" s="36"/>
      <c r="B69" s="36"/>
      <c r="C69" s="28" t="s">
        <v>118</v>
      </c>
      <c r="D69" s="29"/>
      <c r="E69" s="30"/>
      <c r="F69" s="31"/>
      <c r="G69" s="32" t="s">
        <v>16</v>
      </c>
      <c r="H69" s="32" t="s">
        <v>16</v>
      </c>
      <c r="I69" s="33"/>
      <c r="J69" s="33"/>
      <c r="K69" s="34"/>
    </row>
    <row r="70" spans="1:11" x14ac:dyDescent="0.3">
      <c r="A70" s="36"/>
      <c r="B70" s="36"/>
      <c r="C70" s="28"/>
      <c r="D70" s="29"/>
      <c r="E70" s="30"/>
      <c r="F70" s="31"/>
      <c r="G70" s="32"/>
      <c r="H70" s="32"/>
      <c r="I70" s="33"/>
      <c r="J70" s="33"/>
      <c r="K70" s="34"/>
    </row>
    <row r="71" spans="1:11" x14ac:dyDescent="0.3">
      <c r="A71" s="36"/>
      <c r="B71" s="36"/>
      <c r="C71" s="28" t="s">
        <v>119</v>
      </c>
      <c r="D71" s="29"/>
      <c r="E71" s="30"/>
      <c r="F71" s="31"/>
      <c r="G71" s="32" t="s">
        <v>16</v>
      </c>
      <c r="H71" s="32" t="s">
        <v>16</v>
      </c>
      <c r="I71" s="33"/>
      <c r="J71" s="33"/>
      <c r="K71" s="34"/>
    </row>
    <row r="72" spans="1:11" x14ac:dyDescent="0.3">
      <c r="A72" s="36"/>
      <c r="B72" s="36"/>
      <c r="C72" s="28"/>
      <c r="D72" s="29"/>
      <c r="E72" s="30"/>
      <c r="F72" s="31"/>
      <c r="G72" s="32"/>
      <c r="H72" s="32"/>
      <c r="I72" s="33"/>
      <c r="J72" s="33"/>
      <c r="K72" s="34"/>
    </row>
    <row r="73" spans="1:11" x14ac:dyDescent="0.3">
      <c r="A73" s="36"/>
      <c r="B73" s="36"/>
      <c r="C73" s="28" t="s">
        <v>120</v>
      </c>
      <c r="D73" s="29"/>
      <c r="E73" s="30"/>
      <c r="F73" s="31"/>
      <c r="G73" s="32" t="s">
        <v>16</v>
      </c>
      <c r="H73" s="32" t="s">
        <v>16</v>
      </c>
      <c r="I73" s="33"/>
      <c r="J73" s="33"/>
      <c r="K73" s="34"/>
    </row>
    <row r="74" spans="1:11" x14ac:dyDescent="0.3">
      <c r="A74" s="36"/>
      <c r="B74" s="36"/>
      <c r="C74" s="28"/>
      <c r="D74" s="29"/>
      <c r="E74" s="30"/>
      <c r="F74" s="31"/>
      <c r="G74" s="32"/>
      <c r="H74" s="32"/>
      <c r="I74" s="33"/>
      <c r="J74" s="33"/>
      <c r="K74" s="34"/>
    </row>
    <row r="75" spans="1:11" x14ac:dyDescent="0.3">
      <c r="A75" s="36"/>
      <c r="B75" s="36"/>
      <c r="C75" s="28" t="s">
        <v>121</v>
      </c>
      <c r="D75" s="29"/>
      <c r="E75" s="30"/>
      <c r="F75" s="31"/>
      <c r="G75" s="32" t="s">
        <v>16</v>
      </c>
      <c r="H75" s="32" t="s">
        <v>16</v>
      </c>
      <c r="I75" s="33"/>
      <c r="J75" s="33"/>
      <c r="K75" s="34"/>
    </row>
    <row r="76" spans="1:11" x14ac:dyDescent="0.3">
      <c r="A76" s="36"/>
      <c r="B76" s="36"/>
      <c r="C76" s="28"/>
      <c r="D76" s="29"/>
      <c r="E76" s="30"/>
      <c r="F76" s="31"/>
      <c r="G76" s="32"/>
      <c r="H76" s="32"/>
      <c r="I76" s="33"/>
      <c r="J76" s="33"/>
      <c r="K76" s="34"/>
    </row>
    <row r="77" spans="1:11" x14ac:dyDescent="0.3">
      <c r="C77" s="37" t="s">
        <v>122</v>
      </c>
      <c r="D77" s="29"/>
      <c r="E77" s="30"/>
      <c r="F77" s="31"/>
      <c r="G77" s="32"/>
      <c r="H77" s="32"/>
      <c r="I77" s="33"/>
      <c r="J77" s="33"/>
      <c r="K77" s="34"/>
    </row>
    <row r="78" spans="1:11" x14ac:dyDescent="0.3">
      <c r="B78" s="1" t="s">
        <v>123</v>
      </c>
      <c r="C78" s="21" t="s">
        <v>124</v>
      </c>
      <c r="D78" s="29"/>
      <c r="E78" s="30"/>
      <c r="F78" s="31"/>
      <c r="G78" s="32">
        <v>7676.83</v>
      </c>
      <c r="H78" s="32">
        <v>17.25</v>
      </c>
      <c r="I78" s="33">
        <v>6.4121865622509997</v>
      </c>
      <c r="J78" s="33"/>
      <c r="K78" s="34"/>
    </row>
    <row r="79" spans="1:11" x14ac:dyDescent="0.3">
      <c r="C79" s="28" t="s">
        <v>37</v>
      </c>
      <c r="D79" s="29"/>
      <c r="E79" s="30"/>
      <c r="F79" s="31"/>
      <c r="G79" s="38">
        <v>7676.83</v>
      </c>
      <c r="H79" s="38">
        <v>17.25</v>
      </c>
      <c r="I79" s="33"/>
      <c r="J79" s="33"/>
      <c r="K79" s="34"/>
    </row>
    <row r="80" spans="1:11" x14ac:dyDescent="0.3">
      <c r="C80" s="21"/>
      <c r="D80" s="29"/>
      <c r="E80" s="30"/>
      <c r="F80" s="31"/>
      <c r="G80" s="32"/>
      <c r="H80" s="32"/>
      <c r="I80" s="33"/>
      <c r="J80" s="33"/>
      <c r="K80" s="34"/>
    </row>
    <row r="81" spans="1:11" x14ac:dyDescent="0.3">
      <c r="A81" s="35"/>
      <c r="B81" s="36"/>
      <c r="C81" s="28" t="s">
        <v>125</v>
      </c>
      <c r="D81" s="29"/>
      <c r="E81" s="30"/>
      <c r="F81" s="31"/>
      <c r="G81" s="32"/>
      <c r="H81" s="32"/>
      <c r="I81" s="33"/>
      <c r="J81" s="33"/>
      <c r="K81" s="34"/>
    </row>
    <row r="82" spans="1:11" x14ac:dyDescent="0.3">
      <c r="B82" s="1"/>
      <c r="C82" s="21" t="s">
        <v>126</v>
      </c>
      <c r="D82" s="29"/>
      <c r="E82" s="30"/>
      <c r="F82" s="31"/>
      <c r="G82" s="32">
        <v>-4032.85</v>
      </c>
      <c r="H82" s="32">
        <v>-9.09</v>
      </c>
      <c r="I82" s="33"/>
      <c r="J82" s="33"/>
      <c r="K82" s="34"/>
    </row>
    <row r="83" spans="1:11" x14ac:dyDescent="0.3">
      <c r="C83" s="28" t="s">
        <v>37</v>
      </c>
      <c r="D83" s="29"/>
      <c r="E83" s="30"/>
      <c r="F83" s="31"/>
      <c r="G83" s="38">
        <v>-4032.85</v>
      </c>
      <c r="H83" s="38">
        <v>-9.09</v>
      </c>
      <c r="I83" s="33"/>
      <c r="J83" s="33"/>
      <c r="K83" s="34"/>
    </row>
    <row r="84" spans="1:11" x14ac:dyDescent="0.3">
      <c r="C84" s="21"/>
      <c r="D84" s="29"/>
      <c r="E84" s="30"/>
      <c r="F84" s="31"/>
      <c r="G84" s="32"/>
      <c r="H84" s="32"/>
      <c r="I84" s="33"/>
      <c r="J84" s="33"/>
      <c r="K84" s="34"/>
    </row>
    <row r="85" spans="1:11" ht="14.4" thickBot="1" x14ac:dyDescent="0.35">
      <c r="C85" s="39" t="s">
        <v>127</v>
      </c>
      <c r="D85" s="40"/>
      <c r="E85" s="41"/>
      <c r="F85" s="42"/>
      <c r="G85" s="43">
        <v>44508.04</v>
      </c>
      <c r="H85" s="43">
        <f>SUMIFS(H:H,C:C,"Total")</f>
        <v>99.999999999999986</v>
      </c>
      <c r="I85" s="44"/>
      <c r="J85" s="44"/>
      <c r="K85" s="45"/>
    </row>
    <row r="88" spans="1:11" x14ac:dyDescent="0.3">
      <c r="C88" s="11" t="s">
        <v>128</v>
      </c>
    </row>
    <row r="89" spans="1:11" x14ac:dyDescent="0.3">
      <c r="C89" s="2" t="s">
        <v>129</v>
      </c>
    </row>
    <row r="90" spans="1:11" x14ac:dyDescent="0.3">
      <c r="C90" s="46" t="s">
        <v>130</v>
      </c>
    </row>
    <row r="91" spans="1:11" x14ac:dyDescent="0.3">
      <c r="C91" s="2" t="s">
        <v>131</v>
      </c>
    </row>
    <row r="92" spans="1:11" x14ac:dyDescent="0.3">
      <c r="C92" s="2" t="s">
        <v>132</v>
      </c>
    </row>
    <row r="93" spans="1:11" x14ac:dyDescent="0.3">
      <c r="C93" s="2" t="s">
        <v>133</v>
      </c>
      <c r="D93" s="47"/>
      <c r="E93" s="47"/>
      <c r="F93" s="47"/>
      <c r="G93" s="48"/>
      <c r="H93" s="48"/>
    </row>
    <row r="94" spans="1:11" x14ac:dyDescent="0.3">
      <c r="C94" s="2" t="s">
        <v>134</v>
      </c>
    </row>
    <row r="95" spans="1:11" x14ac:dyDescent="0.3">
      <c r="C95" s="2" t="s">
        <v>135</v>
      </c>
    </row>
    <row r="96" spans="1:11" x14ac:dyDescent="0.3">
      <c r="C96" s="2" t="s">
        <v>136</v>
      </c>
    </row>
    <row r="97" spans="3:55" x14ac:dyDescent="0.3">
      <c r="C97" s="2" t="s">
        <v>137</v>
      </c>
    </row>
    <row r="98" spans="3:55" s="11" customFormat="1" x14ac:dyDescent="0.3">
      <c r="C98" s="11" t="s">
        <v>138</v>
      </c>
      <c r="E98" s="11" t="s">
        <v>139</v>
      </c>
      <c r="F98" s="49" t="s">
        <v>140</v>
      </c>
      <c r="G98" s="50"/>
      <c r="H98" s="50"/>
      <c r="I98" s="50"/>
      <c r="J98" s="50"/>
      <c r="K98" s="51"/>
      <c r="L98" s="51"/>
      <c r="M98" s="51"/>
      <c r="AJ98" s="51"/>
      <c r="AW98" s="51"/>
      <c r="AY98" s="51"/>
      <c r="BC98" s="51"/>
    </row>
    <row r="99" spans="3:55" x14ac:dyDescent="0.3">
      <c r="C99" s="2" t="s">
        <v>141</v>
      </c>
      <c r="E99" s="52">
        <v>1006.2583</v>
      </c>
      <c r="F99" s="53">
        <v>1006.2583</v>
      </c>
    </row>
    <row r="100" spans="3:55" x14ac:dyDescent="0.3">
      <c r="C100" s="2" t="s">
        <v>142</v>
      </c>
      <c r="E100" s="52">
        <v>1289.3216</v>
      </c>
      <c r="F100" s="53">
        <v>1296.0935999999999</v>
      </c>
    </row>
    <row r="101" spans="3:55" x14ac:dyDescent="0.3">
      <c r="C101" s="2" t="s">
        <v>143</v>
      </c>
      <c r="E101" s="52">
        <v>1000.7559</v>
      </c>
      <c r="F101" s="53">
        <v>1000</v>
      </c>
    </row>
    <row r="102" spans="3:55" x14ac:dyDescent="0.3">
      <c r="C102" s="2" t="s">
        <v>144</v>
      </c>
      <c r="E102" s="52">
        <v>1007.0751</v>
      </c>
      <c r="F102" s="53">
        <v>1007.0751</v>
      </c>
    </row>
    <row r="103" spans="3:55" x14ac:dyDescent="0.3">
      <c r="C103" s="2" t="s">
        <v>145</v>
      </c>
      <c r="E103" s="52">
        <v>1300.1676</v>
      </c>
      <c r="F103" s="53">
        <v>1307.134</v>
      </c>
    </row>
    <row r="104" spans="3:55" x14ac:dyDescent="0.3">
      <c r="C104" s="2" t="s">
        <v>146</v>
      </c>
      <c r="E104" s="54">
        <v>1000</v>
      </c>
      <c r="F104" s="55">
        <v>1000</v>
      </c>
    </row>
    <row r="106" spans="3:55" x14ac:dyDescent="0.3">
      <c r="C106" s="2" t="s">
        <v>147</v>
      </c>
      <c r="E106" s="11" t="s">
        <v>148</v>
      </c>
      <c r="F106" s="49" t="s">
        <v>149</v>
      </c>
    </row>
    <row r="107" spans="3:55" x14ac:dyDescent="0.3">
      <c r="C107" s="2" t="s">
        <v>141</v>
      </c>
      <c r="E107" s="52">
        <v>5.2723487000000011</v>
      </c>
      <c r="F107" s="53">
        <v>5.2723487000000011</v>
      </c>
    </row>
    <row r="108" spans="3:55" x14ac:dyDescent="0.3">
      <c r="C108" s="2" t="s">
        <v>143</v>
      </c>
      <c r="E108" s="52">
        <v>5.9968242200000006</v>
      </c>
      <c r="F108" s="53">
        <v>5.9968242200000006</v>
      </c>
    </row>
    <row r="109" spans="3:55" x14ac:dyDescent="0.3">
      <c r="C109" s="2" t="s">
        <v>144</v>
      </c>
      <c r="E109" s="52">
        <v>5.3825877499999999</v>
      </c>
      <c r="F109" s="53">
        <v>5.3825877499999999</v>
      </c>
    </row>
    <row r="111" spans="3:55" x14ac:dyDescent="0.3">
      <c r="C111" s="2" t="s">
        <v>150</v>
      </c>
    </row>
    <row r="112" spans="3:55" x14ac:dyDescent="0.3">
      <c r="C112" s="2" t="s">
        <v>151</v>
      </c>
    </row>
    <row r="113" spans="3:55" x14ac:dyDescent="0.3">
      <c r="C113" s="2" t="s">
        <v>152</v>
      </c>
    </row>
    <row r="114" spans="3:55" x14ac:dyDescent="0.3">
      <c r="C114" s="2" t="s">
        <v>153</v>
      </c>
    </row>
    <row r="115" spans="3:55" x14ac:dyDescent="0.3">
      <c r="C115" s="2" t="s">
        <v>154</v>
      </c>
    </row>
    <row r="116" spans="3:55" x14ac:dyDescent="0.3">
      <c r="C116" s="2" t="s">
        <v>155</v>
      </c>
    </row>
    <row r="117" spans="3:55" x14ac:dyDescent="0.3">
      <c r="C117" s="2" t="s">
        <v>156</v>
      </c>
    </row>
    <row r="118" spans="3:55" x14ac:dyDescent="0.3">
      <c r="C118" s="2" t="s">
        <v>157</v>
      </c>
    </row>
    <row r="119" spans="3:55" x14ac:dyDescent="0.3">
      <c r="C119" s="2" t="s">
        <v>158</v>
      </c>
    </row>
    <row r="120" spans="3:55" x14ac:dyDescent="0.3">
      <c r="C120" s="2" t="s">
        <v>159</v>
      </c>
    </row>
    <row r="121" spans="3:55" x14ac:dyDescent="0.3">
      <c r="C121" s="2" t="s">
        <v>160</v>
      </c>
    </row>
    <row r="122" spans="3:55" x14ac:dyDescent="0.3">
      <c r="C122" s="2" t="s">
        <v>161</v>
      </c>
    </row>
    <row r="123" spans="3:55" ht="14.4" x14ac:dyDescent="0.3">
      <c r="C123" s="2" t="s">
        <v>162</v>
      </c>
      <c r="D123" s="56"/>
      <c r="E123" s="57"/>
      <c r="F123" s="57"/>
      <c r="G123" s="57"/>
      <c r="H123" s="57"/>
      <c r="I123" s="57"/>
      <c r="J123" s="57"/>
      <c r="K123" s="57"/>
      <c r="L123" s="2"/>
      <c r="M123" s="2"/>
      <c r="AF123" s="10"/>
      <c r="AJ123" s="2"/>
      <c r="AS123" s="10"/>
      <c r="AU123" s="10"/>
      <c r="AW123" s="2"/>
      <c r="BC123" s="2"/>
    </row>
    <row r="124" spans="3:55" ht="14.4" x14ac:dyDescent="0.3">
      <c r="C124" s="2" t="s">
        <v>163</v>
      </c>
      <c r="D124" s="57"/>
      <c r="E124" s="57"/>
      <c r="F124" s="57"/>
      <c r="G124" s="57"/>
      <c r="H124" s="57"/>
      <c r="I124" s="57"/>
      <c r="J124" s="57"/>
      <c r="K124" s="57"/>
      <c r="L124" s="2"/>
      <c r="M124" s="2"/>
      <c r="AF124" s="10"/>
      <c r="AJ124" s="2"/>
      <c r="AS124" s="10"/>
      <c r="AU124" s="10"/>
      <c r="AW124" s="2"/>
      <c r="BC124" s="2"/>
    </row>
    <row r="125" spans="3:55" ht="46.5" customHeight="1" x14ac:dyDescent="0.3">
      <c r="C125" s="58" t="s">
        <v>164</v>
      </c>
      <c r="D125" s="59"/>
      <c r="E125" s="59"/>
      <c r="F125" s="59"/>
      <c r="G125" s="59"/>
      <c r="H125" s="59"/>
      <c r="I125" s="59"/>
      <c r="J125" s="59"/>
      <c r="K125" s="59"/>
    </row>
    <row r="126" spans="3:55" ht="14.4" x14ac:dyDescent="0.3">
      <c r="C126" s="56"/>
      <c r="D126" s="56"/>
      <c r="E126" s="57"/>
      <c r="F126" s="57"/>
      <c r="G126" s="57"/>
      <c r="H126" s="57"/>
      <c r="I126" s="57"/>
      <c r="J126" s="57"/>
      <c r="K126" s="57"/>
    </row>
    <row r="127" spans="3:55" ht="14.4" x14ac:dyDescent="0.3">
      <c r="C127" s="57"/>
      <c r="D127" s="57"/>
      <c r="E127" s="57"/>
      <c r="F127" s="57"/>
      <c r="G127" s="57"/>
      <c r="H127" s="57"/>
      <c r="I127" s="57"/>
      <c r="J127" s="57"/>
      <c r="K127" s="57"/>
    </row>
    <row r="128" spans="3:55" ht="14.4" x14ac:dyDescent="0.3">
      <c r="C128" s="57"/>
      <c r="D128" s="57"/>
      <c r="E128" s="57"/>
      <c r="F128" s="57"/>
      <c r="G128" s="57"/>
      <c r="H128" s="57"/>
      <c r="I128" s="57"/>
      <c r="J128" s="57"/>
      <c r="K128" s="57"/>
    </row>
  </sheetData>
  <mergeCells count="1">
    <mergeCell ref="C125:K125"/>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85</vt:i4>
      </vt:variant>
    </vt:vector>
  </HeadingPairs>
  <TitlesOfParts>
    <vt:vector size="86" baseType="lpstr">
      <vt:lpstr>US</vt:lpstr>
      <vt:lpstr>XDO_?CLASS_3?22?</vt:lpstr>
      <vt:lpstr>XDO_?FINAL_ISIN?100?</vt:lpstr>
      <vt:lpstr>XDO_?FINAL_ISIN?101?</vt:lpstr>
      <vt:lpstr>XDO_?FINAL_ISIN?102?</vt:lpstr>
      <vt:lpstr>XDO_?FINAL_ISIN?95?</vt:lpstr>
      <vt:lpstr>XDO_?FINAL_ISIN?96?</vt:lpstr>
      <vt:lpstr>XDO_?FINAL_ISIN?97?</vt:lpstr>
      <vt:lpstr>XDO_?FINAL_ISIN?98?</vt:lpstr>
      <vt:lpstr>XDO_?FINAL_ISIN?99?</vt:lpstr>
      <vt:lpstr>XDO_?FINAL_MV?100?</vt:lpstr>
      <vt:lpstr>XDO_?FINAL_MV?101?</vt:lpstr>
      <vt:lpstr>XDO_?FINAL_MV?102?</vt:lpstr>
      <vt:lpstr>XDO_?FINAL_MV?95?</vt:lpstr>
      <vt:lpstr>XDO_?FINAL_MV?96?</vt:lpstr>
      <vt:lpstr>XDO_?FINAL_MV?97?</vt:lpstr>
      <vt:lpstr>XDO_?FINAL_MV?98?</vt:lpstr>
      <vt:lpstr>XDO_?FINAL_MV?99?</vt:lpstr>
      <vt:lpstr>XDO_?FINAL_NAME?100?</vt:lpstr>
      <vt:lpstr>XDO_?FINAL_NAME?101?</vt:lpstr>
      <vt:lpstr>XDO_?FINAL_NAME?102?</vt:lpstr>
      <vt:lpstr>XDO_?FINAL_NAME?95?</vt:lpstr>
      <vt:lpstr>XDO_?FINAL_NAME?96?</vt:lpstr>
      <vt:lpstr>XDO_?FINAL_NAME?97?</vt:lpstr>
      <vt:lpstr>XDO_?FINAL_NAME?98?</vt:lpstr>
      <vt:lpstr>XDO_?FINAL_NAME?99?</vt:lpstr>
      <vt:lpstr>XDO_?FINAL_PER_NET?100?</vt:lpstr>
      <vt:lpstr>XDO_?FINAL_PER_NET?101?</vt:lpstr>
      <vt:lpstr>XDO_?FINAL_PER_NET?102?</vt:lpstr>
      <vt:lpstr>XDO_?FINAL_PER_NET?95?</vt:lpstr>
      <vt:lpstr>XDO_?FINAL_PER_NET?96?</vt:lpstr>
      <vt:lpstr>XDO_?FINAL_PER_NET?97?</vt:lpstr>
      <vt:lpstr>XDO_?FINAL_PER_NET?98?</vt:lpstr>
      <vt:lpstr>XDO_?FINAL_PER_NET?99?</vt:lpstr>
      <vt:lpstr>XDO_?FINAL_QUANTITE?100?</vt:lpstr>
      <vt:lpstr>XDO_?FINAL_QUANTITE?101?</vt:lpstr>
      <vt:lpstr>XDO_?FINAL_QUANTITE?102?</vt:lpstr>
      <vt:lpstr>XDO_?FINAL_QUANTITE?95?</vt:lpstr>
      <vt:lpstr>XDO_?FINAL_QUANTITE?96?</vt:lpstr>
      <vt:lpstr>XDO_?FINAL_QUANTITE?97?</vt:lpstr>
      <vt:lpstr>XDO_?FINAL_QUANTITE?98?</vt:lpstr>
      <vt:lpstr>XDO_?FINAL_QUANTITE?99?</vt:lpstr>
      <vt:lpstr>XDO_?NAMCNAME?22?</vt:lpstr>
      <vt:lpstr>XDO_?NOVAL?100?</vt:lpstr>
      <vt:lpstr>XDO_?NOVAL?101?</vt:lpstr>
      <vt:lpstr>XDO_?NOVAL?102?</vt:lpstr>
      <vt:lpstr>XDO_?NOVAL?95?</vt:lpstr>
      <vt:lpstr>XDO_?NOVAL?96?</vt:lpstr>
      <vt:lpstr>XDO_?NOVAL?97?</vt:lpstr>
      <vt:lpstr>XDO_?NOVAL?98?</vt:lpstr>
      <vt:lpstr>XDO_?NOVAL?99?</vt:lpstr>
      <vt:lpstr>XDO_?NPTF?22?</vt:lpstr>
      <vt:lpstr>XDO_?RATING?100?</vt:lpstr>
      <vt:lpstr>XDO_?RATING?101?</vt:lpstr>
      <vt:lpstr>XDO_?RATING?102?</vt:lpstr>
      <vt:lpstr>XDO_?RATING?95?</vt:lpstr>
      <vt:lpstr>XDO_?RATING?96?</vt:lpstr>
      <vt:lpstr>XDO_?RATING?97?</vt:lpstr>
      <vt:lpstr>XDO_?RATING?98?</vt:lpstr>
      <vt:lpstr>XDO_?RATING?99?</vt:lpstr>
      <vt:lpstr>XDO_?REMARKS?100?</vt:lpstr>
      <vt:lpstr>XDO_?REMARKS?101?</vt:lpstr>
      <vt:lpstr>XDO_?REMARKS?102?</vt:lpstr>
      <vt:lpstr>XDO_?REMARKS?95?</vt:lpstr>
      <vt:lpstr>XDO_?REMARKS?96?</vt:lpstr>
      <vt:lpstr>XDO_?REMARKS?97?</vt:lpstr>
      <vt:lpstr>XDO_?REMARKS?98?</vt:lpstr>
      <vt:lpstr>XDO_?REMARKS?99?</vt:lpstr>
      <vt:lpstr>XDO_?TITL?22?</vt:lpstr>
      <vt:lpstr>XDO_?YTM?100?</vt:lpstr>
      <vt:lpstr>XDO_?YTM?101?</vt:lpstr>
      <vt:lpstr>XDO_?YTM?102?</vt:lpstr>
      <vt:lpstr>XDO_?YTM?95?</vt:lpstr>
      <vt:lpstr>XDO_?YTM?96?</vt:lpstr>
      <vt:lpstr>XDO_?YTM?97?</vt:lpstr>
      <vt:lpstr>XDO_?YTM?98?</vt:lpstr>
      <vt:lpstr>XDO_?YTM?99?</vt:lpstr>
      <vt:lpstr>XDO_GROUP_?G_2?22?</vt:lpstr>
      <vt:lpstr>XDO_GROUP_?G_3?22?</vt:lpstr>
      <vt:lpstr>XDO_GROUP_?G_4?100?</vt:lpstr>
      <vt:lpstr>XDO_GROUP_?G_4?101?</vt:lpstr>
      <vt:lpstr>XDO_GROUP_?G_4?102?</vt:lpstr>
      <vt:lpstr>XDO_GROUP_?G_4?95?</vt:lpstr>
      <vt:lpstr>XDO_GROUP_?G_4?97?</vt:lpstr>
      <vt:lpstr>XDO_GROUP_?G_4?98?</vt:lpstr>
      <vt:lpstr>XDO_GROUP_?G_4?99?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Sanket UCHIL</cp:lastModifiedBy>
  <dcterms:created xsi:type="dcterms:W3CDTF">2023-02-06T13:49:44Z</dcterms:created>
  <dcterms:modified xsi:type="dcterms:W3CDTF">2023-02-09T10:47:07Z</dcterms:modified>
</cp:coreProperties>
</file>