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pt_Marketing\Nitesh\Website Upload\Monthly, Fortnightly &amp; Half Yearly\Janaury 2023\Monthly Portfolio\BOBNPMF_ Monthly Portfolio_Report 31st January 2023_split\Equity\"/>
    </mc:Choice>
  </mc:AlternateContent>
  <xr:revisionPtr revIDLastSave="0" documentId="13_ncr:1_{A23A0401-A8DD-4120-8131-296BD677AFDE}" xr6:coauthVersionLast="47" xr6:coauthVersionMax="47" xr10:uidLastSave="{00000000-0000-0000-0000-000000000000}"/>
  <bookViews>
    <workbookView xWindow="-108" yWindow="-108" windowWidth="23256" windowHeight="12576" xr2:uid="{B2EAEBAE-9A1C-4077-B550-6601CCC40ABD}"/>
  </bookViews>
  <sheets>
    <sheet name="BC" sheetId="1" r:id="rId1"/>
  </sheets>
  <externalReferences>
    <externalReference r:id="rId2"/>
  </externalReferences>
  <definedNames>
    <definedName name="XDO_?CLASS_3?29?">BC!$C$8:$C$44</definedName>
    <definedName name="XDO_?FINAL_ISIN?134?">BC!$D$10:$D$44</definedName>
    <definedName name="XDO_?FINAL_ISIN?135?">BC!$D$10:$D$83</definedName>
    <definedName name="XDO_?FINAL_ISIN?136?">BC!$D$10:$D$87</definedName>
    <definedName name="XDO_?FINAL_MV?134?">BC!$G$10:$G$44</definedName>
    <definedName name="XDO_?FINAL_MV?135?">BC!$G$10:$G$83</definedName>
    <definedName name="XDO_?FINAL_MV?136?">BC!$G$10:$G$87</definedName>
    <definedName name="XDO_?FINAL_NAME?134?">BC!$C$10:$C$44</definedName>
    <definedName name="XDO_?FINAL_NAME?135?">BC!$C$10:$C$83</definedName>
    <definedName name="XDO_?FINAL_NAME?136?">BC!$C$10:$C$87</definedName>
    <definedName name="XDO_?FINAL_PER_NET?134?">BC!$H$10:$H$44</definedName>
    <definedName name="XDO_?FINAL_PER_NET?135?">BC!$H$10:$H$83</definedName>
    <definedName name="XDO_?FINAL_PER_NET?136?">BC!$H$10:$H$87</definedName>
    <definedName name="XDO_?FINAL_QUANTITE?134?">BC!$F$10:$F$44</definedName>
    <definedName name="XDO_?FINAL_QUANTITE?135?">BC!$F$10:$F$83</definedName>
    <definedName name="XDO_?FINAL_QUANTITE?136?">BC!$F$10:$F$87</definedName>
    <definedName name="XDO_?NAMC?">[1]MT!#REF!</definedName>
    <definedName name="XDO_?NAMC?1?">[1]LW!#REF!</definedName>
    <definedName name="XDO_?NAMC?10?">[1]SE!#REF!</definedName>
    <definedName name="XDO_?NAMC?11?">[1]FO!#REF!</definedName>
    <definedName name="XDO_?NAMC?12?">[1]IC!#REF!</definedName>
    <definedName name="XDO_?NAMC?13?">[1]AF!#REF!</definedName>
    <definedName name="XDO_?NAMC?14?">[1]FX!#REF!</definedName>
    <definedName name="XDO_?NAMC?15?">[1]MA!#REF!</definedName>
    <definedName name="XDO_?NAMC?16?">[1]GR!#REF!</definedName>
    <definedName name="XDO_?NAMC?17?">[1]GF!#REF!</definedName>
    <definedName name="XDO_?NAMC?18?">[1]LQ!#REF!</definedName>
    <definedName name="XDO_?NAMC?19?">[1]SI!#REF!</definedName>
    <definedName name="XDO_?NAMC?2?">[1]FL!#REF!</definedName>
    <definedName name="XDO_?NAMC?20?">[1]BS!#REF!</definedName>
    <definedName name="XDO_?NAMC?21?">[1]CO!#REF!</definedName>
    <definedName name="XDO_?NAMC?22?">[1]US!#REF!</definedName>
    <definedName name="XDO_?NAMC?23?">[1]DE!#REF!</definedName>
    <definedName name="XDO_?NAMC?24?">[1]ON!#REF!</definedName>
    <definedName name="XDO_?NAMC?25?">[1]BM!#REF!</definedName>
    <definedName name="XDO_?NAMC?26?">[1]ES!#REF!</definedName>
    <definedName name="XDO_?NAMC?27?">[1]LM!#REF!</definedName>
    <definedName name="XDO_?NAMC?28?">[1]BP!#REF!</definedName>
    <definedName name="XDO_?NAMC?29?">BC!#REF!</definedName>
    <definedName name="XDO_?NAMC?3?">[1]CB!#REF!</definedName>
    <definedName name="XDO_?NAMC?4?">[1]NS!#REF!</definedName>
    <definedName name="XDO_?NAMC?5?">[1]MC!#REF!</definedName>
    <definedName name="XDO_?NAMC?6?">[1]LC!#REF!</definedName>
    <definedName name="XDO_?NAMC?7?">[1]TA!#REF!</definedName>
    <definedName name="XDO_?NAMC?8?">[1]CH!#REF!</definedName>
    <definedName name="XDO_?NAMC?9?">[1]AR!#REF!</definedName>
    <definedName name="XDO_?NAMCNAME?29?">BC!$C$2:$C$44</definedName>
    <definedName name="XDO_?NDATE?">[1]MT!#REF!</definedName>
    <definedName name="XDO_?NDATE?1?">[1]LW!#REF!</definedName>
    <definedName name="XDO_?NDATE?10?">[1]SE!#REF!</definedName>
    <definedName name="XDO_?NDATE?11?">[1]FO!#REF!</definedName>
    <definedName name="XDO_?NDATE?12?">[1]IC!#REF!</definedName>
    <definedName name="XDO_?NDATE?13?">[1]AF!#REF!</definedName>
    <definedName name="XDO_?NDATE?14?">[1]FX!#REF!</definedName>
    <definedName name="XDO_?NDATE?15?">[1]MA!#REF!</definedName>
    <definedName name="XDO_?NDATE?16?">[1]GR!#REF!</definedName>
    <definedName name="XDO_?NDATE?17?">[1]GF!#REF!</definedName>
    <definedName name="XDO_?NDATE?18?">[1]LQ!#REF!</definedName>
    <definedName name="XDO_?NDATE?19?">[1]SI!#REF!</definedName>
    <definedName name="XDO_?NDATE?2?">[1]FL!#REF!</definedName>
    <definedName name="XDO_?NDATE?20?">[1]BS!#REF!</definedName>
    <definedName name="XDO_?NDATE?21?">[1]CO!#REF!</definedName>
    <definedName name="XDO_?NDATE?22?">[1]US!#REF!</definedName>
    <definedName name="XDO_?NDATE?23?">[1]DE!#REF!</definedName>
    <definedName name="XDO_?NDATE?24?">[1]ON!#REF!</definedName>
    <definedName name="XDO_?NDATE?25?">[1]BM!#REF!</definedName>
    <definedName name="XDO_?NDATE?26?">[1]ES!#REF!</definedName>
    <definedName name="XDO_?NDATE?27?">[1]LM!#REF!</definedName>
    <definedName name="XDO_?NDATE?28?">[1]BP!#REF!</definedName>
    <definedName name="XDO_?NDATE?29?">BC!#REF!</definedName>
    <definedName name="XDO_?NDATE?3?">[1]CB!#REF!</definedName>
    <definedName name="XDO_?NDATE?4?">[1]NS!#REF!</definedName>
    <definedName name="XDO_?NDATE?5?">[1]MC!#REF!</definedName>
    <definedName name="XDO_?NDATE?6?">[1]LC!#REF!</definedName>
    <definedName name="XDO_?NDATE?7?">[1]TA!#REF!</definedName>
    <definedName name="XDO_?NDATE?8?">[1]CH!#REF!</definedName>
    <definedName name="XDO_?NDATE?9?">[1]AR!#REF!</definedName>
    <definedName name="XDO_?NNPTF?">[1]MT!#REF!</definedName>
    <definedName name="XDO_?NNPTF?1?">[1]LW!#REF!</definedName>
    <definedName name="XDO_?NNPTF?10?">[1]SE!#REF!</definedName>
    <definedName name="XDO_?NNPTF?11?">[1]FO!#REF!</definedName>
    <definedName name="XDO_?NNPTF?12?">[1]IC!#REF!</definedName>
    <definedName name="XDO_?NNPTF?13?">[1]AF!#REF!</definedName>
    <definedName name="XDO_?NNPTF?14?">[1]FX!#REF!</definedName>
    <definedName name="XDO_?NNPTF?15?">[1]MA!#REF!</definedName>
    <definedName name="XDO_?NNPTF?16?">[1]GR!#REF!</definedName>
    <definedName name="XDO_?NNPTF?17?">[1]GF!#REF!</definedName>
    <definedName name="XDO_?NNPTF?18?">[1]LQ!#REF!</definedName>
    <definedName name="XDO_?NNPTF?19?">[1]SI!#REF!</definedName>
    <definedName name="XDO_?NNPTF?2?">[1]FL!#REF!</definedName>
    <definedName name="XDO_?NNPTF?20?">[1]BS!#REF!</definedName>
    <definedName name="XDO_?NNPTF?21?">[1]CO!#REF!</definedName>
    <definedName name="XDO_?NNPTF?22?">[1]US!#REF!</definedName>
    <definedName name="XDO_?NNPTF?23?">[1]DE!#REF!</definedName>
    <definedName name="XDO_?NNPTF?24?">[1]ON!#REF!</definedName>
    <definedName name="XDO_?NNPTF?25?">[1]BM!#REF!</definedName>
    <definedName name="XDO_?NNPTF?26?">[1]ES!#REF!</definedName>
    <definedName name="XDO_?NNPTF?27?">[1]LM!#REF!</definedName>
    <definedName name="XDO_?NNPTF?28?">[1]BP!#REF!</definedName>
    <definedName name="XDO_?NNPTF?29?">BC!#REF!</definedName>
    <definedName name="XDO_?NNPTF?3?">[1]CB!#REF!</definedName>
    <definedName name="XDO_?NNPTF?4?">[1]NS!#REF!</definedName>
    <definedName name="XDO_?NNPTF?5?">[1]MC!#REF!</definedName>
    <definedName name="XDO_?NNPTF?6?">[1]LC!#REF!</definedName>
    <definedName name="XDO_?NNPTF?7?">[1]TA!#REF!</definedName>
    <definedName name="XDO_?NNPTF?8?">[1]CH!#REF!</definedName>
    <definedName name="XDO_?NNPTF?9?">[1]AR!#REF!</definedName>
    <definedName name="XDO_?NOVAL?134?">BC!$B$10:$B$44</definedName>
    <definedName name="XDO_?NOVAL?135?">BC!$B$10:$B$83</definedName>
    <definedName name="XDO_?NOVAL?136?">BC!$B$10:$B$87</definedName>
    <definedName name="XDO_?NPTF?29?">BC!$D$2:$D$44</definedName>
    <definedName name="XDO_?RATING?134?">BC!$E$10:$E$44</definedName>
    <definedName name="XDO_?RATING?135?">BC!$E$10:$E$83</definedName>
    <definedName name="XDO_?RATING?136?">BC!$E$10:$E$87</definedName>
    <definedName name="XDO_?REMARKS?134?">BC!$K$10:$K$44</definedName>
    <definedName name="XDO_?REMARKS?135?">BC!$K$10:$K$83</definedName>
    <definedName name="XDO_?REMARKS?136?">BC!$K$10:$K$87</definedName>
    <definedName name="XDO_?TITL?29?">BC!$A$8:$A$44</definedName>
    <definedName name="XDO_?YTM?134?">BC!$I$10:$I$44</definedName>
    <definedName name="XDO_?YTM?135?">BC!$I$10:$I$83</definedName>
    <definedName name="XDO_?YTM?136?">BC!$I$10:$I$87</definedName>
    <definedName name="XDO_GROUP_?G_2?29?">BC!$2:$55</definedName>
    <definedName name="XDO_GROUP_?G_3?29?">BC!$8:$54</definedName>
    <definedName name="XDO_GROUP_?G_4?114?">[1]ON!#REF!</definedName>
    <definedName name="XDO_GROUP_?G_4?134?">BC!$B$10:$IV$44</definedName>
    <definedName name="XDO_GROUP_?G_4?135?">BC!$B$49:$IV$49</definedName>
    <definedName name="XDO_GROUP_?G_4?136?">BC!$B$52:$IV$52</definedName>
    <definedName name="XDO_GROUP_?G_4?28?">[1]TA!#REF!</definedName>
    <definedName name="XDO_GROUP_?G_4?71?">[1]GR!#REF!</definedName>
    <definedName name="XDO_GROUP_?G_4?96?">[1]US!#REF!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0" i="1" l="1"/>
</calcChain>
</file>

<file path=xl/sharedStrings.xml><?xml version="1.0" encoding="utf-8"?>
<sst xmlns="http://schemas.openxmlformats.org/spreadsheetml/2006/main" count="243" uniqueCount="198">
  <si>
    <t>Baroda BNP Paribas Mutual Fund</t>
  </si>
  <si>
    <t>YR56</t>
  </si>
  <si>
    <t>SCHEME NAME :</t>
  </si>
  <si>
    <t xml:space="preserve">Baroda BNP Paribas Business Cycle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</si>
  <si>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</si>
  <si>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</si>
  <si>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</si>
  <si>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</si>
  <si>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</si>
  <si>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</si>
  <si>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</si>
  <si>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</si>
  <si>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</si>
  <si>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</si>
  <si>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</si>
  <si>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</si>
  <si>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100001</t>
  </si>
  <si>
    <t>Housing Development Finance Corporation Ltd.</t>
  </si>
  <si>
    <t>INE001A01036</t>
  </si>
  <si>
    <t>Finance</t>
  </si>
  <si>
    <t>100002</t>
  </si>
  <si>
    <t>Reliance Industries Ltd.</t>
  </si>
  <si>
    <t>INE002A01018</t>
  </si>
  <si>
    <t>Petroleum Products</t>
  </si>
  <si>
    <t>100003</t>
  </si>
  <si>
    <t>Infosys Ltd.</t>
  </si>
  <si>
    <t>INE009A01021</t>
  </si>
  <si>
    <t>IT - Software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</si>
  <si>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</si>
  <si>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</si>
  <si>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</si>
  <si>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</si>
  <si>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</si>
  <si>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</si>
  <si>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</si>
  <si>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100005</t>
  </si>
  <si>
    <t>Larsen &amp; Toubro Ltd.</t>
  </si>
  <si>
    <t>INE018A01030</t>
  </si>
  <si>
    <t>Construction</t>
  </si>
  <si>
    <t>100010</t>
  </si>
  <si>
    <t>State Bank of India</t>
  </si>
  <si>
    <t>INE062A01020</t>
  </si>
  <si>
    <t>100019</t>
  </si>
  <si>
    <t>ITC Ltd.</t>
  </si>
  <si>
    <t>INE154A01025</t>
  </si>
  <si>
    <t>Diversified FMCG</t>
  </si>
  <si>
    <t>100382</t>
  </si>
  <si>
    <t>Fortis Healthcare Ltd.</t>
  </si>
  <si>
    <t>INE061F01013</t>
  </si>
  <si>
    <t>Healthcare Services</t>
  </si>
  <si>
    <t>100032</t>
  </si>
  <si>
    <t>Tata Consultancy Services Ltd.</t>
  </si>
  <si>
    <t>INE467B01029</t>
  </si>
  <si>
    <t>100843</t>
  </si>
  <si>
    <t>Dalmia Bharat Ltd.</t>
  </si>
  <si>
    <t>INE00R701025</t>
  </si>
  <si>
    <t>Cement &amp; Cement Products</t>
  </si>
  <si>
    <t>101080</t>
  </si>
  <si>
    <t>JB Chemicals &amp; Pharmaceuticals Ltd.</t>
  </si>
  <si>
    <t>INE572A01028</t>
  </si>
  <si>
    <t>Pharmaceuticals &amp; Biotechnology</t>
  </si>
  <si>
    <t>100037</t>
  </si>
  <si>
    <t>HCL Technologies Ltd.</t>
  </si>
  <si>
    <t>INE860A01027</t>
  </si>
  <si>
    <t>100286</t>
  </si>
  <si>
    <t>NHPC Ltd.</t>
  </si>
  <si>
    <t>INE848E01016</t>
  </si>
  <si>
    <t>Power</t>
  </si>
  <si>
    <t>100099</t>
  </si>
  <si>
    <t>Hindustan Unilever Ltd.</t>
  </si>
  <si>
    <t>INE030A01027</t>
  </si>
  <si>
    <t>100533</t>
  </si>
  <si>
    <t>Radico Khaitan Ltd.</t>
  </si>
  <si>
    <t>INE944F01028</t>
  </si>
  <si>
    <t>Beverages</t>
  </si>
  <si>
    <t>100089</t>
  </si>
  <si>
    <t>Bharat Electronics Ltd.</t>
  </si>
  <si>
    <t>INE263A01024</t>
  </si>
  <si>
    <t>Aerospace &amp; Defense</t>
  </si>
  <si>
    <t>100050</t>
  </si>
  <si>
    <t>Trent Ltd.</t>
  </si>
  <si>
    <t>INE849A01020</t>
  </si>
  <si>
    <t>Retailing</t>
  </si>
  <si>
    <t>100191</t>
  </si>
  <si>
    <t>Canara Bank</t>
  </si>
  <si>
    <t>INE476A01014</t>
  </si>
  <si>
    <t>100830</t>
  </si>
  <si>
    <t>Varun Beverages Ltd.</t>
  </si>
  <si>
    <t>INE200M01013</t>
  </si>
  <si>
    <t>100025</t>
  </si>
  <si>
    <t>Nestle India Ltd.</t>
  </si>
  <si>
    <t>INE239A01016</t>
  </si>
  <si>
    <t>Food Products</t>
  </si>
  <si>
    <t>100014</t>
  </si>
  <si>
    <t>Mahindra &amp; Mahindra Ltd.</t>
  </si>
  <si>
    <t>INE101A01026</t>
  </si>
  <si>
    <t>Automobiles</t>
  </si>
  <si>
    <t>100008</t>
  </si>
  <si>
    <t>Sun Pharmaceutical Industries Ltd.</t>
  </si>
  <si>
    <t>INE044A01036</t>
  </si>
  <si>
    <t>100106</t>
  </si>
  <si>
    <t>Maruti Suzuki India Ltd.</t>
  </si>
  <si>
    <t>INE585B01010</t>
  </si>
  <si>
    <t>100104</t>
  </si>
  <si>
    <t>Kotak Mahindra Bank Ltd.</t>
  </si>
  <si>
    <t>INE237A01028</t>
  </si>
  <si>
    <t>100095</t>
  </si>
  <si>
    <t>Bharti Airtel Ltd.</t>
  </si>
  <si>
    <t>INE397D01024</t>
  </si>
  <si>
    <t>Telecom - Services</t>
  </si>
  <si>
    <t>100153</t>
  </si>
  <si>
    <t>Cipla Ltd.</t>
  </si>
  <si>
    <t>INE059A01026</t>
  </si>
  <si>
    <t>100942</t>
  </si>
  <si>
    <t>Brigade Enterprises Ltd.</t>
  </si>
  <si>
    <t>INE791I01019</t>
  </si>
  <si>
    <t>Realty</t>
  </si>
  <si>
    <t>100097</t>
  </si>
  <si>
    <t>Coal India Ltd.</t>
  </si>
  <si>
    <t>INE522F01014</t>
  </si>
  <si>
    <t>Consumable Fuels</t>
  </si>
  <si>
    <t>100157</t>
  </si>
  <si>
    <t>Godrej Consumer Products Ltd.</t>
  </si>
  <si>
    <t>INE102D01028</t>
  </si>
  <si>
    <t>Personal Products</t>
  </si>
  <si>
    <t>100100</t>
  </si>
  <si>
    <t>Hindustan Petroleum Corporation Ltd.</t>
  </si>
  <si>
    <t>INE094A01015</t>
  </si>
  <si>
    <t>100453</t>
  </si>
  <si>
    <t>RBL Bank Ltd.</t>
  </si>
  <si>
    <t>INE976G01028</t>
  </si>
  <si>
    <t>100180</t>
  </si>
  <si>
    <t>Hindalco Industries Ltd.</t>
  </si>
  <si>
    <t>INE038A01020</t>
  </si>
  <si>
    <t>Non - Ferrous Metals</t>
  </si>
  <si>
    <t>100505</t>
  </si>
  <si>
    <t>ICICI Prudential Life Insurance Company Ltd.</t>
  </si>
  <si>
    <t>INE726G01019</t>
  </si>
  <si>
    <t>Insurance</t>
  </si>
  <si>
    <t>100768</t>
  </si>
  <si>
    <t>V-Mart Retail Ltd.</t>
  </si>
  <si>
    <t>INE665J01013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</si>
  <si>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</si>
  <si>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</si>
  <si>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</si>
  <si>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</si>
  <si>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</si>
  <si>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</si>
  <si>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</si>
  <si>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</si>
  <si>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</si>
  <si>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</si>
  <si>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</si>
  <si>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</si>
  <si>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</si>
  <si>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</si>
  <si>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</si>
  <si>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</si>
  <si>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</si>
  <si>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</si>
  <si>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</si>
  <si>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</si>
  <si>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</si>
  <si>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102230100</t>
  </si>
  <si>
    <t>TREPS 01-Feb-2023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</si>
  <si>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</si>
  <si>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</si>
  <si>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</si>
  <si>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</si>
  <si>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</si>
  <si>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</si>
  <si>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</si>
  <si>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</si>
  <si>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</si>
  <si>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</si>
  <si>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January 31,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</si>
  <si>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</si>
  <si>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</si>
  <si>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</si>
  <si>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December 30, 2022</t>
  </si>
  <si>
    <t>As on January 31,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</si>
  <si>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</si>
  <si>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</si>
  <si>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</si>
  <si>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</si>
  <si>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January 31, 2023</t>
  </si>
  <si>
    <t>(9) There were no investments made in derivative instruments and no such derivative instrument was squared off/ expired /exercised during the Month ended January 31, 2023. Further there are no investments in derivative instruments as on January 31, 2023.</t>
  </si>
  <si>
    <t>(10) Total Market value of investments in Foreign Securities/American Depositary Receipts/Global Depositary Receipts as at  January 31, 2023 is Rs. Nil.</t>
  </si>
  <si>
    <t>(11)  During the period, the portfolio turnover ratio is  0.05 times.</t>
  </si>
  <si>
    <t>(12)  Details of repo transaction in corporate debt securities for the Month ended January 31, 2023 is Nil.</t>
  </si>
  <si>
    <t>(13)  Investments in debt instruments having structured obligations or credit enhancement features as at January 31, 2023 is Rs. Nil.</t>
  </si>
  <si>
    <t>(14) Investment in Partly paid Debentures during the Month ended  January 31, 2023 and as on  January 31,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</si>
  <si>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</si>
  <si>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</si>
  <si>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</si>
  <si>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</si>
  <si>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</si>
  <si>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January 31,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</si>
</sst>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3" fillId="0" borderId="0" xfId="0" applyFont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2" fillId="0" borderId="0" xfId="0" applyFont="1" applyAlignment="1">
      <alignment vertical="top"/>
    </xf>
    <xf numFmtId="0" fontId="0" fillId="0" borderId="0" xfId="0" applyAlignment="1">
      <alignment vertical="top"/>
    </xf>
  </cellXfs>
  <cellStyles count="6">
    <cellStyle name="Comma" xfId="1" builtinId="3"/>
    <cellStyle name="Comma 2" xfId="5" xr:uid="{F1758246-8FC3-4EA2-ABEB-9F0E000DF3D0}"/>
    <cellStyle name="Hyperlink" xfId="2" builtinId="8"/>
    <cellStyle name="Normal" xfId="0" builtinId="0"/>
    <cellStyle name="Normal 2" xfId="4" xr:uid="{8B1825FE-00EB-4A0C-895D-67B268B29A9F}"/>
    <cellStyle name="Style 1" xfId="3" xr:uid="{FB92F337-004F-4B59-8A46-DBBB102822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123</xdr:row>
      <xdr:rowOff>0</xdr:rowOff>
    </xdr:from>
    <xdr:to>
      <xdr:col>4</xdr:col>
      <xdr:colOff>1126067</xdr:colOff>
      <xdr:row>138</xdr:row>
      <xdr:rowOff>175238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E0B6B42-1090-4AFB-B410-5B68AC288C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2165733"/>
          <a:ext cx="6451600" cy="285917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18.%20BNPP%20MF\Reporting\Monthly\Monthly%20Portfolio%20ISIN\2022-23\January%202023\Month%20End%2031%20January%202023\Split%20portfolio\BOBBNPMF_Monthly%20portfolio%2031-01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39794-1478-40D8-80ED-25AD0AF056E7}">
  <dimension ref="A1:BC125"/>
  <sheetViews>
    <sheetView showGridLines="0" tabSelected="1" zoomScale="90" zoomScaleNormal="90" workbookViewId="0">
      <pane ySplit="6" topLeftCell="A119" activePane="bottomLeft" state="frozen"/>
      <selection activeCell="J4" sqref="J4"/>
      <selection pane="bottomLeft" activeCell="C124" sqref="C124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44957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178000</v>
      </c>
      <c r="G10" s="34">
        <v>4668.8500000000004</v>
      </c>
      <c r="H10" s="34">
        <v>8.8699999999999992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23</v>
      </c>
      <c r="F11" s="33">
        <v>194000</v>
      </c>
      <c r="G11" s="34">
        <v>4566.47</v>
      </c>
      <c r="H11" s="34">
        <v>8.68</v>
      </c>
      <c r="I11" s="35"/>
      <c r="J11" s="35"/>
      <c r="K11" s="36"/>
    </row>
    <row r="12" spans="1:55" x14ac:dyDescent="0.3">
      <c r="B12" s="1" t="s">
        <v>24</v>
      </c>
      <c r="C12" s="21" t="s">
        <v>25</v>
      </c>
      <c r="D12" s="31" t="s">
        <v>26</v>
      </c>
      <c r="E12" s="32" t="s">
        <v>27</v>
      </c>
      <c r="F12" s="33">
        <v>227000</v>
      </c>
      <c r="G12" s="34">
        <v>3481.61</v>
      </c>
      <c r="H12" s="34">
        <v>6.62</v>
      </c>
      <c r="I12" s="35"/>
      <c r="J12" s="35"/>
      <c r="K12" s="36"/>
    </row>
    <row r="13" spans="1:55" x14ac:dyDescent="0.3">
      <c r="B13" s="1" t="s">
        <v>28</v>
      </c>
      <c r="C13" s="21" t="s">
        <v>29</v>
      </c>
      <c r="D13" s="31" t="s">
        <v>30</v>
      </c>
      <c r="E13" s="32" t="s">
        <v>31</v>
      </c>
      <c r="F13" s="33">
        <v>200000</v>
      </c>
      <c r="G13" s="34">
        <v>3207</v>
      </c>
      <c r="H13" s="34">
        <v>6.09</v>
      </c>
      <c r="I13" s="35"/>
      <c r="J13" s="35"/>
      <c r="K13" s="36"/>
    </row>
    <row r="14" spans="1:55" x14ac:dyDescent="0.3">
      <c r="B14" s="1" t="s">
        <v>32</v>
      </c>
      <c r="C14" s="21" t="s">
        <v>33</v>
      </c>
      <c r="D14" s="31" t="s">
        <v>34</v>
      </c>
      <c r="E14" s="32" t="s">
        <v>31</v>
      </c>
      <c r="F14" s="33">
        <v>300000</v>
      </c>
      <c r="G14" s="34">
        <v>2495.6999999999998</v>
      </c>
      <c r="H14" s="34">
        <v>4.74</v>
      </c>
      <c r="I14" s="35"/>
      <c r="J14" s="35"/>
      <c r="K14" s="36"/>
    </row>
    <row r="15" spans="1:55" x14ac:dyDescent="0.3">
      <c r="B15" s="1" t="s">
        <v>35</v>
      </c>
      <c r="C15" s="21" t="s">
        <v>36</v>
      </c>
      <c r="D15" s="31" t="s">
        <v>37</v>
      </c>
      <c r="E15" s="32" t="s">
        <v>38</v>
      </c>
      <c r="F15" s="33">
        <v>112000</v>
      </c>
      <c r="G15" s="34">
        <v>2379.33</v>
      </c>
      <c r="H15" s="34">
        <v>4.5199999999999996</v>
      </c>
      <c r="I15" s="35"/>
      <c r="J15" s="35"/>
      <c r="K15" s="36"/>
    </row>
    <row r="16" spans="1:55" x14ac:dyDescent="0.3">
      <c r="B16" s="1" t="s">
        <v>39</v>
      </c>
      <c r="C16" s="21" t="s">
        <v>40</v>
      </c>
      <c r="D16" s="31" t="s">
        <v>41</v>
      </c>
      <c r="E16" s="32" t="s">
        <v>31</v>
      </c>
      <c r="F16" s="33">
        <v>370000</v>
      </c>
      <c r="G16" s="34">
        <v>2047.95</v>
      </c>
      <c r="H16" s="34">
        <v>3.89</v>
      </c>
      <c r="I16" s="35"/>
      <c r="J16" s="35"/>
      <c r="K16" s="36"/>
    </row>
    <row r="17" spans="2:11" x14ac:dyDescent="0.3">
      <c r="B17" s="1" t="s">
        <v>42</v>
      </c>
      <c r="C17" s="21" t="s">
        <v>43</v>
      </c>
      <c r="D17" s="31" t="s">
        <v>44</v>
      </c>
      <c r="E17" s="32" t="s">
        <v>45</v>
      </c>
      <c r="F17" s="33">
        <v>500000</v>
      </c>
      <c r="G17" s="34">
        <v>1761.75</v>
      </c>
      <c r="H17" s="34">
        <v>3.35</v>
      </c>
      <c r="I17" s="35"/>
      <c r="J17" s="35"/>
      <c r="K17" s="36"/>
    </row>
    <row r="18" spans="2:11" x14ac:dyDescent="0.3">
      <c r="B18" s="1" t="s">
        <v>46</v>
      </c>
      <c r="C18" s="21" t="s">
        <v>47</v>
      </c>
      <c r="D18" s="31" t="s">
        <v>48</v>
      </c>
      <c r="E18" s="32" t="s">
        <v>49</v>
      </c>
      <c r="F18" s="33">
        <v>600000</v>
      </c>
      <c r="G18" s="34">
        <v>1689.9</v>
      </c>
      <c r="H18" s="34">
        <v>3.21</v>
      </c>
      <c r="I18" s="35"/>
      <c r="J18" s="35"/>
      <c r="K18" s="36"/>
    </row>
    <row r="19" spans="2:11" x14ac:dyDescent="0.3">
      <c r="B19" s="1" t="s">
        <v>50</v>
      </c>
      <c r="C19" s="21" t="s">
        <v>51</v>
      </c>
      <c r="D19" s="31" t="s">
        <v>52</v>
      </c>
      <c r="E19" s="32" t="s">
        <v>27</v>
      </c>
      <c r="F19" s="33">
        <v>50000</v>
      </c>
      <c r="G19" s="34">
        <v>1679.35</v>
      </c>
      <c r="H19" s="34">
        <v>3.19</v>
      </c>
      <c r="I19" s="35"/>
      <c r="J19" s="35"/>
      <c r="K19" s="36"/>
    </row>
    <row r="20" spans="2:11" x14ac:dyDescent="0.3">
      <c r="B20" s="1" t="s">
        <v>53</v>
      </c>
      <c r="C20" s="21" t="s">
        <v>54</v>
      </c>
      <c r="D20" s="31" t="s">
        <v>55</v>
      </c>
      <c r="E20" s="32" t="s">
        <v>56</v>
      </c>
      <c r="F20" s="33">
        <v>90000</v>
      </c>
      <c r="G20" s="34">
        <v>1590.98</v>
      </c>
      <c r="H20" s="34">
        <v>3.02</v>
      </c>
      <c r="I20" s="35"/>
      <c r="J20" s="35"/>
      <c r="K20" s="36"/>
    </row>
    <row r="21" spans="2:11" x14ac:dyDescent="0.3">
      <c r="B21" s="1" t="s">
        <v>57</v>
      </c>
      <c r="C21" s="21" t="s">
        <v>58</v>
      </c>
      <c r="D21" s="31" t="s">
        <v>59</v>
      </c>
      <c r="E21" s="32" t="s">
        <v>60</v>
      </c>
      <c r="F21" s="33">
        <v>76000</v>
      </c>
      <c r="G21" s="34">
        <v>1552.6</v>
      </c>
      <c r="H21" s="34">
        <v>2.95</v>
      </c>
      <c r="I21" s="35"/>
      <c r="J21" s="35"/>
      <c r="K21" s="36"/>
    </row>
    <row r="22" spans="2:11" x14ac:dyDescent="0.3">
      <c r="B22" s="1" t="s">
        <v>61</v>
      </c>
      <c r="C22" s="21" t="s">
        <v>62</v>
      </c>
      <c r="D22" s="31" t="s">
        <v>63</v>
      </c>
      <c r="E22" s="32" t="s">
        <v>27</v>
      </c>
      <c r="F22" s="33">
        <v>125000</v>
      </c>
      <c r="G22" s="34">
        <v>1402.75</v>
      </c>
      <c r="H22" s="34">
        <v>2.67</v>
      </c>
      <c r="I22" s="35"/>
      <c r="J22" s="35"/>
      <c r="K22" s="36"/>
    </row>
    <row r="23" spans="2:11" x14ac:dyDescent="0.3">
      <c r="B23" s="1" t="s">
        <v>64</v>
      </c>
      <c r="C23" s="21" t="s">
        <v>65</v>
      </c>
      <c r="D23" s="31" t="s">
        <v>66</v>
      </c>
      <c r="E23" s="32" t="s">
        <v>67</v>
      </c>
      <c r="F23" s="33">
        <v>3000000</v>
      </c>
      <c r="G23" s="34">
        <v>1317</v>
      </c>
      <c r="H23" s="34">
        <v>2.5</v>
      </c>
      <c r="I23" s="35"/>
      <c r="J23" s="35"/>
      <c r="K23" s="36"/>
    </row>
    <row r="24" spans="2:11" x14ac:dyDescent="0.3">
      <c r="B24" s="1" t="s">
        <v>68</v>
      </c>
      <c r="C24" s="21" t="s">
        <v>69</v>
      </c>
      <c r="D24" s="31" t="s">
        <v>70</v>
      </c>
      <c r="E24" s="32" t="s">
        <v>45</v>
      </c>
      <c r="F24" s="33">
        <v>50000</v>
      </c>
      <c r="G24" s="34">
        <v>1288.3800000000001</v>
      </c>
      <c r="H24" s="34">
        <v>2.4500000000000002</v>
      </c>
      <c r="I24" s="35"/>
      <c r="J24" s="35"/>
      <c r="K24" s="36"/>
    </row>
    <row r="25" spans="2:11" x14ac:dyDescent="0.3">
      <c r="B25" s="1" t="s">
        <v>71</v>
      </c>
      <c r="C25" s="21" t="s">
        <v>72</v>
      </c>
      <c r="D25" s="31" t="s">
        <v>73</v>
      </c>
      <c r="E25" s="32" t="s">
        <v>74</v>
      </c>
      <c r="F25" s="33">
        <v>100000</v>
      </c>
      <c r="G25" s="34">
        <v>1127.3499999999999</v>
      </c>
      <c r="H25" s="34">
        <v>2.14</v>
      </c>
      <c r="I25" s="35"/>
      <c r="J25" s="35"/>
      <c r="K25" s="36"/>
    </row>
    <row r="26" spans="2:11" x14ac:dyDescent="0.3">
      <c r="B26" s="1" t="s">
        <v>75</v>
      </c>
      <c r="C26" s="21" t="s">
        <v>76</v>
      </c>
      <c r="D26" s="31" t="s">
        <v>77</v>
      </c>
      <c r="E26" s="32" t="s">
        <v>78</v>
      </c>
      <c r="F26" s="33">
        <v>1150000</v>
      </c>
      <c r="G26" s="34">
        <v>1091.93</v>
      </c>
      <c r="H26" s="34">
        <v>2.08</v>
      </c>
      <c r="I26" s="35"/>
      <c r="J26" s="35"/>
      <c r="K26" s="36"/>
    </row>
    <row r="27" spans="2:11" x14ac:dyDescent="0.3">
      <c r="B27" s="1" t="s">
        <v>79</v>
      </c>
      <c r="C27" s="21" t="s">
        <v>80</v>
      </c>
      <c r="D27" s="31" t="s">
        <v>81</v>
      </c>
      <c r="E27" s="32" t="s">
        <v>82</v>
      </c>
      <c r="F27" s="33">
        <v>90518</v>
      </c>
      <c r="G27" s="34">
        <v>1083.1400000000001</v>
      </c>
      <c r="H27" s="34">
        <v>2.06</v>
      </c>
      <c r="I27" s="35"/>
      <c r="J27" s="35"/>
      <c r="K27" s="36"/>
    </row>
    <row r="28" spans="2:11" x14ac:dyDescent="0.3">
      <c r="B28" s="1" t="s">
        <v>83</v>
      </c>
      <c r="C28" s="21" t="s">
        <v>84</v>
      </c>
      <c r="D28" s="31" t="s">
        <v>85</v>
      </c>
      <c r="E28" s="32" t="s">
        <v>31</v>
      </c>
      <c r="F28" s="33">
        <v>350000</v>
      </c>
      <c r="G28" s="34">
        <v>1063.83</v>
      </c>
      <c r="H28" s="34">
        <v>2.02</v>
      </c>
      <c r="I28" s="35"/>
      <c r="J28" s="35"/>
      <c r="K28" s="36"/>
    </row>
    <row r="29" spans="2:11" x14ac:dyDescent="0.3">
      <c r="B29" s="1" t="s">
        <v>86</v>
      </c>
      <c r="C29" s="21" t="s">
        <v>87</v>
      </c>
      <c r="D29" s="31" t="s">
        <v>88</v>
      </c>
      <c r="E29" s="32" t="s">
        <v>74</v>
      </c>
      <c r="F29" s="33">
        <v>90000</v>
      </c>
      <c r="G29" s="34">
        <v>1031.6300000000001</v>
      </c>
      <c r="H29" s="34">
        <v>1.96</v>
      </c>
      <c r="I29" s="35"/>
      <c r="J29" s="35"/>
      <c r="K29" s="36"/>
    </row>
    <row r="30" spans="2:11" x14ac:dyDescent="0.3">
      <c r="B30" s="1" t="s">
        <v>89</v>
      </c>
      <c r="C30" s="21" t="s">
        <v>90</v>
      </c>
      <c r="D30" s="31" t="s">
        <v>91</v>
      </c>
      <c r="E30" s="32" t="s">
        <v>92</v>
      </c>
      <c r="F30" s="33">
        <v>5000</v>
      </c>
      <c r="G30" s="34">
        <v>950.89</v>
      </c>
      <c r="H30" s="34">
        <v>1.81</v>
      </c>
      <c r="I30" s="35"/>
      <c r="J30" s="35"/>
      <c r="K30" s="36"/>
    </row>
    <row r="31" spans="2:11" x14ac:dyDescent="0.3">
      <c r="B31" s="1" t="s">
        <v>93</v>
      </c>
      <c r="C31" s="21" t="s">
        <v>94</v>
      </c>
      <c r="D31" s="31" t="s">
        <v>95</v>
      </c>
      <c r="E31" s="32" t="s">
        <v>96</v>
      </c>
      <c r="F31" s="33">
        <v>68000</v>
      </c>
      <c r="G31" s="34">
        <v>937.55</v>
      </c>
      <c r="H31" s="34">
        <v>1.78</v>
      </c>
      <c r="I31" s="35"/>
      <c r="J31" s="35"/>
      <c r="K31" s="36"/>
    </row>
    <row r="32" spans="2:11" x14ac:dyDescent="0.3">
      <c r="B32" s="1" t="s">
        <v>97</v>
      </c>
      <c r="C32" s="21" t="s">
        <v>98</v>
      </c>
      <c r="D32" s="31" t="s">
        <v>99</v>
      </c>
      <c r="E32" s="32" t="s">
        <v>60</v>
      </c>
      <c r="F32" s="33">
        <v>90000</v>
      </c>
      <c r="G32" s="34">
        <v>931.05</v>
      </c>
      <c r="H32" s="34">
        <v>1.77</v>
      </c>
      <c r="I32" s="35"/>
      <c r="J32" s="35"/>
      <c r="K32" s="36"/>
    </row>
    <row r="33" spans="2:11" x14ac:dyDescent="0.3">
      <c r="B33" s="1" t="s">
        <v>100</v>
      </c>
      <c r="C33" s="21" t="s">
        <v>101</v>
      </c>
      <c r="D33" s="31" t="s">
        <v>102</v>
      </c>
      <c r="E33" s="32" t="s">
        <v>96</v>
      </c>
      <c r="F33" s="33">
        <v>10000</v>
      </c>
      <c r="G33" s="34">
        <v>889.53</v>
      </c>
      <c r="H33" s="34">
        <v>1.69</v>
      </c>
      <c r="I33" s="35"/>
      <c r="J33" s="35"/>
      <c r="K33" s="36"/>
    </row>
    <row r="34" spans="2:11" x14ac:dyDescent="0.3">
      <c r="B34" s="1" t="s">
        <v>103</v>
      </c>
      <c r="C34" s="21" t="s">
        <v>104</v>
      </c>
      <c r="D34" s="31" t="s">
        <v>105</v>
      </c>
      <c r="E34" s="32" t="s">
        <v>31</v>
      </c>
      <c r="F34" s="33">
        <v>50000</v>
      </c>
      <c r="G34" s="34">
        <v>865.5</v>
      </c>
      <c r="H34" s="34">
        <v>1.64</v>
      </c>
      <c r="I34" s="35"/>
      <c r="J34" s="35"/>
      <c r="K34" s="36"/>
    </row>
    <row r="35" spans="2:11" x14ac:dyDescent="0.3">
      <c r="B35" s="1" t="s">
        <v>106</v>
      </c>
      <c r="C35" s="21" t="s">
        <v>107</v>
      </c>
      <c r="D35" s="31" t="s">
        <v>108</v>
      </c>
      <c r="E35" s="32" t="s">
        <v>109</v>
      </c>
      <c r="F35" s="33">
        <v>100000</v>
      </c>
      <c r="G35" s="34">
        <v>770.3</v>
      </c>
      <c r="H35" s="34">
        <v>1.46</v>
      </c>
      <c r="I35" s="35"/>
      <c r="J35" s="35"/>
      <c r="K35" s="36"/>
    </row>
    <row r="36" spans="2:11" x14ac:dyDescent="0.3">
      <c r="B36" s="1" t="s">
        <v>110</v>
      </c>
      <c r="C36" s="21" t="s">
        <v>111</v>
      </c>
      <c r="D36" s="31" t="s">
        <v>112</v>
      </c>
      <c r="E36" s="32" t="s">
        <v>60</v>
      </c>
      <c r="F36" s="33">
        <v>75000</v>
      </c>
      <c r="G36" s="34">
        <v>763.46</v>
      </c>
      <c r="H36" s="34">
        <v>1.45</v>
      </c>
      <c r="I36" s="35"/>
      <c r="J36" s="35"/>
      <c r="K36" s="36"/>
    </row>
    <row r="37" spans="2:11" x14ac:dyDescent="0.3">
      <c r="B37" s="1" t="s">
        <v>113</v>
      </c>
      <c r="C37" s="21" t="s">
        <v>114</v>
      </c>
      <c r="D37" s="31" t="s">
        <v>115</v>
      </c>
      <c r="E37" s="32" t="s">
        <v>116</v>
      </c>
      <c r="F37" s="33">
        <v>135000</v>
      </c>
      <c r="G37" s="34">
        <v>619.99</v>
      </c>
      <c r="H37" s="34">
        <v>1.18</v>
      </c>
      <c r="I37" s="35"/>
      <c r="J37" s="35"/>
      <c r="K37" s="36"/>
    </row>
    <row r="38" spans="2:11" x14ac:dyDescent="0.3">
      <c r="B38" s="1" t="s">
        <v>117</v>
      </c>
      <c r="C38" s="21" t="s">
        <v>118</v>
      </c>
      <c r="D38" s="31" t="s">
        <v>119</v>
      </c>
      <c r="E38" s="32" t="s">
        <v>120</v>
      </c>
      <c r="F38" s="33">
        <v>250000</v>
      </c>
      <c r="G38" s="34">
        <v>562.13</v>
      </c>
      <c r="H38" s="34">
        <v>1.07</v>
      </c>
      <c r="I38" s="35"/>
      <c r="J38" s="35"/>
      <c r="K38" s="36"/>
    </row>
    <row r="39" spans="2:11" x14ac:dyDescent="0.3">
      <c r="B39" s="1" t="s">
        <v>121</v>
      </c>
      <c r="C39" s="21" t="s">
        <v>122</v>
      </c>
      <c r="D39" s="31" t="s">
        <v>123</v>
      </c>
      <c r="E39" s="32" t="s">
        <v>124</v>
      </c>
      <c r="F39" s="33">
        <v>60000</v>
      </c>
      <c r="G39" s="34">
        <v>547.95000000000005</v>
      </c>
      <c r="H39" s="34">
        <v>1.04</v>
      </c>
      <c r="I39" s="35"/>
      <c r="J39" s="35"/>
      <c r="K39" s="36"/>
    </row>
    <row r="40" spans="2:11" x14ac:dyDescent="0.3">
      <c r="B40" s="1" t="s">
        <v>125</v>
      </c>
      <c r="C40" s="21" t="s">
        <v>126</v>
      </c>
      <c r="D40" s="31" t="s">
        <v>127</v>
      </c>
      <c r="E40" s="32" t="s">
        <v>23</v>
      </c>
      <c r="F40" s="33">
        <v>230000</v>
      </c>
      <c r="G40" s="34">
        <v>547.16999999999996</v>
      </c>
      <c r="H40" s="34">
        <v>1.04</v>
      </c>
      <c r="I40" s="35"/>
      <c r="J40" s="35"/>
      <c r="K40" s="36"/>
    </row>
    <row r="41" spans="2:11" x14ac:dyDescent="0.3">
      <c r="B41" s="1" t="s">
        <v>128</v>
      </c>
      <c r="C41" s="21" t="s">
        <v>129</v>
      </c>
      <c r="D41" s="31" t="s">
        <v>130</v>
      </c>
      <c r="E41" s="32" t="s">
        <v>31</v>
      </c>
      <c r="F41" s="33">
        <v>350000</v>
      </c>
      <c r="G41" s="34">
        <v>545.13</v>
      </c>
      <c r="H41" s="34">
        <v>1.04</v>
      </c>
      <c r="I41" s="35"/>
      <c r="J41" s="35"/>
      <c r="K41" s="36"/>
    </row>
    <row r="42" spans="2:11" x14ac:dyDescent="0.3">
      <c r="B42" s="1" t="s">
        <v>131</v>
      </c>
      <c r="C42" s="21" t="s">
        <v>132</v>
      </c>
      <c r="D42" s="31" t="s">
        <v>133</v>
      </c>
      <c r="E42" s="32" t="s">
        <v>134</v>
      </c>
      <c r="F42" s="33">
        <v>115000</v>
      </c>
      <c r="G42" s="34">
        <v>538.66</v>
      </c>
      <c r="H42" s="34">
        <v>1.02</v>
      </c>
      <c r="I42" s="35"/>
      <c r="J42" s="35"/>
      <c r="K42" s="36"/>
    </row>
    <row r="43" spans="2:11" x14ac:dyDescent="0.3">
      <c r="B43" s="1" t="s">
        <v>135</v>
      </c>
      <c r="C43" s="21" t="s">
        <v>136</v>
      </c>
      <c r="D43" s="31" t="s">
        <v>137</v>
      </c>
      <c r="E43" s="32" t="s">
        <v>138</v>
      </c>
      <c r="F43" s="33">
        <v>115000</v>
      </c>
      <c r="G43" s="34">
        <v>520.26</v>
      </c>
      <c r="H43" s="34">
        <v>0.99</v>
      </c>
      <c r="I43" s="35"/>
      <c r="J43" s="35"/>
      <c r="K43" s="36"/>
    </row>
    <row r="44" spans="2:11" x14ac:dyDescent="0.3">
      <c r="B44" s="1" t="s">
        <v>139</v>
      </c>
      <c r="C44" s="21" t="s">
        <v>140</v>
      </c>
      <c r="D44" s="31" t="s">
        <v>141</v>
      </c>
      <c r="E44" s="32" t="s">
        <v>82</v>
      </c>
      <c r="F44" s="33">
        <v>18175</v>
      </c>
      <c r="G44" s="34">
        <v>504.05</v>
      </c>
      <c r="H44" s="34">
        <v>0.96</v>
      </c>
      <c r="I44" s="35"/>
      <c r="J44" s="35"/>
      <c r="K44" s="36"/>
    </row>
    <row r="45" spans="2:11" x14ac:dyDescent="0.3">
      <c r="C45" s="30" t="s">
        <v>142</v>
      </c>
      <c r="D45" s="31"/>
      <c r="E45" s="32"/>
      <c r="F45" s="33"/>
      <c r="G45" s="38">
        <v>51021.120000000003</v>
      </c>
      <c r="H45" s="38">
        <v>96.95</v>
      </c>
      <c r="I45" s="35"/>
      <c r="J45" s="35"/>
      <c r="K45" s="36"/>
    </row>
    <row r="46" spans="2:11" x14ac:dyDescent="0.3">
      <c r="C46" s="21"/>
      <c r="D46" s="31"/>
      <c r="E46" s="32"/>
      <c r="F46" s="33"/>
      <c r="G46" s="34"/>
      <c r="H46" s="34"/>
      <c r="I46" s="35"/>
      <c r="J46" s="35"/>
      <c r="K46" s="36"/>
    </row>
    <row r="47" spans="2:11" x14ac:dyDescent="0.3">
      <c r="C47" s="30" t="s">
        <v>143</v>
      </c>
      <c r="D47" s="31"/>
      <c r="E47" s="32"/>
      <c r="F47" s="33"/>
      <c r="G47" s="34" t="s">
        <v>144</v>
      </c>
      <c r="H47" s="34" t="s">
        <v>144</v>
      </c>
      <c r="I47" s="35"/>
      <c r="J47" s="35"/>
      <c r="K47" s="36"/>
    </row>
    <row r="48" spans="2:11" x14ac:dyDescent="0.3">
      <c r="C48" s="21"/>
      <c r="D48" s="31"/>
      <c r="E48" s="32"/>
      <c r="F48" s="33"/>
      <c r="G48" s="34"/>
      <c r="H48" s="34"/>
      <c r="I48" s="35"/>
      <c r="J48" s="35"/>
      <c r="K48" s="36"/>
    </row>
    <row r="49" spans="3:11" x14ac:dyDescent="0.3">
      <c r="C49" s="30" t="s">
        <v>145</v>
      </c>
      <c r="D49" s="31"/>
      <c r="E49" s="32"/>
      <c r="F49" s="33"/>
      <c r="G49" s="34" t="s">
        <v>144</v>
      </c>
      <c r="H49" s="34" t="s">
        <v>144</v>
      </c>
      <c r="I49" s="35"/>
      <c r="J49" s="35"/>
      <c r="K49" s="36"/>
    </row>
    <row r="50" spans="3:11" x14ac:dyDescent="0.3">
      <c r="C50" s="21"/>
      <c r="D50" s="31"/>
      <c r="E50" s="32"/>
      <c r="F50" s="33"/>
      <c r="G50" s="34"/>
      <c r="H50" s="34"/>
      <c r="I50" s="35"/>
      <c r="J50" s="35"/>
      <c r="K50" s="36"/>
    </row>
    <row r="51" spans="3:11" x14ac:dyDescent="0.3">
      <c r="C51" s="30" t="s">
        <v>146</v>
      </c>
      <c r="D51" s="31"/>
      <c r="E51" s="32"/>
      <c r="F51" s="33"/>
      <c r="G51" s="34"/>
      <c r="H51" s="34"/>
      <c r="I51" s="35"/>
      <c r="J51" s="35"/>
      <c r="K51" s="36"/>
    </row>
    <row r="52" spans="3:11" x14ac:dyDescent="0.3">
      <c r="C52" s="21"/>
      <c r="D52" s="31"/>
      <c r="E52" s="32"/>
      <c r="F52" s="33"/>
      <c r="G52" s="34"/>
      <c r="H52" s="34"/>
      <c r="I52" s="35"/>
      <c r="J52" s="35"/>
      <c r="K52" s="36"/>
    </row>
    <row r="53" spans="3:11" x14ac:dyDescent="0.3">
      <c r="C53" s="30" t="s">
        <v>147</v>
      </c>
      <c r="D53" s="31"/>
      <c r="E53" s="32"/>
      <c r="F53" s="33"/>
      <c r="G53" s="34" t="s">
        <v>144</v>
      </c>
      <c r="H53" s="34" t="s">
        <v>144</v>
      </c>
      <c r="I53" s="35"/>
      <c r="J53" s="35"/>
      <c r="K53" s="36"/>
    </row>
    <row r="54" spans="3:11" x14ac:dyDescent="0.3">
      <c r="C54" s="21"/>
      <c r="D54" s="31"/>
      <c r="E54" s="32"/>
      <c r="F54" s="33"/>
      <c r="G54" s="34"/>
      <c r="H54" s="34"/>
      <c r="I54" s="35"/>
      <c r="J54" s="35"/>
      <c r="K54" s="36"/>
    </row>
    <row r="55" spans="3:11" x14ac:dyDescent="0.3">
      <c r="C55" s="30" t="s">
        <v>148</v>
      </c>
      <c r="D55" s="31"/>
      <c r="E55" s="32"/>
      <c r="F55" s="33"/>
      <c r="G55" s="34" t="s">
        <v>144</v>
      </c>
      <c r="H55" s="34" t="s">
        <v>144</v>
      </c>
      <c r="I55" s="35"/>
      <c r="J55" s="35"/>
      <c r="K55" s="36"/>
    </row>
    <row r="56" spans="3:11" x14ac:dyDescent="0.3">
      <c r="C56" s="21"/>
      <c r="D56" s="31"/>
      <c r="E56" s="32"/>
      <c r="F56" s="33"/>
      <c r="G56" s="34"/>
      <c r="H56" s="34"/>
      <c r="I56" s="35"/>
      <c r="J56" s="35"/>
      <c r="K56" s="36"/>
    </row>
    <row r="57" spans="3:11" x14ac:dyDescent="0.3">
      <c r="C57" s="30" t="s">
        <v>149</v>
      </c>
      <c r="D57" s="31"/>
      <c r="E57" s="32"/>
      <c r="F57" s="33"/>
      <c r="G57" s="34" t="s">
        <v>144</v>
      </c>
      <c r="H57" s="34" t="s">
        <v>144</v>
      </c>
      <c r="I57" s="35"/>
      <c r="J57" s="35"/>
      <c r="K57" s="36"/>
    </row>
    <row r="58" spans="3:11" x14ac:dyDescent="0.3">
      <c r="C58" s="21"/>
      <c r="D58" s="31"/>
      <c r="E58" s="32"/>
      <c r="F58" s="33"/>
      <c r="G58" s="34"/>
      <c r="H58" s="34"/>
      <c r="I58" s="35"/>
      <c r="J58" s="35"/>
      <c r="K58" s="36"/>
    </row>
    <row r="59" spans="3:11" x14ac:dyDescent="0.3">
      <c r="C59" s="30" t="s">
        <v>150</v>
      </c>
      <c r="D59" s="31"/>
      <c r="E59" s="32"/>
      <c r="F59" s="33"/>
      <c r="G59" s="34" t="s">
        <v>144</v>
      </c>
      <c r="H59" s="34" t="s">
        <v>144</v>
      </c>
      <c r="I59" s="35"/>
      <c r="J59" s="35"/>
      <c r="K59" s="36"/>
    </row>
    <row r="60" spans="3:11" x14ac:dyDescent="0.3">
      <c r="C60" s="21"/>
      <c r="D60" s="31"/>
      <c r="E60" s="32"/>
      <c r="F60" s="33"/>
      <c r="G60" s="34"/>
      <c r="H60" s="34"/>
      <c r="I60" s="35"/>
      <c r="J60" s="35"/>
      <c r="K60" s="36"/>
    </row>
    <row r="61" spans="3:11" x14ac:dyDescent="0.3">
      <c r="C61" s="30" t="s">
        <v>151</v>
      </c>
      <c r="D61" s="31"/>
      <c r="E61" s="32"/>
      <c r="F61" s="33"/>
      <c r="G61" s="34" t="s">
        <v>144</v>
      </c>
      <c r="H61" s="34" t="s">
        <v>144</v>
      </c>
      <c r="I61" s="35"/>
      <c r="J61" s="35"/>
      <c r="K61" s="36"/>
    </row>
    <row r="62" spans="3:11" x14ac:dyDescent="0.3">
      <c r="C62" s="21"/>
      <c r="D62" s="31"/>
      <c r="E62" s="32"/>
      <c r="F62" s="33"/>
      <c r="G62" s="34"/>
      <c r="H62" s="34"/>
      <c r="I62" s="35"/>
      <c r="J62" s="35"/>
      <c r="K62" s="36"/>
    </row>
    <row r="63" spans="3:11" x14ac:dyDescent="0.3">
      <c r="C63" s="30" t="s">
        <v>152</v>
      </c>
      <c r="D63" s="31"/>
      <c r="E63" s="32"/>
      <c r="F63" s="33"/>
      <c r="G63" s="34"/>
      <c r="H63" s="34"/>
      <c r="I63" s="35"/>
      <c r="J63" s="35"/>
      <c r="K63" s="36"/>
    </row>
    <row r="64" spans="3:11" x14ac:dyDescent="0.3">
      <c r="C64" s="21"/>
      <c r="D64" s="31"/>
      <c r="E64" s="32"/>
      <c r="F64" s="33"/>
      <c r="G64" s="34"/>
      <c r="H64" s="34"/>
      <c r="I64" s="35"/>
      <c r="J64" s="35"/>
      <c r="K64" s="36"/>
    </row>
    <row r="65" spans="1:11" x14ac:dyDescent="0.3">
      <c r="C65" s="30" t="s">
        <v>153</v>
      </c>
      <c r="D65" s="31"/>
      <c r="E65" s="32"/>
      <c r="F65" s="33"/>
      <c r="G65" s="34" t="s">
        <v>144</v>
      </c>
      <c r="H65" s="34" t="s">
        <v>144</v>
      </c>
      <c r="I65" s="35"/>
      <c r="J65" s="35"/>
      <c r="K65" s="36"/>
    </row>
    <row r="66" spans="1:11" x14ac:dyDescent="0.3">
      <c r="C66" s="21"/>
      <c r="D66" s="31"/>
      <c r="E66" s="32"/>
      <c r="F66" s="33"/>
      <c r="G66" s="34"/>
      <c r="H66" s="34"/>
      <c r="I66" s="35"/>
      <c r="J66" s="35"/>
      <c r="K66" s="36"/>
    </row>
    <row r="67" spans="1:11" x14ac:dyDescent="0.3">
      <c r="C67" s="30" t="s">
        <v>154</v>
      </c>
      <c r="D67" s="31"/>
      <c r="E67" s="32"/>
      <c r="F67" s="33"/>
      <c r="G67" s="34" t="s">
        <v>144</v>
      </c>
      <c r="H67" s="34" t="s">
        <v>144</v>
      </c>
      <c r="I67" s="35"/>
      <c r="J67" s="35"/>
      <c r="K67" s="36"/>
    </row>
    <row r="68" spans="1:11" x14ac:dyDescent="0.3">
      <c r="C68" s="21"/>
      <c r="D68" s="31"/>
      <c r="E68" s="32"/>
      <c r="F68" s="33"/>
      <c r="G68" s="34"/>
      <c r="H68" s="34"/>
      <c r="I68" s="35"/>
      <c r="J68" s="35"/>
      <c r="K68" s="36"/>
    </row>
    <row r="69" spans="1:11" x14ac:dyDescent="0.3">
      <c r="C69" s="30" t="s">
        <v>155</v>
      </c>
      <c r="D69" s="31"/>
      <c r="E69" s="32"/>
      <c r="F69" s="33"/>
      <c r="G69" s="34" t="s">
        <v>144</v>
      </c>
      <c r="H69" s="34" t="s">
        <v>144</v>
      </c>
      <c r="I69" s="35"/>
      <c r="J69" s="35"/>
      <c r="K69" s="36"/>
    </row>
    <row r="70" spans="1:11" x14ac:dyDescent="0.3">
      <c r="C70" s="21"/>
      <c r="D70" s="31"/>
      <c r="E70" s="32"/>
      <c r="F70" s="33"/>
      <c r="G70" s="34"/>
      <c r="H70" s="34"/>
      <c r="I70" s="35"/>
      <c r="J70" s="35"/>
      <c r="K70" s="36"/>
    </row>
    <row r="71" spans="1:11" x14ac:dyDescent="0.3">
      <c r="C71" s="30" t="s">
        <v>156</v>
      </c>
      <c r="D71" s="31"/>
      <c r="E71" s="32"/>
      <c r="F71" s="33"/>
      <c r="G71" s="34" t="s">
        <v>144</v>
      </c>
      <c r="H71" s="34" t="s">
        <v>144</v>
      </c>
      <c r="I71" s="35"/>
      <c r="J71" s="35"/>
      <c r="K71" s="36"/>
    </row>
    <row r="72" spans="1:11" x14ac:dyDescent="0.3">
      <c r="C72" s="21"/>
      <c r="D72" s="31"/>
      <c r="E72" s="32"/>
      <c r="F72" s="33"/>
      <c r="G72" s="34"/>
      <c r="H72" s="34"/>
      <c r="I72" s="35"/>
      <c r="J72" s="35"/>
      <c r="K72" s="36"/>
    </row>
    <row r="73" spans="1:11" x14ac:dyDescent="0.3">
      <c r="A73" s="28"/>
      <c r="B73" s="29"/>
      <c r="C73" s="30" t="s">
        <v>157</v>
      </c>
      <c r="D73" s="31"/>
      <c r="E73" s="32"/>
      <c r="F73" s="33"/>
      <c r="G73" s="34"/>
      <c r="H73" s="34"/>
      <c r="I73" s="35"/>
      <c r="J73" s="35"/>
      <c r="K73" s="36"/>
    </row>
    <row r="74" spans="1:11" x14ac:dyDescent="0.3">
      <c r="A74" s="29"/>
      <c r="B74" s="29"/>
      <c r="C74" s="30" t="s">
        <v>158</v>
      </c>
      <c r="D74" s="31"/>
      <c r="E74" s="32"/>
      <c r="F74" s="33"/>
      <c r="G74" s="34" t="s">
        <v>144</v>
      </c>
      <c r="H74" s="34" t="s">
        <v>144</v>
      </c>
      <c r="I74" s="35"/>
      <c r="J74" s="35"/>
      <c r="K74" s="36"/>
    </row>
    <row r="75" spans="1:11" x14ac:dyDescent="0.3">
      <c r="A75" s="29"/>
      <c r="B75" s="29"/>
      <c r="C75" s="30"/>
      <c r="D75" s="31"/>
      <c r="E75" s="32"/>
      <c r="F75" s="33"/>
      <c r="G75" s="34"/>
      <c r="H75" s="34"/>
      <c r="I75" s="35"/>
      <c r="J75" s="35"/>
      <c r="K75" s="36"/>
    </row>
    <row r="76" spans="1:11" x14ac:dyDescent="0.3">
      <c r="A76" s="29"/>
      <c r="B76" s="29"/>
      <c r="C76" s="30" t="s">
        <v>159</v>
      </c>
      <c r="D76" s="31"/>
      <c r="E76" s="32"/>
      <c r="F76" s="33"/>
      <c r="G76" s="34" t="s">
        <v>144</v>
      </c>
      <c r="H76" s="34" t="s">
        <v>144</v>
      </c>
      <c r="I76" s="35"/>
      <c r="J76" s="35"/>
      <c r="K76" s="36"/>
    </row>
    <row r="77" spans="1:11" x14ac:dyDescent="0.3">
      <c r="A77" s="29"/>
      <c r="B77" s="29"/>
      <c r="C77" s="30"/>
      <c r="D77" s="31"/>
      <c r="E77" s="32"/>
      <c r="F77" s="33"/>
      <c r="G77" s="34"/>
      <c r="H77" s="34"/>
      <c r="I77" s="35"/>
      <c r="J77" s="35"/>
      <c r="K77" s="36"/>
    </row>
    <row r="78" spans="1:11" x14ac:dyDescent="0.3">
      <c r="A78" s="29"/>
      <c r="B78" s="29"/>
      <c r="C78" s="30" t="s">
        <v>160</v>
      </c>
      <c r="D78" s="31"/>
      <c r="E78" s="32"/>
      <c r="F78" s="33"/>
      <c r="G78" s="34" t="s">
        <v>144</v>
      </c>
      <c r="H78" s="34" t="s">
        <v>144</v>
      </c>
      <c r="I78" s="35"/>
      <c r="J78" s="35"/>
      <c r="K78" s="36"/>
    </row>
    <row r="79" spans="1:11" x14ac:dyDescent="0.3">
      <c r="A79" s="29"/>
      <c r="B79" s="29"/>
      <c r="C79" s="30"/>
      <c r="D79" s="31"/>
      <c r="E79" s="32"/>
      <c r="F79" s="33"/>
      <c r="G79" s="34"/>
      <c r="H79" s="34"/>
      <c r="I79" s="35"/>
      <c r="J79" s="35"/>
      <c r="K79" s="36"/>
    </row>
    <row r="80" spans="1:11" x14ac:dyDescent="0.3">
      <c r="A80" s="29"/>
      <c r="B80" s="29"/>
      <c r="C80" s="30" t="s">
        <v>161</v>
      </c>
      <c r="D80" s="31"/>
      <c r="E80" s="32"/>
      <c r="F80" s="33"/>
      <c r="G80" s="34" t="s">
        <v>144</v>
      </c>
      <c r="H80" s="34" t="s">
        <v>144</v>
      </c>
      <c r="I80" s="35"/>
      <c r="J80" s="35"/>
      <c r="K80" s="36"/>
    </row>
    <row r="81" spans="1:11" x14ac:dyDescent="0.3">
      <c r="A81" s="29"/>
      <c r="B81" s="29"/>
      <c r="C81" s="30"/>
      <c r="D81" s="31"/>
      <c r="E81" s="32"/>
      <c r="F81" s="33"/>
      <c r="G81" s="34"/>
      <c r="H81" s="34"/>
      <c r="I81" s="35"/>
      <c r="J81" s="35"/>
      <c r="K81" s="36"/>
    </row>
    <row r="82" spans="1:11" x14ac:dyDescent="0.3">
      <c r="C82" s="37" t="s">
        <v>162</v>
      </c>
      <c r="D82" s="31"/>
      <c r="E82" s="32"/>
      <c r="F82" s="33"/>
      <c r="G82" s="34"/>
      <c r="H82" s="34"/>
      <c r="I82" s="35"/>
      <c r="J82" s="35"/>
      <c r="K82" s="36"/>
    </row>
    <row r="83" spans="1:11" x14ac:dyDescent="0.3">
      <c r="B83" s="1" t="s">
        <v>163</v>
      </c>
      <c r="C83" s="21" t="s">
        <v>164</v>
      </c>
      <c r="D83" s="31"/>
      <c r="E83" s="32"/>
      <c r="F83" s="33"/>
      <c r="G83" s="34">
        <v>1868.81</v>
      </c>
      <c r="H83" s="34">
        <v>3.55</v>
      </c>
      <c r="I83" s="35">
        <v>6.4121865622509997</v>
      </c>
      <c r="J83" s="35"/>
      <c r="K83" s="36"/>
    </row>
    <row r="84" spans="1:11" x14ac:dyDescent="0.3">
      <c r="C84" s="30" t="s">
        <v>142</v>
      </c>
      <c r="D84" s="31"/>
      <c r="E84" s="32"/>
      <c r="F84" s="33"/>
      <c r="G84" s="38">
        <v>1868.81</v>
      </c>
      <c r="H84" s="38">
        <v>3.55</v>
      </c>
      <c r="I84" s="35"/>
      <c r="J84" s="35"/>
      <c r="K84" s="36"/>
    </row>
    <row r="85" spans="1:11" x14ac:dyDescent="0.3">
      <c r="C85" s="21"/>
      <c r="D85" s="31"/>
      <c r="E85" s="32"/>
      <c r="F85" s="33"/>
      <c r="G85" s="34"/>
      <c r="H85" s="34"/>
      <c r="I85" s="35"/>
      <c r="J85" s="35"/>
      <c r="K85" s="36"/>
    </row>
    <row r="86" spans="1:11" x14ac:dyDescent="0.3">
      <c r="A86" s="28"/>
      <c r="B86" s="29"/>
      <c r="C86" s="30" t="s">
        <v>165</v>
      </c>
      <c r="D86" s="31"/>
      <c r="E86" s="32"/>
      <c r="F86" s="33"/>
      <c r="G86" s="34"/>
      <c r="H86" s="34"/>
      <c r="I86" s="35"/>
      <c r="J86" s="35"/>
      <c r="K86" s="36"/>
    </row>
    <row r="87" spans="1:11" x14ac:dyDescent="0.3">
      <c r="B87" s="1"/>
      <c r="C87" s="21" t="s">
        <v>166</v>
      </c>
      <c r="D87" s="31"/>
      <c r="E87" s="32"/>
      <c r="F87" s="33"/>
      <c r="G87" s="34">
        <v>-268.18</v>
      </c>
      <c r="H87" s="34">
        <v>-0.5</v>
      </c>
      <c r="I87" s="35"/>
      <c r="J87" s="35"/>
      <c r="K87" s="36"/>
    </row>
    <row r="88" spans="1:11" x14ac:dyDescent="0.3">
      <c r="C88" s="30" t="s">
        <v>142</v>
      </c>
      <c r="D88" s="31"/>
      <c r="E88" s="32"/>
      <c r="F88" s="33"/>
      <c r="G88" s="38">
        <v>-268.18</v>
      </c>
      <c r="H88" s="38">
        <v>-0.5</v>
      </c>
      <c r="I88" s="35"/>
      <c r="J88" s="35"/>
      <c r="K88" s="36"/>
    </row>
    <row r="89" spans="1:11" x14ac:dyDescent="0.3">
      <c r="C89" s="21"/>
      <c r="D89" s="31"/>
      <c r="E89" s="32"/>
      <c r="F89" s="33"/>
      <c r="G89" s="34"/>
      <c r="H89" s="34"/>
      <c r="I89" s="35"/>
      <c r="J89" s="35"/>
      <c r="K89" s="36"/>
    </row>
    <row r="90" spans="1:11" ht="14.4" thickBot="1" x14ac:dyDescent="0.35">
      <c r="C90" s="39" t="s">
        <v>167</v>
      </c>
      <c r="D90" s="40"/>
      <c r="E90" s="41"/>
      <c r="F90" s="42"/>
      <c r="G90" s="43">
        <v>52621.75</v>
      </c>
      <c r="H90" s="43">
        <f>SUMIFS(H:H,C:C,"Total")</f>
        <v>100</v>
      </c>
      <c r="I90" s="44"/>
      <c r="J90" s="44"/>
      <c r="K90" s="45"/>
    </row>
    <row r="93" spans="1:11" x14ac:dyDescent="0.3">
      <c r="C93" s="11" t="s">
        <v>168</v>
      </c>
    </row>
    <row r="94" spans="1:11" x14ac:dyDescent="0.3">
      <c r="C94" s="2" t="s">
        <v>169</v>
      </c>
    </row>
    <row r="95" spans="1:11" x14ac:dyDescent="0.3">
      <c r="C95" s="46" t="s">
        <v>170</v>
      </c>
    </row>
    <row r="96" spans="1:11" x14ac:dyDescent="0.3">
      <c r="C96" s="2" t="s">
        <v>171</v>
      </c>
    </row>
    <row r="97" spans="3:55" x14ac:dyDescent="0.3">
      <c r="C97" s="2" t="s">
        <v>172</v>
      </c>
    </row>
    <row r="98" spans="3:55" x14ac:dyDescent="0.3">
      <c r="C98" s="2" t="s">
        <v>173</v>
      </c>
      <c r="D98" s="47"/>
      <c r="E98" s="47"/>
      <c r="F98" s="47"/>
      <c r="G98" s="48"/>
      <c r="H98" s="48"/>
    </row>
    <row r="99" spans="3:55" x14ac:dyDescent="0.3">
      <c r="C99" s="2" t="s">
        <v>174</v>
      </c>
    </row>
    <row r="100" spans="3:55" x14ac:dyDescent="0.3">
      <c r="C100" s="2" t="s">
        <v>175</v>
      </c>
    </row>
    <row r="101" spans="3:55" x14ac:dyDescent="0.3">
      <c r="C101" s="2" t="s">
        <v>176</v>
      </c>
    </row>
    <row r="102" spans="3:55" x14ac:dyDescent="0.3">
      <c r="C102" s="2" t="s">
        <v>177</v>
      </c>
    </row>
    <row r="103" spans="3:55" s="11" customFormat="1" x14ac:dyDescent="0.3">
      <c r="C103" s="11" t="s">
        <v>178</v>
      </c>
      <c r="E103" s="11" t="s">
        <v>179</v>
      </c>
      <c r="F103" s="49" t="s">
        <v>180</v>
      </c>
      <c r="G103" s="50"/>
      <c r="H103" s="50"/>
      <c r="I103" s="50"/>
      <c r="J103" s="50"/>
      <c r="K103" s="51"/>
      <c r="L103" s="51"/>
      <c r="M103" s="51"/>
      <c r="AJ103" s="51"/>
      <c r="AW103" s="51"/>
      <c r="AY103" s="51"/>
      <c r="BC103" s="51"/>
    </row>
    <row r="104" spans="3:55" x14ac:dyDescent="0.3">
      <c r="C104" s="2" t="s">
        <v>181</v>
      </c>
      <c r="E104" s="52">
        <v>10.1134</v>
      </c>
      <c r="F104" s="53">
        <v>9.9274000000000004</v>
      </c>
    </row>
    <row r="105" spans="3:55" x14ac:dyDescent="0.3">
      <c r="C105" s="2" t="s">
        <v>182</v>
      </c>
      <c r="E105" s="52">
        <v>10.1134</v>
      </c>
      <c r="F105" s="53">
        <v>9.9274000000000004</v>
      </c>
    </row>
    <row r="106" spans="3:55" x14ac:dyDescent="0.3">
      <c r="C106" s="2" t="s">
        <v>183</v>
      </c>
      <c r="E106" s="52">
        <v>10.336600000000001</v>
      </c>
      <c r="F106" s="53">
        <v>10.157999999999999</v>
      </c>
    </row>
    <row r="107" spans="3:55" x14ac:dyDescent="0.3">
      <c r="C107" s="2" t="s">
        <v>184</v>
      </c>
      <c r="E107" s="52">
        <v>10.336600000000001</v>
      </c>
      <c r="F107" s="53">
        <v>10.157999999999999</v>
      </c>
    </row>
    <row r="109" spans="3:55" x14ac:dyDescent="0.3">
      <c r="C109" s="2" t="s">
        <v>185</v>
      </c>
    </row>
    <row r="111" spans="3:55" x14ac:dyDescent="0.3">
      <c r="C111" s="2" t="s">
        <v>186</v>
      </c>
    </row>
    <row r="112" spans="3:55" x14ac:dyDescent="0.3">
      <c r="C112" s="2" t="s">
        <v>187</v>
      </c>
    </row>
    <row r="113" spans="3:11" x14ac:dyDescent="0.3">
      <c r="C113" s="2" t="s">
        <v>188</v>
      </c>
    </row>
    <row r="114" spans="3:11" x14ac:dyDescent="0.3">
      <c r="C114" s="2" t="s">
        <v>189</v>
      </c>
    </row>
    <row r="115" spans="3:11" x14ac:dyDescent="0.3">
      <c r="C115" s="2" t="s">
        <v>190</v>
      </c>
    </row>
    <row r="116" spans="3:11" x14ac:dyDescent="0.3">
      <c r="C116" s="2" t="s">
        <v>191</v>
      </c>
    </row>
    <row r="117" spans="3:11" x14ac:dyDescent="0.3">
      <c r="C117" s="2" t="s">
        <v>192</v>
      </c>
    </row>
    <row r="118" spans="3:11" x14ac:dyDescent="0.3">
      <c r="C118" s="2" t="s">
        <v>193</v>
      </c>
    </row>
    <row r="119" spans="3:11" x14ac:dyDescent="0.3">
      <c r="C119" s="2" t="s">
        <v>194</v>
      </c>
    </row>
    <row r="120" spans="3:11" x14ac:dyDescent="0.3">
      <c r="C120" s="2" t="s">
        <v>195</v>
      </c>
    </row>
    <row r="121" spans="3:11" x14ac:dyDescent="0.3">
      <c r="C121" s="2" t="s">
        <v>196</v>
      </c>
    </row>
    <row r="122" spans="3:11" x14ac:dyDescent="0.3">
      <c r="C122" s="2" t="s">
        <v>197</v>
      </c>
    </row>
    <row r="123" spans="3:11" ht="14.4" x14ac:dyDescent="0.3">
      <c r="C123" s="54"/>
      <c r="D123" s="54"/>
      <c r="E123" s="55"/>
      <c r="F123" s="55"/>
      <c r="G123" s="55"/>
      <c r="H123" s="55"/>
      <c r="I123" s="55"/>
      <c r="J123" s="55"/>
      <c r="K123" s="55"/>
    </row>
    <row r="124" spans="3:11" ht="14.4" x14ac:dyDescent="0.3">
      <c r="C124" s="55"/>
      <c r="D124" s="55"/>
      <c r="E124" s="55"/>
      <c r="F124" s="55"/>
      <c r="G124" s="55"/>
      <c r="H124" s="55"/>
      <c r="I124" s="55"/>
      <c r="J124" s="55"/>
      <c r="K124" s="55"/>
    </row>
    <row r="125" spans="3:11" ht="14.4" x14ac:dyDescent="0.3">
      <c r="C125" s="55"/>
      <c r="D125" s="55"/>
      <c r="E125" s="55"/>
      <c r="F125" s="55"/>
      <c r="G125" s="55"/>
      <c r="H125" s="55"/>
      <c r="I125" s="55"/>
      <c r="J125" s="55"/>
      <c r="K125" s="55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36</vt:i4>
      </vt:variant>
    </vt:vector>
  </HeadingPairs>
  <TitlesOfParts>
    <vt:vector size="37" baseType="lpstr">
      <vt:lpstr>BC</vt:lpstr>
      <vt:lpstr>XDO_?CLASS_3?29?</vt:lpstr>
      <vt:lpstr>XDO_?FINAL_ISIN?134?</vt:lpstr>
      <vt:lpstr>XDO_?FINAL_ISIN?135?</vt:lpstr>
      <vt:lpstr>XDO_?FINAL_ISIN?136?</vt:lpstr>
      <vt:lpstr>XDO_?FINAL_MV?134?</vt:lpstr>
      <vt:lpstr>XDO_?FINAL_MV?135?</vt:lpstr>
      <vt:lpstr>XDO_?FINAL_MV?136?</vt:lpstr>
      <vt:lpstr>XDO_?FINAL_NAME?134?</vt:lpstr>
      <vt:lpstr>XDO_?FINAL_NAME?135?</vt:lpstr>
      <vt:lpstr>XDO_?FINAL_NAME?136?</vt:lpstr>
      <vt:lpstr>XDO_?FINAL_PER_NET?134?</vt:lpstr>
      <vt:lpstr>XDO_?FINAL_PER_NET?135?</vt:lpstr>
      <vt:lpstr>XDO_?FINAL_PER_NET?136?</vt:lpstr>
      <vt:lpstr>XDO_?FINAL_QUANTITE?134?</vt:lpstr>
      <vt:lpstr>XDO_?FINAL_QUANTITE?135?</vt:lpstr>
      <vt:lpstr>XDO_?FINAL_QUANTITE?136?</vt:lpstr>
      <vt:lpstr>XDO_?NAMCNAME?29?</vt:lpstr>
      <vt:lpstr>XDO_?NOVAL?134?</vt:lpstr>
      <vt:lpstr>XDO_?NOVAL?135?</vt:lpstr>
      <vt:lpstr>XDO_?NOVAL?136?</vt:lpstr>
      <vt:lpstr>XDO_?NPTF?29?</vt:lpstr>
      <vt:lpstr>XDO_?RATING?134?</vt:lpstr>
      <vt:lpstr>XDO_?RATING?135?</vt:lpstr>
      <vt:lpstr>XDO_?RATING?136?</vt:lpstr>
      <vt:lpstr>XDO_?REMARKS?134?</vt:lpstr>
      <vt:lpstr>XDO_?REMARKS?135?</vt:lpstr>
      <vt:lpstr>XDO_?REMARKS?136?</vt:lpstr>
      <vt:lpstr>XDO_?TITL?29?</vt:lpstr>
      <vt:lpstr>XDO_?YTM?134?</vt:lpstr>
      <vt:lpstr>XDO_?YTM?135?</vt:lpstr>
      <vt:lpstr>XDO_?YTM?136?</vt:lpstr>
      <vt:lpstr>XDO_GROUP_?G_2?29?</vt:lpstr>
      <vt:lpstr>XDO_GROUP_?G_3?29?</vt:lpstr>
      <vt:lpstr>XDO_GROUP_?G_4?134?</vt:lpstr>
      <vt:lpstr>XDO_GROUP_?G_4?135?</vt:lpstr>
      <vt:lpstr>XDO_GROUP_?G_4?136?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Kshitija DESAI</cp:lastModifiedBy>
  <dcterms:created xsi:type="dcterms:W3CDTF">2023-02-06T13:49:49Z</dcterms:created>
  <dcterms:modified xsi:type="dcterms:W3CDTF">2023-02-09T12:18:39Z</dcterms:modified>
</cp:coreProperties>
</file>