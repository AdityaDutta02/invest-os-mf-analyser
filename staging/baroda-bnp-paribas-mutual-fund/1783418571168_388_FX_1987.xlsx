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C36AF9C0-753E-49DC-9E86-37B07D164B3F}" xr6:coauthVersionLast="47" xr6:coauthVersionMax="47" xr10:uidLastSave="{00000000-0000-0000-0000-000000000000}"/>
  <bookViews>
    <workbookView xWindow="-108" yWindow="-108" windowWidth="23256" windowHeight="12576" xr2:uid="{CF849EFF-2D24-400A-BA5B-98397FB46F4F}"/>
  </bookViews>
  <sheets>
    <sheet name="FX" sheetId="1" r:id="rId1"/>
  </sheets>
  <externalReferences>
    <externalReference r:id="rId2"/>
  </externalReferences>
  <definedNames>
    <definedName name="XDO_?CLASS_3?14?">FX!$C$8:$C$48</definedName>
    <definedName name="XDO_?FINAL_ISIN?59?">FX!$D$10:$D$48</definedName>
    <definedName name="XDO_?FINAL_ISIN?60?">FX!$D$10:$D$87</definedName>
    <definedName name="XDO_?FINAL_ISIN?61?">FX!$D$10:$D$91</definedName>
    <definedName name="XDO_?FINAL_MV?59?">FX!$G$10:$G$48</definedName>
    <definedName name="XDO_?FINAL_MV?60?">FX!$G$10:$G$87</definedName>
    <definedName name="XDO_?FINAL_MV?61?">FX!$G$10:$G$91</definedName>
    <definedName name="XDO_?FINAL_NAME?59?">FX!$C$10:$C$48</definedName>
    <definedName name="XDO_?FINAL_NAME?60?">FX!$C$10:$C$87</definedName>
    <definedName name="XDO_?FINAL_NAME?61?">FX!$C$10:$C$91</definedName>
    <definedName name="XDO_?FINAL_PER_NET?59?">FX!$H$10:$H$48</definedName>
    <definedName name="XDO_?FINAL_PER_NET?60?">FX!$H$10:$H$87</definedName>
    <definedName name="XDO_?FINAL_PER_NET?61?">FX!$H$10:$H$91</definedName>
    <definedName name="XDO_?FINAL_QUANTITE?59?">FX!$F$10:$F$48</definedName>
    <definedName name="XDO_?FINAL_QUANTITE?60?">FX!$F$10:$F$87</definedName>
    <definedName name="XDO_?FINAL_QUANTITE?61?">FX!$F$10:$F$91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4?">FX!$C$2:$C$48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9?">FX!$B$10:$B$48</definedName>
    <definedName name="XDO_?NOVAL?60?">FX!$B$10:$B$87</definedName>
    <definedName name="XDO_?NOVAL?61?">FX!$B$10:$B$91</definedName>
    <definedName name="XDO_?NPTF?14?">FX!$D$2:$D$48</definedName>
    <definedName name="XDO_?RATING?59?">FX!$E$10:$E$48</definedName>
    <definedName name="XDO_?RATING?60?">FX!$E$10:$E$87</definedName>
    <definedName name="XDO_?RATING?61?">FX!$E$10:$E$91</definedName>
    <definedName name="XDO_?REMARKS?59?">FX!$K$10:$K$48</definedName>
    <definedName name="XDO_?REMARKS?60?">FX!$K$10:$K$87</definedName>
    <definedName name="XDO_?REMARKS?61?">FX!$K$10:$K$91</definedName>
    <definedName name="XDO_?TITL?14?">FX!$A$8:$A$48</definedName>
    <definedName name="XDO_?YTM?59?">FX!$I$10:$I$48</definedName>
    <definedName name="XDO_?YTM?60?">FX!$I$10:$I$87</definedName>
    <definedName name="XDO_?YTM?61?">FX!$I$10:$I$91</definedName>
    <definedName name="XDO_GROUP_?G_2?14?">FX!$2:$59</definedName>
    <definedName name="XDO_GROUP_?G_3?14?">FX!$8:$58</definedName>
    <definedName name="XDO_GROUP_?G_4?28?">[1]TA!#REF!</definedName>
    <definedName name="XDO_GROUP_?G_4?59?">FX!$B$10:$IV$48</definedName>
    <definedName name="XDO_GROUP_?G_4?60?">FX!$B$53:$IV$53</definedName>
    <definedName name="XDO_GROUP_?G_4?61?">FX!$B$56:$IV$56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</calcChain>
</file>

<file path=xl/sharedStrings.xml><?xml version="1.0" encoding="utf-8"?>
<sst xmlns="http://schemas.openxmlformats.org/spreadsheetml/2006/main" count="260" uniqueCount="210">
  <si>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</si>
  <si>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</si>
  <si>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</si>
  <si>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</si>
  <si>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</si>
  <si>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</si>
  <si>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</si>
  <si>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</si>
  <si>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</si>
  <si>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</si>
  <si>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</si>
  <si>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</si>
  <si>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</si>
  <si>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</si>
  <si>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</si>
  <si>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</si>
  <si>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</si>
  <si>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</si>
  <si>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</si>
  <si>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</si>
  <si>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</si>
  <si>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</si>
  <si>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</si>
  <si>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</si>
  <si>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</si>
  <si>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</si>
  <si>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</si>
  <si>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</si>
  <si>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</si>
  <si>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</si>
  <si>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</si>
  <si>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</si>
  <si>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</si>
  <si>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</si>
  <si>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</si>
  <si>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</si>
  <si>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</si>
  <si>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</si>
  <si>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</si>
  <si>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</si>
  <si>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</si>
  <si>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</si>
  <si>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</si>
  <si>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</si>
  <si>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</si>
  <si>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</si>
  <si>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</si>
  <si>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</si>
  <si>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</si>
  <si>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100115</t>
  </si>
  <si>
    <t>Siemens Ltd.</t>
  </si>
  <si>
    <t>INE003A01024</t>
  </si>
  <si>
    <t>Electrical Equipment</t>
  </si>
  <si>
    <t>100010</t>
  </si>
  <si>
    <t>State Bank of India</t>
  </si>
  <si>
    <t>INE062A01020</t>
  </si>
  <si>
    <t>100126</t>
  </si>
  <si>
    <t>Britannia Industries Ltd.</t>
  </si>
  <si>
    <t>INE216A01030</t>
  </si>
  <si>
    <t>Food Products</t>
  </si>
  <si>
    <t>100013</t>
  </si>
  <si>
    <t>IndusInd Bank Ltd.</t>
  </si>
  <si>
    <t>INE095A01012</t>
  </si>
  <si>
    <t>100200</t>
  </si>
  <si>
    <t>Page Industries Ltd.</t>
  </si>
  <si>
    <t>INE761H01022</t>
  </si>
  <si>
    <t>Textiles &amp; Apparels</t>
  </si>
  <si>
    <t>100157</t>
  </si>
  <si>
    <t>Godrej Consumer Products Ltd.</t>
  </si>
  <si>
    <t>INE102D01028</t>
  </si>
  <si>
    <t>Personal Products</t>
  </si>
  <si>
    <t>100095</t>
  </si>
  <si>
    <t>Bharti Airtel Ltd.</t>
  </si>
  <si>
    <t>INE397D01024</t>
  </si>
  <si>
    <t>Telecom - Services</t>
  </si>
  <si>
    <t>100268</t>
  </si>
  <si>
    <t>NLC India Ltd.</t>
  </si>
  <si>
    <t>INE589A01014</t>
  </si>
  <si>
    <t>Power</t>
  </si>
  <si>
    <t>100843</t>
  </si>
  <si>
    <t>Dalmia Bharat Ltd.</t>
  </si>
  <si>
    <t>INE00R701025</t>
  </si>
  <si>
    <t>Cement &amp; Cement Products</t>
  </si>
  <si>
    <t>100121</t>
  </si>
  <si>
    <t>United Breweries Ltd.</t>
  </si>
  <si>
    <t>INE686F01025</t>
  </si>
  <si>
    <t>Beverages</t>
  </si>
  <si>
    <t>100022</t>
  </si>
  <si>
    <t>The Phoenix Mills Ltd.</t>
  </si>
  <si>
    <t>INE211B01039</t>
  </si>
  <si>
    <t>Realty</t>
  </si>
  <si>
    <t>100453</t>
  </si>
  <si>
    <t>RBL Bank Ltd.</t>
  </si>
  <si>
    <t>INE976G01028</t>
  </si>
  <si>
    <t>100234</t>
  </si>
  <si>
    <t>Coforge Ltd.</t>
  </si>
  <si>
    <t>INE591G01017</t>
  </si>
  <si>
    <t>100282</t>
  </si>
  <si>
    <t>Blue Star Ltd.</t>
  </si>
  <si>
    <t>INE472A01039</t>
  </si>
  <si>
    <t>Consumer Durables</t>
  </si>
  <si>
    <t>100026</t>
  </si>
  <si>
    <t>Persistent Systems Ltd.</t>
  </si>
  <si>
    <t>INE262H01013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</si>
  <si>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</si>
  <si>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</si>
  <si>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</si>
  <si>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</si>
  <si>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</si>
  <si>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</si>
  <si>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</si>
  <si>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100181</t>
  </si>
  <si>
    <t>NTPC Ltd.</t>
  </si>
  <si>
    <t>INE733E01010</t>
  </si>
  <si>
    <t>100024</t>
  </si>
  <si>
    <t>Axis Bank Ltd.</t>
  </si>
  <si>
    <t>INE238A01034</t>
  </si>
  <si>
    <t>100586</t>
  </si>
  <si>
    <t>Ratnamani Metals &amp; Tubes Ltd.</t>
  </si>
  <si>
    <t>INE703B01027</t>
  </si>
  <si>
    <t>Industrial Products</t>
  </si>
  <si>
    <t>100037</t>
  </si>
  <si>
    <t>HCL Technologies Ltd.</t>
  </si>
  <si>
    <t>INE860A01027</t>
  </si>
  <si>
    <t>100896</t>
  </si>
  <si>
    <t>Polycab India Ltd.</t>
  </si>
  <si>
    <t>INE455K01017</t>
  </si>
  <si>
    <t>100100</t>
  </si>
  <si>
    <t>Hindustan Petroleum Corporation Ltd.</t>
  </si>
  <si>
    <t>INE094A01015</t>
  </si>
  <si>
    <t>100004</t>
  </si>
  <si>
    <t>Zydus Lifesciences Ltd.</t>
  </si>
  <si>
    <t>INE010B01027</t>
  </si>
  <si>
    <t>Pharmaceuticals &amp; Biotechnology</t>
  </si>
  <si>
    <t>100163</t>
  </si>
  <si>
    <t>Bosch Ltd.</t>
  </si>
  <si>
    <t>INE323A01026</t>
  </si>
  <si>
    <t>Auto Components</t>
  </si>
  <si>
    <t>100224</t>
  </si>
  <si>
    <t>Mahindra Lifespace Developers Ltd.</t>
  </si>
  <si>
    <t>INE813A01018</t>
  </si>
  <si>
    <t>100223</t>
  </si>
  <si>
    <t>United Spirits Ltd.</t>
  </si>
  <si>
    <t>INE854D01024</t>
  </si>
  <si>
    <t>100138</t>
  </si>
  <si>
    <t>PVR Ltd.</t>
  </si>
  <si>
    <t>INE191H01014</t>
  </si>
  <si>
    <t>Entertainment</t>
  </si>
  <si>
    <t>101284</t>
  </si>
  <si>
    <t>Craftsman Automation Ltd.</t>
  </si>
  <si>
    <t>INE00LO01017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</si>
  <si>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</si>
  <si>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</si>
  <si>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</si>
  <si>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</si>
  <si>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</si>
  <si>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</si>
  <si>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</si>
  <si>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</si>
  <si>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</si>
  <si>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</si>
  <si>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</si>
  <si>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</si>
  <si>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</si>
  <si>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</si>
  <si>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</si>
  <si>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</si>
  <si>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</si>
  <si>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</si>
  <si>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</si>
  <si>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</si>
  <si>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</si>
  <si>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</si>
  <si>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</si>
  <si>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</si>
  <si>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</si>
  <si>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</si>
  <si>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</si>
  <si>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</si>
  <si>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</si>
  <si>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</si>
  <si>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</si>
  <si>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</si>
  <si>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</si>
  <si>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</si>
  <si>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</si>
  <si>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</si>
  <si>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</si>
  <si>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</si>
  <si>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</si>
  <si>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</si>
  <si>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</si>
  <si>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</si>
  <si>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</si>
  <si>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</si>
  <si>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</si>
  <si>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</si>
  <si>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</si>
  <si>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</si>
  <si>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</si>
  <si>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0.09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</si>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</sst>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F92FE173-ABF7-4F0C-8D7F-7484E904F988}"/>
    <cellStyle name="Hyperlink" xfId="2" builtinId="8"/>
    <cellStyle name="Normal" xfId="0" builtinId="0"/>
    <cellStyle name="Normal 2" xfId="4" xr:uid="{1907524C-E275-439A-BCAD-72BE39DF346C}"/>
    <cellStyle name="Style 1" xfId="3" xr:uid="{73876660-332C-4BCC-A314-86AF771876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5</xdr:col>
      <xdr:colOff>504275</xdr:colOff>
      <xdr:row>143</xdr:row>
      <xdr:rowOff>137498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42BAFB-6FAB-AFC2-C197-173B0961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8769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85B8-65D5-45D4-8782-6CA96DD7295B}">
  <dimension ref="A1:BC12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11197.2</v>
      </c>
      <c r="H10" s="34">
        <v>8.4600000000000009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400000</v>
      </c>
      <c r="G11" s="34">
        <v>9290.2000000000007</v>
      </c>
      <c r="H11" s="34">
        <v>7.02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275000</v>
      </c>
      <c r="G12" s="34">
        <v>7175.99</v>
      </c>
      <c r="H12" s="34">
        <v>5.42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190000</v>
      </c>
      <c r="G13" s="34">
        <v>6294.42</v>
      </c>
      <c r="H13" s="34">
        <v>4.75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31</v>
      </c>
      <c r="F14" s="33">
        <v>325000</v>
      </c>
      <c r="G14" s="34">
        <v>4834.54</v>
      </c>
      <c r="H14" s="34">
        <v>3.65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1200000</v>
      </c>
      <c r="G15" s="34">
        <v>4520.3999999999996</v>
      </c>
      <c r="H15" s="34">
        <v>3.41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200000</v>
      </c>
      <c r="G16" s="34">
        <v>4218.3</v>
      </c>
      <c r="H16" s="34">
        <v>3.19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450000</v>
      </c>
      <c r="G17" s="34">
        <v>3846.83</v>
      </c>
      <c r="H17" s="34">
        <v>2.91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27</v>
      </c>
      <c r="F18" s="33">
        <v>1525000</v>
      </c>
      <c r="G18" s="34">
        <v>3839.95</v>
      </c>
      <c r="H18" s="34">
        <v>2.9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110000</v>
      </c>
      <c r="G19" s="34">
        <v>3571.26</v>
      </c>
      <c r="H19" s="34">
        <v>2.7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650000</v>
      </c>
      <c r="G20" s="34">
        <v>3398.2</v>
      </c>
      <c r="H20" s="34">
        <v>2.57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75000</v>
      </c>
      <c r="G21" s="34">
        <v>3346.31</v>
      </c>
      <c r="H21" s="34">
        <v>2.5299999999999998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300000</v>
      </c>
      <c r="G22" s="34">
        <v>3233.1</v>
      </c>
      <c r="H22" s="34">
        <v>2.44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8100</v>
      </c>
      <c r="G23" s="34">
        <v>3075.54</v>
      </c>
      <c r="H23" s="34">
        <v>2.3199999999999998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325000</v>
      </c>
      <c r="G24" s="34">
        <v>3000.73</v>
      </c>
      <c r="H24" s="34">
        <v>2.27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400000</v>
      </c>
      <c r="G25" s="34">
        <v>2969</v>
      </c>
      <c r="H25" s="34">
        <v>2.2400000000000002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3735646</v>
      </c>
      <c r="G26" s="34">
        <v>2945.56</v>
      </c>
      <c r="H26" s="34">
        <v>2.2200000000000002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160000</v>
      </c>
      <c r="G27" s="34">
        <v>2934.24</v>
      </c>
      <c r="H27" s="34">
        <v>2.2200000000000002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200000</v>
      </c>
      <c r="G28" s="34">
        <v>2893.8</v>
      </c>
      <c r="H28" s="34">
        <v>2.19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204000</v>
      </c>
      <c r="G29" s="34">
        <v>2821.52</v>
      </c>
      <c r="H29" s="34">
        <v>2.13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19</v>
      </c>
      <c r="F30" s="33">
        <v>1700000</v>
      </c>
      <c r="G30" s="34">
        <v>2649.45</v>
      </c>
      <c r="H30" s="34">
        <v>2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31</v>
      </c>
      <c r="F31" s="33">
        <v>60000</v>
      </c>
      <c r="G31" s="34">
        <v>2579.19</v>
      </c>
      <c r="H31" s="34">
        <v>1.95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167743</v>
      </c>
      <c r="G32" s="34">
        <v>2409.29</v>
      </c>
      <c r="H32" s="34">
        <v>1.82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31</v>
      </c>
      <c r="F33" s="33">
        <v>50000</v>
      </c>
      <c r="G33" s="34">
        <v>2396.5500000000002</v>
      </c>
      <c r="H33" s="34">
        <v>1.81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27500</v>
      </c>
      <c r="G34" s="34">
        <v>2371.6999999999998</v>
      </c>
      <c r="H34" s="34">
        <v>1.79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107</v>
      </c>
      <c r="F35" s="33">
        <v>175000</v>
      </c>
      <c r="G35" s="34">
        <v>2221.8000000000002</v>
      </c>
      <c r="H35" s="34">
        <v>1.68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78</v>
      </c>
      <c r="F36" s="33">
        <v>1300000</v>
      </c>
      <c r="G36" s="34">
        <v>2216.5</v>
      </c>
      <c r="H36" s="34">
        <v>1.67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19</v>
      </c>
      <c r="F37" s="33">
        <v>250000</v>
      </c>
      <c r="G37" s="34">
        <v>2110.25</v>
      </c>
      <c r="H37" s="34">
        <v>1.59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89300</v>
      </c>
      <c r="G38" s="34">
        <v>1952.99</v>
      </c>
      <c r="H38" s="34">
        <v>1.47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31</v>
      </c>
      <c r="F39" s="33">
        <v>175000</v>
      </c>
      <c r="G39" s="34">
        <v>1885.8</v>
      </c>
      <c r="H39" s="34">
        <v>1.42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120</v>
      </c>
      <c r="F40" s="33">
        <v>60000</v>
      </c>
      <c r="G40" s="34">
        <v>1848.81</v>
      </c>
      <c r="H40" s="34">
        <v>1.4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23</v>
      </c>
      <c r="F41" s="33">
        <v>800000</v>
      </c>
      <c r="G41" s="34">
        <v>1722</v>
      </c>
      <c r="H41" s="34">
        <v>1.3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350000</v>
      </c>
      <c r="G42" s="34">
        <v>1630.3</v>
      </c>
      <c r="H42" s="34">
        <v>1.23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9000</v>
      </c>
      <c r="G43" s="34">
        <v>1619.66</v>
      </c>
      <c r="H43" s="34">
        <v>1.22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90</v>
      </c>
      <c r="F44" s="33">
        <v>400000</v>
      </c>
      <c r="G44" s="34">
        <v>1489.4</v>
      </c>
      <c r="H44" s="34">
        <v>1.1200000000000001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86</v>
      </c>
      <c r="F45" s="33">
        <v>200000</v>
      </c>
      <c r="G45" s="34">
        <v>1481.2</v>
      </c>
      <c r="H45" s="34">
        <v>1.1200000000000001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95208</v>
      </c>
      <c r="G46" s="34">
        <v>1445.45</v>
      </c>
      <c r="H46" s="34">
        <v>1.0900000000000001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137</v>
      </c>
      <c r="F47" s="33">
        <v>17311</v>
      </c>
      <c r="G47" s="34">
        <v>575.5</v>
      </c>
      <c r="H47" s="34">
        <v>0.43</v>
      </c>
      <c r="I47" s="35"/>
      <c r="J47" s="35"/>
      <c r="K47" s="36"/>
    </row>
    <row r="48" spans="2:11" x14ac:dyDescent="0.3">
      <c r="B48" s="1" t="s">
        <v>151</v>
      </c>
      <c r="C48" s="21" t="s">
        <v>25</v>
      </c>
      <c r="D48" s="31" t="s">
        <v>152</v>
      </c>
      <c r="E48" s="32" t="s">
        <v>27</v>
      </c>
      <c r="F48" s="33">
        <v>73800</v>
      </c>
      <c r="G48" s="34">
        <v>396.75</v>
      </c>
      <c r="H48" s="34">
        <v>0.3</v>
      </c>
      <c r="I48" s="35"/>
      <c r="J48" s="35"/>
      <c r="K48" s="36" t="s">
        <v>153</v>
      </c>
    </row>
    <row r="49" spans="3:11" x14ac:dyDescent="0.3">
      <c r="C49" s="30" t="s">
        <v>154</v>
      </c>
      <c r="D49" s="31"/>
      <c r="E49" s="32"/>
      <c r="F49" s="33"/>
      <c r="G49" s="38">
        <v>124409.68</v>
      </c>
      <c r="H49" s="38">
        <v>93.95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155</v>
      </c>
      <c r="D51" s="31"/>
      <c r="E51" s="32"/>
      <c r="F51" s="33"/>
      <c r="G51" s="34" t="s">
        <v>156</v>
      </c>
      <c r="H51" s="34" t="s">
        <v>156</v>
      </c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157</v>
      </c>
      <c r="D53" s="31"/>
      <c r="E53" s="32"/>
      <c r="F53" s="33"/>
      <c r="G53" s="34" t="s">
        <v>156</v>
      </c>
      <c r="H53" s="34" t="s">
        <v>156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158</v>
      </c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159</v>
      </c>
      <c r="D57" s="31"/>
      <c r="E57" s="32"/>
      <c r="F57" s="33"/>
      <c r="G57" s="34" t="s">
        <v>156</v>
      </c>
      <c r="H57" s="34" t="s">
        <v>156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160</v>
      </c>
      <c r="D59" s="31"/>
      <c r="E59" s="32"/>
      <c r="F59" s="33"/>
      <c r="G59" s="34" t="s">
        <v>156</v>
      </c>
      <c r="H59" s="34" t="s">
        <v>156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161</v>
      </c>
      <c r="D61" s="31"/>
      <c r="E61" s="32"/>
      <c r="F61" s="33"/>
      <c r="G61" s="34" t="s">
        <v>156</v>
      </c>
      <c r="H61" s="34" t="s">
        <v>156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162</v>
      </c>
      <c r="D63" s="31"/>
      <c r="E63" s="32"/>
      <c r="F63" s="33"/>
      <c r="G63" s="34" t="s">
        <v>156</v>
      </c>
      <c r="H63" s="34" t="s">
        <v>156</v>
      </c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163</v>
      </c>
      <c r="D65" s="31"/>
      <c r="E65" s="32"/>
      <c r="F65" s="33"/>
      <c r="G65" s="34" t="s">
        <v>156</v>
      </c>
      <c r="H65" s="34" t="s">
        <v>156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164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165</v>
      </c>
      <c r="D69" s="31"/>
      <c r="E69" s="32"/>
      <c r="F69" s="33"/>
      <c r="G69" s="34" t="s">
        <v>156</v>
      </c>
      <c r="H69" s="34" t="s">
        <v>156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166</v>
      </c>
      <c r="D71" s="31"/>
      <c r="E71" s="32"/>
      <c r="F71" s="33"/>
      <c r="G71" s="34" t="s">
        <v>156</v>
      </c>
      <c r="H71" s="34" t="s">
        <v>156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167</v>
      </c>
      <c r="D73" s="31"/>
      <c r="E73" s="32"/>
      <c r="F73" s="33"/>
      <c r="G73" s="34" t="s">
        <v>156</v>
      </c>
      <c r="H73" s="34" t="s">
        <v>156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168</v>
      </c>
      <c r="D75" s="31"/>
      <c r="E75" s="32"/>
      <c r="F75" s="33"/>
      <c r="G75" s="34" t="s">
        <v>156</v>
      </c>
      <c r="H75" s="34" t="s">
        <v>156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169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170</v>
      </c>
      <c r="D78" s="31"/>
      <c r="E78" s="32"/>
      <c r="F78" s="33"/>
      <c r="G78" s="34" t="s">
        <v>156</v>
      </c>
      <c r="H78" s="34" t="s">
        <v>156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171</v>
      </c>
      <c r="D80" s="31"/>
      <c r="E80" s="32"/>
      <c r="F80" s="33"/>
      <c r="G80" s="34" t="s">
        <v>156</v>
      </c>
      <c r="H80" s="34" t="s">
        <v>156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172</v>
      </c>
      <c r="D82" s="31"/>
      <c r="E82" s="32"/>
      <c r="F82" s="33"/>
      <c r="G82" s="34" t="s">
        <v>156</v>
      </c>
      <c r="H82" s="34" t="s">
        <v>156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173</v>
      </c>
      <c r="D84" s="31"/>
      <c r="E84" s="32"/>
      <c r="F84" s="33"/>
      <c r="G84" s="34" t="s">
        <v>156</v>
      </c>
      <c r="H84" s="34" t="s">
        <v>156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174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175</v>
      </c>
      <c r="C87" s="21" t="s">
        <v>176</v>
      </c>
      <c r="D87" s="31"/>
      <c r="E87" s="32"/>
      <c r="F87" s="33"/>
      <c r="G87" s="34">
        <v>8838.66</v>
      </c>
      <c r="H87" s="34">
        <v>6.68</v>
      </c>
      <c r="I87" s="35">
        <v>6.51</v>
      </c>
      <c r="J87" s="35"/>
      <c r="K87" s="36"/>
    </row>
    <row r="88" spans="1:11" x14ac:dyDescent="0.3">
      <c r="C88" s="30" t="s">
        <v>154</v>
      </c>
      <c r="D88" s="31"/>
      <c r="E88" s="32"/>
      <c r="F88" s="33"/>
      <c r="G88" s="38">
        <v>8838.66</v>
      </c>
      <c r="H88" s="38">
        <v>6.68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177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/>
      <c r="C91" s="21" t="s">
        <v>178</v>
      </c>
      <c r="D91" s="31"/>
      <c r="E91" s="32"/>
      <c r="F91" s="33"/>
      <c r="G91" s="34">
        <v>-837.65</v>
      </c>
      <c r="H91" s="34">
        <v>-0.63</v>
      </c>
      <c r="I91" s="35"/>
      <c r="J91" s="35"/>
      <c r="K91" s="36"/>
    </row>
    <row r="92" spans="1:11" x14ac:dyDescent="0.3">
      <c r="C92" s="30" t="s">
        <v>154</v>
      </c>
      <c r="D92" s="31"/>
      <c r="E92" s="32"/>
      <c r="F92" s="33"/>
      <c r="G92" s="38">
        <v>-837.65</v>
      </c>
      <c r="H92" s="38">
        <v>-0.63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 x14ac:dyDescent="0.35">
      <c r="C94" s="39" t="s">
        <v>179</v>
      </c>
      <c r="D94" s="40"/>
      <c r="E94" s="41"/>
      <c r="F94" s="42"/>
      <c r="G94" s="43">
        <v>132410.69</v>
      </c>
      <c r="H94" s="43">
        <f>SUMIFS(H:H,C:C,"Total")</f>
        <v>100</v>
      </c>
      <c r="I94" s="44"/>
      <c r="J94" s="44"/>
      <c r="K94" s="45"/>
    </row>
    <row r="97" spans="3:55" x14ac:dyDescent="0.3">
      <c r="C97" s="11" t="s">
        <v>180</v>
      </c>
    </row>
    <row r="98" spans="3:55" x14ac:dyDescent="0.3">
      <c r="C98" s="2" t="s">
        <v>181</v>
      </c>
    </row>
    <row r="99" spans="3:55" x14ac:dyDescent="0.3">
      <c r="C99" s="46" t="s">
        <v>182</v>
      </c>
    </row>
    <row r="100" spans="3:55" x14ac:dyDescent="0.3">
      <c r="C100" s="2" t="s">
        <v>183</v>
      </c>
    </row>
    <row r="101" spans="3:55" x14ac:dyDescent="0.3">
      <c r="C101" s="2" t="s">
        <v>184</v>
      </c>
    </row>
    <row r="102" spans="3:55" x14ac:dyDescent="0.3">
      <c r="C102" s="2" t="s">
        <v>185</v>
      </c>
      <c r="D102" s="47"/>
      <c r="E102" s="47"/>
      <c r="F102" s="47"/>
      <c r="G102" s="48"/>
      <c r="H102" s="48"/>
    </row>
    <row r="103" spans="3:55" x14ac:dyDescent="0.3">
      <c r="C103" s="2" t="s">
        <v>186</v>
      </c>
    </row>
    <row r="104" spans="3:55" x14ac:dyDescent="0.3">
      <c r="C104" s="2" t="s">
        <v>187</v>
      </c>
    </row>
    <row r="105" spans="3:55" x14ac:dyDescent="0.3">
      <c r="C105" s="2" t="s">
        <v>188</v>
      </c>
    </row>
    <row r="106" spans="3:55" x14ac:dyDescent="0.3">
      <c r="C106" s="2" t="s">
        <v>189</v>
      </c>
    </row>
    <row r="107" spans="3:55" s="11" customFormat="1" x14ac:dyDescent="0.3">
      <c r="C107" s="11" t="s">
        <v>190</v>
      </c>
      <c r="E107" s="11" t="s">
        <v>191</v>
      </c>
      <c r="F107" s="49" t="s">
        <v>192</v>
      </c>
      <c r="G107" s="50"/>
      <c r="H107" s="50"/>
      <c r="I107" s="50"/>
      <c r="J107" s="50"/>
      <c r="K107" s="51"/>
      <c r="L107" s="51"/>
      <c r="M107" s="51"/>
      <c r="AJ107" s="51"/>
      <c r="AW107" s="51"/>
      <c r="AY107" s="51"/>
      <c r="BC107" s="51"/>
    </row>
    <row r="108" spans="3:55" x14ac:dyDescent="0.3">
      <c r="C108" s="2" t="s">
        <v>193</v>
      </c>
      <c r="E108" s="52">
        <v>9.8248999999999995</v>
      </c>
      <c r="F108" s="53">
        <v>9.7636000000000003</v>
      </c>
    </row>
    <row r="109" spans="3:55" x14ac:dyDescent="0.3">
      <c r="C109" s="2" t="s">
        <v>194</v>
      </c>
      <c r="E109" s="52">
        <v>9.8248999999999995</v>
      </c>
      <c r="F109" s="53">
        <v>9.7636000000000003</v>
      </c>
    </row>
    <row r="110" spans="3:55" x14ac:dyDescent="0.3">
      <c r="C110" s="2" t="s">
        <v>195</v>
      </c>
      <c r="E110" s="52">
        <v>9.9077000000000002</v>
      </c>
      <c r="F110" s="53">
        <v>9.8595000000000006</v>
      </c>
    </row>
    <row r="111" spans="3:55" x14ac:dyDescent="0.3">
      <c r="C111" s="2" t="s">
        <v>196</v>
      </c>
      <c r="E111" s="52">
        <v>9.9077000000000002</v>
      </c>
      <c r="F111" s="53">
        <v>9.8595000000000006</v>
      </c>
    </row>
    <row r="113" spans="3:11" x14ac:dyDescent="0.3">
      <c r="C113" s="2" t="s">
        <v>197</v>
      </c>
    </row>
    <row r="115" spans="3:11" x14ac:dyDescent="0.3">
      <c r="C115" s="2" t="s">
        <v>198</v>
      </c>
    </row>
    <row r="116" spans="3:11" x14ac:dyDescent="0.3">
      <c r="C116" s="2" t="s">
        <v>199</v>
      </c>
    </row>
    <row r="117" spans="3:11" x14ac:dyDescent="0.3">
      <c r="C117" s="2" t="s">
        <v>200</v>
      </c>
    </row>
    <row r="118" spans="3:11" x14ac:dyDescent="0.3">
      <c r="C118" s="2" t="s">
        <v>201</v>
      </c>
    </row>
    <row r="119" spans="3:11" x14ac:dyDescent="0.3">
      <c r="C119" s="2" t="s">
        <v>202</v>
      </c>
    </row>
    <row r="120" spans="3:11" x14ac:dyDescent="0.3">
      <c r="C120" s="2" t="s">
        <v>203</v>
      </c>
    </row>
    <row r="121" spans="3:11" x14ac:dyDescent="0.3">
      <c r="C121" s="2" t="s">
        <v>204</v>
      </c>
    </row>
    <row r="122" spans="3:11" x14ac:dyDescent="0.3">
      <c r="C122" s="2" t="s">
        <v>205</v>
      </c>
    </row>
    <row r="123" spans="3:11" x14ac:dyDescent="0.3">
      <c r="C123" s="2" t="s">
        <v>206</v>
      </c>
    </row>
    <row r="124" spans="3:11" x14ac:dyDescent="0.3">
      <c r="C124" s="2" t="s">
        <v>207</v>
      </c>
    </row>
    <row r="125" spans="3:11" x14ac:dyDescent="0.3">
      <c r="C125" s="2" t="s">
        <v>208</v>
      </c>
    </row>
    <row r="126" spans="3:11" x14ac:dyDescent="0.3">
      <c r="C126" s="2" t="s">
        <v>209</v>
      </c>
    </row>
    <row r="127" spans="3:11" ht="14.4" x14ac:dyDescent="0.3">
      <c r="C127" s="54"/>
      <c r="D127" s="54"/>
      <c r="E127" s="55"/>
      <c r="F127" s="55"/>
      <c r="G127" s="55"/>
      <c r="H127" s="55"/>
      <c r="I127" s="55"/>
      <c r="J127" s="55"/>
      <c r="K127" s="55"/>
    </row>
    <row r="128" spans="3:11" ht="14.4" x14ac:dyDescent="0.3">
      <c r="C128" s="55"/>
      <c r="D128" s="55"/>
      <c r="E128" s="55"/>
      <c r="F128" s="55"/>
      <c r="G128" s="55"/>
      <c r="H128" s="55"/>
      <c r="I128" s="55"/>
      <c r="J128" s="55"/>
      <c r="K128" s="55"/>
    </row>
    <row r="129" spans="3:11" ht="14.4" x14ac:dyDescent="0.3">
      <c r="C129" s="55"/>
      <c r="D129" s="55"/>
      <c r="E129" s="55"/>
      <c r="F129" s="55"/>
      <c r="G129" s="55"/>
      <c r="H129" s="55"/>
      <c r="I129" s="55"/>
      <c r="J129" s="55"/>
      <c r="K12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XDO_?CLASS_3?14?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XDO_?NAMCNAME?14?</vt:lpstr>
      <vt:lpstr>XDO_?NOVAL?59?</vt:lpstr>
      <vt:lpstr>XDO_?NOVAL?60?</vt:lpstr>
      <vt:lpstr>XDO_?NOVAL?61?</vt:lpstr>
      <vt:lpstr>XDO_?NPTF?14?</vt:lpstr>
      <vt:lpstr>XDO_?RATING?59?</vt:lpstr>
      <vt:lpstr>XDO_?RATING?60?</vt:lpstr>
      <vt:lpstr>XDO_?RATING?61?</vt:lpstr>
      <vt:lpstr>XDO_?REMARKS?59?</vt:lpstr>
      <vt:lpstr>XDO_?REMARKS?60?</vt:lpstr>
      <vt:lpstr>XDO_?REMARKS?61?</vt:lpstr>
      <vt:lpstr>XDO_?TITL?14?</vt:lpstr>
      <vt:lpstr>XDO_?YTM?59?</vt:lpstr>
      <vt:lpstr>XDO_?YTM?60?</vt:lpstr>
      <vt:lpstr>XDO_?YTM?61?</vt:lpstr>
      <vt:lpstr>XDO_GROUP_?G_2?14?</vt:lpstr>
      <vt:lpstr>XDO_GROUP_?G_3?14?</vt:lpstr>
      <vt:lpstr>XDO_GROUP_?G_4?59?</vt:lpstr>
      <vt:lpstr>XDO_GROUP_?G_4?60?</vt:lpstr>
      <vt:lpstr>XDO_GROUP_?G_4?61?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2023-03-06T13:25:32Z</dcterms:created>
  <dcterms:modified xsi:type="dcterms:W3CDTF">2023-03-09T09:47:55Z</dcterms:modified>
</cp:coreProperties>
</file>