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FO" sheetId="1" r:id="rId1"/>
  </sheets>
  <externalReferences>
    <externalReference r:id="rId2"/>
  </externalReferences>
  <definedNames>
    <definedName name="XDO_?CLASS_3?13?">FO!$C$8:$C$33</definedName>
    <definedName name="XDO_?FINAL_ISIN?61?">FO!$D$10:$D$33</definedName>
    <definedName name="XDO_?FINAL_ISIN?62?">FO!$D$10:$D$72</definedName>
    <definedName name="XDO_?FINAL_ISIN?63?">FO!$D$10:$D$76</definedName>
    <definedName name="XDO_?FINAL_MV?61?">FO!$G$10:$G$33</definedName>
    <definedName name="XDO_?FINAL_MV?62?">FO!$G$10:$G$72</definedName>
    <definedName name="XDO_?FINAL_MV?63?">FO!$G$10:$G$76</definedName>
    <definedName name="XDO_?FINAL_NAME?61?">FO!$C$10:$C$33</definedName>
    <definedName name="XDO_?FINAL_NAME?62?">FO!$C$10:$C$72</definedName>
    <definedName name="XDO_?FINAL_NAME?63?">FO!$C$10:$C$76</definedName>
    <definedName name="XDO_?FINAL_PER_NET?61?">FO!$H$10:$H$33</definedName>
    <definedName name="XDO_?FINAL_PER_NET?62?">FO!$H$10:$H$72</definedName>
    <definedName name="XDO_?FINAL_PER_NET?63?">FO!$H$10:$H$76</definedName>
    <definedName name="XDO_?FINAL_QUANTITE?61?">FO!$F$10:$F$33</definedName>
    <definedName name="XDO_?FINAL_QUANTITE?62?">FO!$F$10:$F$72</definedName>
    <definedName name="XDO_?FINAL_QUANTITE?63?">FO!$F$10:$F$76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3?">FO!$C$2:$C$33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1?">FO!$B$10:$B$33</definedName>
    <definedName name="XDO_?NOVAL?62?">FO!$B$10:$B$72</definedName>
    <definedName name="XDO_?NOVAL?63?">FO!$B$10:$B$76</definedName>
    <definedName name="XDO_?NPTF?13?">FO!$D$2:$D$33</definedName>
    <definedName name="XDO_?RATING?61?">FO!$E$10:$E$33</definedName>
    <definedName name="XDO_?RATING?62?">FO!$E$10:$E$72</definedName>
    <definedName name="XDO_?RATING?63?">FO!$E$10:$E$76</definedName>
    <definedName name="XDO_?REMARKS?61?">FO!$K$10:$K$33</definedName>
    <definedName name="XDO_?REMARKS?62?">FO!$K$10:$K$72</definedName>
    <definedName name="XDO_?REMARKS?63?">FO!$K$10:$K$76</definedName>
    <definedName name="XDO_?TITL?13?">FO!$A$8:$A$33</definedName>
    <definedName name="XDO_?YTM?61?">FO!$I$10:$I$33</definedName>
    <definedName name="XDO_?YTM?62?">FO!$I$10:$I$72</definedName>
    <definedName name="XDO_?YTM?63?">FO!$I$10:$I$76</definedName>
    <definedName name="XDO_GROUP_?G_2?13?">FO!$2:$44</definedName>
    <definedName name="XDO_GROUP_?G_3?13?">FO!$8:$43</definedName>
    <definedName name="XDO_GROUP_?G_4?128?">[1]ON!#REF!</definedName>
    <definedName name="XDO_GROUP_?G_4?2?">[1]LW!#REF!</definedName>
    <definedName name="XDO_GROUP_?G_4?38?">[1]TA!#REF!</definedName>
    <definedName name="XDO_GROUP_?G_4?61?">FO!$B$10:$IV$33</definedName>
    <definedName name="XDO_GROUP_?G_4?62?">FO!$B$38:$IV$38</definedName>
    <definedName name="XDO_GROUP_?G_4?63?">FO!$B$41:$IV$41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" l="1"/>
</calcChain>
</file>

<file path=xl/sharedStrings.xml><?xml version="1.0" encoding="utf-8"?>
<sst xmlns="http://schemas.openxmlformats.org/spreadsheetml/2006/main" count="199" uniqueCount="163">
  <si>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</si>
  <si>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</si>
  <si>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</si>
  <si>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</si>
  <si>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</si>
  <si>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</si>
  <si>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</si>
  <si>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</si>
  <si>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</si>
  <si>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</si>
  <si>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</si>
  <si>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</si>
  <si>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</si>
  <si>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</si>
  <si>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</si>
  <si>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</si>
  <si>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</si>
  <si>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</si>
  <si>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</si>
  <si>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</si>
  <si>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</si>
  <si>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</si>
  <si>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</si>
  <si>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</si>
  <si>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</si>
  <si>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</si>
  <si>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</si>
  <si>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</si>
  <si>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</si>
  <si>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</si>
  <si>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</si>
  <si>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</si>
  <si>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</si>
  <si>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</si>
  <si>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</si>
  <si>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</si>
  <si>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100115</t>
  </si>
  <si>
    <t>Siemens Ltd.</t>
  </si>
  <si>
    <t>INE003A01024</t>
  </si>
  <si>
    <t>Electrical Equipment</t>
  </si>
  <si>
    <t>100002</t>
  </si>
  <si>
    <t>Reliance Industries Ltd.</t>
  </si>
  <si>
    <t>INE002A01018</t>
  </si>
  <si>
    <t>Petroleum Products</t>
  </si>
  <si>
    <t>100843</t>
  </si>
  <si>
    <t>Dalmia Bharat Ltd.</t>
  </si>
  <si>
    <t>INE00R701025</t>
  </si>
  <si>
    <t>Cement &amp; Cement Products</t>
  </si>
  <si>
    <t>100024</t>
  </si>
  <si>
    <t>Axis Bank Ltd.</t>
  </si>
  <si>
    <t>INE238A01034</t>
  </si>
  <si>
    <t>100164</t>
  </si>
  <si>
    <t>Petronet LNG Ltd.</t>
  </si>
  <si>
    <t>INE347G01014</t>
  </si>
  <si>
    <t>Gas</t>
  </si>
  <si>
    <t>100268</t>
  </si>
  <si>
    <t>NLC India Ltd.</t>
  </si>
  <si>
    <t>INE589A01014</t>
  </si>
  <si>
    <t>Power</t>
  </si>
  <si>
    <t>100012</t>
  </si>
  <si>
    <t>ICICI Bank Ltd.</t>
  </si>
  <si>
    <t>INE090A01021</t>
  </si>
  <si>
    <t>100036</t>
  </si>
  <si>
    <t>Mahindra &amp; Mahindra Financial Services Ltd.</t>
  </si>
  <si>
    <t>INE774D01024</t>
  </si>
  <si>
    <t>Finance</t>
  </si>
  <si>
    <t>100089</t>
  </si>
  <si>
    <t>Bharat Electronics Ltd.</t>
  </si>
  <si>
    <t>INE263A01024</t>
  </si>
  <si>
    <t>Aerospace &amp; Defense</t>
  </si>
  <si>
    <t>100014</t>
  </si>
  <si>
    <t>Mahindra &amp; Mahindra Ltd.</t>
  </si>
  <si>
    <t>INE101A01026</t>
  </si>
  <si>
    <t>Automobiles</t>
  </si>
  <si>
    <t>100004</t>
  </si>
  <si>
    <t>Zydus Lifesciences Ltd.</t>
  </si>
  <si>
    <t>INE010B01027</t>
  </si>
  <si>
    <t>Pharmaceuticals &amp; Biotechnology</t>
  </si>
  <si>
    <t>101433</t>
  </si>
  <si>
    <t>Metro Brands Ltd.</t>
  </si>
  <si>
    <t>INE317I01021</t>
  </si>
  <si>
    <t>Consumer Durables</t>
  </si>
  <si>
    <t>100586</t>
  </si>
  <si>
    <t>Ratnamani Metals &amp; Tubes Ltd.</t>
  </si>
  <si>
    <t>INE703B01027</t>
  </si>
  <si>
    <t>Industrial Products</t>
  </si>
  <si>
    <t>100200</t>
  </si>
  <si>
    <t>Page Industries Ltd.</t>
  </si>
  <si>
    <t>INE761H01022</t>
  </si>
  <si>
    <t>Textiles &amp; Apparels</t>
  </si>
  <si>
    <t>100242</t>
  </si>
  <si>
    <t>Schaeffler India Ltd.</t>
  </si>
  <si>
    <t>INE513A01022</t>
  </si>
  <si>
    <t>Auto Components</t>
  </si>
  <si>
    <t>100069</t>
  </si>
  <si>
    <t>Mahindra CIE Automotive Ltd.</t>
  </si>
  <si>
    <t>INE536H01010</t>
  </si>
  <si>
    <t>100184</t>
  </si>
  <si>
    <t>Tata Steel Ltd.</t>
  </si>
  <si>
    <t>INE081A01020</t>
  </si>
  <si>
    <t>Ferrous Metals</t>
  </si>
  <si>
    <t>100001</t>
  </si>
  <si>
    <t>Housing Development Finance Corporation Ltd.</t>
  </si>
  <si>
    <t>INE001A01036</t>
  </si>
  <si>
    <t>100013</t>
  </si>
  <si>
    <t>IndusInd Bank Ltd.</t>
  </si>
  <si>
    <t>INE095A01012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</si>
  <si>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</si>
  <si>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</si>
  <si>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</si>
  <si>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</si>
  <si>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</si>
  <si>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</si>
  <si>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</si>
  <si>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</si>
  <si>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</si>
  <si>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</si>
  <si>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</si>
  <si>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</si>
  <si>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</si>
  <si>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</si>
  <si>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</si>
  <si>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</si>
  <si>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</si>
  <si>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</si>
  <si>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</si>
  <si>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</si>
  <si>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</si>
  <si>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</si>
  <si>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</si>
  <si>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</si>
  <si>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</si>
  <si>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</si>
  <si>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</si>
  <si>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</si>
  <si>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</si>
  <si>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</si>
  <si>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</si>
  <si>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</si>
  <si>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</si>
  <si>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</si>
  <si>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</si>
  <si>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</si>
  <si>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</si>
  <si>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</si>
  <si>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</si>
  <si>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</si>
  <si>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</si>
  <si>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</si>
  <si>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</si>
  <si>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May 31, 2023</t>
  </si>
  <si>
    <t>(9) There were no investments made in derivative instruments and no such derivative instrument was squared off/ expired /exercised during the Month ended May 31, 2023. Further there are no investments in derivative instruments as on May 31, 2023.</t>
  </si>
  <si>
    <t>(10) Total Market value of investments in Foreign Securities/American Depositary Receipts/Global Depositary Receipts as at  May 31, 2023 is Rs. Nil.</t>
  </si>
  <si>
    <t>(11)  During the period, the portfolio turnover ratio is  0.03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</si>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</sst>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5</xdr:col>
      <xdr:colOff>504275</xdr:colOff>
      <xdr:row>127</xdr:row>
      <xdr:rowOff>143256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2014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1"/>
  <sheetViews>
    <sheetView showGridLines="0" tabSelected="1" zoomScale="90" zoomScaleNormal="90" workbookViewId="0">
      <pane ySplit="6" topLeftCell="A110" activePane="bottomLeft" state="frozen"/>
      <selection activeCell="J2" sqref="J2"/>
      <selection pane="bottomLeft" activeCell="G120" sqref="G12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185000</v>
      </c>
      <c r="G10" s="34">
        <v>2980.07</v>
      </c>
      <c r="H10" s="34">
        <v>8.74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82500</v>
      </c>
      <c r="G11" s="34">
        <v>2713.84</v>
      </c>
      <c r="H11" s="34">
        <v>7.96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550000</v>
      </c>
      <c r="G12" s="34">
        <v>2450.25</v>
      </c>
      <c r="H12" s="34">
        <v>7.19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85000</v>
      </c>
      <c r="G13" s="34">
        <v>1874.8</v>
      </c>
      <c r="H13" s="34">
        <v>5.5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200000</v>
      </c>
      <c r="G14" s="34">
        <v>1699.8</v>
      </c>
      <c r="H14" s="34">
        <v>4.99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45000</v>
      </c>
      <c r="G15" s="34">
        <v>1598.24</v>
      </c>
      <c r="H15" s="34">
        <v>4.6900000000000004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43</v>
      </c>
      <c r="F16" s="33">
        <v>60000</v>
      </c>
      <c r="G16" s="34">
        <v>1481.94</v>
      </c>
      <c r="H16" s="34">
        <v>4.3499999999999996</v>
      </c>
      <c r="I16" s="35"/>
      <c r="J16" s="35"/>
      <c r="K16" s="36"/>
    </row>
    <row r="17" spans="2:11" x14ac:dyDescent="0.3">
      <c r="B17" s="1" t="s">
        <v>44</v>
      </c>
      <c r="C17" s="21" t="s">
        <v>45</v>
      </c>
      <c r="D17" s="31" t="s">
        <v>46</v>
      </c>
      <c r="E17" s="32" t="s">
        <v>47</v>
      </c>
      <c r="F17" s="33">
        <v>66000</v>
      </c>
      <c r="G17" s="34">
        <v>1405.77</v>
      </c>
      <c r="H17" s="34">
        <v>4.12</v>
      </c>
      <c r="I17" s="35"/>
      <c r="J17" s="35"/>
      <c r="K17" s="36"/>
    </row>
    <row r="18" spans="2:11" x14ac:dyDescent="0.3">
      <c r="B18" s="1" t="s">
        <v>48</v>
      </c>
      <c r="C18" s="21" t="s">
        <v>49</v>
      </c>
      <c r="D18" s="31" t="s">
        <v>50</v>
      </c>
      <c r="E18" s="32" t="s">
        <v>19</v>
      </c>
      <c r="F18" s="33">
        <v>137500</v>
      </c>
      <c r="G18" s="34">
        <v>1257.92</v>
      </c>
      <c r="H18" s="34">
        <v>3.69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550000</v>
      </c>
      <c r="G19" s="34">
        <v>1242.18</v>
      </c>
      <c r="H19" s="34">
        <v>3.64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58</v>
      </c>
      <c r="F20" s="33">
        <v>1267823</v>
      </c>
      <c r="G20" s="34">
        <v>1199.99</v>
      </c>
      <c r="H20" s="34">
        <v>3.52</v>
      </c>
      <c r="I20" s="35"/>
      <c r="J20" s="35"/>
      <c r="K20" s="36"/>
    </row>
    <row r="21" spans="2:11" x14ac:dyDescent="0.3">
      <c r="B21" s="1" t="s">
        <v>59</v>
      </c>
      <c r="C21" s="21" t="s">
        <v>60</v>
      </c>
      <c r="D21" s="31" t="s">
        <v>61</v>
      </c>
      <c r="E21" s="32" t="s">
        <v>19</v>
      </c>
      <c r="F21" s="33">
        <v>120000</v>
      </c>
      <c r="G21" s="34">
        <v>1138.98</v>
      </c>
      <c r="H21" s="34">
        <v>3.34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65</v>
      </c>
      <c r="F22" s="33">
        <v>400000</v>
      </c>
      <c r="G22" s="34">
        <v>1137.2</v>
      </c>
      <c r="H22" s="34">
        <v>3.34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69</v>
      </c>
      <c r="F23" s="33">
        <v>1000000</v>
      </c>
      <c r="G23" s="34">
        <v>1121.5</v>
      </c>
      <c r="H23" s="34">
        <v>3.29</v>
      </c>
      <c r="I23" s="35"/>
      <c r="J23" s="35"/>
      <c r="K23" s="36"/>
    </row>
    <row r="24" spans="2:11" x14ac:dyDescent="0.3">
      <c r="B24" s="1" t="s">
        <v>70</v>
      </c>
      <c r="C24" s="21" t="s">
        <v>71</v>
      </c>
      <c r="D24" s="31" t="s">
        <v>72</v>
      </c>
      <c r="E24" s="32" t="s">
        <v>73</v>
      </c>
      <c r="F24" s="33">
        <v>80000</v>
      </c>
      <c r="G24" s="34">
        <v>1055.2</v>
      </c>
      <c r="H24" s="34">
        <v>3.1</v>
      </c>
      <c r="I24" s="35"/>
      <c r="J24" s="35"/>
      <c r="K24" s="36"/>
    </row>
    <row r="25" spans="2:11" x14ac:dyDescent="0.3">
      <c r="B25" s="1" t="s">
        <v>74</v>
      </c>
      <c r="C25" s="21" t="s">
        <v>75</v>
      </c>
      <c r="D25" s="31" t="s">
        <v>76</v>
      </c>
      <c r="E25" s="32" t="s">
        <v>77</v>
      </c>
      <c r="F25" s="33">
        <v>210000</v>
      </c>
      <c r="G25" s="34">
        <v>1054.83</v>
      </c>
      <c r="H25" s="34">
        <v>3.09</v>
      </c>
      <c r="I25" s="35"/>
      <c r="J25" s="35"/>
      <c r="K25" s="36"/>
    </row>
    <row r="26" spans="2:11" x14ac:dyDescent="0.3">
      <c r="B26" s="1" t="s">
        <v>78</v>
      </c>
      <c r="C26" s="21" t="s">
        <v>79</v>
      </c>
      <c r="D26" s="31" t="s">
        <v>80</v>
      </c>
      <c r="E26" s="32" t="s">
        <v>81</v>
      </c>
      <c r="F26" s="33">
        <v>110000</v>
      </c>
      <c r="G26" s="34">
        <v>1053.9100000000001</v>
      </c>
      <c r="H26" s="34">
        <v>3.09</v>
      </c>
      <c r="I26" s="35"/>
      <c r="J26" s="35"/>
      <c r="K26" s="36"/>
    </row>
    <row r="27" spans="2:11" x14ac:dyDescent="0.3">
      <c r="B27" s="1" t="s">
        <v>82</v>
      </c>
      <c r="C27" s="21" t="s">
        <v>83</v>
      </c>
      <c r="D27" s="31" t="s">
        <v>84</v>
      </c>
      <c r="E27" s="32" t="s">
        <v>85</v>
      </c>
      <c r="F27" s="33">
        <v>42000</v>
      </c>
      <c r="G27" s="34">
        <v>971.46</v>
      </c>
      <c r="H27" s="34">
        <v>2.85</v>
      </c>
      <c r="I27" s="35"/>
      <c r="J27" s="35"/>
      <c r="K27" s="36"/>
    </row>
    <row r="28" spans="2:11" x14ac:dyDescent="0.3">
      <c r="B28" s="1" t="s">
        <v>86</v>
      </c>
      <c r="C28" s="21" t="s">
        <v>87</v>
      </c>
      <c r="D28" s="31" t="s">
        <v>88</v>
      </c>
      <c r="E28" s="32" t="s">
        <v>89</v>
      </c>
      <c r="F28" s="33">
        <v>2300</v>
      </c>
      <c r="G28" s="34">
        <v>891.84</v>
      </c>
      <c r="H28" s="34">
        <v>2.62</v>
      </c>
      <c r="I28" s="35"/>
      <c r="J28" s="35"/>
      <c r="K28" s="36"/>
    </row>
    <row r="29" spans="2:11" x14ac:dyDescent="0.3">
      <c r="B29" s="1" t="s">
        <v>90</v>
      </c>
      <c r="C29" s="21" t="s">
        <v>91</v>
      </c>
      <c r="D29" s="31" t="s">
        <v>92</v>
      </c>
      <c r="E29" s="32" t="s">
        <v>93</v>
      </c>
      <c r="F29" s="33">
        <v>30000</v>
      </c>
      <c r="G29" s="34">
        <v>890.09</v>
      </c>
      <c r="H29" s="34">
        <v>2.61</v>
      </c>
      <c r="I29" s="35"/>
      <c r="J29" s="35"/>
      <c r="K29" s="36"/>
    </row>
    <row r="30" spans="2:11" x14ac:dyDescent="0.3">
      <c r="B30" s="1" t="s">
        <v>94</v>
      </c>
      <c r="C30" s="21" t="s">
        <v>95</v>
      </c>
      <c r="D30" s="31" t="s">
        <v>96</v>
      </c>
      <c r="E30" s="32" t="s">
        <v>93</v>
      </c>
      <c r="F30" s="33">
        <v>175000</v>
      </c>
      <c r="G30" s="34">
        <v>795.11</v>
      </c>
      <c r="H30" s="34">
        <v>2.33</v>
      </c>
      <c r="I30" s="35"/>
      <c r="J30" s="35"/>
      <c r="K30" s="36"/>
    </row>
    <row r="31" spans="2:11" x14ac:dyDescent="0.3">
      <c r="B31" s="1" t="s">
        <v>97</v>
      </c>
      <c r="C31" s="21" t="s">
        <v>98</v>
      </c>
      <c r="D31" s="31" t="s">
        <v>99</v>
      </c>
      <c r="E31" s="32" t="s">
        <v>100</v>
      </c>
      <c r="F31" s="33">
        <v>750000</v>
      </c>
      <c r="G31" s="34">
        <v>793.5</v>
      </c>
      <c r="H31" s="34">
        <v>2.33</v>
      </c>
      <c r="I31" s="35"/>
      <c r="J31" s="35"/>
      <c r="K31" s="36"/>
    </row>
    <row r="32" spans="2:11" x14ac:dyDescent="0.3">
      <c r="B32" s="1" t="s">
        <v>101</v>
      </c>
      <c r="C32" s="21" t="s">
        <v>102</v>
      </c>
      <c r="D32" s="31" t="s">
        <v>103</v>
      </c>
      <c r="E32" s="32" t="s">
        <v>65</v>
      </c>
      <c r="F32" s="33">
        <v>30000</v>
      </c>
      <c r="G32" s="34">
        <v>792.12</v>
      </c>
      <c r="H32" s="34">
        <v>2.3199999999999998</v>
      </c>
      <c r="I32" s="35"/>
      <c r="J32" s="35"/>
      <c r="K32" s="36"/>
    </row>
    <row r="33" spans="2:11" x14ac:dyDescent="0.3">
      <c r="B33" s="1" t="s">
        <v>104</v>
      </c>
      <c r="C33" s="21" t="s">
        <v>105</v>
      </c>
      <c r="D33" s="31" t="s">
        <v>106</v>
      </c>
      <c r="E33" s="32" t="s">
        <v>19</v>
      </c>
      <c r="F33" s="33">
        <v>50000</v>
      </c>
      <c r="G33" s="34">
        <v>643.29999999999995</v>
      </c>
      <c r="H33" s="34">
        <v>1.89</v>
      </c>
      <c r="I33" s="35"/>
      <c r="J33" s="35"/>
      <c r="K33" s="36"/>
    </row>
    <row r="34" spans="2:11" x14ac:dyDescent="0.3">
      <c r="C34" s="30" t="s">
        <v>107</v>
      </c>
      <c r="D34" s="31"/>
      <c r="E34" s="32"/>
      <c r="F34" s="33"/>
      <c r="G34" s="38">
        <v>32243.84</v>
      </c>
      <c r="H34" s="38">
        <v>94.59</v>
      </c>
      <c r="I34" s="35"/>
      <c r="J34" s="35"/>
      <c r="K34" s="36"/>
    </row>
    <row r="35" spans="2:11" x14ac:dyDescent="0.3">
      <c r="C35" s="21"/>
      <c r="D35" s="31"/>
      <c r="E35" s="32"/>
      <c r="F35" s="33"/>
      <c r="G35" s="34"/>
      <c r="H35" s="34"/>
      <c r="I35" s="35"/>
      <c r="J35" s="35"/>
      <c r="K35" s="36"/>
    </row>
    <row r="36" spans="2:11" x14ac:dyDescent="0.3">
      <c r="C36" s="30" t="s">
        <v>108</v>
      </c>
      <c r="D36" s="31"/>
      <c r="E36" s="32"/>
      <c r="F36" s="33"/>
      <c r="G36" s="34" t="s">
        <v>109</v>
      </c>
      <c r="H36" s="34" t="s">
        <v>109</v>
      </c>
      <c r="I36" s="35"/>
      <c r="J36" s="35"/>
      <c r="K36" s="36"/>
    </row>
    <row r="37" spans="2:11" x14ac:dyDescent="0.3">
      <c r="C37" s="21"/>
      <c r="D37" s="31"/>
      <c r="E37" s="32"/>
      <c r="F37" s="33"/>
      <c r="G37" s="34"/>
      <c r="H37" s="34"/>
      <c r="I37" s="35"/>
      <c r="J37" s="35"/>
      <c r="K37" s="36"/>
    </row>
    <row r="38" spans="2:11" x14ac:dyDescent="0.3">
      <c r="C38" s="30" t="s">
        <v>110</v>
      </c>
      <c r="D38" s="31"/>
      <c r="E38" s="32"/>
      <c r="F38" s="33"/>
      <c r="G38" s="34" t="s">
        <v>109</v>
      </c>
      <c r="H38" s="34" t="s">
        <v>109</v>
      </c>
      <c r="I38" s="35"/>
      <c r="J38" s="35"/>
      <c r="K38" s="36"/>
    </row>
    <row r="39" spans="2:11" x14ac:dyDescent="0.3">
      <c r="C39" s="21"/>
      <c r="D39" s="31"/>
      <c r="E39" s="32"/>
      <c r="F39" s="33"/>
      <c r="G39" s="34"/>
      <c r="H39" s="34"/>
      <c r="I39" s="35"/>
      <c r="J39" s="35"/>
      <c r="K39" s="36"/>
    </row>
    <row r="40" spans="2:11" x14ac:dyDescent="0.3">
      <c r="C40" s="30" t="s">
        <v>111</v>
      </c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21"/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30" t="s">
        <v>112</v>
      </c>
      <c r="D42" s="31"/>
      <c r="E42" s="32"/>
      <c r="F42" s="33"/>
      <c r="G42" s="34" t="s">
        <v>109</v>
      </c>
      <c r="H42" s="34" t="s">
        <v>109</v>
      </c>
      <c r="I42" s="35"/>
      <c r="J42" s="35"/>
      <c r="K42" s="36"/>
    </row>
    <row r="43" spans="2:11" x14ac:dyDescent="0.3">
      <c r="C43" s="21"/>
      <c r="D43" s="31"/>
      <c r="E43" s="32"/>
      <c r="F43" s="33"/>
      <c r="G43" s="34"/>
      <c r="H43" s="34"/>
      <c r="I43" s="35"/>
      <c r="J43" s="35"/>
      <c r="K43" s="36"/>
    </row>
    <row r="44" spans="2:11" x14ac:dyDescent="0.3">
      <c r="C44" s="30" t="s">
        <v>113</v>
      </c>
      <c r="D44" s="31"/>
      <c r="E44" s="32"/>
      <c r="F44" s="33"/>
      <c r="G44" s="34" t="s">
        <v>109</v>
      </c>
      <c r="H44" s="34" t="s">
        <v>109</v>
      </c>
      <c r="I44" s="35"/>
      <c r="J44" s="35"/>
      <c r="K44" s="36"/>
    </row>
    <row r="45" spans="2:11" x14ac:dyDescent="0.3">
      <c r="C45" s="21"/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C46" s="30" t="s">
        <v>114</v>
      </c>
      <c r="D46" s="31"/>
      <c r="E46" s="32"/>
      <c r="F46" s="33"/>
      <c r="G46" s="34" t="s">
        <v>109</v>
      </c>
      <c r="H46" s="34" t="s">
        <v>109</v>
      </c>
      <c r="I46" s="35"/>
      <c r="J46" s="35"/>
      <c r="K46" s="36"/>
    </row>
    <row r="47" spans="2:11" x14ac:dyDescent="0.3">
      <c r="C47" s="21"/>
      <c r="D47" s="31"/>
      <c r="E47" s="32"/>
      <c r="F47" s="33"/>
      <c r="G47" s="34"/>
      <c r="H47" s="34"/>
      <c r="I47" s="35"/>
      <c r="J47" s="35"/>
      <c r="K47" s="36"/>
    </row>
    <row r="48" spans="2:11" x14ac:dyDescent="0.3">
      <c r="C48" s="30" t="s">
        <v>115</v>
      </c>
      <c r="D48" s="31"/>
      <c r="E48" s="32"/>
      <c r="F48" s="33"/>
      <c r="G48" s="34" t="s">
        <v>109</v>
      </c>
      <c r="H48" s="34" t="s">
        <v>109</v>
      </c>
      <c r="I48" s="35"/>
      <c r="J48" s="35"/>
      <c r="K48" s="36"/>
    </row>
    <row r="49" spans="1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0" t="s">
        <v>116</v>
      </c>
      <c r="D50" s="31"/>
      <c r="E50" s="32"/>
      <c r="F50" s="33"/>
      <c r="G50" s="34" t="s">
        <v>109</v>
      </c>
      <c r="H50" s="34" t="s">
        <v>109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117</v>
      </c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0" t="s">
        <v>118</v>
      </c>
      <c r="D54" s="31"/>
      <c r="E54" s="32"/>
      <c r="F54" s="33"/>
      <c r="G54" s="34" t="s">
        <v>109</v>
      </c>
      <c r="H54" s="34" t="s">
        <v>109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C56" s="30" t="s">
        <v>119</v>
      </c>
      <c r="D56" s="31"/>
      <c r="E56" s="32"/>
      <c r="F56" s="33"/>
      <c r="G56" s="34" t="s">
        <v>109</v>
      </c>
      <c r="H56" s="34" t="s">
        <v>109</v>
      </c>
      <c r="I56" s="35"/>
      <c r="J56" s="35"/>
      <c r="K56" s="36"/>
    </row>
    <row r="57" spans="1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C58" s="30" t="s">
        <v>120</v>
      </c>
      <c r="D58" s="31"/>
      <c r="E58" s="32"/>
      <c r="F58" s="33"/>
      <c r="G58" s="34" t="s">
        <v>109</v>
      </c>
      <c r="H58" s="34" t="s">
        <v>109</v>
      </c>
      <c r="I58" s="35"/>
      <c r="J58" s="35"/>
      <c r="K58" s="36"/>
    </row>
    <row r="59" spans="1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0" t="s">
        <v>121</v>
      </c>
      <c r="D60" s="31"/>
      <c r="E60" s="32"/>
      <c r="F60" s="33"/>
      <c r="G60" s="34" t="s">
        <v>109</v>
      </c>
      <c r="H60" s="34" t="s">
        <v>109</v>
      </c>
      <c r="I60" s="35"/>
      <c r="J60" s="35"/>
      <c r="K60" s="36"/>
    </row>
    <row r="61" spans="1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A62" s="28"/>
      <c r="B62" s="29"/>
      <c r="C62" s="30" t="s">
        <v>122</v>
      </c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A63" s="29"/>
      <c r="B63" s="29"/>
      <c r="C63" s="30" t="s">
        <v>123</v>
      </c>
      <c r="D63" s="31"/>
      <c r="E63" s="32"/>
      <c r="F63" s="33"/>
      <c r="G63" s="34" t="s">
        <v>109</v>
      </c>
      <c r="H63" s="34" t="s">
        <v>109</v>
      </c>
      <c r="I63" s="35"/>
      <c r="J63" s="35"/>
      <c r="K63" s="36"/>
    </row>
    <row r="64" spans="1:11" x14ac:dyDescent="0.3">
      <c r="A64" s="29"/>
      <c r="B64" s="29"/>
      <c r="C64" s="30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A65" s="29"/>
      <c r="B65" s="29"/>
      <c r="C65" s="30" t="s">
        <v>124</v>
      </c>
      <c r="D65" s="31"/>
      <c r="E65" s="32"/>
      <c r="F65" s="33"/>
      <c r="G65" s="34" t="s">
        <v>109</v>
      </c>
      <c r="H65" s="34" t="s">
        <v>109</v>
      </c>
      <c r="I65" s="35"/>
      <c r="J65" s="35"/>
      <c r="K65" s="36"/>
    </row>
    <row r="66" spans="1:11" x14ac:dyDescent="0.3">
      <c r="A66" s="29"/>
      <c r="B66" s="29"/>
      <c r="C66" s="30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125</v>
      </c>
      <c r="D67" s="31"/>
      <c r="E67" s="32"/>
      <c r="F67" s="33"/>
      <c r="G67" s="34" t="s">
        <v>109</v>
      </c>
      <c r="H67" s="34" t="s">
        <v>109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126</v>
      </c>
      <c r="D69" s="31"/>
      <c r="E69" s="32"/>
      <c r="F69" s="33"/>
      <c r="G69" s="34" t="s">
        <v>109</v>
      </c>
      <c r="H69" s="34" t="s">
        <v>109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7" t="s">
        <v>127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B72" s="1" t="s">
        <v>128</v>
      </c>
      <c r="C72" s="21" t="s">
        <v>129</v>
      </c>
      <c r="D72" s="31"/>
      <c r="E72" s="32"/>
      <c r="F72" s="33"/>
      <c r="G72" s="34">
        <v>1783.98</v>
      </c>
      <c r="H72" s="34">
        <v>5.23</v>
      </c>
      <c r="I72" s="35">
        <v>6.24</v>
      </c>
      <c r="J72" s="35"/>
      <c r="K72" s="36"/>
    </row>
    <row r="73" spans="1:11" x14ac:dyDescent="0.3">
      <c r="C73" s="30" t="s">
        <v>107</v>
      </c>
      <c r="D73" s="31"/>
      <c r="E73" s="32"/>
      <c r="F73" s="33"/>
      <c r="G73" s="38">
        <v>1783.98</v>
      </c>
      <c r="H73" s="38">
        <v>5.23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8"/>
      <c r="B75" s="29"/>
      <c r="C75" s="30" t="s">
        <v>130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B76" s="1"/>
      <c r="C76" s="21" t="s">
        <v>131</v>
      </c>
      <c r="D76" s="31"/>
      <c r="E76" s="32"/>
      <c r="F76" s="33"/>
      <c r="G76" s="34">
        <v>57.33</v>
      </c>
      <c r="H76" s="34">
        <v>0.18000000000000002</v>
      </c>
      <c r="I76" s="35"/>
      <c r="J76" s="35"/>
      <c r="K76" s="36"/>
    </row>
    <row r="77" spans="1:11" x14ac:dyDescent="0.3">
      <c r="C77" s="30" t="s">
        <v>107</v>
      </c>
      <c r="D77" s="31"/>
      <c r="E77" s="32"/>
      <c r="F77" s="33"/>
      <c r="G77" s="38">
        <v>57.33</v>
      </c>
      <c r="H77" s="38">
        <v>0.18000000000000002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ht="14.4" thickBot="1" x14ac:dyDescent="0.35">
      <c r="C79" s="39" t="s">
        <v>132</v>
      </c>
      <c r="D79" s="40"/>
      <c r="E79" s="41"/>
      <c r="F79" s="42"/>
      <c r="G79" s="43">
        <v>34085.15</v>
      </c>
      <c r="H79" s="43">
        <f>SUMIFS(H:H,C:C,"Total")</f>
        <v>100.00000000000001</v>
      </c>
      <c r="I79" s="44"/>
      <c r="J79" s="44"/>
      <c r="K79" s="45"/>
    </row>
    <row r="82" spans="3:55" x14ac:dyDescent="0.3">
      <c r="C82" s="11" t="s">
        <v>133</v>
      </c>
    </row>
    <row r="83" spans="3:55" x14ac:dyDescent="0.3">
      <c r="C83" s="2" t="s">
        <v>134</v>
      </c>
    </row>
    <row r="84" spans="3:55" x14ac:dyDescent="0.3">
      <c r="C84" s="46" t="s">
        <v>135</v>
      </c>
    </row>
    <row r="85" spans="3:55" x14ac:dyDescent="0.3">
      <c r="C85" s="2" t="s">
        <v>136</v>
      </c>
    </row>
    <row r="86" spans="3:55" x14ac:dyDescent="0.3">
      <c r="C86" s="2" t="s">
        <v>137</v>
      </c>
    </row>
    <row r="87" spans="3:55" x14ac:dyDescent="0.3">
      <c r="C87" s="2" t="s">
        <v>138</v>
      </c>
      <c r="D87" s="47"/>
      <c r="E87" s="47"/>
      <c r="F87" s="47"/>
      <c r="G87" s="48"/>
      <c r="H87" s="48"/>
    </row>
    <row r="88" spans="3:55" x14ac:dyDescent="0.3">
      <c r="C88" s="2" t="s">
        <v>139</v>
      </c>
    </row>
    <row r="89" spans="3:55" x14ac:dyDescent="0.3">
      <c r="C89" s="2" t="s">
        <v>140</v>
      </c>
    </row>
    <row r="90" spans="3:55" x14ac:dyDescent="0.3">
      <c r="C90" s="2" t="s">
        <v>141</v>
      </c>
    </row>
    <row r="91" spans="3:55" x14ac:dyDescent="0.3">
      <c r="C91" s="2" t="s">
        <v>142</v>
      </c>
    </row>
    <row r="92" spans="3:55" s="11" customFormat="1" x14ac:dyDescent="0.3">
      <c r="C92" s="11" t="s">
        <v>143</v>
      </c>
      <c r="E92" s="11" t="s">
        <v>144</v>
      </c>
      <c r="F92" s="49" t="s">
        <v>145</v>
      </c>
      <c r="G92" s="50"/>
      <c r="H92" s="50"/>
      <c r="I92" s="50"/>
      <c r="J92" s="50"/>
      <c r="K92" s="51"/>
      <c r="L92" s="51"/>
      <c r="M92" s="51"/>
      <c r="AJ92" s="51"/>
      <c r="AW92" s="51"/>
      <c r="AY92" s="51"/>
      <c r="BC92" s="51"/>
    </row>
    <row r="93" spans="3:55" x14ac:dyDescent="0.3">
      <c r="C93" s="2" t="s">
        <v>146</v>
      </c>
      <c r="E93" s="52">
        <v>12.895899999999999</v>
      </c>
      <c r="F93" s="53">
        <v>13.254200000000001</v>
      </c>
    </row>
    <row r="94" spans="3:55" x14ac:dyDescent="0.3">
      <c r="C94" s="2" t="s">
        <v>147</v>
      </c>
      <c r="E94" s="52">
        <v>14.9353</v>
      </c>
      <c r="F94" s="53">
        <v>15.350300000000001</v>
      </c>
    </row>
    <row r="95" spans="3:55" x14ac:dyDescent="0.3">
      <c r="C95" s="2" t="s">
        <v>148</v>
      </c>
      <c r="E95" s="52">
        <v>13.985300000000001</v>
      </c>
      <c r="F95" s="53">
        <v>14.396699999999999</v>
      </c>
    </row>
    <row r="96" spans="3:55" x14ac:dyDescent="0.3">
      <c r="C96" s="2" t="s">
        <v>149</v>
      </c>
      <c r="E96" s="52">
        <v>16.242100000000001</v>
      </c>
      <c r="F96" s="53">
        <v>16.719899999999999</v>
      </c>
    </row>
    <row r="98" spans="3:3" x14ac:dyDescent="0.3">
      <c r="C98" s="2" t="s">
        <v>150</v>
      </c>
    </row>
    <row r="100" spans="3:3" x14ac:dyDescent="0.3">
      <c r="C100" s="2" t="s">
        <v>151</v>
      </c>
    </row>
    <row r="101" spans="3:3" x14ac:dyDescent="0.3">
      <c r="C101" s="2" t="s">
        <v>152</v>
      </c>
    </row>
    <row r="102" spans="3:3" x14ac:dyDescent="0.3">
      <c r="C102" s="2" t="s">
        <v>153</v>
      </c>
    </row>
    <row r="103" spans="3:3" x14ac:dyDescent="0.3">
      <c r="C103" s="2" t="s">
        <v>154</v>
      </c>
    </row>
    <row r="104" spans="3:3" x14ac:dyDescent="0.3">
      <c r="C104" s="2" t="s">
        <v>155</v>
      </c>
    </row>
    <row r="105" spans="3:3" x14ac:dyDescent="0.3">
      <c r="C105" s="2" t="s">
        <v>156</v>
      </c>
    </row>
    <row r="106" spans="3:3" x14ac:dyDescent="0.3">
      <c r="C106" s="2" t="s">
        <v>157</v>
      </c>
    </row>
    <row r="107" spans="3:3" x14ac:dyDescent="0.3">
      <c r="C107" s="2" t="s">
        <v>158</v>
      </c>
    </row>
    <row r="108" spans="3:3" x14ac:dyDescent="0.3">
      <c r="C108" s="2" t="s">
        <v>159</v>
      </c>
    </row>
    <row r="109" spans="3:3" x14ac:dyDescent="0.3">
      <c r="C109" s="2" t="s">
        <v>160</v>
      </c>
    </row>
    <row r="110" spans="3:3" x14ac:dyDescent="0.3">
      <c r="C110" s="2" t="s">
        <v>161</v>
      </c>
    </row>
    <row r="111" spans="3:3" x14ac:dyDescent="0.3">
      <c r="C111" s="2" t="s">
        <v>162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XDO_?CLASS_3?13?</vt:lpstr>
      <vt:lpstr>XDO_?FINAL_ISIN?61?</vt:lpstr>
      <vt:lpstr>XDO_?FINAL_ISIN?62?</vt:lpstr>
      <vt:lpstr>XDO_?FINAL_ISIN?63?</vt:lpstr>
      <vt:lpstr>XDO_?FINAL_MV?61?</vt:lpstr>
      <vt:lpstr>XDO_?FINAL_MV?62?</vt:lpstr>
      <vt:lpstr>XDO_?FINAL_MV?63?</vt:lpstr>
      <vt:lpstr>XDO_?FINAL_NAME?61?</vt:lpstr>
      <vt:lpstr>XDO_?FINAL_NAME?62?</vt:lpstr>
      <vt:lpstr>XDO_?FINAL_NAME?63?</vt:lpstr>
      <vt:lpstr>XDO_?FINAL_PER_NET?61?</vt:lpstr>
      <vt:lpstr>XDO_?FINAL_PER_NET?62?</vt:lpstr>
      <vt:lpstr>XDO_?FINAL_PER_NET?63?</vt:lpstr>
      <vt:lpstr>XDO_?FINAL_QUANTITE?61?</vt:lpstr>
      <vt:lpstr>XDO_?FINAL_QUANTITE?62?</vt:lpstr>
      <vt:lpstr>XDO_?FINAL_QUANTITE?63?</vt:lpstr>
      <vt:lpstr>XDO_?NAMCNAME?13?</vt:lpstr>
      <vt:lpstr>XDO_?NOVAL?61?</vt:lpstr>
      <vt:lpstr>XDO_?NOVAL?62?</vt:lpstr>
      <vt:lpstr>XDO_?NOVAL?63?</vt:lpstr>
      <vt:lpstr>XDO_?NPTF?13?</vt:lpstr>
      <vt:lpstr>XDO_?RATING?61?</vt:lpstr>
      <vt:lpstr>XDO_?RATING?62?</vt:lpstr>
      <vt:lpstr>XDO_?RATING?63?</vt:lpstr>
      <vt:lpstr>XDO_?REMARKS?61?</vt:lpstr>
      <vt:lpstr>XDO_?REMARKS?62?</vt:lpstr>
      <vt:lpstr>XDO_?REMARKS?63?</vt:lpstr>
      <vt:lpstr>XDO_?TITL?13?</vt:lpstr>
      <vt:lpstr>XDO_?YTM?61?</vt:lpstr>
      <vt:lpstr>XDO_?YTM?62?</vt:lpstr>
      <vt:lpstr>XDO_?YTM?63?</vt:lpstr>
      <vt:lpstr>XDO_GROUP_?G_2?13?</vt:lpstr>
      <vt:lpstr>XDO_GROUP_?G_3?13?</vt:lpstr>
      <vt:lpstr>XDO_GROUP_?G_4?61?</vt:lpstr>
      <vt:lpstr>XDO_GROUP_?G_4?62?</vt:lpstr>
      <vt:lpstr>XDO_GROUP_?G_4?63?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2023-06-06T07:18:52Z</dcterms:created>
  <dcterms:modified xsi:type="dcterms:W3CDTF">2023-06-06T13:03:50Z</dcterms:modified>
</cp:coreProperties>
</file>