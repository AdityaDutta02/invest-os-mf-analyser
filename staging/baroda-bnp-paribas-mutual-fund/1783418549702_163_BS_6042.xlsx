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29-Feb-2024\BOBBNPMF_Monthly portfolio_Split Portfolio_29-02-2024\"/>
    </mc:Choice>
  </mc:AlternateContent>
  <xr:revisionPtr revIDLastSave="0" documentId="13_ncr:1_{5C40AC8C-E63F-47AD-A173-5A8CECBD7D7E}" xr6:coauthVersionLast="47" xr6:coauthVersionMax="47" xr10:uidLastSave="{00000000-0000-0000-0000-000000000000}"/>
  <bookViews>
    <workbookView xWindow="-108" yWindow="-108" windowWidth="23256" windowHeight="12456" xr2:uid="{3C0F85D3-43F3-44FE-8698-5782EB21D7AE}"/>
  </bookViews>
  <sheets>
    <sheet name="BS" sheetId="1" r:id="rId1"/>
  </sheets>
  <externalReferences>
    <externalReference r:id="rId2"/>
  </externalReferences>
  <definedNames>
    <definedName name="XDO_?CLASS_3?26?">BS!$C$8:$C$40</definedName>
    <definedName name="XDO_?FINAL_ISIN?131?">BS!$D$10:$D$40</definedName>
    <definedName name="XDO_?FINAL_ISIN?132?">BS!$D$10:$D$81</definedName>
    <definedName name="XDO_?FINAL_ISIN?133?">BS!$D$10:$D$85</definedName>
    <definedName name="XDO_?FINAL_MV?131?">BS!$G$10:$G$40</definedName>
    <definedName name="XDO_?FINAL_MV?132?">BS!$G$10:$G$81</definedName>
    <definedName name="XDO_?FINAL_MV?133?">BS!$G$10:$G$85</definedName>
    <definedName name="XDO_?FINAL_NAME?131?">BS!$C$10:$C$40</definedName>
    <definedName name="XDO_?FINAL_NAME?132?">BS!$C$10:$C$81</definedName>
    <definedName name="XDO_?FINAL_NAME?133?">BS!$C$10:$C$85</definedName>
    <definedName name="XDO_?FINAL_PER_NET?131?">BS!$H$10:$H$40</definedName>
    <definedName name="XDO_?FINAL_PER_NET?132?">BS!$H$10:$H$81</definedName>
    <definedName name="XDO_?FINAL_PER_NET?133?">BS!$H$10:$H$85</definedName>
    <definedName name="XDO_?FINAL_QUANTITE?131?">BS!$F$10:$F$40</definedName>
    <definedName name="XDO_?FINAL_QUANTITE?132?">BS!$F$10:$F$81</definedName>
    <definedName name="XDO_?FINAL_QUANTITE?133?">BS!$F$10:$F$85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6?">BS!$C$2:$C$40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31?">BS!$B$10:$B$40</definedName>
    <definedName name="XDO_?NOVAL?132?">BS!$B$10:$B$81</definedName>
    <definedName name="XDO_?NOVAL?133?">BS!$B$10:$B$85</definedName>
    <definedName name="XDO_?NPTF?26?">BS!$D$2:$D$40</definedName>
    <definedName name="XDO_?RATING?131?">BS!$E$10:$E$40</definedName>
    <definedName name="XDO_?RATING?132?">BS!$E$10:$E$81</definedName>
    <definedName name="XDO_?RATING?133?">BS!$E$10:$E$85</definedName>
    <definedName name="XDO_?REMARKS?131?">BS!$K$10:$K$40</definedName>
    <definedName name="XDO_?REMARKS?132?">BS!$K$10:$K$81</definedName>
    <definedName name="XDO_?REMARKS?133?">BS!$K$10:$K$85</definedName>
    <definedName name="XDO_?TITL?26?">BS!$A$8:$A$40</definedName>
    <definedName name="XDO_?YTM?131?">BS!$I$10:$I$40</definedName>
    <definedName name="XDO_?YTM?132?">BS!$I$10:$I$81</definedName>
    <definedName name="XDO_?YTM?133?">BS!$I$10:$I$85</definedName>
    <definedName name="XDO_GROUP_?G_2?26?">BS!$2:$49</definedName>
    <definedName name="XDO_GROUP_?G_3?26?">BS!$8:$48</definedName>
    <definedName name="XDO_GROUP_?G_4?102?">[1]GE!#REF!</definedName>
    <definedName name="XDO_GROUP_?G_4?105?">[1]SC!#REF!</definedName>
    <definedName name="XDO_GROUP_?G_4?109?">[1]NF!#REF!</definedName>
    <definedName name="XDO_GROUP_?G_4?113?">[1]GR!#REF!</definedName>
    <definedName name="XDO_GROUP_?G_4?131?">BS!$B$10:$IV$40</definedName>
    <definedName name="XDO_GROUP_?G_4?132?">BS!$B$45:$IV$45</definedName>
    <definedName name="XDO_GROUP_?G_4?133?">BS!#REF!</definedName>
    <definedName name="XDO_GROUP_?G_4?178?">[1]LM!#REF!</definedName>
    <definedName name="XDO_GROUP_?G_4?20?">[1]NS!#REF!</definedName>
    <definedName name="XDO_GROUP_?G_4?27?">[1]FT!#REF!</definedName>
    <definedName name="XDO_GROUP_?G_4?32?">[1]MC!#REF!</definedName>
    <definedName name="XDO_GROUP_?G_4?42?">[1]TA!#REF!</definedName>
    <definedName name="XDO_GROUP_?G_4?74?">[1]FO!#REF!</definedName>
    <definedName name="XDO_GROUP_?G_4?77?">[1]IC!#REF!</definedName>
    <definedName name="XDO_GROUP_?G_4?81?">[1]AF!#REF!</definedName>
    <definedName name="XDO_GROUP_?G_4?84?">[1]FX!#REF!</definedName>
    <definedName name="XDO_GROUP_?G_4?9?">[1]FL!#REF!</definedName>
    <definedName name="XDO_GROUP_?G_4?98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8" i="1" l="1"/>
</calcChain>
</file>

<file path=xl/sharedStrings.xml><?xml version="1.0" encoding="utf-8"?>
<sst xmlns="http://schemas.openxmlformats.org/spreadsheetml/2006/main" count="262" uniqueCount="195">
  <si>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</si>
  <si>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</si>
  <si>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</si>
  <si>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</si>
  <si>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</si>
  <si>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</si>
  <si>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</si>
  <si>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</si>
  <si>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</si>
  <si>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</si>
  <si>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</si>
  <si>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</si>
  <si>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</si>
  <si>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</si>
  <si>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</si>
  <si>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</si>
  <si>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</si>
  <si>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</si>
  <si>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</si>
  <si>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</si>
  <si>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</si>
  <si>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</si>
  <si>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</si>
  <si>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</si>
  <si>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</si>
  <si>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</si>
  <si>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</si>
  <si>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</si>
  <si>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</si>
  <si>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100125</t>
  </si>
  <si>
    <t>Bajaj Finance Ltd.</t>
  </si>
  <si>
    <t>INE296A01024</t>
  </si>
  <si>
    <t>Finance</t>
  </si>
  <si>
    <t>100104</t>
  </si>
  <si>
    <t>Kotak Mahindra Bank Ltd.</t>
  </si>
  <si>
    <t>INE237A01028</t>
  </si>
  <si>
    <t>100013</t>
  </si>
  <si>
    <t>IndusInd Bank Ltd.</t>
  </si>
  <si>
    <t>INE095A01012</t>
  </si>
  <si>
    <t>100033</t>
  </si>
  <si>
    <t>Indian Bank</t>
  </si>
  <si>
    <t>INE562A01011</t>
  </si>
  <si>
    <t>100575</t>
  </si>
  <si>
    <t>BSE Ltd.</t>
  </si>
  <si>
    <t>INE118H01025</t>
  </si>
  <si>
    <t>Capital Markets</t>
  </si>
  <si>
    <t>100194</t>
  </si>
  <si>
    <t>Power Finance Corporation Ltd.</t>
  </si>
  <si>
    <t>INE134E01011</t>
  </si>
  <si>
    <t>100701</t>
  </si>
  <si>
    <t>Nippon Life India Asset Management Ltd.</t>
  </si>
  <si>
    <t>INE298J01013</t>
  </si>
  <si>
    <t>100256</t>
  </si>
  <si>
    <t>City Union Bank Ltd.</t>
  </si>
  <si>
    <t>INE491A01021</t>
  </si>
  <si>
    <t>100107</t>
  </si>
  <si>
    <t>Max Financial Services Ltd.</t>
  </si>
  <si>
    <t>INE180A01020</t>
  </si>
  <si>
    <t>Insurance</t>
  </si>
  <si>
    <t>100682</t>
  </si>
  <si>
    <t>ICICI Lombard General Insurance Company Ltd.</t>
  </si>
  <si>
    <t>INE765G01017</t>
  </si>
  <si>
    <t>100399</t>
  </si>
  <si>
    <t>Cholamandalam Investment &amp; Finance Co. Ltd.</t>
  </si>
  <si>
    <t>INE121A01024</t>
  </si>
  <si>
    <t>101390</t>
  </si>
  <si>
    <t>PB Fintech Ltd.</t>
  </si>
  <si>
    <t>INE417T01026</t>
  </si>
  <si>
    <t>Financial Technology (Fintech)</t>
  </si>
  <si>
    <t>100055</t>
  </si>
  <si>
    <t>The Federal Bank Ltd.</t>
  </si>
  <si>
    <t>INE171A01029</t>
  </si>
  <si>
    <t>102003</t>
  </si>
  <si>
    <t>Indian Renewable Energy Development Agency Ltd.</t>
  </si>
  <si>
    <t>INE202E01016</t>
  </si>
  <si>
    <t>100112</t>
  </si>
  <si>
    <t>Punjab National Bank</t>
  </si>
  <si>
    <t>INE160A01022</t>
  </si>
  <si>
    <t>100228</t>
  </si>
  <si>
    <t>The Jammu &amp; Kashmir Bank Ltd.</t>
  </si>
  <si>
    <t>INE168A01041</t>
  </si>
  <si>
    <t>100067</t>
  </si>
  <si>
    <t>DCB Bank Ltd.</t>
  </si>
  <si>
    <t>INE503A01015</t>
  </si>
  <si>
    <t>100114</t>
  </si>
  <si>
    <t>Shriram Finance Ltd.</t>
  </si>
  <si>
    <t>INE721A01013</t>
  </si>
  <si>
    <t>100661</t>
  </si>
  <si>
    <t>Central Depository Services (I) Ltd.</t>
  </si>
  <si>
    <t>INE736A01011</t>
  </si>
  <si>
    <t>100906</t>
  </si>
  <si>
    <t>360 ONE WAM Ltd.</t>
  </si>
  <si>
    <t>INE466L01038</t>
  </si>
  <si>
    <t>101228</t>
  </si>
  <si>
    <t>Home First Finance Company India Ltd.</t>
  </si>
  <si>
    <t>INE481N01025</t>
  </si>
  <si>
    <t>100453</t>
  </si>
  <si>
    <t>RBL Bank Ltd.</t>
  </si>
  <si>
    <t>INE976G01028</t>
  </si>
  <si>
    <t>100036</t>
  </si>
  <si>
    <t>Mahindra &amp; Mahindra Financial Services Ltd.</t>
  </si>
  <si>
    <t>INE774D01024</t>
  </si>
  <si>
    <t>100195</t>
  </si>
  <si>
    <t>REC Ltd.</t>
  </si>
  <si>
    <t>INE020B01018</t>
  </si>
  <si>
    <t>100254</t>
  </si>
  <si>
    <t>Karur Vysya Bank Ltd.</t>
  </si>
  <si>
    <t>INE036D01028</t>
  </si>
  <si>
    <t>100240</t>
  </si>
  <si>
    <t>Can Fin Homes Ltd.</t>
  </si>
  <si>
    <t>INE477A01020</t>
  </si>
  <si>
    <t>101632</t>
  </si>
  <si>
    <t>Angel One Ltd.</t>
  </si>
  <si>
    <t>INE732I01013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</si>
  <si>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</si>
  <si>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</si>
  <si>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</si>
  <si>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</si>
  <si>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</si>
  <si>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</si>
  <si>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</si>
  <si>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</si>
  <si>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</si>
  <si>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</si>
  <si>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</si>
  <si>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</si>
  <si>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</si>
  <si>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</si>
  <si>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</si>
  <si>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</si>
  <si>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</si>
  <si>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</si>
  <si>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</si>
  <si>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</si>
  <si>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</si>
  <si>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</si>
  <si>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103240100</t>
  </si>
  <si>
    <t>TREPS 01-Mar-2024</t>
  </si>
  <si>
    <t>Other Current Assets / (Liabilities)</t>
  </si>
  <si>
    <t>Net Receivable / Payable</t>
  </si>
  <si>
    <t>Grand Total (AUM) D**</t>
  </si>
  <si>
    <t xml:space="preserve">Hedging Positions through Futures as on February 29, 2024: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</si>
  <si>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</si>
  <si>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</si>
  <si>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</si>
  <si>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</si>
  <si>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</si>
  <si>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</si>
  <si>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</si>
  <si>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</si>
  <si>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</si>
  <si>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February 29, 2024 with regard to hedging transactions through futures which have already been squared off/expired specify:</t>
  </si>
  <si>
    <t>Total Number of contracts where futures were bought : 7</t>
  </si>
  <si>
    <t>Total Number of contracts where futures were sold :  Nil</t>
  </si>
  <si>
    <t>Gross Notional Value of contracts where futures were bought :68.80 lacs</t>
  </si>
  <si>
    <t>Gross Notional Value of contracts where futures were sold: Nil</t>
  </si>
  <si>
    <t>Net Profit/Loss on all contracts combined : -1.33 lacs</t>
  </si>
  <si>
    <t>Other than Hedging Positions through futures as on February 29, 2024:</t>
  </si>
  <si>
    <t>Total Exposure through Futures(other than hedging positions) is 0.00% age of net assets</t>
  </si>
  <si>
    <t>For the Month ended February 29, 2024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</si>
  <si>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</si>
  <si>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</si>
  <si>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</si>
  <si>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</si>
  <si>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</si>
  <si>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</si>
  <si>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</si>
  <si>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</si>
  <si>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</si>
  <si>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</si>
  <si>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</si>
  <si>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</si>
  <si>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29,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</si>
  <si>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</si>
  <si>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</si>
  <si>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</si>
  <si>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2024</t>
  </si>
  <si>
    <t>As on February 29,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</si>
  <si>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</si>
  <si>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</si>
  <si>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</si>
  <si>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</si>
  <si>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29, 2024</t>
  </si>
  <si>
    <t>(9) There were no investments in derivative instruments as on February 29, 2024</t>
  </si>
  <si>
    <t>(10) Total Market value of investments in Foreign Securities/American Depositary Receipts/Global Depositary Receipts as at  February 29, 2024 is Rs. Nil.</t>
  </si>
  <si>
    <t>(11)  During the period, the portfolio turnover ratio is  0.09 times.</t>
  </si>
  <si>
    <t>(12)  Details of repo transaction in corporate debt securities for the Month ended February 29, 2024 is Nil.</t>
  </si>
  <si>
    <t>(13)  Investments in debt instruments having structured obligations or credit enhancement features as at February 29, 2024 is Rs. Nil.</t>
  </si>
  <si>
    <t>(14) Investment in Partly paid Debentures during the Month ended  February 29, 2024 and as on  February 29,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</si>
  <si>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</si>
  <si>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</si>
  <si>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</si>
  <si>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</si>
  <si>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</si>
  <si>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29,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</si>
</sst>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1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1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11" fillId="3" borderId="0" xfId="1" applyFont="1" applyFill="1" applyBorder="1" applyAlignment="1"/>
    <xf numFmtId="164" fontId="11" fillId="3" borderId="0" xfId="1" applyFont="1" applyFill="1" applyBorder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00B907FD-114B-40C2-AF6E-9EB692275F66}"/>
    <cellStyle name="Hyperlink" xfId="2" builtinId="8"/>
    <cellStyle name="Normal" xfId="0" builtinId="0"/>
    <cellStyle name="Normal 2" xfId="4" xr:uid="{4ECECF5C-2646-4613-8A68-22F56731D645}"/>
    <cellStyle name="Style 1" xfId="3" xr:uid="{659C9559-2261-452D-9BAC-B66D152FB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4</xdr:col>
      <xdr:colOff>1532975</xdr:colOff>
      <xdr:row>170</xdr:row>
      <xdr:rowOff>98044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91119-DB1C-42E1-A6C6-DDFF6B170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7447240"/>
          <a:ext cx="7453715" cy="2726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February%202024\Month%20End%2029%20February%202024\Split%20Portfolio\BOBBNPMF_Monthly%20portfolio%2029-02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40B4-75CF-434A-93A5-6150D5FB18A8}">
  <dimension ref="A1:BC159"/>
  <sheetViews>
    <sheetView showGridLines="0" tabSelected="1" zoomScale="90" zoomScaleNormal="90" workbookViewId="0">
      <pane ySplit="6" topLeftCell="A153" activePane="bottomLeft" state="frozen"/>
      <selection activeCell="I2" sqref="I2"/>
      <selection pane="bottomLeft" activeCell="F159" sqref="F159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45351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197000</v>
      </c>
      <c r="G10" s="34">
        <v>2072.83</v>
      </c>
      <c r="H10" s="34">
        <v>17.09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130450</v>
      </c>
      <c r="G11" s="34">
        <v>1830.74</v>
      </c>
      <c r="H11" s="34">
        <v>15.09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19</v>
      </c>
      <c r="F12" s="33">
        <v>137000</v>
      </c>
      <c r="G12" s="34">
        <v>1024.9000000000001</v>
      </c>
      <c r="H12" s="34">
        <v>8.4499999999999993</v>
      </c>
      <c r="I12" s="35"/>
      <c r="J12" s="35"/>
      <c r="K12" s="36"/>
    </row>
    <row r="13" spans="1:55">
      <c r="B13" s="1" t="s">
        <v>26</v>
      </c>
      <c r="C13" s="21" t="s">
        <v>27</v>
      </c>
      <c r="D13" s="31" t="s">
        <v>28</v>
      </c>
      <c r="E13" s="32" t="s">
        <v>19</v>
      </c>
      <c r="F13" s="33">
        <v>79500</v>
      </c>
      <c r="G13" s="34">
        <v>854.7</v>
      </c>
      <c r="H13" s="34">
        <v>7.05</v>
      </c>
      <c r="I13" s="35"/>
      <c r="J13" s="35"/>
      <c r="K13" s="36"/>
    </row>
    <row r="14" spans="1:55">
      <c r="B14" s="1" t="s">
        <v>29</v>
      </c>
      <c r="C14" s="21" t="s">
        <v>30</v>
      </c>
      <c r="D14" s="31" t="s">
        <v>31</v>
      </c>
      <c r="E14" s="32" t="s">
        <v>32</v>
      </c>
      <c r="F14" s="33">
        <v>7900</v>
      </c>
      <c r="G14" s="34">
        <v>513.13</v>
      </c>
      <c r="H14" s="34">
        <v>4.2300000000000004</v>
      </c>
      <c r="I14" s="35"/>
      <c r="J14" s="35"/>
      <c r="K14" s="36"/>
    </row>
    <row r="15" spans="1:55">
      <c r="B15" s="1" t="s">
        <v>33</v>
      </c>
      <c r="C15" s="21" t="s">
        <v>34</v>
      </c>
      <c r="D15" s="31" t="s">
        <v>35</v>
      </c>
      <c r="E15" s="32" t="s">
        <v>19</v>
      </c>
      <c r="F15" s="33">
        <v>29400</v>
      </c>
      <c r="G15" s="34">
        <v>496.7</v>
      </c>
      <c r="H15" s="34">
        <v>4.09</v>
      </c>
      <c r="I15" s="35"/>
      <c r="J15" s="35"/>
      <c r="K15" s="36"/>
    </row>
    <row r="16" spans="1:55">
      <c r="B16" s="1" t="s">
        <v>36</v>
      </c>
      <c r="C16" s="21" t="s">
        <v>37</v>
      </c>
      <c r="D16" s="31" t="s">
        <v>38</v>
      </c>
      <c r="E16" s="32" t="s">
        <v>19</v>
      </c>
      <c r="F16" s="33">
        <v>31500</v>
      </c>
      <c r="G16" s="34">
        <v>464.59</v>
      </c>
      <c r="H16" s="34">
        <v>3.83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19</v>
      </c>
      <c r="F17" s="33">
        <v>55000</v>
      </c>
      <c r="G17" s="34">
        <v>288.83</v>
      </c>
      <c r="H17" s="34">
        <v>2.38</v>
      </c>
      <c r="I17" s="35"/>
      <c r="J17" s="35"/>
      <c r="K17" s="36"/>
    </row>
    <row r="18" spans="2:11">
      <c r="B18" s="1" t="s">
        <v>42</v>
      </c>
      <c r="C18" s="21" t="s">
        <v>43</v>
      </c>
      <c r="D18" s="31" t="s">
        <v>44</v>
      </c>
      <c r="E18" s="32" t="s">
        <v>45</v>
      </c>
      <c r="F18" s="33">
        <v>10500</v>
      </c>
      <c r="G18" s="34">
        <v>248.52</v>
      </c>
      <c r="H18" s="34">
        <v>2.0499999999999998</v>
      </c>
      <c r="I18" s="35"/>
      <c r="J18" s="35"/>
      <c r="K18" s="36"/>
    </row>
    <row r="19" spans="2:11">
      <c r="B19" s="1" t="s">
        <v>46</v>
      </c>
      <c r="C19" s="21" t="s">
        <v>47</v>
      </c>
      <c r="D19" s="31" t="s">
        <v>48</v>
      </c>
      <c r="E19" s="32" t="s">
        <v>32</v>
      </c>
      <c r="F19" s="33">
        <v>60000</v>
      </c>
      <c r="G19" s="34">
        <v>240.42</v>
      </c>
      <c r="H19" s="34">
        <v>1.98</v>
      </c>
      <c r="I19" s="35"/>
      <c r="J19" s="35"/>
      <c r="K19" s="36"/>
    </row>
    <row r="20" spans="2:11">
      <c r="B20" s="1" t="s">
        <v>49</v>
      </c>
      <c r="C20" s="21" t="s">
        <v>50</v>
      </c>
      <c r="D20" s="31" t="s">
        <v>51</v>
      </c>
      <c r="E20" s="32" t="s">
        <v>45</v>
      </c>
      <c r="F20" s="33">
        <v>45000</v>
      </c>
      <c r="G20" s="34">
        <v>232.04</v>
      </c>
      <c r="H20" s="34">
        <v>1.91</v>
      </c>
      <c r="I20" s="35"/>
      <c r="J20" s="35"/>
      <c r="K20" s="36"/>
    </row>
    <row r="21" spans="2:11">
      <c r="B21" s="1" t="s">
        <v>52</v>
      </c>
      <c r="C21" s="21" t="s">
        <v>53</v>
      </c>
      <c r="D21" s="31" t="s">
        <v>54</v>
      </c>
      <c r="E21" s="32" t="s">
        <v>19</v>
      </c>
      <c r="F21" s="33">
        <v>170000</v>
      </c>
      <c r="G21" s="34">
        <v>229.76</v>
      </c>
      <c r="H21" s="34">
        <v>1.89</v>
      </c>
      <c r="I21" s="35"/>
      <c r="J21" s="35"/>
      <c r="K21" s="36"/>
    </row>
    <row r="22" spans="2:11">
      <c r="B22" s="1" t="s">
        <v>55</v>
      </c>
      <c r="C22" s="21" t="s">
        <v>56</v>
      </c>
      <c r="D22" s="31" t="s">
        <v>57</v>
      </c>
      <c r="E22" s="32" t="s">
        <v>58</v>
      </c>
      <c r="F22" s="33">
        <v>23500</v>
      </c>
      <c r="G22" s="34">
        <v>227.88</v>
      </c>
      <c r="H22" s="34">
        <v>1.88</v>
      </c>
      <c r="I22" s="35"/>
      <c r="J22" s="35"/>
      <c r="K22" s="36"/>
    </row>
    <row r="23" spans="2:11">
      <c r="B23" s="1" t="s">
        <v>59</v>
      </c>
      <c r="C23" s="21" t="s">
        <v>60</v>
      </c>
      <c r="D23" s="31" t="s">
        <v>61</v>
      </c>
      <c r="E23" s="32" t="s">
        <v>58</v>
      </c>
      <c r="F23" s="33">
        <v>13000</v>
      </c>
      <c r="G23" s="34">
        <v>222.53</v>
      </c>
      <c r="H23" s="34">
        <v>1.83</v>
      </c>
      <c r="I23" s="35"/>
      <c r="J23" s="35"/>
      <c r="K23" s="36"/>
    </row>
    <row r="24" spans="2:11">
      <c r="B24" s="1" t="s">
        <v>62</v>
      </c>
      <c r="C24" s="21" t="s">
        <v>63</v>
      </c>
      <c r="D24" s="31" t="s">
        <v>64</v>
      </c>
      <c r="E24" s="32" t="s">
        <v>32</v>
      </c>
      <c r="F24" s="33">
        <v>20000</v>
      </c>
      <c r="G24" s="34">
        <v>217.84</v>
      </c>
      <c r="H24" s="34">
        <v>1.8</v>
      </c>
      <c r="I24" s="35"/>
      <c r="J24" s="35"/>
      <c r="K24" s="36"/>
    </row>
    <row r="25" spans="2:11">
      <c r="B25" s="1" t="s">
        <v>65</v>
      </c>
      <c r="C25" s="21" t="s">
        <v>66</v>
      </c>
      <c r="D25" s="31" t="s">
        <v>67</v>
      </c>
      <c r="E25" s="32" t="s">
        <v>68</v>
      </c>
      <c r="F25" s="33">
        <v>18000</v>
      </c>
      <c r="G25" s="34">
        <v>210.13</v>
      </c>
      <c r="H25" s="34">
        <v>1.73</v>
      </c>
      <c r="I25" s="35"/>
      <c r="J25" s="35"/>
      <c r="K25" s="36"/>
    </row>
    <row r="26" spans="2:11">
      <c r="B26" s="1" t="s">
        <v>69</v>
      </c>
      <c r="C26" s="21" t="s">
        <v>70</v>
      </c>
      <c r="D26" s="31" t="s">
        <v>71</v>
      </c>
      <c r="E26" s="32" t="s">
        <v>19</v>
      </c>
      <c r="F26" s="33">
        <v>135000</v>
      </c>
      <c r="G26" s="34">
        <v>203.04</v>
      </c>
      <c r="H26" s="34">
        <v>1.67</v>
      </c>
      <c r="I26" s="35"/>
      <c r="J26" s="35"/>
      <c r="K26" s="36"/>
    </row>
    <row r="27" spans="2:11">
      <c r="B27" s="1" t="s">
        <v>72</v>
      </c>
      <c r="C27" s="21" t="s">
        <v>73</v>
      </c>
      <c r="D27" s="31" t="s">
        <v>74</v>
      </c>
      <c r="E27" s="32" t="s">
        <v>32</v>
      </c>
      <c r="F27" s="33">
        <v>131060</v>
      </c>
      <c r="G27" s="34">
        <v>196.66</v>
      </c>
      <c r="H27" s="34">
        <v>1.62</v>
      </c>
      <c r="I27" s="35"/>
      <c r="J27" s="35"/>
      <c r="K27" s="36"/>
    </row>
    <row r="28" spans="2:11">
      <c r="B28" s="1" t="s">
        <v>75</v>
      </c>
      <c r="C28" s="21" t="s">
        <v>76</v>
      </c>
      <c r="D28" s="31" t="s">
        <v>77</v>
      </c>
      <c r="E28" s="32" t="s">
        <v>19</v>
      </c>
      <c r="F28" s="33">
        <v>155000</v>
      </c>
      <c r="G28" s="34">
        <v>188.87</v>
      </c>
      <c r="H28" s="34">
        <v>1.56</v>
      </c>
      <c r="I28" s="35"/>
      <c r="J28" s="35"/>
      <c r="K28" s="36"/>
    </row>
    <row r="29" spans="2:11">
      <c r="B29" s="1" t="s">
        <v>78</v>
      </c>
      <c r="C29" s="21" t="s">
        <v>79</v>
      </c>
      <c r="D29" s="31" t="s">
        <v>80</v>
      </c>
      <c r="E29" s="32" t="s">
        <v>19</v>
      </c>
      <c r="F29" s="33">
        <v>125000</v>
      </c>
      <c r="G29" s="34">
        <v>178.94</v>
      </c>
      <c r="H29" s="34">
        <v>1.48</v>
      </c>
      <c r="I29" s="35"/>
      <c r="J29" s="35"/>
      <c r="K29" s="36"/>
    </row>
    <row r="30" spans="2:11">
      <c r="B30" s="1" t="s">
        <v>81</v>
      </c>
      <c r="C30" s="21" t="s">
        <v>82</v>
      </c>
      <c r="D30" s="31" t="s">
        <v>83</v>
      </c>
      <c r="E30" s="32" t="s">
        <v>19</v>
      </c>
      <c r="F30" s="33">
        <v>125000</v>
      </c>
      <c r="G30" s="34">
        <v>159.94</v>
      </c>
      <c r="H30" s="34">
        <v>1.32</v>
      </c>
      <c r="I30" s="35"/>
      <c r="J30" s="35"/>
      <c r="K30" s="36"/>
    </row>
    <row r="31" spans="2:11">
      <c r="B31" s="1" t="s">
        <v>84</v>
      </c>
      <c r="C31" s="21" t="s">
        <v>85</v>
      </c>
      <c r="D31" s="31" t="s">
        <v>86</v>
      </c>
      <c r="E31" s="32" t="s">
        <v>32</v>
      </c>
      <c r="F31" s="33">
        <v>6500</v>
      </c>
      <c r="G31" s="34">
        <v>158.51</v>
      </c>
      <c r="H31" s="34">
        <v>1.31</v>
      </c>
      <c r="I31" s="35"/>
      <c r="J31" s="35"/>
      <c r="K31" s="36"/>
    </row>
    <row r="32" spans="2:11">
      <c r="B32" s="1" t="s">
        <v>87</v>
      </c>
      <c r="C32" s="21" t="s">
        <v>88</v>
      </c>
      <c r="D32" s="31" t="s">
        <v>89</v>
      </c>
      <c r="E32" s="32" t="s">
        <v>45</v>
      </c>
      <c r="F32" s="33">
        <v>8000</v>
      </c>
      <c r="G32" s="34">
        <v>153.37</v>
      </c>
      <c r="H32" s="34">
        <v>1.26</v>
      </c>
      <c r="I32" s="35"/>
      <c r="J32" s="35"/>
      <c r="K32" s="36"/>
    </row>
    <row r="33" spans="2:11">
      <c r="B33" s="1" t="s">
        <v>90</v>
      </c>
      <c r="C33" s="21" t="s">
        <v>91</v>
      </c>
      <c r="D33" s="31" t="s">
        <v>92</v>
      </c>
      <c r="E33" s="32" t="s">
        <v>32</v>
      </c>
      <c r="F33" s="33">
        <v>20000</v>
      </c>
      <c r="G33" s="34">
        <v>143.79</v>
      </c>
      <c r="H33" s="34">
        <v>1.19</v>
      </c>
      <c r="I33" s="35"/>
      <c r="J33" s="35"/>
      <c r="K33" s="36"/>
    </row>
    <row r="34" spans="2:11">
      <c r="B34" s="1" t="s">
        <v>93</v>
      </c>
      <c r="C34" s="21" t="s">
        <v>94</v>
      </c>
      <c r="D34" s="31" t="s">
        <v>95</v>
      </c>
      <c r="E34" s="32" t="s">
        <v>32</v>
      </c>
      <c r="F34" s="33">
        <v>16500</v>
      </c>
      <c r="G34" s="34">
        <v>143.25</v>
      </c>
      <c r="H34" s="34">
        <v>1.18</v>
      </c>
      <c r="I34" s="35"/>
      <c r="J34" s="35"/>
      <c r="K34" s="36"/>
    </row>
    <row r="35" spans="2:11">
      <c r="B35" s="1" t="s">
        <v>96</v>
      </c>
      <c r="C35" s="21" t="s">
        <v>97</v>
      </c>
      <c r="D35" s="31" t="s">
        <v>98</v>
      </c>
      <c r="E35" s="32" t="s">
        <v>19</v>
      </c>
      <c r="F35" s="33">
        <v>55000</v>
      </c>
      <c r="G35" s="34">
        <v>143.08000000000001</v>
      </c>
      <c r="H35" s="34">
        <v>1.18</v>
      </c>
      <c r="I35" s="35"/>
      <c r="J35" s="35"/>
      <c r="K35" s="36"/>
    </row>
    <row r="36" spans="2:11">
      <c r="B36" s="1" t="s">
        <v>99</v>
      </c>
      <c r="C36" s="21" t="s">
        <v>100</v>
      </c>
      <c r="D36" s="31" t="s">
        <v>101</v>
      </c>
      <c r="E36" s="32" t="s">
        <v>32</v>
      </c>
      <c r="F36" s="33">
        <v>47500</v>
      </c>
      <c r="G36" s="34">
        <v>134.62</v>
      </c>
      <c r="H36" s="34">
        <v>1.1100000000000001</v>
      </c>
      <c r="I36" s="35"/>
      <c r="J36" s="35"/>
      <c r="K36" s="36"/>
    </row>
    <row r="37" spans="2:11">
      <c r="B37" s="1" t="s">
        <v>102</v>
      </c>
      <c r="C37" s="21" t="s">
        <v>103</v>
      </c>
      <c r="D37" s="31" t="s">
        <v>104</v>
      </c>
      <c r="E37" s="32" t="s">
        <v>32</v>
      </c>
      <c r="F37" s="33">
        <v>30000</v>
      </c>
      <c r="G37" s="34">
        <v>132.62</v>
      </c>
      <c r="H37" s="34">
        <v>1.0900000000000001</v>
      </c>
      <c r="I37" s="35"/>
      <c r="J37" s="35"/>
      <c r="K37" s="36"/>
    </row>
    <row r="38" spans="2:11">
      <c r="B38" s="1" t="s">
        <v>105</v>
      </c>
      <c r="C38" s="21" t="s">
        <v>106</v>
      </c>
      <c r="D38" s="31" t="s">
        <v>107</v>
      </c>
      <c r="E38" s="32" t="s">
        <v>19</v>
      </c>
      <c r="F38" s="33">
        <v>70000</v>
      </c>
      <c r="G38" s="34">
        <v>128.52000000000001</v>
      </c>
      <c r="H38" s="34">
        <v>1.06</v>
      </c>
      <c r="I38" s="35"/>
      <c r="J38" s="35"/>
      <c r="K38" s="36"/>
    </row>
    <row r="39" spans="2:11">
      <c r="B39" s="1" t="s">
        <v>108</v>
      </c>
      <c r="C39" s="21" t="s">
        <v>109</v>
      </c>
      <c r="D39" s="31" t="s">
        <v>110</v>
      </c>
      <c r="E39" s="32" t="s">
        <v>32</v>
      </c>
      <c r="F39" s="33">
        <v>16500</v>
      </c>
      <c r="G39" s="34">
        <v>127.78</v>
      </c>
      <c r="H39" s="34">
        <v>1.05</v>
      </c>
      <c r="I39" s="35"/>
      <c r="J39" s="35"/>
      <c r="K39" s="36"/>
    </row>
    <row r="40" spans="2:11">
      <c r="B40" s="1" t="s">
        <v>111</v>
      </c>
      <c r="C40" s="21" t="s">
        <v>112</v>
      </c>
      <c r="D40" s="31" t="s">
        <v>113</v>
      </c>
      <c r="E40" s="32" t="s">
        <v>45</v>
      </c>
      <c r="F40" s="33">
        <v>4500</v>
      </c>
      <c r="G40" s="34">
        <v>125.22</v>
      </c>
      <c r="H40" s="34">
        <v>1.03</v>
      </c>
      <c r="I40" s="35"/>
      <c r="J40" s="35"/>
      <c r="K40" s="36"/>
    </row>
    <row r="41" spans="2:11">
      <c r="C41" s="30" t="s">
        <v>114</v>
      </c>
      <c r="D41" s="31"/>
      <c r="E41" s="32"/>
      <c r="F41" s="33"/>
      <c r="G41" s="38">
        <v>11693.75</v>
      </c>
      <c r="H41" s="38">
        <v>96.39</v>
      </c>
      <c r="I41" s="35"/>
      <c r="J41" s="35"/>
      <c r="K41" s="36"/>
    </row>
    <row r="42" spans="2:11">
      <c r="C42" s="21"/>
      <c r="D42" s="31"/>
      <c r="E42" s="32"/>
      <c r="F42" s="33"/>
      <c r="G42" s="34"/>
      <c r="H42" s="34"/>
      <c r="I42" s="35"/>
      <c r="J42" s="35"/>
      <c r="K42" s="36"/>
    </row>
    <row r="43" spans="2:11">
      <c r="C43" s="30" t="s">
        <v>115</v>
      </c>
      <c r="D43" s="31"/>
      <c r="E43" s="32"/>
      <c r="F43" s="33"/>
      <c r="G43" s="34" t="s">
        <v>116</v>
      </c>
      <c r="H43" s="34" t="s">
        <v>116</v>
      </c>
      <c r="I43" s="35"/>
      <c r="J43" s="35"/>
      <c r="K43" s="36"/>
    </row>
    <row r="44" spans="2:11">
      <c r="C44" s="21"/>
      <c r="D44" s="31"/>
      <c r="E44" s="32"/>
      <c r="F44" s="33"/>
      <c r="G44" s="34"/>
      <c r="H44" s="34"/>
      <c r="I44" s="35"/>
      <c r="J44" s="35"/>
      <c r="K44" s="36"/>
    </row>
    <row r="45" spans="2:11">
      <c r="C45" s="30" t="s">
        <v>117</v>
      </c>
      <c r="D45" s="31"/>
      <c r="E45" s="32"/>
      <c r="F45" s="33"/>
      <c r="G45" s="34" t="s">
        <v>116</v>
      </c>
      <c r="H45" s="34" t="s">
        <v>116</v>
      </c>
      <c r="I45" s="35"/>
      <c r="J45" s="35"/>
      <c r="K45" s="36"/>
    </row>
    <row r="46" spans="2:11">
      <c r="C46" s="21"/>
      <c r="D46" s="31"/>
      <c r="E46" s="32"/>
      <c r="F46" s="33"/>
      <c r="G46" s="34"/>
      <c r="H46" s="34"/>
      <c r="I46" s="35"/>
      <c r="J46" s="35"/>
      <c r="K46" s="36"/>
    </row>
    <row r="47" spans="2:11">
      <c r="C47" s="30" t="s">
        <v>118</v>
      </c>
      <c r="D47" s="31"/>
      <c r="E47" s="32"/>
      <c r="F47" s="33"/>
      <c r="G47" s="34"/>
      <c r="H47" s="34"/>
      <c r="I47" s="35"/>
      <c r="J47" s="35"/>
      <c r="K47" s="36"/>
    </row>
    <row r="48" spans="2:11">
      <c r="C48" s="21"/>
      <c r="D48" s="31"/>
      <c r="E48" s="32"/>
      <c r="F48" s="33"/>
      <c r="G48" s="34"/>
      <c r="H48" s="34"/>
      <c r="I48" s="35"/>
      <c r="J48" s="35"/>
      <c r="K48" s="36"/>
    </row>
    <row r="49" spans="3:11">
      <c r="C49" s="30" t="s">
        <v>119</v>
      </c>
      <c r="D49" s="31"/>
      <c r="E49" s="32"/>
      <c r="F49" s="33"/>
      <c r="G49" s="34" t="s">
        <v>116</v>
      </c>
      <c r="H49" s="34" t="s">
        <v>116</v>
      </c>
      <c r="I49" s="35"/>
      <c r="J49" s="35"/>
      <c r="K49" s="36"/>
    </row>
    <row r="50" spans="3:11">
      <c r="C50" s="21"/>
      <c r="D50" s="31"/>
      <c r="E50" s="32"/>
      <c r="F50" s="33"/>
      <c r="G50" s="34"/>
      <c r="H50" s="34"/>
      <c r="I50" s="35"/>
      <c r="J50" s="35"/>
      <c r="K50" s="36"/>
    </row>
    <row r="51" spans="3:11">
      <c r="C51" s="30" t="s">
        <v>120</v>
      </c>
      <c r="D51" s="31"/>
      <c r="E51" s="32"/>
      <c r="F51" s="33"/>
      <c r="G51" s="34" t="s">
        <v>116</v>
      </c>
      <c r="H51" s="34" t="s">
        <v>116</v>
      </c>
      <c r="I51" s="35"/>
      <c r="J51" s="35"/>
      <c r="K51" s="36"/>
    </row>
    <row r="52" spans="3:11">
      <c r="C52" s="21"/>
      <c r="D52" s="31"/>
      <c r="E52" s="32"/>
      <c r="F52" s="33"/>
      <c r="G52" s="34"/>
      <c r="H52" s="34"/>
      <c r="I52" s="35"/>
      <c r="J52" s="35"/>
      <c r="K52" s="36"/>
    </row>
    <row r="53" spans="3:11">
      <c r="C53" s="30" t="s">
        <v>121</v>
      </c>
      <c r="D53" s="31"/>
      <c r="E53" s="32"/>
      <c r="F53" s="33"/>
      <c r="G53" s="34" t="s">
        <v>116</v>
      </c>
      <c r="H53" s="34" t="s">
        <v>116</v>
      </c>
      <c r="I53" s="35"/>
      <c r="J53" s="35"/>
      <c r="K53" s="36"/>
    </row>
    <row r="54" spans="3:11">
      <c r="C54" s="21"/>
      <c r="D54" s="31"/>
      <c r="E54" s="32"/>
      <c r="F54" s="33"/>
      <c r="G54" s="34"/>
      <c r="H54" s="34"/>
      <c r="I54" s="35"/>
      <c r="J54" s="35"/>
      <c r="K54" s="36"/>
    </row>
    <row r="55" spans="3:11">
      <c r="C55" s="30" t="s">
        <v>122</v>
      </c>
      <c r="D55" s="31"/>
      <c r="E55" s="32"/>
      <c r="F55" s="33"/>
      <c r="G55" s="34" t="s">
        <v>116</v>
      </c>
      <c r="H55" s="34" t="s">
        <v>116</v>
      </c>
      <c r="I55" s="35"/>
      <c r="J55" s="35"/>
      <c r="K55" s="36"/>
    </row>
    <row r="56" spans="3:11">
      <c r="C56" s="21"/>
      <c r="D56" s="31"/>
      <c r="E56" s="32"/>
      <c r="F56" s="33"/>
      <c r="G56" s="34"/>
      <c r="H56" s="34"/>
      <c r="I56" s="35"/>
      <c r="J56" s="35"/>
      <c r="K56" s="36"/>
    </row>
    <row r="57" spans="3:11">
      <c r="C57" s="30" t="s">
        <v>123</v>
      </c>
      <c r="D57" s="31"/>
      <c r="E57" s="32"/>
      <c r="F57" s="33"/>
      <c r="G57" s="34" t="s">
        <v>116</v>
      </c>
      <c r="H57" s="34" t="s">
        <v>116</v>
      </c>
      <c r="I57" s="35"/>
      <c r="J57" s="35"/>
      <c r="K57" s="36"/>
    </row>
    <row r="58" spans="3:11">
      <c r="C58" s="21"/>
      <c r="D58" s="31"/>
      <c r="E58" s="32"/>
      <c r="F58" s="33"/>
      <c r="G58" s="34"/>
      <c r="H58" s="34"/>
      <c r="I58" s="35"/>
      <c r="J58" s="35"/>
      <c r="K58" s="36"/>
    </row>
    <row r="59" spans="3:11">
      <c r="C59" s="30" t="s">
        <v>124</v>
      </c>
      <c r="D59" s="31"/>
      <c r="E59" s="32"/>
      <c r="F59" s="33"/>
      <c r="G59" s="34"/>
      <c r="H59" s="34"/>
      <c r="I59" s="35"/>
      <c r="J59" s="35"/>
      <c r="K59" s="36"/>
    </row>
    <row r="60" spans="3:11">
      <c r="C60" s="21"/>
      <c r="D60" s="31"/>
      <c r="E60" s="32"/>
      <c r="F60" s="33"/>
      <c r="G60" s="34"/>
      <c r="H60" s="34"/>
      <c r="I60" s="35"/>
      <c r="J60" s="35"/>
      <c r="K60" s="36"/>
    </row>
    <row r="61" spans="3:11">
      <c r="C61" s="30" t="s">
        <v>125</v>
      </c>
      <c r="D61" s="31"/>
      <c r="E61" s="32"/>
      <c r="F61" s="33"/>
      <c r="G61" s="34" t="s">
        <v>116</v>
      </c>
      <c r="H61" s="34" t="s">
        <v>116</v>
      </c>
      <c r="I61" s="35"/>
      <c r="J61" s="35"/>
      <c r="K61" s="36"/>
    </row>
    <row r="62" spans="3:11">
      <c r="C62" s="21"/>
      <c r="D62" s="31"/>
      <c r="E62" s="32"/>
      <c r="F62" s="33"/>
      <c r="G62" s="34"/>
      <c r="H62" s="34"/>
      <c r="I62" s="35"/>
      <c r="J62" s="35"/>
      <c r="K62" s="36"/>
    </row>
    <row r="63" spans="3:11">
      <c r="C63" s="30" t="s">
        <v>126</v>
      </c>
      <c r="D63" s="31"/>
      <c r="E63" s="32"/>
      <c r="F63" s="33"/>
      <c r="G63" s="34" t="s">
        <v>116</v>
      </c>
      <c r="H63" s="34" t="s">
        <v>116</v>
      </c>
      <c r="I63" s="35"/>
      <c r="J63" s="35"/>
      <c r="K63" s="36"/>
    </row>
    <row r="64" spans="3:11">
      <c r="C64" s="21"/>
      <c r="D64" s="31"/>
      <c r="E64" s="32"/>
      <c r="F64" s="33"/>
      <c r="G64" s="34"/>
      <c r="H64" s="34"/>
      <c r="I64" s="35"/>
      <c r="J64" s="35"/>
      <c r="K64" s="36"/>
    </row>
    <row r="65" spans="1:11">
      <c r="C65" s="30" t="s">
        <v>127</v>
      </c>
      <c r="D65" s="31"/>
      <c r="E65" s="32"/>
      <c r="F65" s="33"/>
      <c r="G65" s="34" t="s">
        <v>116</v>
      </c>
      <c r="H65" s="34" t="s">
        <v>116</v>
      </c>
      <c r="I65" s="35"/>
      <c r="J65" s="35"/>
      <c r="K65" s="36"/>
    </row>
    <row r="66" spans="1:11">
      <c r="C66" s="21"/>
      <c r="D66" s="31"/>
      <c r="E66" s="32"/>
      <c r="F66" s="33"/>
      <c r="G66" s="34"/>
      <c r="H66" s="34"/>
      <c r="I66" s="35"/>
      <c r="J66" s="35"/>
      <c r="K66" s="36"/>
    </row>
    <row r="67" spans="1:11">
      <c r="C67" s="30" t="s">
        <v>128</v>
      </c>
      <c r="D67" s="31"/>
      <c r="E67" s="32"/>
      <c r="F67" s="33"/>
      <c r="G67" s="34" t="s">
        <v>116</v>
      </c>
      <c r="H67" s="34" t="s">
        <v>116</v>
      </c>
      <c r="I67" s="35"/>
      <c r="J67" s="35"/>
      <c r="K67" s="36"/>
    </row>
    <row r="68" spans="1:11">
      <c r="C68" s="21"/>
      <c r="D68" s="31"/>
      <c r="E68" s="32"/>
      <c r="F68" s="33"/>
      <c r="G68" s="34"/>
      <c r="H68" s="34"/>
      <c r="I68" s="35"/>
      <c r="J68" s="35"/>
      <c r="K68" s="36"/>
    </row>
    <row r="69" spans="1:11">
      <c r="A69" s="28"/>
      <c r="B69" s="29"/>
      <c r="C69" s="30" t="s">
        <v>129</v>
      </c>
      <c r="D69" s="31"/>
      <c r="E69" s="32"/>
      <c r="F69" s="33"/>
      <c r="G69" s="34"/>
      <c r="H69" s="34"/>
      <c r="I69" s="35"/>
      <c r="J69" s="35"/>
      <c r="K69" s="36"/>
    </row>
    <row r="70" spans="1:11">
      <c r="A70" s="29"/>
      <c r="B70" s="29"/>
      <c r="C70" s="30" t="s">
        <v>130</v>
      </c>
      <c r="D70" s="31"/>
      <c r="E70" s="32"/>
      <c r="F70" s="33"/>
      <c r="G70" s="34" t="s">
        <v>116</v>
      </c>
      <c r="H70" s="34" t="s">
        <v>116</v>
      </c>
      <c r="I70" s="35"/>
      <c r="J70" s="35"/>
      <c r="K70" s="36"/>
    </row>
    <row r="71" spans="1:11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>
      <c r="A72" s="29"/>
      <c r="B72" s="29"/>
      <c r="C72" s="30" t="s">
        <v>131</v>
      </c>
      <c r="D72" s="31"/>
      <c r="E72" s="32"/>
      <c r="F72" s="33"/>
      <c r="G72" s="34" t="s">
        <v>116</v>
      </c>
      <c r="H72" s="34" t="s">
        <v>116</v>
      </c>
      <c r="I72" s="35"/>
      <c r="J72" s="35"/>
      <c r="K72" s="36"/>
    </row>
    <row r="73" spans="1:11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>
      <c r="A74" s="29"/>
      <c r="B74" s="29"/>
      <c r="C74" s="30" t="s">
        <v>132</v>
      </c>
      <c r="D74" s="31"/>
      <c r="E74" s="32"/>
      <c r="F74" s="33"/>
      <c r="G74" s="34" t="s">
        <v>116</v>
      </c>
      <c r="H74" s="34" t="s">
        <v>116</v>
      </c>
      <c r="I74" s="35"/>
      <c r="J74" s="35"/>
      <c r="K74" s="36"/>
    </row>
    <row r="75" spans="1:11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>
      <c r="A76" s="29"/>
      <c r="B76" s="29"/>
      <c r="C76" s="30" t="s">
        <v>133</v>
      </c>
      <c r="D76" s="31"/>
      <c r="E76" s="32"/>
      <c r="F76" s="33"/>
      <c r="G76" s="34" t="s">
        <v>116</v>
      </c>
      <c r="H76" s="34" t="s">
        <v>116</v>
      </c>
      <c r="I76" s="35"/>
      <c r="J76" s="35"/>
      <c r="K76" s="36"/>
    </row>
    <row r="77" spans="1:11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>
      <c r="A78" s="29"/>
      <c r="B78" s="29"/>
      <c r="C78" s="30" t="s">
        <v>134</v>
      </c>
      <c r="D78" s="31"/>
      <c r="E78" s="32"/>
      <c r="F78" s="33"/>
      <c r="G78" s="34" t="s">
        <v>116</v>
      </c>
      <c r="H78" s="34" t="s">
        <v>116</v>
      </c>
      <c r="I78" s="35"/>
      <c r="J78" s="35"/>
      <c r="K78" s="36"/>
    </row>
    <row r="79" spans="1:11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>
      <c r="C80" s="37" t="s">
        <v>135</v>
      </c>
      <c r="D80" s="31"/>
      <c r="E80" s="32"/>
      <c r="F80" s="33"/>
      <c r="G80" s="34"/>
      <c r="H80" s="34"/>
      <c r="I80" s="35"/>
      <c r="J80" s="35"/>
      <c r="K80" s="36"/>
    </row>
    <row r="81" spans="1:11">
      <c r="B81" s="1" t="s">
        <v>136</v>
      </c>
      <c r="C81" s="21" t="s">
        <v>137</v>
      </c>
      <c r="D81" s="31"/>
      <c r="E81" s="32"/>
      <c r="F81" s="33"/>
      <c r="G81" s="34">
        <v>464.99</v>
      </c>
      <c r="H81" s="34">
        <v>3.83</v>
      </c>
      <c r="I81" s="35">
        <v>6.7</v>
      </c>
      <c r="J81" s="35"/>
      <c r="K81" s="36"/>
    </row>
    <row r="82" spans="1:11">
      <c r="C82" s="30" t="s">
        <v>114</v>
      </c>
      <c r="D82" s="31"/>
      <c r="E82" s="32"/>
      <c r="F82" s="33"/>
      <c r="G82" s="38">
        <v>464.99</v>
      </c>
      <c r="H82" s="38">
        <v>3.83</v>
      </c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A84" s="28"/>
      <c r="B84" s="29"/>
      <c r="C84" s="30" t="s">
        <v>138</v>
      </c>
      <c r="D84" s="31"/>
      <c r="E84" s="32"/>
      <c r="F84" s="33"/>
      <c r="G84" s="34"/>
      <c r="H84" s="34"/>
      <c r="I84" s="35"/>
      <c r="J84" s="35"/>
      <c r="K84" s="36"/>
    </row>
    <row r="85" spans="1:11">
      <c r="B85" s="1"/>
      <c r="C85" s="21" t="s">
        <v>139</v>
      </c>
      <c r="D85" s="31"/>
      <c r="E85" s="32"/>
      <c r="F85" s="33"/>
      <c r="G85" s="34">
        <v>-27.52</v>
      </c>
      <c r="H85" s="34">
        <v>-0.22</v>
      </c>
      <c r="I85" s="35"/>
      <c r="J85" s="35"/>
      <c r="K85" s="36"/>
    </row>
    <row r="86" spans="1:11">
      <c r="C86" s="30" t="s">
        <v>114</v>
      </c>
      <c r="D86" s="31"/>
      <c r="E86" s="32"/>
      <c r="F86" s="33"/>
      <c r="G86" s="38">
        <v>-27.52</v>
      </c>
      <c r="H86" s="38">
        <v>-0.22</v>
      </c>
      <c r="I86" s="35"/>
      <c r="J86" s="35"/>
      <c r="K86" s="36"/>
    </row>
    <row r="87" spans="1:11">
      <c r="C87" s="21"/>
      <c r="D87" s="31"/>
      <c r="E87" s="32"/>
      <c r="F87" s="33"/>
      <c r="G87" s="34"/>
      <c r="H87" s="34"/>
      <c r="I87" s="35"/>
      <c r="J87" s="35"/>
      <c r="K87" s="36"/>
    </row>
    <row r="88" spans="1:11" ht="14.4" thickBot="1">
      <c r="C88" s="39" t="s">
        <v>140</v>
      </c>
      <c r="D88" s="40"/>
      <c r="E88" s="41"/>
      <c r="F88" s="42"/>
      <c r="G88" s="43">
        <v>12131.22</v>
      </c>
      <c r="H88" s="43">
        <f>SUMIFS(H:H,C:C,"Total")</f>
        <v>100</v>
      </c>
      <c r="I88" s="44"/>
      <c r="J88" s="44"/>
      <c r="K88" s="45"/>
    </row>
    <row r="90" spans="1:11">
      <c r="C90" s="46" t="s">
        <v>141</v>
      </c>
      <c r="D90" s="47"/>
      <c r="E90" s="47"/>
      <c r="F90" s="47"/>
      <c r="G90" s="48"/>
      <c r="H90" s="48"/>
    </row>
    <row r="91" spans="1:11">
      <c r="C91" s="49" t="s">
        <v>142</v>
      </c>
      <c r="D91" s="47"/>
      <c r="E91" s="47"/>
      <c r="F91" s="47"/>
      <c r="G91" s="48"/>
      <c r="H91" s="48"/>
    </row>
    <row r="92" spans="1:11">
      <c r="C92" s="50" t="s">
        <v>143</v>
      </c>
      <c r="D92" s="51" t="s">
        <v>144</v>
      </c>
      <c r="E92" s="52" t="s">
        <v>145</v>
      </c>
      <c r="F92" s="53" t="s">
        <v>146</v>
      </c>
      <c r="G92" s="53" t="s">
        <v>147</v>
      </c>
      <c r="H92" s="53" t="s">
        <v>148</v>
      </c>
    </row>
    <row r="93" spans="1:11">
      <c r="C93" s="79" t="s">
        <v>149</v>
      </c>
      <c r="D93" s="80"/>
      <c r="E93" s="80"/>
      <c r="F93" s="80"/>
      <c r="G93" s="80"/>
      <c r="H93" s="81"/>
    </row>
    <row r="94" spans="1:11">
      <c r="C94" s="54"/>
      <c r="D94" s="54"/>
      <c r="E94" s="54"/>
      <c r="F94" s="54"/>
      <c r="G94" s="54"/>
      <c r="H94" s="54"/>
    </row>
    <row r="95" spans="1:11">
      <c r="C95" s="47" t="s">
        <v>150</v>
      </c>
      <c r="D95" s="54"/>
      <c r="E95" s="54"/>
      <c r="F95" s="54"/>
      <c r="G95" s="54"/>
      <c r="H95" s="54"/>
    </row>
    <row r="96" spans="1:11">
      <c r="C96" s="54"/>
      <c r="D96" s="54"/>
      <c r="E96" s="54"/>
      <c r="F96" s="54"/>
      <c r="G96" s="54"/>
      <c r="H96" s="54"/>
    </row>
    <row r="97" spans="3:8">
      <c r="C97" s="46" t="s">
        <v>151</v>
      </c>
      <c r="D97" s="54"/>
      <c r="E97" s="54"/>
      <c r="F97" s="54"/>
      <c r="G97" s="54"/>
      <c r="H97" s="54"/>
    </row>
    <row r="98" spans="3:8">
      <c r="C98" s="55" t="s">
        <v>152</v>
      </c>
      <c r="D98" s="54"/>
      <c r="E98" s="54"/>
      <c r="F98" s="54"/>
      <c r="G98" s="54"/>
      <c r="H98" s="54"/>
    </row>
    <row r="99" spans="3:8">
      <c r="C99" s="55" t="s">
        <v>153</v>
      </c>
      <c r="D99" s="54"/>
      <c r="E99" s="54"/>
      <c r="F99" s="54"/>
      <c r="G99" s="54"/>
      <c r="H99" s="54"/>
    </row>
    <row r="100" spans="3:8">
      <c r="C100" s="55" t="s">
        <v>154</v>
      </c>
      <c r="D100" s="56"/>
      <c r="E100" s="54"/>
      <c r="F100" s="54"/>
      <c r="G100" s="54"/>
      <c r="H100" s="54"/>
    </row>
    <row r="101" spans="3:8">
      <c r="C101" s="55" t="s">
        <v>155</v>
      </c>
      <c r="D101" s="56"/>
      <c r="E101" s="57"/>
      <c r="F101" s="54"/>
      <c r="G101" s="54"/>
      <c r="H101" s="54"/>
    </row>
    <row r="102" spans="3:8">
      <c r="C102" s="58" t="s">
        <v>156</v>
      </c>
      <c r="D102" s="56"/>
      <c r="E102" s="59"/>
      <c r="F102" s="59"/>
      <c r="G102" s="54"/>
      <c r="H102" s="59"/>
    </row>
    <row r="103" spans="3:8">
      <c r="C103" s="54"/>
      <c r="D103" s="54"/>
      <c r="E103" s="54"/>
      <c r="F103" s="54"/>
      <c r="G103" s="54"/>
      <c r="H103" s="54"/>
    </row>
    <row r="104" spans="3:8">
      <c r="C104" s="54"/>
      <c r="D104" s="54"/>
      <c r="E104" s="54"/>
      <c r="F104" s="54"/>
      <c r="G104" s="54"/>
      <c r="H104" s="54"/>
    </row>
    <row r="105" spans="3:8">
      <c r="C105" s="58"/>
      <c r="D105" s="47"/>
      <c r="E105" s="47"/>
      <c r="F105" s="60"/>
      <c r="G105" s="48"/>
      <c r="H105" s="48"/>
    </row>
    <row r="106" spans="3:8">
      <c r="C106" s="49"/>
      <c r="D106" s="47"/>
      <c r="E106" s="47"/>
      <c r="F106" s="60"/>
      <c r="G106" s="48"/>
      <c r="H106" s="48"/>
    </row>
    <row r="107" spans="3:8">
      <c r="C107" s="46" t="s">
        <v>157</v>
      </c>
      <c r="D107" s="55"/>
      <c r="E107" s="55"/>
      <c r="F107" s="55"/>
      <c r="G107" s="55"/>
      <c r="H107" s="61"/>
    </row>
    <row r="108" spans="3:8">
      <c r="C108" s="51" t="s">
        <v>143</v>
      </c>
      <c r="D108" s="62" t="s">
        <v>144</v>
      </c>
      <c r="E108" s="63" t="s">
        <v>145</v>
      </c>
      <c r="F108" s="64" t="s">
        <v>146</v>
      </c>
      <c r="G108" s="64" t="s">
        <v>147</v>
      </c>
      <c r="H108" s="64" t="s">
        <v>148</v>
      </c>
    </row>
    <row r="109" spans="3:8">
      <c r="C109" s="79" t="s">
        <v>149</v>
      </c>
      <c r="D109" s="80"/>
      <c r="E109" s="80"/>
      <c r="F109" s="80"/>
      <c r="G109" s="80"/>
      <c r="H109" s="81"/>
    </row>
    <row r="110" spans="3:8">
      <c r="C110" s="55"/>
      <c r="D110" s="55"/>
      <c r="E110" s="55"/>
      <c r="F110" s="65"/>
      <c r="G110" s="66"/>
      <c r="H110" s="66"/>
    </row>
    <row r="111" spans="3:8">
      <c r="C111" s="55" t="s">
        <v>158</v>
      </c>
      <c r="D111" s="54"/>
      <c r="E111" s="54"/>
      <c r="F111" s="54"/>
      <c r="G111" s="54"/>
      <c r="H111" s="54"/>
    </row>
    <row r="112" spans="3:8">
      <c r="C112" s="54"/>
      <c r="D112" s="54"/>
      <c r="E112" s="54"/>
      <c r="F112" s="54"/>
      <c r="G112" s="54"/>
      <c r="H112" s="54"/>
    </row>
    <row r="113" spans="3:8">
      <c r="C113" s="46" t="s">
        <v>159</v>
      </c>
      <c r="D113" s="54"/>
      <c r="E113" s="54"/>
      <c r="F113" s="54"/>
      <c r="G113" s="54"/>
      <c r="H113" s="54"/>
    </row>
    <row r="114" spans="3:8">
      <c r="C114" s="55" t="s">
        <v>160</v>
      </c>
      <c r="D114" s="54"/>
      <c r="E114" s="54"/>
      <c r="F114" s="54"/>
      <c r="G114" s="54"/>
      <c r="H114" s="54"/>
    </row>
    <row r="115" spans="3:8">
      <c r="C115" s="55" t="s">
        <v>161</v>
      </c>
      <c r="D115" s="54"/>
      <c r="E115" s="54"/>
      <c r="F115" s="54"/>
      <c r="G115" s="54"/>
      <c r="H115" s="54"/>
    </row>
    <row r="116" spans="3:8">
      <c r="C116" s="55" t="s">
        <v>162</v>
      </c>
      <c r="D116" s="57"/>
      <c r="E116" s="57"/>
      <c r="F116" s="54"/>
      <c r="G116" s="54"/>
      <c r="H116" s="54"/>
    </row>
    <row r="117" spans="3:8">
      <c r="C117" s="55" t="s">
        <v>155</v>
      </c>
      <c r="D117" s="57"/>
      <c r="E117" s="54"/>
      <c r="F117" s="54"/>
      <c r="G117" s="54"/>
      <c r="H117" s="54"/>
    </row>
    <row r="118" spans="3:8">
      <c r="C118" s="58" t="s">
        <v>163</v>
      </c>
      <c r="D118" s="57"/>
      <c r="E118" s="59"/>
      <c r="F118" s="59"/>
      <c r="G118" s="54"/>
      <c r="H118" s="54"/>
    </row>
    <row r="119" spans="3:8">
      <c r="C119" s="54"/>
      <c r="D119" s="54"/>
      <c r="E119" s="54"/>
      <c r="F119" s="54"/>
      <c r="G119" s="54"/>
      <c r="H119" s="54"/>
    </row>
    <row r="120" spans="3:8">
      <c r="C120" s="47"/>
      <c r="D120" s="47"/>
      <c r="E120" s="67"/>
      <c r="F120" s="47"/>
      <c r="G120" s="48"/>
      <c r="H120" s="48"/>
    </row>
    <row r="121" spans="3:8">
      <c r="C121" s="68" t="s">
        <v>164</v>
      </c>
      <c r="D121" s="67"/>
      <c r="E121" s="67"/>
      <c r="F121" s="47"/>
      <c r="G121" s="48"/>
      <c r="H121" s="48"/>
    </row>
    <row r="125" spans="3:8">
      <c r="C125" s="11" t="s">
        <v>165</v>
      </c>
    </row>
    <row r="126" spans="3:8">
      <c r="C126" s="2" t="s">
        <v>166</v>
      </c>
    </row>
    <row r="127" spans="3:8">
      <c r="C127" s="69" t="s">
        <v>167</v>
      </c>
    </row>
    <row r="128" spans="3:8">
      <c r="C128" s="2" t="s">
        <v>168</v>
      </c>
    </row>
    <row r="129" spans="3:55">
      <c r="C129" s="2" t="s">
        <v>169</v>
      </c>
    </row>
    <row r="130" spans="3:55">
      <c r="C130" s="2" t="s">
        <v>170</v>
      </c>
      <c r="D130" s="70"/>
      <c r="E130" s="70"/>
      <c r="F130" s="70"/>
      <c r="G130" s="71"/>
      <c r="H130" s="71"/>
    </row>
    <row r="131" spans="3:55">
      <c r="C131" s="2" t="s">
        <v>171</v>
      </c>
    </row>
    <row r="132" spans="3:55">
      <c r="C132" s="2" t="s">
        <v>172</v>
      </c>
    </row>
    <row r="133" spans="3:55">
      <c r="C133" s="2" t="s">
        <v>173</v>
      </c>
    </row>
    <row r="134" spans="3:55">
      <c r="C134" s="2" t="s">
        <v>174</v>
      </c>
    </row>
    <row r="135" spans="3:55" s="11" customFormat="1">
      <c r="C135" s="11" t="s">
        <v>175</v>
      </c>
      <c r="E135" s="11" t="s">
        <v>176</v>
      </c>
      <c r="F135" s="72" t="s">
        <v>177</v>
      </c>
      <c r="G135" s="73"/>
      <c r="H135" s="73"/>
      <c r="I135" s="73"/>
      <c r="J135" s="73"/>
      <c r="K135" s="74"/>
      <c r="L135" s="74"/>
      <c r="M135" s="74"/>
      <c r="AJ135" s="74"/>
      <c r="AW135" s="74"/>
      <c r="AY135" s="74"/>
      <c r="BC135" s="74"/>
    </row>
    <row r="136" spans="3:55">
      <c r="C136" s="2" t="s">
        <v>178</v>
      </c>
      <c r="E136" s="75">
        <v>20.732700000000001</v>
      </c>
      <c r="F136" s="76">
        <v>20.49</v>
      </c>
    </row>
    <row r="137" spans="3:55">
      <c r="C137" s="2" t="s">
        <v>179</v>
      </c>
      <c r="E137" s="75">
        <v>38.4482</v>
      </c>
      <c r="F137" s="76">
        <v>37.998199999999997</v>
      </c>
    </row>
    <row r="138" spans="3:55">
      <c r="C138" s="2" t="s">
        <v>180</v>
      </c>
      <c r="E138" s="75">
        <v>23.217400000000001</v>
      </c>
      <c r="F138" s="76">
        <v>22.967500000000001</v>
      </c>
    </row>
    <row r="139" spans="3:55">
      <c r="C139" s="2" t="s">
        <v>181</v>
      </c>
      <c r="E139" s="75">
        <v>42.1419</v>
      </c>
      <c r="F139" s="76">
        <v>41.688400000000001</v>
      </c>
    </row>
    <row r="141" spans="3:55">
      <c r="C141" s="2" t="s">
        <v>182</v>
      </c>
    </row>
    <row r="143" spans="3:55">
      <c r="C143" s="2" t="s">
        <v>183</v>
      </c>
    </row>
    <row r="144" spans="3:55">
      <c r="C144" s="2" t="s">
        <v>184</v>
      </c>
    </row>
    <row r="145" spans="3:11">
      <c r="C145" s="2" t="s">
        <v>185</v>
      </c>
    </row>
    <row r="146" spans="3:11">
      <c r="C146" s="2" t="s">
        <v>186</v>
      </c>
    </row>
    <row r="147" spans="3:11">
      <c r="C147" s="2" t="s">
        <v>187</v>
      </c>
    </row>
    <row r="148" spans="3:11">
      <c r="C148" s="2" t="s">
        <v>188</v>
      </c>
    </row>
    <row r="149" spans="3:11">
      <c r="C149" s="2" t="s">
        <v>189</v>
      </c>
    </row>
    <row r="150" spans="3:11">
      <c r="C150" s="2" t="s">
        <v>190</v>
      </c>
    </row>
    <row r="151" spans="3:11">
      <c r="C151" s="2" t="s">
        <v>191</v>
      </c>
    </row>
    <row r="152" spans="3:11">
      <c r="C152" s="2" t="s">
        <v>192</v>
      </c>
    </row>
    <row r="153" spans="3:11">
      <c r="C153" s="2" t="s">
        <v>193</v>
      </c>
    </row>
    <row r="154" spans="3:11">
      <c r="C154" s="2" t="s">
        <v>194</v>
      </c>
    </row>
    <row r="157" spans="3:11">
      <c r="C157" s="77"/>
      <c r="D157" s="77"/>
      <c r="E157" s="78"/>
      <c r="F157" s="78"/>
      <c r="G157" s="78"/>
      <c r="H157" s="78"/>
      <c r="I157" s="78"/>
      <c r="J157" s="78"/>
      <c r="K157" s="78"/>
    </row>
    <row r="158" spans="3:11">
      <c r="C158" s="78"/>
      <c r="D158" s="78"/>
      <c r="E158" s="78"/>
      <c r="F158" s="78"/>
      <c r="G158" s="78"/>
      <c r="H158" s="78"/>
      <c r="I158" s="78"/>
      <c r="J158" s="78"/>
      <c r="K158" s="78"/>
    </row>
    <row r="159" spans="3:11">
      <c r="C159" s="78"/>
      <c r="D159" s="78"/>
      <c r="E159" s="78"/>
      <c r="F159" s="78"/>
      <c r="G159" s="78"/>
      <c r="H159" s="78"/>
      <c r="I159" s="78"/>
      <c r="J159" s="78"/>
      <c r="K159" s="78"/>
    </row>
  </sheetData>
  <mergeCells count="2">
    <mergeCell ref="C93:H93"/>
    <mergeCell ref="C109:H10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BS</vt:lpstr>
      <vt:lpstr>XDO_?CLASS_3?26?</vt:lpstr>
      <vt:lpstr>XDO_?FINAL_ISIN?131?</vt:lpstr>
      <vt:lpstr>XDO_?FINAL_ISIN?132?</vt:lpstr>
      <vt:lpstr>XDO_?FINAL_ISIN?133?</vt:lpstr>
      <vt:lpstr>XDO_?FINAL_MV?131?</vt:lpstr>
      <vt:lpstr>XDO_?FINAL_MV?132?</vt:lpstr>
      <vt:lpstr>XDO_?FINAL_MV?133?</vt:lpstr>
      <vt:lpstr>XDO_?FINAL_NAME?131?</vt:lpstr>
      <vt:lpstr>XDO_?FINAL_NAME?132?</vt:lpstr>
      <vt:lpstr>XDO_?FINAL_NAME?133?</vt:lpstr>
      <vt:lpstr>XDO_?FINAL_PER_NET?131?</vt:lpstr>
      <vt:lpstr>XDO_?FINAL_PER_NET?132?</vt:lpstr>
      <vt:lpstr>XDO_?FINAL_PER_NET?133?</vt:lpstr>
      <vt:lpstr>XDO_?FINAL_QUANTITE?131?</vt:lpstr>
      <vt:lpstr>XDO_?FINAL_QUANTITE?132?</vt:lpstr>
      <vt:lpstr>XDO_?FINAL_QUANTITE?133?</vt:lpstr>
      <vt:lpstr>XDO_?NAMCNAME?26?</vt:lpstr>
      <vt:lpstr>XDO_?NOVAL?131?</vt:lpstr>
      <vt:lpstr>XDO_?NOVAL?132?</vt:lpstr>
      <vt:lpstr>XDO_?NOVAL?133?</vt:lpstr>
      <vt:lpstr>XDO_?NPTF?26?</vt:lpstr>
      <vt:lpstr>XDO_?RATING?131?</vt:lpstr>
      <vt:lpstr>XDO_?RATING?132?</vt:lpstr>
      <vt:lpstr>XDO_?RATING?133?</vt:lpstr>
      <vt:lpstr>XDO_?REMARKS?131?</vt:lpstr>
      <vt:lpstr>XDO_?REMARKS?132?</vt:lpstr>
      <vt:lpstr>XDO_?REMARKS?133?</vt:lpstr>
      <vt:lpstr>XDO_?TITL?26?</vt:lpstr>
      <vt:lpstr>XDO_?YTM?131?</vt:lpstr>
      <vt:lpstr>XDO_?YTM?132?</vt:lpstr>
      <vt:lpstr>XDO_?YTM?133?</vt:lpstr>
      <vt:lpstr>XDO_GROUP_?G_2?26?</vt:lpstr>
      <vt:lpstr>XDO_GROUP_?G_3?26?</vt:lpstr>
      <vt:lpstr>XDO_GROUP_?G_4?131?</vt:lpstr>
      <vt:lpstr>XDO_GROUP_?G_4?132?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2024-03-06T12:43:34Z</dcterms:created>
  <dcterms:modified xsi:type="dcterms:W3CDTF">2024-03-07T09:47:39Z</dcterms:modified>
</cp:coreProperties>
</file>