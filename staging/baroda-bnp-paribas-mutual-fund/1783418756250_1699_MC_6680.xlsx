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Monthly Portfolio\"/>
    </mc:Choice>
  </mc:AlternateContent>
  <bookViews>
    <workbookView xWindow="-120" yWindow="-120" windowWidth="29040" windowHeight="15840"/>
  </bookViews>
  <sheets>
    <sheet name="MC" sheetId="1" r:id="rId1"/>
  </sheets>
  <externalReferences>
    <externalReference r:id="rId2"/>
  </externalReferences>
  <definedNames>
    <definedName name="XDO_?CLASS_3?8?">MC!$C$8:$C$64</definedName>
    <definedName name="XDO_?FINAL_ISIN?30?">MC!$D$10:$D$64</definedName>
    <definedName name="XDO_?FINAL_ISIN?31?">MC!$D$10:$D$104</definedName>
    <definedName name="XDO_?FINAL_ISIN?32?">MC!$D$10:$D$108</definedName>
    <definedName name="XDO_?FINAL_ISIN?33?">MC!$D$10:$D$109</definedName>
    <definedName name="XDO_?FINAL_MV?30?">MC!$G$10:$G$64</definedName>
    <definedName name="XDO_?FINAL_MV?31?">MC!$G$10:$G$104</definedName>
    <definedName name="XDO_?FINAL_MV?32?">MC!$G$10:$G$108</definedName>
    <definedName name="XDO_?FINAL_MV?33?">MC!$G$10:$G$109</definedName>
    <definedName name="XDO_?FINAL_NAME?30?">MC!$C$10:$C$64</definedName>
    <definedName name="XDO_?FINAL_NAME?31?">MC!$C$10:$C$104</definedName>
    <definedName name="XDO_?FINAL_NAME?32?">MC!$C$10:$C$108</definedName>
    <definedName name="XDO_?FINAL_NAME?33?">MC!$C$10:$C$109</definedName>
    <definedName name="XDO_?FINAL_PER_NET?30?">MC!$H$10:$H$64</definedName>
    <definedName name="XDO_?FINAL_PER_NET?31?">MC!$H$10:$H$104</definedName>
    <definedName name="XDO_?FINAL_PER_NET?32?">MC!$H$10:$H$108</definedName>
    <definedName name="XDO_?FINAL_PER_NET?33?">MC!$H$10:$H$109</definedName>
    <definedName name="XDO_?FINAL_QUANTITE?30?">MC!$F$10:$F$64</definedName>
    <definedName name="XDO_?FINAL_QUANTITE?31?">MC!$F$10:$F$104</definedName>
    <definedName name="XDO_?FINAL_QUANTITE?32?">MC!$F$10:$F$108</definedName>
    <definedName name="XDO_?FINAL_QUANTITE?33?">MC!$F$10:$F$109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MC!#REF!</definedName>
    <definedName name="XDO_?NAMC?9?">[1]LC!#REF!</definedName>
    <definedName name="XDO_?NAMCNAME?8?">MC!$C$2:$C$64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MC!#REF!</definedName>
    <definedName name="XDO_?NNPTF?9?">[1]LC!#REF!</definedName>
    <definedName name="XDO_?NOVAL?30?">MC!$B$10:$B$64</definedName>
    <definedName name="XDO_?NOVAL?31?">MC!$B$10:$B$104</definedName>
    <definedName name="XDO_?NOVAL?32?">MC!$B$10:$B$108</definedName>
    <definedName name="XDO_?NOVAL?33?">MC!$B$10:$B$109</definedName>
    <definedName name="XDO_?NPTF?8?">MC!$D$2:$D$64</definedName>
    <definedName name="XDO_?RATING?30?">MC!$E$10:$E$64</definedName>
    <definedName name="XDO_?RATING?31?">MC!$E$10:$E$104</definedName>
    <definedName name="XDO_?RATING?32?">MC!$E$10:$E$108</definedName>
    <definedName name="XDO_?RATING?33?">MC!$E$10:$E$109</definedName>
    <definedName name="XDO_?REMARKS?30?">MC!$J$10:$J$64</definedName>
    <definedName name="XDO_?REMARKS?31?">MC!$J$10:$J$104</definedName>
    <definedName name="XDO_?REMARKS?32?">MC!$J$10:$J$108</definedName>
    <definedName name="XDO_?REMARKS?33?">MC!$J$10:$J$109</definedName>
    <definedName name="XDO_?TITL?8?">MC!$A$8:$A$64</definedName>
    <definedName name="XDO_?YTM?30?">MC!$I$10:$I$64</definedName>
    <definedName name="XDO_?YTM?31?">MC!$I$10:$I$104</definedName>
    <definedName name="XDO_?YTM?32?">MC!$I$10:$I$108</definedName>
    <definedName name="XDO_?YTM?33?">MC!$I$10:$I$109</definedName>
    <definedName name="XDO_GROUP_?G_2?8?">MC!$2:$83</definedName>
    <definedName name="XDO_GROUP_?G_3?8?">MC!$8:$82</definedName>
    <definedName name="XDO_GROUP_?G_4?30?">MC!$B$10:$IV$64</definedName>
    <definedName name="XDO_GROUP_?G_4?31?">MC!$B$70:$IV$70</definedName>
    <definedName name="XDO_GROUP_?G_4?32?">MC!$B$75:$IV$75</definedName>
    <definedName name="XDO_GROUP_?G_4?33?">MC!$B$80:$IV$80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8" i="1" l="1"/>
  <c r="H109" i="1" s="1"/>
  <c r="H66" i="1"/>
  <c r="G66" i="1"/>
</calcChain>
</file>

<file path=xl/sharedStrings.xml><?xml version="1.0" encoding="utf-8"?>
<sst xmlns="http://schemas.openxmlformats.org/spreadsheetml/2006/main" count="328" uniqueCount="263">
  <si>
    <t>BNP PARIBAS Mutual Fund</t>
  </si>
  <si>
    <t>T0ME02</t>
  </si>
  <si>
    <t>SCHEME NAME :</t>
  </si>
  <si>
    <t xml:space="preserve">BNP Paribas Midcap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</si>
  <si>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</si>
  <si>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</si>
  <si>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</si>
  <si>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</si>
  <si>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</si>
  <si>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</si>
  <si>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</si>
  <si>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</si>
  <si>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</si>
  <si>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</si>
  <si>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</si>
  <si>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100144</t>
  </si>
  <si>
    <t>Voltas Ltd.</t>
  </si>
  <si>
    <t>INE226A01021</t>
  </si>
  <si>
    <t>Consumer Durables</t>
  </si>
  <si>
    <t>100378</t>
  </si>
  <si>
    <t>Jindal Steel &amp; Power Ltd.</t>
  </si>
  <si>
    <t>INE749A01030</t>
  </si>
  <si>
    <t>Ferrous Metals</t>
  </si>
  <si>
    <t>100089</t>
  </si>
  <si>
    <t>Bharat Electronics Ltd.</t>
  </si>
  <si>
    <t>INE263A01024</t>
  </si>
  <si>
    <t>Aerospace &amp; Defense</t>
  </si>
  <si>
    <t>100050</t>
  </si>
  <si>
    <t>Trent Ltd.</t>
  </si>
  <si>
    <t>INE849A01020</t>
  </si>
  <si>
    <t>Retailing</t>
  </si>
  <si>
    <t>100130</t>
  </si>
  <si>
    <t>Gujarat Gas Ltd.</t>
  </si>
  <si>
    <t>INE844O01030</t>
  </si>
  <si>
    <t>Gas</t>
  </si>
  <si>
    <t>100055</t>
  </si>
  <si>
    <t>The Federal Bank Ltd.</t>
  </si>
  <si>
    <t>INE171A01029</t>
  </si>
  <si>
    <t>Banks</t>
  </si>
  <si>
    <t>100172</t>
  </si>
  <si>
    <t>ACC Ltd.</t>
  </si>
  <si>
    <t>INE012A01025</t>
  </si>
  <si>
    <t>Cement &amp; Cement Products</t>
  </si>
  <si>
    <t>100205</t>
  </si>
  <si>
    <t>MindTree Ltd.</t>
  </si>
  <si>
    <t>INE018I01017</t>
  </si>
  <si>
    <t>Software</t>
  </si>
  <si>
    <t>100461</t>
  </si>
  <si>
    <t>Astral Limited</t>
  </si>
  <si>
    <t>INE006I01046</t>
  </si>
  <si>
    <t>Industrial Products</t>
  </si>
  <si>
    <t>100029</t>
  </si>
  <si>
    <t>Mphasis Ltd.</t>
  </si>
  <si>
    <t>INE356A01018</t>
  </si>
  <si>
    <t>100116</t>
  </si>
  <si>
    <t>Sundaram Finance Ltd.</t>
  </si>
  <si>
    <t>INE660A01013</t>
  </si>
  <si>
    <t>Finance</t>
  </si>
  <si>
    <t>100150</t>
  </si>
  <si>
    <t>Apollo Hospitals Enterprise Ltd.</t>
  </si>
  <si>
    <t>INE437A01024</t>
  </si>
  <si>
    <t>Healthcare Services</t>
  </si>
  <si>
    <t>100266</t>
  </si>
  <si>
    <t>Gujarat State Petronet Ltd.</t>
  </si>
  <si>
    <t>INE246F01010</t>
  </si>
  <si>
    <t>100033</t>
  </si>
  <si>
    <t>Indian Bank</t>
  </si>
  <si>
    <t>INE562A01011</t>
  </si>
  <si>
    <t>100280</t>
  </si>
  <si>
    <t>TVS Motor Company Ltd.</t>
  </si>
  <si>
    <t>INE494B01023</t>
  </si>
  <si>
    <t>Auto</t>
  </si>
  <si>
    <t>100227</t>
  </si>
  <si>
    <t>Jubilant Foodworks Ltd.</t>
  </si>
  <si>
    <t>INE797F01012</t>
  </si>
  <si>
    <t>Leisure Services</t>
  </si>
  <si>
    <t>100585</t>
  </si>
  <si>
    <t>DCM Shriram Ltd.</t>
  </si>
  <si>
    <t>INE499A01024</t>
  </si>
  <si>
    <t>Consumer Non Durables</t>
  </si>
  <si>
    <t>100435</t>
  </si>
  <si>
    <t>Crompton Greaves Consumer Electricals Ltd.</t>
  </si>
  <si>
    <t>INE299U01018</t>
  </si>
  <si>
    <t>100471</t>
  </si>
  <si>
    <t>Endurance Technologies Ltd.</t>
  </si>
  <si>
    <t>INE913H01037</t>
  </si>
  <si>
    <t>Auto Ancillaries</t>
  </si>
  <si>
    <t>100118</t>
  </si>
  <si>
    <t>Tata Chemicals Ltd.</t>
  </si>
  <si>
    <t>INE092A01019</t>
  </si>
  <si>
    <t>Chemicals</t>
  </si>
  <si>
    <t>100365</t>
  </si>
  <si>
    <t>Ashok Leyland Ltd.</t>
  </si>
  <si>
    <t>INE208A01029</t>
  </si>
  <si>
    <t>100020</t>
  </si>
  <si>
    <t>Tata Consumer Products Ltd.</t>
  </si>
  <si>
    <t>INE192A01025</t>
  </si>
  <si>
    <t>100107</t>
  </si>
  <si>
    <t>Max Financial Services Ltd.</t>
  </si>
  <si>
    <t>INE180A01020</t>
  </si>
  <si>
    <t>Insurance</t>
  </si>
  <si>
    <t>100342</t>
  </si>
  <si>
    <t>Vardhman Textiles Ltd.</t>
  </si>
  <si>
    <t>INE825A01012</t>
  </si>
  <si>
    <t>Textiles - Cotton</t>
  </si>
  <si>
    <t>100054</t>
  </si>
  <si>
    <t>Oberoi Realty Ltd.</t>
  </si>
  <si>
    <t>INE093I01010</t>
  </si>
  <si>
    <t>Construction</t>
  </si>
  <si>
    <t>100256</t>
  </si>
  <si>
    <t>City Union Bank Ltd.</t>
  </si>
  <si>
    <t>INE491A01021</t>
  </si>
  <si>
    <t>100026</t>
  </si>
  <si>
    <t>Persistent Systems Ltd.</t>
  </si>
  <si>
    <t>INE262H01013</t>
  </si>
  <si>
    <t>100221</t>
  </si>
  <si>
    <t>Sundram Fasteners Ltd.</t>
  </si>
  <si>
    <t>INE387A01021</t>
  </si>
  <si>
    <t>100586</t>
  </si>
  <si>
    <t>Ratnamani Metals &amp; Tubes Ltd.</t>
  </si>
  <si>
    <t>INE703B01027</t>
  </si>
  <si>
    <t>100012</t>
  </si>
  <si>
    <t>ICICI Bank Ltd.</t>
  </si>
  <si>
    <t>INE090A01021</t>
  </si>
  <si>
    <t>100159</t>
  </si>
  <si>
    <t>Sanofi India Ltd.</t>
  </si>
  <si>
    <t>INE058A01010</t>
  </si>
  <si>
    <t>Pharmaceuticals</t>
  </si>
  <si>
    <t>100042</t>
  </si>
  <si>
    <t>LIC Housing Finance Ltd.</t>
  </si>
  <si>
    <t>INE115A01026</t>
  </si>
  <si>
    <t>100285</t>
  </si>
  <si>
    <t>Alkem Laboratories Ltd.</t>
  </si>
  <si>
    <t>INE540L01014</t>
  </si>
  <si>
    <t>100559</t>
  </si>
  <si>
    <t>Avanti Feeds Ltd.</t>
  </si>
  <si>
    <t>INE871C01038</t>
  </si>
  <si>
    <t>100143</t>
  </si>
  <si>
    <t>Thermax Ltd.</t>
  </si>
  <si>
    <t>INE152A01029</t>
  </si>
  <si>
    <t>Industrial Capital Goods</t>
  </si>
  <si>
    <t>100034</t>
  </si>
  <si>
    <t>IPCA Laboratories Ltd.</t>
  </si>
  <si>
    <t>INE571A01020</t>
  </si>
  <si>
    <t>100942</t>
  </si>
  <si>
    <t>Brigade Enterprises Ltd.</t>
  </si>
  <si>
    <t>INE791I01019</t>
  </si>
  <si>
    <t>100768</t>
  </si>
  <si>
    <t>V-Mart Retail Ltd.</t>
  </si>
  <si>
    <t>INE665J01013</t>
  </si>
  <si>
    <t>100200</t>
  </si>
  <si>
    <t>Page Industries Ltd.</t>
  </si>
  <si>
    <t>INE761H01022</t>
  </si>
  <si>
    <t>Textile Products</t>
  </si>
  <si>
    <t>100240</t>
  </si>
  <si>
    <t>Can Fin Homes Ltd.</t>
  </si>
  <si>
    <t>INE477A01020</t>
  </si>
  <si>
    <t>100571</t>
  </si>
  <si>
    <t>KNR Constructions Ltd.</t>
  </si>
  <si>
    <t>INE634I01029</t>
  </si>
  <si>
    <t>100047</t>
  </si>
  <si>
    <t>Emami Ltd.</t>
  </si>
  <si>
    <t>INE548C01032</t>
  </si>
  <si>
    <t>100663</t>
  </si>
  <si>
    <t>AU Small Finance Bank Ltd.</t>
  </si>
  <si>
    <t>INE949L01017</t>
  </si>
  <si>
    <t>100897</t>
  </si>
  <si>
    <t>Metropolis Healthcare Ltd.</t>
  </si>
  <si>
    <t>INE112L01020</t>
  </si>
  <si>
    <t>101342</t>
  </si>
  <si>
    <t>Nuvoco Vistas Corporation Ltd.</t>
  </si>
  <si>
    <t>INE118D01016</t>
  </si>
  <si>
    <t>100222</t>
  </si>
  <si>
    <t>The Indian Hotels Company Ltd.</t>
  </si>
  <si>
    <t>INE053A01029</t>
  </si>
  <si>
    <t>100090</t>
  </si>
  <si>
    <t>Bharat Forge Ltd.</t>
  </si>
  <si>
    <t>INE465A01025</t>
  </si>
  <si>
    <t>100145</t>
  </si>
  <si>
    <t>Atul Ltd.</t>
  </si>
  <si>
    <t>INE100A01010</t>
  </si>
  <si>
    <t>100138</t>
  </si>
  <si>
    <t>PVR Ltd.</t>
  </si>
  <si>
    <t>INE191H01014</t>
  </si>
  <si>
    <t>Entertainment</t>
  </si>
  <si>
    <t>100293</t>
  </si>
  <si>
    <t>AIA Engineering Ltd.</t>
  </si>
  <si>
    <t>INE212H01026</t>
  </si>
  <si>
    <t>100811</t>
  </si>
  <si>
    <t>NOCIL Ltd.</t>
  </si>
  <si>
    <t>INE163A01018</t>
  </si>
  <si>
    <t>100204</t>
  </si>
  <si>
    <t>Inox Leisure Ltd.</t>
  </si>
  <si>
    <t>INE312H01016</t>
  </si>
  <si>
    <t>101345</t>
  </si>
  <si>
    <t>CarTrade Tech Ltd.</t>
  </si>
  <si>
    <t>INE290S01011</t>
  </si>
  <si>
    <t>100066</t>
  </si>
  <si>
    <t>MOIL Ltd.</t>
  </si>
  <si>
    <t>INE490G01020</t>
  </si>
  <si>
    <t>Minerals/Mining</t>
  </si>
  <si>
    <t>100437</t>
  </si>
  <si>
    <t>Insecticides (India) Ltd.</t>
  </si>
  <si>
    <t>INE070I01018</t>
  </si>
  <si>
    <t>Pesticides</t>
  </si>
  <si>
    <t>100688</t>
  </si>
  <si>
    <t>INE053A20011</t>
  </si>
  <si>
    <t>R**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</si>
  <si>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</si>
  <si>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</si>
  <si>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</si>
  <si>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</si>
  <si>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</si>
  <si>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</si>
  <si>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</si>
  <si>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</si>
  <si>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</si>
  <si>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</si>
  <si>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</si>
  <si>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</si>
  <si>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</si>
  <si>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</si>
  <si>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</si>
  <si>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</si>
  <si>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</si>
  <si>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</si>
  <si>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</si>
  <si>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</si>
  <si>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</si>
  <si>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</si>
  <si>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</si>
  <si>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</si>
  <si>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</si>
  <si>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</si>
  <si>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</si>
  <si>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</si>
  <si>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</si>
  <si>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</si>
  <si>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</si>
  <si>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</si>
  <si>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</si>
  <si>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</si>
  <si>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</si>
  <si>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October ,29 2021</t>
  </si>
  <si>
    <t>As on November ,30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</si>
  <si>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</si>
  <si>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</si>
  <si>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</si>
  <si>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</si>
  <si>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November ,30 2021</t>
  </si>
  <si>
    <t>(8) There were no investments made in derivative instruments and no such derivative instrument was squared off/ expired /exercised during the Month ended November ,30 2021. Further there are no investments in derivative instruments as on 30 Novemer 2021.</t>
  </si>
  <si>
    <t>(9) Total Market value of investments in Foreign Securities/American Depositary Receipts/Global Depositary Receipts as at November ,30 2021 is Rs. Nil .</t>
  </si>
  <si>
    <t>(10)  During the period, the portfolio turnover ratio is  0.00 times.</t>
  </si>
  <si>
    <t>(11)  Details of repo transaction in corporate debt securities for the Month ended November ,30 2021 is Nil.</t>
  </si>
  <si>
    <t xml:space="preserve">(12)  Investments in debt instruments having structured obligations or credit enhancement features as at November ,30 2021 is Rs. Nil </t>
  </si>
  <si>
    <t>(13) Investment in Partly paid Debentures during the Month ended November ,30 2021 and as on November ,30 2021 is Nil</t>
  </si>
  <si>
    <t>(14) During the Month ended November ,30 2021, there have been Nil instances of deviations in valuation of securities for the scheme.</t>
  </si>
  <si>
    <t>(15) Transactions in Credit Default Swaps during Month ended November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</si>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</sst>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" fontId="3" fillId="0" borderId="0" xfId="0" applyNumberFormat="1" applyFont="1"/>
    <xf numFmtId="164" fontId="3" fillId="0" borderId="11" xfId="1" applyNumberFormat="1" applyFont="1" applyFill="1" applyBorder="1"/>
    <xf numFmtId="43" fontId="3" fillId="0" borderId="11" xfId="1" applyFont="1" applyFill="1" applyBorder="1" applyAlignment="1">
      <alignment horizontal="right"/>
    </xf>
    <xf numFmtId="43" fontId="3" fillId="0" borderId="11" xfId="1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5</xdr:col>
      <xdr:colOff>296587</xdr:colOff>
      <xdr:row>157</xdr:row>
      <xdr:rowOff>153162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02933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MonthEnd%2030th%20November%202021\Split%20Portfolio\BNPP_Monthly_Portfolio_Report%2030%20Nov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6"/>
  <sheetViews>
    <sheetView showGridLines="0" tabSelected="1" zoomScale="90" zoomScaleNormal="90" workbookViewId="0">
      <pane ySplit="6" topLeftCell="A140" activePane="bottomLeft" state="frozen"/>
      <selection sqref="A1:IV65536"/>
      <selection pane="bottomLeft" activeCell="C142" sqref="C14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710937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11.8554687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7109375" style="2" customWidth="1"/>
    <col min="261" max="261" width="23.7109375" style="2" customWidth="1"/>
    <col min="262" max="266" width="19.5703125" style="2" customWidth="1"/>
    <col min="267" max="267" width="11.8554687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7109375" style="2" customWidth="1"/>
    <col min="517" max="517" width="23.7109375" style="2" customWidth="1"/>
    <col min="518" max="522" width="19.5703125" style="2" customWidth="1"/>
    <col min="523" max="523" width="11.8554687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7109375" style="2" customWidth="1"/>
    <col min="773" max="773" width="23.7109375" style="2" customWidth="1"/>
    <col min="774" max="778" width="19.5703125" style="2" customWidth="1"/>
    <col min="779" max="779" width="11.8554687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7109375" style="2" customWidth="1"/>
    <col min="1029" max="1029" width="23.7109375" style="2" customWidth="1"/>
    <col min="1030" max="1034" width="19.5703125" style="2" customWidth="1"/>
    <col min="1035" max="1035" width="11.8554687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7109375" style="2" customWidth="1"/>
    <col min="1285" max="1285" width="23.7109375" style="2" customWidth="1"/>
    <col min="1286" max="1290" width="19.5703125" style="2" customWidth="1"/>
    <col min="1291" max="1291" width="11.8554687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7109375" style="2" customWidth="1"/>
    <col min="1541" max="1541" width="23.7109375" style="2" customWidth="1"/>
    <col min="1542" max="1546" width="19.5703125" style="2" customWidth="1"/>
    <col min="1547" max="1547" width="11.8554687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7109375" style="2" customWidth="1"/>
    <col min="1797" max="1797" width="23.7109375" style="2" customWidth="1"/>
    <col min="1798" max="1802" width="19.5703125" style="2" customWidth="1"/>
    <col min="1803" max="1803" width="11.8554687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7109375" style="2" customWidth="1"/>
    <col min="2053" max="2053" width="23.7109375" style="2" customWidth="1"/>
    <col min="2054" max="2058" width="19.5703125" style="2" customWidth="1"/>
    <col min="2059" max="2059" width="11.8554687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7109375" style="2" customWidth="1"/>
    <col min="2309" max="2309" width="23.7109375" style="2" customWidth="1"/>
    <col min="2310" max="2314" width="19.5703125" style="2" customWidth="1"/>
    <col min="2315" max="2315" width="11.8554687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7109375" style="2" customWidth="1"/>
    <col min="2565" max="2565" width="23.7109375" style="2" customWidth="1"/>
    <col min="2566" max="2570" width="19.5703125" style="2" customWidth="1"/>
    <col min="2571" max="2571" width="11.8554687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7109375" style="2" customWidth="1"/>
    <col min="2821" max="2821" width="23.7109375" style="2" customWidth="1"/>
    <col min="2822" max="2826" width="19.5703125" style="2" customWidth="1"/>
    <col min="2827" max="2827" width="11.8554687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7109375" style="2" customWidth="1"/>
    <col min="3077" max="3077" width="23.7109375" style="2" customWidth="1"/>
    <col min="3078" max="3082" width="19.5703125" style="2" customWidth="1"/>
    <col min="3083" max="3083" width="11.8554687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7109375" style="2" customWidth="1"/>
    <col min="3333" max="3333" width="23.7109375" style="2" customWidth="1"/>
    <col min="3334" max="3338" width="19.5703125" style="2" customWidth="1"/>
    <col min="3339" max="3339" width="11.8554687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7109375" style="2" customWidth="1"/>
    <col min="3589" max="3589" width="23.7109375" style="2" customWidth="1"/>
    <col min="3590" max="3594" width="19.5703125" style="2" customWidth="1"/>
    <col min="3595" max="3595" width="11.8554687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7109375" style="2" customWidth="1"/>
    <col min="3845" max="3845" width="23.7109375" style="2" customWidth="1"/>
    <col min="3846" max="3850" width="19.5703125" style="2" customWidth="1"/>
    <col min="3851" max="3851" width="11.8554687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7109375" style="2" customWidth="1"/>
    <col min="4101" max="4101" width="23.7109375" style="2" customWidth="1"/>
    <col min="4102" max="4106" width="19.5703125" style="2" customWidth="1"/>
    <col min="4107" max="4107" width="11.8554687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7109375" style="2" customWidth="1"/>
    <col min="4357" max="4357" width="23.7109375" style="2" customWidth="1"/>
    <col min="4358" max="4362" width="19.5703125" style="2" customWidth="1"/>
    <col min="4363" max="4363" width="11.8554687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7109375" style="2" customWidth="1"/>
    <col min="4613" max="4613" width="23.7109375" style="2" customWidth="1"/>
    <col min="4614" max="4618" width="19.5703125" style="2" customWidth="1"/>
    <col min="4619" max="4619" width="11.8554687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7109375" style="2" customWidth="1"/>
    <col min="4869" max="4869" width="23.7109375" style="2" customWidth="1"/>
    <col min="4870" max="4874" width="19.5703125" style="2" customWidth="1"/>
    <col min="4875" max="4875" width="11.8554687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7109375" style="2" customWidth="1"/>
    <col min="5125" max="5125" width="23.7109375" style="2" customWidth="1"/>
    <col min="5126" max="5130" width="19.5703125" style="2" customWidth="1"/>
    <col min="5131" max="5131" width="11.8554687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7109375" style="2" customWidth="1"/>
    <col min="5381" max="5381" width="23.7109375" style="2" customWidth="1"/>
    <col min="5382" max="5386" width="19.5703125" style="2" customWidth="1"/>
    <col min="5387" max="5387" width="11.8554687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7109375" style="2" customWidth="1"/>
    <col min="5637" max="5637" width="23.7109375" style="2" customWidth="1"/>
    <col min="5638" max="5642" width="19.5703125" style="2" customWidth="1"/>
    <col min="5643" max="5643" width="11.8554687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7109375" style="2" customWidth="1"/>
    <col min="5893" max="5893" width="23.7109375" style="2" customWidth="1"/>
    <col min="5894" max="5898" width="19.5703125" style="2" customWidth="1"/>
    <col min="5899" max="5899" width="11.8554687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7109375" style="2" customWidth="1"/>
    <col min="6149" max="6149" width="23.7109375" style="2" customWidth="1"/>
    <col min="6150" max="6154" width="19.5703125" style="2" customWidth="1"/>
    <col min="6155" max="6155" width="11.8554687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7109375" style="2" customWidth="1"/>
    <col min="6405" max="6405" width="23.7109375" style="2" customWidth="1"/>
    <col min="6406" max="6410" width="19.5703125" style="2" customWidth="1"/>
    <col min="6411" max="6411" width="11.8554687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7109375" style="2" customWidth="1"/>
    <col min="6661" max="6661" width="23.7109375" style="2" customWidth="1"/>
    <col min="6662" max="6666" width="19.5703125" style="2" customWidth="1"/>
    <col min="6667" max="6667" width="11.8554687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7109375" style="2" customWidth="1"/>
    <col min="6917" max="6917" width="23.7109375" style="2" customWidth="1"/>
    <col min="6918" max="6922" width="19.5703125" style="2" customWidth="1"/>
    <col min="6923" max="6923" width="11.8554687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7109375" style="2" customWidth="1"/>
    <col min="7173" max="7173" width="23.7109375" style="2" customWidth="1"/>
    <col min="7174" max="7178" width="19.5703125" style="2" customWidth="1"/>
    <col min="7179" max="7179" width="11.8554687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7109375" style="2" customWidth="1"/>
    <col min="7429" max="7429" width="23.7109375" style="2" customWidth="1"/>
    <col min="7430" max="7434" width="19.5703125" style="2" customWidth="1"/>
    <col min="7435" max="7435" width="11.8554687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7109375" style="2" customWidth="1"/>
    <col min="7685" max="7685" width="23.7109375" style="2" customWidth="1"/>
    <col min="7686" max="7690" width="19.5703125" style="2" customWidth="1"/>
    <col min="7691" max="7691" width="11.8554687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7109375" style="2" customWidth="1"/>
    <col min="7941" max="7941" width="23.7109375" style="2" customWidth="1"/>
    <col min="7942" max="7946" width="19.5703125" style="2" customWidth="1"/>
    <col min="7947" max="7947" width="11.8554687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7109375" style="2" customWidth="1"/>
    <col min="8197" max="8197" width="23.7109375" style="2" customWidth="1"/>
    <col min="8198" max="8202" width="19.5703125" style="2" customWidth="1"/>
    <col min="8203" max="8203" width="11.8554687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7109375" style="2" customWidth="1"/>
    <col min="8453" max="8453" width="23.7109375" style="2" customWidth="1"/>
    <col min="8454" max="8458" width="19.5703125" style="2" customWidth="1"/>
    <col min="8459" max="8459" width="11.8554687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7109375" style="2" customWidth="1"/>
    <col min="8709" max="8709" width="23.7109375" style="2" customWidth="1"/>
    <col min="8710" max="8714" width="19.5703125" style="2" customWidth="1"/>
    <col min="8715" max="8715" width="11.8554687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7109375" style="2" customWidth="1"/>
    <col min="8965" max="8965" width="23.7109375" style="2" customWidth="1"/>
    <col min="8966" max="8970" width="19.5703125" style="2" customWidth="1"/>
    <col min="8971" max="8971" width="11.8554687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7109375" style="2" customWidth="1"/>
    <col min="9221" max="9221" width="23.7109375" style="2" customWidth="1"/>
    <col min="9222" max="9226" width="19.5703125" style="2" customWidth="1"/>
    <col min="9227" max="9227" width="11.8554687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7109375" style="2" customWidth="1"/>
    <col min="9477" max="9477" width="23.7109375" style="2" customWidth="1"/>
    <col min="9478" max="9482" width="19.5703125" style="2" customWidth="1"/>
    <col min="9483" max="9483" width="11.8554687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7109375" style="2" customWidth="1"/>
    <col min="9733" max="9733" width="23.7109375" style="2" customWidth="1"/>
    <col min="9734" max="9738" width="19.5703125" style="2" customWidth="1"/>
    <col min="9739" max="9739" width="11.8554687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7109375" style="2" customWidth="1"/>
    <col min="9989" max="9989" width="23.7109375" style="2" customWidth="1"/>
    <col min="9990" max="9994" width="19.5703125" style="2" customWidth="1"/>
    <col min="9995" max="9995" width="11.8554687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7109375" style="2" customWidth="1"/>
    <col min="10245" max="10245" width="23.7109375" style="2" customWidth="1"/>
    <col min="10246" max="10250" width="19.5703125" style="2" customWidth="1"/>
    <col min="10251" max="10251" width="11.8554687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7109375" style="2" customWidth="1"/>
    <col min="10501" max="10501" width="23.7109375" style="2" customWidth="1"/>
    <col min="10502" max="10506" width="19.5703125" style="2" customWidth="1"/>
    <col min="10507" max="10507" width="11.8554687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7109375" style="2" customWidth="1"/>
    <col min="10757" max="10757" width="23.7109375" style="2" customWidth="1"/>
    <col min="10758" max="10762" width="19.5703125" style="2" customWidth="1"/>
    <col min="10763" max="10763" width="11.8554687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7109375" style="2" customWidth="1"/>
    <col min="11013" max="11013" width="23.7109375" style="2" customWidth="1"/>
    <col min="11014" max="11018" width="19.5703125" style="2" customWidth="1"/>
    <col min="11019" max="11019" width="11.8554687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7109375" style="2" customWidth="1"/>
    <col min="11269" max="11269" width="23.7109375" style="2" customWidth="1"/>
    <col min="11270" max="11274" width="19.5703125" style="2" customWidth="1"/>
    <col min="11275" max="11275" width="11.8554687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7109375" style="2" customWidth="1"/>
    <col min="11525" max="11525" width="23.7109375" style="2" customWidth="1"/>
    <col min="11526" max="11530" width="19.5703125" style="2" customWidth="1"/>
    <col min="11531" max="11531" width="11.8554687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7109375" style="2" customWidth="1"/>
    <col min="11781" max="11781" width="23.7109375" style="2" customWidth="1"/>
    <col min="11782" max="11786" width="19.5703125" style="2" customWidth="1"/>
    <col min="11787" max="11787" width="11.8554687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7109375" style="2" customWidth="1"/>
    <col min="12037" max="12037" width="23.7109375" style="2" customWidth="1"/>
    <col min="12038" max="12042" width="19.5703125" style="2" customWidth="1"/>
    <col min="12043" max="12043" width="11.8554687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7109375" style="2" customWidth="1"/>
    <col min="12293" max="12293" width="23.7109375" style="2" customWidth="1"/>
    <col min="12294" max="12298" width="19.5703125" style="2" customWidth="1"/>
    <col min="12299" max="12299" width="11.8554687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7109375" style="2" customWidth="1"/>
    <col min="12549" max="12549" width="23.7109375" style="2" customWidth="1"/>
    <col min="12550" max="12554" width="19.5703125" style="2" customWidth="1"/>
    <col min="12555" max="12555" width="11.8554687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7109375" style="2" customWidth="1"/>
    <col min="12805" max="12805" width="23.7109375" style="2" customWidth="1"/>
    <col min="12806" max="12810" width="19.5703125" style="2" customWidth="1"/>
    <col min="12811" max="12811" width="11.8554687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7109375" style="2" customWidth="1"/>
    <col min="13061" max="13061" width="23.7109375" style="2" customWidth="1"/>
    <col min="13062" max="13066" width="19.5703125" style="2" customWidth="1"/>
    <col min="13067" max="13067" width="11.8554687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7109375" style="2" customWidth="1"/>
    <col min="13317" max="13317" width="23.7109375" style="2" customWidth="1"/>
    <col min="13318" max="13322" width="19.5703125" style="2" customWidth="1"/>
    <col min="13323" max="13323" width="11.8554687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7109375" style="2" customWidth="1"/>
    <col min="13573" max="13573" width="23.7109375" style="2" customWidth="1"/>
    <col min="13574" max="13578" width="19.5703125" style="2" customWidth="1"/>
    <col min="13579" max="13579" width="11.8554687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7109375" style="2" customWidth="1"/>
    <col min="13829" max="13829" width="23.7109375" style="2" customWidth="1"/>
    <col min="13830" max="13834" width="19.5703125" style="2" customWidth="1"/>
    <col min="13835" max="13835" width="11.8554687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7109375" style="2" customWidth="1"/>
    <col min="14085" max="14085" width="23.7109375" style="2" customWidth="1"/>
    <col min="14086" max="14090" width="19.5703125" style="2" customWidth="1"/>
    <col min="14091" max="14091" width="11.8554687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7109375" style="2" customWidth="1"/>
    <col min="14341" max="14341" width="23.7109375" style="2" customWidth="1"/>
    <col min="14342" max="14346" width="19.5703125" style="2" customWidth="1"/>
    <col min="14347" max="14347" width="11.8554687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7109375" style="2" customWidth="1"/>
    <col min="14597" max="14597" width="23.7109375" style="2" customWidth="1"/>
    <col min="14598" max="14602" width="19.5703125" style="2" customWidth="1"/>
    <col min="14603" max="14603" width="11.8554687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7109375" style="2" customWidth="1"/>
    <col min="14853" max="14853" width="23.7109375" style="2" customWidth="1"/>
    <col min="14854" max="14858" width="19.5703125" style="2" customWidth="1"/>
    <col min="14859" max="14859" width="11.8554687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7109375" style="2" customWidth="1"/>
    <col min="15109" max="15109" width="23.7109375" style="2" customWidth="1"/>
    <col min="15110" max="15114" width="19.5703125" style="2" customWidth="1"/>
    <col min="15115" max="15115" width="11.8554687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7109375" style="2" customWidth="1"/>
    <col min="15365" max="15365" width="23.7109375" style="2" customWidth="1"/>
    <col min="15366" max="15370" width="19.5703125" style="2" customWidth="1"/>
    <col min="15371" max="15371" width="11.8554687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7109375" style="2" customWidth="1"/>
    <col min="15621" max="15621" width="23.7109375" style="2" customWidth="1"/>
    <col min="15622" max="15626" width="19.5703125" style="2" customWidth="1"/>
    <col min="15627" max="15627" width="11.8554687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7109375" style="2" customWidth="1"/>
    <col min="15877" max="15877" width="23.7109375" style="2" customWidth="1"/>
    <col min="15878" max="15882" width="19.5703125" style="2" customWidth="1"/>
    <col min="15883" max="15883" width="11.8554687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7109375" style="2" customWidth="1"/>
    <col min="16133" max="16133" width="23.7109375" style="2" customWidth="1"/>
    <col min="16134" max="16138" width="19.5703125" style="2" customWidth="1"/>
    <col min="16139" max="16139" width="11.8554687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44530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376000</v>
      </c>
      <c r="G10" s="34">
        <v>4515.76</v>
      </c>
      <c r="H10" s="34">
        <v>4.29</v>
      </c>
      <c r="I10" s="35"/>
      <c r="J10" s="36"/>
      <c r="K10" s="38"/>
      <c r="L10" s="38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1200000</v>
      </c>
      <c r="G11" s="34">
        <v>4122.6000000000004</v>
      </c>
      <c r="H11" s="34">
        <v>3.91</v>
      </c>
      <c r="I11" s="35"/>
      <c r="J11" s="36"/>
      <c r="K11" s="38"/>
      <c r="L11" s="38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1925466</v>
      </c>
      <c r="G12" s="34">
        <v>3923.14</v>
      </c>
      <c r="H12" s="34">
        <v>3.72</v>
      </c>
      <c r="I12" s="35"/>
      <c r="J12" s="36"/>
      <c r="K12" s="38"/>
      <c r="L12" s="38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350795</v>
      </c>
      <c r="G13" s="34">
        <v>3558.46</v>
      </c>
      <c r="H13" s="34">
        <v>3.38</v>
      </c>
      <c r="I13" s="35"/>
      <c r="J13" s="36"/>
      <c r="K13" s="38"/>
      <c r="L13" s="38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508000</v>
      </c>
      <c r="G14" s="34">
        <v>3403.35</v>
      </c>
      <c r="H14" s="34">
        <v>3.23</v>
      </c>
      <c r="I14" s="35"/>
      <c r="J14" s="36"/>
      <c r="K14" s="38"/>
      <c r="L14" s="38"/>
    </row>
    <row r="15" spans="1:53">
      <c r="B15" s="1" t="s">
        <v>35</v>
      </c>
      <c r="C15" s="21" t="s">
        <v>36</v>
      </c>
      <c r="D15" s="31" t="s">
        <v>37</v>
      </c>
      <c r="E15" s="32" t="s">
        <v>38</v>
      </c>
      <c r="F15" s="33">
        <v>3631000</v>
      </c>
      <c r="G15" s="34">
        <v>3151.71</v>
      </c>
      <c r="H15" s="34">
        <v>2.99</v>
      </c>
      <c r="I15" s="35"/>
      <c r="J15" s="36"/>
      <c r="K15" s="38"/>
      <c r="L15" s="38"/>
    </row>
    <row r="16" spans="1:5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120000</v>
      </c>
      <c r="G16" s="34">
        <v>2743.68</v>
      </c>
      <c r="H16" s="34">
        <v>2.6</v>
      </c>
      <c r="I16" s="35"/>
      <c r="J16" s="36"/>
      <c r="K16" s="38"/>
      <c r="L16" s="38"/>
    </row>
    <row r="17" spans="2:12">
      <c r="B17" s="1" t="s">
        <v>43</v>
      </c>
      <c r="C17" s="21" t="s">
        <v>44</v>
      </c>
      <c r="D17" s="31" t="s">
        <v>45</v>
      </c>
      <c r="E17" s="32" t="s">
        <v>46</v>
      </c>
      <c r="F17" s="33">
        <v>63000</v>
      </c>
      <c r="G17" s="34">
        <v>2726.99</v>
      </c>
      <c r="H17" s="34">
        <v>2.59</v>
      </c>
      <c r="I17" s="35"/>
      <c r="J17" s="36"/>
      <c r="K17" s="38"/>
      <c r="L17" s="38"/>
    </row>
    <row r="18" spans="2:12">
      <c r="B18" s="1" t="s">
        <v>47</v>
      </c>
      <c r="C18" s="21" t="s">
        <v>48</v>
      </c>
      <c r="D18" s="31" t="s">
        <v>49</v>
      </c>
      <c r="E18" s="32" t="s">
        <v>50</v>
      </c>
      <c r="F18" s="33">
        <v>118256</v>
      </c>
      <c r="G18" s="34">
        <v>2598.91</v>
      </c>
      <c r="H18" s="34">
        <v>2.4700000000000002</v>
      </c>
      <c r="I18" s="35"/>
      <c r="J18" s="36"/>
      <c r="K18" s="38"/>
      <c r="L18" s="38"/>
    </row>
    <row r="19" spans="2:12">
      <c r="B19" s="1" t="s">
        <v>51</v>
      </c>
      <c r="C19" s="21" t="s">
        <v>52</v>
      </c>
      <c r="D19" s="31" t="s">
        <v>53</v>
      </c>
      <c r="E19" s="32" t="s">
        <v>46</v>
      </c>
      <c r="F19" s="33">
        <v>88000</v>
      </c>
      <c r="G19" s="34">
        <v>2547.73</v>
      </c>
      <c r="H19" s="34">
        <v>2.42</v>
      </c>
      <c r="I19" s="35"/>
      <c r="J19" s="36"/>
      <c r="K19" s="38"/>
      <c r="L19" s="38"/>
    </row>
    <row r="20" spans="2:12">
      <c r="B20" s="1" t="s">
        <v>54</v>
      </c>
      <c r="C20" s="21" t="s">
        <v>55</v>
      </c>
      <c r="D20" s="31" t="s">
        <v>56</v>
      </c>
      <c r="E20" s="32" t="s">
        <v>57</v>
      </c>
      <c r="F20" s="33">
        <v>110000</v>
      </c>
      <c r="G20" s="34">
        <v>2488.1999999999998</v>
      </c>
      <c r="H20" s="34">
        <v>2.36</v>
      </c>
      <c r="I20" s="35"/>
      <c r="J20" s="36"/>
      <c r="K20" s="38"/>
      <c r="L20" s="38"/>
    </row>
    <row r="21" spans="2:12">
      <c r="B21" s="1" t="s">
        <v>58</v>
      </c>
      <c r="C21" s="21" t="s">
        <v>59</v>
      </c>
      <c r="D21" s="31" t="s">
        <v>60</v>
      </c>
      <c r="E21" s="32" t="s">
        <v>61</v>
      </c>
      <c r="F21" s="33">
        <v>41000</v>
      </c>
      <c r="G21" s="34">
        <v>2331.98</v>
      </c>
      <c r="H21" s="34">
        <v>2.21</v>
      </c>
      <c r="I21" s="35"/>
      <c r="J21" s="36"/>
      <c r="K21" s="38"/>
      <c r="L21" s="38"/>
    </row>
    <row r="22" spans="2:12">
      <c r="B22" s="1" t="s">
        <v>62</v>
      </c>
      <c r="C22" s="21" t="s">
        <v>63</v>
      </c>
      <c r="D22" s="31" t="s">
        <v>64</v>
      </c>
      <c r="E22" s="32" t="s">
        <v>34</v>
      </c>
      <c r="F22" s="33">
        <v>736725</v>
      </c>
      <c r="G22" s="34">
        <v>2308.16</v>
      </c>
      <c r="H22" s="34">
        <v>2.19</v>
      </c>
      <c r="I22" s="35"/>
      <c r="J22" s="36"/>
      <c r="K22" s="38"/>
      <c r="L22" s="38"/>
    </row>
    <row r="23" spans="2:12">
      <c r="B23" s="1" t="s">
        <v>65</v>
      </c>
      <c r="C23" s="21" t="s">
        <v>66</v>
      </c>
      <c r="D23" s="31" t="s">
        <v>67</v>
      </c>
      <c r="E23" s="32" t="s">
        <v>38</v>
      </c>
      <c r="F23" s="33">
        <v>1500000</v>
      </c>
      <c r="G23" s="34">
        <v>2142</v>
      </c>
      <c r="H23" s="34">
        <v>2.0299999999999998</v>
      </c>
      <c r="I23" s="35"/>
      <c r="J23" s="36"/>
      <c r="K23" s="38"/>
      <c r="L23" s="38"/>
    </row>
    <row r="24" spans="2:12">
      <c r="B24" s="1" t="s">
        <v>68</v>
      </c>
      <c r="C24" s="21" t="s">
        <v>69</v>
      </c>
      <c r="D24" s="31" t="s">
        <v>70</v>
      </c>
      <c r="E24" s="32" t="s">
        <v>71</v>
      </c>
      <c r="F24" s="33">
        <v>310001</v>
      </c>
      <c r="G24" s="34">
        <v>2128.16</v>
      </c>
      <c r="H24" s="34">
        <v>2.02</v>
      </c>
      <c r="I24" s="35"/>
      <c r="J24" s="36"/>
      <c r="K24" s="38"/>
      <c r="L24" s="38"/>
    </row>
    <row r="25" spans="2:12">
      <c r="B25" s="1" t="s">
        <v>72</v>
      </c>
      <c r="C25" s="21" t="s">
        <v>73</v>
      </c>
      <c r="D25" s="31" t="s">
        <v>74</v>
      </c>
      <c r="E25" s="32" t="s">
        <v>75</v>
      </c>
      <c r="F25" s="33">
        <v>58200</v>
      </c>
      <c r="G25" s="34">
        <v>2124.88</v>
      </c>
      <c r="H25" s="34">
        <v>2.02</v>
      </c>
      <c r="I25" s="35"/>
      <c r="J25" s="36"/>
      <c r="K25" s="38"/>
      <c r="L25" s="38"/>
    </row>
    <row r="26" spans="2:12">
      <c r="B26" s="1" t="s">
        <v>76</v>
      </c>
      <c r="C26" s="21" t="s">
        <v>77</v>
      </c>
      <c r="D26" s="31" t="s">
        <v>78</v>
      </c>
      <c r="E26" s="32" t="s">
        <v>79</v>
      </c>
      <c r="F26" s="33">
        <v>221100</v>
      </c>
      <c r="G26" s="34">
        <v>2119.58</v>
      </c>
      <c r="H26" s="34">
        <v>2.0099999999999998</v>
      </c>
      <c r="I26" s="35"/>
      <c r="J26" s="36"/>
      <c r="K26" s="38"/>
      <c r="L26" s="38"/>
    </row>
    <row r="27" spans="2:12">
      <c r="B27" s="1" t="s">
        <v>80</v>
      </c>
      <c r="C27" s="21" t="s">
        <v>81</v>
      </c>
      <c r="D27" s="31" t="s">
        <v>82</v>
      </c>
      <c r="E27" s="32" t="s">
        <v>18</v>
      </c>
      <c r="F27" s="33">
        <v>450000</v>
      </c>
      <c r="G27" s="34">
        <v>2017.13</v>
      </c>
      <c r="H27" s="34">
        <v>1.91</v>
      </c>
      <c r="I27" s="35"/>
      <c r="J27" s="36"/>
      <c r="K27" s="38"/>
      <c r="L27" s="38"/>
    </row>
    <row r="28" spans="2:12">
      <c r="B28" s="1" t="s">
        <v>83</v>
      </c>
      <c r="C28" s="21" t="s">
        <v>84</v>
      </c>
      <c r="D28" s="31" t="s">
        <v>85</v>
      </c>
      <c r="E28" s="32" t="s">
        <v>86</v>
      </c>
      <c r="F28" s="33">
        <v>120100</v>
      </c>
      <c r="G28" s="34">
        <v>2003.03</v>
      </c>
      <c r="H28" s="34">
        <v>1.9</v>
      </c>
      <c r="I28" s="35"/>
      <c r="J28" s="36"/>
      <c r="K28" s="38"/>
      <c r="L28" s="38"/>
    </row>
    <row r="29" spans="2:12">
      <c r="B29" s="1" t="s">
        <v>87</v>
      </c>
      <c r="C29" s="21" t="s">
        <v>88</v>
      </c>
      <c r="D29" s="31" t="s">
        <v>89</v>
      </c>
      <c r="E29" s="32" t="s">
        <v>90</v>
      </c>
      <c r="F29" s="33">
        <v>220000</v>
      </c>
      <c r="G29" s="34">
        <v>1918.95</v>
      </c>
      <c r="H29" s="34">
        <v>1.82</v>
      </c>
      <c r="I29" s="35"/>
      <c r="J29" s="36"/>
      <c r="K29" s="38"/>
      <c r="L29" s="38"/>
    </row>
    <row r="30" spans="2:12">
      <c r="B30" s="1" t="s">
        <v>91</v>
      </c>
      <c r="C30" s="21" t="s">
        <v>92</v>
      </c>
      <c r="D30" s="31" t="s">
        <v>93</v>
      </c>
      <c r="E30" s="32" t="s">
        <v>71</v>
      </c>
      <c r="F30" s="33">
        <v>1600000</v>
      </c>
      <c r="G30" s="34">
        <v>1915.2</v>
      </c>
      <c r="H30" s="34">
        <v>1.82</v>
      </c>
      <c r="I30" s="35"/>
      <c r="J30" s="36"/>
      <c r="K30" s="38"/>
      <c r="L30" s="38"/>
    </row>
    <row r="31" spans="2:12">
      <c r="B31" s="1" t="s">
        <v>94</v>
      </c>
      <c r="C31" s="21" t="s">
        <v>95</v>
      </c>
      <c r="D31" s="31" t="s">
        <v>96</v>
      </c>
      <c r="E31" s="32" t="s">
        <v>79</v>
      </c>
      <c r="F31" s="33">
        <v>243000</v>
      </c>
      <c r="G31" s="34">
        <v>1892</v>
      </c>
      <c r="H31" s="34">
        <v>1.8</v>
      </c>
      <c r="I31" s="35"/>
      <c r="J31" s="36"/>
      <c r="K31" s="38"/>
      <c r="L31" s="38"/>
    </row>
    <row r="32" spans="2:12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198901</v>
      </c>
      <c r="G32" s="34">
        <v>1870.17</v>
      </c>
      <c r="H32" s="34">
        <v>1.78</v>
      </c>
      <c r="I32" s="35"/>
      <c r="J32" s="36"/>
      <c r="K32" s="38"/>
      <c r="L32" s="38"/>
    </row>
    <row r="33" spans="2:12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86000</v>
      </c>
      <c r="G33" s="34">
        <v>1747.48</v>
      </c>
      <c r="H33" s="34">
        <v>1.66</v>
      </c>
      <c r="I33" s="35"/>
      <c r="J33" s="36"/>
      <c r="K33" s="38"/>
      <c r="L33" s="38"/>
    </row>
    <row r="34" spans="2:12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204000</v>
      </c>
      <c r="G34" s="34">
        <v>1698.81</v>
      </c>
      <c r="H34" s="34">
        <v>1.61</v>
      </c>
      <c r="I34" s="35"/>
      <c r="J34" s="36"/>
      <c r="K34" s="38"/>
      <c r="L34" s="38"/>
    </row>
    <row r="35" spans="2:12">
      <c r="B35" s="1" t="s">
        <v>109</v>
      </c>
      <c r="C35" s="21" t="s">
        <v>110</v>
      </c>
      <c r="D35" s="31" t="s">
        <v>111</v>
      </c>
      <c r="E35" s="32" t="s">
        <v>38</v>
      </c>
      <c r="F35" s="33">
        <v>1165000</v>
      </c>
      <c r="G35" s="34">
        <v>1685.76</v>
      </c>
      <c r="H35" s="34">
        <v>1.6</v>
      </c>
      <c r="I35" s="35"/>
      <c r="J35" s="36"/>
      <c r="K35" s="38"/>
      <c r="L35" s="38"/>
    </row>
    <row r="36" spans="2:12">
      <c r="B36" s="1" t="s">
        <v>112</v>
      </c>
      <c r="C36" s="21" t="s">
        <v>113</v>
      </c>
      <c r="D36" s="31" t="s">
        <v>114</v>
      </c>
      <c r="E36" s="32" t="s">
        <v>46</v>
      </c>
      <c r="F36" s="33">
        <v>40500</v>
      </c>
      <c r="G36" s="34">
        <v>1676.21</v>
      </c>
      <c r="H36" s="34">
        <v>1.59</v>
      </c>
      <c r="I36" s="35"/>
      <c r="J36" s="36"/>
      <c r="K36" s="38"/>
      <c r="L36" s="38"/>
    </row>
    <row r="37" spans="2:12">
      <c r="B37" s="1" t="s">
        <v>115</v>
      </c>
      <c r="C37" s="21" t="s">
        <v>116</v>
      </c>
      <c r="D37" s="31" t="s">
        <v>117</v>
      </c>
      <c r="E37" s="32" t="s">
        <v>86</v>
      </c>
      <c r="F37" s="33">
        <v>178660</v>
      </c>
      <c r="G37" s="34">
        <v>1564.44</v>
      </c>
      <c r="H37" s="34">
        <v>1.49</v>
      </c>
      <c r="I37" s="35"/>
      <c r="J37" s="36"/>
      <c r="K37" s="38"/>
      <c r="L37" s="38"/>
    </row>
    <row r="38" spans="2:12">
      <c r="B38" s="1" t="s">
        <v>118</v>
      </c>
      <c r="C38" s="21" t="s">
        <v>119</v>
      </c>
      <c r="D38" s="31" t="s">
        <v>120</v>
      </c>
      <c r="E38" s="32" t="s">
        <v>22</v>
      </c>
      <c r="F38" s="33">
        <v>69984</v>
      </c>
      <c r="G38" s="34">
        <v>1544.51</v>
      </c>
      <c r="H38" s="34">
        <v>1.47</v>
      </c>
      <c r="I38" s="35"/>
      <c r="J38" s="36"/>
      <c r="K38" s="38"/>
      <c r="L38" s="38"/>
    </row>
    <row r="39" spans="2:12">
      <c r="B39" s="1" t="s">
        <v>121</v>
      </c>
      <c r="C39" s="21" t="s">
        <v>122</v>
      </c>
      <c r="D39" s="31" t="s">
        <v>123</v>
      </c>
      <c r="E39" s="32" t="s">
        <v>38</v>
      </c>
      <c r="F39" s="33">
        <v>199556</v>
      </c>
      <c r="G39" s="34">
        <v>1425.53</v>
      </c>
      <c r="H39" s="34">
        <v>1.35</v>
      </c>
      <c r="I39" s="35"/>
      <c r="J39" s="36"/>
      <c r="K39" s="38"/>
      <c r="L39" s="38"/>
    </row>
    <row r="40" spans="2:12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17950</v>
      </c>
      <c r="G40" s="34">
        <v>1425.48</v>
      </c>
      <c r="H40" s="34">
        <v>1.35</v>
      </c>
      <c r="I40" s="35"/>
      <c r="J40" s="36"/>
      <c r="K40" s="38"/>
      <c r="L40" s="38"/>
    </row>
    <row r="41" spans="2:12">
      <c r="B41" s="1" t="s">
        <v>128</v>
      </c>
      <c r="C41" s="21" t="s">
        <v>129</v>
      </c>
      <c r="D41" s="31" t="s">
        <v>130</v>
      </c>
      <c r="E41" s="32" t="s">
        <v>57</v>
      </c>
      <c r="F41" s="33">
        <v>360000</v>
      </c>
      <c r="G41" s="34">
        <v>1339.56</v>
      </c>
      <c r="H41" s="34">
        <v>1.27</v>
      </c>
      <c r="I41" s="35"/>
      <c r="J41" s="36"/>
      <c r="K41" s="38"/>
      <c r="L41" s="38"/>
    </row>
    <row r="42" spans="2:12">
      <c r="B42" s="1" t="s">
        <v>131</v>
      </c>
      <c r="C42" s="21" t="s">
        <v>132</v>
      </c>
      <c r="D42" s="31" t="s">
        <v>133</v>
      </c>
      <c r="E42" s="32" t="s">
        <v>127</v>
      </c>
      <c r="F42" s="33">
        <v>37270</v>
      </c>
      <c r="G42" s="34">
        <v>1339.28</v>
      </c>
      <c r="H42" s="34">
        <v>1.27</v>
      </c>
      <c r="I42" s="35"/>
      <c r="J42" s="36"/>
      <c r="K42" s="38"/>
      <c r="L42" s="38"/>
    </row>
    <row r="43" spans="2:12">
      <c r="B43" s="1" t="s">
        <v>134</v>
      </c>
      <c r="C43" s="21" t="s">
        <v>135</v>
      </c>
      <c r="D43" s="31" t="s">
        <v>136</v>
      </c>
      <c r="E43" s="32" t="s">
        <v>79</v>
      </c>
      <c r="F43" s="33">
        <v>250000</v>
      </c>
      <c r="G43" s="34">
        <v>1312.25</v>
      </c>
      <c r="H43" s="34">
        <v>1.25</v>
      </c>
      <c r="I43" s="35"/>
      <c r="J43" s="36"/>
      <c r="K43" s="38"/>
      <c r="L43" s="38"/>
    </row>
    <row r="44" spans="2:12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73000</v>
      </c>
      <c r="G44" s="34">
        <v>1280.06</v>
      </c>
      <c r="H44" s="34">
        <v>1.22</v>
      </c>
      <c r="I44" s="35"/>
      <c r="J44" s="36"/>
      <c r="K44" s="38"/>
      <c r="L44" s="38"/>
    </row>
    <row r="45" spans="2:12">
      <c r="B45" s="1" t="s">
        <v>141</v>
      </c>
      <c r="C45" s="21" t="s">
        <v>142</v>
      </c>
      <c r="D45" s="31" t="s">
        <v>143</v>
      </c>
      <c r="E45" s="32" t="s">
        <v>127</v>
      </c>
      <c r="F45" s="33">
        <v>60140</v>
      </c>
      <c r="G45" s="34">
        <v>1263.06</v>
      </c>
      <c r="H45" s="34">
        <v>1.2</v>
      </c>
      <c r="I45" s="35"/>
      <c r="J45" s="36"/>
      <c r="K45" s="38"/>
      <c r="L45" s="38"/>
    </row>
    <row r="46" spans="2:12">
      <c r="B46" s="1" t="s">
        <v>144</v>
      </c>
      <c r="C46" s="21" t="s">
        <v>145</v>
      </c>
      <c r="D46" s="31" t="s">
        <v>146</v>
      </c>
      <c r="E46" s="32" t="s">
        <v>108</v>
      </c>
      <c r="F46" s="33">
        <v>240000</v>
      </c>
      <c r="G46" s="34">
        <v>1205.8800000000001</v>
      </c>
      <c r="H46" s="34">
        <v>1.1399999999999999</v>
      </c>
      <c r="I46" s="35"/>
      <c r="J46" s="36"/>
      <c r="K46" s="38"/>
      <c r="L46" s="38"/>
    </row>
    <row r="47" spans="2:12">
      <c r="B47" s="1" t="s">
        <v>147</v>
      </c>
      <c r="C47" s="21" t="s">
        <v>148</v>
      </c>
      <c r="D47" s="31" t="s">
        <v>149</v>
      </c>
      <c r="E47" s="32" t="s">
        <v>30</v>
      </c>
      <c r="F47" s="33">
        <v>30000</v>
      </c>
      <c r="G47" s="34">
        <v>1184.3</v>
      </c>
      <c r="H47" s="34">
        <v>1.1200000000000001</v>
      </c>
      <c r="I47" s="35"/>
      <c r="J47" s="36"/>
      <c r="K47" s="38"/>
      <c r="L47" s="38"/>
    </row>
    <row r="48" spans="2:12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3000</v>
      </c>
      <c r="G48" s="34">
        <v>1151.73</v>
      </c>
      <c r="H48" s="34">
        <v>1.0900000000000001</v>
      </c>
      <c r="I48" s="35"/>
      <c r="J48" s="36"/>
      <c r="K48" s="38"/>
      <c r="L48" s="38"/>
    </row>
    <row r="49" spans="2:12">
      <c r="B49" s="1" t="s">
        <v>154</v>
      </c>
      <c r="C49" s="21" t="s">
        <v>155</v>
      </c>
      <c r="D49" s="31" t="s">
        <v>156</v>
      </c>
      <c r="E49" s="32" t="s">
        <v>57</v>
      </c>
      <c r="F49" s="33">
        <v>185000</v>
      </c>
      <c r="G49" s="34">
        <v>1091.69</v>
      </c>
      <c r="H49" s="34">
        <v>1.04</v>
      </c>
      <c r="I49" s="35"/>
      <c r="J49" s="36"/>
      <c r="K49" s="38"/>
      <c r="L49" s="38"/>
    </row>
    <row r="50" spans="2:12">
      <c r="B50" s="1" t="s">
        <v>157</v>
      </c>
      <c r="C50" s="21" t="s">
        <v>158</v>
      </c>
      <c r="D50" s="31" t="s">
        <v>159</v>
      </c>
      <c r="E50" s="32" t="s">
        <v>108</v>
      </c>
      <c r="F50" s="33">
        <v>375000</v>
      </c>
      <c r="G50" s="34">
        <v>1054.5</v>
      </c>
      <c r="H50" s="34">
        <v>1</v>
      </c>
      <c r="I50" s="35"/>
      <c r="J50" s="36"/>
      <c r="K50" s="38"/>
      <c r="L50" s="38"/>
    </row>
    <row r="51" spans="2:12">
      <c r="B51" s="1" t="s">
        <v>160</v>
      </c>
      <c r="C51" s="21" t="s">
        <v>161</v>
      </c>
      <c r="D51" s="31" t="s">
        <v>162</v>
      </c>
      <c r="E51" s="32" t="s">
        <v>79</v>
      </c>
      <c r="F51" s="33">
        <v>200000</v>
      </c>
      <c r="G51" s="34">
        <v>1054.0999999999999</v>
      </c>
      <c r="H51" s="34">
        <v>1</v>
      </c>
      <c r="I51" s="35"/>
      <c r="J51" s="36"/>
      <c r="K51" s="38"/>
      <c r="L51" s="38"/>
    </row>
    <row r="52" spans="2:12">
      <c r="B52" s="1" t="s">
        <v>163</v>
      </c>
      <c r="C52" s="21" t="s">
        <v>164</v>
      </c>
      <c r="D52" s="31" t="s">
        <v>165</v>
      </c>
      <c r="E52" s="32" t="s">
        <v>38</v>
      </c>
      <c r="F52" s="33">
        <v>95000</v>
      </c>
      <c r="G52" s="34">
        <v>1041.3</v>
      </c>
      <c r="H52" s="34">
        <v>0.99</v>
      </c>
      <c r="I52" s="35"/>
      <c r="J52" s="36"/>
      <c r="K52" s="38"/>
      <c r="L52" s="38"/>
    </row>
    <row r="53" spans="2:12">
      <c r="B53" s="1" t="s">
        <v>166</v>
      </c>
      <c r="C53" s="21" t="s">
        <v>167</v>
      </c>
      <c r="D53" s="31" t="s">
        <v>168</v>
      </c>
      <c r="E53" s="32" t="s">
        <v>61</v>
      </c>
      <c r="F53" s="33">
        <v>31444</v>
      </c>
      <c r="G53" s="34">
        <v>1035.42</v>
      </c>
      <c r="H53" s="34">
        <v>0.98</v>
      </c>
      <c r="I53" s="35"/>
      <c r="J53" s="36"/>
      <c r="K53" s="38"/>
      <c r="L53" s="38"/>
    </row>
    <row r="54" spans="2:12">
      <c r="B54" s="1" t="s">
        <v>169</v>
      </c>
      <c r="C54" s="21" t="s">
        <v>170</v>
      </c>
      <c r="D54" s="31" t="s">
        <v>171</v>
      </c>
      <c r="E54" s="32" t="s">
        <v>42</v>
      </c>
      <c r="F54" s="33">
        <v>190000</v>
      </c>
      <c r="G54" s="34">
        <v>1009.57</v>
      </c>
      <c r="H54" s="34">
        <v>0.96</v>
      </c>
      <c r="I54" s="35"/>
      <c r="J54" s="36"/>
      <c r="K54" s="38"/>
      <c r="L54" s="38"/>
    </row>
    <row r="55" spans="2:12">
      <c r="B55" s="1" t="s">
        <v>172</v>
      </c>
      <c r="C55" s="21" t="s">
        <v>173</v>
      </c>
      <c r="D55" s="31" t="s">
        <v>174</v>
      </c>
      <c r="E55" s="32" t="s">
        <v>75</v>
      </c>
      <c r="F55" s="33">
        <v>550000</v>
      </c>
      <c r="G55" s="34">
        <v>991.65</v>
      </c>
      <c r="H55" s="34">
        <v>0.94</v>
      </c>
      <c r="I55" s="35"/>
      <c r="J55" s="36"/>
      <c r="K55" s="38"/>
      <c r="L55" s="38"/>
    </row>
    <row r="56" spans="2:12">
      <c r="B56" s="1" t="s">
        <v>175</v>
      </c>
      <c r="C56" s="21" t="s">
        <v>176</v>
      </c>
      <c r="D56" s="31" t="s">
        <v>177</v>
      </c>
      <c r="E56" s="32" t="s">
        <v>50</v>
      </c>
      <c r="F56" s="33">
        <v>140000</v>
      </c>
      <c r="G56" s="34">
        <v>971.11</v>
      </c>
      <c r="H56" s="34">
        <v>0.92</v>
      </c>
      <c r="I56" s="35"/>
      <c r="J56" s="36"/>
      <c r="K56" s="38"/>
      <c r="L56" s="38"/>
    </row>
    <row r="57" spans="2:12">
      <c r="B57" s="1" t="s">
        <v>178</v>
      </c>
      <c r="C57" s="21" t="s">
        <v>179</v>
      </c>
      <c r="D57" s="31" t="s">
        <v>180</v>
      </c>
      <c r="E57" s="32" t="s">
        <v>90</v>
      </c>
      <c r="F57" s="33">
        <v>10800</v>
      </c>
      <c r="G57" s="34">
        <v>940.23</v>
      </c>
      <c r="H57" s="34">
        <v>0.89</v>
      </c>
      <c r="I57" s="35"/>
      <c r="J57" s="36"/>
      <c r="K57" s="38"/>
      <c r="L57" s="38"/>
    </row>
    <row r="58" spans="2:12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68000</v>
      </c>
      <c r="G58" s="34">
        <v>932.69</v>
      </c>
      <c r="H58" s="34">
        <v>0.89</v>
      </c>
      <c r="I58" s="35"/>
      <c r="J58" s="36"/>
      <c r="K58" s="38"/>
      <c r="L58" s="38"/>
    </row>
    <row r="59" spans="2:12">
      <c r="B59" s="1" t="s">
        <v>185</v>
      </c>
      <c r="C59" s="21" t="s">
        <v>186</v>
      </c>
      <c r="D59" s="31" t="s">
        <v>187</v>
      </c>
      <c r="E59" s="32" t="s">
        <v>50</v>
      </c>
      <c r="F59" s="33">
        <v>46500</v>
      </c>
      <c r="G59" s="34">
        <v>882.41</v>
      </c>
      <c r="H59" s="34">
        <v>0.84</v>
      </c>
      <c r="I59" s="35"/>
      <c r="J59" s="36"/>
      <c r="K59" s="38"/>
      <c r="L59" s="38"/>
    </row>
    <row r="60" spans="2:12">
      <c r="B60" s="1" t="s">
        <v>188</v>
      </c>
      <c r="C60" s="21" t="s">
        <v>189</v>
      </c>
      <c r="D60" s="31" t="s">
        <v>190</v>
      </c>
      <c r="E60" s="32" t="s">
        <v>90</v>
      </c>
      <c r="F60" s="33">
        <v>380000</v>
      </c>
      <c r="G60" s="34">
        <v>856.52</v>
      </c>
      <c r="H60" s="34">
        <v>0.81</v>
      </c>
      <c r="I60" s="35"/>
      <c r="J60" s="36"/>
      <c r="K60" s="38"/>
      <c r="L60" s="38"/>
    </row>
    <row r="61" spans="2:12">
      <c r="B61" s="1" t="s">
        <v>191</v>
      </c>
      <c r="C61" s="21" t="s">
        <v>192</v>
      </c>
      <c r="D61" s="31" t="s">
        <v>193</v>
      </c>
      <c r="E61" s="32" t="s">
        <v>184</v>
      </c>
      <c r="F61" s="33">
        <v>173000</v>
      </c>
      <c r="G61" s="34">
        <v>692.43</v>
      </c>
      <c r="H61" s="34">
        <v>0.66</v>
      </c>
      <c r="I61" s="35"/>
      <c r="J61" s="36"/>
      <c r="K61" s="38"/>
      <c r="L61" s="38"/>
    </row>
    <row r="62" spans="2:12">
      <c r="B62" s="1" t="s">
        <v>194</v>
      </c>
      <c r="C62" s="21" t="s">
        <v>195</v>
      </c>
      <c r="D62" s="31" t="s">
        <v>196</v>
      </c>
      <c r="E62" s="32" t="s">
        <v>30</v>
      </c>
      <c r="F62" s="33">
        <v>75000</v>
      </c>
      <c r="G62" s="34">
        <v>689.33</v>
      </c>
      <c r="H62" s="34">
        <v>0.65</v>
      </c>
      <c r="I62" s="35"/>
      <c r="J62" s="36"/>
      <c r="K62" s="38"/>
      <c r="L62" s="38"/>
    </row>
    <row r="63" spans="2:12">
      <c r="B63" s="1" t="s">
        <v>197</v>
      </c>
      <c r="C63" s="21" t="s">
        <v>198</v>
      </c>
      <c r="D63" s="31" t="s">
        <v>199</v>
      </c>
      <c r="E63" s="32" t="s">
        <v>200</v>
      </c>
      <c r="F63" s="33">
        <v>405805</v>
      </c>
      <c r="G63" s="34">
        <v>686.01</v>
      </c>
      <c r="H63" s="34">
        <v>0.65</v>
      </c>
      <c r="I63" s="35"/>
      <c r="J63" s="36"/>
      <c r="K63" s="38"/>
      <c r="L63" s="38"/>
    </row>
    <row r="64" spans="2:12">
      <c r="B64" s="1" t="s">
        <v>201</v>
      </c>
      <c r="C64" s="21" t="s">
        <v>202</v>
      </c>
      <c r="D64" s="31" t="s">
        <v>203</v>
      </c>
      <c r="E64" s="32" t="s">
        <v>204</v>
      </c>
      <c r="F64" s="33">
        <v>56983</v>
      </c>
      <c r="G64" s="34">
        <v>363.01</v>
      </c>
      <c r="H64" s="34">
        <v>0.34</v>
      </c>
      <c r="I64" s="35"/>
      <c r="J64" s="36"/>
      <c r="K64" s="38"/>
      <c r="L64" s="38"/>
    </row>
    <row r="65" spans="1:255" customFormat="1" ht="15">
      <c r="A65" s="2"/>
      <c r="B65" s="1" t="s">
        <v>205</v>
      </c>
      <c r="C65" s="21" t="s">
        <v>173</v>
      </c>
      <c r="D65" s="31" t="s">
        <v>206</v>
      </c>
      <c r="E65" s="32" t="s">
        <v>75</v>
      </c>
      <c r="F65" s="39">
        <v>61111</v>
      </c>
      <c r="G65" s="40">
        <v>18.52</v>
      </c>
      <c r="H65" s="40">
        <v>0.02</v>
      </c>
      <c r="I65" s="41"/>
      <c r="J65" s="36" t="s">
        <v>207</v>
      </c>
      <c r="K65" s="38"/>
      <c r="L65" s="38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10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0"/>
      <c r="AV65" s="2"/>
      <c r="AW65" s="10"/>
      <c r="AX65" s="2"/>
      <c r="AY65" s="2"/>
      <c r="AZ65" s="2"/>
      <c r="BA65" s="10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</row>
    <row r="66" spans="1:255">
      <c r="C66" s="30" t="s">
        <v>208</v>
      </c>
      <c r="D66" s="31"/>
      <c r="E66" s="32"/>
      <c r="F66" s="33"/>
      <c r="G66" s="42">
        <f>SUM(G10:G65)</f>
        <v>97706.599999999991</v>
      </c>
      <c r="H66" s="42">
        <f>SUM(H10:H65)</f>
        <v>92.73</v>
      </c>
      <c r="I66" s="35"/>
      <c r="J66" s="36"/>
      <c r="K66" s="38"/>
      <c r="L66" s="38"/>
    </row>
    <row r="67" spans="1:255">
      <c r="C67" s="21"/>
      <c r="D67" s="31"/>
      <c r="E67" s="32"/>
      <c r="F67" s="33"/>
      <c r="G67" s="34"/>
      <c r="H67" s="34"/>
      <c r="I67" s="35"/>
      <c r="J67" s="36"/>
    </row>
    <row r="68" spans="1:255">
      <c r="C68" s="30" t="s">
        <v>209</v>
      </c>
      <c r="D68" s="31"/>
      <c r="E68" s="32"/>
      <c r="F68" s="33"/>
      <c r="G68" s="34" t="s">
        <v>210</v>
      </c>
      <c r="H68" s="34" t="s">
        <v>210</v>
      </c>
      <c r="I68" s="35"/>
      <c r="J68" s="36"/>
    </row>
    <row r="69" spans="1:255">
      <c r="C69" s="21"/>
      <c r="D69" s="31"/>
      <c r="E69" s="32"/>
      <c r="F69" s="33"/>
      <c r="G69" s="34"/>
      <c r="H69" s="34"/>
      <c r="I69" s="35"/>
      <c r="J69" s="36"/>
    </row>
    <row r="70" spans="1:255">
      <c r="C70" s="30" t="s">
        <v>211</v>
      </c>
      <c r="D70" s="31"/>
      <c r="E70" s="32"/>
      <c r="F70" s="33"/>
      <c r="G70" s="34" t="s">
        <v>210</v>
      </c>
      <c r="H70" s="34" t="s">
        <v>210</v>
      </c>
      <c r="I70" s="35"/>
      <c r="J70" s="36"/>
    </row>
    <row r="71" spans="1:255">
      <c r="C71" s="21"/>
      <c r="D71" s="31"/>
      <c r="E71" s="32"/>
      <c r="F71" s="33"/>
      <c r="G71" s="34"/>
      <c r="H71" s="34"/>
      <c r="I71" s="35"/>
      <c r="J71" s="36"/>
    </row>
    <row r="72" spans="1:255">
      <c r="C72" s="30" t="s">
        <v>212</v>
      </c>
      <c r="D72" s="31"/>
      <c r="E72" s="32"/>
      <c r="F72" s="33"/>
      <c r="G72" s="34"/>
      <c r="H72" s="34"/>
      <c r="I72" s="35"/>
      <c r="J72" s="36"/>
    </row>
    <row r="73" spans="1:255">
      <c r="C73" s="21"/>
      <c r="D73" s="31"/>
      <c r="E73" s="32"/>
      <c r="F73" s="33"/>
      <c r="G73" s="34"/>
      <c r="H73" s="34"/>
      <c r="I73" s="35"/>
      <c r="J73" s="36"/>
    </row>
    <row r="74" spans="1:255">
      <c r="C74" s="30" t="s">
        <v>213</v>
      </c>
      <c r="D74" s="31"/>
      <c r="E74" s="32"/>
      <c r="F74" s="33"/>
      <c r="G74" s="34" t="s">
        <v>210</v>
      </c>
      <c r="H74" s="34" t="s">
        <v>210</v>
      </c>
      <c r="I74" s="35"/>
      <c r="J74" s="36"/>
    </row>
    <row r="75" spans="1:255">
      <c r="C75" s="21"/>
      <c r="D75" s="31"/>
      <c r="E75" s="32"/>
      <c r="F75" s="33"/>
      <c r="G75" s="34"/>
      <c r="H75" s="34"/>
      <c r="I75" s="35"/>
      <c r="J75" s="36"/>
    </row>
    <row r="76" spans="1:255">
      <c r="C76" s="30" t="s">
        <v>214</v>
      </c>
      <c r="D76" s="31"/>
      <c r="E76" s="32"/>
      <c r="F76" s="33"/>
      <c r="G76" s="34" t="s">
        <v>210</v>
      </c>
      <c r="H76" s="34" t="s">
        <v>210</v>
      </c>
      <c r="I76" s="35"/>
      <c r="J76" s="36"/>
    </row>
    <row r="77" spans="1:255">
      <c r="C77" s="21"/>
      <c r="D77" s="31"/>
      <c r="E77" s="32"/>
      <c r="F77" s="33"/>
      <c r="G77" s="34"/>
      <c r="H77" s="34"/>
      <c r="I77" s="35"/>
      <c r="J77" s="36"/>
    </row>
    <row r="78" spans="1:255">
      <c r="C78" s="30" t="s">
        <v>215</v>
      </c>
      <c r="D78" s="31"/>
      <c r="E78" s="32"/>
      <c r="F78" s="33"/>
      <c r="G78" s="34" t="s">
        <v>210</v>
      </c>
      <c r="H78" s="34" t="s">
        <v>210</v>
      </c>
      <c r="I78" s="35"/>
      <c r="J78" s="36"/>
    </row>
    <row r="79" spans="1:255">
      <c r="C79" s="21"/>
      <c r="D79" s="31"/>
      <c r="E79" s="32"/>
      <c r="F79" s="33"/>
      <c r="G79" s="34"/>
      <c r="H79" s="34"/>
      <c r="I79" s="35"/>
      <c r="J79" s="36"/>
    </row>
    <row r="80" spans="1:255">
      <c r="C80" s="30" t="s">
        <v>216</v>
      </c>
      <c r="D80" s="31"/>
      <c r="E80" s="32"/>
      <c r="F80" s="33"/>
      <c r="G80" s="34" t="s">
        <v>210</v>
      </c>
      <c r="H80" s="34" t="s">
        <v>210</v>
      </c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217</v>
      </c>
      <c r="D82" s="31"/>
      <c r="E82" s="32"/>
      <c r="F82" s="33"/>
      <c r="G82" s="34" t="s">
        <v>210</v>
      </c>
      <c r="H82" s="34" t="s">
        <v>210</v>
      </c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218</v>
      </c>
      <c r="D84" s="31"/>
      <c r="E84" s="32"/>
      <c r="F84" s="33"/>
      <c r="G84" s="34"/>
      <c r="H84" s="34"/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C86" s="30" t="s">
        <v>219</v>
      </c>
      <c r="D86" s="31"/>
      <c r="E86" s="32"/>
      <c r="F86" s="33"/>
      <c r="G86" s="34" t="s">
        <v>210</v>
      </c>
      <c r="H86" s="34" t="s">
        <v>210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C88" s="30" t="s">
        <v>220</v>
      </c>
      <c r="D88" s="31"/>
      <c r="E88" s="32"/>
      <c r="F88" s="33"/>
      <c r="G88" s="34" t="s">
        <v>210</v>
      </c>
      <c r="H88" s="34" t="s">
        <v>210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C90" s="30" t="s">
        <v>221</v>
      </c>
      <c r="D90" s="31"/>
      <c r="E90" s="32"/>
      <c r="F90" s="33"/>
      <c r="G90" s="34" t="s">
        <v>210</v>
      </c>
      <c r="H90" s="34" t="s">
        <v>210</v>
      </c>
      <c r="I90" s="35"/>
      <c r="J90" s="36"/>
    </row>
    <row r="91" spans="1:10">
      <c r="C91" s="21"/>
      <c r="D91" s="31"/>
      <c r="E91" s="32"/>
      <c r="F91" s="33"/>
      <c r="G91" s="34"/>
      <c r="H91" s="34"/>
      <c r="I91" s="35"/>
      <c r="J91" s="36"/>
    </row>
    <row r="92" spans="1:10">
      <c r="C92" s="30" t="s">
        <v>222</v>
      </c>
      <c r="D92" s="31"/>
      <c r="E92" s="32"/>
      <c r="F92" s="33"/>
      <c r="G92" s="34" t="s">
        <v>210</v>
      </c>
      <c r="H92" s="34" t="s">
        <v>210</v>
      </c>
      <c r="I92" s="35"/>
      <c r="J92" s="36"/>
    </row>
    <row r="93" spans="1:10">
      <c r="C93" s="21"/>
      <c r="D93" s="31"/>
      <c r="E93" s="32"/>
      <c r="F93" s="33"/>
      <c r="G93" s="34"/>
      <c r="H93" s="34"/>
      <c r="I93" s="35"/>
      <c r="J93" s="36"/>
    </row>
    <row r="94" spans="1:10">
      <c r="A94" s="28"/>
      <c r="B94" s="29"/>
      <c r="C94" s="30" t="s">
        <v>223</v>
      </c>
      <c r="D94" s="31"/>
      <c r="E94" s="32"/>
      <c r="F94" s="33"/>
      <c r="G94" s="34"/>
      <c r="H94" s="34"/>
      <c r="I94" s="35"/>
      <c r="J94" s="36"/>
    </row>
    <row r="95" spans="1:10">
      <c r="A95" s="29"/>
      <c r="B95" s="29"/>
      <c r="C95" s="30" t="s">
        <v>224</v>
      </c>
      <c r="D95" s="31"/>
      <c r="E95" s="32"/>
      <c r="F95" s="33"/>
      <c r="G95" s="34" t="s">
        <v>210</v>
      </c>
      <c r="H95" s="34" t="s">
        <v>210</v>
      </c>
      <c r="I95" s="35"/>
      <c r="J95" s="36"/>
    </row>
    <row r="96" spans="1:10">
      <c r="A96" s="29"/>
      <c r="B96" s="29"/>
      <c r="C96" s="30"/>
      <c r="D96" s="31"/>
      <c r="E96" s="32"/>
      <c r="F96" s="33"/>
      <c r="G96" s="34"/>
      <c r="H96" s="34"/>
      <c r="I96" s="35"/>
      <c r="J96" s="36"/>
    </row>
    <row r="97" spans="1:10">
      <c r="A97" s="29"/>
      <c r="B97" s="29"/>
      <c r="C97" s="30" t="s">
        <v>225</v>
      </c>
      <c r="D97" s="31"/>
      <c r="E97" s="32"/>
      <c r="F97" s="33"/>
      <c r="G97" s="34" t="s">
        <v>210</v>
      </c>
      <c r="H97" s="34" t="s">
        <v>210</v>
      </c>
      <c r="I97" s="35"/>
      <c r="J97" s="36"/>
    </row>
    <row r="98" spans="1:10">
      <c r="A98" s="29"/>
      <c r="B98" s="29"/>
      <c r="C98" s="30"/>
      <c r="D98" s="31"/>
      <c r="E98" s="32"/>
      <c r="F98" s="33"/>
      <c r="G98" s="34"/>
      <c r="H98" s="34"/>
      <c r="I98" s="35"/>
      <c r="J98" s="36"/>
    </row>
    <row r="99" spans="1:10">
      <c r="A99" s="29"/>
      <c r="B99" s="29"/>
      <c r="C99" s="30" t="s">
        <v>226</v>
      </c>
      <c r="D99" s="31"/>
      <c r="E99" s="32"/>
      <c r="F99" s="33"/>
      <c r="G99" s="34" t="s">
        <v>210</v>
      </c>
      <c r="H99" s="34" t="s">
        <v>210</v>
      </c>
      <c r="I99" s="35"/>
      <c r="J99" s="36"/>
    </row>
    <row r="100" spans="1:10">
      <c r="A100" s="29"/>
      <c r="B100" s="29"/>
      <c r="C100" s="30"/>
      <c r="D100" s="31"/>
      <c r="E100" s="32"/>
      <c r="F100" s="33"/>
      <c r="G100" s="34"/>
      <c r="H100" s="34"/>
      <c r="I100" s="35"/>
      <c r="J100" s="36"/>
    </row>
    <row r="101" spans="1:10">
      <c r="A101" s="29"/>
      <c r="B101" s="29"/>
      <c r="C101" s="30" t="s">
        <v>227</v>
      </c>
      <c r="D101" s="31"/>
      <c r="E101" s="32"/>
      <c r="F101" s="33"/>
      <c r="G101" s="34" t="s">
        <v>210</v>
      </c>
      <c r="H101" s="34" t="s">
        <v>210</v>
      </c>
      <c r="I101" s="35"/>
      <c r="J101" s="36"/>
    </row>
    <row r="102" spans="1:10">
      <c r="A102" s="29"/>
      <c r="B102" s="29"/>
      <c r="C102" s="30"/>
      <c r="D102" s="31"/>
      <c r="E102" s="32"/>
      <c r="F102" s="33"/>
      <c r="G102" s="34"/>
      <c r="H102" s="34"/>
      <c r="I102" s="35"/>
      <c r="J102" s="36"/>
    </row>
    <row r="103" spans="1:10">
      <c r="C103" s="37" t="s">
        <v>228</v>
      </c>
      <c r="D103" s="31"/>
      <c r="E103" s="32"/>
      <c r="F103" s="33"/>
      <c r="G103" s="34"/>
      <c r="H103" s="34"/>
      <c r="I103" s="35"/>
      <c r="J103" s="36"/>
    </row>
    <row r="104" spans="1:10">
      <c r="B104" s="1" t="s">
        <v>229</v>
      </c>
      <c r="C104" s="21" t="s">
        <v>230</v>
      </c>
      <c r="D104" s="31"/>
      <c r="E104" s="32"/>
      <c r="F104" s="33"/>
      <c r="G104" s="34">
        <v>8070.63</v>
      </c>
      <c r="H104" s="34">
        <v>7.66</v>
      </c>
      <c r="I104" s="35">
        <v>3.31</v>
      </c>
      <c r="J104" s="36"/>
    </row>
    <row r="105" spans="1:10">
      <c r="C105" s="30" t="s">
        <v>208</v>
      </c>
      <c r="D105" s="31"/>
      <c r="E105" s="32"/>
      <c r="F105" s="33"/>
      <c r="G105" s="42">
        <v>8070.63</v>
      </c>
      <c r="H105" s="42">
        <v>7.66</v>
      </c>
      <c r="I105" s="35"/>
      <c r="J105" s="36"/>
    </row>
    <row r="106" spans="1:10">
      <c r="C106" s="21"/>
      <c r="D106" s="31"/>
      <c r="E106" s="32"/>
      <c r="F106" s="33"/>
      <c r="G106" s="34"/>
      <c r="H106" s="34"/>
      <c r="I106" s="35"/>
      <c r="J106" s="36"/>
    </row>
    <row r="107" spans="1:10">
      <c r="A107" s="28"/>
      <c r="B107" s="29"/>
      <c r="C107" s="30" t="s">
        <v>231</v>
      </c>
      <c r="D107" s="31"/>
      <c r="E107" s="32"/>
      <c r="F107" s="33"/>
      <c r="G107" s="34"/>
      <c r="H107" s="34"/>
      <c r="I107" s="35"/>
      <c r="J107" s="36"/>
    </row>
    <row r="108" spans="1:10">
      <c r="B108" s="1"/>
      <c r="C108" s="21" t="s">
        <v>232</v>
      </c>
      <c r="D108" s="31"/>
      <c r="E108" s="32"/>
      <c r="F108" s="33"/>
      <c r="G108" s="34">
        <v>-430.71</v>
      </c>
      <c r="H108" s="34">
        <f>-0.41+0.02</f>
        <v>-0.38999999999999996</v>
      </c>
      <c r="I108" s="35"/>
      <c r="J108" s="36"/>
    </row>
    <row r="109" spans="1:10">
      <c r="C109" s="30" t="s">
        <v>208</v>
      </c>
      <c r="D109" s="31"/>
      <c r="E109" s="32"/>
      <c r="F109" s="33"/>
      <c r="G109" s="42">
        <v>-430.71</v>
      </c>
      <c r="H109" s="42">
        <f>+H108</f>
        <v>-0.38999999999999996</v>
      </c>
      <c r="I109" s="35"/>
      <c r="J109" s="36"/>
    </row>
    <row r="110" spans="1:10">
      <c r="C110" s="21"/>
      <c r="D110" s="31"/>
      <c r="E110" s="32"/>
      <c r="F110" s="33"/>
      <c r="G110" s="34"/>
      <c r="H110" s="34"/>
      <c r="I110" s="35"/>
      <c r="J110" s="36"/>
    </row>
    <row r="111" spans="1:10" ht="13.5" thickBot="1">
      <c r="C111" s="43" t="s">
        <v>233</v>
      </c>
      <c r="D111" s="44"/>
      <c r="E111" s="45"/>
      <c r="F111" s="46"/>
      <c r="G111" s="47">
        <v>105346.52</v>
      </c>
      <c r="H111" s="47">
        <v>100</v>
      </c>
      <c r="I111" s="48"/>
      <c r="J111" s="49"/>
    </row>
    <row r="114" spans="3:39">
      <c r="C114" s="11" t="s">
        <v>234</v>
      </c>
    </row>
    <row r="115" spans="3:39" s="54" customFormat="1" ht="13.5">
      <c r="C115" s="50" t="s">
        <v>235</v>
      </c>
      <c r="D115" s="50"/>
      <c r="E115" s="50"/>
      <c r="F115" s="50"/>
      <c r="G115" s="51"/>
      <c r="H115" s="51"/>
      <c r="I115" s="52"/>
      <c r="J115" s="53"/>
      <c r="T115" s="53"/>
      <c r="AG115" s="53"/>
      <c r="AI115" s="53"/>
      <c r="AM115" s="53"/>
    </row>
    <row r="116" spans="3:39" s="54" customFormat="1" ht="13.5">
      <c r="C116" s="50" t="s">
        <v>236</v>
      </c>
      <c r="D116" s="50"/>
      <c r="E116" s="50"/>
      <c r="F116" s="50"/>
      <c r="G116" s="51"/>
      <c r="H116" s="51"/>
      <c r="I116" s="52"/>
      <c r="J116" s="53"/>
      <c r="T116" s="53"/>
      <c r="AG116" s="53"/>
      <c r="AI116" s="53"/>
      <c r="AM116" s="53"/>
    </row>
    <row r="117" spans="3:39" s="54" customFormat="1" ht="13.5">
      <c r="C117" s="50" t="s">
        <v>237</v>
      </c>
      <c r="D117" s="50"/>
      <c r="E117" s="50"/>
      <c r="F117" s="50"/>
      <c r="G117" s="51"/>
      <c r="H117" s="51"/>
      <c r="I117" s="52"/>
      <c r="J117" s="53"/>
      <c r="T117" s="53"/>
      <c r="AG117" s="53"/>
      <c r="AI117" s="53"/>
      <c r="AM117" s="53"/>
    </row>
    <row r="118" spans="3:39" s="54" customFormat="1" ht="13.5">
      <c r="C118" s="50" t="s">
        <v>238</v>
      </c>
      <c r="D118" s="50"/>
      <c r="E118" s="50"/>
      <c r="F118" s="50"/>
      <c r="G118" s="51"/>
      <c r="H118" s="51"/>
      <c r="I118" s="52"/>
      <c r="J118" s="53"/>
      <c r="T118" s="53"/>
      <c r="AG118" s="53"/>
      <c r="AI118" s="53"/>
      <c r="AM118" s="53"/>
    </row>
    <row r="119" spans="3:39" s="54" customFormat="1" ht="13.5">
      <c r="C119" s="50" t="s">
        <v>239</v>
      </c>
      <c r="D119" s="50"/>
      <c r="E119" s="50"/>
      <c r="F119" s="50"/>
      <c r="G119" s="51"/>
      <c r="H119" s="51"/>
      <c r="I119" s="52"/>
      <c r="J119" s="53"/>
      <c r="T119" s="53"/>
      <c r="AG119" s="53"/>
      <c r="AI119" s="53"/>
      <c r="AM119" s="53"/>
    </row>
    <row r="120" spans="3:39" s="54" customFormat="1" ht="13.5">
      <c r="C120" s="50" t="s">
        <v>240</v>
      </c>
      <c r="D120" s="50"/>
      <c r="E120" s="50"/>
      <c r="F120" s="50"/>
      <c r="G120" s="51"/>
      <c r="H120" s="51"/>
      <c r="I120" s="52"/>
      <c r="J120" s="53"/>
      <c r="T120" s="53"/>
      <c r="AG120" s="53"/>
      <c r="AI120" s="53"/>
      <c r="AM120" s="53"/>
    </row>
    <row r="121" spans="3:39" s="54" customFormat="1" ht="13.5">
      <c r="C121" s="50" t="s">
        <v>241</v>
      </c>
      <c r="D121" s="50"/>
      <c r="E121" s="50"/>
      <c r="F121" s="50"/>
      <c r="G121" s="51"/>
      <c r="H121" s="51"/>
      <c r="I121" s="52"/>
      <c r="J121" s="53"/>
      <c r="T121" s="53"/>
      <c r="AG121" s="53"/>
      <c r="AI121" s="53"/>
      <c r="AM121" s="53"/>
    </row>
    <row r="122" spans="3:39" s="54" customFormat="1" ht="13.5">
      <c r="C122" s="55" t="s">
        <v>242</v>
      </c>
      <c r="D122" s="55"/>
      <c r="E122" s="56" t="s">
        <v>243</v>
      </c>
      <c r="F122" s="56" t="s">
        <v>244</v>
      </c>
      <c r="G122" s="51"/>
      <c r="H122" s="51"/>
      <c r="I122" s="52"/>
      <c r="J122" s="53"/>
      <c r="T122" s="53"/>
      <c r="AG122" s="53"/>
      <c r="AI122" s="53"/>
      <c r="AM122" s="53"/>
    </row>
    <row r="123" spans="3:39" s="54" customFormat="1" ht="13.5">
      <c r="C123" s="54" t="s">
        <v>245</v>
      </c>
      <c r="D123" s="50"/>
      <c r="E123" s="57">
        <v>46.527000000000001</v>
      </c>
      <c r="F123" s="57">
        <v>45.006999999999998</v>
      </c>
      <c r="G123" s="51"/>
      <c r="H123" s="51"/>
      <c r="I123" s="52"/>
      <c r="J123" s="53"/>
      <c r="T123" s="53"/>
      <c r="AG123" s="53"/>
      <c r="AI123" s="53"/>
      <c r="AM123" s="53"/>
    </row>
    <row r="124" spans="3:39" s="54" customFormat="1" ht="13.5">
      <c r="C124" s="54" t="s">
        <v>246</v>
      </c>
      <c r="D124" s="50"/>
      <c r="E124" s="57">
        <v>58.87</v>
      </c>
      <c r="F124" s="57">
        <v>56.945999999999998</v>
      </c>
      <c r="G124" s="51"/>
      <c r="H124" s="51"/>
      <c r="I124" s="52"/>
      <c r="J124" s="53"/>
      <c r="T124" s="53"/>
      <c r="AG124" s="53"/>
      <c r="AI124" s="53"/>
      <c r="AM124" s="53"/>
    </row>
    <row r="125" spans="3:39" s="54" customFormat="1" ht="13.5">
      <c r="C125" s="54" t="s">
        <v>247</v>
      </c>
      <c r="D125" s="50"/>
      <c r="E125" s="57">
        <v>55.624000000000002</v>
      </c>
      <c r="F125" s="57">
        <v>53.878</v>
      </c>
      <c r="G125" s="51"/>
      <c r="H125" s="51"/>
      <c r="I125" s="52"/>
      <c r="J125" s="53"/>
      <c r="T125" s="53"/>
      <c r="AG125" s="53"/>
      <c r="AI125" s="53"/>
      <c r="AM125" s="53"/>
    </row>
    <row r="126" spans="3:39" s="54" customFormat="1" ht="13.5">
      <c r="C126" s="54" t="s">
        <v>248</v>
      </c>
      <c r="D126" s="50"/>
      <c r="E126" s="57">
        <v>66.284000000000006</v>
      </c>
      <c r="F126" s="57">
        <v>64.203999999999994</v>
      </c>
      <c r="G126" s="51"/>
      <c r="H126" s="51"/>
      <c r="I126" s="52"/>
      <c r="J126" s="53"/>
      <c r="T126" s="53"/>
      <c r="AG126" s="53"/>
      <c r="AI126" s="53"/>
      <c r="AM126" s="53"/>
    </row>
    <row r="127" spans="3:39" s="54" customFormat="1" ht="13.5">
      <c r="C127" s="50"/>
      <c r="D127" s="50"/>
      <c r="E127" s="50"/>
      <c r="F127" s="50"/>
      <c r="G127" s="51"/>
      <c r="H127" s="51"/>
      <c r="I127" s="52"/>
      <c r="J127" s="53"/>
      <c r="T127" s="53"/>
      <c r="AG127" s="53"/>
      <c r="AI127" s="53"/>
      <c r="AM127" s="53"/>
    </row>
    <row r="128" spans="3:39" s="54" customFormat="1" ht="13.5">
      <c r="C128" s="54" t="s">
        <v>249</v>
      </c>
      <c r="G128" s="58"/>
      <c r="H128" s="58"/>
      <c r="I128" s="59"/>
      <c r="J128" s="53"/>
      <c r="T128" s="53"/>
      <c r="AG128" s="53"/>
      <c r="AI128" s="53"/>
      <c r="AM128" s="53"/>
    </row>
    <row r="129" spans="3:53" s="54" customFormat="1" ht="13.5">
      <c r="C129" s="54" t="s">
        <v>250</v>
      </c>
      <c r="G129" s="58"/>
      <c r="H129" s="51"/>
      <c r="I129" s="52"/>
      <c r="J129" s="53"/>
      <c r="S129" s="53"/>
      <c r="AF129" s="53"/>
      <c r="AH129" s="53"/>
      <c r="AL129" s="53"/>
    </row>
    <row r="130" spans="3:53" s="54" customFormat="1" ht="13.5">
      <c r="C130" s="50" t="s">
        <v>251</v>
      </c>
      <c r="D130" s="50"/>
      <c r="E130" s="50"/>
      <c r="F130" s="50"/>
      <c r="G130" s="51"/>
      <c r="H130" s="51"/>
      <c r="I130" s="52"/>
      <c r="J130" s="53"/>
      <c r="T130" s="53"/>
      <c r="AG130" s="53"/>
      <c r="AI130" s="53"/>
      <c r="AM130" s="53"/>
    </row>
    <row r="131" spans="3:53" s="54" customFormat="1" ht="13.5">
      <c r="C131" s="54" t="s">
        <v>252</v>
      </c>
      <c r="G131" s="58"/>
      <c r="H131" s="58"/>
      <c r="I131" s="59"/>
      <c r="J131" s="53"/>
      <c r="T131" s="53"/>
      <c r="AG131" s="53"/>
      <c r="AI131" s="53"/>
      <c r="AM131" s="53"/>
    </row>
    <row r="132" spans="3:53" s="54" customFormat="1" ht="13.5">
      <c r="C132" s="54" t="s">
        <v>253</v>
      </c>
      <c r="G132" s="58"/>
      <c r="H132" s="58"/>
      <c r="I132" s="59"/>
      <c r="J132" s="53"/>
      <c r="T132" s="53"/>
      <c r="AG132" s="53"/>
      <c r="AI132" s="53"/>
      <c r="AM132" s="53"/>
    </row>
    <row r="133" spans="3:53" s="54" customFormat="1" ht="13.5">
      <c r="C133" s="50" t="s">
        <v>254</v>
      </c>
      <c r="D133" s="50"/>
      <c r="E133" s="50"/>
      <c r="F133" s="50"/>
      <c r="G133" s="51"/>
      <c r="H133" s="51"/>
      <c r="I133" s="52"/>
      <c r="J133" s="53"/>
      <c r="T133" s="53"/>
      <c r="AG133" s="53"/>
      <c r="AI133" s="53"/>
      <c r="AM133" s="53"/>
    </row>
    <row r="134" spans="3:53" s="54" customFormat="1" ht="13.5">
      <c r="C134" s="50" t="s">
        <v>255</v>
      </c>
      <c r="D134" s="50"/>
      <c r="E134" s="50"/>
      <c r="F134" s="50"/>
      <c r="G134" s="51"/>
      <c r="H134" s="51"/>
      <c r="I134" s="52"/>
      <c r="J134" s="53"/>
      <c r="T134" s="53"/>
      <c r="AG134" s="53"/>
      <c r="AI134" s="53"/>
      <c r="AM134" s="53"/>
    </row>
    <row r="135" spans="3:53" s="54" customFormat="1" ht="13.5">
      <c r="C135" s="60" t="s">
        <v>256</v>
      </c>
      <c r="D135" s="50"/>
      <c r="E135" s="50"/>
      <c r="F135" s="50"/>
      <c r="G135" s="51"/>
      <c r="H135" s="51"/>
      <c r="I135" s="52"/>
      <c r="J135" s="53"/>
      <c r="T135" s="53"/>
      <c r="AG135" s="53"/>
      <c r="AI135" s="53"/>
      <c r="AM135" s="53"/>
    </row>
    <row r="136" spans="3:53" s="54" customFormat="1" ht="13.5">
      <c r="C136" s="60" t="s">
        <v>257</v>
      </c>
      <c r="D136" s="50"/>
      <c r="E136" s="50"/>
      <c r="F136" s="50"/>
      <c r="G136" s="51"/>
      <c r="H136" s="51"/>
      <c r="I136" s="52"/>
      <c r="J136" s="53"/>
      <c r="T136" s="53"/>
      <c r="AG136" s="53"/>
      <c r="AI136" s="53"/>
      <c r="AM136" s="53"/>
    </row>
    <row r="137" spans="3:53" s="54" customFormat="1" ht="15">
      <c r="C137" s="50" t="s">
        <v>258</v>
      </c>
      <c r="D137" s="50"/>
      <c r="E137" s="50"/>
      <c r="F137" s="50"/>
      <c r="G137" s="51"/>
      <c r="H137" s="51"/>
      <c r="I137" s="52"/>
      <c r="J137" s="53"/>
      <c r="Q137" s="53"/>
      <c r="AD137" s="53"/>
      <c r="AF137" s="53"/>
      <c r="AJ137" s="53"/>
    </row>
    <row r="138" spans="3:53" s="54" customFormat="1" ht="13.5">
      <c r="C138" s="61" t="s">
        <v>259</v>
      </c>
      <c r="D138" s="61" t="s">
        <v>260</v>
      </c>
      <c r="F138" s="62"/>
      <c r="G138" s="52"/>
      <c r="H138" s="52"/>
      <c r="I138" s="52"/>
      <c r="J138" s="53"/>
      <c r="U138" s="53"/>
      <c r="AH138" s="53"/>
      <c r="AJ138" s="53"/>
      <c r="AN138" s="53"/>
    </row>
    <row r="139" spans="3:53" s="54" customFormat="1" ht="13.5">
      <c r="C139" s="61" t="s">
        <v>245</v>
      </c>
      <c r="D139" s="61" t="s">
        <v>261</v>
      </c>
      <c r="F139" s="62"/>
      <c r="G139" s="52"/>
      <c r="H139" s="52"/>
      <c r="I139" s="52"/>
      <c r="J139" s="53"/>
      <c r="V139" s="53"/>
      <c r="AI139" s="53"/>
      <c r="AK139" s="53"/>
      <c r="AO139" s="53"/>
    </row>
    <row r="140" spans="3:53" s="54" customFormat="1" ht="13.5">
      <c r="C140" s="61" t="s">
        <v>247</v>
      </c>
      <c r="D140" s="61" t="s">
        <v>262</v>
      </c>
      <c r="F140" s="62"/>
      <c r="G140" s="52"/>
      <c r="H140" s="52"/>
      <c r="I140" s="52"/>
      <c r="J140" s="53"/>
      <c r="V140" s="53"/>
      <c r="AI140" s="53"/>
      <c r="AK140" s="53"/>
      <c r="AO140" s="53"/>
    </row>
    <row r="141" spans="3:53">
      <c r="K141" s="2"/>
      <c r="V141" s="10"/>
      <c r="AH141" s="2"/>
      <c r="AI141" s="10"/>
      <c r="AK141" s="10"/>
      <c r="AO141" s="10"/>
      <c r="AU141" s="2"/>
      <c r="AW141" s="2"/>
      <c r="BA141" s="2"/>
    </row>
    <row r="142" spans="3:53">
      <c r="K142" s="2"/>
      <c r="Z142" s="10"/>
      <c r="AH142" s="2"/>
      <c r="AM142" s="10"/>
      <c r="AO142" s="10"/>
      <c r="AS142" s="10"/>
      <c r="AU142" s="2"/>
      <c r="AW142" s="2"/>
      <c r="BA142" s="2"/>
    </row>
    <row r="143" spans="3:53">
      <c r="K143" s="2"/>
      <c r="Z143" s="10"/>
      <c r="AH143" s="2"/>
      <c r="AM143" s="10"/>
      <c r="AO143" s="10"/>
      <c r="AS143" s="10"/>
      <c r="AU143" s="2"/>
      <c r="AW143" s="2"/>
      <c r="BA143" s="2"/>
    </row>
    <row r="144" spans="3:53">
      <c r="K144" s="2"/>
      <c r="Z144" s="10"/>
      <c r="AH144" s="2"/>
      <c r="AM144" s="10"/>
      <c r="AO144" s="10"/>
      <c r="AS144" s="10"/>
      <c r="AU144" s="2"/>
      <c r="AW144" s="2"/>
      <c r="BA144" s="2"/>
    </row>
    <row r="145" spans="11:255">
      <c r="K145" s="2"/>
      <c r="Z145" s="10"/>
      <c r="AH145" s="2"/>
      <c r="AM145" s="10"/>
      <c r="AO145" s="10"/>
      <c r="AS145" s="10"/>
      <c r="AU145" s="2"/>
      <c r="AW145" s="2"/>
      <c r="BA145" s="2"/>
    </row>
    <row r="146" spans="11:255" ht="15">
      <c r="K146" s="2"/>
      <c r="AF146" s="10"/>
      <c r="AH146" s="2"/>
      <c r="AS146" s="10"/>
      <c r="AW146" s="2"/>
      <c r="AY146" s="10"/>
      <c r="BA146" s="2"/>
      <c r="IT146"/>
      <c r="IU14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MC</vt:lpstr>
      <vt:lpstr>XDO_?CLASS_3?8?</vt:lpstr>
      <vt:lpstr>XDO_?FINAL_ISIN?30?</vt:lpstr>
      <vt:lpstr>XDO_?FINAL_ISIN?31?</vt:lpstr>
      <vt:lpstr>XDO_?FINAL_ISIN?32?</vt:lpstr>
      <vt:lpstr>XDO_?FINAL_ISIN?33?</vt:lpstr>
      <vt:lpstr>XDO_?FINAL_MV?30?</vt:lpstr>
      <vt:lpstr>XDO_?FINAL_MV?31?</vt:lpstr>
      <vt:lpstr>XDO_?FINAL_MV?32?</vt:lpstr>
      <vt:lpstr>XDO_?FINAL_MV?33?</vt:lpstr>
      <vt:lpstr>XDO_?FINAL_NAME?30?</vt:lpstr>
      <vt:lpstr>XDO_?FINAL_NAME?31?</vt:lpstr>
      <vt:lpstr>XDO_?FINAL_NAME?32?</vt:lpstr>
      <vt:lpstr>XDO_?FINAL_NAME?33?</vt:lpstr>
      <vt:lpstr>XDO_?FINAL_PER_NET?30?</vt:lpstr>
      <vt:lpstr>XDO_?FINAL_PER_NET?31?</vt:lpstr>
      <vt:lpstr>XDO_?FINAL_PER_NET?32?</vt:lpstr>
      <vt:lpstr>XDO_?FINAL_PER_NET?33?</vt:lpstr>
      <vt:lpstr>XDO_?FINAL_QUANTITE?30?</vt:lpstr>
      <vt:lpstr>XDO_?FINAL_QUANTITE?31?</vt:lpstr>
      <vt:lpstr>XDO_?FINAL_QUANTITE?32?</vt:lpstr>
      <vt:lpstr>XDO_?FINAL_QUANTITE?33?</vt:lpstr>
      <vt:lpstr>XDO_?NAMCNAME?8?</vt:lpstr>
      <vt:lpstr>XDO_?NOVAL?30?</vt:lpstr>
      <vt:lpstr>XDO_?NOVAL?31?</vt:lpstr>
      <vt:lpstr>XDO_?NOVAL?32?</vt:lpstr>
      <vt:lpstr>XDO_?NOVAL?33?</vt:lpstr>
      <vt:lpstr>XDO_?NPTF?8?</vt:lpstr>
      <vt:lpstr>XDO_?RATING?30?</vt:lpstr>
      <vt:lpstr>XDO_?RATING?31?</vt:lpstr>
      <vt:lpstr>XDO_?RATING?32?</vt:lpstr>
      <vt:lpstr>XDO_?RATING?33?</vt:lpstr>
      <vt:lpstr>XDO_?REMARKS?30?</vt:lpstr>
      <vt:lpstr>XDO_?REMARKS?31?</vt:lpstr>
      <vt:lpstr>XDO_?REMARKS?32?</vt:lpstr>
      <vt:lpstr>XDO_?REMARKS?33?</vt:lpstr>
      <vt:lpstr>XDO_?TITL?8?</vt:lpstr>
      <vt:lpstr>XDO_?YTM?30?</vt:lpstr>
      <vt:lpstr>XDO_?YTM?31?</vt:lpstr>
      <vt:lpstr>XDO_?YTM?32?</vt:lpstr>
      <vt:lpstr>XDO_?YTM?33?</vt:lpstr>
      <vt:lpstr>XDO_GROUP_?G_2?8?</vt:lpstr>
      <vt:lpstr>XDO_GROUP_?G_3?8?</vt:lpstr>
      <vt:lpstr>XDO_GROUP_?G_4?30?</vt:lpstr>
      <vt:lpstr>XDO_GROUP_?G_4?31?</vt:lpstr>
      <vt:lpstr>XDO_GROUP_?G_4?32?</vt:lpstr>
      <vt:lpstr>XDO_GROUP_?G_4?33?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2021-12-06T11:25:10Z</dcterms:created>
  <dcterms:modified xsi:type="dcterms:W3CDTF">2021-12-08T09:04:13Z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2021-12-08T09:03:21Z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1fdda195-4622-40a1-bcb5-c3956e2dc36b</vt:lpwstr>
  </property>
  <property fmtid="{D5CDD505-2E9C-101B-9397-08002B2CF9AE}" pid="8" name="MSIP_Label_48ed5431-0ab7-4c1b-98f4-d4e50f674d02_ContentBits">
    <vt:lpwstr>0</vt:lpwstr>
  </property>
</Properties>
</file>