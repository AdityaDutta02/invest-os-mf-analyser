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Oct-2023\BOBBNPMF_Monthly portfolio_split Portfolio_31-10-2023\"/>
    </mc:Choice>
  </mc:AlternateContent>
  <xr:revisionPtr revIDLastSave="0" documentId="13_ncr:1_{AE47683B-F751-4360-A829-F50B1FD013E2}" xr6:coauthVersionLast="47" xr6:coauthVersionMax="47" xr10:uidLastSave="{00000000-0000-0000-0000-000000000000}"/>
  <bookViews>
    <workbookView xWindow="-108" yWindow="-108" windowWidth="23256" windowHeight="12456" xr2:uid="{BA59EA2F-13EF-458E-83C0-68267B0D6555}"/>
  </bookViews>
  <sheets>
    <sheet name="FO" sheetId="1" r:id="rId1"/>
  </sheets>
  <externalReferences>
    <externalReference r:id="rId2"/>
  </externalReferences>
  <definedNames>
    <definedName name="XDO_?CLASS_3?13?">FO!$C$8:$C$32</definedName>
    <definedName name="XDO_?FINAL_ISIN?71?">FO!$D$10:$D$32</definedName>
    <definedName name="XDO_?FINAL_ISIN?72?">FO!$D$10:$D$61</definedName>
    <definedName name="XDO_?FINAL_ISIN?73?">FO!$D$10:$D$76</definedName>
    <definedName name="XDO_?FINAL_ISIN?74?">FO!$D$10:$D$80</definedName>
    <definedName name="XDO_?FINAL_MV?71?">FO!$G$10:$G$32</definedName>
    <definedName name="XDO_?FINAL_MV?72?">FO!$G$10:$G$61</definedName>
    <definedName name="XDO_?FINAL_MV?73?">FO!$G$10:$G$76</definedName>
    <definedName name="XDO_?FINAL_MV?74?">FO!$G$10:$G$80</definedName>
    <definedName name="XDO_?FINAL_NAME?71?">FO!$C$10:$C$32</definedName>
    <definedName name="XDO_?FINAL_NAME?72?">FO!$C$10:$C$61</definedName>
    <definedName name="XDO_?FINAL_NAME?73?">FO!$C$10:$C$76</definedName>
    <definedName name="XDO_?FINAL_NAME?74?">FO!$C$10:$C$80</definedName>
    <definedName name="XDO_?FINAL_PER_NET?71?">FO!$H$10:$H$32</definedName>
    <definedName name="XDO_?FINAL_PER_NET?72?">FO!$H$10:$H$61</definedName>
    <definedName name="XDO_?FINAL_PER_NET?73?">FO!$H$10:$H$76</definedName>
    <definedName name="XDO_?FINAL_PER_NET?74?">FO!$H$10:$H$80</definedName>
    <definedName name="XDO_?FINAL_QUANTITE?71?">FO!$F$10:$F$32</definedName>
    <definedName name="XDO_?FINAL_QUANTITE?72?">FO!$F$10:$F$61</definedName>
    <definedName name="XDO_?FINAL_QUANTITE?73?">FO!$F$10:$F$76</definedName>
    <definedName name="XDO_?FINAL_QUANTITE?74?">FO!$F$10:$F$80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3?">FO!$C$2:$C$32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71?">FO!$B$10:$B$32</definedName>
    <definedName name="XDO_?NOVAL?72?">FO!$B$10:$B$61</definedName>
    <definedName name="XDO_?NOVAL?73?">FO!$B$10:$B$76</definedName>
    <definedName name="XDO_?NOVAL?74?">FO!$B$10:$B$80</definedName>
    <definedName name="XDO_?NPTF?13?">FO!$D$2:$D$32</definedName>
    <definedName name="XDO_?RATING?71?">FO!$E$10:$E$32</definedName>
    <definedName name="XDO_?RATING?72?">FO!$E$10:$E$61</definedName>
    <definedName name="XDO_?RATING?73?">FO!$E$10:$E$76</definedName>
    <definedName name="XDO_?RATING?74?">FO!$E$10:$E$80</definedName>
    <definedName name="XDO_?REMARKS?71?">FO!$K$10:$K$32</definedName>
    <definedName name="XDO_?REMARKS?72?">FO!$K$10:$K$61</definedName>
    <definedName name="XDO_?REMARKS?73?">FO!$K$10:$K$76</definedName>
    <definedName name="XDO_?REMARKS?74?">FO!$K$10:$K$80</definedName>
    <definedName name="XDO_?TITL?13?">FO!$A$8:$A$32</definedName>
    <definedName name="XDO_?YTM?71?">FO!$I$10:$I$32</definedName>
    <definedName name="XDO_?YTM?72?">FO!$I$10:$I$61</definedName>
    <definedName name="XDO_?YTM?73?">FO!$I$10:$I$76</definedName>
    <definedName name="XDO_?YTM?74?">FO!$I$10:$I$80</definedName>
    <definedName name="XDO_GROUP_?G_2?13?">FO!$2:$50</definedName>
    <definedName name="XDO_GROUP_?G_3?13?">FO!$8:$49</definedName>
    <definedName name="XDO_GROUP_?G_4?42?">[1]TA!#REF!</definedName>
    <definedName name="XDO_GROUP_?G_4?71?">FO!$B$10:$IV$32</definedName>
    <definedName name="XDO_GROUP_?G_4?72?">FO!$B$37:$IV$37</definedName>
    <definedName name="XDO_GROUP_?G_4?73?">FO!$B$42:$IV$42</definedName>
    <definedName name="XDO_GROUP_?G_4?74?">FO!$B$47:$IV$47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3" i="1" l="1"/>
</calcChain>
</file>

<file path=xl/sharedStrings.xml><?xml version="1.0" encoding="utf-8"?>
<sst xmlns="http://schemas.openxmlformats.org/spreadsheetml/2006/main" count="237" uniqueCount="190">
  <si>
    <t>Baroda BNP Paribas Mutual Fund</t>
  </si>
  <si>
    <t>T0ME20</t>
  </si>
  <si>
    <t>SCHEME NAME :</t>
  </si>
  <si>
    <t xml:space="preserve">Baroda BNP Paribas Focused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</si>
  <si>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</si>
  <si>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</si>
  <si>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</si>
  <si>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</si>
  <si>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</si>
  <si>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</si>
  <si>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</si>
  <si>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</si>
  <si>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</si>
  <si>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</si>
  <si>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</si>
  <si>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</si>
  <si>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100005</t>
  </si>
  <si>
    <t>Larsen &amp; Toubro Ltd.</t>
  </si>
  <si>
    <t>INE018A01030</t>
  </si>
  <si>
    <t>Construction</t>
  </si>
  <si>
    <t>101313</t>
  </si>
  <si>
    <t>Zomato Ltd.</t>
  </si>
  <si>
    <t>INE758T01015</t>
  </si>
  <si>
    <t>Retailing</t>
  </si>
  <si>
    <t>100012</t>
  </si>
  <si>
    <t>ICICI Bank Ltd.</t>
  </si>
  <si>
    <t>INE090A01021</t>
  </si>
  <si>
    <t>Banks</t>
  </si>
  <si>
    <t>100024</t>
  </si>
  <si>
    <t>Axis Bank Ltd.</t>
  </si>
  <si>
    <t>INE238A01034</t>
  </si>
  <si>
    <t>100234</t>
  </si>
  <si>
    <t>Coforge Ltd.</t>
  </si>
  <si>
    <t>INE591G01017</t>
  </si>
  <si>
    <t>IT - Software</t>
  </si>
  <si>
    <t>100147</t>
  </si>
  <si>
    <t>Tech Mahindra Ltd.</t>
  </si>
  <si>
    <t>INE669C01036</t>
  </si>
  <si>
    <t>100843</t>
  </si>
  <si>
    <t>Dalmia Bharat Ltd.</t>
  </si>
  <si>
    <t>INE00R701025</t>
  </si>
  <si>
    <t>Cement &amp; Cement Products</t>
  </si>
  <si>
    <t>101457</t>
  </si>
  <si>
    <t>Motherson Sumi Wiring India Ltd.</t>
  </si>
  <si>
    <t>INE0FS801015</t>
  </si>
  <si>
    <t>Auto Components</t>
  </si>
  <si>
    <t>100013</t>
  </si>
  <si>
    <t>IndusInd Bank Ltd.</t>
  </si>
  <si>
    <t>INE095A01012</t>
  </si>
  <si>
    <t>100185</t>
  </si>
  <si>
    <t>Tata Power Company Ltd.</t>
  </si>
  <si>
    <t>INE245A01021</t>
  </si>
  <si>
    <t>Power</t>
  </si>
  <si>
    <t>101889</t>
  </si>
  <si>
    <t>Jio Financial Services Ltd.</t>
  </si>
  <si>
    <t>INE758E01017</t>
  </si>
  <si>
    <t>Finance</t>
  </si>
  <si>
    <t>100018</t>
  </si>
  <si>
    <t>Tata Communications Ltd.</t>
  </si>
  <si>
    <t>INE151A01013</t>
  </si>
  <si>
    <t>Telecom - Services</t>
  </si>
  <si>
    <t>100006</t>
  </si>
  <si>
    <t>HDFC Bank Ltd.</t>
  </si>
  <si>
    <t>INE040A01034</t>
  </si>
  <si>
    <t>100127</t>
  </si>
  <si>
    <t>CG Power and Industrial Solutions Ltd.</t>
  </si>
  <si>
    <t>INE067A01029</t>
  </si>
  <si>
    <t>Electrical Equipment</t>
  </si>
  <si>
    <t>101433</t>
  </si>
  <si>
    <t>Metro Brands Ltd.</t>
  </si>
  <si>
    <t>INE317I01021</t>
  </si>
  <si>
    <t>Consumer Durables</t>
  </si>
  <si>
    <t>100036</t>
  </si>
  <si>
    <t>Mahindra &amp; Mahindra Financial Services Ltd.</t>
  </si>
  <si>
    <t>INE774D01024</t>
  </si>
  <si>
    <t>100089</t>
  </si>
  <si>
    <t>Bharat Electronics Ltd.</t>
  </si>
  <si>
    <t>INE263A01024</t>
  </si>
  <si>
    <t>Aerospace &amp; Defense</t>
  </si>
  <si>
    <t>100019</t>
  </si>
  <si>
    <t>ITC Ltd.</t>
  </si>
  <si>
    <t>INE154A01025</t>
  </si>
  <si>
    <t>Diversified FMCG</t>
  </si>
  <si>
    <t>100665</t>
  </si>
  <si>
    <t>Aditya Birla Capital Ltd.</t>
  </si>
  <si>
    <t>INE674K01013</t>
  </si>
  <si>
    <t>100014</t>
  </si>
  <si>
    <t>Mahindra &amp; Mahindra Ltd.</t>
  </si>
  <si>
    <t>INE101A01026</t>
  </si>
  <si>
    <t>Automobiles</t>
  </si>
  <si>
    <t>100586</t>
  </si>
  <si>
    <t>Ratnamani Metals &amp; Tubes Ltd.</t>
  </si>
  <si>
    <t>INE703B01027</t>
  </si>
  <si>
    <t>Industrial Products</t>
  </si>
  <si>
    <t>100289</t>
  </si>
  <si>
    <t>Shoppers Stop Ltd.</t>
  </si>
  <si>
    <t>INE498B01024</t>
  </si>
  <si>
    <t>100004</t>
  </si>
  <si>
    <t>Zydus Lifesciences Ltd.</t>
  </si>
  <si>
    <t>INE010B01027</t>
  </si>
  <si>
    <t>Pharmaceuticals &amp; Biotechnology</t>
  </si>
  <si>
    <t>Total</t>
  </si>
  <si>
    <t>b) Unlisted</t>
  </si>
  <si>
    <t>NIL</t>
  </si>
  <si>
    <t>c) Foreign Securities and /or overseas ETF</t>
  </si>
  <si>
    <t>d) Stock Futures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</si>
  <si>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</si>
  <si>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</si>
  <si>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</si>
  <si>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</si>
  <si>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</si>
  <si>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</si>
  <si>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</si>
  <si>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</si>
  <si>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</si>
  <si>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</si>
  <si>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</si>
  <si>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1800949</t>
  </si>
  <si>
    <t>364 DAY T-BILL 11-Jan-2024</t>
  </si>
  <si>
    <t>IN002022Z416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</si>
  <si>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</si>
  <si>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</si>
  <si>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</si>
  <si>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</si>
  <si>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</si>
  <si>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</si>
  <si>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</si>
  <si>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</si>
  <si>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111230100</t>
  </si>
  <si>
    <t>TREPS 01-Nov-2023</t>
  </si>
  <si>
    <t>Other Current Assets / (Liabilities)</t>
  </si>
  <si>
    <t>Net Receivable / Payable</t>
  </si>
  <si>
    <t>GRAND TOTAL (AUM) D**</t>
  </si>
  <si>
    <t xml:space="preserve">Hedging Positions through Futures as on October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</si>
  <si>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</si>
  <si>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</si>
  <si>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</si>
  <si>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</si>
  <si>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</si>
  <si>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</si>
  <si>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</si>
  <si>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</si>
  <si>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</si>
  <si>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October 31, 2023 with regard to hedging transactions through futures which have already been squared off/expired specify:</t>
  </si>
  <si>
    <t>Total Number of contracts where futures were bought : 150</t>
  </si>
  <si>
    <t>Total Number of contracts where futures were sold :  150</t>
  </si>
  <si>
    <t>Gross Notional Value of contracts where futures were bought : 1,291.31  lacs</t>
  </si>
  <si>
    <t>Gross Notional Value of contracts where futures were sold: 1,386.71  lacs</t>
  </si>
  <si>
    <t>Net Profit/Loss on all contracts combined : 95.39 lacs</t>
  </si>
  <si>
    <t>Other than Hedging Positions through futures as on October 31, 2023:</t>
  </si>
  <si>
    <t>Number of Contracts</t>
  </si>
  <si>
    <t>Total Exposure through Futures(other than hedging positions) is 0.00% age of net assets</t>
  </si>
  <si>
    <t>For the Month ended October 31,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</si>
  <si>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</si>
  <si>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</si>
  <si>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</si>
  <si>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</si>
  <si>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</si>
  <si>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 xml:space="preserve">* Negative sign denotes Short position </t>
  </si>
  <si>
    <t>** Maturity date is 30th November 2023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</si>
  <si>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</si>
  <si>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</si>
  <si>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</si>
  <si>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</si>
  <si>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</si>
  <si>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</si>
  <si>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</si>
  <si>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</si>
  <si>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</si>
  <si>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</si>
  <si>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</si>
  <si>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29, 2023</t>
  </si>
  <si>
    <t>As on October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</si>
  <si>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</si>
  <si>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</si>
  <si>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</si>
  <si>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</si>
  <si>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October 31, 2023</t>
  </si>
  <si>
    <t>(9) There were no investments in derivative instruments as on October,31 2023.</t>
  </si>
  <si>
    <t>(10) Total Market value of investments in Foreign Securities/American Depositary Receipts/Global Depositary Receipts as at  October 31, 2023 is Rs. Nil.</t>
  </si>
  <si>
    <t>(11)  During the period, the portfolio turnover ratio is  0.10 times.</t>
  </si>
  <si>
    <t>(12)  Details of repo transaction in corporate debt securities for the Month ended October 31, 2023 is Nil.</t>
  </si>
  <si>
    <t>(13)  Investments in debt instruments having structured obligations or credit enhancement features as at October 31, 2023 is Rs. Nil.</t>
  </si>
  <si>
    <t>(14) Investment in Partly paid Debentures during the Month ended  October 31, 2023 and as on  October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</si>
  <si>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</si>
  <si>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</si>
  <si>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</si>
  <si>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</si>
  <si>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</si>
  <si>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October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</si>
</sst>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8"/>
      <color theme="1"/>
      <name val="Franklin Gothic Book"/>
      <family val="2"/>
    </font>
    <font>
      <sz val="9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1" fillId="3" borderId="0" xfId="0" applyFont="1" applyFill="1"/>
    <xf numFmtId="0" fontId="12" fillId="4" borderId="0" xfId="0" applyFont="1" applyFill="1"/>
    <xf numFmtId="4" fontId="12" fillId="4" borderId="0" xfId="0" applyNumberFormat="1" applyFont="1" applyFill="1"/>
    <xf numFmtId="0" fontId="13" fillId="4" borderId="0" xfId="0" applyFont="1" applyFill="1"/>
    <xf numFmtId="0" fontId="11" fillId="3" borderId="19" xfId="0" applyFont="1" applyFill="1" applyBorder="1"/>
    <xf numFmtId="0" fontId="11" fillId="0" borderId="19" xfId="0" applyFont="1" applyBorder="1"/>
    <xf numFmtId="0" fontId="11" fillId="0" borderId="19" xfId="0" applyFont="1" applyBorder="1" applyAlignment="1">
      <alignment horizontal="right"/>
    </xf>
    <xf numFmtId="0" fontId="11" fillId="3" borderId="19" xfId="0" applyFont="1" applyFill="1" applyBorder="1" applyAlignment="1">
      <alignment horizontal="right"/>
    </xf>
    <xf numFmtId="0" fontId="11" fillId="3" borderId="13" xfId="0" applyFont="1" applyFill="1" applyBorder="1" applyAlignment="1">
      <alignment horizontal="right"/>
    </xf>
    <xf numFmtId="0" fontId="14" fillId="4" borderId="0" xfId="0" applyFont="1" applyFill="1"/>
    <xf numFmtId="1" fontId="12" fillId="4" borderId="0" xfId="0" applyNumberFormat="1" applyFont="1" applyFill="1"/>
    <xf numFmtId="0" fontId="15" fillId="3" borderId="0" xfId="0" applyFont="1" applyFill="1"/>
    <xf numFmtId="165" fontId="12" fillId="4" borderId="0" xfId="1" applyNumberFormat="1" applyFont="1" applyFill="1"/>
    <xf numFmtId="164" fontId="12" fillId="4" borderId="0" xfId="1" applyFont="1" applyFill="1"/>
    <xf numFmtId="0" fontId="15" fillId="0" borderId="0" xfId="0" applyFont="1"/>
    <xf numFmtId="0" fontId="16" fillId="3" borderId="0" xfId="0" applyFont="1" applyFill="1"/>
    <xf numFmtId="4" fontId="11" fillId="3" borderId="0" xfId="0" applyNumberFormat="1" applyFont="1" applyFill="1"/>
    <xf numFmtId="0" fontId="11" fillId="3" borderId="13" xfId="0" applyFont="1" applyFill="1" applyBorder="1"/>
    <xf numFmtId="0" fontId="11" fillId="3" borderId="0" xfId="0" applyFont="1" applyFill="1" applyAlignment="1">
      <alignment horizontal="center"/>
    </xf>
    <xf numFmtId="164" fontId="11" fillId="3" borderId="0" xfId="1" applyFont="1" applyFill="1" applyAlignment="1">
      <alignment horizontal="center"/>
    </xf>
    <xf numFmtId="164" fontId="11" fillId="3" borderId="0" xfId="0" applyNumberFormat="1" applyFont="1" applyFill="1" applyAlignment="1">
      <alignment horizontal="center"/>
    </xf>
    <xf numFmtId="164" fontId="12" fillId="4" borderId="0" xfId="0" applyNumberFormat="1" applyFont="1" applyFill="1"/>
    <xf numFmtId="0" fontId="11" fillId="0" borderId="0" xfId="0" applyFont="1"/>
    <xf numFmtId="0" fontId="3" fillId="0" borderId="0" xfId="0" applyFont="1" applyAlignment="1">
      <alignment horizontal="left"/>
    </xf>
    <xf numFmtId="0" fontId="17" fillId="4" borderId="0" xfId="0" applyFont="1" applyFill="1"/>
    <xf numFmtId="4" fontId="17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8" fillId="0" borderId="0" xfId="0" applyFont="1" applyAlignment="1">
      <alignment vertical="top"/>
    </xf>
    <xf numFmtId="0" fontId="0" fillId="0" borderId="0" xfId="0" applyAlignment="1">
      <alignment vertical="top"/>
    </xf>
    <xf numFmtId="0" fontId="11" fillId="3" borderId="20" xfId="0" applyFont="1" applyFill="1" applyBorder="1" applyAlignment="1">
      <alignment horizontal="center"/>
    </xf>
    <xf numFmtId="0" fontId="11" fillId="3" borderId="21" xfId="0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/>
    </xf>
  </cellXfs>
  <cellStyles count="6">
    <cellStyle name="Comma" xfId="1" builtinId="3"/>
    <cellStyle name="Comma 2" xfId="5" xr:uid="{F1AAC132-ADEC-4418-9FBE-3F782E154776}"/>
    <cellStyle name="Hyperlink" xfId="2" builtinId="8"/>
    <cellStyle name="Normal" xfId="0" builtinId="0"/>
    <cellStyle name="Normal 2" xfId="4" xr:uid="{64A35E91-A495-4559-8EB6-646A51ACCF72}"/>
    <cellStyle name="Style 1" xfId="3" xr:uid="{330C1EDF-0B2A-4791-8659-FCEE7323AE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5</xdr:col>
      <xdr:colOff>504275</xdr:colOff>
      <xdr:row>163</xdr:row>
      <xdr:rowOff>126322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5027D1-1757-4944-8526-9FD1573B1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6243280"/>
          <a:ext cx="7453715" cy="27704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October%202023\Month%20End%2031%20October%202023\Split%20Portfolio\BOBBNPMF_Monthly%20portfolio%2031-10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FB2F8-A9CD-487C-9CD1-CE8A64E2916F}">
  <sheetPr codeName="Sheet114"/>
  <dimension ref="A1:BC150"/>
  <sheetViews>
    <sheetView showGridLines="0" tabSelected="1" zoomScale="90" zoomScaleNormal="90" workbookViewId="0">
      <pane ySplit="6" topLeftCell="A139" activePane="bottomLeft" state="frozen"/>
      <selection activeCell="I2" sqref="I2"/>
      <selection pane="bottomLeft" activeCell="F146" sqref="F146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45230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103838</v>
      </c>
      <c r="G10" s="34">
        <v>3041.47</v>
      </c>
      <c r="H10" s="34">
        <v>7.24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2700000</v>
      </c>
      <c r="G11" s="34">
        <v>2837.7</v>
      </c>
      <c r="H11" s="34">
        <v>6.75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275000</v>
      </c>
      <c r="G12" s="34">
        <v>2517.21</v>
      </c>
      <c r="H12" s="34">
        <v>5.99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27</v>
      </c>
      <c r="F13" s="33">
        <v>225000</v>
      </c>
      <c r="G13" s="34">
        <v>2209.16</v>
      </c>
      <c r="H13" s="34">
        <v>5.26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40000</v>
      </c>
      <c r="G14" s="34">
        <v>1993.7</v>
      </c>
      <c r="H14" s="34">
        <v>4.74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34</v>
      </c>
      <c r="F15" s="33">
        <v>175000</v>
      </c>
      <c r="G15" s="34">
        <v>1983.01</v>
      </c>
      <c r="H15" s="34">
        <v>4.72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90000</v>
      </c>
      <c r="G16" s="34">
        <v>1893.83</v>
      </c>
      <c r="H16" s="34">
        <v>4.51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2900000</v>
      </c>
      <c r="G17" s="34">
        <v>1738.55</v>
      </c>
      <c r="H17" s="34">
        <v>4.1399999999999997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27</v>
      </c>
      <c r="F18" s="33">
        <v>120000</v>
      </c>
      <c r="G18" s="34">
        <v>1729.56</v>
      </c>
      <c r="H18" s="34">
        <v>4.12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700000</v>
      </c>
      <c r="G19" s="34">
        <v>1675.45</v>
      </c>
      <c r="H19" s="34">
        <v>3.99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725000</v>
      </c>
      <c r="G20" s="34">
        <v>1587.75</v>
      </c>
      <c r="H20" s="34">
        <v>3.78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90000</v>
      </c>
      <c r="G21" s="34">
        <v>1496.93</v>
      </c>
      <c r="H21" s="34">
        <v>3.56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27</v>
      </c>
      <c r="F22" s="33">
        <v>100000</v>
      </c>
      <c r="G22" s="34">
        <v>1476.5</v>
      </c>
      <c r="H22" s="34">
        <v>3.51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375000</v>
      </c>
      <c r="G23" s="34">
        <v>1462.88</v>
      </c>
      <c r="H23" s="34">
        <v>3.48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120000</v>
      </c>
      <c r="G24" s="34">
        <v>1425</v>
      </c>
      <c r="H24" s="34">
        <v>3.39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56</v>
      </c>
      <c r="F25" s="33">
        <v>575000</v>
      </c>
      <c r="G25" s="34">
        <v>1410.76</v>
      </c>
      <c r="H25" s="34">
        <v>3.36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1000000</v>
      </c>
      <c r="G26" s="34">
        <v>1332.5</v>
      </c>
      <c r="H26" s="34">
        <v>3.17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82</v>
      </c>
      <c r="F27" s="33">
        <v>300000</v>
      </c>
      <c r="G27" s="34">
        <v>1285.2</v>
      </c>
      <c r="H27" s="34">
        <v>3.06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56</v>
      </c>
      <c r="F28" s="33">
        <v>700000</v>
      </c>
      <c r="G28" s="34">
        <v>1207.1500000000001</v>
      </c>
      <c r="H28" s="34">
        <v>2.87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80000</v>
      </c>
      <c r="G29" s="34">
        <v>1166.8800000000001</v>
      </c>
      <c r="H29" s="34">
        <v>2.78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93</v>
      </c>
      <c r="F30" s="33">
        <v>42000</v>
      </c>
      <c r="G30" s="34">
        <v>1162.04</v>
      </c>
      <c r="H30" s="34">
        <v>2.76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23</v>
      </c>
      <c r="F31" s="33">
        <v>128877</v>
      </c>
      <c r="G31" s="34">
        <v>824.94</v>
      </c>
      <c r="H31" s="34">
        <v>1.96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100</v>
      </c>
      <c r="F32" s="33">
        <v>110000</v>
      </c>
      <c r="G32" s="34">
        <v>630.91</v>
      </c>
      <c r="H32" s="34">
        <v>1.5</v>
      </c>
      <c r="I32" s="35"/>
      <c r="J32" s="35"/>
      <c r="K32" s="36"/>
    </row>
    <row r="33" spans="3:11" x14ac:dyDescent="0.3">
      <c r="C33" s="30" t="s">
        <v>101</v>
      </c>
      <c r="D33" s="31"/>
      <c r="E33" s="32"/>
      <c r="F33" s="33"/>
      <c r="G33" s="38">
        <v>38089.08</v>
      </c>
      <c r="H33" s="38">
        <v>90.64</v>
      </c>
      <c r="I33" s="35"/>
      <c r="J33" s="35"/>
      <c r="K33" s="36"/>
    </row>
    <row r="34" spans="3:11" x14ac:dyDescent="0.3">
      <c r="C34" s="21"/>
      <c r="D34" s="31"/>
      <c r="E34" s="32"/>
      <c r="F34" s="33"/>
      <c r="G34" s="34"/>
      <c r="H34" s="34"/>
      <c r="I34" s="35"/>
      <c r="J34" s="35"/>
      <c r="K34" s="36"/>
    </row>
    <row r="35" spans="3:11" x14ac:dyDescent="0.3">
      <c r="C35" s="30" t="s">
        <v>102</v>
      </c>
      <c r="D35" s="31"/>
      <c r="E35" s="32"/>
      <c r="F35" s="33"/>
      <c r="G35" s="34" t="s">
        <v>103</v>
      </c>
      <c r="H35" s="34" t="s">
        <v>103</v>
      </c>
      <c r="I35" s="35"/>
      <c r="J35" s="35"/>
      <c r="K35" s="36"/>
    </row>
    <row r="36" spans="3:11" x14ac:dyDescent="0.3">
      <c r="C36" s="21"/>
      <c r="D36" s="31"/>
      <c r="E36" s="32"/>
      <c r="F36" s="33"/>
      <c r="G36" s="34"/>
      <c r="H36" s="34"/>
      <c r="I36" s="35"/>
      <c r="J36" s="35"/>
      <c r="K36" s="36"/>
    </row>
    <row r="37" spans="3:11" x14ac:dyDescent="0.3">
      <c r="C37" s="30" t="s">
        <v>104</v>
      </c>
      <c r="D37" s="31"/>
      <c r="E37" s="32"/>
      <c r="F37" s="33"/>
      <c r="G37" s="34" t="s">
        <v>103</v>
      </c>
      <c r="H37" s="34" t="s">
        <v>103</v>
      </c>
      <c r="I37" s="35"/>
      <c r="J37" s="35"/>
      <c r="K37" s="36"/>
    </row>
    <row r="38" spans="3:11" x14ac:dyDescent="0.3">
      <c r="C38" s="21"/>
      <c r="D38" s="31"/>
      <c r="E38" s="32"/>
      <c r="F38" s="33"/>
      <c r="G38" s="34"/>
      <c r="H38" s="34"/>
      <c r="I38" s="35"/>
      <c r="J38" s="35"/>
      <c r="K38" s="36"/>
    </row>
    <row r="39" spans="3:11" x14ac:dyDescent="0.3">
      <c r="C39" s="37" t="s">
        <v>105</v>
      </c>
      <c r="D39" s="31"/>
      <c r="E39" s="32"/>
      <c r="F39" s="33"/>
      <c r="G39" s="34" t="s">
        <v>103</v>
      </c>
      <c r="H39" s="34" t="s">
        <v>103</v>
      </c>
      <c r="I39" s="35"/>
      <c r="J39" s="35"/>
      <c r="K39" s="36"/>
    </row>
    <row r="40" spans="3:11" x14ac:dyDescent="0.3">
      <c r="C40" s="37"/>
      <c r="D40" s="31"/>
      <c r="E40" s="32"/>
      <c r="F40" s="33"/>
      <c r="G40" s="34"/>
      <c r="H40" s="34"/>
      <c r="I40" s="35"/>
      <c r="J40" s="35"/>
      <c r="K40" s="36"/>
    </row>
    <row r="41" spans="3:11" x14ac:dyDescent="0.3">
      <c r="C41" s="30" t="s">
        <v>106</v>
      </c>
      <c r="D41" s="31"/>
      <c r="E41" s="32"/>
      <c r="F41" s="33"/>
      <c r="G41" s="34" t="s">
        <v>103</v>
      </c>
      <c r="H41" s="34" t="s">
        <v>103</v>
      </c>
      <c r="I41" s="35"/>
      <c r="J41" s="35"/>
      <c r="K41" s="36"/>
    </row>
    <row r="42" spans="3:11" x14ac:dyDescent="0.3">
      <c r="C42" s="21"/>
      <c r="D42" s="31"/>
      <c r="E42" s="32"/>
      <c r="F42" s="33"/>
      <c r="G42" s="34"/>
      <c r="H42" s="34"/>
      <c r="I42" s="35"/>
      <c r="J42" s="35"/>
      <c r="K42" s="36"/>
    </row>
    <row r="43" spans="3:11" x14ac:dyDescent="0.3">
      <c r="C43" s="30" t="s">
        <v>107</v>
      </c>
      <c r="D43" s="31"/>
      <c r="E43" s="32"/>
      <c r="F43" s="33"/>
      <c r="G43" s="34"/>
      <c r="H43" s="34"/>
      <c r="I43" s="35"/>
      <c r="J43" s="35"/>
      <c r="K43" s="36"/>
    </row>
    <row r="44" spans="3:11" x14ac:dyDescent="0.3">
      <c r="C44" s="21"/>
      <c r="D44" s="31"/>
      <c r="E44" s="32"/>
      <c r="F44" s="33"/>
      <c r="G44" s="34"/>
      <c r="H44" s="34"/>
      <c r="I44" s="35"/>
      <c r="J44" s="35"/>
      <c r="K44" s="36"/>
    </row>
    <row r="45" spans="3:11" x14ac:dyDescent="0.3">
      <c r="C45" s="30" t="s">
        <v>108</v>
      </c>
      <c r="D45" s="31"/>
      <c r="E45" s="32"/>
      <c r="F45" s="33"/>
      <c r="G45" s="34" t="s">
        <v>103</v>
      </c>
      <c r="H45" s="34" t="s">
        <v>103</v>
      </c>
      <c r="I45" s="35"/>
      <c r="J45" s="35"/>
      <c r="K45" s="36"/>
    </row>
    <row r="46" spans="3:11" x14ac:dyDescent="0.3">
      <c r="C46" s="21"/>
      <c r="D46" s="31"/>
      <c r="E46" s="32"/>
      <c r="F46" s="33"/>
      <c r="G46" s="34"/>
      <c r="H46" s="34"/>
      <c r="I46" s="35"/>
      <c r="J46" s="35"/>
      <c r="K46" s="36"/>
    </row>
    <row r="47" spans="3:11" x14ac:dyDescent="0.3">
      <c r="C47" s="30" t="s">
        <v>109</v>
      </c>
      <c r="D47" s="31"/>
      <c r="E47" s="32"/>
      <c r="F47" s="33"/>
      <c r="G47" s="34" t="s">
        <v>103</v>
      </c>
      <c r="H47" s="34" t="s">
        <v>103</v>
      </c>
      <c r="I47" s="35"/>
      <c r="J47" s="35"/>
      <c r="K47" s="36"/>
    </row>
    <row r="48" spans="3:11" x14ac:dyDescent="0.3">
      <c r="C48" s="21"/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C49" s="30" t="s">
        <v>110</v>
      </c>
      <c r="D49" s="31"/>
      <c r="E49" s="32"/>
      <c r="F49" s="33"/>
      <c r="G49" s="34" t="s">
        <v>103</v>
      </c>
      <c r="H49" s="34" t="s">
        <v>103</v>
      </c>
      <c r="I49" s="35"/>
      <c r="J49" s="35"/>
      <c r="K49" s="36"/>
    </row>
    <row r="50" spans="1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1:11" x14ac:dyDescent="0.3">
      <c r="C51" s="30" t="s">
        <v>111</v>
      </c>
      <c r="D51" s="31"/>
      <c r="E51" s="32"/>
      <c r="F51" s="33"/>
      <c r="G51" s="34" t="s">
        <v>103</v>
      </c>
      <c r="H51" s="34" t="s">
        <v>103</v>
      </c>
      <c r="I51" s="35"/>
      <c r="J51" s="35"/>
      <c r="K51" s="36"/>
    </row>
    <row r="52" spans="1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C53" s="30" t="s">
        <v>112</v>
      </c>
      <c r="D53" s="31"/>
      <c r="E53" s="32"/>
      <c r="F53" s="33"/>
      <c r="G53" s="34" t="s">
        <v>103</v>
      </c>
      <c r="H53" s="34" t="s">
        <v>103</v>
      </c>
      <c r="I53" s="35"/>
      <c r="J53" s="35"/>
      <c r="K53" s="36"/>
    </row>
    <row r="54" spans="1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1:11" x14ac:dyDescent="0.3">
      <c r="A55" s="28"/>
      <c r="B55" s="29"/>
      <c r="C55" s="30" t="s">
        <v>113</v>
      </c>
      <c r="D55" s="31"/>
      <c r="E55" s="32"/>
      <c r="F55" s="33"/>
      <c r="G55" s="34"/>
      <c r="H55" s="34"/>
      <c r="I55" s="35"/>
      <c r="J55" s="35"/>
      <c r="K55" s="36"/>
    </row>
    <row r="56" spans="1:11" x14ac:dyDescent="0.3">
      <c r="A56" s="29"/>
      <c r="B56" s="29"/>
      <c r="C56" s="30" t="s">
        <v>114</v>
      </c>
      <c r="D56" s="31"/>
      <c r="E56" s="32"/>
      <c r="F56" s="33"/>
      <c r="G56" s="34" t="s">
        <v>103</v>
      </c>
      <c r="H56" s="34" t="s">
        <v>103</v>
      </c>
      <c r="I56" s="35"/>
      <c r="J56" s="35"/>
      <c r="K56" s="36"/>
    </row>
    <row r="57" spans="1:11" x14ac:dyDescent="0.3">
      <c r="A57" s="29"/>
      <c r="B57" s="29"/>
      <c r="C57" s="30"/>
      <c r="D57" s="31"/>
      <c r="E57" s="32"/>
      <c r="F57" s="33"/>
      <c r="G57" s="34"/>
      <c r="H57" s="34"/>
      <c r="I57" s="35"/>
      <c r="J57" s="35"/>
      <c r="K57" s="36"/>
    </row>
    <row r="58" spans="1:11" x14ac:dyDescent="0.3">
      <c r="A58" s="29"/>
      <c r="B58" s="29"/>
      <c r="C58" s="30" t="s">
        <v>115</v>
      </c>
      <c r="D58" s="31"/>
      <c r="E58" s="32"/>
      <c r="F58" s="33"/>
      <c r="G58" s="34" t="s">
        <v>103</v>
      </c>
      <c r="H58" s="34" t="s">
        <v>103</v>
      </c>
      <c r="I58" s="35"/>
      <c r="J58" s="35"/>
      <c r="K58" s="36"/>
    </row>
    <row r="59" spans="1:11" x14ac:dyDescent="0.3">
      <c r="A59" s="29"/>
      <c r="B59" s="29"/>
      <c r="C59" s="30"/>
      <c r="D59" s="31"/>
      <c r="E59" s="32"/>
      <c r="F59" s="33"/>
      <c r="G59" s="34"/>
      <c r="H59" s="34"/>
      <c r="I59" s="35"/>
      <c r="J59" s="35"/>
      <c r="K59" s="36"/>
    </row>
    <row r="60" spans="1:11" x14ac:dyDescent="0.3">
      <c r="C60" s="37" t="s">
        <v>116</v>
      </c>
      <c r="D60" s="31"/>
      <c r="E60" s="32"/>
      <c r="F60" s="33"/>
      <c r="G60" s="34"/>
      <c r="H60" s="34"/>
      <c r="I60" s="35"/>
      <c r="J60" s="35"/>
      <c r="K60" s="36"/>
    </row>
    <row r="61" spans="1:11" x14ac:dyDescent="0.3">
      <c r="B61" s="1" t="s">
        <v>117</v>
      </c>
      <c r="C61" s="21" t="s">
        <v>118</v>
      </c>
      <c r="D61" s="31" t="s">
        <v>119</v>
      </c>
      <c r="E61" s="32" t="s">
        <v>120</v>
      </c>
      <c r="F61" s="33">
        <v>500000</v>
      </c>
      <c r="G61" s="34">
        <v>493.4</v>
      </c>
      <c r="H61" s="34">
        <v>1.17</v>
      </c>
      <c r="I61" s="35">
        <v>6.8799000000000001</v>
      </c>
      <c r="J61" s="35"/>
      <c r="K61" s="36"/>
    </row>
    <row r="62" spans="1:11" x14ac:dyDescent="0.3">
      <c r="C62" s="30" t="s">
        <v>101</v>
      </c>
      <c r="D62" s="31"/>
      <c r="E62" s="32"/>
      <c r="F62" s="33"/>
      <c r="G62" s="38">
        <v>493.4</v>
      </c>
      <c r="H62" s="38">
        <v>1.17</v>
      </c>
      <c r="I62" s="35"/>
      <c r="J62" s="35"/>
      <c r="K62" s="36"/>
    </row>
    <row r="63" spans="1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1:11" x14ac:dyDescent="0.3">
      <c r="C64" s="30" t="s">
        <v>121</v>
      </c>
      <c r="D64" s="31"/>
      <c r="E64" s="32"/>
      <c r="F64" s="33"/>
      <c r="G64" s="34" t="s">
        <v>103</v>
      </c>
      <c r="H64" s="34" t="s">
        <v>103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A66" s="28"/>
      <c r="B66" s="29"/>
      <c r="C66" s="30" t="s">
        <v>122</v>
      </c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A67" s="29"/>
      <c r="B67" s="29"/>
      <c r="C67" s="30" t="s">
        <v>123</v>
      </c>
      <c r="D67" s="31"/>
      <c r="E67" s="32"/>
      <c r="F67" s="33"/>
      <c r="G67" s="34" t="s">
        <v>103</v>
      </c>
      <c r="H67" s="34" t="s">
        <v>103</v>
      </c>
      <c r="I67" s="35"/>
      <c r="J67" s="35"/>
      <c r="K67" s="36"/>
    </row>
    <row r="68" spans="1:11" x14ac:dyDescent="0.3">
      <c r="A68" s="29"/>
      <c r="B68" s="29"/>
      <c r="C68" s="30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A69" s="29"/>
      <c r="B69" s="29"/>
      <c r="C69" s="30" t="s">
        <v>124</v>
      </c>
      <c r="D69" s="31"/>
      <c r="E69" s="32"/>
      <c r="F69" s="33"/>
      <c r="G69" s="34" t="s">
        <v>103</v>
      </c>
      <c r="H69" s="34" t="s">
        <v>103</v>
      </c>
      <c r="I69" s="35"/>
      <c r="J69" s="35"/>
      <c r="K69" s="36"/>
    </row>
    <row r="70" spans="1:11" x14ac:dyDescent="0.3">
      <c r="A70" s="29"/>
      <c r="B70" s="29"/>
      <c r="C70" s="30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A71" s="29"/>
      <c r="B71" s="29"/>
      <c r="C71" s="30" t="s">
        <v>125</v>
      </c>
      <c r="D71" s="31"/>
      <c r="E71" s="32"/>
      <c r="F71" s="33"/>
      <c r="G71" s="34" t="s">
        <v>103</v>
      </c>
      <c r="H71" s="34" t="s">
        <v>103</v>
      </c>
      <c r="I71" s="35"/>
      <c r="J71" s="35"/>
      <c r="K71" s="36"/>
    </row>
    <row r="72" spans="1:11" x14ac:dyDescent="0.3">
      <c r="A72" s="29"/>
      <c r="B72" s="29"/>
      <c r="C72" s="30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A73" s="29"/>
      <c r="B73" s="29"/>
      <c r="C73" s="30" t="s">
        <v>126</v>
      </c>
      <c r="D73" s="31"/>
      <c r="E73" s="32"/>
      <c r="F73" s="33"/>
      <c r="G73" s="34" t="s">
        <v>103</v>
      </c>
      <c r="H73" s="34" t="s">
        <v>103</v>
      </c>
      <c r="I73" s="35"/>
      <c r="J73" s="35"/>
      <c r="K73" s="36"/>
    </row>
    <row r="74" spans="1:11" x14ac:dyDescent="0.3">
      <c r="A74" s="29"/>
      <c r="B74" s="29"/>
      <c r="C74" s="30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C75" s="37" t="s">
        <v>127</v>
      </c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B76" s="1" t="s">
        <v>128</v>
      </c>
      <c r="C76" s="21" t="s">
        <v>129</v>
      </c>
      <c r="D76" s="31"/>
      <c r="E76" s="32"/>
      <c r="F76" s="33"/>
      <c r="G76" s="34">
        <v>2689.95</v>
      </c>
      <c r="H76" s="34">
        <v>6.4</v>
      </c>
      <c r="I76" s="35">
        <v>6.76</v>
      </c>
      <c r="J76" s="35"/>
      <c r="K76" s="36"/>
    </row>
    <row r="77" spans="1:11" x14ac:dyDescent="0.3">
      <c r="C77" s="30" t="s">
        <v>101</v>
      </c>
      <c r="D77" s="31"/>
      <c r="E77" s="32"/>
      <c r="F77" s="33"/>
      <c r="G77" s="38">
        <v>2689.95</v>
      </c>
      <c r="H77" s="38">
        <v>6.4</v>
      </c>
      <c r="I77" s="35"/>
      <c r="J77" s="35"/>
      <c r="K77" s="36"/>
    </row>
    <row r="78" spans="1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A79" s="28"/>
      <c r="B79" s="29"/>
      <c r="C79" s="30" t="s">
        <v>130</v>
      </c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B80" s="1"/>
      <c r="C80" s="21" t="s">
        <v>131</v>
      </c>
      <c r="D80" s="31"/>
      <c r="E80" s="32"/>
      <c r="F80" s="33"/>
      <c r="G80" s="34">
        <v>757.3</v>
      </c>
      <c r="H80" s="34">
        <v>1.79</v>
      </c>
      <c r="I80" s="35"/>
      <c r="J80" s="35"/>
      <c r="K80" s="36"/>
    </row>
    <row r="81" spans="3:11" x14ac:dyDescent="0.3">
      <c r="C81" s="30" t="s">
        <v>101</v>
      </c>
      <c r="D81" s="31"/>
      <c r="E81" s="32"/>
      <c r="F81" s="33"/>
      <c r="G81" s="38">
        <v>757.3</v>
      </c>
      <c r="H81" s="38">
        <v>1.79</v>
      </c>
      <c r="I81" s="35"/>
      <c r="J81" s="35"/>
      <c r="K81" s="36"/>
    </row>
    <row r="82" spans="3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3:11" ht="14.4" thickBot="1" x14ac:dyDescent="0.35">
      <c r="C83" s="39" t="s">
        <v>132</v>
      </c>
      <c r="D83" s="40"/>
      <c r="E83" s="41"/>
      <c r="F83" s="42"/>
      <c r="G83" s="43">
        <v>42029.73</v>
      </c>
      <c r="H83" s="43">
        <f>SUMIFS(H:H,C:C,"Total")</f>
        <v>100.00000000000001</v>
      </c>
      <c r="I83" s="44"/>
      <c r="J83" s="44"/>
      <c r="K83" s="45"/>
    </row>
    <row r="86" spans="3:11" x14ac:dyDescent="0.3">
      <c r="C86" s="46" t="s">
        <v>133</v>
      </c>
      <c r="D86" s="47"/>
      <c r="E86" s="47"/>
      <c r="F86" s="47"/>
      <c r="G86" s="48"/>
      <c r="H86" s="48"/>
    </row>
    <row r="87" spans="3:11" x14ac:dyDescent="0.3">
      <c r="C87" s="49" t="s">
        <v>134</v>
      </c>
      <c r="D87" s="47"/>
      <c r="E87" s="47"/>
      <c r="F87" s="47"/>
      <c r="G87" s="48"/>
      <c r="H87" s="48"/>
    </row>
    <row r="88" spans="3:11" x14ac:dyDescent="0.3">
      <c r="C88" s="50" t="s">
        <v>135</v>
      </c>
      <c r="D88" s="51" t="s">
        <v>136</v>
      </c>
      <c r="E88" s="52" t="s">
        <v>137</v>
      </c>
      <c r="F88" s="53" t="s">
        <v>138</v>
      </c>
      <c r="G88" s="54" t="s">
        <v>139</v>
      </c>
      <c r="H88" s="54" t="s">
        <v>140</v>
      </c>
    </row>
    <row r="89" spans="3:11" x14ac:dyDescent="0.3">
      <c r="C89" s="79" t="s">
        <v>141</v>
      </c>
      <c r="D89" s="80"/>
      <c r="E89" s="80"/>
      <c r="F89" s="80"/>
      <c r="G89" s="80"/>
      <c r="H89" s="81"/>
    </row>
    <row r="90" spans="3:11" x14ac:dyDescent="0.3">
      <c r="C90" s="55"/>
      <c r="D90" s="47"/>
      <c r="E90" s="56"/>
      <c r="F90" s="48"/>
      <c r="G90" s="48"/>
      <c r="H90" s="48"/>
    </row>
    <row r="91" spans="3:11" x14ac:dyDescent="0.3">
      <c r="C91" s="49"/>
      <c r="D91" s="47"/>
      <c r="E91" s="47"/>
      <c r="F91" s="47"/>
      <c r="G91" s="48"/>
      <c r="H91" s="48"/>
    </row>
    <row r="92" spans="3:11" x14ac:dyDescent="0.3">
      <c r="C92" s="57" t="s">
        <v>142</v>
      </c>
      <c r="D92" s="47"/>
      <c r="E92" s="47"/>
      <c r="F92" s="47"/>
      <c r="G92" s="48"/>
      <c r="H92" s="48"/>
    </row>
    <row r="93" spans="3:11" x14ac:dyDescent="0.3">
      <c r="C93" s="49"/>
      <c r="D93" s="47"/>
      <c r="E93" s="47"/>
      <c r="F93" s="47"/>
      <c r="G93" s="48"/>
      <c r="H93" s="48"/>
    </row>
    <row r="94" spans="3:11" x14ac:dyDescent="0.3">
      <c r="C94" s="46" t="s">
        <v>143</v>
      </c>
      <c r="D94" s="47"/>
      <c r="E94" s="47"/>
      <c r="F94" s="47"/>
      <c r="G94" s="48"/>
      <c r="H94" s="48"/>
    </row>
    <row r="95" spans="3:11" x14ac:dyDescent="0.3">
      <c r="C95" s="57" t="s">
        <v>144</v>
      </c>
      <c r="D95" s="56"/>
      <c r="E95" s="47"/>
      <c r="F95" s="47"/>
      <c r="G95" s="48"/>
      <c r="H95" s="48"/>
    </row>
    <row r="96" spans="3:11" x14ac:dyDescent="0.3">
      <c r="C96" s="57" t="s">
        <v>145</v>
      </c>
      <c r="D96" s="56"/>
      <c r="E96" s="58"/>
      <c r="F96" s="56"/>
      <c r="G96" s="48"/>
      <c r="H96" s="48"/>
    </row>
    <row r="97" spans="3:8" x14ac:dyDescent="0.3">
      <c r="C97" s="57" t="s">
        <v>146</v>
      </c>
      <c r="D97" s="59"/>
      <c r="E97" s="59"/>
      <c r="F97" s="47"/>
      <c r="G97" s="48"/>
      <c r="H97" s="48"/>
    </row>
    <row r="98" spans="3:8" x14ac:dyDescent="0.3">
      <c r="C98" s="57" t="s">
        <v>147</v>
      </c>
      <c r="D98" s="59"/>
      <c r="E98" s="59"/>
      <c r="F98" s="59"/>
      <c r="G98" s="48"/>
      <c r="H98" s="48"/>
    </row>
    <row r="99" spans="3:8" x14ac:dyDescent="0.3">
      <c r="C99" s="60" t="s">
        <v>148</v>
      </c>
      <c r="D99" s="59"/>
      <c r="E99" s="59"/>
      <c r="F99" s="59"/>
      <c r="G99" s="48"/>
      <c r="H99" s="48"/>
    </row>
    <row r="100" spans="3:8" x14ac:dyDescent="0.3">
      <c r="C100" s="60"/>
      <c r="D100" s="47"/>
      <c r="E100" s="47"/>
      <c r="F100" s="59"/>
      <c r="G100" s="48"/>
      <c r="H100" s="48"/>
    </row>
    <row r="101" spans="3:8" x14ac:dyDescent="0.3">
      <c r="C101" s="49"/>
      <c r="D101" s="47"/>
      <c r="E101" s="47"/>
      <c r="F101" s="59"/>
      <c r="G101" s="48"/>
      <c r="H101" s="48"/>
    </row>
    <row r="102" spans="3:8" ht="15" x14ac:dyDescent="0.35">
      <c r="C102" s="46" t="s">
        <v>149</v>
      </c>
      <c r="D102" s="57"/>
      <c r="E102" s="61"/>
      <c r="F102" s="57"/>
      <c r="G102" s="57"/>
      <c r="H102" s="62"/>
    </row>
    <row r="103" spans="3:8" x14ac:dyDescent="0.3">
      <c r="C103" s="63" t="s">
        <v>135</v>
      </c>
      <c r="D103" s="63" t="s">
        <v>136</v>
      </c>
      <c r="E103" s="54" t="s">
        <v>150</v>
      </c>
      <c r="F103" s="54" t="s">
        <v>138</v>
      </c>
      <c r="G103" s="54" t="s">
        <v>139</v>
      </c>
      <c r="H103" s="54" t="s">
        <v>140</v>
      </c>
    </row>
    <row r="104" spans="3:8" x14ac:dyDescent="0.3">
      <c r="C104" s="79" t="s">
        <v>141</v>
      </c>
      <c r="D104" s="80"/>
      <c r="E104" s="80"/>
      <c r="F104" s="80"/>
      <c r="G104" s="80"/>
      <c r="H104" s="81"/>
    </row>
    <row r="105" spans="3:8" x14ac:dyDescent="0.3">
      <c r="C105" s="64"/>
      <c r="D105" s="64"/>
      <c r="E105" s="64"/>
      <c r="F105" s="64"/>
      <c r="G105" s="64"/>
      <c r="H105" s="64"/>
    </row>
    <row r="106" spans="3:8" x14ac:dyDescent="0.3">
      <c r="C106" s="57" t="s">
        <v>151</v>
      </c>
      <c r="D106" s="64"/>
      <c r="E106" s="64"/>
      <c r="F106" s="64"/>
      <c r="G106" s="64"/>
      <c r="H106" s="64"/>
    </row>
    <row r="107" spans="3:8" x14ac:dyDescent="0.3">
      <c r="C107" s="64"/>
      <c r="D107" s="64"/>
      <c r="E107" s="64"/>
      <c r="F107" s="64"/>
      <c r="G107" s="64"/>
      <c r="H107" s="64"/>
    </row>
    <row r="108" spans="3:8" x14ac:dyDescent="0.3">
      <c r="C108" s="46" t="s">
        <v>152</v>
      </c>
      <c r="D108" s="64"/>
      <c r="E108" s="64"/>
      <c r="F108" s="64"/>
      <c r="G108" s="64"/>
      <c r="H108" s="64"/>
    </row>
    <row r="109" spans="3:8" x14ac:dyDescent="0.3">
      <c r="C109" s="57" t="s">
        <v>153</v>
      </c>
      <c r="D109" s="64"/>
      <c r="E109" s="64"/>
      <c r="F109" s="64"/>
      <c r="G109" s="64"/>
      <c r="H109" s="64"/>
    </row>
    <row r="110" spans="3:8" x14ac:dyDescent="0.3">
      <c r="C110" s="57" t="s">
        <v>154</v>
      </c>
      <c r="D110" s="64"/>
      <c r="E110" s="64"/>
      <c r="F110" s="64"/>
      <c r="G110" s="64"/>
      <c r="H110" s="64"/>
    </row>
    <row r="111" spans="3:8" x14ac:dyDescent="0.3">
      <c r="C111" s="57" t="s">
        <v>155</v>
      </c>
      <c r="D111" s="65"/>
      <c r="E111" s="64"/>
      <c r="F111" s="64"/>
      <c r="G111" s="64"/>
      <c r="H111" s="64"/>
    </row>
    <row r="112" spans="3:8" x14ac:dyDescent="0.3">
      <c r="C112" s="57" t="s">
        <v>156</v>
      </c>
      <c r="D112" s="65"/>
      <c r="E112" s="64"/>
      <c r="F112" s="64"/>
      <c r="G112" s="64"/>
      <c r="H112" s="64"/>
    </row>
    <row r="113" spans="3:55" x14ac:dyDescent="0.3">
      <c r="C113" s="60" t="s">
        <v>157</v>
      </c>
      <c r="D113" s="65"/>
      <c r="E113" s="66"/>
      <c r="F113" s="66"/>
      <c r="G113" s="64"/>
      <c r="H113" s="64"/>
    </row>
    <row r="114" spans="3:55" x14ac:dyDescent="0.3">
      <c r="C114" s="47"/>
      <c r="D114" s="47"/>
      <c r="E114" s="67"/>
      <c r="F114" s="47"/>
      <c r="G114" s="48"/>
      <c r="H114" s="48"/>
    </row>
    <row r="115" spans="3:55" x14ac:dyDescent="0.3">
      <c r="C115" s="68" t="s">
        <v>158</v>
      </c>
      <c r="D115" s="67"/>
      <c r="E115" s="67"/>
      <c r="F115" s="47"/>
      <c r="G115" s="48"/>
      <c r="H115" s="48"/>
    </row>
    <row r="116" spans="3:55" x14ac:dyDescent="0.3">
      <c r="C116" s="68" t="s">
        <v>159</v>
      </c>
      <c r="D116" s="47"/>
      <c r="E116" s="67"/>
      <c r="F116" s="47"/>
      <c r="G116" s="48"/>
      <c r="H116" s="48"/>
    </row>
    <row r="118" spans="3:55" x14ac:dyDescent="0.3">
      <c r="C118" s="11" t="s">
        <v>160</v>
      </c>
    </row>
    <row r="119" spans="3:55" x14ac:dyDescent="0.3">
      <c r="C119" s="2" t="s">
        <v>161</v>
      </c>
    </row>
    <row r="120" spans="3:55" x14ac:dyDescent="0.3">
      <c r="C120" s="69" t="s">
        <v>162</v>
      </c>
    </row>
    <row r="121" spans="3:55" x14ac:dyDescent="0.3">
      <c r="C121" s="2" t="s">
        <v>163</v>
      </c>
    </row>
    <row r="122" spans="3:55" x14ac:dyDescent="0.3">
      <c r="C122" s="2" t="s">
        <v>164</v>
      </c>
    </row>
    <row r="123" spans="3:55" x14ac:dyDescent="0.3">
      <c r="C123" s="2" t="s">
        <v>165</v>
      </c>
      <c r="D123" s="70"/>
      <c r="E123" s="70"/>
      <c r="F123" s="70"/>
      <c r="G123" s="71"/>
      <c r="H123" s="71"/>
    </row>
    <row r="124" spans="3:55" x14ac:dyDescent="0.3">
      <c r="C124" s="2" t="s">
        <v>166</v>
      </c>
    </row>
    <row r="125" spans="3:55" x14ac:dyDescent="0.3">
      <c r="C125" s="2" t="s">
        <v>167</v>
      </c>
    </row>
    <row r="126" spans="3:55" x14ac:dyDescent="0.3">
      <c r="C126" s="2" t="s">
        <v>168</v>
      </c>
    </row>
    <row r="127" spans="3:55" x14ac:dyDescent="0.3">
      <c r="C127" s="2" t="s">
        <v>169</v>
      </c>
    </row>
    <row r="128" spans="3:55" s="11" customFormat="1" x14ac:dyDescent="0.3">
      <c r="C128" s="11" t="s">
        <v>170</v>
      </c>
      <c r="E128" s="11" t="s">
        <v>171</v>
      </c>
      <c r="F128" s="72" t="s">
        <v>172</v>
      </c>
      <c r="G128" s="73"/>
      <c r="H128" s="73"/>
      <c r="I128" s="73"/>
      <c r="J128" s="73"/>
      <c r="K128" s="74"/>
      <c r="L128" s="74"/>
      <c r="M128" s="74"/>
      <c r="AJ128" s="74"/>
      <c r="AW128" s="74"/>
      <c r="AY128" s="74"/>
      <c r="BC128" s="74"/>
    </row>
    <row r="129" spans="3:6" x14ac:dyDescent="0.3">
      <c r="C129" s="2" t="s">
        <v>173</v>
      </c>
      <c r="E129" s="75">
        <v>14.7438</v>
      </c>
      <c r="F129" s="76">
        <v>14.036</v>
      </c>
    </row>
    <row r="130" spans="3:6" x14ac:dyDescent="0.3">
      <c r="C130" s="2" t="s">
        <v>174</v>
      </c>
      <c r="E130" s="75">
        <v>17.075399999999998</v>
      </c>
      <c r="F130" s="76">
        <v>16.255800000000001</v>
      </c>
    </row>
    <row r="131" spans="3:6" x14ac:dyDescent="0.3">
      <c r="C131" s="2" t="s">
        <v>175</v>
      </c>
      <c r="E131" s="75">
        <v>16.116599999999998</v>
      </c>
      <c r="F131" s="76">
        <v>15.3672</v>
      </c>
    </row>
    <row r="132" spans="3:6" x14ac:dyDescent="0.3">
      <c r="C132" s="2" t="s">
        <v>176</v>
      </c>
      <c r="E132" s="75">
        <v>18.717400000000001</v>
      </c>
      <c r="F132" s="76">
        <v>17.847000000000001</v>
      </c>
    </row>
    <row r="134" spans="3:6" x14ac:dyDescent="0.3">
      <c r="C134" s="2" t="s">
        <v>177</v>
      </c>
    </row>
    <row r="136" spans="3:6" x14ac:dyDescent="0.3">
      <c r="C136" s="2" t="s">
        <v>178</v>
      </c>
    </row>
    <row r="137" spans="3:6" x14ac:dyDescent="0.3">
      <c r="C137" s="2" t="s">
        <v>179</v>
      </c>
    </row>
    <row r="138" spans="3:6" x14ac:dyDescent="0.3">
      <c r="C138" s="2" t="s">
        <v>180</v>
      </c>
    </row>
    <row r="139" spans="3:6" x14ac:dyDescent="0.3">
      <c r="C139" s="2" t="s">
        <v>181</v>
      </c>
    </row>
    <row r="140" spans="3:6" x14ac:dyDescent="0.3">
      <c r="C140" s="2" t="s">
        <v>182</v>
      </c>
    </row>
    <row r="141" spans="3:6" x14ac:dyDescent="0.3">
      <c r="C141" s="2" t="s">
        <v>183</v>
      </c>
    </row>
    <row r="142" spans="3:6" x14ac:dyDescent="0.3">
      <c r="C142" s="2" t="s">
        <v>184</v>
      </c>
    </row>
    <row r="143" spans="3:6" x14ac:dyDescent="0.3">
      <c r="C143" s="2" t="s">
        <v>185</v>
      </c>
    </row>
    <row r="144" spans="3:6" x14ac:dyDescent="0.3">
      <c r="C144" s="2" t="s">
        <v>186</v>
      </c>
    </row>
    <row r="145" spans="3:11" x14ac:dyDescent="0.3">
      <c r="C145" s="2" t="s">
        <v>187</v>
      </c>
    </row>
    <row r="146" spans="3:11" x14ac:dyDescent="0.3">
      <c r="C146" s="2" t="s">
        <v>188</v>
      </c>
    </row>
    <row r="147" spans="3:11" x14ac:dyDescent="0.3">
      <c r="C147" s="2" t="s">
        <v>189</v>
      </c>
    </row>
    <row r="148" spans="3:11" ht="14.4" x14ac:dyDescent="0.3">
      <c r="C148" s="77"/>
      <c r="D148" s="77"/>
      <c r="E148" s="78"/>
      <c r="F148" s="78"/>
      <c r="G148" s="78"/>
      <c r="H148" s="78"/>
      <c r="I148" s="78"/>
      <c r="J148" s="78"/>
      <c r="K148" s="78"/>
    </row>
    <row r="149" spans="3:11" ht="14.4" x14ac:dyDescent="0.3">
      <c r="C149" s="78"/>
      <c r="D149" s="78"/>
      <c r="E149" s="78"/>
      <c r="F149" s="78"/>
      <c r="G149" s="78"/>
      <c r="H149" s="78"/>
      <c r="I149" s="78"/>
      <c r="J149" s="78"/>
      <c r="K149" s="78"/>
    </row>
    <row r="150" spans="3:11" ht="14.4" x14ac:dyDescent="0.3">
      <c r="C150" s="78"/>
      <c r="D150" s="78"/>
      <c r="E150" s="78"/>
      <c r="F150" s="78"/>
      <c r="G150" s="78"/>
      <c r="H150" s="78"/>
      <c r="I150" s="78"/>
      <c r="J150" s="78"/>
      <c r="K150" s="78"/>
    </row>
  </sheetData>
  <mergeCells count="2">
    <mergeCell ref="C89:H89"/>
    <mergeCell ref="C104:H104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FO</vt:lpstr>
      <vt:lpstr>XDO_?CLASS_3?13?</vt:lpstr>
      <vt:lpstr>XDO_?FINAL_ISIN?71?</vt:lpstr>
      <vt:lpstr>XDO_?FINAL_ISIN?72?</vt:lpstr>
      <vt:lpstr>XDO_?FINAL_ISIN?73?</vt:lpstr>
      <vt:lpstr>XDO_?FINAL_ISIN?74?</vt:lpstr>
      <vt:lpstr>XDO_?FINAL_MV?71?</vt:lpstr>
      <vt:lpstr>XDO_?FINAL_MV?72?</vt:lpstr>
      <vt:lpstr>XDO_?FINAL_MV?73?</vt:lpstr>
      <vt:lpstr>XDO_?FINAL_MV?74?</vt:lpstr>
      <vt:lpstr>XDO_?FINAL_NAME?71?</vt:lpstr>
      <vt:lpstr>XDO_?FINAL_NAME?72?</vt:lpstr>
      <vt:lpstr>XDO_?FINAL_NAME?73?</vt:lpstr>
      <vt:lpstr>XDO_?FINAL_NAME?74?</vt:lpstr>
      <vt:lpstr>XDO_?FINAL_PER_NET?71?</vt:lpstr>
      <vt:lpstr>XDO_?FINAL_PER_NET?72?</vt:lpstr>
      <vt:lpstr>XDO_?FINAL_PER_NET?73?</vt:lpstr>
      <vt:lpstr>XDO_?FINAL_PER_NET?74?</vt:lpstr>
      <vt:lpstr>XDO_?FINAL_QUANTITE?71?</vt:lpstr>
      <vt:lpstr>XDO_?FINAL_QUANTITE?72?</vt:lpstr>
      <vt:lpstr>XDO_?FINAL_QUANTITE?73?</vt:lpstr>
      <vt:lpstr>XDO_?FINAL_QUANTITE?74?</vt:lpstr>
      <vt:lpstr>XDO_?NAMCNAME?13?</vt:lpstr>
      <vt:lpstr>XDO_?NOVAL?71?</vt:lpstr>
      <vt:lpstr>XDO_?NOVAL?72?</vt:lpstr>
      <vt:lpstr>XDO_?NOVAL?73?</vt:lpstr>
      <vt:lpstr>XDO_?NOVAL?74?</vt:lpstr>
      <vt:lpstr>XDO_?NPTF?13?</vt:lpstr>
      <vt:lpstr>XDO_?RATING?71?</vt:lpstr>
      <vt:lpstr>XDO_?RATING?72?</vt:lpstr>
      <vt:lpstr>XDO_?RATING?73?</vt:lpstr>
      <vt:lpstr>XDO_?RATING?74?</vt:lpstr>
      <vt:lpstr>XDO_?REMARKS?71?</vt:lpstr>
      <vt:lpstr>XDO_?REMARKS?72?</vt:lpstr>
      <vt:lpstr>XDO_?REMARKS?73?</vt:lpstr>
      <vt:lpstr>XDO_?REMARKS?74?</vt:lpstr>
      <vt:lpstr>XDO_?TITL?13?</vt:lpstr>
      <vt:lpstr>XDO_?YTM?71?</vt:lpstr>
      <vt:lpstr>XDO_?YTM?72?</vt:lpstr>
      <vt:lpstr>XDO_?YTM?73?</vt:lpstr>
      <vt:lpstr>XDO_?YTM?74?</vt:lpstr>
      <vt:lpstr>XDO_GROUP_?G_2?13?</vt:lpstr>
      <vt:lpstr>XDO_GROUP_?G_3?13?</vt:lpstr>
      <vt:lpstr>XDO_GROUP_?G_4?71?</vt:lpstr>
      <vt:lpstr>XDO_GROUP_?G_4?72?</vt:lpstr>
      <vt:lpstr>XDO_GROUP_?G_4?73?</vt:lpstr>
      <vt:lpstr>XDO_GROUP_?G_4?74?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Celest Technologies Support</cp:lastModifiedBy>
  <dcterms:created xsi:type="dcterms:W3CDTF">2023-11-08T10:27:11Z</dcterms:created>
  <dcterms:modified xsi:type="dcterms:W3CDTF">2023-11-09T08:03:04Z</dcterms:modified>
</cp:coreProperties>
</file>