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67D171A3-F188-4CEE-A2CF-D3A8D72282CA}" xr6:coauthVersionLast="47" xr6:coauthVersionMax="47" xr10:uidLastSave="{00000000-0000-0000-0000-000000000000}"/>
  <bookViews>
    <workbookView xWindow="-108" yWindow="-108" windowWidth="23256" windowHeight="12456" xr2:uid="{F70CA250-8ECB-4047-BEC0-1E474DF65D22}"/>
  </bookViews>
  <sheets>
    <sheet name="T0MD28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E29" i="1"/>
  <c r="E28" i="1"/>
  <c r="E27" i="1"/>
  <c r="E30" i="1" s="1"/>
</calcChain>
</file>

<file path=xl/sharedStrings.xml><?xml version="1.0" encoding="utf-8"?>
<sst xmlns="http://schemas.openxmlformats.org/spreadsheetml/2006/main" count="64" uniqueCount="44">
  <si>
    <t>Baroda BNP Paribas NIFTY SDL December 2028 Index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</si>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</sst>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77AA22B9-12C5-4036-8666-E7C2B5FE8F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2708148</xdr:colOff>
      <xdr:row>50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8E66AC-D2B9-4EEF-B61D-EB8CA93F1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426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3855720</xdr:colOff>
      <xdr:row>65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52A0B1-8E73-4D6A-AF59-91972B873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34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B5E6-4B45-4B63-B06B-A42654022EF6}">
  <sheetPr codeName="Sheet6">
    <outlinePr summaryBelow="0"/>
  </sheetPr>
  <dimension ref="A1:J6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1152700</v>
      </c>
      <c r="F7" s="16">
        <v>1205.8399999999999</v>
      </c>
      <c r="G7" s="17">
        <v>0.42049999999999998</v>
      </c>
      <c r="H7" s="18">
        <v>6.4611000000000002E-2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760000</v>
      </c>
      <c r="F8" s="16">
        <v>795.04</v>
      </c>
      <c r="G8" s="17">
        <v>0.2772</v>
      </c>
      <c r="H8" s="18">
        <v>6.4611000000000002E-2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375000</v>
      </c>
      <c r="F9" s="16">
        <v>392.29</v>
      </c>
      <c r="G9" s="17">
        <v>0.1368</v>
      </c>
      <c r="H9" s="18">
        <v>6.4611000000000002E-2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355000</v>
      </c>
      <c r="F10" s="16">
        <v>371.37</v>
      </c>
      <c r="G10" s="17">
        <v>0.1295</v>
      </c>
      <c r="H10" s="18">
        <v>6.4611000000000002E-2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2764.54</v>
      </c>
      <c r="G11" s="23">
        <v>0.96399999999999997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2764.54</v>
      </c>
      <c r="G14" s="23">
        <v>0.96399999999999997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100.56</v>
      </c>
      <c r="G16" s="17">
        <v>3.5099999999999999E-2</v>
      </c>
      <c r="H16" s="18">
        <v>5.3562511127664351E-2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100.56</v>
      </c>
      <c r="G17" s="23">
        <v>3.5099999999999999E-2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100.56</v>
      </c>
      <c r="G20" s="23">
        <v>3.5099999999999999E-2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2.5</v>
      </c>
      <c r="G21" s="23">
        <v>8.9999999999999998E-4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2867.6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1"/>
      <c r="C24" s="41"/>
      <c r="D24" s="41"/>
      <c r="E24" s="41"/>
      <c r="F24" s="41"/>
      <c r="G24" s="41"/>
      <c r="H24" s="41"/>
      <c r="I24" s="1"/>
      <c r="J24" s="1"/>
    </row>
    <row r="25" spans="1:10" ht="13.05" customHeight="1" thickBot="1">
      <c r="A25" s="1"/>
      <c r="B25" s="41"/>
      <c r="C25" s="41"/>
      <c r="D25" s="41"/>
      <c r="E25" s="41"/>
      <c r="F25" s="41"/>
      <c r="G25" s="41"/>
      <c r="H25" s="41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0.96399999999999997</v>
      </c>
      <c r="E28" s="37">
        <f t="shared" ref="E28:E29" si="0">MIN(C28:D28)</f>
        <v>0.96399999999999997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3.5999999999999997E-2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 t="shared" ref="C30" si="1">SUM(C27:C29)</f>
        <v>1</v>
      </c>
      <c r="D30" s="39">
        <f>SUM(D27:D29)</f>
        <v>1</v>
      </c>
      <c r="E30" s="40">
        <f t="shared" ref="E30" si="2">SUM(E27:E29)</f>
        <v>0.96399999999999997</v>
      </c>
      <c r="F30" s="2"/>
      <c r="G30" s="2"/>
      <c r="H30" s="2"/>
      <c r="I30" s="1"/>
      <c r="J30" s="1"/>
    </row>
    <row r="31" spans="1:10" ht="13.05" customHeight="1">
      <c r="A31" s="1"/>
      <c r="B31" s="2" t="s">
        <v>31</v>
      </c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5.95" customHeight="1">
      <c r="A33" s="1"/>
      <c r="B33" s="41" t="s">
        <v>42</v>
      </c>
      <c r="C33" s="41"/>
      <c r="D33" s="41"/>
      <c r="E33" s="41"/>
      <c r="F33" s="41"/>
      <c r="G33" s="41"/>
      <c r="H33" s="41"/>
      <c r="I33" s="1"/>
      <c r="J33" s="1"/>
    </row>
    <row r="69" spans="2:2">
      <c r="B69" t="s">
        <v>43</v>
      </c>
    </row>
  </sheetData>
  <mergeCells count="3">
    <mergeCell ref="B24:H24"/>
    <mergeCell ref="B25:H25"/>
    <mergeCell ref="B33:H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2026-01-06T16:25:48Z</dcterms:created>
  <dcterms:modified xsi:type="dcterms:W3CDTF">2026-01-07T12:46:45Z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ac13ae89-8b91-429c-9312-34e8c983c167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