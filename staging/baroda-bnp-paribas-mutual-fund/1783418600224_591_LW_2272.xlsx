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1?">'Monthly Portfolio'!$C$16:$C$22</definedName>
    <definedName name="XDO_?FINAL_ISIN?1?">'Monthly Portfolio'!$D$18:$D$22</definedName>
    <definedName name="XDO_?FINAL_ISIN?2?">'Monthly Portfolio'!$D$18:$D$30</definedName>
    <definedName name="XDO_?FINAL_ISIN?3?">'Monthly Portfolio'!$D$18:$D$39</definedName>
    <definedName name="XDO_?FINAL_ISIN?4?">'Monthly Portfolio'!$D$18:$D$49</definedName>
    <definedName name="XDO_?FINAL_ISIN?5?">'Monthly Portfolio'!$D$18:$D$66</definedName>
    <definedName name="XDO_?FINAL_ISIN?6?">'Monthly Portfolio'!$D$18:$D$70</definedName>
    <definedName name="XDO_?FINAL_MV?1?">'Monthly Portfolio'!$G$18:$G$22</definedName>
    <definedName name="XDO_?FINAL_MV?2?">'Monthly Portfolio'!$G$18:$G$30</definedName>
    <definedName name="XDO_?FINAL_MV?3?">'Monthly Portfolio'!$G$18:$G$39</definedName>
    <definedName name="XDO_?FINAL_MV?4?">'Monthly Portfolio'!$G$18:$G$49</definedName>
    <definedName name="XDO_?FINAL_MV?5?">'Monthly Portfolio'!$G$18:$G$66</definedName>
    <definedName name="XDO_?FINAL_MV?6?">'Monthly Portfolio'!$G$18:$G$70</definedName>
    <definedName name="XDO_?FINAL_NAME?1?">'Monthly Portfolio'!$C$18:$C$22</definedName>
    <definedName name="XDO_?FINAL_NAME?2?">'Monthly Portfolio'!$C$18:$C$30</definedName>
    <definedName name="XDO_?FINAL_NAME?3?">'Monthly Portfolio'!$C$18:$C$39</definedName>
    <definedName name="XDO_?FINAL_NAME?4?">'Monthly Portfolio'!$C$18:$C$49</definedName>
    <definedName name="XDO_?FINAL_NAME?5?">'Monthly Portfolio'!$C$18:$C$66</definedName>
    <definedName name="XDO_?FINAL_NAME?6?">'Monthly Portfolio'!$C$18:$C$70</definedName>
    <definedName name="XDO_?FINAL_PER_NET?1?">'Monthly Portfolio'!$H$18:$H$22</definedName>
    <definedName name="XDO_?FINAL_PER_NET?2?">'Monthly Portfolio'!$H$18:$H$30</definedName>
    <definedName name="XDO_?FINAL_PER_NET?3?">'Monthly Portfolio'!$H$18:$H$39</definedName>
    <definedName name="XDO_?FINAL_PER_NET?4?">'Monthly Portfolio'!$H$18:$H$49</definedName>
    <definedName name="XDO_?FINAL_PER_NET?5?">'Monthly Portfolio'!$H$18:$H$66</definedName>
    <definedName name="XDO_?FINAL_PER_NET?6?">'Monthly Portfolio'!$H$18:$H$70</definedName>
    <definedName name="XDO_?FINAL_QUANTITE?1?">'Monthly Portfolio'!$F$18:$F$22</definedName>
    <definedName name="XDO_?FINAL_QUANTITE?2?">'Monthly Portfolio'!$F$18:$F$30</definedName>
    <definedName name="XDO_?FINAL_QUANTITE?3?">'Monthly Portfolio'!$F$18:$F$39</definedName>
    <definedName name="XDO_?FINAL_QUANTITE?4?">'Monthly Portfolio'!$F$18:$F$49</definedName>
    <definedName name="XDO_?FINAL_QUANTITE?5?">'Monthly Portfolio'!$F$18:$F$66</definedName>
    <definedName name="XDO_?FINAL_QUANTITE?6?">'Monthly Portfolio'!$F$18:$F$70</definedName>
    <definedName name="XDO_?NAMC?">[1]MT!#REF!</definedName>
    <definedName name="XDO_?NAMC?1?">'Monthly Portfolio'!#REF!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[1]CO!#REF!</definedName>
    <definedName name="XDO_?NAMC?23?">[1]US!#REF!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1?">'Monthly Portfolio'!$C$2:$C$22</definedName>
    <definedName name="XDO_?NDATE?">[1]MT!#REF!</definedName>
    <definedName name="XDO_?NDATE?1?">'Monthly Portfolio'!#REF!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[1]CO!#REF!</definedName>
    <definedName name="XDO_?NDATE?23?">[1]US!#REF!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'Monthly Portfolio'!#REF!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[1]CO!#REF!</definedName>
    <definedName name="XDO_?NNPTF?23?">[1]US!#REF!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1?">'Monthly Portfolio'!$B$18:$B$22</definedName>
    <definedName name="XDO_?NOVAL?2?">'Monthly Portfolio'!$B$18:$B$30</definedName>
    <definedName name="XDO_?NOVAL?3?">'Monthly Portfolio'!$B$18:$B$39</definedName>
    <definedName name="XDO_?NOVAL?4?">'Monthly Portfolio'!$B$18:$B$49</definedName>
    <definedName name="XDO_?NOVAL?5?">'Monthly Portfolio'!$B$18:$B$66</definedName>
    <definedName name="XDO_?NOVAL?6?">'Monthly Portfolio'!$B$18:$B$70</definedName>
    <definedName name="XDO_?NPTF?1?">'Monthly Portfolio'!$D$2:$D$22</definedName>
    <definedName name="XDO_?RATING?1?">'Monthly Portfolio'!$E$18:$E$22</definedName>
    <definedName name="XDO_?RATING?2?">'Monthly Portfolio'!$E$18:$E$30</definedName>
    <definedName name="XDO_?RATING?3?">'Monthly Portfolio'!$E$18:$E$39</definedName>
    <definedName name="XDO_?RATING?4?">'Monthly Portfolio'!$E$18:$E$49</definedName>
    <definedName name="XDO_?RATING?5?">'Monthly Portfolio'!$E$18:$E$66</definedName>
    <definedName name="XDO_?RATING?6?">'Monthly Portfolio'!$E$18:$E$70</definedName>
    <definedName name="XDO_?REMARKS?1?">'Monthly Portfolio'!$K$18:$K$22</definedName>
    <definedName name="XDO_?REMARKS?2?">'Monthly Portfolio'!$K$18:$K$30</definedName>
    <definedName name="XDO_?REMARKS?3?">'Monthly Portfolio'!$K$18:$K$39</definedName>
    <definedName name="XDO_?REMARKS?4?">'Monthly Portfolio'!$K$18:$K$49</definedName>
    <definedName name="XDO_?REMARKS?5?">'Monthly Portfolio'!$K$18:$K$66</definedName>
    <definedName name="XDO_?REMARKS?6?">'Monthly Portfolio'!$K$18:$K$70</definedName>
    <definedName name="XDO_?TITL?1?">'Monthly Portfolio'!$A$16:$A$22</definedName>
    <definedName name="XDO_?YTM?1?">'Monthly Portfolio'!$I$18:$I$22</definedName>
    <definedName name="XDO_?YTM?2?">'Monthly Portfolio'!$I$18:$I$30</definedName>
    <definedName name="XDO_?YTM?3?">'Monthly Portfolio'!$I$18:$I$39</definedName>
    <definedName name="XDO_?YTM?4?">'Monthly Portfolio'!$I$18:$I$49</definedName>
    <definedName name="XDO_?YTM?5?">'Monthly Portfolio'!$I$18:$I$66</definedName>
    <definedName name="XDO_?YTM?6?">'Monthly Portfolio'!$I$18:$I$70</definedName>
    <definedName name="XDO_GROUP_?G_2?1?">'Monthly Portfolio'!$2:$46</definedName>
    <definedName name="XDO_GROUP_?G_3?1?">'Monthly Portfolio'!$8:$45</definedName>
    <definedName name="XDO_GROUP_?G_4?1?">'Monthly Portfolio'!$B$10:$IV$14</definedName>
    <definedName name="XDO_GROUP_?G_4?117?">[1]ON!#REF!</definedName>
    <definedName name="XDO_GROUP_?G_4?2?">'Monthly Portfolio'!$B$16:$IV$16</definedName>
    <definedName name="XDO_GROUP_?G_4?3?">'Monthly Portfolio'!$B$21:$IV$23</definedName>
    <definedName name="XDO_GROUP_?G_4?32?">[1]TA!#REF!</definedName>
    <definedName name="XDO_GROUP_?G_4?4?">'Monthly Portfolio'!$B$27:$IV$33</definedName>
    <definedName name="XDO_GROUP_?G_4?5?">'Monthly Portfolio'!$B$38:$IV$38</definedName>
    <definedName name="XDO_GROUP_?G_4?6?">'Monthly Portfolio'!$B$43:$IV$43</definedName>
    <definedName name="XDO_GROUP_?G_4?76?">[1]GR!#REF!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2"/>
  <c r="H73" i="1"/>
</calcChain>
</file>

<file path=xl/sharedStrings.xml><?xml version="1.0" encoding="utf-8"?>
<sst xmlns="http://schemas.openxmlformats.org/spreadsheetml/2006/main" count="420" uniqueCount="163">
  <si>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</si>
  <si>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</si>
  <si>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</si>
  <si>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</si>
  <si>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</si>
  <si>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</si>
  <si>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</si>
  <si>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</si>
  <si>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</si>
  <si>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</si>
  <si>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</si>
  <si>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</si>
  <si>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</si>
  <si>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</si>
  <si>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</si>
  <si>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</si>
  <si>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</si>
  <si>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</si>
  <si>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</si>
  <si>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</si>
  <si>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</si>
  <si>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702593</t>
  </si>
  <si>
    <t>5.45% NTPC Ltd. 15-Oct-2025</t>
  </si>
  <si>
    <t>INE733E08163</t>
  </si>
  <si>
    <t>CRISIL AAA</t>
  </si>
  <si>
    <t>N**</t>
  </si>
  <si>
    <t>704026</t>
  </si>
  <si>
    <t>7.20% Export-Import Bank of India 05-Jun-2025</t>
  </si>
  <si>
    <t>INE514E08FY8</t>
  </si>
  <si>
    <t>703630</t>
  </si>
  <si>
    <t>8.50% Piramal Capital &amp; Housing Finance Ltd. 31-Jul-2023</t>
  </si>
  <si>
    <t>INE516Y07188</t>
  </si>
  <si>
    <t>[ICRA]AA</t>
  </si>
  <si>
    <t>703776</t>
  </si>
  <si>
    <t>7.00% Shriram Finance Ltd. 21-Feb-2024</t>
  </si>
  <si>
    <t>INE721A07QS8</t>
  </si>
  <si>
    <t>CRISIL AA+</t>
  </si>
  <si>
    <t>703915</t>
  </si>
  <si>
    <t>8.50% JM Financial Products Ltd. 16-May-2025</t>
  </si>
  <si>
    <t>INE523H07BV9</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</si>
  <si>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</si>
  <si>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</si>
  <si>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</si>
  <si>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</si>
  <si>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</si>
  <si>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</si>
  <si>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</si>
  <si>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</si>
  <si>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</si>
  <si>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</si>
  <si>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</si>
  <si>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1008570</t>
  </si>
  <si>
    <t>Housing Development Finance Corporation Ltd. 25-Jul-2023</t>
  </si>
  <si>
    <t>INE001A14ZE2</t>
  </si>
  <si>
    <t>CRISIL A1+</t>
  </si>
  <si>
    <t>1008641</t>
  </si>
  <si>
    <t>Kotak Mahindra Investments Ltd. 24-Jul-2023</t>
  </si>
  <si>
    <t>INE975F14XW3</t>
  </si>
  <si>
    <t>1008735</t>
  </si>
  <si>
    <t>Tata Capital Financial Services Ltd. 20-Feb-2024</t>
  </si>
  <si>
    <t>INE306N14VR9</t>
  </si>
  <si>
    <t>b) Certificate of Deposits</t>
  </si>
  <si>
    <t>1102042</t>
  </si>
  <si>
    <t>State Bank of India 12-Sep-2023</t>
  </si>
  <si>
    <t>INE062A16465</t>
  </si>
  <si>
    <t>IND A1+</t>
  </si>
  <si>
    <t>1102113</t>
  </si>
  <si>
    <t>Small Industries Development Bank of India 21-Nov-2023</t>
  </si>
  <si>
    <t>INE556F16AB8</t>
  </si>
  <si>
    <t>1102211</t>
  </si>
  <si>
    <t>Indian Bank 05-Mar-2024</t>
  </si>
  <si>
    <t>INE562A16LN9</t>
  </si>
  <si>
    <t>1102214</t>
  </si>
  <si>
    <t>National Bank for Agriculture and Rural Development 08-Mar-2024</t>
  </si>
  <si>
    <t>INE261F16702</t>
  </si>
  <si>
    <t>1102228</t>
  </si>
  <si>
    <t>HDFC Bank Ltd. 20-Mar-2024</t>
  </si>
  <si>
    <t>INE040A16DU8</t>
  </si>
  <si>
    <t>1102142</t>
  </si>
  <si>
    <t>Canara Bank 04-Dec-2023</t>
  </si>
  <si>
    <t>INE476A16UN3</t>
  </si>
  <si>
    <t>1102049</t>
  </si>
  <si>
    <t>Kotak Mahindra Bank Ltd. 18-Aug-2023</t>
  </si>
  <si>
    <t>INE237A160Q5</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</si>
  <si>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</si>
  <si>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</si>
  <si>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</si>
  <si>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</si>
  <si>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</si>
  <si>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</si>
  <si>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</si>
  <si>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</si>
  <si>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</si>
  <si>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</si>
  <si>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</si>
  <si>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</si>
  <si>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</si>
  <si>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</si>
  <si>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</si>
  <si>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</si>
  <si>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</si>
  <si>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</si>
  <si>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</si>
  <si>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</si>
  <si>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</si>
  <si>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</si>
  <si>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</si>
  <si>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</si>
  <si>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</si>
  <si>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</si>
  <si>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</si>
  <si>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</si>
  <si>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</si>
  <si>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</si>
  <si>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</si>
  <si>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</si>
  <si>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</si>
  <si>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</si>
  <si>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</si>
  <si>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</si>
  <si>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</si>
  <si>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</si>
  <si>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</si>
  <si>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</si>
  <si>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</si>
  <si>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</si>
  <si>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</si>
  <si>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342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</si>
  <si>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</si>
  <si>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</si>
  <si>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</si>
  <si>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</si>
  <si>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</si>
  <si>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</si>
  <si>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</si>
  <si>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</si>
  <si>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</si>
  <si>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329 days.</t>
  </si>
  <si>
    <t>(18) Annualised Portfolio YTM has been 7.6330.</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</si>
  <si>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</si>
  <si>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</si>
  <si>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</si>
  <si>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</si>
  <si>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</si>
  <si>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</si>
  <si>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</si>
  <si>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</si>
  <si>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</si>
  <si>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</si>
  <si>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</si>
  <si>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</si>
  <si>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</si>
  <si>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</si>
  <si>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LOW DURATION FUND
(An Open ended Low Duration Debt Scheme investing in instruments such that Macaulay duration † of portfolio is between 6 months and 12 months.A relatively low interest rate risk and moderate credit risk scheme.</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</si>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</sst>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9" fillId="0" borderId="0" xfId="0" applyFont="1"/>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xf numFmtId="0" fontId="12" fillId="0" borderId="0" xfId="0" applyFont="1" applyAlignment="1">
      <alignment horizontal="left"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703241</xdr:colOff>
      <xdr:row>147</xdr:row>
      <xdr:rowOff>36237</xdr:rowOff>
    </xdr:to>
    <xdr:pic>
      <xdr:nvPicPr>
        <xdr:cNvPr id="2" name="Picture 1" descr="Low Duration Fund.jpg"/>
        <xdr:cNvPicPr>
          <a:picLocks noChangeAspect="1"/>
        </xdr:cNvPicPr>
      </xdr:nvPicPr>
      <xdr:blipFill>
        <a:blip xmlns:r="http://schemas.openxmlformats.org/officeDocument/2006/relationships" r:embed="rId1"/>
        <a:stretch>
          <a:fillRect/>
        </a:stretch>
      </xdr:blipFill>
      <xdr:spPr>
        <a:xfrm>
          <a:off x="169333" y="21526500"/>
          <a:ext cx="7455408" cy="38039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5</xdr:col>
      <xdr:colOff>703241</xdr:colOff>
      <xdr:row>151</xdr:row>
      <xdr:rowOff>36237</xdr:rowOff>
    </xdr:to>
    <xdr:pic>
      <xdr:nvPicPr>
        <xdr:cNvPr id="2" name="Picture 1" descr="Low Duration Fund.jpg"/>
        <xdr:cNvPicPr>
          <a:picLocks noChangeAspect="1"/>
        </xdr:cNvPicPr>
      </xdr:nvPicPr>
      <xdr:blipFill>
        <a:blip xmlns:r="http://schemas.openxmlformats.org/officeDocument/2006/relationships" r:embed="rId1"/>
        <a:stretch>
          <a:fillRect/>
        </a:stretch>
      </xdr:blipFill>
      <xdr:spPr>
        <a:xfrm>
          <a:off x="175260" y="22212300"/>
          <a:ext cx="7652681" cy="39071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58"/>
  <sheetViews>
    <sheetView showGridLines="0" tabSelected="1" zoomScale="90" zoomScaleNormal="90" workbookViewId="0">
      <pane ySplit="6" topLeftCell="A7" activePane="bottomLeft" state="frozen"/>
      <selection activeCell="I2" sqref="I2"/>
      <selection pane="bottomLeft" activeCell="C2" sqref="C2"/>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150</v>
      </c>
      <c r="G18" s="32">
        <v>1433.08</v>
      </c>
      <c r="H18" s="32">
        <v>7.99</v>
      </c>
      <c r="I18" s="33">
        <v>7.42</v>
      </c>
      <c r="J18" s="33"/>
      <c r="K18" s="34" t="s">
        <v>25</v>
      </c>
    </row>
    <row r="19" spans="2:11">
      <c r="B19" s="1" t="s">
        <v>26</v>
      </c>
      <c r="C19" s="21" t="s">
        <v>27</v>
      </c>
      <c r="D19" s="29" t="s">
        <v>28</v>
      </c>
      <c r="E19" s="30" t="s">
        <v>24</v>
      </c>
      <c r="F19" s="31">
        <v>112</v>
      </c>
      <c r="G19" s="32">
        <v>1114.1199999999999</v>
      </c>
      <c r="H19" s="32">
        <v>6.21</v>
      </c>
      <c r="I19" s="33">
        <v>7.45</v>
      </c>
      <c r="J19" s="33"/>
      <c r="K19" s="34"/>
    </row>
    <row r="20" spans="2:11">
      <c r="B20" s="1" t="s">
        <v>29</v>
      </c>
      <c r="C20" s="21" t="s">
        <v>30</v>
      </c>
      <c r="D20" s="29" t="s">
        <v>31</v>
      </c>
      <c r="E20" s="30" t="s">
        <v>32</v>
      </c>
      <c r="F20" s="31">
        <v>100</v>
      </c>
      <c r="G20" s="32">
        <v>999.7</v>
      </c>
      <c r="H20" s="32">
        <v>5.57</v>
      </c>
      <c r="I20" s="33">
        <v>8.3628999999999998</v>
      </c>
      <c r="J20" s="33"/>
      <c r="K20" s="34" t="s">
        <v>25</v>
      </c>
    </row>
    <row r="21" spans="2:11">
      <c r="B21" s="1" t="s">
        <v>33</v>
      </c>
      <c r="C21" s="21" t="s">
        <v>34</v>
      </c>
      <c r="D21" s="29" t="s">
        <v>35</v>
      </c>
      <c r="E21" s="30" t="s">
        <v>36</v>
      </c>
      <c r="F21" s="31">
        <v>70</v>
      </c>
      <c r="G21" s="32">
        <v>691.41</v>
      </c>
      <c r="H21" s="32">
        <v>3.86</v>
      </c>
      <c r="I21" s="33">
        <v>8.4138000000000002</v>
      </c>
      <c r="J21" s="33"/>
      <c r="K21" s="34" t="s">
        <v>25</v>
      </c>
    </row>
    <row r="22" spans="2:11">
      <c r="B22" s="1" t="s">
        <v>37</v>
      </c>
      <c r="C22" s="21" t="s">
        <v>38</v>
      </c>
      <c r="D22" s="29" t="s">
        <v>39</v>
      </c>
      <c r="E22" s="30" t="s">
        <v>32</v>
      </c>
      <c r="F22" s="31">
        <v>70</v>
      </c>
      <c r="G22" s="32">
        <v>684.98</v>
      </c>
      <c r="H22" s="32">
        <v>3.82</v>
      </c>
      <c r="I22" s="33">
        <v>9.6591000000000005</v>
      </c>
      <c r="J22" s="33"/>
      <c r="K22" s="34" t="s">
        <v>25</v>
      </c>
    </row>
    <row r="23" spans="2:11">
      <c r="C23" s="28" t="s">
        <v>40</v>
      </c>
      <c r="D23" s="29"/>
      <c r="E23" s="30"/>
      <c r="F23" s="31"/>
      <c r="G23" s="38">
        <v>4923.29</v>
      </c>
      <c r="H23" s="38">
        <v>27.45</v>
      </c>
      <c r="I23" s="33"/>
      <c r="J23" s="33"/>
      <c r="K23" s="34"/>
    </row>
    <row r="24" spans="2:11">
      <c r="C24" s="21"/>
      <c r="D24" s="29"/>
      <c r="E24" s="30"/>
      <c r="F24" s="31"/>
      <c r="G24" s="32"/>
      <c r="H24" s="32"/>
      <c r="I24" s="33"/>
      <c r="J24" s="33"/>
      <c r="K24" s="34"/>
    </row>
    <row r="25" spans="2:11">
      <c r="C25" s="28" t="s">
        <v>41</v>
      </c>
      <c r="D25" s="29"/>
      <c r="E25" s="30"/>
      <c r="F25" s="31"/>
      <c r="G25" s="32" t="s">
        <v>16</v>
      </c>
      <c r="H25" s="32" t="s">
        <v>16</v>
      </c>
      <c r="I25" s="33"/>
      <c r="J25" s="33"/>
      <c r="K25" s="34"/>
    </row>
    <row r="26" spans="2:11">
      <c r="C26" s="21"/>
      <c r="D26" s="29"/>
      <c r="E26" s="30"/>
      <c r="F26" s="31"/>
      <c r="G26" s="32"/>
      <c r="H26" s="32"/>
      <c r="I26" s="33"/>
      <c r="J26" s="33"/>
      <c r="K26" s="34"/>
    </row>
    <row r="27" spans="2:11">
      <c r="C27" s="28" t="s">
        <v>42</v>
      </c>
      <c r="D27" s="29"/>
      <c r="E27" s="30"/>
      <c r="F27" s="31"/>
      <c r="G27" s="32" t="s">
        <v>16</v>
      </c>
      <c r="H27" s="32" t="s">
        <v>16</v>
      </c>
      <c r="I27" s="33"/>
      <c r="J27" s="33"/>
      <c r="K27" s="34"/>
    </row>
    <row r="28" spans="2:11">
      <c r="C28" s="21"/>
      <c r="D28" s="29"/>
      <c r="E28" s="30"/>
      <c r="F28" s="31"/>
      <c r="G28" s="32"/>
      <c r="H28" s="32"/>
      <c r="I28" s="33"/>
      <c r="J28" s="33"/>
      <c r="K28" s="34"/>
    </row>
    <row r="29" spans="2:11">
      <c r="C29" s="37" t="s">
        <v>43</v>
      </c>
      <c r="D29" s="29"/>
      <c r="E29" s="30"/>
      <c r="F29" s="31"/>
      <c r="G29" s="32"/>
      <c r="H29" s="32"/>
      <c r="I29" s="33"/>
      <c r="J29" s="33"/>
      <c r="K29" s="34"/>
    </row>
    <row r="30" spans="2:11">
      <c r="B30" s="1" t="s">
        <v>44</v>
      </c>
      <c r="C30" s="21" t="s">
        <v>45</v>
      </c>
      <c r="D30" s="29" t="s">
        <v>46</v>
      </c>
      <c r="E30" s="30" t="s">
        <v>47</v>
      </c>
      <c r="F30" s="31">
        <v>262000</v>
      </c>
      <c r="G30" s="32">
        <v>252.1</v>
      </c>
      <c r="H30" s="32">
        <v>1.41</v>
      </c>
      <c r="I30" s="33">
        <v>7.2211486000000003</v>
      </c>
      <c r="J30" s="33"/>
      <c r="K30" s="34"/>
    </row>
    <row r="31" spans="2:11">
      <c r="C31" s="28" t="s">
        <v>40</v>
      </c>
      <c r="D31" s="29"/>
      <c r="E31" s="30"/>
      <c r="F31" s="31"/>
      <c r="G31" s="38">
        <v>252.1</v>
      </c>
      <c r="H31" s="38">
        <v>1.41</v>
      </c>
      <c r="I31" s="33"/>
      <c r="J31" s="33"/>
      <c r="K31" s="34"/>
    </row>
    <row r="32" spans="2:11">
      <c r="C32" s="21"/>
      <c r="D32" s="29"/>
      <c r="E32" s="30"/>
      <c r="F32" s="31"/>
      <c r="G32" s="32"/>
      <c r="H32" s="32"/>
      <c r="I32" s="33"/>
      <c r="J32" s="33"/>
      <c r="K32" s="34"/>
    </row>
    <row r="33" spans="1:11">
      <c r="C33" s="28" t="s">
        <v>48</v>
      </c>
      <c r="D33" s="29"/>
      <c r="E33" s="30"/>
      <c r="F33" s="31"/>
      <c r="G33" s="32" t="s">
        <v>16</v>
      </c>
      <c r="H33" s="32" t="s">
        <v>16</v>
      </c>
      <c r="I33" s="33"/>
      <c r="J33" s="33"/>
      <c r="K33" s="34"/>
    </row>
    <row r="34" spans="1:11">
      <c r="C34" s="21"/>
      <c r="D34" s="29"/>
      <c r="E34" s="30"/>
      <c r="F34" s="31"/>
      <c r="G34" s="32"/>
      <c r="H34" s="32"/>
      <c r="I34" s="33"/>
      <c r="J34" s="33"/>
      <c r="K34" s="34"/>
    </row>
    <row r="35" spans="1:11">
      <c r="A35" s="35"/>
      <c r="B35" s="36"/>
      <c r="C35" s="28" t="s">
        <v>49</v>
      </c>
      <c r="D35" s="29"/>
      <c r="E35" s="30"/>
      <c r="F35" s="31"/>
      <c r="G35" s="32"/>
      <c r="H35" s="32"/>
      <c r="I35" s="33"/>
      <c r="J35" s="33"/>
      <c r="K35" s="34"/>
    </row>
    <row r="36" spans="1:11">
      <c r="C36" s="37" t="s">
        <v>50</v>
      </c>
      <c r="D36" s="29"/>
      <c r="E36" s="30"/>
      <c r="F36" s="31"/>
      <c r="G36" s="32"/>
      <c r="H36" s="32"/>
      <c r="I36" s="33"/>
      <c r="J36" s="33"/>
      <c r="K36" s="34"/>
    </row>
    <row r="37" spans="1:11">
      <c r="B37" s="1" t="s">
        <v>51</v>
      </c>
      <c r="C37" s="21" t="s">
        <v>52</v>
      </c>
      <c r="D37" s="29" t="s">
        <v>53</v>
      </c>
      <c r="E37" s="30" t="s">
        <v>54</v>
      </c>
      <c r="F37" s="31">
        <v>200</v>
      </c>
      <c r="G37" s="32">
        <v>977.12</v>
      </c>
      <c r="H37" s="32">
        <v>5.45</v>
      </c>
      <c r="I37" s="33">
        <v>7.4325000000000001</v>
      </c>
      <c r="J37" s="33"/>
      <c r="K37" s="34" t="s">
        <v>25</v>
      </c>
    </row>
    <row r="38" spans="1:11">
      <c r="B38" s="1" t="s">
        <v>55</v>
      </c>
      <c r="C38" s="21" t="s">
        <v>56</v>
      </c>
      <c r="D38" s="29" t="s">
        <v>57</v>
      </c>
      <c r="E38" s="30" t="s">
        <v>54</v>
      </c>
      <c r="F38" s="31">
        <v>200</v>
      </c>
      <c r="G38" s="32">
        <v>977.01</v>
      </c>
      <c r="H38" s="32">
        <v>5.45</v>
      </c>
      <c r="I38" s="33">
        <v>7.5327000000000002</v>
      </c>
      <c r="J38" s="33"/>
      <c r="K38" s="34" t="s">
        <v>25</v>
      </c>
    </row>
    <row r="39" spans="1:11">
      <c r="B39" s="1" t="s">
        <v>58</v>
      </c>
      <c r="C39" s="21" t="s">
        <v>59</v>
      </c>
      <c r="D39" s="29" t="s">
        <v>60</v>
      </c>
      <c r="E39" s="30" t="s">
        <v>54</v>
      </c>
      <c r="F39" s="31">
        <v>200</v>
      </c>
      <c r="G39" s="32">
        <v>934.28</v>
      </c>
      <c r="H39" s="32">
        <v>5.21</v>
      </c>
      <c r="I39" s="33">
        <v>7.9001000000000001</v>
      </c>
      <c r="J39" s="33"/>
      <c r="K39" s="34" t="s">
        <v>25</v>
      </c>
    </row>
    <row r="40" spans="1:11">
      <c r="C40" s="28" t="s">
        <v>40</v>
      </c>
      <c r="D40" s="29"/>
      <c r="E40" s="30"/>
      <c r="F40" s="31"/>
      <c r="G40" s="38">
        <v>2888.41</v>
      </c>
      <c r="H40" s="38">
        <v>16.11</v>
      </c>
      <c r="I40" s="33"/>
      <c r="J40" s="33"/>
      <c r="K40" s="34"/>
    </row>
    <row r="41" spans="1:11">
      <c r="C41" s="21"/>
      <c r="D41" s="29"/>
      <c r="E41" s="30"/>
      <c r="F41" s="31"/>
      <c r="G41" s="32"/>
      <c r="H41" s="32"/>
      <c r="I41" s="33"/>
      <c r="J41" s="33"/>
      <c r="K41" s="34"/>
    </row>
    <row r="42" spans="1:11">
      <c r="C42" s="37" t="s">
        <v>61</v>
      </c>
      <c r="D42" s="29"/>
      <c r="E42" s="30"/>
      <c r="F42" s="31"/>
      <c r="G42" s="32"/>
      <c r="H42" s="32"/>
      <c r="I42" s="33"/>
      <c r="J42" s="33"/>
      <c r="K42" s="34"/>
    </row>
    <row r="43" spans="1:11">
      <c r="B43" s="1" t="s">
        <v>62</v>
      </c>
      <c r="C43" s="21" t="s">
        <v>63</v>
      </c>
      <c r="D43" s="29" t="s">
        <v>64</v>
      </c>
      <c r="E43" s="30" t="s">
        <v>65</v>
      </c>
      <c r="F43" s="31">
        <v>300</v>
      </c>
      <c r="G43" s="32">
        <v>1452.68</v>
      </c>
      <c r="H43" s="32">
        <v>8.1</v>
      </c>
      <c r="I43" s="33">
        <v>7.2500999999999998</v>
      </c>
      <c r="J43" s="33"/>
      <c r="K43" s="34"/>
    </row>
    <row r="44" spans="1:11">
      <c r="B44" s="1" t="s">
        <v>66</v>
      </c>
      <c r="C44" s="21" t="s">
        <v>67</v>
      </c>
      <c r="D44" s="29" t="s">
        <v>68</v>
      </c>
      <c r="E44" s="30" t="s">
        <v>54</v>
      </c>
      <c r="F44" s="31">
        <v>300</v>
      </c>
      <c r="G44" s="32">
        <v>1431.36</v>
      </c>
      <c r="H44" s="32">
        <v>7.98</v>
      </c>
      <c r="I44" s="33">
        <v>7.48</v>
      </c>
      <c r="J44" s="33"/>
      <c r="K44" s="34" t="s">
        <v>25</v>
      </c>
    </row>
    <row r="45" spans="1:11">
      <c r="B45" s="1" t="s">
        <v>69</v>
      </c>
      <c r="C45" s="21" t="s">
        <v>70</v>
      </c>
      <c r="D45" s="29" t="s">
        <v>71</v>
      </c>
      <c r="E45" s="30" t="s">
        <v>54</v>
      </c>
      <c r="F45" s="31">
        <v>300</v>
      </c>
      <c r="G45" s="32">
        <v>1401.35</v>
      </c>
      <c r="H45" s="32">
        <v>7.81</v>
      </c>
      <c r="I45" s="33">
        <v>7.58</v>
      </c>
      <c r="J45" s="33"/>
      <c r="K45" s="34" t="s">
        <v>25</v>
      </c>
    </row>
    <row r="46" spans="1:11">
      <c r="B46" s="1" t="s">
        <v>72</v>
      </c>
      <c r="C46" s="21" t="s">
        <v>73</v>
      </c>
      <c r="D46" s="29" t="s">
        <v>74</v>
      </c>
      <c r="E46" s="30" t="s">
        <v>54</v>
      </c>
      <c r="F46" s="31">
        <v>300</v>
      </c>
      <c r="G46" s="32">
        <v>1399.73</v>
      </c>
      <c r="H46" s="32">
        <v>7.8</v>
      </c>
      <c r="I46" s="33">
        <v>7.6449999999999996</v>
      </c>
      <c r="J46" s="33"/>
      <c r="K46" s="34" t="s">
        <v>25</v>
      </c>
    </row>
    <row r="47" spans="1:11">
      <c r="B47" s="1" t="s">
        <v>75</v>
      </c>
      <c r="C47" s="21" t="s">
        <v>76</v>
      </c>
      <c r="D47" s="29" t="s">
        <v>77</v>
      </c>
      <c r="E47" s="30" t="s">
        <v>65</v>
      </c>
      <c r="F47" s="31">
        <v>280</v>
      </c>
      <c r="G47" s="32">
        <v>1304.01</v>
      </c>
      <c r="H47" s="32">
        <v>7.27</v>
      </c>
      <c r="I47" s="33">
        <v>7.59</v>
      </c>
      <c r="J47" s="33"/>
      <c r="K47" s="34" t="s">
        <v>25</v>
      </c>
    </row>
    <row r="48" spans="1:11">
      <c r="B48" s="1" t="s">
        <v>78</v>
      </c>
      <c r="C48" s="21" t="s">
        <v>79</v>
      </c>
      <c r="D48" s="29" t="s">
        <v>80</v>
      </c>
      <c r="E48" s="30" t="s">
        <v>54</v>
      </c>
      <c r="F48" s="31">
        <v>200</v>
      </c>
      <c r="G48" s="32">
        <v>952.37</v>
      </c>
      <c r="H48" s="32">
        <v>5.31</v>
      </c>
      <c r="I48" s="33">
        <v>7.39</v>
      </c>
      <c r="J48" s="33"/>
      <c r="K48" s="34"/>
    </row>
    <row r="49" spans="1:11">
      <c r="B49" s="1" t="s">
        <v>81</v>
      </c>
      <c r="C49" s="21" t="s">
        <v>82</v>
      </c>
      <c r="D49" s="29" t="s">
        <v>83</v>
      </c>
      <c r="E49" s="30" t="s">
        <v>54</v>
      </c>
      <c r="F49" s="31">
        <v>100</v>
      </c>
      <c r="G49" s="32">
        <v>486.46</v>
      </c>
      <c r="H49" s="32">
        <v>2.71</v>
      </c>
      <c r="I49" s="33">
        <v>7.31</v>
      </c>
      <c r="J49" s="33"/>
      <c r="K49" s="34" t="s">
        <v>25</v>
      </c>
    </row>
    <row r="50" spans="1:11">
      <c r="C50" s="28" t="s">
        <v>40</v>
      </c>
      <c r="D50" s="29"/>
      <c r="E50" s="30"/>
      <c r="F50" s="31"/>
      <c r="G50" s="38">
        <v>8427.9599999999991</v>
      </c>
      <c r="H50" s="38">
        <v>46.98</v>
      </c>
      <c r="I50" s="33"/>
      <c r="J50" s="33"/>
      <c r="K50" s="34"/>
    </row>
    <row r="51" spans="1:11">
      <c r="C51" s="21"/>
      <c r="D51" s="29"/>
      <c r="E51" s="30"/>
      <c r="F51" s="31"/>
      <c r="G51" s="32"/>
      <c r="H51" s="32"/>
      <c r="I51" s="33"/>
      <c r="J51" s="33"/>
      <c r="K51" s="34"/>
    </row>
    <row r="52" spans="1:11">
      <c r="C52" s="28" t="s">
        <v>84</v>
      </c>
      <c r="D52" s="29"/>
      <c r="E52" s="30"/>
      <c r="F52" s="31"/>
      <c r="G52" s="32" t="s">
        <v>16</v>
      </c>
      <c r="H52" s="32" t="s">
        <v>16</v>
      </c>
      <c r="I52" s="33"/>
      <c r="J52" s="33"/>
      <c r="K52" s="34"/>
    </row>
    <row r="53" spans="1:11">
      <c r="C53" s="21"/>
      <c r="D53" s="29"/>
      <c r="E53" s="30"/>
      <c r="F53" s="31"/>
      <c r="G53" s="32"/>
      <c r="H53" s="32"/>
      <c r="I53" s="33"/>
      <c r="J53" s="33"/>
      <c r="K53" s="34"/>
    </row>
    <row r="54" spans="1:11">
      <c r="C54" s="28" t="s">
        <v>85</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86</v>
      </c>
      <c r="D56" s="29"/>
      <c r="E56" s="30"/>
      <c r="F56" s="31"/>
      <c r="G56" s="32"/>
      <c r="H56" s="32"/>
      <c r="I56" s="33"/>
      <c r="J56" s="33"/>
      <c r="K56" s="34"/>
    </row>
    <row r="57" spans="1:11">
      <c r="A57" s="36"/>
      <c r="B57" s="36"/>
      <c r="C57" s="28" t="s">
        <v>87</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88</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89</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90</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91</v>
      </c>
      <c r="D65" s="29"/>
      <c r="E65" s="30"/>
      <c r="F65" s="31"/>
      <c r="G65" s="32"/>
      <c r="H65" s="32"/>
      <c r="I65" s="33"/>
      <c r="J65" s="33"/>
      <c r="K65" s="34"/>
    </row>
    <row r="66" spans="1:11">
      <c r="B66" s="1" t="s">
        <v>92</v>
      </c>
      <c r="C66" s="21" t="s">
        <v>93</v>
      </c>
      <c r="D66" s="29"/>
      <c r="E66" s="30"/>
      <c r="F66" s="31"/>
      <c r="G66" s="32">
        <v>1176.54</v>
      </c>
      <c r="H66" s="32">
        <v>6.56</v>
      </c>
      <c r="I66" s="33">
        <v>7.14</v>
      </c>
      <c r="J66" s="33"/>
      <c r="K66" s="34"/>
    </row>
    <row r="67" spans="1:11">
      <c r="C67" s="28" t="s">
        <v>40</v>
      </c>
      <c r="D67" s="29"/>
      <c r="E67" s="30"/>
      <c r="F67" s="31"/>
      <c r="G67" s="38">
        <v>1176.54</v>
      </c>
      <c r="H67" s="38">
        <v>6.56</v>
      </c>
      <c r="I67" s="33"/>
      <c r="J67" s="33"/>
      <c r="K67" s="34"/>
    </row>
    <row r="68" spans="1:11">
      <c r="C68" s="21"/>
      <c r="D68" s="29"/>
      <c r="E68" s="30"/>
      <c r="F68" s="31"/>
      <c r="G68" s="32"/>
      <c r="H68" s="32"/>
      <c r="I68" s="33"/>
      <c r="J68" s="33"/>
      <c r="K68" s="34"/>
    </row>
    <row r="69" spans="1:11">
      <c r="A69" s="35"/>
      <c r="B69" s="36"/>
      <c r="C69" s="28" t="s">
        <v>94</v>
      </c>
      <c r="D69" s="29"/>
      <c r="E69" s="30"/>
      <c r="F69" s="31"/>
      <c r="G69" s="32"/>
      <c r="H69" s="32"/>
      <c r="I69" s="33"/>
      <c r="J69" s="33"/>
      <c r="K69" s="34"/>
    </row>
    <row r="70" spans="1:11">
      <c r="B70" s="1"/>
      <c r="C70" s="21" t="s">
        <v>95</v>
      </c>
      <c r="D70" s="29"/>
      <c r="E70" s="30"/>
      <c r="F70" s="31"/>
      <c r="G70" s="32">
        <v>265.92</v>
      </c>
      <c r="H70" s="32">
        <v>1.49</v>
      </c>
      <c r="I70" s="33"/>
      <c r="J70" s="33"/>
      <c r="K70" s="34"/>
    </row>
    <row r="71" spans="1:11">
      <c r="C71" s="28" t="s">
        <v>40</v>
      </c>
      <c r="D71" s="29"/>
      <c r="E71" s="30"/>
      <c r="F71" s="31"/>
      <c r="G71" s="38">
        <v>265.92</v>
      </c>
      <c r="H71" s="38">
        <v>1.49</v>
      </c>
      <c r="I71" s="33"/>
      <c r="J71" s="33"/>
      <c r="K71" s="34"/>
    </row>
    <row r="72" spans="1:11">
      <c r="C72" s="21"/>
      <c r="D72" s="29"/>
      <c r="E72" s="30"/>
      <c r="F72" s="31"/>
      <c r="G72" s="32"/>
      <c r="H72" s="32"/>
      <c r="I72" s="33"/>
      <c r="J72" s="33"/>
      <c r="K72" s="34"/>
    </row>
    <row r="73" spans="1:11" ht="14.4" thickBot="1">
      <c r="C73" s="39" t="s">
        <v>96</v>
      </c>
      <c r="D73" s="40"/>
      <c r="E73" s="41"/>
      <c r="F73" s="42"/>
      <c r="G73" s="43">
        <v>17934.22</v>
      </c>
      <c r="H73" s="43">
        <f>SUMIFS(H:H,C:C,"Total")</f>
        <v>99.999999999999986</v>
      </c>
      <c r="I73" s="44"/>
      <c r="J73" s="44"/>
      <c r="K73" s="45"/>
    </row>
    <row r="76" spans="1:11">
      <c r="C76" s="11" t="s">
        <v>97</v>
      </c>
    </row>
    <row r="77" spans="1:11">
      <c r="C77" s="2" t="s">
        <v>98</v>
      </c>
    </row>
    <row r="78" spans="1:11">
      <c r="C78" s="46" t="s">
        <v>99</v>
      </c>
    </row>
    <row r="79" spans="1:11">
      <c r="C79" s="2" t="s">
        <v>100</v>
      </c>
    </row>
    <row r="80" spans="1:11">
      <c r="C80" s="2" t="s">
        <v>101</v>
      </c>
    </row>
    <row r="81" spans="3:54">
      <c r="C81" s="2" t="s">
        <v>102</v>
      </c>
      <c r="D81" s="47"/>
      <c r="E81" s="47"/>
      <c r="F81" s="47"/>
      <c r="G81" s="48"/>
      <c r="H81" s="48"/>
    </row>
    <row r="82" spans="3:54">
      <c r="C82" s="2" t="s">
        <v>103</v>
      </c>
    </row>
    <row r="83" spans="3:54">
      <c r="C83" s="2" t="s">
        <v>104</v>
      </c>
    </row>
    <row r="84" spans="3:54">
      <c r="C84" s="2" t="s">
        <v>105</v>
      </c>
    </row>
    <row r="85" spans="3:54">
      <c r="C85" s="2" t="s">
        <v>106</v>
      </c>
    </row>
    <row r="86" spans="3:54" s="11" customFormat="1">
      <c r="C86" s="11" t="s">
        <v>107</v>
      </c>
      <c r="E86" s="11" t="s">
        <v>108</v>
      </c>
      <c r="F86" s="49" t="s">
        <v>109</v>
      </c>
      <c r="G86" s="50"/>
      <c r="H86" s="50"/>
      <c r="I86" s="50"/>
      <c r="J86" s="50"/>
      <c r="K86" s="51"/>
      <c r="L86" s="51"/>
      <c r="AI86" s="51"/>
      <c r="AV86" s="51"/>
      <c r="AX86" s="51"/>
      <c r="BB86" s="51"/>
    </row>
    <row r="87" spans="3:54">
      <c r="C87" s="2" t="s">
        <v>110</v>
      </c>
      <c r="E87" s="52">
        <v>10.0604</v>
      </c>
      <c r="F87" s="53">
        <v>10.0604</v>
      </c>
    </row>
    <row r="88" spans="3:54">
      <c r="C88" s="2" t="s">
        <v>111</v>
      </c>
      <c r="E88" s="52">
        <v>34.117400000000004</v>
      </c>
      <c r="F88" s="53">
        <v>34.366</v>
      </c>
    </row>
    <row r="89" spans="3:54">
      <c r="C89" s="2" t="s">
        <v>112</v>
      </c>
      <c r="E89" s="52">
        <v>10.2356</v>
      </c>
      <c r="F89" s="53">
        <v>10.260400000000001</v>
      </c>
    </row>
    <row r="90" spans="3:54">
      <c r="C90" s="2" t="s">
        <v>113</v>
      </c>
      <c r="E90" s="52">
        <v>10.010199999999999</v>
      </c>
      <c r="F90" s="53">
        <v>10.0296</v>
      </c>
    </row>
    <row r="91" spans="3:54">
      <c r="C91" s="2" t="s">
        <v>114</v>
      </c>
      <c r="E91" s="52">
        <v>10.049899999999999</v>
      </c>
      <c r="F91" s="53">
        <v>10.049899999999999</v>
      </c>
    </row>
    <row r="92" spans="3:54">
      <c r="C92" s="2" t="s">
        <v>115</v>
      </c>
      <c r="E92" s="52">
        <v>34.144399999999997</v>
      </c>
      <c r="F92" s="53">
        <v>34.393099999999997</v>
      </c>
    </row>
    <row r="93" spans="3:54">
      <c r="C93" s="2" t="s">
        <v>116</v>
      </c>
      <c r="E93" s="52">
        <v>10.412800000000001</v>
      </c>
      <c r="F93" s="53">
        <v>10.438499999999999</v>
      </c>
    </row>
    <row r="94" spans="3:54">
      <c r="C94" s="2" t="s">
        <v>117</v>
      </c>
      <c r="E94" s="52">
        <v>10.010199999999999</v>
      </c>
      <c r="F94" s="53">
        <v>10.0296</v>
      </c>
    </row>
    <row r="95" spans="3:54">
      <c r="C95" s="2" t="s">
        <v>118</v>
      </c>
      <c r="E95" s="52">
        <v>10.083500000000001</v>
      </c>
      <c r="F95" s="53">
        <v>10.083500000000001</v>
      </c>
    </row>
    <row r="96" spans="3:54">
      <c r="C96" s="2" t="s">
        <v>119</v>
      </c>
      <c r="E96" s="52">
        <v>36.704799999999999</v>
      </c>
      <c r="F96" s="53">
        <v>36.991900000000001</v>
      </c>
    </row>
    <row r="97" spans="3:6">
      <c r="C97" s="2" t="s">
        <v>120</v>
      </c>
      <c r="E97" s="52">
        <v>10.109</v>
      </c>
      <c r="F97" s="53">
        <v>10.1395</v>
      </c>
    </row>
    <row r="98" spans="3:6">
      <c r="C98" s="2" t="s">
        <v>121</v>
      </c>
      <c r="E98" s="52">
        <v>10.010199999999999</v>
      </c>
      <c r="F98" s="53">
        <v>10.030099999999999</v>
      </c>
    </row>
    <row r="100" spans="3:6">
      <c r="C100" s="2" t="s">
        <v>122</v>
      </c>
      <c r="E100" s="11" t="s">
        <v>123</v>
      </c>
      <c r="F100" s="49" t="s">
        <v>124</v>
      </c>
    </row>
    <row r="101" spans="3:6">
      <c r="C101" s="2" t="s">
        <v>110</v>
      </c>
      <c r="E101" s="52">
        <v>7.3045670000000007E-2</v>
      </c>
      <c r="F101" s="53">
        <v>7.3045670000000007E-2</v>
      </c>
    </row>
    <row r="102" spans="3:6">
      <c r="C102" s="2" t="s">
        <v>112</v>
      </c>
      <c r="E102" s="52">
        <v>0.05</v>
      </c>
      <c r="F102" s="53">
        <v>0.05</v>
      </c>
    </row>
    <row r="103" spans="3:6">
      <c r="C103" s="2" t="s">
        <v>113</v>
      </c>
      <c r="E103" s="52">
        <v>5.3357830000000002E-2</v>
      </c>
      <c r="F103" s="53">
        <v>5.3357830000000002E-2</v>
      </c>
    </row>
    <row r="104" spans="3:6">
      <c r="C104" s="2" t="s">
        <v>114</v>
      </c>
      <c r="E104" s="52">
        <v>7.297041999999998E-2</v>
      </c>
      <c r="F104" s="53">
        <v>7.297041999999998E-2</v>
      </c>
    </row>
    <row r="105" spans="3:6">
      <c r="C105" s="2" t="s">
        <v>116</v>
      </c>
      <c r="E105" s="52">
        <v>0.05</v>
      </c>
      <c r="F105" s="53">
        <v>0.05</v>
      </c>
    </row>
    <row r="106" spans="3:6">
      <c r="C106" s="2" t="s">
        <v>117</v>
      </c>
      <c r="E106" s="52">
        <v>5.3357399999999999E-2</v>
      </c>
      <c r="F106" s="53">
        <v>5.3357399999999999E-2</v>
      </c>
    </row>
    <row r="107" spans="3:6">
      <c r="C107" s="2" t="s">
        <v>118</v>
      </c>
      <c r="E107" s="52">
        <v>7.8617809999999996E-2</v>
      </c>
      <c r="F107" s="53">
        <v>7.8617809999999996E-2</v>
      </c>
    </row>
    <row r="108" spans="3:6">
      <c r="C108" s="2" t="s">
        <v>120</v>
      </c>
      <c r="E108" s="52">
        <v>0.05</v>
      </c>
      <c r="F108" s="53">
        <v>0.05</v>
      </c>
    </row>
    <row r="109" spans="3:6">
      <c r="C109" s="2" t="s">
        <v>121</v>
      </c>
      <c r="E109" s="52">
        <v>5.8238160000000004E-2</v>
      </c>
      <c r="F109" s="53">
        <v>5.8238160000000004E-2</v>
      </c>
    </row>
    <row r="111" spans="3:6">
      <c r="C111" s="2" t="s">
        <v>125</v>
      </c>
    </row>
    <row r="112" spans="3:6">
      <c r="C112" s="2" t="s">
        <v>126</v>
      </c>
    </row>
    <row r="113" spans="3:11">
      <c r="C113" s="2" t="s">
        <v>127</v>
      </c>
    </row>
    <row r="114" spans="3:11">
      <c r="C114" s="2" t="s">
        <v>128</v>
      </c>
    </row>
    <row r="115" spans="3:11">
      <c r="C115" s="2" t="s">
        <v>129</v>
      </c>
    </row>
    <row r="116" spans="3:11">
      <c r="C116" s="2" t="s">
        <v>130</v>
      </c>
    </row>
    <row r="117" spans="3:11">
      <c r="C117" s="2" t="s">
        <v>131</v>
      </c>
    </row>
    <row r="118" spans="3:11">
      <c r="C118" s="2" t="s">
        <v>132</v>
      </c>
    </row>
    <row r="119" spans="3:11">
      <c r="C119" s="2" t="s">
        <v>133</v>
      </c>
    </row>
    <row r="120" spans="3:11">
      <c r="C120" s="2" t="s">
        <v>134</v>
      </c>
    </row>
    <row r="121" spans="3:11">
      <c r="C121" s="2" t="s">
        <v>135</v>
      </c>
    </row>
    <row r="122" spans="3:11">
      <c r="C122" s="2" t="s">
        <v>136</v>
      </c>
    </row>
    <row r="123" spans="3:11">
      <c r="C123" s="2" t="s">
        <v>137</v>
      </c>
    </row>
    <row r="124" spans="3:11">
      <c r="C124" s="2" t="s">
        <v>138</v>
      </c>
    </row>
    <row r="125" spans="3:11" ht="14.4">
      <c r="C125" s="54"/>
      <c r="D125" s="54"/>
      <c r="E125" s="55"/>
      <c r="F125" s="55"/>
      <c r="G125" s="55"/>
      <c r="H125" s="55"/>
      <c r="I125" s="55"/>
      <c r="J125" s="55"/>
      <c r="K125" s="55"/>
    </row>
    <row r="126" spans="3:11">
      <c r="C126" s="54"/>
      <c r="D126" s="54"/>
      <c r="E126" s="54"/>
      <c r="F126" s="54"/>
      <c r="G126" s="54"/>
      <c r="H126" s="54"/>
      <c r="I126" s="54"/>
      <c r="J126" s="54"/>
      <c r="K126" s="54"/>
    </row>
    <row r="127" spans="3:11" ht="14.4">
      <c r="C127" s="55"/>
      <c r="D127" s="55"/>
      <c r="E127" s="55"/>
      <c r="F127" s="55"/>
      <c r="G127" s="55"/>
      <c r="H127" s="55"/>
      <c r="I127" s="55"/>
      <c r="J127" s="55"/>
      <c r="K127" s="55"/>
    </row>
    <row r="128" spans="3:11" ht="14.4">
      <c r="C128" s="55"/>
      <c r="D128" s="55"/>
      <c r="E128" s="55"/>
      <c r="F128" s="55"/>
      <c r="G128" s="55"/>
      <c r="H128" s="55"/>
      <c r="I128" s="55"/>
      <c r="J128" s="55"/>
      <c r="K128" s="55"/>
    </row>
    <row r="148" spans="3:54" ht="14.4" thickBot="1"/>
    <row r="149" spans="3:54" ht="14.4" thickBot="1">
      <c r="C149" s="65" t="s">
        <v>139</v>
      </c>
      <c r="D149" s="66"/>
      <c r="E149" s="66"/>
      <c r="F149" s="67"/>
      <c r="L149" s="2"/>
      <c r="AH149" s="10"/>
      <c r="AI149" s="2"/>
      <c r="AU149" s="10"/>
      <c r="AV149" s="2"/>
      <c r="AW149" s="10"/>
      <c r="AX149" s="2"/>
      <c r="BA149" s="10"/>
      <c r="BB149" s="2"/>
    </row>
    <row r="150" spans="3:54" ht="14.4" thickBot="1">
      <c r="C150" s="56" t="s">
        <v>140</v>
      </c>
      <c r="D150" s="68" t="s">
        <v>141</v>
      </c>
      <c r="E150" s="68" t="s">
        <v>142</v>
      </c>
      <c r="F150" s="68" t="s">
        <v>143</v>
      </c>
      <c r="L150" s="2"/>
      <c r="AH150" s="10"/>
      <c r="AI150" s="2"/>
      <c r="AU150" s="10"/>
      <c r="AV150" s="2"/>
      <c r="AW150" s="10"/>
      <c r="AX150" s="2"/>
      <c r="BA150" s="10"/>
      <c r="BB150" s="2"/>
    </row>
    <row r="151" spans="3:54" ht="14.4" thickBot="1">
      <c r="C151" s="56" t="s">
        <v>144</v>
      </c>
      <c r="D151" s="69"/>
      <c r="E151" s="69"/>
      <c r="F151" s="69"/>
      <c r="L151" s="2"/>
      <c r="AH151" s="10"/>
      <c r="AI151" s="2"/>
      <c r="AU151" s="10"/>
      <c r="AV151" s="2"/>
      <c r="AW151" s="10"/>
      <c r="AX151" s="2"/>
      <c r="BA151" s="10"/>
      <c r="BB151" s="2"/>
    </row>
    <row r="152" spans="3:54" ht="14.4" thickBot="1">
      <c r="C152" s="57" t="s">
        <v>145</v>
      </c>
      <c r="D152" s="58"/>
      <c r="E152" s="59" t="s">
        <v>146</v>
      </c>
      <c r="F152" s="58"/>
      <c r="L152" s="2"/>
      <c r="AH152" s="10"/>
      <c r="AI152" s="2"/>
      <c r="AU152" s="10"/>
      <c r="AV152" s="2"/>
      <c r="AW152" s="10"/>
      <c r="AX152" s="2"/>
      <c r="BA152" s="10"/>
      <c r="BB152" s="2"/>
    </row>
    <row r="153" spans="3:54">
      <c r="C153" s="60" t="s">
        <v>147</v>
      </c>
      <c r="D153" s="63"/>
      <c r="E153" s="63"/>
      <c r="F153" s="63"/>
      <c r="L153" s="2"/>
      <c r="AH153" s="10"/>
      <c r="AI153" s="2"/>
      <c r="AU153" s="10"/>
      <c r="AV153" s="2"/>
      <c r="AW153" s="10"/>
      <c r="AX153" s="2"/>
      <c r="BA153" s="10"/>
      <c r="BB153" s="2"/>
    </row>
    <row r="154" spans="3:54" ht="14.4" thickBot="1">
      <c r="C154" s="57" t="s">
        <v>148</v>
      </c>
      <c r="D154" s="64"/>
      <c r="E154" s="64"/>
      <c r="F154" s="64"/>
      <c r="L154" s="2"/>
      <c r="AH154" s="10"/>
      <c r="AI154" s="2"/>
      <c r="AU154" s="10"/>
      <c r="AV154" s="2"/>
      <c r="AW154" s="10"/>
      <c r="AX154" s="2"/>
      <c r="BA154" s="10"/>
      <c r="BB154" s="2"/>
    </row>
    <row r="155" spans="3:54">
      <c r="C155" s="60" t="s">
        <v>149</v>
      </c>
      <c r="D155" s="63"/>
      <c r="E155" s="63"/>
      <c r="F155" s="63"/>
      <c r="L155" s="2"/>
      <c r="AH155" s="10"/>
      <c r="AI155" s="2"/>
      <c r="AU155" s="10"/>
      <c r="AV155" s="2"/>
      <c r="AW155" s="10"/>
      <c r="AX155" s="2"/>
      <c r="BA155" s="10"/>
      <c r="BB155" s="2"/>
    </row>
    <row r="156" spans="3:54" ht="14.4" thickBot="1">
      <c r="C156" s="57" t="s">
        <v>150</v>
      </c>
      <c r="D156" s="64"/>
      <c r="E156" s="64"/>
      <c r="F156" s="64"/>
      <c r="L156" s="2"/>
      <c r="AH156" s="10"/>
      <c r="AI156" s="2"/>
      <c r="AU156" s="10"/>
      <c r="AV156" s="2"/>
      <c r="AW156" s="10"/>
      <c r="AX156" s="2"/>
      <c r="BA156" s="10"/>
      <c r="BB156" s="2"/>
    </row>
    <row r="157" spans="3:54">
      <c r="C157" s="61" t="s">
        <v>151</v>
      </c>
      <c r="D157" s="62"/>
      <c r="E157" s="62"/>
      <c r="F157" s="62"/>
      <c r="L157" s="2"/>
      <c r="AH157" s="10"/>
      <c r="AI157" s="2"/>
      <c r="AU157" s="10"/>
      <c r="AV157" s="2"/>
      <c r="AW157" s="10"/>
      <c r="AX157" s="2"/>
      <c r="BA157" s="10"/>
      <c r="BB157" s="2"/>
    </row>
    <row r="158" spans="3:54">
      <c r="C158" s="2" t="s">
        <v>152</v>
      </c>
      <c r="L158" s="2"/>
      <c r="AH158" s="10"/>
      <c r="AI158" s="2"/>
      <c r="AU158" s="10"/>
      <c r="AV158" s="2"/>
      <c r="AW158" s="10"/>
      <c r="AX158" s="2"/>
      <c r="BA158" s="10"/>
      <c r="BB158" s="2"/>
    </row>
  </sheetData>
  <mergeCells count="10">
    <mergeCell ref="D155:D156"/>
    <mergeCell ref="E155:E156"/>
    <mergeCell ref="F155:F156"/>
    <mergeCell ref="C149:F149"/>
    <mergeCell ref="D150:D151"/>
    <mergeCell ref="E150:E151"/>
    <mergeCell ref="F150:F151"/>
    <mergeCell ref="D153:D154"/>
    <mergeCell ref="E153:E154"/>
    <mergeCell ref="F153:F154"/>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62"/>
  <sheetViews>
    <sheetView workbookViewId="0">
      <selection activeCell="C5" sqref="C5:K5"/>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70" t="s">
        <v>153</v>
      </c>
      <c r="D2" s="71"/>
      <c r="E2" s="71"/>
      <c r="F2" s="71"/>
      <c r="G2" s="71"/>
      <c r="H2" s="71"/>
      <c r="I2" s="71"/>
      <c r="J2" s="71"/>
      <c r="K2" s="72"/>
      <c r="M2" s="9"/>
    </row>
    <row r="3" spans="1:54" ht="14.4" thickBot="1">
      <c r="C3" s="73"/>
      <c r="D3" s="74"/>
      <c r="E3" s="74"/>
      <c r="F3" s="74"/>
      <c r="G3" s="74"/>
      <c r="H3" s="74"/>
      <c r="I3" s="74"/>
      <c r="J3" s="74"/>
      <c r="K3" s="75"/>
    </row>
    <row r="4" spans="1:54" ht="14.4" thickBot="1">
      <c r="A4" s="1"/>
      <c r="C4" s="1"/>
      <c r="D4" s="1"/>
      <c r="E4" s="1"/>
      <c r="F4" s="3"/>
      <c r="G4" s="4"/>
      <c r="H4" s="4"/>
      <c r="I4" s="4"/>
      <c r="J4" s="4"/>
      <c r="K4" s="5"/>
      <c r="L4" s="2"/>
      <c r="AH4" s="5"/>
      <c r="AI4" s="2"/>
      <c r="AU4" s="5"/>
      <c r="AV4" s="2"/>
      <c r="AW4" s="5"/>
      <c r="AX4" s="2"/>
      <c r="BA4" s="5"/>
      <c r="BB4" s="2"/>
    </row>
    <row r="5" spans="1:54" ht="22.2" thickBot="1">
      <c r="C5" s="76" t="s">
        <v>154</v>
      </c>
      <c r="D5" s="77"/>
      <c r="E5" s="77"/>
      <c r="F5" s="77"/>
      <c r="G5" s="77"/>
      <c r="H5" s="77"/>
      <c r="I5" s="77"/>
      <c r="J5" s="77"/>
      <c r="K5" s="78"/>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A17" s="35"/>
      <c r="B17" s="36"/>
      <c r="C17" s="28" t="s">
        <v>19</v>
      </c>
      <c r="D17" s="29"/>
      <c r="E17" s="30"/>
      <c r="F17" s="31"/>
      <c r="G17" s="32"/>
      <c r="H17" s="32"/>
      <c r="I17" s="33"/>
      <c r="J17" s="33"/>
      <c r="K17" s="34"/>
    </row>
    <row r="18" spans="1:11">
      <c r="C18" s="37" t="s">
        <v>20</v>
      </c>
      <c r="D18" s="29"/>
      <c r="E18" s="30"/>
      <c r="F18" s="31"/>
      <c r="G18" s="32"/>
      <c r="H18" s="32"/>
      <c r="I18" s="33"/>
      <c r="J18" s="33"/>
      <c r="K18" s="34"/>
    </row>
    <row r="19" spans="1:11">
      <c r="B19" s="1" t="s">
        <v>21</v>
      </c>
      <c r="C19" s="21" t="s">
        <v>22</v>
      </c>
      <c r="D19" s="29" t="s">
        <v>23</v>
      </c>
      <c r="E19" s="30" t="s">
        <v>24</v>
      </c>
      <c r="F19" s="31">
        <v>150</v>
      </c>
      <c r="G19" s="32">
        <v>1433.08</v>
      </c>
      <c r="H19" s="32">
        <v>7.99</v>
      </c>
      <c r="I19" s="33">
        <v>7.42</v>
      </c>
      <c r="J19" s="33"/>
      <c r="K19" s="34" t="s">
        <v>25</v>
      </c>
    </row>
    <row r="20" spans="1:11">
      <c r="B20" s="1" t="s">
        <v>26</v>
      </c>
      <c r="C20" s="21" t="s">
        <v>27</v>
      </c>
      <c r="D20" s="29" t="s">
        <v>28</v>
      </c>
      <c r="E20" s="30" t="s">
        <v>24</v>
      </c>
      <c r="F20" s="31">
        <v>112</v>
      </c>
      <c r="G20" s="32">
        <v>1114.1199999999999</v>
      </c>
      <c r="H20" s="32">
        <v>6.21</v>
      </c>
      <c r="I20" s="33">
        <v>7.45</v>
      </c>
      <c r="J20" s="33"/>
      <c r="K20" s="34"/>
    </row>
    <row r="21" spans="1:11">
      <c r="B21" s="1" t="s">
        <v>29</v>
      </c>
      <c r="C21" s="21" t="s">
        <v>30</v>
      </c>
      <c r="D21" s="29" t="s">
        <v>31</v>
      </c>
      <c r="E21" s="30" t="s">
        <v>32</v>
      </c>
      <c r="F21" s="31">
        <v>100</v>
      </c>
      <c r="G21" s="32">
        <v>999.7</v>
      </c>
      <c r="H21" s="32">
        <v>5.57</v>
      </c>
      <c r="I21" s="33">
        <v>8.3628999999999998</v>
      </c>
      <c r="J21" s="33"/>
      <c r="K21" s="34" t="s">
        <v>25</v>
      </c>
    </row>
    <row r="22" spans="1:11">
      <c r="B22" s="1" t="s">
        <v>33</v>
      </c>
      <c r="C22" s="21" t="s">
        <v>34</v>
      </c>
      <c r="D22" s="29" t="s">
        <v>35</v>
      </c>
      <c r="E22" s="30" t="s">
        <v>36</v>
      </c>
      <c r="F22" s="31">
        <v>70</v>
      </c>
      <c r="G22" s="32">
        <v>691.41</v>
      </c>
      <c r="H22" s="32">
        <v>3.86</v>
      </c>
      <c r="I22" s="33">
        <v>8.4138000000000002</v>
      </c>
      <c r="J22" s="33"/>
      <c r="K22" s="34" t="s">
        <v>25</v>
      </c>
    </row>
    <row r="23" spans="1:11">
      <c r="B23" s="1" t="s">
        <v>37</v>
      </c>
      <c r="C23" s="21" t="s">
        <v>38</v>
      </c>
      <c r="D23" s="29" t="s">
        <v>39</v>
      </c>
      <c r="E23" s="30" t="s">
        <v>32</v>
      </c>
      <c r="F23" s="31">
        <v>70</v>
      </c>
      <c r="G23" s="32">
        <v>684.98</v>
      </c>
      <c r="H23" s="32">
        <v>3.82</v>
      </c>
      <c r="I23" s="33">
        <v>9.6591000000000005</v>
      </c>
      <c r="J23" s="33"/>
      <c r="K23" s="34" t="s">
        <v>25</v>
      </c>
    </row>
    <row r="24" spans="1:11">
      <c r="C24" s="28" t="s">
        <v>40</v>
      </c>
      <c r="D24" s="29"/>
      <c r="E24" s="30"/>
      <c r="F24" s="31"/>
      <c r="G24" s="38">
        <v>4923.29</v>
      </c>
      <c r="H24" s="38">
        <v>27.45</v>
      </c>
      <c r="I24" s="33"/>
      <c r="J24" s="33"/>
      <c r="K24" s="34"/>
    </row>
    <row r="25" spans="1:11">
      <c r="C25" s="21"/>
      <c r="D25" s="29"/>
      <c r="E25" s="30"/>
      <c r="F25" s="31"/>
      <c r="G25" s="32"/>
      <c r="H25" s="32"/>
      <c r="I25" s="33"/>
      <c r="J25" s="33"/>
      <c r="K25" s="34"/>
    </row>
    <row r="26" spans="1:11">
      <c r="C26" s="28" t="s">
        <v>41</v>
      </c>
      <c r="D26" s="29"/>
      <c r="E26" s="30"/>
      <c r="F26" s="31"/>
      <c r="G26" s="32" t="s">
        <v>16</v>
      </c>
      <c r="H26" s="32" t="s">
        <v>16</v>
      </c>
      <c r="I26" s="33"/>
      <c r="J26" s="33"/>
      <c r="K26" s="34"/>
    </row>
    <row r="27" spans="1:11">
      <c r="C27" s="21"/>
      <c r="D27" s="29"/>
      <c r="E27" s="30"/>
      <c r="F27" s="31"/>
      <c r="G27" s="32"/>
      <c r="H27" s="32"/>
      <c r="I27" s="33"/>
      <c r="J27" s="33"/>
      <c r="K27" s="34"/>
    </row>
    <row r="28" spans="1:11">
      <c r="C28" s="28" t="s">
        <v>42</v>
      </c>
      <c r="D28" s="29"/>
      <c r="E28" s="30"/>
      <c r="F28" s="31"/>
      <c r="G28" s="32" t="s">
        <v>16</v>
      </c>
      <c r="H28" s="32" t="s">
        <v>16</v>
      </c>
      <c r="I28" s="33"/>
      <c r="J28" s="33"/>
      <c r="K28" s="34"/>
    </row>
    <row r="29" spans="1:11">
      <c r="C29" s="21"/>
      <c r="D29" s="29"/>
      <c r="E29" s="30"/>
      <c r="F29" s="31"/>
      <c r="G29" s="32"/>
      <c r="H29" s="32"/>
      <c r="I29" s="33"/>
      <c r="J29" s="33"/>
      <c r="K29" s="34"/>
    </row>
    <row r="30" spans="1:11">
      <c r="C30" s="37" t="s">
        <v>43</v>
      </c>
      <c r="D30" s="29"/>
      <c r="E30" s="30"/>
      <c r="F30" s="31"/>
      <c r="G30" s="32"/>
      <c r="H30" s="32"/>
      <c r="I30" s="33"/>
      <c r="J30" s="33"/>
      <c r="K30" s="34"/>
    </row>
    <row r="31" spans="1:11">
      <c r="B31" s="1" t="s">
        <v>44</v>
      </c>
      <c r="C31" s="21" t="s">
        <v>45</v>
      </c>
      <c r="D31" s="29" t="s">
        <v>46</v>
      </c>
      <c r="E31" s="30" t="s">
        <v>47</v>
      </c>
      <c r="F31" s="31">
        <v>262000</v>
      </c>
      <c r="G31" s="32">
        <v>252.1</v>
      </c>
      <c r="H31" s="32">
        <v>1.41</v>
      </c>
      <c r="I31" s="33">
        <v>7.2211486000000003</v>
      </c>
      <c r="J31" s="33"/>
      <c r="K31" s="34"/>
    </row>
    <row r="32" spans="1:11">
      <c r="C32" s="28" t="s">
        <v>40</v>
      </c>
      <c r="D32" s="29"/>
      <c r="E32" s="30"/>
      <c r="F32" s="31"/>
      <c r="G32" s="38">
        <v>252.1</v>
      </c>
      <c r="H32" s="38">
        <v>1.41</v>
      </c>
      <c r="I32" s="33"/>
      <c r="J32" s="33"/>
      <c r="K32" s="34"/>
    </row>
    <row r="33" spans="1:11">
      <c r="C33" s="21"/>
      <c r="D33" s="29"/>
      <c r="E33" s="30"/>
      <c r="F33" s="31"/>
      <c r="G33" s="32"/>
      <c r="H33" s="32"/>
      <c r="I33" s="33"/>
      <c r="J33" s="33"/>
      <c r="K33" s="34"/>
    </row>
    <row r="34" spans="1:11">
      <c r="C34" s="28" t="s">
        <v>48</v>
      </c>
      <c r="D34" s="29"/>
      <c r="E34" s="30"/>
      <c r="F34" s="31"/>
      <c r="G34" s="32" t="s">
        <v>16</v>
      </c>
      <c r="H34" s="32" t="s">
        <v>16</v>
      </c>
      <c r="I34" s="33"/>
      <c r="J34" s="33"/>
      <c r="K34" s="34"/>
    </row>
    <row r="35" spans="1:11">
      <c r="C35" s="21"/>
      <c r="D35" s="29"/>
      <c r="E35" s="30"/>
      <c r="F35" s="31"/>
      <c r="G35" s="32"/>
      <c r="H35" s="32"/>
      <c r="I35" s="33"/>
      <c r="J35" s="33"/>
      <c r="K35" s="34"/>
    </row>
    <row r="36" spans="1:11">
      <c r="A36" s="35"/>
      <c r="B36" s="36"/>
      <c r="C36" s="28" t="s">
        <v>49</v>
      </c>
      <c r="D36" s="29"/>
      <c r="E36" s="30"/>
      <c r="F36" s="31"/>
      <c r="G36" s="32"/>
      <c r="H36" s="32"/>
      <c r="I36" s="33"/>
      <c r="J36" s="33"/>
      <c r="K36" s="34"/>
    </row>
    <row r="37" spans="1:11">
      <c r="C37" s="37" t="s">
        <v>50</v>
      </c>
      <c r="D37" s="29"/>
      <c r="E37" s="30"/>
      <c r="F37" s="31"/>
      <c r="G37" s="32"/>
      <c r="H37" s="32"/>
      <c r="I37" s="33"/>
      <c r="J37" s="33"/>
      <c r="K37" s="34"/>
    </row>
    <row r="38" spans="1:11">
      <c r="B38" s="1" t="s">
        <v>51</v>
      </c>
      <c r="C38" s="21" t="s">
        <v>52</v>
      </c>
      <c r="D38" s="29" t="s">
        <v>53</v>
      </c>
      <c r="E38" s="30" t="s">
        <v>54</v>
      </c>
      <c r="F38" s="31">
        <v>200</v>
      </c>
      <c r="G38" s="32">
        <v>977.12</v>
      </c>
      <c r="H38" s="32">
        <v>5.45</v>
      </c>
      <c r="I38" s="33">
        <v>7.4325000000000001</v>
      </c>
      <c r="J38" s="33"/>
      <c r="K38" s="34" t="s">
        <v>25</v>
      </c>
    </row>
    <row r="39" spans="1:11">
      <c r="B39" s="1" t="s">
        <v>55</v>
      </c>
      <c r="C39" s="21" t="s">
        <v>56</v>
      </c>
      <c r="D39" s="29" t="s">
        <v>57</v>
      </c>
      <c r="E39" s="30" t="s">
        <v>54</v>
      </c>
      <c r="F39" s="31">
        <v>200</v>
      </c>
      <c r="G39" s="32">
        <v>977.01</v>
      </c>
      <c r="H39" s="32">
        <v>5.45</v>
      </c>
      <c r="I39" s="33">
        <v>7.5327000000000002</v>
      </c>
      <c r="J39" s="33"/>
      <c r="K39" s="34" t="s">
        <v>25</v>
      </c>
    </row>
    <row r="40" spans="1:11">
      <c r="B40" s="1" t="s">
        <v>58</v>
      </c>
      <c r="C40" s="21" t="s">
        <v>59</v>
      </c>
      <c r="D40" s="29" t="s">
        <v>60</v>
      </c>
      <c r="E40" s="30" t="s">
        <v>54</v>
      </c>
      <c r="F40" s="31">
        <v>200</v>
      </c>
      <c r="G40" s="32">
        <v>934.28</v>
      </c>
      <c r="H40" s="32">
        <v>5.21</v>
      </c>
      <c r="I40" s="33">
        <v>7.9001000000000001</v>
      </c>
      <c r="J40" s="33"/>
      <c r="K40" s="34" t="s">
        <v>25</v>
      </c>
    </row>
    <row r="41" spans="1:11">
      <c r="C41" s="28" t="s">
        <v>40</v>
      </c>
      <c r="D41" s="29"/>
      <c r="E41" s="30"/>
      <c r="F41" s="31"/>
      <c r="G41" s="38">
        <v>2888.41</v>
      </c>
      <c r="H41" s="38">
        <v>16.11</v>
      </c>
      <c r="I41" s="33"/>
      <c r="J41" s="33"/>
      <c r="K41" s="34"/>
    </row>
    <row r="42" spans="1:11">
      <c r="C42" s="21"/>
      <c r="D42" s="29"/>
      <c r="E42" s="30"/>
      <c r="F42" s="31"/>
      <c r="G42" s="32"/>
      <c r="H42" s="32"/>
      <c r="I42" s="33"/>
      <c r="J42" s="33"/>
      <c r="K42" s="34"/>
    </row>
    <row r="43" spans="1:11">
      <c r="C43" s="37" t="s">
        <v>61</v>
      </c>
      <c r="D43" s="29"/>
      <c r="E43" s="30"/>
      <c r="F43" s="31"/>
      <c r="G43" s="32"/>
      <c r="H43" s="32"/>
      <c r="I43" s="33"/>
      <c r="J43" s="33"/>
      <c r="K43" s="34"/>
    </row>
    <row r="44" spans="1:11">
      <c r="B44" s="1" t="s">
        <v>62</v>
      </c>
      <c r="C44" s="21" t="s">
        <v>63</v>
      </c>
      <c r="D44" s="29" t="s">
        <v>64</v>
      </c>
      <c r="E44" s="30" t="s">
        <v>65</v>
      </c>
      <c r="F44" s="31">
        <v>300</v>
      </c>
      <c r="G44" s="32">
        <v>1452.68</v>
      </c>
      <c r="H44" s="32">
        <v>8.1</v>
      </c>
      <c r="I44" s="33">
        <v>7.2500999999999998</v>
      </c>
      <c r="J44" s="33"/>
      <c r="K44" s="34"/>
    </row>
    <row r="45" spans="1:11">
      <c r="B45" s="1" t="s">
        <v>66</v>
      </c>
      <c r="C45" s="21" t="s">
        <v>67</v>
      </c>
      <c r="D45" s="29" t="s">
        <v>68</v>
      </c>
      <c r="E45" s="30" t="s">
        <v>54</v>
      </c>
      <c r="F45" s="31">
        <v>300</v>
      </c>
      <c r="G45" s="32">
        <v>1431.36</v>
      </c>
      <c r="H45" s="32">
        <v>7.98</v>
      </c>
      <c r="I45" s="33">
        <v>7.48</v>
      </c>
      <c r="J45" s="33"/>
      <c r="K45" s="34" t="s">
        <v>25</v>
      </c>
    </row>
    <row r="46" spans="1:11">
      <c r="B46" s="1" t="s">
        <v>69</v>
      </c>
      <c r="C46" s="21" t="s">
        <v>70</v>
      </c>
      <c r="D46" s="29" t="s">
        <v>71</v>
      </c>
      <c r="E46" s="30" t="s">
        <v>54</v>
      </c>
      <c r="F46" s="31">
        <v>300</v>
      </c>
      <c r="G46" s="32">
        <v>1401.35</v>
      </c>
      <c r="H46" s="32">
        <v>7.81</v>
      </c>
      <c r="I46" s="33">
        <v>7.58</v>
      </c>
      <c r="J46" s="33"/>
      <c r="K46" s="34" t="s">
        <v>25</v>
      </c>
    </row>
    <row r="47" spans="1:11">
      <c r="B47" s="1" t="s">
        <v>72</v>
      </c>
      <c r="C47" s="21" t="s">
        <v>73</v>
      </c>
      <c r="D47" s="29" t="s">
        <v>74</v>
      </c>
      <c r="E47" s="30" t="s">
        <v>54</v>
      </c>
      <c r="F47" s="31">
        <v>300</v>
      </c>
      <c r="G47" s="32">
        <v>1399.73</v>
      </c>
      <c r="H47" s="32">
        <v>7.8</v>
      </c>
      <c r="I47" s="33">
        <v>7.6449999999999996</v>
      </c>
      <c r="J47" s="33"/>
      <c r="K47" s="34" t="s">
        <v>25</v>
      </c>
    </row>
    <row r="48" spans="1:11">
      <c r="B48" s="1" t="s">
        <v>75</v>
      </c>
      <c r="C48" s="21" t="s">
        <v>76</v>
      </c>
      <c r="D48" s="29" t="s">
        <v>77</v>
      </c>
      <c r="E48" s="30" t="s">
        <v>65</v>
      </c>
      <c r="F48" s="31">
        <v>280</v>
      </c>
      <c r="G48" s="32">
        <v>1304.01</v>
      </c>
      <c r="H48" s="32">
        <v>7.27</v>
      </c>
      <c r="I48" s="33">
        <v>7.59</v>
      </c>
      <c r="J48" s="33"/>
      <c r="K48" s="34" t="s">
        <v>25</v>
      </c>
    </row>
    <row r="49" spans="1:11">
      <c r="B49" s="1" t="s">
        <v>78</v>
      </c>
      <c r="C49" s="21" t="s">
        <v>79</v>
      </c>
      <c r="D49" s="29" t="s">
        <v>80</v>
      </c>
      <c r="E49" s="30" t="s">
        <v>54</v>
      </c>
      <c r="F49" s="31">
        <v>200</v>
      </c>
      <c r="G49" s="32">
        <v>952.37</v>
      </c>
      <c r="H49" s="32">
        <v>5.31</v>
      </c>
      <c r="I49" s="33">
        <v>7.39</v>
      </c>
      <c r="J49" s="33"/>
      <c r="K49" s="34"/>
    </row>
    <row r="50" spans="1:11">
      <c r="B50" s="1" t="s">
        <v>81</v>
      </c>
      <c r="C50" s="21" t="s">
        <v>82</v>
      </c>
      <c r="D50" s="29" t="s">
        <v>83</v>
      </c>
      <c r="E50" s="30" t="s">
        <v>54</v>
      </c>
      <c r="F50" s="31">
        <v>100</v>
      </c>
      <c r="G50" s="32">
        <v>486.46</v>
      </c>
      <c r="H50" s="32">
        <v>2.71</v>
      </c>
      <c r="I50" s="33">
        <v>7.31</v>
      </c>
      <c r="J50" s="33"/>
      <c r="K50" s="34" t="s">
        <v>25</v>
      </c>
    </row>
    <row r="51" spans="1:11">
      <c r="C51" s="28" t="s">
        <v>40</v>
      </c>
      <c r="D51" s="29"/>
      <c r="E51" s="30"/>
      <c r="F51" s="31"/>
      <c r="G51" s="38">
        <v>8427.9599999999991</v>
      </c>
      <c r="H51" s="38">
        <v>46.98</v>
      </c>
      <c r="I51" s="33"/>
      <c r="J51" s="33"/>
      <c r="K51" s="34"/>
    </row>
    <row r="52" spans="1:11">
      <c r="C52" s="21"/>
      <c r="D52" s="29"/>
      <c r="E52" s="30"/>
      <c r="F52" s="31"/>
      <c r="G52" s="32"/>
      <c r="H52" s="32"/>
      <c r="I52" s="33"/>
      <c r="J52" s="33"/>
      <c r="K52" s="34"/>
    </row>
    <row r="53" spans="1:11">
      <c r="C53" s="28" t="s">
        <v>84</v>
      </c>
      <c r="D53" s="29"/>
      <c r="E53" s="30"/>
      <c r="F53" s="31"/>
      <c r="G53" s="32" t="s">
        <v>16</v>
      </c>
      <c r="H53" s="32" t="s">
        <v>16</v>
      </c>
      <c r="I53" s="33"/>
      <c r="J53" s="33"/>
      <c r="K53" s="34"/>
    </row>
    <row r="54" spans="1:11">
      <c r="C54" s="21"/>
      <c r="D54" s="29"/>
      <c r="E54" s="30"/>
      <c r="F54" s="31"/>
      <c r="G54" s="32"/>
      <c r="H54" s="32"/>
      <c r="I54" s="33"/>
      <c r="J54" s="33"/>
      <c r="K54" s="34"/>
    </row>
    <row r="55" spans="1:11">
      <c r="C55" s="28" t="s">
        <v>85</v>
      </c>
      <c r="D55" s="29"/>
      <c r="E55" s="30"/>
      <c r="F55" s="31"/>
      <c r="G55" s="32" t="s">
        <v>16</v>
      </c>
      <c r="H55" s="32" t="s">
        <v>16</v>
      </c>
      <c r="I55" s="33"/>
      <c r="J55" s="33"/>
      <c r="K55" s="34"/>
    </row>
    <row r="56" spans="1:11">
      <c r="C56" s="21"/>
      <c r="D56" s="29"/>
      <c r="E56" s="30"/>
      <c r="F56" s="31"/>
      <c r="G56" s="32"/>
      <c r="H56" s="32"/>
      <c r="I56" s="33"/>
      <c r="J56" s="33"/>
      <c r="K56" s="34"/>
    </row>
    <row r="57" spans="1:11">
      <c r="A57" s="35"/>
      <c r="B57" s="36"/>
      <c r="C57" s="28" t="s">
        <v>86</v>
      </c>
      <c r="D57" s="29"/>
      <c r="E57" s="30"/>
      <c r="F57" s="31"/>
      <c r="G57" s="32"/>
      <c r="H57" s="32"/>
      <c r="I57" s="33"/>
      <c r="J57" s="33"/>
      <c r="K57" s="34"/>
    </row>
    <row r="58" spans="1:11">
      <c r="A58" s="36"/>
      <c r="B58" s="36"/>
      <c r="C58" s="28" t="s">
        <v>87</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88</v>
      </c>
      <c r="D60" s="29"/>
      <c r="E60" s="30"/>
      <c r="F60" s="31"/>
      <c r="G60" s="32" t="s">
        <v>16</v>
      </c>
      <c r="H60" s="32" t="s">
        <v>16</v>
      </c>
      <c r="I60" s="33"/>
      <c r="J60" s="33"/>
      <c r="K60" s="34"/>
    </row>
    <row r="61" spans="1:11">
      <c r="A61" s="36"/>
      <c r="B61" s="36"/>
      <c r="C61" s="28"/>
      <c r="D61" s="29"/>
      <c r="E61" s="30"/>
      <c r="F61" s="31"/>
      <c r="G61" s="32"/>
      <c r="H61" s="32"/>
      <c r="I61" s="33"/>
      <c r="J61" s="33"/>
      <c r="K61" s="34"/>
    </row>
    <row r="62" spans="1:11">
      <c r="A62" s="36"/>
      <c r="B62" s="36"/>
      <c r="C62" s="28" t="s">
        <v>89</v>
      </c>
      <c r="D62" s="29"/>
      <c r="E62" s="30"/>
      <c r="F62" s="31"/>
      <c r="G62" s="32" t="s">
        <v>16</v>
      </c>
      <c r="H62" s="32" t="s">
        <v>16</v>
      </c>
      <c r="I62" s="33"/>
      <c r="J62" s="33"/>
      <c r="K62" s="34"/>
    </row>
    <row r="63" spans="1:11">
      <c r="A63" s="36"/>
      <c r="B63" s="36"/>
      <c r="C63" s="28"/>
      <c r="D63" s="29"/>
      <c r="E63" s="30"/>
      <c r="F63" s="31"/>
      <c r="G63" s="32"/>
      <c r="H63" s="32"/>
      <c r="I63" s="33"/>
      <c r="J63" s="33"/>
      <c r="K63" s="34"/>
    </row>
    <row r="64" spans="1:11">
      <c r="A64" s="36"/>
      <c r="B64" s="36"/>
      <c r="C64" s="28" t="s">
        <v>90</v>
      </c>
      <c r="D64" s="29"/>
      <c r="E64" s="30"/>
      <c r="F64" s="31"/>
      <c r="G64" s="32" t="s">
        <v>16</v>
      </c>
      <c r="H64" s="32" t="s">
        <v>16</v>
      </c>
      <c r="I64" s="33"/>
      <c r="J64" s="33"/>
      <c r="K64" s="34"/>
    </row>
    <row r="65" spans="1:11">
      <c r="A65" s="36"/>
      <c r="B65" s="36"/>
      <c r="C65" s="28"/>
      <c r="D65" s="29"/>
      <c r="E65" s="30"/>
      <c r="F65" s="31"/>
      <c r="G65" s="32"/>
      <c r="H65" s="32"/>
      <c r="I65" s="33"/>
      <c r="J65" s="33"/>
      <c r="K65" s="34"/>
    </row>
    <row r="66" spans="1:11">
      <c r="C66" s="37" t="s">
        <v>91</v>
      </c>
      <c r="D66" s="29"/>
      <c r="E66" s="30"/>
      <c r="F66" s="31"/>
      <c r="G66" s="32"/>
      <c r="H66" s="32"/>
      <c r="I66" s="33"/>
      <c r="J66" s="33"/>
      <c r="K66" s="34"/>
    </row>
    <row r="67" spans="1:11">
      <c r="B67" s="1" t="s">
        <v>92</v>
      </c>
      <c r="C67" s="21" t="s">
        <v>93</v>
      </c>
      <c r="D67" s="29"/>
      <c r="E67" s="30"/>
      <c r="F67" s="31"/>
      <c r="G67" s="32">
        <v>1176.54</v>
      </c>
      <c r="H67" s="32">
        <v>6.56</v>
      </c>
      <c r="I67" s="33">
        <v>7.14</v>
      </c>
      <c r="J67" s="33"/>
      <c r="K67" s="34"/>
    </row>
    <row r="68" spans="1:11">
      <c r="C68" s="28" t="s">
        <v>40</v>
      </c>
      <c r="D68" s="29"/>
      <c r="E68" s="30"/>
      <c r="F68" s="31"/>
      <c r="G68" s="38">
        <v>1176.54</v>
      </c>
      <c r="H68" s="38">
        <v>6.56</v>
      </c>
      <c r="I68" s="33"/>
      <c r="J68" s="33"/>
      <c r="K68" s="34"/>
    </row>
    <row r="69" spans="1:11">
      <c r="C69" s="21"/>
      <c r="D69" s="29"/>
      <c r="E69" s="30"/>
      <c r="F69" s="31"/>
      <c r="G69" s="32"/>
      <c r="H69" s="32"/>
      <c r="I69" s="33"/>
      <c r="J69" s="33"/>
      <c r="K69" s="34"/>
    </row>
    <row r="70" spans="1:11">
      <c r="A70" s="35"/>
      <c r="B70" s="36"/>
      <c r="C70" s="28" t="s">
        <v>94</v>
      </c>
      <c r="D70" s="29"/>
      <c r="E70" s="30"/>
      <c r="F70" s="31"/>
      <c r="G70" s="32"/>
      <c r="H70" s="32"/>
      <c r="I70" s="33"/>
      <c r="J70" s="33"/>
      <c r="K70" s="34"/>
    </row>
    <row r="71" spans="1:11">
      <c r="B71" s="1"/>
      <c r="C71" s="21" t="s">
        <v>95</v>
      </c>
      <c r="D71" s="29"/>
      <c r="E71" s="30"/>
      <c r="F71" s="31"/>
      <c r="G71" s="32">
        <v>265.92</v>
      </c>
      <c r="H71" s="32">
        <v>1.49</v>
      </c>
      <c r="I71" s="33"/>
      <c r="J71" s="33"/>
      <c r="K71" s="34"/>
    </row>
    <row r="72" spans="1:11">
      <c r="C72" s="28" t="s">
        <v>40</v>
      </c>
      <c r="D72" s="29"/>
      <c r="E72" s="30"/>
      <c r="F72" s="31"/>
      <c r="G72" s="38">
        <v>265.92</v>
      </c>
      <c r="H72" s="38">
        <v>1.49</v>
      </c>
      <c r="I72" s="33"/>
      <c r="J72" s="33"/>
      <c r="K72" s="34"/>
    </row>
    <row r="73" spans="1:11">
      <c r="C73" s="21"/>
      <c r="D73" s="29"/>
      <c r="E73" s="30"/>
      <c r="F73" s="31"/>
      <c r="G73" s="32"/>
      <c r="H73" s="32"/>
      <c r="I73" s="33"/>
      <c r="J73" s="33"/>
      <c r="K73" s="34"/>
    </row>
    <row r="74" spans="1:11" ht="14.4" thickBot="1">
      <c r="C74" s="39" t="s">
        <v>96</v>
      </c>
      <c r="D74" s="40"/>
      <c r="E74" s="41"/>
      <c r="F74" s="42"/>
      <c r="G74" s="43">
        <v>17934.22</v>
      </c>
      <c r="H74" s="43">
        <f>SUMIFS(H:H,C:C,"Total")</f>
        <v>99.999999999999986</v>
      </c>
      <c r="I74" s="44"/>
      <c r="J74" s="44"/>
      <c r="K74" s="45"/>
    </row>
    <row r="77" spans="1:11">
      <c r="C77" s="11" t="s">
        <v>97</v>
      </c>
    </row>
    <row r="78" spans="1:11">
      <c r="C78" s="2" t="s">
        <v>98</v>
      </c>
    </row>
    <row r="79" spans="1:11">
      <c r="C79" s="46" t="s">
        <v>99</v>
      </c>
    </row>
    <row r="80" spans="1:11">
      <c r="C80" s="2" t="s">
        <v>100</v>
      </c>
    </row>
    <row r="81" spans="3:55">
      <c r="C81" s="2" t="s">
        <v>101</v>
      </c>
    </row>
    <row r="82" spans="3:55">
      <c r="C82" s="2" t="s">
        <v>102</v>
      </c>
      <c r="D82" s="47"/>
      <c r="E82" s="47"/>
      <c r="F82" s="47"/>
      <c r="G82" s="48"/>
      <c r="H82" s="48"/>
    </row>
    <row r="83" spans="3:55">
      <c r="C83" s="2" t="s">
        <v>103</v>
      </c>
    </row>
    <row r="84" spans="3:55">
      <c r="C84" s="2" t="s">
        <v>104</v>
      </c>
    </row>
    <row r="85" spans="3:55">
      <c r="C85" s="2" t="s">
        <v>105</v>
      </c>
    </row>
    <row r="86" spans="3:55">
      <c r="C86" s="2" t="s">
        <v>106</v>
      </c>
    </row>
    <row r="87" spans="3:55" s="11" customFormat="1">
      <c r="C87" s="11" t="s">
        <v>107</v>
      </c>
      <c r="E87" s="11" t="s">
        <v>155</v>
      </c>
      <c r="F87" s="49" t="s">
        <v>109</v>
      </c>
      <c r="G87" s="50"/>
      <c r="H87" s="50"/>
      <c r="I87" s="50"/>
      <c r="J87" s="50"/>
      <c r="K87" s="51"/>
      <c r="L87" s="51"/>
      <c r="M87" s="51"/>
      <c r="AJ87" s="51"/>
      <c r="AW87" s="51"/>
      <c r="AY87" s="51"/>
      <c r="BC87" s="51"/>
    </row>
    <row r="88" spans="3:55">
      <c r="C88" s="2" t="s">
        <v>110</v>
      </c>
      <c r="E88" s="52">
        <v>10.0604</v>
      </c>
      <c r="F88" s="53">
        <v>10.0604</v>
      </c>
      <c r="M88" s="10"/>
      <c r="AI88" s="2"/>
      <c r="AJ88" s="10"/>
      <c r="AV88" s="2"/>
      <c r="AW88" s="10"/>
      <c r="AX88" s="2"/>
      <c r="AY88" s="10"/>
      <c r="BB88" s="2"/>
      <c r="BC88" s="10"/>
    </row>
    <row r="89" spans="3:55">
      <c r="C89" s="2" t="s">
        <v>111</v>
      </c>
      <c r="E89" s="52">
        <v>33.342500000000001</v>
      </c>
      <c r="F89" s="53">
        <v>34.366</v>
      </c>
      <c r="M89" s="10"/>
      <c r="AI89" s="2"/>
      <c r="AJ89" s="10"/>
      <c r="AV89" s="2"/>
      <c r="AW89" s="10"/>
      <c r="AX89" s="2"/>
      <c r="AY89" s="10"/>
      <c r="BB89" s="2"/>
      <c r="BC89" s="10"/>
    </row>
    <row r="90" spans="3:55">
      <c r="C90" s="2" t="s">
        <v>112</v>
      </c>
      <c r="E90" s="52">
        <v>10.2189</v>
      </c>
      <c r="F90" s="53">
        <v>10.260400000000001</v>
      </c>
      <c r="M90" s="10"/>
      <c r="AI90" s="2"/>
      <c r="AJ90" s="10"/>
      <c r="AV90" s="2"/>
      <c r="AW90" s="10"/>
      <c r="AX90" s="2"/>
      <c r="AY90" s="10"/>
      <c r="BB90" s="2"/>
      <c r="BC90" s="10"/>
    </row>
    <row r="91" spans="3:55">
      <c r="C91" s="2" t="s">
        <v>113</v>
      </c>
      <c r="E91" s="52">
        <v>10.014699999999999</v>
      </c>
      <c r="F91" s="53">
        <v>10.0296</v>
      </c>
      <c r="M91" s="10"/>
      <c r="AI91" s="2"/>
      <c r="AJ91" s="10"/>
      <c r="AV91" s="2"/>
      <c r="AW91" s="10"/>
      <c r="AX91" s="2"/>
      <c r="AY91" s="10"/>
      <c r="BB91" s="2"/>
      <c r="BC91" s="10"/>
    </row>
    <row r="92" spans="3:55">
      <c r="C92" s="2" t="s">
        <v>114</v>
      </c>
      <c r="E92" s="52">
        <v>10.049899999999999</v>
      </c>
      <c r="F92" s="53">
        <v>10.049899999999999</v>
      </c>
      <c r="M92" s="10"/>
      <c r="AI92" s="2"/>
      <c r="AJ92" s="10"/>
      <c r="AV92" s="2"/>
      <c r="AW92" s="10"/>
      <c r="AX92" s="2"/>
      <c r="AY92" s="10"/>
      <c r="BB92" s="2"/>
      <c r="BC92" s="10"/>
    </row>
    <row r="93" spans="3:55">
      <c r="C93" s="2" t="s">
        <v>115</v>
      </c>
      <c r="E93" s="52">
        <v>33.3688</v>
      </c>
      <c r="F93" s="53">
        <v>34.393099999999997</v>
      </c>
      <c r="M93" s="10"/>
      <c r="AI93" s="2"/>
      <c r="AJ93" s="10"/>
      <c r="AV93" s="2"/>
      <c r="AW93" s="10"/>
      <c r="AX93" s="2"/>
      <c r="AY93" s="10"/>
      <c r="BB93" s="2"/>
      <c r="BC93" s="10"/>
    </row>
    <row r="94" spans="3:55">
      <c r="C94" s="2" t="s">
        <v>116</v>
      </c>
      <c r="E94" s="52">
        <v>10.3932</v>
      </c>
      <c r="F94" s="53">
        <v>10.438499999999999</v>
      </c>
      <c r="M94" s="10"/>
      <c r="AI94" s="2"/>
      <c r="AJ94" s="10"/>
      <c r="AV94" s="2"/>
      <c r="AW94" s="10"/>
      <c r="AX94" s="2"/>
      <c r="AY94" s="10"/>
      <c r="BB94" s="2"/>
      <c r="BC94" s="10"/>
    </row>
    <row r="95" spans="3:55">
      <c r="C95" s="2" t="s">
        <v>117</v>
      </c>
      <c r="E95" s="52">
        <v>10.014699999999999</v>
      </c>
      <c r="F95" s="53">
        <v>10.0296</v>
      </c>
      <c r="M95" s="10"/>
      <c r="AI95" s="2"/>
      <c r="AJ95" s="10"/>
      <c r="AV95" s="2"/>
      <c r="AW95" s="10"/>
      <c r="AX95" s="2"/>
      <c r="AY95" s="10"/>
      <c r="BB95" s="2"/>
      <c r="BC95" s="10"/>
    </row>
    <row r="96" spans="3:55">
      <c r="C96" s="2" t="s">
        <v>118</v>
      </c>
      <c r="E96" s="52">
        <v>10.083500000000001</v>
      </c>
      <c r="F96" s="53">
        <v>10.083500000000001</v>
      </c>
      <c r="M96" s="10"/>
      <c r="AI96" s="2"/>
      <c r="AJ96" s="10"/>
      <c r="AV96" s="2"/>
      <c r="AW96" s="10"/>
      <c r="AX96" s="2"/>
      <c r="AY96" s="10"/>
      <c r="BB96" s="2"/>
      <c r="BC96" s="10"/>
    </row>
    <row r="97" spans="3:55">
      <c r="C97" s="2" t="s">
        <v>119</v>
      </c>
      <c r="E97" s="52">
        <v>35.777700000000003</v>
      </c>
      <c r="F97" s="53">
        <v>36.991900000000001</v>
      </c>
      <c r="M97" s="10"/>
      <c r="AI97" s="2"/>
      <c r="AJ97" s="10"/>
      <c r="AV97" s="2"/>
      <c r="AW97" s="10"/>
      <c r="AX97" s="2"/>
      <c r="AY97" s="10"/>
      <c r="BB97" s="2"/>
      <c r="BC97" s="10"/>
    </row>
    <row r="98" spans="3:55">
      <c r="C98" s="2" t="s">
        <v>120</v>
      </c>
      <c r="E98" s="52">
        <v>10.0258</v>
      </c>
      <c r="F98" s="53">
        <v>10.1395</v>
      </c>
      <c r="M98" s="10"/>
      <c r="AI98" s="2"/>
      <c r="AJ98" s="10"/>
      <c r="AV98" s="2"/>
      <c r="AW98" s="10"/>
      <c r="AX98" s="2"/>
      <c r="AY98" s="10"/>
      <c r="BB98" s="2"/>
      <c r="BC98" s="10"/>
    </row>
    <row r="99" spans="3:55">
      <c r="C99" s="2" t="s">
        <v>121</v>
      </c>
      <c r="E99" s="52">
        <v>10.0176</v>
      </c>
      <c r="F99" s="53">
        <v>10.030099999999999</v>
      </c>
      <c r="M99" s="10"/>
      <c r="AI99" s="2"/>
      <c r="AJ99" s="10"/>
      <c r="AV99" s="2"/>
      <c r="AW99" s="10"/>
      <c r="AX99" s="2"/>
      <c r="AY99" s="10"/>
      <c r="BB99" s="2"/>
      <c r="BC99" s="10"/>
    </row>
    <row r="100" spans="3:55">
      <c r="M100" s="10"/>
      <c r="AI100" s="2"/>
      <c r="AJ100" s="10"/>
      <c r="AV100" s="2"/>
      <c r="AW100" s="10"/>
      <c r="AX100" s="2"/>
      <c r="AY100" s="10"/>
      <c r="BB100" s="2"/>
      <c r="BC100" s="10"/>
    </row>
    <row r="101" spans="3:55">
      <c r="C101" s="2" t="s">
        <v>156</v>
      </c>
      <c r="E101" s="11" t="s">
        <v>123</v>
      </c>
      <c r="F101" s="49" t="s">
        <v>124</v>
      </c>
      <c r="M101" s="10"/>
      <c r="AI101" s="2"/>
      <c r="AJ101" s="10"/>
      <c r="AV101" s="2"/>
      <c r="AW101" s="10"/>
      <c r="AX101" s="2"/>
      <c r="AY101" s="10"/>
      <c r="BB101" s="2"/>
      <c r="BC101" s="10"/>
    </row>
    <row r="102" spans="3:55">
      <c r="C102" s="2" t="s">
        <v>110</v>
      </c>
      <c r="E102" s="52">
        <v>0.30424441999999979</v>
      </c>
      <c r="F102" s="53">
        <v>0.30424441999999979</v>
      </c>
      <c r="M102" s="10"/>
      <c r="AI102" s="2"/>
      <c r="AJ102" s="10"/>
      <c r="AV102" s="2"/>
      <c r="AW102" s="10"/>
      <c r="AX102" s="2"/>
      <c r="AY102" s="10"/>
      <c r="BB102" s="2"/>
      <c r="BC102" s="10"/>
    </row>
    <row r="103" spans="3:55">
      <c r="C103" s="2" t="s">
        <v>112</v>
      </c>
      <c r="E103" s="52">
        <v>0.27</v>
      </c>
      <c r="F103" s="53">
        <v>0.27</v>
      </c>
      <c r="M103" s="10"/>
      <c r="AI103" s="2"/>
      <c r="AJ103" s="10"/>
      <c r="AV103" s="2"/>
      <c r="AW103" s="10"/>
      <c r="AX103" s="2"/>
      <c r="AY103" s="10"/>
      <c r="BB103" s="2"/>
      <c r="BC103" s="10"/>
    </row>
    <row r="104" spans="3:55">
      <c r="C104" s="2" t="s">
        <v>113</v>
      </c>
      <c r="E104" s="52">
        <v>0.28799392000000007</v>
      </c>
      <c r="F104" s="53">
        <v>0.28799392000000007</v>
      </c>
      <c r="M104" s="10"/>
      <c r="AI104" s="2"/>
      <c r="AJ104" s="10"/>
      <c r="AV104" s="2"/>
      <c r="AW104" s="10"/>
      <c r="AX104" s="2"/>
      <c r="AY104" s="10"/>
      <c r="BB104" s="2"/>
      <c r="BC104" s="10"/>
    </row>
    <row r="105" spans="3:55">
      <c r="C105" s="2" t="s">
        <v>114</v>
      </c>
      <c r="E105" s="52">
        <v>0.30393560000000003</v>
      </c>
      <c r="F105" s="53">
        <v>0.30393560000000003</v>
      </c>
      <c r="M105" s="10"/>
      <c r="AI105" s="2"/>
      <c r="AJ105" s="10"/>
      <c r="AV105" s="2"/>
      <c r="AW105" s="10"/>
      <c r="AX105" s="2"/>
      <c r="AY105" s="10"/>
      <c r="BB105" s="2"/>
      <c r="BC105" s="10"/>
    </row>
    <row r="106" spans="3:55">
      <c r="C106" s="2" t="s">
        <v>116</v>
      </c>
      <c r="E106" s="52">
        <v>0.27</v>
      </c>
      <c r="F106" s="53">
        <v>0.27</v>
      </c>
      <c r="M106" s="10"/>
      <c r="AI106" s="2"/>
      <c r="AJ106" s="10"/>
      <c r="AV106" s="2"/>
      <c r="AW106" s="10"/>
      <c r="AX106" s="2"/>
      <c r="AY106" s="10"/>
      <c r="BB106" s="2"/>
      <c r="BC106" s="10"/>
    </row>
    <row r="107" spans="3:55">
      <c r="C107" s="2" t="s">
        <v>117</v>
      </c>
      <c r="E107" s="52">
        <v>0.28799332999999999</v>
      </c>
      <c r="F107" s="53">
        <v>0.28799332999999999</v>
      </c>
      <c r="M107" s="10"/>
      <c r="AI107" s="2"/>
      <c r="AJ107" s="10"/>
      <c r="AV107" s="2"/>
      <c r="AW107" s="10"/>
      <c r="AX107" s="2"/>
      <c r="AY107" s="10"/>
      <c r="BB107" s="2"/>
      <c r="BC107" s="10"/>
    </row>
    <row r="108" spans="3:55">
      <c r="C108" s="2" t="s">
        <v>118</v>
      </c>
      <c r="E108" s="52">
        <v>0.33672168000000002</v>
      </c>
      <c r="F108" s="53">
        <v>0.33672168000000002</v>
      </c>
      <c r="M108" s="10"/>
      <c r="AI108" s="2"/>
      <c r="AJ108" s="10"/>
      <c r="AV108" s="2"/>
      <c r="AW108" s="10"/>
      <c r="AX108" s="2"/>
      <c r="AY108" s="10"/>
      <c r="BB108" s="2"/>
      <c r="BC108" s="10"/>
    </row>
    <row r="109" spans="3:55">
      <c r="C109" s="2" t="s">
        <v>120</v>
      </c>
      <c r="E109" s="52">
        <v>0.23000000000000004</v>
      </c>
      <c r="F109" s="53">
        <v>0.23000000000000004</v>
      </c>
      <c r="M109" s="10"/>
      <c r="AI109" s="2"/>
      <c r="AJ109" s="10"/>
      <c r="AV109" s="2"/>
      <c r="AW109" s="10"/>
      <c r="AX109" s="2"/>
      <c r="AY109" s="10"/>
      <c r="BB109" s="2"/>
      <c r="BC109" s="10"/>
    </row>
    <row r="110" spans="3:55">
      <c r="C110" s="2" t="s">
        <v>121</v>
      </c>
      <c r="E110" s="52">
        <v>0.32195805</v>
      </c>
      <c r="F110" s="53">
        <v>0.32195805</v>
      </c>
      <c r="M110" s="10"/>
      <c r="AI110" s="2"/>
      <c r="AJ110" s="10"/>
      <c r="AV110" s="2"/>
      <c r="AW110" s="10"/>
      <c r="AX110" s="2"/>
      <c r="AY110" s="10"/>
      <c r="BB110" s="2"/>
      <c r="BC110" s="10"/>
    </row>
    <row r="112" spans="3:55">
      <c r="C112" s="2" t="s">
        <v>157</v>
      </c>
    </row>
    <row r="113" spans="3:54">
      <c r="C113" s="2" t="s">
        <v>126</v>
      </c>
    </row>
    <row r="114" spans="3:54">
      <c r="C114" s="2" t="s">
        <v>127</v>
      </c>
    </row>
    <row r="115" spans="3:54">
      <c r="C115" s="2" t="s">
        <v>158</v>
      </c>
    </row>
    <row r="116" spans="3:54">
      <c r="C116" s="2" t="s">
        <v>129</v>
      </c>
    </row>
    <row r="117" spans="3:54">
      <c r="C117" s="2" t="s">
        <v>159</v>
      </c>
    </row>
    <row r="118" spans="3:54">
      <c r="C118" s="2" t="s">
        <v>131</v>
      </c>
    </row>
    <row r="119" spans="3:54">
      <c r="C119" s="2" t="s">
        <v>132</v>
      </c>
    </row>
    <row r="120" spans="3:54">
      <c r="C120" s="2" t="s">
        <v>160</v>
      </c>
    </row>
    <row r="121" spans="3:54">
      <c r="C121" s="2" t="s">
        <v>134</v>
      </c>
    </row>
    <row r="122" spans="3:54">
      <c r="C122" s="2" t="s">
        <v>135</v>
      </c>
    </row>
    <row r="123" spans="3:54">
      <c r="C123" s="2" t="s">
        <v>161</v>
      </c>
    </row>
    <row r="124" spans="3:54">
      <c r="C124" s="2" t="s">
        <v>137</v>
      </c>
    </row>
    <row r="125" spans="3:54">
      <c r="C125" s="2" t="s">
        <v>138</v>
      </c>
    </row>
    <row r="126" spans="3:54">
      <c r="C126" s="79" t="s">
        <v>162</v>
      </c>
      <c r="D126" s="79"/>
      <c r="E126" s="79"/>
      <c r="F126" s="79"/>
      <c r="G126" s="79"/>
      <c r="H126" s="79"/>
      <c r="I126" s="79"/>
      <c r="J126" s="79"/>
      <c r="K126" s="79"/>
      <c r="L126" s="2"/>
      <c r="AB126" s="10"/>
      <c r="AI126" s="2"/>
      <c r="AO126" s="10"/>
      <c r="AQ126" s="10"/>
      <c r="AU126" s="10"/>
      <c r="AV126" s="2"/>
      <c r="AX126" s="2"/>
      <c r="BB126" s="2"/>
    </row>
    <row r="127" spans="3:54">
      <c r="C127" s="79"/>
      <c r="D127" s="79"/>
      <c r="E127" s="79"/>
      <c r="F127" s="79"/>
      <c r="G127" s="79"/>
      <c r="H127" s="79"/>
      <c r="I127" s="79"/>
      <c r="J127" s="79"/>
      <c r="K127" s="79"/>
      <c r="L127" s="2"/>
      <c r="AB127" s="10"/>
      <c r="AI127" s="2"/>
      <c r="AO127" s="10"/>
      <c r="AQ127" s="10"/>
      <c r="AU127" s="10"/>
      <c r="AV127" s="2"/>
      <c r="AX127" s="2"/>
      <c r="BB127" s="2"/>
    </row>
    <row r="128" spans="3:54" ht="14.4">
      <c r="C128" s="55"/>
      <c r="D128" s="55"/>
      <c r="E128" s="55"/>
      <c r="F128" s="55"/>
      <c r="G128" s="55"/>
      <c r="H128" s="55"/>
      <c r="I128" s="55"/>
      <c r="J128" s="55"/>
      <c r="K128" s="55"/>
    </row>
    <row r="129" spans="3:11" ht="14.4">
      <c r="C129" s="54"/>
      <c r="D129" s="54"/>
      <c r="E129" s="55"/>
      <c r="F129" s="55"/>
      <c r="G129" s="55"/>
      <c r="H129" s="55"/>
      <c r="I129" s="55"/>
      <c r="J129" s="55"/>
      <c r="K129" s="55"/>
    </row>
    <row r="130" spans="3:11">
      <c r="C130" s="54"/>
      <c r="D130" s="54"/>
      <c r="E130" s="54"/>
      <c r="F130" s="54"/>
      <c r="G130" s="54"/>
      <c r="H130" s="54"/>
      <c r="I130" s="54"/>
      <c r="J130" s="54"/>
      <c r="K130" s="54"/>
    </row>
    <row r="131" spans="3:11" ht="14.4">
      <c r="C131" s="55"/>
      <c r="D131" s="55"/>
      <c r="E131" s="55"/>
      <c r="F131" s="55"/>
      <c r="G131" s="55"/>
      <c r="H131" s="55"/>
      <c r="I131" s="55"/>
      <c r="J131" s="55"/>
      <c r="K131" s="55"/>
    </row>
    <row r="132" spans="3:11" ht="14.4">
      <c r="C132" s="55"/>
      <c r="D132" s="55"/>
      <c r="E132" s="55"/>
      <c r="F132" s="55"/>
      <c r="G132" s="55"/>
      <c r="H132" s="55"/>
      <c r="I132" s="55"/>
      <c r="J132" s="55"/>
      <c r="K132" s="55"/>
    </row>
    <row r="152" spans="3:54" ht="14.4" thickBot="1"/>
    <row r="153" spans="3:54" ht="14.4" thickBot="1">
      <c r="C153" s="65" t="s">
        <v>139</v>
      </c>
      <c r="D153" s="66"/>
      <c r="E153" s="66"/>
      <c r="F153" s="67"/>
      <c r="L153" s="2"/>
      <c r="AH153" s="10"/>
      <c r="AI153" s="2"/>
      <c r="AU153" s="10"/>
      <c r="AV153" s="2"/>
      <c r="AW153" s="10"/>
      <c r="AX153" s="2"/>
      <c r="BA153" s="10"/>
      <c r="BB153" s="2"/>
    </row>
    <row r="154" spans="3:54" ht="14.4" thickBot="1">
      <c r="C154" s="56" t="s">
        <v>140</v>
      </c>
      <c r="D154" s="68" t="s">
        <v>141</v>
      </c>
      <c r="E154" s="68" t="s">
        <v>142</v>
      </c>
      <c r="F154" s="68" t="s">
        <v>143</v>
      </c>
      <c r="L154" s="2"/>
      <c r="AH154" s="10"/>
      <c r="AI154" s="2"/>
      <c r="AU154" s="10"/>
      <c r="AV154" s="2"/>
      <c r="AW154" s="10"/>
      <c r="AX154" s="2"/>
      <c r="BA154" s="10"/>
      <c r="BB154" s="2"/>
    </row>
    <row r="155" spans="3:54" ht="14.4" thickBot="1">
      <c r="C155" s="56" t="s">
        <v>144</v>
      </c>
      <c r="D155" s="69"/>
      <c r="E155" s="69"/>
      <c r="F155" s="69"/>
      <c r="L155" s="2"/>
      <c r="AH155" s="10"/>
      <c r="AI155" s="2"/>
      <c r="AU155" s="10"/>
      <c r="AV155" s="2"/>
      <c r="AW155" s="10"/>
      <c r="AX155" s="2"/>
      <c r="BA155" s="10"/>
      <c r="BB155" s="2"/>
    </row>
    <row r="156" spans="3:54" ht="14.4" thickBot="1">
      <c r="C156" s="57" t="s">
        <v>145</v>
      </c>
      <c r="D156" s="58"/>
      <c r="E156" s="59" t="s">
        <v>146</v>
      </c>
      <c r="F156" s="58"/>
      <c r="L156" s="2"/>
      <c r="AH156" s="10"/>
      <c r="AI156" s="2"/>
      <c r="AU156" s="10"/>
      <c r="AV156" s="2"/>
      <c r="AW156" s="10"/>
      <c r="AX156" s="2"/>
      <c r="BA156" s="10"/>
      <c r="BB156" s="2"/>
    </row>
    <row r="157" spans="3:54">
      <c r="C157" s="60" t="s">
        <v>147</v>
      </c>
      <c r="D157" s="63"/>
      <c r="E157" s="63"/>
      <c r="F157" s="63"/>
      <c r="L157" s="2"/>
      <c r="AH157" s="10"/>
      <c r="AI157" s="2"/>
      <c r="AU157" s="10"/>
      <c r="AV157" s="2"/>
      <c r="AW157" s="10"/>
      <c r="AX157" s="2"/>
      <c r="BA157" s="10"/>
      <c r="BB157" s="2"/>
    </row>
    <row r="158" spans="3:54" ht="14.4" thickBot="1">
      <c r="C158" s="57" t="s">
        <v>148</v>
      </c>
      <c r="D158" s="64"/>
      <c r="E158" s="64"/>
      <c r="F158" s="64"/>
      <c r="L158" s="2"/>
      <c r="AH158" s="10"/>
      <c r="AI158" s="2"/>
      <c r="AU158" s="10"/>
      <c r="AV158" s="2"/>
      <c r="AW158" s="10"/>
      <c r="AX158" s="2"/>
      <c r="BA158" s="10"/>
      <c r="BB158" s="2"/>
    </row>
    <row r="159" spans="3:54">
      <c r="C159" s="60" t="s">
        <v>149</v>
      </c>
      <c r="D159" s="63"/>
      <c r="E159" s="63"/>
      <c r="F159" s="63"/>
      <c r="L159" s="2"/>
      <c r="AH159" s="10"/>
      <c r="AI159" s="2"/>
      <c r="AU159" s="10"/>
      <c r="AV159" s="2"/>
      <c r="AW159" s="10"/>
      <c r="AX159" s="2"/>
      <c r="BA159" s="10"/>
      <c r="BB159" s="2"/>
    </row>
    <row r="160" spans="3:54" ht="14.4" thickBot="1">
      <c r="C160" s="57" t="s">
        <v>150</v>
      </c>
      <c r="D160" s="64"/>
      <c r="E160" s="64"/>
      <c r="F160" s="64"/>
      <c r="L160" s="2"/>
      <c r="AH160" s="10"/>
      <c r="AI160" s="2"/>
      <c r="AU160" s="10"/>
      <c r="AV160" s="2"/>
      <c r="AW160" s="10"/>
      <c r="AX160" s="2"/>
      <c r="BA160" s="10"/>
      <c r="BB160" s="2"/>
    </row>
    <row r="161" spans="3:54">
      <c r="C161" s="61" t="s">
        <v>151</v>
      </c>
      <c r="D161" s="62"/>
      <c r="E161" s="62"/>
      <c r="F161" s="62"/>
      <c r="L161" s="2"/>
      <c r="AH161" s="10"/>
      <c r="AI161" s="2"/>
      <c r="AU161" s="10"/>
      <c r="AV161" s="2"/>
      <c r="AW161" s="10"/>
      <c r="AX161" s="2"/>
      <c r="BA161" s="10"/>
      <c r="BB161" s="2"/>
    </row>
    <row r="162" spans="3:54">
      <c r="C162" s="2" t="s">
        <v>152</v>
      </c>
      <c r="L162" s="2"/>
      <c r="AH162" s="10"/>
      <c r="AI162" s="2"/>
      <c r="AU162" s="10"/>
      <c r="AV162" s="2"/>
      <c r="AW162" s="10"/>
      <c r="AX162" s="2"/>
      <c r="BA162" s="10"/>
      <c r="BB162" s="2"/>
    </row>
  </sheetData>
  <mergeCells count="13">
    <mergeCell ref="D157:D158"/>
    <mergeCell ref="E157:E158"/>
    <mergeCell ref="F157:F158"/>
    <mergeCell ref="D159:D160"/>
    <mergeCell ref="E159:E160"/>
    <mergeCell ref="F159:F160"/>
    <mergeCell ref="C2:K3"/>
    <mergeCell ref="C5:K5"/>
    <mergeCell ref="C126:K127"/>
    <mergeCell ref="C153:F153"/>
    <mergeCell ref="D154:D155"/>
    <mergeCell ref="E154:E155"/>
    <mergeCell ref="F154:F1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66</vt:i4>
      </vt:variant>
    </vt:vector>
  </HeadingPairs>
  <TitlesOfParts>
    <vt:vector size="68" baseType="lpstr">
      <vt:lpstr>Monthly Portfolio</vt:lpstr>
      <vt:lpstr>Half Yearly Portfolio</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2023-04-05T12:36:08Z</dcterms:created>
  <dcterms:modified xsi:type="dcterms:W3CDTF">2023-04-08T12:22:53Z</dcterms:modified>
</cp:coreProperties>
</file>