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955CFD34-8019-480C-AD16-3E40864099A4}" xr6:coauthVersionLast="47" xr6:coauthVersionMax="47" xr10:uidLastSave="{00000000-0000-0000-0000-000000000000}"/>
  <bookViews>
    <workbookView xWindow="-108" yWindow="-108" windowWidth="23256" windowHeight="12576" xr2:uid="{716C891B-EC11-4D61-9597-3CDDD131CE41}"/>
  </bookViews>
  <sheets>
    <sheet name="IC" sheetId="1" r:id="rId1"/>
  </sheets>
  <externalReferences>
    <externalReference r:id="rId2"/>
  </externalReferences>
  <definedNames>
    <definedName name="XDO_?CLASS_3?11?">IC!$C$8:$C$52</definedName>
    <definedName name="XDO_?FINAL_ISIN?48?">IC!$D$10:$D$52</definedName>
    <definedName name="XDO_?FINAL_ISIN?49?">IC!$D$10:$D$93</definedName>
    <definedName name="XDO_?FINAL_ISIN?50?">IC!$D$10:$D$97</definedName>
    <definedName name="XDO_?FINAL_MV?48?">IC!$G$10:$G$52</definedName>
    <definedName name="XDO_?FINAL_MV?49?">IC!$G$10:$G$93</definedName>
    <definedName name="XDO_?FINAL_MV?50?">IC!$G$10:$G$97</definedName>
    <definedName name="XDO_?FINAL_NAME?48?">IC!$C$10:$C$52</definedName>
    <definedName name="XDO_?FINAL_NAME?49?">IC!$C$10:$C$93</definedName>
    <definedName name="XDO_?FINAL_NAME?50?">IC!$C$10:$C$97</definedName>
    <definedName name="XDO_?FINAL_PER_NET?48?">IC!$H$10:$H$52</definedName>
    <definedName name="XDO_?FINAL_PER_NET?49?">IC!$H$10:$H$93</definedName>
    <definedName name="XDO_?FINAL_PER_NET?50?">IC!$H$10:$H$97</definedName>
    <definedName name="XDO_?FINAL_QUANTITE?48?">IC!$F$10:$F$52</definedName>
    <definedName name="XDO_?FINAL_QUANTITE?49?">IC!$F$10:$F$93</definedName>
    <definedName name="XDO_?FINAL_QUANTITE?50?">IC!$F$10:$F$97</definedName>
    <definedName name="XDO_?NAMC?">[1]MT!#REF!</definedName>
    <definedName name="XDO_?NAMC?1?">[1]LW!#REF!</definedName>
    <definedName name="XDO_?NAMC?10?">[1]FO!#REF!</definedName>
    <definedName name="XDO_?NAMC?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1?">IC!$C$2:$C$52</definedName>
    <definedName name="XDO_?NDATE?">[1]MT!#REF!</definedName>
    <definedName name="XDO_?NDATE?1?">[1]LW!#REF!</definedName>
    <definedName name="XDO_?NDATE?10?">[1]FO!#REF!</definedName>
    <definedName name="XDO_?NDATE?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8?">IC!$B$10:$B$52</definedName>
    <definedName name="XDO_?NOVAL?49?">IC!$B$10:$B$93</definedName>
    <definedName name="XDO_?NOVAL?50?">IC!$B$10:$B$97</definedName>
    <definedName name="XDO_?NPTF?11?">IC!$D$2:$D$52</definedName>
    <definedName name="XDO_?RATING?48?">IC!$E$10:$E$52</definedName>
    <definedName name="XDO_?RATING?49?">IC!$E$10:$E$93</definedName>
    <definedName name="XDO_?RATING?50?">IC!$E$10:$E$97</definedName>
    <definedName name="XDO_?REMARKS?48?">IC!$K$10:$K$52</definedName>
    <definedName name="XDO_?REMARKS?49?">IC!$K$10:$K$93</definedName>
    <definedName name="XDO_?REMARKS?50?">IC!$K$10:$K$97</definedName>
    <definedName name="XDO_?TITL?11?">IC!$A$8:$A$52</definedName>
    <definedName name="XDO_?YTM?48?">IC!$I$10:$I$52</definedName>
    <definedName name="XDO_?YTM?49?">IC!$I$10:$I$93</definedName>
    <definedName name="XDO_?YTM?50?">IC!$I$10:$I$97</definedName>
    <definedName name="XDO_GROUP_?G_2?11?">IC!$2:$65</definedName>
    <definedName name="XDO_GROUP_?G_3?11?">IC!$8:$64</definedName>
    <definedName name="XDO_GROUP_?G_4?48?">IC!$B$10:$IV$52</definedName>
    <definedName name="XDO_GROUP_?G_4?49?">IC!$B$57:$IV$57</definedName>
    <definedName name="XDO_GROUP_?G_4?50?">IC!$B$62:$IV$62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00" i="1" l="1"/>
</calcChain>
</file>

<file path=xl/sharedStrings.xml><?xml version="1.0" encoding="utf-8"?>
<sst xmlns="http://schemas.openxmlformats.org/spreadsheetml/2006/main" count="278" uniqueCount="220">
  <si>
    <t>Baroda BNP Paribas Mutual Fund</t>
  </si>
  <si>
    <t>T0ME21</t>
  </si>
  <si>
    <t>SCHEME NAME :</t>
  </si>
  <si>
    <t xml:space="preserve">Baroda BNP Paribas India Consumption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</si>
  <si>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</si>
  <si>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</si>
  <si>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</si>
  <si>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</si>
  <si>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</si>
  <si>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</si>
  <si>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</si>
  <si>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</si>
  <si>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</si>
  <si>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</si>
  <si>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</si>
  <si>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</si>
  <si>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</si>
  <si>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</si>
  <si>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</si>
  <si>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</si>
  <si>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100019</t>
  </si>
  <si>
    <t>ITC Ltd.</t>
  </si>
  <si>
    <t>INE154A01025</t>
  </si>
  <si>
    <t>Diversified FMCG</t>
  </si>
  <si>
    <t>100006</t>
  </si>
  <si>
    <t>HDFC Bank Ltd.</t>
  </si>
  <si>
    <t>INE040A01034</t>
  </si>
  <si>
    <t>100099</t>
  </si>
  <si>
    <t>Hindustan Unilever Ltd.</t>
  </si>
  <si>
    <t>INE030A01027</t>
  </si>
  <si>
    <t>100095</t>
  </si>
  <si>
    <t>Bharti Airtel Ltd.</t>
  </si>
  <si>
    <t>INE397D01024</t>
  </si>
  <si>
    <t>Telecom - Services</t>
  </si>
  <si>
    <t>100050</t>
  </si>
  <si>
    <t>Trent Ltd.</t>
  </si>
  <si>
    <t>INE849A01020</t>
  </si>
  <si>
    <t>Retailing</t>
  </si>
  <si>
    <t>100280</t>
  </si>
  <si>
    <t>TVS Motor Company Ltd.</t>
  </si>
  <si>
    <t>INE494B01023</t>
  </si>
  <si>
    <t>Automobiles</t>
  </si>
  <si>
    <t>100106</t>
  </si>
  <si>
    <t>Maruti Suzuki India Ltd.</t>
  </si>
  <si>
    <t>INE585B01010</t>
  </si>
  <si>
    <t>100024</t>
  </si>
  <si>
    <t>Axis Bank Ltd.</t>
  </si>
  <si>
    <t>INE238A01034</t>
  </si>
  <si>
    <t>100020</t>
  </si>
  <si>
    <t>Tata Consumer Products Ltd.</t>
  </si>
  <si>
    <t>INE192A01025</t>
  </si>
  <si>
    <t>Agricultural Food &amp; other Products</t>
  </si>
  <si>
    <t>100173</t>
  </si>
  <si>
    <t>Asian Paints Ltd.</t>
  </si>
  <si>
    <t>INE021A01026</t>
  </si>
  <si>
    <t>Consumer Durables</t>
  </si>
  <si>
    <t>100144</t>
  </si>
  <si>
    <t>Voltas Ltd.</t>
  </si>
  <si>
    <t>INE226A01021</t>
  </si>
  <si>
    <t>100001</t>
  </si>
  <si>
    <t>Housing Development Finance Corporation Ltd.</t>
  </si>
  <si>
    <t>INE001A01036</t>
  </si>
  <si>
    <t>Finance</t>
  </si>
  <si>
    <t>100363</t>
  </si>
  <si>
    <t>Procter &amp; Gamble Hygiene and Health Care Ltd.</t>
  </si>
  <si>
    <t>INE179A01014</t>
  </si>
  <si>
    <t>Personal Products</t>
  </si>
  <si>
    <t>100257</t>
  </si>
  <si>
    <t>Whirlpool of India Ltd.</t>
  </si>
  <si>
    <t>INE716A01013</t>
  </si>
  <si>
    <t>100628</t>
  </si>
  <si>
    <t>Avenue Supermarts Ltd.</t>
  </si>
  <si>
    <t>INE192R01011</t>
  </si>
  <si>
    <t>100014</t>
  </si>
  <si>
    <t>Mahindra &amp; Mahindra Ltd.</t>
  </si>
  <si>
    <t>INE101A01026</t>
  </si>
  <si>
    <t>100128</t>
  </si>
  <si>
    <t>Eicher Motors Ltd.</t>
  </si>
  <si>
    <t>INE066A01021</t>
  </si>
  <si>
    <t>100081</t>
  </si>
  <si>
    <t>Titan Company Ltd.</t>
  </si>
  <si>
    <t>INE280A01028</t>
  </si>
  <si>
    <t>100814</t>
  </si>
  <si>
    <t>HDFC Asset Management Company Ltd.</t>
  </si>
  <si>
    <t>INE127D01025</t>
  </si>
  <si>
    <t>Capital Markets</t>
  </si>
  <si>
    <t>100684</t>
  </si>
  <si>
    <t>SBI Life Insurance Company Ltd.</t>
  </si>
  <si>
    <t>INE123W01016</t>
  </si>
  <si>
    <t>Insurance</t>
  </si>
  <si>
    <t>100821</t>
  </si>
  <si>
    <t>TTK Prestige Ltd.</t>
  </si>
  <si>
    <t>INE690A01028</t>
  </si>
  <si>
    <t>100125</t>
  </si>
  <si>
    <t>Bajaj Finance Ltd.</t>
  </si>
  <si>
    <t>INE296A01024</t>
  </si>
  <si>
    <t>100204</t>
  </si>
  <si>
    <t>Inox Leisure Ltd.</t>
  </si>
  <si>
    <t>INE312H01016</t>
  </si>
  <si>
    <t>Entertainment</t>
  </si>
  <si>
    <t>100434</t>
  </si>
  <si>
    <t>Century Plyboards (India) Ltd.</t>
  </si>
  <si>
    <t>INE348B01021</t>
  </si>
  <si>
    <t>100751</t>
  </si>
  <si>
    <t>Orient Electric Ltd.</t>
  </si>
  <si>
    <t>INE142Z01019</t>
  </si>
  <si>
    <t>100461</t>
  </si>
  <si>
    <t>Astral Limited</t>
  </si>
  <si>
    <t>INE006I01046</t>
  </si>
  <si>
    <t>Industrial Products</t>
  </si>
  <si>
    <t>100172</t>
  </si>
  <si>
    <t>ACC Ltd.</t>
  </si>
  <si>
    <t>INE012A01025</t>
  </si>
  <si>
    <t>Cement &amp; Cement Products</t>
  </si>
  <si>
    <t>100282</t>
  </si>
  <si>
    <t>Blue Star Ltd.</t>
  </si>
  <si>
    <t>INE472A01039</t>
  </si>
  <si>
    <t>100421</t>
  </si>
  <si>
    <t>Dabur India Ltd.</t>
  </si>
  <si>
    <t>INE016A01026</t>
  </si>
  <si>
    <t>100082</t>
  </si>
  <si>
    <t>Ultratech Cement Ltd.</t>
  </si>
  <si>
    <t>INE481G01011</t>
  </si>
  <si>
    <t>100302</t>
  </si>
  <si>
    <t>DLF Ltd.</t>
  </si>
  <si>
    <t>INE271C01023</t>
  </si>
  <si>
    <t>Realty</t>
  </si>
  <si>
    <t>100897</t>
  </si>
  <si>
    <t>Metropolis Healthcare Ltd.</t>
  </si>
  <si>
    <t>INE112L01020</t>
  </si>
  <si>
    <t>Healthcare Services</t>
  </si>
  <si>
    <t>100105</t>
  </si>
  <si>
    <t>Marico Ltd.</t>
  </si>
  <si>
    <t>INE196A01026</t>
  </si>
  <si>
    <t>101256</t>
  </si>
  <si>
    <t>Nazara Technologies Ltd.</t>
  </si>
  <si>
    <t>INE418L01021</t>
  </si>
  <si>
    <t>100335</t>
  </si>
  <si>
    <t>Kajaria Ceramics Ltd.</t>
  </si>
  <si>
    <t>INE217B01036</t>
  </si>
  <si>
    <t>100289</t>
  </si>
  <si>
    <t>Shoppers Stop Ltd.</t>
  </si>
  <si>
    <t>INE498B01024</t>
  </si>
  <si>
    <t>100768</t>
  </si>
  <si>
    <t>V-Mart Retail Ltd.</t>
  </si>
  <si>
    <t>INE665J01013</t>
  </si>
  <si>
    <t>100159</t>
  </si>
  <si>
    <t>Sanofi India Ltd.</t>
  </si>
  <si>
    <t>INE058A01010</t>
  </si>
  <si>
    <t>Pharmaceuticals &amp; Biotechnology</t>
  </si>
  <si>
    <t>100200</t>
  </si>
  <si>
    <t>Page Industries Ltd.</t>
  </si>
  <si>
    <t>INE761H01022</t>
  </si>
  <si>
    <t>Textiles &amp; Apparels</t>
  </si>
  <si>
    <t>100070</t>
  </si>
  <si>
    <t>Repco Home Finance Ltd.</t>
  </si>
  <si>
    <t>INE612J01015</t>
  </si>
  <si>
    <t>101306</t>
  </si>
  <si>
    <t>Apollo Pipes Ltd.</t>
  </si>
  <si>
    <t>INE126J01016</t>
  </si>
  <si>
    <t>100435</t>
  </si>
  <si>
    <t>Crompton Greaves Consumer Electricals Ltd.</t>
  </si>
  <si>
    <t>INE299U01018</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</si>
  <si>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</si>
  <si>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</si>
  <si>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</si>
  <si>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</si>
  <si>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</si>
  <si>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</si>
  <si>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</si>
  <si>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</si>
  <si>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</si>
  <si>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</si>
  <si>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</si>
  <si>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</si>
  <si>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</si>
  <si>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</si>
  <si>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</si>
  <si>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</si>
  <si>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</si>
  <si>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</si>
  <si>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</si>
  <si>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</si>
  <si>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</si>
  <si>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</si>
  <si>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</si>
  <si>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</si>
  <si>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</si>
  <si>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</si>
  <si>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</si>
  <si>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</si>
  <si>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</si>
  <si>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</si>
  <si>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</si>
  <si>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</si>
  <si>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</si>
  <si>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</si>
  <si>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</si>
  <si>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</si>
  <si>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</si>
  <si>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</si>
  <si>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</si>
  <si>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IDCW Option</t>
  </si>
  <si>
    <t>Regular Plan - Growth Option</t>
  </si>
  <si>
    <t>Direct Plan - IDCW Option</t>
  </si>
  <si>
    <t>Direct Plan - Growth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</si>
  <si>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</si>
  <si>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</si>
  <si>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</si>
  <si>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During the period, the portfolio turnover ratio is  0.02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</si>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</sst>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yyyy;@"/>
    <numFmt numFmtId="167" formatCode="mmmm\ dd\,\ yyyy"/>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206C28AF-1BF6-4B0F-8203-57D3420AF6C4}"/>
    <cellStyle name="Hyperlink" xfId="2" builtinId="8"/>
    <cellStyle name="Normal" xfId="0" builtinId="0"/>
    <cellStyle name="Normal 2" xfId="4" xr:uid="{FCBDBE59-2873-475F-A348-8CB8EECA4AA9}"/>
    <cellStyle name="Style 1" xfId="3" xr:uid="{659D28F7-9C57-4EBC-89FB-70ECE24BF4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504275</xdr:colOff>
      <xdr:row>151</xdr:row>
      <xdr:rowOff>164592</xdr:rowOff>
    </xdr:to>
    <xdr:pic>
      <xdr:nvPicPr>
        <xdr:cNvPr id="3" name="Picture 2">
          <a:extLst>
            <a:ext uri="{FF2B5EF4-FFF2-40B4-BE49-F238E27FC236}">
              <a16:creationId xmlns:a16="http://schemas.microsoft.com/office/drawing/2014/main" id="{1C30770A-33FF-429D-8AD3-EA1C6AEF4E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603200"/>
          <a:ext cx="7455408" cy="33649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E3BA-C311-463A-9D98-191C33D9A2C6}">
  <dimension ref="A1:IS134"/>
  <sheetViews>
    <sheetView showGridLines="0" tabSelected="1" zoomScale="85" zoomScaleNormal="85" workbookViewId="0">
      <pane ySplit="6" topLeftCell="A136" activePane="bottomLeft" state="frozen"/>
      <selection activeCell="L1" sqref="L1:L65536"/>
      <selection pane="bottomLeft" activeCell="C153" sqref="C15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950000</v>
      </c>
      <c r="G10" s="35">
        <v>6718.4</v>
      </c>
      <c r="H10" s="35">
        <v>8.09</v>
      </c>
      <c r="I10" s="36"/>
      <c r="J10" s="37"/>
      <c r="K10" s="38"/>
    </row>
    <row r="11" spans="1:54" x14ac:dyDescent="0.3">
      <c r="B11" s="1" t="s">
        <v>20</v>
      </c>
      <c r="C11" s="21" t="s">
        <v>21</v>
      </c>
      <c r="D11" s="32" t="s">
        <v>22</v>
      </c>
      <c r="E11" s="33" t="s">
        <v>23</v>
      </c>
      <c r="F11" s="34">
        <v>2450000</v>
      </c>
      <c r="G11" s="35">
        <v>6700.75</v>
      </c>
      <c r="H11" s="35">
        <v>8.07</v>
      </c>
      <c r="I11" s="36"/>
      <c r="J11" s="37"/>
      <c r="K11" s="38"/>
    </row>
    <row r="12" spans="1:54" x14ac:dyDescent="0.3">
      <c r="B12" s="1" t="s">
        <v>24</v>
      </c>
      <c r="C12" s="21" t="s">
        <v>25</v>
      </c>
      <c r="D12" s="32" t="s">
        <v>26</v>
      </c>
      <c r="E12" s="33" t="s">
        <v>19</v>
      </c>
      <c r="F12" s="34">
        <v>400000</v>
      </c>
      <c r="G12" s="35">
        <v>5392</v>
      </c>
      <c r="H12" s="35">
        <v>6.5</v>
      </c>
      <c r="I12" s="36"/>
      <c r="J12" s="37"/>
      <c r="K12" s="38"/>
    </row>
    <row r="13" spans="1:54" x14ac:dyDescent="0.3">
      <c r="B13" s="1" t="s">
        <v>27</v>
      </c>
      <c r="C13" s="21" t="s">
        <v>28</v>
      </c>
      <c r="D13" s="32" t="s">
        <v>29</v>
      </c>
      <c r="E13" s="33" t="s">
        <v>23</v>
      </c>
      <c r="F13" s="34">
        <v>210000</v>
      </c>
      <c r="G13" s="35">
        <v>4684.26</v>
      </c>
      <c r="H13" s="35">
        <v>5.64</v>
      </c>
      <c r="I13" s="36"/>
      <c r="J13" s="37"/>
      <c r="K13" s="38"/>
    </row>
    <row r="14" spans="1:54" x14ac:dyDescent="0.3">
      <c r="B14" s="1" t="s">
        <v>30</v>
      </c>
      <c r="C14" s="21" t="s">
        <v>31</v>
      </c>
      <c r="D14" s="32" t="s">
        <v>32</v>
      </c>
      <c r="E14" s="33" t="s">
        <v>33</v>
      </c>
      <c r="F14" s="34">
        <v>500000</v>
      </c>
      <c r="G14" s="35">
        <v>3424.75</v>
      </c>
      <c r="H14" s="35">
        <v>4.13</v>
      </c>
      <c r="I14" s="36"/>
      <c r="J14" s="37"/>
      <c r="K14" s="38"/>
    </row>
    <row r="15" spans="1:54" x14ac:dyDescent="0.3">
      <c r="B15" s="1" t="s">
        <v>34</v>
      </c>
      <c r="C15" s="21" t="s">
        <v>35</v>
      </c>
      <c r="D15" s="32" t="s">
        <v>36</v>
      </c>
      <c r="E15" s="33" t="s">
        <v>37</v>
      </c>
      <c r="F15" s="34">
        <v>265000</v>
      </c>
      <c r="G15" s="35">
        <v>2846.5</v>
      </c>
      <c r="H15" s="35">
        <v>3.43</v>
      </c>
      <c r="I15" s="36"/>
      <c r="J15" s="37"/>
      <c r="K15" s="38"/>
    </row>
    <row r="16" spans="1:54" x14ac:dyDescent="0.3">
      <c r="B16" s="1" t="s">
        <v>38</v>
      </c>
      <c r="C16" s="21" t="s">
        <v>39</v>
      </c>
      <c r="D16" s="32" t="s">
        <v>40</v>
      </c>
      <c r="E16" s="33" t="s">
        <v>41</v>
      </c>
      <c r="F16" s="34">
        <v>330000</v>
      </c>
      <c r="G16" s="35">
        <v>2778.44</v>
      </c>
      <c r="H16" s="35">
        <v>3.35</v>
      </c>
      <c r="I16" s="36"/>
      <c r="J16" s="37"/>
      <c r="K16" s="38"/>
    </row>
    <row r="17" spans="2:11" x14ac:dyDescent="0.3">
      <c r="B17" s="1" t="s">
        <v>42</v>
      </c>
      <c r="C17" s="21" t="s">
        <v>43</v>
      </c>
      <c r="D17" s="32" t="s">
        <v>44</v>
      </c>
      <c r="E17" s="33" t="s">
        <v>41</v>
      </c>
      <c r="F17" s="34">
        <v>28500</v>
      </c>
      <c r="G17" s="35">
        <v>2414.16</v>
      </c>
      <c r="H17" s="35">
        <v>2.91</v>
      </c>
      <c r="I17" s="36"/>
      <c r="J17" s="37"/>
      <c r="K17" s="38"/>
    </row>
    <row r="18" spans="2:11" x14ac:dyDescent="0.3">
      <c r="B18" s="1" t="s">
        <v>45</v>
      </c>
      <c r="C18" s="21" t="s">
        <v>46</v>
      </c>
      <c r="D18" s="32" t="s">
        <v>47</v>
      </c>
      <c r="E18" s="33" t="s">
        <v>19</v>
      </c>
      <c r="F18" s="34">
        <v>350000</v>
      </c>
      <c r="G18" s="35">
        <v>2228.8000000000002</v>
      </c>
      <c r="H18" s="35">
        <v>2.69</v>
      </c>
      <c r="I18" s="36"/>
      <c r="J18" s="37"/>
      <c r="K18" s="38"/>
    </row>
    <row r="19" spans="2:11" x14ac:dyDescent="0.3">
      <c r="B19" s="1" t="s">
        <v>48</v>
      </c>
      <c r="C19" s="21" t="s">
        <v>49</v>
      </c>
      <c r="D19" s="32" t="s">
        <v>50</v>
      </c>
      <c r="E19" s="33" t="s">
        <v>51</v>
      </c>
      <c r="F19" s="34">
        <v>290000</v>
      </c>
      <c r="G19" s="35">
        <v>2048.42</v>
      </c>
      <c r="H19" s="35">
        <v>2.4700000000000002</v>
      </c>
      <c r="I19" s="36"/>
      <c r="J19" s="37"/>
      <c r="K19" s="38"/>
    </row>
    <row r="20" spans="2:11" x14ac:dyDescent="0.3">
      <c r="B20" s="1" t="s">
        <v>52</v>
      </c>
      <c r="C20" s="21" t="s">
        <v>53</v>
      </c>
      <c r="D20" s="32" t="s">
        <v>54</v>
      </c>
      <c r="E20" s="33" t="s">
        <v>55</v>
      </c>
      <c r="F20" s="34">
        <v>76000</v>
      </c>
      <c r="G20" s="35">
        <v>2048.35</v>
      </c>
      <c r="H20" s="35">
        <v>2.4700000000000002</v>
      </c>
      <c r="I20" s="36"/>
      <c r="J20" s="37"/>
      <c r="K20" s="38"/>
    </row>
    <row r="21" spans="2:11" x14ac:dyDescent="0.3">
      <c r="B21" s="1" t="s">
        <v>56</v>
      </c>
      <c r="C21" s="21" t="s">
        <v>57</v>
      </c>
      <c r="D21" s="32" t="s">
        <v>58</v>
      </c>
      <c r="E21" s="33" t="s">
        <v>55</v>
      </c>
      <c r="F21" s="34">
        <v>200892</v>
      </c>
      <c r="G21" s="35">
        <v>1953.47</v>
      </c>
      <c r="H21" s="35">
        <v>2.35</v>
      </c>
      <c r="I21" s="36"/>
      <c r="J21" s="37"/>
      <c r="K21" s="38"/>
    </row>
    <row r="22" spans="2:11" x14ac:dyDescent="0.3">
      <c r="B22" s="1" t="s">
        <v>59</v>
      </c>
      <c r="C22" s="21" t="s">
        <v>60</v>
      </c>
      <c r="D22" s="32" t="s">
        <v>61</v>
      </c>
      <c r="E22" s="33" t="s">
        <v>62</v>
      </c>
      <c r="F22" s="34">
        <v>87000</v>
      </c>
      <c r="G22" s="35">
        <v>1888.64</v>
      </c>
      <c r="H22" s="35">
        <v>2.2799999999999998</v>
      </c>
      <c r="I22" s="36"/>
      <c r="J22" s="37"/>
      <c r="K22" s="38"/>
    </row>
    <row r="23" spans="2:11" x14ac:dyDescent="0.3">
      <c r="B23" s="1" t="s">
        <v>63</v>
      </c>
      <c r="C23" s="21" t="s">
        <v>64</v>
      </c>
      <c r="D23" s="32" t="s">
        <v>65</v>
      </c>
      <c r="E23" s="33" t="s">
        <v>66</v>
      </c>
      <c r="F23" s="34">
        <v>14002</v>
      </c>
      <c r="G23" s="35">
        <v>1871.95</v>
      </c>
      <c r="H23" s="35">
        <v>2.2599999999999998</v>
      </c>
      <c r="I23" s="36"/>
      <c r="J23" s="37"/>
      <c r="K23" s="38"/>
    </row>
    <row r="24" spans="2:11" x14ac:dyDescent="0.3">
      <c r="B24" s="1" t="s">
        <v>67</v>
      </c>
      <c r="C24" s="21" t="s">
        <v>68</v>
      </c>
      <c r="D24" s="32" t="s">
        <v>69</v>
      </c>
      <c r="E24" s="33" t="s">
        <v>55</v>
      </c>
      <c r="F24" s="34">
        <v>100000</v>
      </c>
      <c r="G24" s="35">
        <v>1560.85</v>
      </c>
      <c r="H24" s="35">
        <v>1.88</v>
      </c>
      <c r="I24" s="36"/>
      <c r="J24" s="37"/>
      <c r="K24" s="38"/>
    </row>
    <row r="25" spans="2:11" x14ac:dyDescent="0.3">
      <c r="B25" s="1" t="s">
        <v>70</v>
      </c>
      <c r="C25" s="21" t="s">
        <v>71</v>
      </c>
      <c r="D25" s="32" t="s">
        <v>72</v>
      </c>
      <c r="E25" s="33" t="s">
        <v>37</v>
      </c>
      <c r="F25" s="34">
        <v>45000</v>
      </c>
      <c r="G25" s="35">
        <v>1532.75</v>
      </c>
      <c r="H25" s="35">
        <v>1.85</v>
      </c>
      <c r="I25" s="36"/>
      <c r="J25" s="37"/>
      <c r="K25" s="38"/>
    </row>
    <row r="26" spans="2:11" x14ac:dyDescent="0.3">
      <c r="B26" s="1" t="s">
        <v>73</v>
      </c>
      <c r="C26" s="21" t="s">
        <v>74</v>
      </c>
      <c r="D26" s="32" t="s">
        <v>75</v>
      </c>
      <c r="E26" s="33" t="s">
        <v>41</v>
      </c>
      <c r="F26" s="34">
        <v>140000</v>
      </c>
      <c r="G26" s="35">
        <v>1530.41</v>
      </c>
      <c r="H26" s="35">
        <v>1.84</v>
      </c>
      <c r="I26" s="36"/>
      <c r="J26" s="37"/>
      <c r="K26" s="38"/>
    </row>
    <row r="27" spans="2:11" x14ac:dyDescent="0.3">
      <c r="B27" s="1" t="s">
        <v>76</v>
      </c>
      <c r="C27" s="21" t="s">
        <v>77</v>
      </c>
      <c r="D27" s="32" t="s">
        <v>78</v>
      </c>
      <c r="E27" s="33" t="s">
        <v>41</v>
      </c>
      <c r="F27" s="34">
        <v>54000</v>
      </c>
      <c r="G27" s="35">
        <v>1508.95</v>
      </c>
      <c r="H27" s="35">
        <v>1.82</v>
      </c>
      <c r="I27" s="36"/>
      <c r="J27" s="37"/>
      <c r="K27" s="38"/>
    </row>
    <row r="28" spans="2:11" x14ac:dyDescent="0.3">
      <c r="B28" s="1" t="s">
        <v>79</v>
      </c>
      <c r="C28" s="21" t="s">
        <v>80</v>
      </c>
      <c r="D28" s="32" t="s">
        <v>81</v>
      </c>
      <c r="E28" s="33" t="s">
        <v>55</v>
      </c>
      <c r="F28" s="34">
        <v>70000</v>
      </c>
      <c r="G28" s="35">
        <v>1358.88</v>
      </c>
      <c r="H28" s="35">
        <v>1.64</v>
      </c>
      <c r="I28" s="36"/>
      <c r="J28" s="37"/>
      <c r="K28" s="38"/>
    </row>
    <row r="29" spans="2:11" x14ac:dyDescent="0.3">
      <c r="B29" s="1" t="s">
        <v>82</v>
      </c>
      <c r="C29" s="21" t="s">
        <v>83</v>
      </c>
      <c r="D29" s="32" t="s">
        <v>84</v>
      </c>
      <c r="E29" s="33" t="s">
        <v>85</v>
      </c>
      <c r="F29" s="34">
        <v>70000</v>
      </c>
      <c r="G29" s="35">
        <v>1254.6500000000001</v>
      </c>
      <c r="H29" s="35">
        <v>1.51</v>
      </c>
      <c r="I29" s="36"/>
      <c r="J29" s="37"/>
      <c r="K29" s="38"/>
    </row>
    <row r="30" spans="2:11" x14ac:dyDescent="0.3">
      <c r="B30" s="1" t="s">
        <v>86</v>
      </c>
      <c r="C30" s="21" t="s">
        <v>87</v>
      </c>
      <c r="D30" s="32" t="s">
        <v>88</v>
      </c>
      <c r="E30" s="33" t="s">
        <v>89</v>
      </c>
      <c r="F30" s="34">
        <v>115000</v>
      </c>
      <c r="G30" s="35">
        <v>1243.8399999999999</v>
      </c>
      <c r="H30" s="35">
        <v>1.5</v>
      </c>
      <c r="I30" s="36"/>
      <c r="J30" s="37"/>
      <c r="K30" s="38"/>
    </row>
    <row r="31" spans="2:11" x14ac:dyDescent="0.3">
      <c r="B31" s="1" t="s">
        <v>90</v>
      </c>
      <c r="C31" s="21" t="s">
        <v>91</v>
      </c>
      <c r="D31" s="32" t="s">
        <v>92</v>
      </c>
      <c r="E31" s="33" t="s">
        <v>55</v>
      </c>
      <c r="F31" s="34">
        <v>149024</v>
      </c>
      <c r="G31" s="35">
        <v>1238.02</v>
      </c>
      <c r="H31" s="35">
        <v>1.49</v>
      </c>
      <c r="I31" s="36"/>
      <c r="J31" s="37"/>
      <c r="K31" s="38"/>
    </row>
    <row r="32" spans="2:11" x14ac:dyDescent="0.3">
      <c r="B32" s="1" t="s">
        <v>93</v>
      </c>
      <c r="C32" s="21" t="s">
        <v>94</v>
      </c>
      <c r="D32" s="32" t="s">
        <v>95</v>
      </c>
      <c r="E32" s="33" t="s">
        <v>62</v>
      </c>
      <c r="F32" s="34">
        <v>22000</v>
      </c>
      <c r="G32" s="35">
        <v>1188.1099999999999</v>
      </c>
      <c r="H32" s="35">
        <v>1.43</v>
      </c>
      <c r="I32" s="36"/>
      <c r="J32" s="37"/>
      <c r="K32" s="38"/>
    </row>
    <row r="33" spans="2:11" x14ac:dyDescent="0.3">
      <c r="B33" s="1" t="s">
        <v>96</v>
      </c>
      <c r="C33" s="21" t="s">
        <v>97</v>
      </c>
      <c r="D33" s="32" t="s">
        <v>98</v>
      </c>
      <c r="E33" s="33" t="s">
        <v>99</v>
      </c>
      <c r="F33" s="34">
        <v>230000</v>
      </c>
      <c r="G33" s="35">
        <v>1169.44</v>
      </c>
      <c r="H33" s="35">
        <v>1.41</v>
      </c>
      <c r="I33" s="36"/>
      <c r="J33" s="37"/>
      <c r="K33" s="38"/>
    </row>
    <row r="34" spans="2:11" x14ac:dyDescent="0.3">
      <c r="B34" s="1" t="s">
        <v>100</v>
      </c>
      <c r="C34" s="21" t="s">
        <v>101</v>
      </c>
      <c r="D34" s="32" t="s">
        <v>102</v>
      </c>
      <c r="E34" s="33" t="s">
        <v>55</v>
      </c>
      <c r="F34" s="34">
        <v>210000</v>
      </c>
      <c r="G34" s="35">
        <v>1103.97</v>
      </c>
      <c r="H34" s="35">
        <v>1.33</v>
      </c>
      <c r="I34" s="36"/>
      <c r="J34" s="37"/>
      <c r="K34" s="38"/>
    </row>
    <row r="35" spans="2:11" x14ac:dyDescent="0.3">
      <c r="B35" s="1" t="s">
        <v>103</v>
      </c>
      <c r="C35" s="21" t="s">
        <v>104</v>
      </c>
      <c r="D35" s="32" t="s">
        <v>105</v>
      </c>
      <c r="E35" s="33" t="s">
        <v>55</v>
      </c>
      <c r="F35" s="34">
        <v>400000</v>
      </c>
      <c r="G35" s="35">
        <v>1088.2</v>
      </c>
      <c r="H35" s="35">
        <v>1.31</v>
      </c>
      <c r="I35" s="36"/>
      <c r="J35" s="37"/>
      <c r="K35" s="38"/>
    </row>
    <row r="36" spans="2:11" x14ac:dyDescent="0.3">
      <c r="B36" s="1" t="s">
        <v>106</v>
      </c>
      <c r="C36" s="21" t="s">
        <v>107</v>
      </c>
      <c r="D36" s="32" t="s">
        <v>108</v>
      </c>
      <c r="E36" s="33" t="s">
        <v>109</v>
      </c>
      <c r="F36" s="34">
        <v>65000</v>
      </c>
      <c r="G36" s="35">
        <v>1076.08</v>
      </c>
      <c r="H36" s="35">
        <v>1.3</v>
      </c>
      <c r="I36" s="36"/>
      <c r="J36" s="37"/>
      <c r="K36" s="38"/>
    </row>
    <row r="37" spans="2:11" x14ac:dyDescent="0.3">
      <c r="B37" s="1" t="s">
        <v>110</v>
      </c>
      <c r="C37" s="21" t="s">
        <v>111</v>
      </c>
      <c r="D37" s="32" t="s">
        <v>112</v>
      </c>
      <c r="E37" s="33" t="s">
        <v>113</v>
      </c>
      <c r="F37" s="34">
        <v>50000</v>
      </c>
      <c r="G37" s="35">
        <v>1060.98</v>
      </c>
      <c r="H37" s="35">
        <v>1.28</v>
      </c>
      <c r="I37" s="36"/>
      <c r="J37" s="37"/>
      <c r="K37" s="38"/>
    </row>
    <row r="38" spans="2:11" x14ac:dyDescent="0.3">
      <c r="B38" s="1" t="s">
        <v>114</v>
      </c>
      <c r="C38" s="21" t="s">
        <v>115</v>
      </c>
      <c r="D38" s="32" t="s">
        <v>116</v>
      </c>
      <c r="E38" s="33" t="s">
        <v>55</v>
      </c>
      <c r="F38" s="34">
        <v>110000</v>
      </c>
      <c r="G38" s="35">
        <v>994.13</v>
      </c>
      <c r="H38" s="35">
        <v>1.2</v>
      </c>
      <c r="I38" s="36"/>
      <c r="J38" s="37"/>
      <c r="K38" s="38"/>
    </row>
    <row r="39" spans="2:11" x14ac:dyDescent="0.3">
      <c r="B39" s="1" t="s">
        <v>117</v>
      </c>
      <c r="C39" s="21" t="s">
        <v>118</v>
      </c>
      <c r="D39" s="32" t="s">
        <v>119</v>
      </c>
      <c r="E39" s="33" t="s">
        <v>66</v>
      </c>
      <c r="F39" s="34">
        <v>200000</v>
      </c>
      <c r="G39" s="35">
        <v>991.9</v>
      </c>
      <c r="H39" s="35">
        <v>1.2</v>
      </c>
      <c r="I39" s="36"/>
      <c r="J39" s="37"/>
      <c r="K39" s="38"/>
    </row>
    <row r="40" spans="2:11" x14ac:dyDescent="0.3">
      <c r="B40" s="1" t="s">
        <v>120</v>
      </c>
      <c r="C40" s="21" t="s">
        <v>121</v>
      </c>
      <c r="D40" s="32" t="s">
        <v>122</v>
      </c>
      <c r="E40" s="33" t="s">
        <v>113</v>
      </c>
      <c r="F40" s="34">
        <v>16000</v>
      </c>
      <c r="G40" s="35">
        <v>897.17</v>
      </c>
      <c r="H40" s="35">
        <v>1.08</v>
      </c>
      <c r="I40" s="36"/>
      <c r="J40" s="37"/>
      <c r="K40" s="38"/>
    </row>
    <row r="41" spans="2:11" x14ac:dyDescent="0.3">
      <c r="B41" s="1" t="s">
        <v>123</v>
      </c>
      <c r="C41" s="21" t="s">
        <v>124</v>
      </c>
      <c r="D41" s="32" t="s">
        <v>125</v>
      </c>
      <c r="E41" s="33" t="s">
        <v>126</v>
      </c>
      <c r="F41" s="34">
        <v>280000</v>
      </c>
      <c r="G41" s="35">
        <v>875.56</v>
      </c>
      <c r="H41" s="35">
        <v>1.05</v>
      </c>
      <c r="I41" s="36"/>
      <c r="J41" s="37"/>
      <c r="K41" s="38"/>
    </row>
    <row r="42" spans="2:11" x14ac:dyDescent="0.3">
      <c r="B42" s="1" t="s">
        <v>127</v>
      </c>
      <c r="C42" s="21" t="s">
        <v>128</v>
      </c>
      <c r="D42" s="32" t="s">
        <v>129</v>
      </c>
      <c r="E42" s="33" t="s">
        <v>130</v>
      </c>
      <c r="F42" s="34">
        <v>60000</v>
      </c>
      <c r="G42" s="35">
        <v>843.87</v>
      </c>
      <c r="H42" s="35">
        <v>1.02</v>
      </c>
      <c r="I42" s="36"/>
      <c r="J42" s="37"/>
      <c r="K42" s="38"/>
    </row>
    <row r="43" spans="2:11" x14ac:dyDescent="0.3">
      <c r="B43" s="1" t="s">
        <v>131</v>
      </c>
      <c r="C43" s="21" t="s">
        <v>132</v>
      </c>
      <c r="D43" s="32" t="s">
        <v>133</v>
      </c>
      <c r="E43" s="33" t="s">
        <v>66</v>
      </c>
      <c r="F43" s="34">
        <v>170000</v>
      </c>
      <c r="G43" s="35">
        <v>812.43</v>
      </c>
      <c r="H43" s="35">
        <v>0.98</v>
      </c>
      <c r="I43" s="36"/>
      <c r="J43" s="37"/>
      <c r="K43" s="38"/>
    </row>
    <row r="44" spans="2:11" x14ac:dyDescent="0.3">
      <c r="B44" s="1" t="s">
        <v>134</v>
      </c>
      <c r="C44" s="21" t="s">
        <v>135</v>
      </c>
      <c r="D44" s="32" t="s">
        <v>136</v>
      </c>
      <c r="E44" s="33" t="s">
        <v>99</v>
      </c>
      <c r="F44" s="34">
        <v>120000</v>
      </c>
      <c r="G44" s="35">
        <v>805.68</v>
      </c>
      <c r="H44" s="35">
        <v>0.97</v>
      </c>
      <c r="I44" s="36"/>
      <c r="J44" s="37"/>
      <c r="K44" s="38"/>
    </row>
    <row r="45" spans="2:11" x14ac:dyDescent="0.3">
      <c r="B45" s="1" t="s">
        <v>137</v>
      </c>
      <c r="C45" s="21" t="s">
        <v>138</v>
      </c>
      <c r="D45" s="32" t="s">
        <v>139</v>
      </c>
      <c r="E45" s="33" t="s">
        <v>55</v>
      </c>
      <c r="F45" s="34">
        <v>85000</v>
      </c>
      <c r="G45" s="35">
        <v>805.55</v>
      </c>
      <c r="H45" s="35">
        <v>0.97</v>
      </c>
      <c r="I45" s="36"/>
      <c r="J45" s="37"/>
      <c r="K45" s="38"/>
    </row>
    <row r="46" spans="2:11" x14ac:dyDescent="0.3">
      <c r="B46" s="1" t="s">
        <v>140</v>
      </c>
      <c r="C46" s="21" t="s">
        <v>141</v>
      </c>
      <c r="D46" s="32" t="s">
        <v>142</v>
      </c>
      <c r="E46" s="33" t="s">
        <v>37</v>
      </c>
      <c r="F46" s="34">
        <v>160000</v>
      </c>
      <c r="G46" s="35">
        <v>781.52</v>
      </c>
      <c r="H46" s="35">
        <v>0.94</v>
      </c>
      <c r="I46" s="36"/>
      <c r="J46" s="37"/>
      <c r="K46" s="38"/>
    </row>
    <row r="47" spans="2:11" x14ac:dyDescent="0.3">
      <c r="B47" s="1" t="s">
        <v>143</v>
      </c>
      <c r="C47" s="21" t="s">
        <v>144</v>
      </c>
      <c r="D47" s="32" t="s">
        <v>145</v>
      </c>
      <c r="E47" s="33" t="s">
        <v>37</v>
      </c>
      <c r="F47" s="34">
        <v>28600</v>
      </c>
      <c r="G47" s="35">
        <v>710.77</v>
      </c>
      <c r="H47" s="35">
        <v>0.86</v>
      </c>
      <c r="I47" s="36"/>
      <c r="J47" s="37"/>
      <c r="K47" s="38"/>
    </row>
    <row r="48" spans="2:11" x14ac:dyDescent="0.3">
      <c r="B48" s="1" t="s">
        <v>146</v>
      </c>
      <c r="C48" s="21" t="s">
        <v>147</v>
      </c>
      <c r="D48" s="32" t="s">
        <v>148</v>
      </c>
      <c r="E48" s="33" t="s">
        <v>149</v>
      </c>
      <c r="F48" s="34">
        <v>10000</v>
      </c>
      <c r="G48" s="35">
        <v>643.74</v>
      </c>
      <c r="H48" s="35">
        <v>0.78</v>
      </c>
      <c r="I48" s="36"/>
      <c r="J48" s="37"/>
      <c r="K48" s="38"/>
    </row>
    <row r="49" spans="2:11" x14ac:dyDescent="0.3">
      <c r="B49" s="1" t="s">
        <v>150</v>
      </c>
      <c r="C49" s="21" t="s">
        <v>151</v>
      </c>
      <c r="D49" s="32" t="s">
        <v>152</v>
      </c>
      <c r="E49" s="33" t="s">
        <v>153</v>
      </c>
      <c r="F49" s="34">
        <v>1000</v>
      </c>
      <c r="G49" s="35">
        <v>401.67</v>
      </c>
      <c r="H49" s="35">
        <v>0.48</v>
      </c>
      <c r="I49" s="36"/>
      <c r="J49" s="37"/>
      <c r="K49" s="38"/>
    </row>
    <row r="50" spans="2:11" x14ac:dyDescent="0.3">
      <c r="B50" s="1" t="s">
        <v>154</v>
      </c>
      <c r="C50" s="21" t="s">
        <v>155</v>
      </c>
      <c r="D50" s="32" t="s">
        <v>156</v>
      </c>
      <c r="E50" s="33" t="s">
        <v>62</v>
      </c>
      <c r="F50" s="34">
        <v>284218</v>
      </c>
      <c r="G50" s="35">
        <v>375.45</v>
      </c>
      <c r="H50" s="35">
        <v>0.45</v>
      </c>
      <c r="I50" s="36"/>
      <c r="J50" s="37"/>
      <c r="K50" s="38"/>
    </row>
    <row r="51" spans="2:11" x14ac:dyDescent="0.3">
      <c r="B51" s="1" t="s">
        <v>157</v>
      </c>
      <c r="C51" s="21" t="s">
        <v>158</v>
      </c>
      <c r="D51" s="32" t="s">
        <v>159</v>
      </c>
      <c r="E51" s="33" t="s">
        <v>109</v>
      </c>
      <c r="F51" s="34">
        <v>55000</v>
      </c>
      <c r="G51" s="35">
        <v>226.35</v>
      </c>
      <c r="H51" s="35">
        <v>0.27</v>
      </c>
      <c r="I51" s="36"/>
      <c r="J51" s="37"/>
      <c r="K51" s="38"/>
    </row>
    <row r="52" spans="2:11" x14ac:dyDescent="0.3">
      <c r="B52" s="1" t="s">
        <v>160</v>
      </c>
      <c r="C52" s="21" t="s">
        <v>161</v>
      </c>
      <c r="D52" s="32" t="s">
        <v>162</v>
      </c>
      <c r="E52" s="33" t="s">
        <v>55</v>
      </c>
      <c r="F52" s="34">
        <v>60000</v>
      </c>
      <c r="G52" s="35">
        <v>204.09</v>
      </c>
      <c r="H52" s="35">
        <v>0.25</v>
      </c>
      <c r="I52" s="36"/>
      <c r="J52" s="37"/>
      <c r="K52" s="38"/>
    </row>
    <row r="53" spans="2:11" x14ac:dyDescent="0.3">
      <c r="C53" s="31" t="s">
        <v>163</v>
      </c>
      <c r="D53" s="32"/>
      <c r="E53" s="33"/>
      <c r="F53" s="34"/>
      <c r="G53" s="40">
        <v>75283.899999999994</v>
      </c>
      <c r="H53" s="40">
        <v>90.73</v>
      </c>
      <c r="I53" s="36"/>
      <c r="J53" s="37"/>
      <c r="K53" s="38"/>
    </row>
    <row r="54" spans="2:11" x14ac:dyDescent="0.3">
      <c r="C54" s="21"/>
      <c r="D54" s="32"/>
      <c r="E54" s="33"/>
      <c r="F54" s="34"/>
      <c r="G54" s="35"/>
      <c r="H54" s="35"/>
      <c r="I54" s="36"/>
      <c r="J54" s="37"/>
      <c r="K54" s="38"/>
    </row>
    <row r="55" spans="2:11" x14ac:dyDescent="0.3">
      <c r="C55" s="31" t="s">
        <v>164</v>
      </c>
      <c r="D55" s="32"/>
      <c r="E55" s="33"/>
      <c r="F55" s="34"/>
      <c r="G55" s="35" t="s">
        <v>165</v>
      </c>
      <c r="H55" s="35" t="s">
        <v>165</v>
      </c>
      <c r="I55" s="36"/>
      <c r="J55" s="37"/>
      <c r="K55" s="38"/>
    </row>
    <row r="56" spans="2:11" x14ac:dyDescent="0.3">
      <c r="C56" s="21"/>
      <c r="D56" s="32"/>
      <c r="E56" s="33"/>
      <c r="F56" s="34"/>
      <c r="G56" s="35"/>
      <c r="H56" s="35"/>
      <c r="I56" s="36"/>
      <c r="J56" s="37"/>
      <c r="K56" s="38"/>
    </row>
    <row r="57" spans="2:11" x14ac:dyDescent="0.3">
      <c r="C57" s="31" t="s">
        <v>166</v>
      </c>
      <c r="D57" s="32"/>
      <c r="E57" s="33"/>
      <c r="F57" s="34"/>
      <c r="G57" s="35" t="s">
        <v>165</v>
      </c>
      <c r="H57" s="35" t="s">
        <v>165</v>
      </c>
      <c r="I57" s="36"/>
      <c r="J57" s="37"/>
      <c r="K57" s="38"/>
    </row>
    <row r="58" spans="2:11" x14ac:dyDescent="0.3">
      <c r="C58" s="21"/>
      <c r="D58" s="32"/>
      <c r="E58" s="33"/>
      <c r="F58" s="34"/>
      <c r="G58" s="35"/>
      <c r="H58" s="35"/>
      <c r="I58" s="36"/>
      <c r="J58" s="37"/>
      <c r="K58" s="38"/>
    </row>
    <row r="59" spans="2:11" x14ac:dyDescent="0.3">
      <c r="C59" s="31" t="s">
        <v>167</v>
      </c>
      <c r="D59" s="32"/>
      <c r="E59" s="33"/>
      <c r="F59" s="34"/>
      <c r="G59" s="35" t="s">
        <v>165</v>
      </c>
      <c r="H59" s="35" t="s">
        <v>165</v>
      </c>
      <c r="I59" s="36"/>
      <c r="J59" s="37"/>
      <c r="K59" s="38"/>
    </row>
    <row r="60" spans="2:11" x14ac:dyDescent="0.3">
      <c r="C60" s="21"/>
      <c r="D60" s="32"/>
      <c r="E60" s="33"/>
      <c r="F60" s="34"/>
      <c r="G60" s="35"/>
      <c r="H60" s="35"/>
      <c r="I60" s="36"/>
      <c r="J60" s="37"/>
      <c r="K60" s="38"/>
    </row>
    <row r="61" spans="2:11" x14ac:dyDescent="0.3">
      <c r="C61" s="31" t="s">
        <v>168</v>
      </c>
      <c r="D61" s="32"/>
      <c r="E61" s="33"/>
      <c r="F61" s="34"/>
      <c r="G61" s="35"/>
      <c r="H61" s="35"/>
      <c r="I61" s="36"/>
      <c r="J61" s="37"/>
      <c r="K61" s="38"/>
    </row>
    <row r="62" spans="2:11" x14ac:dyDescent="0.3">
      <c r="C62" s="21"/>
      <c r="D62" s="32"/>
      <c r="E62" s="33"/>
      <c r="F62" s="34"/>
      <c r="G62" s="35"/>
      <c r="H62" s="35"/>
      <c r="I62" s="36"/>
      <c r="J62" s="37"/>
      <c r="K62" s="38"/>
    </row>
    <row r="63" spans="2:11" x14ac:dyDescent="0.3">
      <c r="C63" s="31" t="s">
        <v>169</v>
      </c>
      <c r="D63" s="32"/>
      <c r="E63" s="33"/>
      <c r="F63" s="34"/>
      <c r="G63" s="35" t="s">
        <v>165</v>
      </c>
      <c r="H63" s="35" t="s">
        <v>165</v>
      </c>
      <c r="I63" s="36"/>
      <c r="J63" s="37"/>
      <c r="K63" s="38"/>
    </row>
    <row r="64" spans="2:11" x14ac:dyDescent="0.3">
      <c r="C64" s="21"/>
      <c r="D64" s="32"/>
      <c r="E64" s="33"/>
      <c r="F64" s="34"/>
      <c r="G64" s="35"/>
      <c r="H64" s="35"/>
      <c r="I64" s="36"/>
      <c r="J64" s="37"/>
      <c r="K64" s="38"/>
    </row>
    <row r="65" spans="3:11" x14ac:dyDescent="0.3">
      <c r="C65" s="31" t="s">
        <v>170</v>
      </c>
      <c r="D65" s="32"/>
      <c r="E65" s="33"/>
      <c r="F65" s="34"/>
      <c r="G65" s="35" t="s">
        <v>165</v>
      </c>
      <c r="H65" s="35" t="s">
        <v>165</v>
      </c>
      <c r="I65" s="36"/>
      <c r="J65" s="37"/>
      <c r="K65" s="38"/>
    </row>
    <row r="66" spans="3:11" x14ac:dyDescent="0.3">
      <c r="C66" s="21"/>
      <c r="D66" s="32"/>
      <c r="E66" s="33"/>
      <c r="F66" s="34"/>
      <c r="G66" s="35"/>
      <c r="H66" s="35"/>
      <c r="I66" s="36"/>
      <c r="J66" s="37"/>
      <c r="K66" s="38"/>
    </row>
    <row r="67" spans="3:11" x14ac:dyDescent="0.3">
      <c r="C67" s="31" t="s">
        <v>171</v>
      </c>
      <c r="D67" s="32"/>
      <c r="E67" s="33"/>
      <c r="F67" s="34"/>
      <c r="G67" s="35" t="s">
        <v>165</v>
      </c>
      <c r="H67" s="35" t="s">
        <v>165</v>
      </c>
      <c r="I67" s="36"/>
      <c r="J67" s="37"/>
      <c r="K67" s="38"/>
    </row>
    <row r="68" spans="3:11" x14ac:dyDescent="0.3">
      <c r="C68" s="21"/>
      <c r="D68" s="32"/>
      <c r="E68" s="33"/>
      <c r="F68" s="34"/>
      <c r="G68" s="35"/>
      <c r="H68" s="35"/>
      <c r="I68" s="36"/>
      <c r="J68" s="37"/>
      <c r="K68" s="38"/>
    </row>
    <row r="69" spans="3:11" x14ac:dyDescent="0.3">
      <c r="C69" s="31" t="s">
        <v>172</v>
      </c>
      <c r="D69" s="32"/>
      <c r="E69" s="33"/>
      <c r="F69" s="34"/>
      <c r="G69" s="35" t="s">
        <v>165</v>
      </c>
      <c r="H69" s="35" t="s">
        <v>165</v>
      </c>
      <c r="I69" s="36"/>
      <c r="J69" s="37"/>
      <c r="K69" s="38"/>
    </row>
    <row r="70" spans="3:11" x14ac:dyDescent="0.3">
      <c r="C70" s="21"/>
      <c r="D70" s="32"/>
      <c r="E70" s="33"/>
      <c r="F70" s="34"/>
      <c r="G70" s="35"/>
      <c r="H70" s="35"/>
      <c r="I70" s="36"/>
      <c r="J70" s="37"/>
      <c r="K70" s="38"/>
    </row>
    <row r="71" spans="3:11" x14ac:dyDescent="0.3">
      <c r="C71" s="31" t="s">
        <v>173</v>
      </c>
      <c r="D71" s="32"/>
      <c r="E71" s="33"/>
      <c r="F71" s="34"/>
      <c r="G71" s="35" t="s">
        <v>165</v>
      </c>
      <c r="H71" s="35" t="s">
        <v>165</v>
      </c>
      <c r="I71" s="36"/>
      <c r="J71" s="37"/>
      <c r="K71" s="38"/>
    </row>
    <row r="72" spans="3:11" x14ac:dyDescent="0.3">
      <c r="C72" s="21"/>
      <c r="D72" s="32"/>
      <c r="E72" s="33"/>
      <c r="F72" s="34"/>
      <c r="G72" s="35"/>
      <c r="H72" s="35"/>
      <c r="I72" s="36"/>
      <c r="J72" s="37"/>
      <c r="K72" s="38"/>
    </row>
    <row r="73" spans="3:11" x14ac:dyDescent="0.3">
      <c r="C73" s="31" t="s">
        <v>174</v>
      </c>
      <c r="D73" s="32"/>
      <c r="E73" s="33"/>
      <c r="F73" s="34"/>
      <c r="G73" s="35"/>
      <c r="H73" s="35"/>
      <c r="I73" s="36"/>
      <c r="J73" s="37"/>
      <c r="K73" s="38"/>
    </row>
    <row r="74" spans="3:11" x14ac:dyDescent="0.3">
      <c r="C74" s="21"/>
      <c r="D74" s="32"/>
      <c r="E74" s="33"/>
      <c r="F74" s="34"/>
      <c r="G74" s="35"/>
      <c r="H74" s="35"/>
      <c r="I74" s="36"/>
      <c r="J74" s="37"/>
      <c r="K74" s="38"/>
    </row>
    <row r="75" spans="3:11" x14ac:dyDescent="0.3">
      <c r="C75" s="31" t="s">
        <v>175</v>
      </c>
      <c r="D75" s="32"/>
      <c r="E75" s="33"/>
      <c r="F75" s="34"/>
      <c r="G75" s="35" t="s">
        <v>165</v>
      </c>
      <c r="H75" s="35" t="s">
        <v>165</v>
      </c>
      <c r="I75" s="36"/>
      <c r="J75" s="37"/>
      <c r="K75" s="38"/>
    </row>
    <row r="76" spans="3:11" x14ac:dyDescent="0.3">
      <c r="C76" s="21"/>
      <c r="D76" s="32"/>
      <c r="E76" s="33"/>
      <c r="F76" s="34"/>
      <c r="G76" s="35"/>
      <c r="H76" s="35"/>
      <c r="I76" s="36"/>
      <c r="J76" s="37"/>
      <c r="K76" s="38"/>
    </row>
    <row r="77" spans="3:11" x14ac:dyDescent="0.3">
      <c r="C77" s="31" t="s">
        <v>176</v>
      </c>
      <c r="D77" s="32"/>
      <c r="E77" s="33"/>
      <c r="F77" s="34"/>
      <c r="G77" s="35" t="s">
        <v>165</v>
      </c>
      <c r="H77" s="35" t="s">
        <v>165</v>
      </c>
      <c r="I77" s="36"/>
      <c r="J77" s="37"/>
      <c r="K77" s="38"/>
    </row>
    <row r="78" spans="3:11" x14ac:dyDescent="0.3">
      <c r="C78" s="21"/>
      <c r="D78" s="32"/>
      <c r="E78" s="33"/>
      <c r="F78" s="34"/>
      <c r="G78" s="35"/>
      <c r="H78" s="35"/>
      <c r="I78" s="36"/>
      <c r="J78" s="37"/>
      <c r="K78" s="38"/>
    </row>
    <row r="79" spans="3:11" x14ac:dyDescent="0.3">
      <c r="C79" s="31" t="s">
        <v>177</v>
      </c>
      <c r="D79" s="32"/>
      <c r="E79" s="33"/>
      <c r="F79" s="34"/>
      <c r="G79" s="35" t="s">
        <v>165</v>
      </c>
      <c r="H79" s="35" t="s">
        <v>165</v>
      </c>
      <c r="I79" s="36"/>
      <c r="J79" s="37"/>
      <c r="K79" s="38"/>
    </row>
    <row r="80" spans="3:11" x14ac:dyDescent="0.3">
      <c r="C80" s="21"/>
      <c r="D80" s="32"/>
      <c r="E80" s="33"/>
      <c r="F80" s="34"/>
      <c r="G80" s="35"/>
      <c r="H80" s="35"/>
      <c r="I80" s="36"/>
      <c r="J80" s="37"/>
      <c r="K80" s="38"/>
    </row>
    <row r="81" spans="1:11" x14ac:dyDescent="0.3">
      <c r="C81" s="31" t="s">
        <v>178</v>
      </c>
      <c r="D81" s="32"/>
      <c r="E81" s="33"/>
      <c r="F81" s="34"/>
      <c r="G81" s="35" t="s">
        <v>165</v>
      </c>
      <c r="H81" s="35" t="s">
        <v>165</v>
      </c>
      <c r="I81" s="36"/>
      <c r="J81" s="37"/>
      <c r="K81" s="38"/>
    </row>
    <row r="82" spans="1:11" x14ac:dyDescent="0.3">
      <c r="C82" s="21"/>
      <c r="D82" s="32"/>
      <c r="E82" s="33"/>
      <c r="F82" s="34"/>
      <c r="G82" s="35"/>
      <c r="H82" s="35"/>
      <c r="I82" s="36"/>
      <c r="J82" s="37"/>
      <c r="K82" s="38"/>
    </row>
    <row r="83" spans="1:11" x14ac:dyDescent="0.3">
      <c r="A83" s="29"/>
      <c r="B83" s="30"/>
      <c r="C83" s="31" t="s">
        <v>179</v>
      </c>
      <c r="D83" s="32"/>
      <c r="E83" s="33"/>
      <c r="F83" s="34"/>
      <c r="G83" s="35"/>
      <c r="H83" s="35"/>
      <c r="I83" s="36"/>
      <c r="J83" s="37"/>
      <c r="K83" s="38"/>
    </row>
    <row r="84" spans="1:11" x14ac:dyDescent="0.3">
      <c r="A84" s="30"/>
      <c r="B84" s="30"/>
      <c r="C84" s="31" t="s">
        <v>180</v>
      </c>
      <c r="D84" s="32"/>
      <c r="E84" s="33"/>
      <c r="F84" s="34"/>
      <c r="G84" s="35" t="s">
        <v>165</v>
      </c>
      <c r="H84" s="35" t="s">
        <v>165</v>
      </c>
      <c r="I84" s="36"/>
      <c r="J84" s="37"/>
      <c r="K84" s="38"/>
    </row>
    <row r="85" spans="1:11" x14ac:dyDescent="0.3">
      <c r="A85" s="30"/>
      <c r="B85" s="30"/>
      <c r="C85" s="31"/>
      <c r="D85" s="32"/>
      <c r="E85" s="33"/>
      <c r="F85" s="34"/>
      <c r="G85" s="35"/>
      <c r="H85" s="35"/>
      <c r="I85" s="36"/>
      <c r="J85" s="37"/>
      <c r="K85" s="38"/>
    </row>
    <row r="86" spans="1:11" x14ac:dyDescent="0.3">
      <c r="A86" s="30"/>
      <c r="B86" s="30"/>
      <c r="C86" s="31" t="s">
        <v>181</v>
      </c>
      <c r="D86" s="32"/>
      <c r="E86" s="33"/>
      <c r="F86" s="34"/>
      <c r="G86" s="35" t="s">
        <v>165</v>
      </c>
      <c r="H86" s="35" t="s">
        <v>165</v>
      </c>
      <c r="I86" s="36"/>
      <c r="J86" s="37"/>
      <c r="K86" s="38"/>
    </row>
    <row r="87" spans="1:11" x14ac:dyDescent="0.3">
      <c r="A87" s="30"/>
      <c r="B87" s="30"/>
      <c r="C87" s="31"/>
      <c r="D87" s="32"/>
      <c r="E87" s="33"/>
      <c r="F87" s="34"/>
      <c r="G87" s="35"/>
      <c r="H87" s="35"/>
      <c r="I87" s="36"/>
      <c r="J87" s="37"/>
      <c r="K87" s="38"/>
    </row>
    <row r="88" spans="1:11" x14ac:dyDescent="0.3">
      <c r="A88" s="30"/>
      <c r="B88" s="30"/>
      <c r="C88" s="31" t="s">
        <v>182</v>
      </c>
      <c r="D88" s="32"/>
      <c r="E88" s="33"/>
      <c r="F88" s="34"/>
      <c r="G88" s="35" t="s">
        <v>165</v>
      </c>
      <c r="H88" s="35" t="s">
        <v>165</v>
      </c>
      <c r="I88" s="36"/>
      <c r="J88" s="37"/>
      <c r="K88" s="38"/>
    </row>
    <row r="89" spans="1:11" x14ac:dyDescent="0.3">
      <c r="A89" s="30"/>
      <c r="B89" s="30"/>
      <c r="C89" s="31"/>
      <c r="D89" s="32"/>
      <c r="E89" s="33"/>
      <c r="F89" s="34"/>
      <c r="G89" s="35"/>
      <c r="H89" s="35"/>
      <c r="I89" s="36"/>
      <c r="J89" s="37"/>
      <c r="K89" s="38"/>
    </row>
    <row r="90" spans="1:11" x14ac:dyDescent="0.3">
      <c r="A90" s="30"/>
      <c r="B90" s="30"/>
      <c r="C90" s="31" t="s">
        <v>183</v>
      </c>
      <c r="D90" s="32"/>
      <c r="E90" s="33"/>
      <c r="F90" s="34"/>
      <c r="G90" s="35" t="s">
        <v>165</v>
      </c>
      <c r="H90" s="35" t="s">
        <v>165</v>
      </c>
      <c r="I90" s="36"/>
      <c r="J90" s="37"/>
      <c r="K90" s="38"/>
    </row>
    <row r="91" spans="1:11" x14ac:dyDescent="0.3">
      <c r="A91" s="30"/>
      <c r="B91" s="30"/>
      <c r="C91" s="31"/>
      <c r="D91" s="32"/>
      <c r="E91" s="33"/>
      <c r="F91" s="34"/>
      <c r="G91" s="35"/>
      <c r="H91" s="35"/>
      <c r="I91" s="36"/>
      <c r="J91" s="37"/>
      <c r="K91" s="38"/>
    </row>
    <row r="92" spans="1:11" x14ac:dyDescent="0.3">
      <c r="C92" s="39" t="s">
        <v>184</v>
      </c>
      <c r="D92" s="32"/>
      <c r="E92" s="33"/>
      <c r="F92" s="34"/>
      <c r="G92" s="35"/>
      <c r="H92" s="35"/>
      <c r="I92" s="36"/>
      <c r="J92" s="37"/>
      <c r="K92" s="38"/>
    </row>
    <row r="93" spans="1:11" x14ac:dyDescent="0.3">
      <c r="B93" s="1" t="s">
        <v>185</v>
      </c>
      <c r="C93" s="21" t="s">
        <v>186</v>
      </c>
      <c r="D93" s="32"/>
      <c r="E93" s="33"/>
      <c r="F93" s="34"/>
      <c r="G93" s="35">
        <v>7369.33</v>
      </c>
      <c r="H93" s="35">
        <v>8.8800000000000008</v>
      </c>
      <c r="I93" s="36">
        <v>4.71</v>
      </c>
      <c r="J93" s="37"/>
      <c r="K93" s="38"/>
    </row>
    <row r="94" spans="1:11" x14ac:dyDescent="0.3">
      <c r="C94" s="31" t="s">
        <v>163</v>
      </c>
      <c r="D94" s="32"/>
      <c r="E94" s="33"/>
      <c r="F94" s="34"/>
      <c r="G94" s="40">
        <v>7369.33</v>
      </c>
      <c r="H94" s="40">
        <v>8.8800000000000008</v>
      </c>
      <c r="I94" s="36"/>
      <c r="J94" s="37"/>
      <c r="K94" s="38"/>
    </row>
    <row r="95" spans="1:11" x14ac:dyDescent="0.3">
      <c r="C95" s="21"/>
      <c r="D95" s="32"/>
      <c r="E95" s="33"/>
      <c r="F95" s="34"/>
      <c r="G95" s="35"/>
      <c r="H95" s="35"/>
      <c r="I95" s="36"/>
      <c r="J95" s="37"/>
      <c r="K95" s="38"/>
    </row>
    <row r="96" spans="1:11" x14ac:dyDescent="0.3">
      <c r="A96" s="29"/>
      <c r="B96" s="30"/>
      <c r="C96" s="31" t="s">
        <v>187</v>
      </c>
      <c r="D96" s="32"/>
      <c r="E96" s="33"/>
      <c r="F96" s="34"/>
      <c r="G96" s="35"/>
      <c r="H96" s="35"/>
      <c r="I96" s="36"/>
      <c r="J96" s="37"/>
      <c r="K96" s="38"/>
    </row>
    <row r="97" spans="2:54" x14ac:dyDescent="0.3">
      <c r="B97" s="1"/>
      <c r="C97" s="21" t="s">
        <v>188</v>
      </c>
      <c r="D97" s="32"/>
      <c r="E97" s="33"/>
      <c r="F97" s="34"/>
      <c r="G97" s="35">
        <v>347.4</v>
      </c>
      <c r="H97" s="35">
        <v>0.39</v>
      </c>
      <c r="I97" s="36"/>
      <c r="J97" s="37"/>
      <c r="K97" s="38"/>
    </row>
    <row r="98" spans="2:54" x14ac:dyDescent="0.3">
      <c r="C98" s="31" t="s">
        <v>163</v>
      </c>
      <c r="D98" s="32"/>
      <c r="E98" s="33"/>
      <c r="F98" s="34"/>
      <c r="G98" s="40">
        <v>347.4</v>
      </c>
      <c r="H98" s="40">
        <v>0.39</v>
      </c>
      <c r="I98" s="36"/>
      <c r="J98" s="37"/>
      <c r="K98" s="38"/>
    </row>
    <row r="99" spans="2:54" x14ac:dyDescent="0.3">
      <c r="C99" s="21"/>
      <c r="D99" s="32"/>
      <c r="E99" s="33"/>
      <c r="F99" s="34"/>
      <c r="G99" s="35"/>
      <c r="H99" s="35"/>
      <c r="I99" s="36"/>
      <c r="J99" s="37"/>
      <c r="K99" s="38"/>
    </row>
    <row r="100" spans="2:54" ht="14.4" thickBot="1" x14ac:dyDescent="0.35">
      <c r="C100" s="41" t="s">
        <v>189</v>
      </c>
      <c r="D100" s="42"/>
      <c r="E100" s="43"/>
      <c r="F100" s="44"/>
      <c r="G100" s="45">
        <v>83000.63</v>
      </c>
      <c r="H100" s="45">
        <f>SUMIFS(H:H,C:C,"Total")</f>
        <v>100</v>
      </c>
      <c r="I100" s="46"/>
      <c r="J100" s="47"/>
      <c r="K100" s="48"/>
    </row>
    <row r="103" spans="2:54" x14ac:dyDescent="0.3">
      <c r="C103" s="11" t="s">
        <v>190</v>
      </c>
      <c r="J103" s="10"/>
      <c r="L103" s="2"/>
      <c r="AC103" s="10"/>
      <c r="AI103" s="2"/>
      <c r="AP103" s="10"/>
      <c r="AR103" s="10"/>
      <c r="AX103" s="2"/>
      <c r="BB103" s="2"/>
    </row>
    <row r="104" spans="2:54" ht="13.5" customHeight="1" x14ac:dyDescent="0.3">
      <c r="C104" s="2" t="s">
        <v>191</v>
      </c>
      <c r="F104" s="2"/>
      <c r="G104" s="2"/>
      <c r="H104" s="2"/>
      <c r="I104" s="2"/>
      <c r="J104" s="2"/>
      <c r="L104" s="2"/>
      <c r="AB104" s="10"/>
      <c r="AI104" s="2"/>
      <c r="AO104" s="10"/>
      <c r="AQ104" s="10"/>
      <c r="AU104" s="10"/>
      <c r="AV104" s="2"/>
      <c r="AX104" s="2"/>
      <c r="BB104" s="2"/>
    </row>
    <row r="105" spans="2:54" ht="13.5" customHeight="1" x14ac:dyDescent="0.3">
      <c r="C105" s="49" t="s">
        <v>192</v>
      </c>
      <c r="D105" s="50"/>
      <c r="E105" s="50"/>
      <c r="F105" s="50"/>
      <c r="G105" s="50"/>
      <c r="H105" s="50"/>
      <c r="I105" s="50"/>
      <c r="J105" s="50"/>
      <c r="L105" s="2"/>
      <c r="AB105" s="10"/>
      <c r="AI105" s="2"/>
      <c r="AO105" s="10"/>
      <c r="AQ105" s="10"/>
      <c r="AU105" s="10"/>
      <c r="AV105" s="2"/>
      <c r="AX105" s="2"/>
      <c r="BB105" s="2"/>
    </row>
    <row r="106" spans="2:54" x14ac:dyDescent="0.3">
      <c r="C106" s="2" t="s">
        <v>193</v>
      </c>
      <c r="J106" s="10"/>
      <c r="L106" s="2"/>
      <c r="AC106" s="10"/>
      <c r="AI106" s="2"/>
      <c r="AP106" s="10"/>
      <c r="AR106" s="10"/>
      <c r="AX106" s="2"/>
      <c r="BB106" s="2"/>
    </row>
    <row r="107" spans="2:54" x14ac:dyDescent="0.3">
      <c r="C107" s="2" t="s">
        <v>194</v>
      </c>
      <c r="J107" s="10"/>
      <c r="L107" s="2"/>
      <c r="AC107" s="10"/>
      <c r="AI107" s="2"/>
      <c r="AP107" s="10"/>
      <c r="AR107" s="10"/>
      <c r="AX107" s="2"/>
      <c r="BB107" s="2"/>
    </row>
    <row r="108" spans="2:54" x14ac:dyDescent="0.3">
      <c r="C108" s="2" t="s">
        <v>195</v>
      </c>
      <c r="J108" s="10"/>
      <c r="L108" s="2"/>
      <c r="AC108" s="10"/>
      <c r="AI108" s="2"/>
      <c r="AP108" s="10"/>
      <c r="AR108" s="10"/>
      <c r="AX108" s="2"/>
      <c r="BB108" s="2"/>
    </row>
    <row r="109" spans="2:54" x14ac:dyDescent="0.3">
      <c r="C109" s="51" t="s">
        <v>196</v>
      </c>
      <c r="D109" s="51"/>
      <c r="E109" s="51"/>
      <c r="F109" s="51"/>
      <c r="G109" s="52"/>
      <c r="H109" s="52"/>
      <c r="J109" s="10"/>
      <c r="L109" s="2"/>
      <c r="AC109" s="10"/>
      <c r="AI109" s="2"/>
      <c r="AP109" s="10"/>
      <c r="AR109" s="10"/>
      <c r="AX109" s="2"/>
      <c r="BB109" s="2"/>
    </row>
    <row r="110" spans="2:54" x14ac:dyDescent="0.3">
      <c r="C110" s="2" t="s">
        <v>197</v>
      </c>
      <c r="J110" s="10"/>
      <c r="L110" s="2"/>
      <c r="AC110" s="10"/>
      <c r="AI110" s="2"/>
      <c r="AP110" s="10"/>
      <c r="AR110" s="10"/>
      <c r="AX110" s="2"/>
      <c r="BB110" s="2"/>
    </row>
    <row r="111" spans="2:54" x14ac:dyDescent="0.3">
      <c r="C111" s="2" t="s">
        <v>198</v>
      </c>
      <c r="J111" s="10"/>
      <c r="L111" s="2"/>
      <c r="AC111" s="10"/>
      <c r="AI111" s="2"/>
      <c r="AP111" s="10"/>
      <c r="AR111" s="10"/>
      <c r="AX111" s="2"/>
      <c r="BB111" s="2"/>
    </row>
    <row r="112" spans="2:54" s="11" customFormat="1" x14ac:dyDescent="0.3">
      <c r="C112" s="11" t="s">
        <v>199</v>
      </c>
      <c r="E112" s="53" t="s">
        <v>200</v>
      </c>
      <c r="F112" s="53" t="s">
        <v>201</v>
      </c>
      <c r="G112" s="54"/>
      <c r="H112" s="54"/>
      <c r="I112" s="54"/>
      <c r="J112" s="55"/>
      <c r="K112" s="55"/>
      <c r="AC112" s="55"/>
      <c r="AP112" s="55"/>
      <c r="AR112" s="55"/>
      <c r="AV112" s="55"/>
    </row>
    <row r="113" spans="1:253" x14ac:dyDescent="0.3">
      <c r="C113" s="51" t="s">
        <v>202</v>
      </c>
      <c r="E113" s="2">
        <v>16.4831</v>
      </c>
      <c r="F113" s="2">
        <v>15.8622</v>
      </c>
      <c r="J113" s="10"/>
      <c r="L113" s="2"/>
      <c r="AC113" s="10"/>
      <c r="AI113" s="2"/>
      <c r="AP113" s="10"/>
      <c r="AR113" s="10"/>
      <c r="AX113" s="2"/>
      <c r="BB113" s="2"/>
    </row>
    <row r="114" spans="1:253" x14ac:dyDescent="0.3">
      <c r="C114" s="51" t="s">
        <v>203</v>
      </c>
      <c r="E114" s="2">
        <v>18.709900000000001</v>
      </c>
      <c r="F114" s="2">
        <v>18.005199999999999</v>
      </c>
      <c r="J114" s="10"/>
      <c r="L114" s="2"/>
      <c r="AC114" s="10"/>
      <c r="AI114" s="2"/>
      <c r="AP114" s="10"/>
      <c r="AR114" s="10"/>
      <c r="AX114" s="2"/>
      <c r="BB114" s="2"/>
    </row>
    <row r="115" spans="1:253" x14ac:dyDescent="0.3">
      <c r="C115" s="51" t="s">
        <v>204</v>
      </c>
      <c r="E115" s="2">
        <v>17.999099999999999</v>
      </c>
      <c r="F115" s="2">
        <v>17.342500000000001</v>
      </c>
      <c r="J115" s="10"/>
      <c r="L115" s="2"/>
      <c r="AC115" s="10"/>
      <c r="AI115" s="2"/>
      <c r="AP115" s="10"/>
      <c r="AR115" s="10"/>
      <c r="AX115" s="2"/>
      <c r="BB115" s="2"/>
    </row>
    <row r="116" spans="1:253" x14ac:dyDescent="0.3">
      <c r="C116" s="51" t="s">
        <v>205</v>
      </c>
      <c r="E116" s="2">
        <v>19.799399999999999</v>
      </c>
      <c r="F116" s="2">
        <v>19.077100000000002</v>
      </c>
      <c r="J116" s="10"/>
      <c r="L116" s="2"/>
      <c r="AC116" s="10"/>
      <c r="AI116" s="2"/>
      <c r="AP116" s="10"/>
      <c r="AR116" s="10"/>
      <c r="AX116" s="2"/>
      <c r="BB116" s="2"/>
    </row>
    <row r="117" spans="1:253" x14ac:dyDescent="0.3">
      <c r="J117" s="10"/>
      <c r="L117" s="2"/>
      <c r="AC117" s="10"/>
      <c r="AI117" s="2"/>
      <c r="AP117" s="10"/>
      <c r="AR117" s="10"/>
      <c r="AX117" s="2"/>
      <c r="BB117" s="2"/>
    </row>
    <row r="118" spans="1:253" x14ac:dyDescent="0.3">
      <c r="C118" s="2" t="s">
        <v>206</v>
      </c>
      <c r="J118" s="10"/>
      <c r="L118" s="2"/>
      <c r="AC118" s="10"/>
      <c r="AI118" s="2"/>
      <c r="AP118" s="10"/>
      <c r="AR118" s="10"/>
      <c r="AX118" s="2"/>
      <c r="BB118" s="2"/>
    </row>
    <row r="119" spans="1:253" x14ac:dyDescent="0.3">
      <c r="C119" s="2" t="s">
        <v>207</v>
      </c>
      <c r="J119" s="10"/>
      <c r="L119" s="2"/>
      <c r="AC119" s="10"/>
      <c r="AI119" s="2"/>
      <c r="AP119" s="10"/>
      <c r="AR119" s="10"/>
      <c r="AX119" s="2"/>
      <c r="BB119" s="2"/>
    </row>
    <row r="120" spans="1:253" x14ac:dyDescent="0.3">
      <c r="C120" s="2" t="s">
        <v>208</v>
      </c>
      <c r="J120" s="10"/>
      <c r="L120" s="2"/>
      <c r="AC120" s="10"/>
      <c r="AI120" s="2"/>
      <c r="AP120" s="10"/>
      <c r="AR120" s="10"/>
      <c r="AX120" s="2"/>
      <c r="BB120" s="2"/>
    </row>
    <row r="121" spans="1:253" x14ac:dyDescent="0.3">
      <c r="C121" s="2" t="s">
        <v>209</v>
      </c>
      <c r="J121" s="10"/>
      <c r="L121" s="2"/>
      <c r="AC121" s="10"/>
      <c r="AI121" s="2"/>
      <c r="AP121" s="10"/>
      <c r="AR121" s="10"/>
      <c r="AX121" s="2"/>
      <c r="BB121" s="2"/>
    </row>
    <row r="122" spans="1:253" x14ac:dyDescent="0.3">
      <c r="C122" s="2" t="s">
        <v>210</v>
      </c>
      <c r="J122" s="10"/>
      <c r="L122" s="2"/>
      <c r="AC122" s="10"/>
      <c r="AI122" s="2"/>
      <c r="AP122" s="10"/>
      <c r="AR122" s="10"/>
      <c r="AX122" s="2"/>
      <c r="BB122" s="2"/>
    </row>
    <row r="123" spans="1:253" x14ac:dyDescent="0.3">
      <c r="C123" s="2" t="s">
        <v>211</v>
      </c>
      <c r="J123" s="10"/>
      <c r="L123" s="2"/>
      <c r="AC123" s="10"/>
      <c r="AI123" s="2"/>
      <c r="AP123" s="10"/>
      <c r="AR123" s="10"/>
      <c r="AX123" s="2"/>
      <c r="BB123" s="2"/>
    </row>
    <row r="124" spans="1:253" x14ac:dyDescent="0.3">
      <c r="C124" s="2" t="s">
        <v>212</v>
      </c>
      <c r="J124" s="10"/>
      <c r="L124" s="2"/>
      <c r="AC124" s="10"/>
      <c r="AI124" s="2"/>
      <c r="AP124" s="10"/>
      <c r="AR124" s="10"/>
      <c r="AX124" s="2"/>
      <c r="BB124" s="2"/>
    </row>
    <row r="125" spans="1:253" ht="14.4" x14ac:dyDescent="0.3">
      <c r="A125"/>
      <c r="B125"/>
      <c r="C125" s="2" t="s">
        <v>213</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row>
    <row r="126" spans="1:253" ht="14.4" x14ac:dyDescent="0.3">
      <c r="A126"/>
      <c r="B126"/>
      <c r="C126" s="2" t="s">
        <v>214</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row>
    <row r="127" spans="1:253" ht="14.4" x14ac:dyDescent="0.3">
      <c r="A127"/>
      <c r="B127"/>
      <c r="C127" s="2" t="s">
        <v>215</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row>
    <row r="128" spans="1:253" ht="14.4" x14ac:dyDescent="0.3">
      <c r="A128"/>
      <c r="B128"/>
      <c r="C128" s="2" t="s">
        <v>216</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row>
    <row r="129" spans="1:253" ht="14.4" x14ac:dyDescent="0.3">
      <c r="A129"/>
      <c r="B129"/>
      <c r="C129" s="2" t="s">
        <v>217</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row>
    <row r="130" spans="1:253" x14ac:dyDescent="0.3">
      <c r="J130" s="10"/>
      <c r="L130" s="2"/>
      <c r="AC130" s="10"/>
      <c r="AI130" s="2"/>
      <c r="AP130" s="10"/>
      <c r="AR130" s="10"/>
      <c r="AX130" s="2"/>
      <c r="BB130" s="2"/>
    </row>
    <row r="131" spans="1:253" x14ac:dyDescent="0.3">
      <c r="C131" s="2" t="s">
        <v>218</v>
      </c>
      <c r="J131" s="10"/>
      <c r="L131" s="2"/>
      <c r="AC131" s="10"/>
      <c r="AI131" s="2"/>
      <c r="AP131" s="10"/>
      <c r="AR131" s="10"/>
      <c r="AX131" s="2"/>
      <c r="BB131" s="2"/>
    </row>
    <row r="132" spans="1:253" s="56" customFormat="1" ht="28.5" customHeight="1" x14ac:dyDescent="0.3">
      <c r="A132" s="2"/>
      <c r="B132" s="2"/>
      <c r="C132" s="2"/>
      <c r="D132" s="2"/>
      <c r="E132" s="2"/>
      <c r="F132" s="7"/>
      <c r="G132" s="8"/>
      <c r="H132" s="8"/>
      <c r="I132" s="8"/>
      <c r="J132" s="10"/>
      <c r="K132" s="10"/>
      <c r="L132" s="2"/>
      <c r="M132" s="2"/>
      <c r="N132" s="2"/>
      <c r="O132" s="2"/>
      <c r="P132" s="2"/>
      <c r="Q132" s="2"/>
      <c r="R132" s="2"/>
      <c r="S132" s="2"/>
      <c r="T132" s="2"/>
      <c r="U132" s="2"/>
      <c r="V132" s="2"/>
      <c r="W132" s="2"/>
      <c r="X132" s="2"/>
      <c r="Y132" s="2"/>
      <c r="Z132" s="2"/>
      <c r="AA132" s="2"/>
      <c r="AB132" s="2"/>
      <c r="AC132" s="10"/>
      <c r="AD132" s="2"/>
      <c r="AE132" s="2"/>
      <c r="AF132" s="2"/>
      <c r="AG132" s="2"/>
      <c r="AH132" s="2"/>
      <c r="AI132" s="2"/>
      <c r="AJ132" s="2"/>
      <c r="AK132" s="2"/>
      <c r="AL132" s="2"/>
      <c r="AM132" s="2"/>
      <c r="AN132" s="2"/>
      <c r="AO132" s="2"/>
      <c r="AP132" s="10"/>
      <c r="AQ132" s="2"/>
      <c r="AR132" s="10"/>
      <c r="AS132" s="2"/>
      <c r="AT132" s="2"/>
      <c r="AU132" s="2"/>
      <c r="AV132" s="10"/>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row>
    <row r="133" spans="1:253" ht="129" customHeight="1" x14ac:dyDescent="0.3">
      <c r="A133" s="56"/>
      <c r="B133" s="56"/>
      <c r="C133" s="58" t="s">
        <v>219</v>
      </c>
      <c r="D133" s="58"/>
      <c r="E133" s="58"/>
      <c r="F133" s="58"/>
      <c r="G133" s="58"/>
      <c r="H133" s="58"/>
      <c r="I133" s="58"/>
      <c r="J133" s="58"/>
      <c r="K133" s="58"/>
      <c r="L133" s="56"/>
      <c r="M133" s="56"/>
      <c r="N133" s="56"/>
      <c r="O133" s="56"/>
      <c r="P133" s="56"/>
      <c r="Q133" s="56"/>
      <c r="R133" s="56"/>
      <c r="S133" s="56"/>
      <c r="T133" s="56"/>
      <c r="U133" s="56"/>
      <c r="V133" s="56"/>
      <c r="W133" s="56"/>
      <c r="X133" s="56"/>
      <c r="Y133" s="56"/>
      <c r="Z133" s="56"/>
      <c r="AA133" s="57"/>
      <c r="AB133" s="56"/>
      <c r="AC133" s="56"/>
      <c r="AD133" s="56"/>
      <c r="AE133" s="56"/>
      <c r="AF133" s="56"/>
      <c r="AG133" s="56"/>
      <c r="AH133" s="56"/>
      <c r="AI133" s="56"/>
      <c r="AJ133" s="56"/>
      <c r="AK133" s="56"/>
      <c r="AL133" s="56"/>
      <c r="AM133" s="56"/>
      <c r="AN133" s="57"/>
      <c r="AO133" s="56"/>
      <c r="AP133" s="57"/>
      <c r="AQ133" s="56"/>
      <c r="AR133" s="56"/>
      <c r="AS133" s="56"/>
      <c r="AT133" s="57"/>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c r="DG133" s="56"/>
      <c r="DH133" s="56"/>
      <c r="DI133" s="56"/>
      <c r="DJ133" s="56"/>
      <c r="DK133" s="56"/>
      <c r="DL133" s="56"/>
      <c r="DM133" s="56"/>
      <c r="DN133" s="56"/>
      <c r="DO133" s="56"/>
      <c r="DP133" s="56"/>
      <c r="DQ133" s="56"/>
      <c r="DR133" s="56"/>
      <c r="DS133" s="56"/>
      <c r="DT133" s="56"/>
      <c r="DU133" s="56"/>
      <c r="DV133" s="56"/>
      <c r="DW133" s="56"/>
      <c r="DX133" s="56"/>
      <c r="DY133" s="56"/>
      <c r="DZ133" s="56"/>
      <c r="EA133" s="56"/>
      <c r="EB133" s="56"/>
      <c r="EC133" s="56"/>
      <c r="ED133" s="56"/>
      <c r="EE133" s="56"/>
      <c r="EF133" s="56"/>
      <c r="EG133" s="56"/>
      <c r="EH133" s="56"/>
      <c r="EI133" s="56"/>
      <c r="EJ133" s="56"/>
      <c r="EK133" s="56"/>
      <c r="EL133" s="56"/>
      <c r="EM133" s="56"/>
      <c r="EN133" s="56"/>
      <c r="EO133" s="56"/>
      <c r="EP133" s="56"/>
      <c r="EQ133" s="56"/>
      <c r="ER133" s="56"/>
      <c r="ES133" s="56"/>
      <c r="ET133" s="56"/>
      <c r="EU133" s="56"/>
      <c r="EV133" s="56"/>
      <c r="EW133" s="56"/>
      <c r="EX133" s="56"/>
      <c r="EY133" s="56"/>
      <c r="EZ133" s="56"/>
      <c r="FA133" s="56"/>
      <c r="FB133" s="56"/>
      <c r="FC133" s="56"/>
      <c r="FD133" s="56"/>
      <c r="FE133" s="56"/>
      <c r="FF133" s="56"/>
      <c r="FG133" s="56"/>
      <c r="FH133" s="56"/>
      <c r="FI133" s="56"/>
      <c r="FJ133" s="56"/>
      <c r="FK133" s="56"/>
      <c r="FL133" s="56"/>
      <c r="FM133" s="56"/>
      <c r="FN133" s="56"/>
      <c r="FO133" s="56"/>
      <c r="FP133" s="56"/>
      <c r="FQ133" s="56"/>
      <c r="FR133" s="56"/>
      <c r="FS133" s="56"/>
      <c r="FT133" s="56"/>
      <c r="FU133" s="56"/>
      <c r="FV133" s="56"/>
      <c r="FW133" s="56"/>
      <c r="FX133" s="56"/>
      <c r="FY133" s="56"/>
      <c r="FZ133" s="56"/>
      <c r="GA133" s="56"/>
      <c r="GB133" s="56"/>
      <c r="GC133" s="56"/>
      <c r="GD133" s="56"/>
      <c r="GE133" s="56"/>
      <c r="GF133" s="56"/>
      <c r="GG133" s="56"/>
      <c r="GH133" s="56"/>
      <c r="GI133" s="56"/>
      <c r="GJ133" s="56"/>
      <c r="GK133" s="56"/>
      <c r="GL133" s="56"/>
      <c r="GM133" s="56"/>
      <c r="GN133" s="56"/>
      <c r="GO133" s="56"/>
      <c r="GP133" s="56"/>
      <c r="GQ133" s="56"/>
      <c r="GR133" s="56"/>
      <c r="GS133" s="56"/>
      <c r="GT133" s="56"/>
      <c r="GU133" s="56"/>
      <c r="GV133" s="56"/>
      <c r="GW133" s="56"/>
      <c r="GX133" s="56"/>
      <c r="GY133" s="56"/>
      <c r="GZ133" s="56"/>
      <c r="HA133" s="56"/>
      <c r="HB133" s="56"/>
      <c r="HC133" s="56"/>
      <c r="HD133" s="56"/>
      <c r="HE133" s="56"/>
      <c r="HF133" s="56"/>
      <c r="HG133" s="56"/>
      <c r="HH133" s="56"/>
      <c r="HI133" s="56"/>
      <c r="HJ133" s="56"/>
      <c r="HK133" s="56"/>
      <c r="HL133" s="56"/>
      <c r="HM133" s="56"/>
      <c r="HN133" s="56"/>
      <c r="HO133" s="56"/>
      <c r="HP133" s="56"/>
      <c r="HQ133" s="56"/>
      <c r="HR133" s="56"/>
      <c r="HS133" s="56"/>
      <c r="HT133" s="56"/>
      <c r="HU133" s="56"/>
      <c r="HV133" s="56"/>
      <c r="HW133" s="56"/>
      <c r="HX133" s="56"/>
      <c r="HY133" s="56"/>
      <c r="HZ133" s="56"/>
      <c r="IA133" s="56"/>
      <c r="IB133" s="56"/>
      <c r="IC133" s="56"/>
      <c r="ID133" s="56"/>
      <c r="IE133" s="56"/>
      <c r="IF133" s="56"/>
      <c r="IG133" s="56"/>
      <c r="IH133" s="56"/>
      <c r="II133" s="56"/>
      <c r="IJ133" s="56"/>
      <c r="IK133" s="56"/>
      <c r="IL133" s="56"/>
      <c r="IM133" s="56"/>
      <c r="IN133" s="56"/>
      <c r="IO133" s="56"/>
      <c r="IP133" s="56"/>
      <c r="IQ133" s="56"/>
      <c r="IR133" s="56"/>
      <c r="IS133" s="56"/>
    </row>
    <row r="134" spans="1:253" x14ac:dyDescent="0.3">
      <c r="L134" s="2"/>
      <c r="AG134" s="10"/>
      <c r="AI134" s="2"/>
      <c r="AT134" s="10"/>
      <c r="AX134" s="2"/>
      <c r="AZ134" s="10"/>
      <c r="BB134" s="2"/>
    </row>
  </sheetData>
  <mergeCells count="1">
    <mergeCell ref="C133:K133"/>
  </mergeCells>
  <hyperlinks>
    <hyperlink ref="C13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317E1B16-E0C0-44C2-B49D-8A3E40D1658B}"/>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IC</vt:lpstr>
      <vt:lpstr>XDO_?CLASS_3?11?</vt:lpstr>
      <vt:lpstr>XDO_?FINAL_ISIN?48?</vt:lpstr>
      <vt:lpstr>XDO_?FINAL_ISIN?49?</vt:lpstr>
      <vt:lpstr>XDO_?FINAL_ISIN?50?</vt:lpstr>
      <vt:lpstr>XDO_?FINAL_MV?48?</vt:lpstr>
      <vt:lpstr>XDO_?FINAL_MV?49?</vt:lpstr>
      <vt:lpstr>XDO_?FINAL_MV?50?</vt:lpstr>
      <vt:lpstr>XDO_?FINAL_NAME?48?</vt:lpstr>
      <vt:lpstr>XDO_?FINAL_NAME?49?</vt:lpstr>
      <vt:lpstr>XDO_?FINAL_NAME?50?</vt:lpstr>
      <vt:lpstr>XDO_?FINAL_PER_NET?48?</vt:lpstr>
      <vt:lpstr>XDO_?FINAL_PER_NET?49?</vt:lpstr>
      <vt:lpstr>XDO_?FINAL_PER_NET?50?</vt:lpstr>
      <vt:lpstr>XDO_?FINAL_QUANTITE?48?</vt:lpstr>
      <vt:lpstr>XDO_?FINAL_QUANTITE?49?</vt:lpstr>
      <vt:lpstr>XDO_?FINAL_QUANTITE?50?</vt:lpstr>
      <vt:lpstr>XDO_?NAMCNAME?11?</vt:lpstr>
      <vt:lpstr>XDO_?NOVAL?48?</vt:lpstr>
      <vt:lpstr>XDO_?NOVAL?49?</vt:lpstr>
      <vt:lpstr>XDO_?NOVAL?50?</vt:lpstr>
      <vt:lpstr>XDO_?NPTF?11?</vt:lpstr>
      <vt:lpstr>XDO_?RATING?48?</vt:lpstr>
      <vt:lpstr>XDO_?RATING?49?</vt:lpstr>
      <vt:lpstr>XDO_?RATING?50?</vt:lpstr>
      <vt:lpstr>XDO_?REMARKS?48?</vt:lpstr>
      <vt:lpstr>XDO_?REMARKS?49?</vt:lpstr>
      <vt:lpstr>XDO_?REMARKS?50?</vt:lpstr>
      <vt:lpstr>XDO_?TITL?11?</vt:lpstr>
      <vt:lpstr>XDO_?YTM?48?</vt:lpstr>
      <vt:lpstr>XDO_?YTM?49?</vt:lpstr>
      <vt:lpstr>XDO_?YTM?50?</vt:lpstr>
      <vt:lpstr>XDO_GROUP_?G_2?11?</vt:lpstr>
      <vt:lpstr>XDO_GROUP_?G_3?11?</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2022-07-04T12:15:17Z</dcterms:created>
  <dcterms:modified xsi:type="dcterms:W3CDTF">2022-07-08T11:17:30Z</dcterms:modified>
</cp:coreProperties>
</file>