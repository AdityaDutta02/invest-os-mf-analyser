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72?">AF!$D$14</definedName>
    <definedName name="XDO_?FINAL_ISIN?73?">AF!$D$14:$D$49</definedName>
    <definedName name="XDO_?FINAL_ISIN?74?">AF!$D$14:$D$53</definedName>
    <definedName name="XDO_?FINAL_MV?72?">AF!$G$14</definedName>
    <definedName name="XDO_?FINAL_MV?73?">AF!$G$14:$G$49</definedName>
    <definedName name="XDO_?FINAL_MV?74?">AF!$G$14:$G$53</definedName>
    <definedName name="XDO_?FINAL_NAME?72?">AF!$C$14</definedName>
    <definedName name="XDO_?FINAL_NAME?73?">AF!$C$14:$C$49</definedName>
    <definedName name="XDO_?FINAL_NAME?74?">AF!$C$14:$C$53</definedName>
    <definedName name="XDO_?FINAL_PER_NET?72?">AF!$H$14</definedName>
    <definedName name="XDO_?FINAL_PER_NET?73?">AF!$H$14:$H$49</definedName>
    <definedName name="XDO_?FINAL_PER_NET?74?">AF!$H$14:$H$53</definedName>
    <definedName name="XDO_?FINAL_QUANTITE?72?">AF!$F$14</definedName>
    <definedName name="XDO_?FINAL_QUANTITE?73?">AF!$F$14:$F$49</definedName>
    <definedName name="XDO_?FINAL_QUANTITE?74?">AF!$F$14:$F$53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2?">AF!$B$14</definedName>
    <definedName name="XDO_?NOVAL?73?">AF!$B$14:$B$49</definedName>
    <definedName name="XDO_?NOVAL?74?">AF!$B$14:$B$53</definedName>
    <definedName name="XDO_?NPTF?15?">AF!$D$2:$D$14</definedName>
    <definedName name="XDO_?RATING?72?">AF!$E$14</definedName>
    <definedName name="XDO_?RATING?73?">AF!$E$14:$E$49</definedName>
    <definedName name="XDO_?RATING?74?">AF!$E$14:$E$53</definedName>
    <definedName name="XDO_?REMARKS?72?">AF!$K$14</definedName>
    <definedName name="XDO_?REMARKS?73?">AF!$K$14:$K$49</definedName>
    <definedName name="XDO_?REMARKS?74?">AF!$K$14:$K$53</definedName>
    <definedName name="XDO_?TITL?15?">AF!$A$8:$A$14</definedName>
    <definedName name="XDO_?YTM?72?">AF!$I$14</definedName>
    <definedName name="XDO_?YTM?73?">AF!$I$14:$I$49</definedName>
    <definedName name="XDO_?YTM?74?">AF!$I$14:$I$53</definedName>
    <definedName name="XDO_GROUP_?G_2?15?">AF!$2:$21</definedName>
    <definedName name="XDO_GROUP_?G_3?15?">AF!$8:$20</definedName>
    <definedName name="XDO_GROUP_?G_4?135?">[1]ON!#REF!</definedName>
    <definedName name="XDO_GROUP_?G_4?41?">[1]TA!#REF!</definedName>
    <definedName name="XDO_GROUP_?G_4?72?">AF!$B$10:$IV$10</definedName>
    <definedName name="XDO_GROUP_?G_4?73?">AF!$B$15:$IV$15</definedName>
    <definedName name="XDO_GROUP_?G_4?74?">AF!$B$18:$IV$18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<sst xmlns="http://schemas.openxmlformats.org/spreadsheetml/2006/main" count="107" uniqueCount="76">
  <si>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</si>
  <si>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</si>
  <si>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</si>
  <si>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</si>
  <si>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</si>
  <si>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</si>
  <si>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</si>
  <si>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</si>
  <si>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</si>
  <si>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</si>
  <si>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</si>
  <si>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</si>
  <si>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</si>
  <si>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</si>
  <si>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</si>
  <si>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</si>
  <si>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</si>
  <si>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</si>
  <si>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</si>
  <si>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</si>
  <si>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</si>
  <si>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</si>
  <si>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</si>
  <si>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</si>
  <si>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</si>
  <si>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</si>
  <si>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</si>
  <si>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</si>
  <si>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</si>
  <si>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</si>
  <si>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</si>
  <si>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</si>
  <si>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</si>
  <si>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</si>
  <si>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</si>
  <si>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</si>
  <si>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</si>
  <si>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</si>
  <si>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</si>
  <si>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</si>
  <si>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</si>
  <si>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</si>
  <si>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</si>
  <si>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</si>
  <si>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</si>
  <si>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</si>
  <si>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</si>
  <si>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</si>
  <si>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</si>
  <si>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</si>
  <si>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</si>
  <si>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</si>
  <si>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</si>
  <si>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</si>
  <si>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</si>
  <si>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</si>
  <si>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</si>
  <si>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</si>
  <si>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</si>
  <si>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</si>
  <si>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</si>
  <si>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</si>
  <si>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</si>
  <si>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</si>
  <si>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</si>
  <si>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8,283.66 Lacs.</t>
  </si>
  <si>
    <t>(11)  During the period, the portfolio turnover ratio is  0.00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</si>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</sst>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504275</xdr:colOff>
      <xdr:row>104</xdr:row>
      <xdr:rowOff>88392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5887700"/>
          <a:ext cx="7453715" cy="27172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89"/>
  <sheetViews>
    <sheetView showGridLines="0" tabSelected="1" zoomScale="90" zoomScaleNormal="90" workbookViewId="0">
      <pane ySplit="6" topLeftCell="A82" activePane="bottomLeft" state="frozen"/>
      <selection activeCell="E119" sqref="E119"/>
      <selection pane="bottomLeft" activeCell="I91" sqref="I9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99465.665599999993</v>
      </c>
      <c r="G14" s="34">
        <v>8283.66</v>
      </c>
      <c r="H14" s="34">
        <v>99.25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8283.66</v>
      </c>
      <c r="H15" s="38">
        <v>99.25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126.41</v>
      </c>
      <c r="H49" s="34">
        <v>1.51</v>
      </c>
      <c r="I49" s="35">
        <v>6.78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126.41</v>
      </c>
      <c r="H50" s="38">
        <v>1.51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-63.57</v>
      </c>
      <c r="H53" s="34">
        <v>-0.76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-63.57</v>
      </c>
      <c r="H54" s="38">
        <v>-0.76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8346.5</v>
      </c>
      <c r="H56" s="43">
        <f>SUMIFS(H:H,C:C,"Total")</f>
        <v>100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10.1572</v>
      </c>
      <c r="F70" s="53">
        <v>10.748900000000001</v>
      </c>
    </row>
    <row r="71" spans="3:55" x14ac:dyDescent="0.3">
      <c r="C71" s="2" t="s">
        <v>60</v>
      </c>
      <c r="E71" s="52">
        <v>10.1572</v>
      </c>
      <c r="F71" s="53">
        <v>10.748900000000001</v>
      </c>
    </row>
    <row r="72" spans="3:55" x14ac:dyDescent="0.3">
      <c r="C72" s="2" t="s">
        <v>61</v>
      </c>
      <c r="E72" s="52">
        <v>10.393800000000001</v>
      </c>
      <c r="F72" s="53">
        <v>11.008800000000001</v>
      </c>
    </row>
    <row r="73" spans="3:55" x14ac:dyDescent="0.3">
      <c r="C73" s="2" t="s">
        <v>62</v>
      </c>
      <c r="E73" s="52">
        <v>10.393800000000001</v>
      </c>
      <c r="F73" s="53">
        <v>11.008800000000001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11" x14ac:dyDescent="0.3">
      <c r="C81" s="2" t="s">
        <v>68</v>
      </c>
    </row>
    <row r="82" spans="3:11" x14ac:dyDescent="0.3">
      <c r="C82" s="2" t="s">
        <v>69</v>
      </c>
    </row>
    <row r="83" spans="3:11" x14ac:dyDescent="0.3">
      <c r="C83" s="2" t="s">
        <v>70</v>
      </c>
    </row>
    <row r="84" spans="3:11" x14ac:dyDescent="0.3">
      <c r="C84" s="2" t="s">
        <v>71</v>
      </c>
    </row>
    <row r="85" spans="3:11" x14ac:dyDescent="0.3">
      <c r="C85" s="2" t="s">
        <v>72</v>
      </c>
    </row>
    <row r="86" spans="3:11" x14ac:dyDescent="0.3">
      <c r="C86" s="2" t="s">
        <v>73</v>
      </c>
    </row>
    <row r="87" spans="3:11" x14ac:dyDescent="0.3">
      <c r="C87" s="2" t="s">
        <v>74</v>
      </c>
    </row>
    <row r="88" spans="3:11" x14ac:dyDescent="0.3">
      <c r="C88" s="2" t="s">
        <v>75</v>
      </c>
    </row>
    <row r="89" spans="3:11" ht="14.4" x14ac:dyDescent="0.3">
      <c r="C89" s="54"/>
      <c r="D89" s="54"/>
      <c r="E89" s="55"/>
      <c r="F89" s="55"/>
      <c r="G89" s="55"/>
      <c r="H89" s="55"/>
      <c r="I89" s="55"/>
      <c r="J89" s="55"/>
      <c r="K8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XDO_?CLASS_3?15?</vt:lpstr>
      <vt:lpstr>XDO_?FINAL_ISIN?72?</vt:lpstr>
      <vt:lpstr>XDO_?FINAL_ISIN?73?</vt:lpstr>
      <vt:lpstr>XDO_?FINAL_ISIN?74?</vt:lpstr>
      <vt:lpstr>XDO_?FINAL_MV?72?</vt:lpstr>
      <vt:lpstr>XDO_?FINAL_MV?73?</vt:lpstr>
      <vt:lpstr>XDO_?FINAL_MV?74?</vt:lpstr>
      <vt:lpstr>XDO_?FINAL_NAME?72?</vt:lpstr>
      <vt:lpstr>XDO_?FINAL_NAME?73?</vt:lpstr>
      <vt:lpstr>XDO_?FINAL_NAME?74?</vt:lpstr>
      <vt:lpstr>XDO_?FINAL_PER_NET?72?</vt:lpstr>
      <vt:lpstr>XDO_?FINAL_PER_NET?73?</vt:lpstr>
      <vt:lpstr>XDO_?FINAL_PER_NET?74?</vt:lpstr>
      <vt:lpstr>XDO_?FINAL_QUANTITE?72?</vt:lpstr>
      <vt:lpstr>XDO_?FINAL_QUANTITE?73?</vt:lpstr>
      <vt:lpstr>XDO_?FINAL_QUANTITE?74?</vt:lpstr>
      <vt:lpstr>XDO_?NAMCNAME?15?</vt:lpstr>
      <vt:lpstr>XDO_?NOVAL?72?</vt:lpstr>
      <vt:lpstr>XDO_?NOVAL?73?</vt:lpstr>
      <vt:lpstr>XDO_?NOVAL?74?</vt:lpstr>
      <vt:lpstr>XDO_?NPTF?15?</vt:lpstr>
      <vt:lpstr>XDO_?RATING?72?</vt:lpstr>
      <vt:lpstr>XDO_?RATING?73?</vt:lpstr>
      <vt:lpstr>XDO_?RATING?74?</vt:lpstr>
      <vt:lpstr>XDO_?REMARKS?72?</vt:lpstr>
      <vt:lpstr>XDO_?REMARKS?73?</vt:lpstr>
      <vt:lpstr>XDO_?REMARKS?74?</vt:lpstr>
      <vt:lpstr>XDO_?TITL?15?</vt:lpstr>
      <vt:lpstr>XDO_?YTM?72?</vt:lpstr>
      <vt:lpstr>XDO_?YTM?73?</vt:lpstr>
      <vt:lpstr>XDO_?YTM?74?</vt:lpstr>
      <vt:lpstr>XDO_GROUP_?G_2?15?</vt:lpstr>
      <vt:lpstr>XDO_GROUP_?G_3?15?</vt:lpstr>
      <vt:lpstr>XDO_GROUP_?G_4?72?</vt:lpstr>
      <vt:lpstr>XDO_GROUP_?G_4?73?</vt:lpstr>
      <vt:lpstr>XDO_GROUP_?G_4?74?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2023-07-07T05:40:51Z</dcterms:created>
  <dcterms:modified xsi:type="dcterms:W3CDTF">2023-07-07T12:20:57Z</dcterms:modified>
</cp:coreProperties>
</file>