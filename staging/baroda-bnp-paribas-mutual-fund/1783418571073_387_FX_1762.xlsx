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Hybrid\"/>
    </mc:Choice>
  </mc:AlternateContent>
  <xr:revisionPtr revIDLastSave="0" documentId="13_ncr:1_{0F7AF9E4-FF2C-4E9F-B463-6C8A4F452873}" xr6:coauthVersionLast="47" xr6:coauthVersionMax="47" xr10:uidLastSave="{00000000-0000-0000-0000-000000000000}"/>
  <bookViews>
    <workbookView xWindow="-108" yWindow="-108" windowWidth="23256" windowHeight="12576" xr2:uid="{2816CF9F-2694-4AA5-897A-5DECC625ADE3}"/>
  </bookViews>
  <sheets>
    <sheet name="FX" sheetId="1" r:id="rId1"/>
  </sheets>
  <externalReferences>
    <externalReference r:id="rId2"/>
  </externalReferences>
  <definedNames>
    <definedName name="XDO_?CLASS_3?14?">FX!$C$8:$C$50</definedName>
    <definedName name="XDO_?FINAL_ISIN?59?">FX!$D$10:$D$50</definedName>
    <definedName name="XDO_?FINAL_ISIN?60?">FX!$D$10:$D$89</definedName>
    <definedName name="XDO_?FINAL_ISIN?61?">FX!$D$10:$D$93</definedName>
    <definedName name="XDO_?FINAL_MV?59?">FX!$G$10:$G$50</definedName>
    <definedName name="XDO_?FINAL_MV?60?">FX!$G$10:$G$89</definedName>
    <definedName name="XDO_?FINAL_MV?61?">FX!$G$10:$G$93</definedName>
    <definedName name="XDO_?FINAL_NAME?59?">FX!$C$10:$C$50</definedName>
    <definedName name="XDO_?FINAL_NAME?60?">FX!$C$10:$C$89</definedName>
    <definedName name="XDO_?FINAL_NAME?61?">FX!$C$10:$C$93</definedName>
    <definedName name="XDO_?FINAL_PER_NET?59?">FX!$H$10:$H$50</definedName>
    <definedName name="XDO_?FINAL_PER_NET?60?">FX!$H$10:$H$89</definedName>
    <definedName name="XDO_?FINAL_PER_NET?61?">FX!$H$10:$H$93</definedName>
    <definedName name="XDO_?FINAL_QUANTITE?59?">FX!$F$10:$F$50</definedName>
    <definedName name="XDO_?FINAL_QUANTITE?60?">FX!$F$10:$F$89</definedName>
    <definedName name="XDO_?FINAL_QUANTITE?61?">FX!$F$10:$F$93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4?">FX!$C$2:$C$50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9?">FX!$B$10:$B$50</definedName>
    <definedName name="XDO_?NOVAL?60?">FX!$B$10:$B$89</definedName>
    <definedName name="XDO_?NOVAL?61?">FX!$B$10:$B$93</definedName>
    <definedName name="XDO_?NPTF?14?">FX!$D$2:$D$50</definedName>
    <definedName name="XDO_?RATING?59?">FX!$E$10:$E$50</definedName>
    <definedName name="XDO_?RATING?60?">FX!$E$10:$E$89</definedName>
    <definedName name="XDO_?RATING?61?">FX!$E$10:$E$93</definedName>
    <definedName name="XDO_?REMARKS?59?">FX!$K$10:$K$50</definedName>
    <definedName name="XDO_?REMARKS?60?">FX!$K$10:$K$89</definedName>
    <definedName name="XDO_?REMARKS?61?">FX!$K$10:$K$93</definedName>
    <definedName name="XDO_?TITL?14?">FX!$A$8:$A$50</definedName>
    <definedName name="XDO_?YTM?59?">FX!$I$10:$I$50</definedName>
    <definedName name="XDO_?YTM?60?">FX!$I$10:$I$89</definedName>
    <definedName name="XDO_?YTM?61?">FX!$I$10:$I$93</definedName>
    <definedName name="XDO_GROUP_?G_2?14?">FX!$2:$61</definedName>
    <definedName name="XDO_GROUP_?G_3?14?">FX!$8:$60</definedName>
    <definedName name="XDO_GROUP_?G_4?114?">[1]ON!#REF!</definedName>
    <definedName name="XDO_GROUP_?G_4?28?">[1]TA!#REF!</definedName>
    <definedName name="XDO_GROUP_?G_4?59?">FX!$B$10:$IV$50</definedName>
    <definedName name="XDO_GROUP_?G_4?60?">FX!$B$55:$IV$55</definedName>
    <definedName name="XDO_GROUP_?G_4?61?">FX!$B$58:$IV$58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</calcChain>
</file>

<file path=xl/sharedStrings.xml><?xml version="1.0" encoding="utf-8"?>
<sst xmlns="http://schemas.openxmlformats.org/spreadsheetml/2006/main" count="267" uniqueCount="216">
  <si>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</si>
  <si>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</si>
  <si>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</si>
  <si>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</si>
  <si>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</si>
  <si>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</si>
  <si>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</si>
  <si>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</si>
  <si>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</si>
  <si>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</si>
  <si>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</si>
  <si>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</si>
  <si>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</si>
  <si>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</si>
  <si>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</si>
  <si>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</si>
  <si>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</si>
  <si>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</si>
  <si>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</si>
  <si>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</si>
  <si>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</si>
  <si>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</si>
  <si>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</si>
  <si>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</si>
  <si>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</si>
  <si>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</si>
  <si>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</si>
  <si>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</si>
  <si>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</si>
  <si>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</si>
  <si>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</si>
  <si>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</si>
  <si>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</si>
  <si>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</si>
  <si>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</si>
  <si>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</si>
  <si>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</si>
  <si>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</si>
  <si>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</si>
  <si>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</si>
  <si>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</si>
  <si>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</si>
  <si>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100036</t>
  </si>
  <si>
    <t>Mahindra &amp; Mahindra Financial Services Ltd.</t>
  </si>
  <si>
    <t>INE774D01024</t>
  </si>
  <si>
    <t>100126</t>
  </si>
  <si>
    <t>Britannia Industries Ltd.</t>
  </si>
  <si>
    <t>INE216A01030</t>
  </si>
  <si>
    <t>Food Products</t>
  </si>
  <si>
    <t>100115</t>
  </si>
  <si>
    <t>Siemens Ltd.</t>
  </si>
  <si>
    <t>INE003A01024</t>
  </si>
  <si>
    <t>Electrical Equipment</t>
  </si>
  <si>
    <t>100121</t>
  </si>
  <si>
    <t>United Breweries Ltd.</t>
  </si>
  <si>
    <t>INE686F01025</t>
  </si>
  <si>
    <t>Beverages</t>
  </si>
  <si>
    <t>100200</t>
  </si>
  <si>
    <t>Page Industries Ltd.</t>
  </si>
  <si>
    <t>INE761H01022</t>
  </si>
  <si>
    <t>Textiles &amp; Apparels</t>
  </si>
  <si>
    <t>100095</t>
  </si>
  <si>
    <t>Bharti Airtel Ltd.</t>
  </si>
  <si>
    <t>INE397D01024</t>
  </si>
  <si>
    <t>Telecom - Services</t>
  </si>
  <si>
    <t>100013</t>
  </si>
  <si>
    <t>IndusInd Bank Ltd.</t>
  </si>
  <si>
    <t>INE095A01012</t>
  </si>
  <si>
    <t>100157</t>
  </si>
  <si>
    <t>Godrej Consumer Products Ltd.</t>
  </si>
  <si>
    <t>INE102D01028</t>
  </si>
  <si>
    <t>Personal Products</t>
  </si>
  <si>
    <t>100268</t>
  </si>
  <si>
    <t>NLC India Ltd.</t>
  </si>
  <si>
    <t>INE589A01014</t>
  </si>
  <si>
    <t>Power</t>
  </si>
  <si>
    <t>100172</t>
  </si>
  <si>
    <t>ACC Ltd.</t>
  </si>
  <si>
    <t>INE012A01025</t>
  </si>
  <si>
    <t>Cement &amp; Cement Products</t>
  </si>
  <si>
    <t>100019</t>
  </si>
  <si>
    <t>ITC Ltd.</t>
  </si>
  <si>
    <t>INE154A01025</t>
  </si>
  <si>
    <t>Diversified FMCG</t>
  </si>
  <si>
    <t>100022</t>
  </si>
  <si>
    <t>The Phoenix Mills Ltd.</t>
  </si>
  <si>
    <t>INE211B01039</t>
  </si>
  <si>
    <t>Realty</t>
  </si>
  <si>
    <t>100026</t>
  </si>
  <si>
    <t>Persistent Systems Ltd.</t>
  </si>
  <si>
    <t>INE262H01013</t>
  </si>
  <si>
    <t>100843</t>
  </si>
  <si>
    <t>Dalmia Bharat Ltd.</t>
  </si>
  <si>
    <t>INE00R701025</t>
  </si>
  <si>
    <t>100453</t>
  </si>
  <si>
    <t>RBL Bank Ltd.</t>
  </si>
  <si>
    <t>INE976G01028</t>
  </si>
  <si>
    <t>100181</t>
  </si>
  <si>
    <t>NTPC Ltd.</t>
  </si>
  <si>
    <t>INE733E01010</t>
  </si>
  <si>
    <t>100223</t>
  </si>
  <si>
    <t>United Spirits Ltd.</t>
  </si>
  <si>
    <t>INE854D01024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</si>
  <si>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</si>
  <si>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</si>
  <si>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</si>
  <si>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</si>
  <si>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</si>
  <si>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</si>
  <si>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</si>
  <si>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100896</t>
  </si>
  <si>
    <t>Polycab India Ltd.</t>
  </si>
  <si>
    <t>INE455K01017</t>
  </si>
  <si>
    <t>Industrial Products</t>
  </si>
  <si>
    <t>100032</t>
  </si>
  <si>
    <t>Tata Consultancy Services Ltd.</t>
  </si>
  <si>
    <t>INE467B01029</t>
  </si>
  <si>
    <t>100105</t>
  </si>
  <si>
    <t>Marico Ltd.</t>
  </si>
  <si>
    <t>INE196A01026</t>
  </si>
  <si>
    <t>100282</t>
  </si>
  <si>
    <t>Blue Star Ltd.</t>
  </si>
  <si>
    <t>INE472A01039</t>
  </si>
  <si>
    <t>Consumer Durables</t>
  </si>
  <si>
    <t>100586</t>
  </si>
  <si>
    <t>Ratnamani Metals &amp; Tubes Ltd.</t>
  </si>
  <si>
    <t>INE703B01027</t>
  </si>
  <si>
    <t>100037</t>
  </si>
  <si>
    <t>HCL Technologies Ltd.</t>
  </si>
  <si>
    <t>INE860A01027</t>
  </si>
  <si>
    <t>100100</t>
  </si>
  <si>
    <t>Hindustan Petroleum Corporation Ltd.</t>
  </si>
  <si>
    <t>INE094A01015</t>
  </si>
  <si>
    <t>100024</t>
  </si>
  <si>
    <t>Axis Bank Ltd.</t>
  </si>
  <si>
    <t>INE238A01034</t>
  </si>
  <si>
    <t>100033</t>
  </si>
  <si>
    <t>Indian Bank</t>
  </si>
  <si>
    <t>INE562A01011</t>
  </si>
  <si>
    <t>100302</t>
  </si>
  <si>
    <t>DLF Ltd.</t>
  </si>
  <si>
    <t>INE271C01023</t>
  </si>
  <si>
    <t>100204</t>
  </si>
  <si>
    <t>Inox Leisure Ltd.</t>
  </si>
  <si>
    <t>INE312H01016</t>
  </si>
  <si>
    <t>Entertainment</t>
  </si>
  <si>
    <t>100163</t>
  </si>
  <si>
    <t>Bosch Ltd.</t>
  </si>
  <si>
    <t>INE323A01026</t>
  </si>
  <si>
    <t>Auto Components</t>
  </si>
  <si>
    <t>100004</t>
  </si>
  <si>
    <t>Zydus Lifesciences Ltd.</t>
  </si>
  <si>
    <t>INE010B01027</t>
  </si>
  <si>
    <t>Pharmaceuticals &amp; Biotechnology</t>
  </si>
  <si>
    <t>100191</t>
  </si>
  <si>
    <t>Canara Bank</t>
  </si>
  <si>
    <t>INE476A01014</t>
  </si>
  <si>
    <t>100224</t>
  </si>
  <si>
    <t>Mahindra Lifespace Developers Ltd.</t>
  </si>
  <si>
    <t>INE813A01018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</si>
  <si>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</si>
  <si>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</si>
  <si>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</si>
  <si>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</si>
  <si>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</si>
  <si>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</si>
  <si>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</si>
  <si>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</si>
  <si>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</si>
  <si>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</si>
  <si>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</si>
  <si>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</si>
  <si>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</si>
  <si>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</si>
  <si>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</si>
  <si>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</si>
  <si>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</si>
  <si>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</si>
  <si>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</si>
  <si>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</si>
  <si>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</si>
  <si>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</si>
  <si>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</si>
  <si>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</si>
  <si>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</si>
  <si>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</si>
  <si>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</si>
  <si>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</si>
  <si>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</si>
  <si>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</si>
  <si>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</si>
  <si>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</si>
  <si>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</si>
  <si>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</si>
  <si>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</si>
  <si>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</si>
  <si>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</si>
  <si>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</si>
  <si>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</si>
  <si>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</si>
  <si>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</si>
  <si>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</si>
  <si>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</si>
  <si>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</si>
  <si>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</si>
  <si>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</si>
  <si>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0.08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</si>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</sst>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DAFFB88E-46D7-4B95-A237-3AF1AA76DC7D}"/>
    <cellStyle name="Hyperlink" xfId="2" builtinId="8"/>
    <cellStyle name="Normal" xfId="0" builtinId="0"/>
    <cellStyle name="Normal 2" xfId="4" xr:uid="{BB9BAE3D-C082-4808-8960-344483D7FB36}"/>
    <cellStyle name="Style 1" xfId="3" xr:uid="{2E1DEB2B-D309-4DBC-9E63-41598745A8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5</xdr:col>
      <xdr:colOff>504275</xdr:colOff>
      <xdr:row>145</xdr:row>
      <xdr:rowOff>137498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E3607-F3FB-4DD6-BD86-8BA72BB39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2325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8BEB-0AFA-471C-94EA-FC0979EDBAB4}">
  <dimension ref="A1:BC131"/>
  <sheetViews>
    <sheetView showGridLines="0" tabSelected="1" zoomScale="90" zoomScaleNormal="90" workbookViewId="0">
      <pane ySplit="6" topLeftCell="A127" activePane="bottomLeft" state="frozen"/>
      <selection activeCell="J4" sqref="J4"/>
      <selection pane="bottomLeft" activeCell="C130" sqref="C13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11224.5</v>
      </c>
      <c r="H10" s="34">
        <v>8.3800000000000008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9180.33</v>
      </c>
      <c r="H11" s="34">
        <v>6.85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550000</v>
      </c>
      <c r="G12" s="34">
        <v>8435.6299999999992</v>
      </c>
      <c r="H12" s="34">
        <v>6.3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325000</v>
      </c>
      <c r="G13" s="34">
        <v>7650.01</v>
      </c>
      <c r="H13" s="34">
        <v>5.71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525000</v>
      </c>
      <c r="G14" s="34">
        <v>4367.4799999999996</v>
      </c>
      <c r="H14" s="34">
        <v>3.26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200000</v>
      </c>
      <c r="G15" s="34">
        <v>4248.8</v>
      </c>
      <c r="H15" s="34">
        <v>3.17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650000</v>
      </c>
      <c r="G16" s="34">
        <v>3597.75</v>
      </c>
      <c r="H16" s="34">
        <v>2.69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23</v>
      </c>
      <c r="F17" s="33">
        <v>1525000</v>
      </c>
      <c r="G17" s="34">
        <v>3549.44</v>
      </c>
      <c r="H17" s="34">
        <v>2.65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75000</v>
      </c>
      <c r="G18" s="34">
        <v>3238.2</v>
      </c>
      <c r="H18" s="34">
        <v>2.42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110000</v>
      </c>
      <c r="G19" s="34">
        <v>3219.1</v>
      </c>
      <c r="H19" s="34">
        <v>2.4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200000</v>
      </c>
      <c r="G20" s="34">
        <v>3184.3</v>
      </c>
      <c r="H20" s="34">
        <v>2.38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7814</v>
      </c>
      <c r="G21" s="34">
        <v>3128.45</v>
      </c>
      <c r="H21" s="34">
        <v>2.34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400000</v>
      </c>
      <c r="G22" s="34">
        <v>3081.2</v>
      </c>
      <c r="H22" s="34">
        <v>2.2999999999999998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19</v>
      </c>
      <c r="F23" s="33">
        <v>275000</v>
      </c>
      <c r="G23" s="34">
        <v>2978.11</v>
      </c>
      <c r="H23" s="34">
        <v>2.2200000000000002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325000</v>
      </c>
      <c r="G24" s="34">
        <v>2968.06</v>
      </c>
      <c r="H24" s="34">
        <v>2.2200000000000002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3735646</v>
      </c>
      <c r="G25" s="34">
        <v>2915.67</v>
      </c>
      <c r="H25" s="34">
        <v>2.1800000000000002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145000</v>
      </c>
      <c r="G26" s="34">
        <v>2854.04</v>
      </c>
      <c r="H26" s="34">
        <v>2.13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800000</v>
      </c>
      <c r="G27" s="34">
        <v>2818.8</v>
      </c>
      <c r="H27" s="34">
        <v>2.1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204000</v>
      </c>
      <c r="G28" s="34">
        <v>2792.05</v>
      </c>
      <c r="H28" s="34">
        <v>2.08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27</v>
      </c>
      <c r="F29" s="33">
        <v>58000</v>
      </c>
      <c r="G29" s="34">
        <v>2718.78</v>
      </c>
      <c r="H29" s="34">
        <v>2.0299999999999998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79</v>
      </c>
      <c r="F30" s="33">
        <v>150000</v>
      </c>
      <c r="G30" s="34">
        <v>2651.63</v>
      </c>
      <c r="H30" s="34">
        <v>1.98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19</v>
      </c>
      <c r="F31" s="33">
        <v>1650000</v>
      </c>
      <c r="G31" s="34">
        <v>2569.88</v>
      </c>
      <c r="H31" s="34">
        <v>1.92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75</v>
      </c>
      <c r="F32" s="33">
        <v>1500000</v>
      </c>
      <c r="G32" s="34">
        <v>2567.25</v>
      </c>
      <c r="H32" s="34">
        <v>1.92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56</v>
      </c>
      <c r="F33" s="33">
        <v>325000</v>
      </c>
      <c r="G33" s="34">
        <v>2498.11</v>
      </c>
      <c r="H33" s="34">
        <v>1.87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27500</v>
      </c>
      <c r="G34" s="34">
        <v>2446.21</v>
      </c>
      <c r="H34" s="34">
        <v>1.83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106</v>
      </c>
      <c r="F35" s="33">
        <v>175000</v>
      </c>
      <c r="G35" s="34">
        <v>2412.81</v>
      </c>
      <c r="H35" s="34">
        <v>1.8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80000</v>
      </c>
      <c r="G36" s="34">
        <v>2337</v>
      </c>
      <c r="H36" s="34">
        <v>1.75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27</v>
      </c>
      <c r="F37" s="33">
        <v>65000</v>
      </c>
      <c r="G37" s="34">
        <v>2183.16</v>
      </c>
      <c r="H37" s="34">
        <v>1.63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71</v>
      </c>
      <c r="F38" s="33">
        <v>425000</v>
      </c>
      <c r="G38" s="34">
        <v>2116.9299999999998</v>
      </c>
      <c r="H38" s="34">
        <v>1.58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167743</v>
      </c>
      <c r="G39" s="34">
        <v>2061.48</v>
      </c>
      <c r="H39" s="34">
        <v>1.54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113</v>
      </c>
      <c r="F40" s="33">
        <v>89300</v>
      </c>
      <c r="G40" s="34">
        <v>1982.82</v>
      </c>
      <c r="H40" s="34">
        <v>1.48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27</v>
      </c>
      <c r="F41" s="33">
        <v>175000</v>
      </c>
      <c r="G41" s="34">
        <v>1963.85</v>
      </c>
      <c r="H41" s="34">
        <v>1.47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31</v>
      </c>
      <c r="F42" s="33">
        <v>800000</v>
      </c>
      <c r="G42" s="34">
        <v>1903.2</v>
      </c>
      <c r="H42" s="34">
        <v>1.42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19</v>
      </c>
      <c r="F43" s="33">
        <v>195000</v>
      </c>
      <c r="G43" s="34">
        <v>1699.62</v>
      </c>
      <c r="H43" s="34">
        <v>1.27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19</v>
      </c>
      <c r="F44" s="33">
        <v>550000</v>
      </c>
      <c r="G44" s="34">
        <v>1676.13</v>
      </c>
      <c r="H44" s="34">
        <v>1.25</v>
      </c>
      <c r="I44" s="35"/>
      <c r="J44" s="35"/>
      <c r="K44" s="36"/>
    </row>
    <row r="45" spans="2:11" x14ac:dyDescent="0.3">
      <c r="B45" s="1" t="s">
        <v>139</v>
      </c>
      <c r="C45" s="21" t="s">
        <v>140</v>
      </c>
      <c r="D45" s="31" t="s">
        <v>141</v>
      </c>
      <c r="E45" s="32" t="s">
        <v>87</v>
      </c>
      <c r="F45" s="33">
        <v>450000</v>
      </c>
      <c r="G45" s="34">
        <v>1602.23</v>
      </c>
      <c r="H45" s="34">
        <v>1.2</v>
      </c>
      <c r="I45" s="35"/>
      <c r="J45" s="35"/>
      <c r="K45" s="36"/>
    </row>
    <row r="46" spans="2:11" x14ac:dyDescent="0.3">
      <c r="B46" s="1" t="s">
        <v>142</v>
      </c>
      <c r="C46" s="21" t="s">
        <v>143</v>
      </c>
      <c r="D46" s="31" t="s">
        <v>144</v>
      </c>
      <c r="E46" s="32" t="s">
        <v>145</v>
      </c>
      <c r="F46" s="33">
        <v>317360</v>
      </c>
      <c r="G46" s="34">
        <v>1593.62</v>
      </c>
      <c r="H46" s="34">
        <v>1.19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9000</v>
      </c>
      <c r="G47" s="34">
        <v>1532.57</v>
      </c>
      <c r="H47" s="34">
        <v>1.1399999999999999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350000</v>
      </c>
      <c r="G48" s="34">
        <v>1510.43</v>
      </c>
      <c r="H48" s="34">
        <v>1.1299999999999999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19</v>
      </c>
      <c r="F49" s="33">
        <v>475000</v>
      </c>
      <c r="G49" s="34">
        <v>1443.76</v>
      </c>
      <c r="H49" s="34">
        <v>1.08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87</v>
      </c>
      <c r="F50" s="33">
        <v>400000</v>
      </c>
      <c r="G50" s="34">
        <v>1389.8</v>
      </c>
      <c r="H50" s="34">
        <v>1.04</v>
      </c>
      <c r="I50" s="35"/>
      <c r="J50" s="35"/>
      <c r="K50" s="36"/>
    </row>
    <row r="51" spans="2:11" x14ac:dyDescent="0.3">
      <c r="C51" s="30" t="s">
        <v>160</v>
      </c>
      <c r="D51" s="31"/>
      <c r="E51" s="32"/>
      <c r="F51" s="33"/>
      <c r="G51" s="38">
        <v>130293.19</v>
      </c>
      <c r="H51" s="38">
        <v>97.3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0" t="s">
        <v>161</v>
      </c>
      <c r="D53" s="31"/>
      <c r="E53" s="32"/>
      <c r="F53" s="33"/>
      <c r="G53" s="34" t="s">
        <v>162</v>
      </c>
      <c r="H53" s="34" t="s">
        <v>162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163</v>
      </c>
      <c r="D55" s="31"/>
      <c r="E55" s="32"/>
      <c r="F55" s="33"/>
      <c r="G55" s="34" t="s">
        <v>162</v>
      </c>
      <c r="H55" s="34" t="s">
        <v>162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164</v>
      </c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165</v>
      </c>
      <c r="D59" s="31"/>
      <c r="E59" s="32"/>
      <c r="F59" s="33"/>
      <c r="G59" s="34" t="s">
        <v>162</v>
      </c>
      <c r="H59" s="34" t="s">
        <v>162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166</v>
      </c>
      <c r="D61" s="31"/>
      <c r="E61" s="32"/>
      <c r="F61" s="33"/>
      <c r="G61" s="34" t="s">
        <v>162</v>
      </c>
      <c r="H61" s="34" t="s">
        <v>162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167</v>
      </c>
      <c r="D63" s="31"/>
      <c r="E63" s="32"/>
      <c r="F63" s="33"/>
      <c r="G63" s="34" t="s">
        <v>162</v>
      </c>
      <c r="H63" s="34" t="s">
        <v>162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168</v>
      </c>
      <c r="D65" s="31"/>
      <c r="E65" s="32"/>
      <c r="F65" s="33"/>
      <c r="G65" s="34" t="s">
        <v>162</v>
      </c>
      <c r="H65" s="34" t="s">
        <v>162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169</v>
      </c>
      <c r="D67" s="31"/>
      <c r="E67" s="32"/>
      <c r="F67" s="33"/>
      <c r="G67" s="34" t="s">
        <v>162</v>
      </c>
      <c r="H67" s="34" t="s">
        <v>162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170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171</v>
      </c>
      <c r="D71" s="31"/>
      <c r="E71" s="32"/>
      <c r="F71" s="33"/>
      <c r="G71" s="34" t="s">
        <v>162</v>
      </c>
      <c r="H71" s="34" t="s">
        <v>162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172</v>
      </c>
      <c r="D73" s="31"/>
      <c r="E73" s="32"/>
      <c r="F73" s="33"/>
      <c r="G73" s="34" t="s">
        <v>162</v>
      </c>
      <c r="H73" s="34" t="s">
        <v>162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173</v>
      </c>
      <c r="D75" s="31"/>
      <c r="E75" s="32"/>
      <c r="F75" s="33"/>
      <c r="G75" s="34" t="s">
        <v>162</v>
      </c>
      <c r="H75" s="34" t="s">
        <v>162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174</v>
      </c>
      <c r="D77" s="31"/>
      <c r="E77" s="32"/>
      <c r="F77" s="33"/>
      <c r="G77" s="34" t="s">
        <v>162</v>
      </c>
      <c r="H77" s="34" t="s">
        <v>162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175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176</v>
      </c>
      <c r="D80" s="31"/>
      <c r="E80" s="32"/>
      <c r="F80" s="33"/>
      <c r="G80" s="34" t="s">
        <v>162</v>
      </c>
      <c r="H80" s="34" t="s">
        <v>162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177</v>
      </c>
      <c r="D82" s="31"/>
      <c r="E82" s="32"/>
      <c r="F82" s="33"/>
      <c r="G82" s="34" t="s">
        <v>162</v>
      </c>
      <c r="H82" s="34" t="s">
        <v>162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178</v>
      </c>
      <c r="D84" s="31"/>
      <c r="E84" s="32"/>
      <c r="F84" s="33"/>
      <c r="G84" s="34" t="s">
        <v>162</v>
      </c>
      <c r="H84" s="34" t="s">
        <v>162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179</v>
      </c>
      <c r="D86" s="31"/>
      <c r="E86" s="32"/>
      <c r="F86" s="33"/>
      <c r="G86" s="34" t="s">
        <v>162</v>
      </c>
      <c r="H86" s="34" t="s">
        <v>162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7" t="s">
        <v>180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B89" s="1" t="s">
        <v>181</v>
      </c>
      <c r="C89" s="21" t="s">
        <v>182</v>
      </c>
      <c r="D89" s="31"/>
      <c r="E89" s="32"/>
      <c r="F89" s="33"/>
      <c r="G89" s="34">
        <v>4223.6899999999996</v>
      </c>
      <c r="H89" s="34">
        <v>3.15</v>
      </c>
      <c r="I89" s="35">
        <v>6.4121865622519998</v>
      </c>
      <c r="J89" s="35"/>
      <c r="K89" s="36"/>
    </row>
    <row r="90" spans="1:11" x14ac:dyDescent="0.3">
      <c r="C90" s="30" t="s">
        <v>160</v>
      </c>
      <c r="D90" s="31"/>
      <c r="E90" s="32"/>
      <c r="F90" s="33"/>
      <c r="G90" s="38">
        <v>4223.6899999999996</v>
      </c>
      <c r="H90" s="38">
        <v>3.15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8"/>
      <c r="B92" s="29"/>
      <c r="C92" s="30" t="s">
        <v>183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B93" s="1"/>
      <c r="C93" s="21" t="s">
        <v>184</v>
      </c>
      <c r="D93" s="31"/>
      <c r="E93" s="32"/>
      <c r="F93" s="33"/>
      <c r="G93" s="34">
        <v>-592.35</v>
      </c>
      <c r="H93" s="34">
        <v>-0.45</v>
      </c>
      <c r="I93" s="35"/>
      <c r="J93" s="35"/>
      <c r="K93" s="36"/>
    </row>
    <row r="94" spans="1:11" x14ac:dyDescent="0.3">
      <c r="C94" s="30" t="s">
        <v>160</v>
      </c>
      <c r="D94" s="31"/>
      <c r="E94" s="32"/>
      <c r="F94" s="33"/>
      <c r="G94" s="38">
        <v>-592.35</v>
      </c>
      <c r="H94" s="38">
        <v>-0.45</v>
      </c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ht="14.4" thickBot="1" x14ac:dyDescent="0.35">
      <c r="C96" s="39" t="s">
        <v>185</v>
      </c>
      <c r="D96" s="40"/>
      <c r="E96" s="41"/>
      <c r="F96" s="42"/>
      <c r="G96" s="43">
        <v>133924.53</v>
      </c>
      <c r="H96" s="43">
        <f>SUMIFS(H:H,C:C,"Total")</f>
        <v>100</v>
      </c>
      <c r="I96" s="44"/>
      <c r="J96" s="44"/>
      <c r="K96" s="45"/>
    </row>
    <row r="99" spans="3:55" x14ac:dyDescent="0.3">
      <c r="C99" s="11" t="s">
        <v>186</v>
      </c>
    </row>
    <row r="100" spans="3:55" x14ac:dyDescent="0.3">
      <c r="C100" s="2" t="s">
        <v>187</v>
      </c>
    </row>
    <row r="101" spans="3:55" x14ac:dyDescent="0.3">
      <c r="C101" s="46" t="s">
        <v>188</v>
      </c>
    </row>
    <row r="102" spans="3:55" x14ac:dyDescent="0.3">
      <c r="C102" s="2" t="s">
        <v>189</v>
      </c>
    </row>
    <row r="103" spans="3:55" x14ac:dyDescent="0.3">
      <c r="C103" s="2" t="s">
        <v>190</v>
      </c>
    </row>
    <row r="104" spans="3:55" x14ac:dyDescent="0.3">
      <c r="C104" s="2" t="s">
        <v>191</v>
      </c>
      <c r="D104" s="47"/>
      <c r="E104" s="47"/>
      <c r="F104" s="47"/>
      <c r="G104" s="48"/>
      <c r="H104" s="48"/>
    </row>
    <row r="105" spans="3:55" x14ac:dyDescent="0.3">
      <c r="C105" s="2" t="s">
        <v>192</v>
      </c>
    </row>
    <row r="106" spans="3:55" x14ac:dyDescent="0.3">
      <c r="C106" s="2" t="s">
        <v>193</v>
      </c>
    </row>
    <row r="107" spans="3:55" x14ac:dyDescent="0.3">
      <c r="C107" s="2" t="s">
        <v>194</v>
      </c>
    </row>
    <row r="108" spans="3:55" x14ac:dyDescent="0.3">
      <c r="C108" s="2" t="s">
        <v>195</v>
      </c>
    </row>
    <row r="109" spans="3:55" s="11" customFormat="1" x14ac:dyDescent="0.3">
      <c r="C109" s="11" t="s">
        <v>196</v>
      </c>
      <c r="E109" s="11" t="s">
        <v>197</v>
      </c>
      <c r="F109" s="49" t="s">
        <v>198</v>
      </c>
      <c r="G109" s="50"/>
      <c r="H109" s="50"/>
      <c r="I109" s="50"/>
      <c r="J109" s="50"/>
      <c r="K109" s="51"/>
      <c r="L109" s="51"/>
      <c r="M109" s="51"/>
      <c r="AJ109" s="51"/>
      <c r="AW109" s="51"/>
      <c r="AY109" s="51"/>
      <c r="BC109" s="51"/>
    </row>
    <row r="110" spans="3:55" x14ac:dyDescent="0.3">
      <c r="C110" s="2" t="s">
        <v>199</v>
      </c>
      <c r="E110" s="52">
        <v>10.0589</v>
      </c>
      <c r="F110" s="53">
        <v>9.8248999999999995</v>
      </c>
    </row>
    <row r="111" spans="3:55" x14ac:dyDescent="0.3">
      <c r="C111" s="2" t="s">
        <v>200</v>
      </c>
      <c r="E111" s="52">
        <v>10.0589</v>
      </c>
      <c r="F111" s="53">
        <v>9.8248999999999995</v>
      </c>
    </row>
    <row r="112" spans="3:55" x14ac:dyDescent="0.3">
      <c r="C112" s="2" t="s">
        <v>201</v>
      </c>
      <c r="E112" s="52">
        <v>10.1272</v>
      </c>
      <c r="F112" s="53">
        <v>9.9077000000000002</v>
      </c>
    </row>
    <row r="113" spans="3:6" x14ac:dyDescent="0.3">
      <c r="C113" s="2" t="s">
        <v>202</v>
      </c>
      <c r="E113" s="52">
        <v>10.1272</v>
      </c>
      <c r="F113" s="53">
        <v>9.9077000000000002</v>
      </c>
    </row>
    <row r="115" spans="3:6" x14ac:dyDescent="0.3">
      <c r="C115" s="2" t="s">
        <v>203</v>
      </c>
    </row>
    <row r="117" spans="3:6" x14ac:dyDescent="0.3">
      <c r="C117" s="2" t="s">
        <v>204</v>
      </c>
    </row>
    <row r="118" spans="3:6" x14ac:dyDescent="0.3">
      <c r="C118" s="2" t="s">
        <v>205</v>
      </c>
    </row>
    <row r="119" spans="3:6" x14ac:dyDescent="0.3">
      <c r="C119" s="2" t="s">
        <v>206</v>
      </c>
    </row>
    <row r="120" spans="3:6" x14ac:dyDescent="0.3">
      <c r="C120" s="2" t="s">
        <v>207</v>
      </c>
    </row>
    <row r="121" spans="3:6" x14ac:dyDescent="0.3">
      <c r="C121" s="2" t="s">
        <v>208</v>
      </c>
    </row>
    <row r="122" spans="3:6" x14ac:dyDescent="0.3">
      <c r="C122" s="2" t="s">
        <v>209</v>
      </c>
    </row>
    <row r="123" spans="3:6" x14ac:dyDescent="0.3">
      <c r="C123" s="2" t="s">
        <v>210</v>
      </c>
    </row>
    <row r="124" spans="3:6" x14ac:dyDescent="0.3">
      <c r="C124" s="2" t="s">
        <v>211</v>
      </c>
    </row>
    <row r="125" spans="3:6" x14ac:dyDescent="0.3">
      <c r="C125" s="2" t="s">
        <v>212</v>
      </c>
    </row>
    <row r="126" spans="3:6" x14ac:dyDescent="0.3">
      <c r="C126" s="2" t="s">
        <v>213</v>
      </c>
    </row>
    <row r="127" spans="3:6" x14ac:dyDescent="0.3">
      <c r="C127" s="2" t="s">
        <v>214</v>
      </c>
    </row>
    <row r="128" spans="3:6" x14ac:dyDescent="0.3">
      <c r="C128" s="2" t="s">
        <v>215</v>
      </c>
    </row>
    <row r="129" spans="3:11" ht="14.4" x14ac:dyDescent="0.3">
      <c r="C129" s="54"/>
      <c r="D129" s="54"/>
      <c r="E129" s="55"/>
      <c r="F129" s="55"/>
      <c r="G129" s="55"/>
      <c r="H129" s="55"/>
      <c r="I129" s="55"/>
      <c r="J129" s="55"/>
      <c r="K129" s="55"/>
    </row>
    <row r="130" spans="3:11" ht="14.4" x14ac:dyDescent="0.3">
      <c r="C130" s="55"/>
      <c r="D130" s="55"/>
      <c r="E130" s="55"/>
      <c r="F130" s="55"/>
      <c r="G130" s="55"/>
      <c r="H130" s="55"/>
      <c r="I130" s="55"/>
      <c r="J130" s="55"/>
      <c r="K130" s="55"/>
    </row>
    <row r="131" spans="3:11" ht="14.4" x14ac:dyDescent="0.3">
      <c r="C131" s="55"/>
      <c r="D131" s="55"/>
      <c r="E131" s="55"/>
      <c r="F131" s="55"/>
      <c r="G131" s="55"/>
      <c r="H131" s="55"/>
      <c r="I131" s="55"/>
      <c r="J131" s="55"/>
      <c r="K13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XDO_?CLASS_3?14?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XDO_?NAMCNAME?14?</vt:lpstr>
      <vt:lpstr>XDO_?NOVAL?59?</vt:lpstr>
      <vt:lpstr>XDO_?NOVAL?60?</vt:lpstr>
      <vt:lpstr>XDO_?NOVAL?61?</vt:lpstr>
      <vt:lpstr>XDO_?NPTF?14?</vt:lpstr>
      <vt:lpstr>XDO_?RATING?59?</vt:lpstr>
      <vt:lpstr>XDO_?RATING?60?</vt:lpstr>
      <vt:lpstr>XDO_?RATING?61?</vt:lpstr>
      <vt:lpstr>XDO_?REMARKS?59?</vt:lpstr>
      <vt:lpstr>XDO_?REMARKS?60?</vt:lpstr>
      <vt:lpstr>XDO_?REMARKS?61?</vt:lpstr>
      <vt:lpstr>XDO_?TITL?14?</vt:lpstr>
      <vt:lpstr>XDO_?YTM?59?</vt:lpstr>
      <vt:lpstr>XDO_?YTM?60?</vt:lpstr>
      <vt:lpstr>XDO_?YTM?61?</vt:lpstr>
      <vt:lpstr>XDO_GROUP_?G_2?14?</vt:lpstr>
      <vt:lpstr>XDO_GROUP_?G_3?14?</vt:lpstr>
      <vt:lpstr>XDO_GROUP_?G_4?59?</vt:lpstr>
      <vt:lpstr>XDO_GROUP_?G_4?60?</vt:lpstr>
      <vt:lpstr>XDO_GROUP_?G_4?61?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2023-02-06T13:49:39Z</dcterms:created>
  <dcterms:modified xsi:type="dcterms:W3CDTF">2023-02-09T12:15:33Z</dcterms:modified>
</cp:coreProperties>
</file>