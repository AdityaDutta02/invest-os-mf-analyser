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Janaury 2023\Monthly Portfolio\BOBNPMF_ Monthly Portfolio_Report 31st January 2023_split\Equity\"/>
    </mc:Choice>
  </mc:AlternateContent>
  <xr:revisionPtr revIDLastSave="0" documentId="13_ncr:1_{7BD3B76F-A210-4BAD-8ECB-EBA6D7EEF145}" xr6:coauthVersionLast="47" xr6:coauthVersionMax="47" xr10:uidLastSave="{00000000-0000-0000-0000-000000000000}"/>
  <bookViews>
    <workbookView xWindow="-108" yWindow="-108" windowWidth="23256" windowHeight="12576" xr2:uid="{58E57244-D1FE-47F4-9507-E7919818D0C3}"/>
  </bookViews>
  <sheets>
    <sheet name="FO" sheetId="1" r:id="rId1"/>
  </sheets>
  <externalReferences>
    <externalReference r:id="rId2"/>
  </externalReferences>
  <definedNames>
    <definedName name="XDO_?CLASS_3?11?">FO!$C$8:$C$33</definedName>
    <definedName name="XDO_?FINAL_ISIN?50?">FO!$D$10:$D$33</definedName>
    <definedName name="XDO_?FINAL_ISIN?51?">FO!$D$10:$D$72</definedName>
    <definedName name="XDO_?FINAL_ISIN?52?">FO!$D$10:$D$76</definedName>
    <definedName name="XDO_?FINAL_MV?50?">FO!$G$10:$G$33</definedName>
    <definedName name="XDO_?FINAL_MV?51?">FO!$G$10:$G$72</definedName>
    <definedName name="XDO_?FINAL_MV?52?">FO!$G$10:$G$76</definedName>
    <definedName name="XDO_?FINAL_NAME?50?">FO!$C$10:$C$33</definedName>
    <definedName name="XDO_?FINAL_NAME?51?">FO!$C$10:$C$72</definedName>
    <definedName name="XDO_?FINAL_NAME?52?">FO!$C$10:$C$76</definedName>
    <definedName name="XDO_?FINAL_PER_NET?50?">FO!$H$10:$H$33</definedName>
    <definedName name="XDO_?FINAL_PER_NET?51?">FO!$H$10:$H$72</definedName>
    <definedName name="XDO_?FINAL_PER_NET?52?">FO!$H$10:$H$76</definedName>
    <definedName name="XDO_?FINAL_QUANTITE?50?">FO!$F$10:$F$33</definedName>
    <definedName name="XDO_?FINAL_QUANTITE?51?">FO!$F$10:$F$72</definedName>
    <definedName name="XDO_?FINAL_QUANTITE?52?">FO!$F$10:$F$76</definedName>
    <definedName name="XDO_?NAMC?">[1]MT!#REF!</definedName>
    <definedName name="XDO_?NAMC?1?">[1]LW!#REF!</definedName>
    <definedName name="XDO_?NAMC?10?">[1]SE!#REF!</definedName>
    <definedName name="XDO_?NAMC?11?">FO!#REF!</definedName>
    <definedName name="XDO_?NAMC?12?">[1]IC!#REF!</definedName>
    <definedName name="XDO_?NAMC?13?">[1]AF!#REF!</definedName>
    <definedName name="XDO_?NAMC?14?">[1]FX!#REF!</definedName>
    <definedName name="XDO_?NAMC?15?">[1]MA!#REF!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1?">FO!$C$2:$C$33</definedName>
    <definedName name="XDO_?NDATE?">[1]MT!#REF!</definedName>
    <definedName name="XDO_?NDATE?1?">[1]LW!#REF!</definedName>
    <definedName name="XDO_?NDATE?10?">[1]SE!#REF!</definedName>
    <definedName name="XDO_?NDATE?11?">FO!#REF!</definedName>
    <definedName name="XDO_?NDATE?12?">[1]IC!#REF!</definedName>
    <definedName name="XDO_?NDATE?13?">[1]AF!#REF!</definedName>
    <definedName name="XDO_?NDATE?14?">[1]FX!#REF!</definedName>
    <definedName name="XDO_?NDATE?15?">[1]MA!#REF!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FO!#REF!</definedName>
    <definedName name="XDO_?NNPTF?12?">[1]IC!#REF!</definedName>
    <definedName name="XDO_?NNPTF?13?">[1]AF!#REF!</definedName>
    <definedName name="XDO_?NNPTF?14?">[1]FX!#REF!</definedName>
    <definedName name="XDO_?NNPTF?15?">[1]MA!#REF!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50?">FO!$B$10:$B$33</definedName>
    <definedName name="XDO_?NOVAL?51?">FO!$B$10:$B$72</definedName>
    <definedName name="XDO_?NOVAL?52?">FO!$B$10:$B$76</definedName>
    <definedName name="XDO_?NPTF?11?">FO!$D$2:$D$33</definedName>
    <definedName name="XDO_?RATING?50?">FO!$E$10:$E$33</definedName>
    <definedName name="XDO_?RATING?51?">FO!$E$10:$E$72</definedName>
    <definedName name="XDO_?RATING?52?">FO!$E$10:$E$76</definedName>
    <definedName name="XDO_?REMARKS?50?">FO!$K$10:$K$33</definedName>
    <definedName name="XDO_?REMARKS?51?">FO!$K$10:$K$72</definedName>
    <definedName name="XDO_?REMARKS?52?">FO!$K$10:$K$76</definedName>
    <definedName name="XDO_?TITL?11?">FO!$A$8:$A$33</definedName>
    <definedName name="XDO_?YTM?50?">FO!$I$10:$I$33</definedName>
    <definedName name="XDO_?YTM?51?">FO!$I$10:$I$72</definedName>
    <definedName name="XDO_?YTM?52?">FO!$I$10:$I$76</definedName>
    <definedName name="XDO_GROUP_?G_2?11?">FO!$2:$44</definedName>
    <definedName name="XDO_GROUP_?G_3?11?">FO!$8:$43</definedName>
    <definedName name="XDO_GROUP_?G_4?114?">[1]ON!#REF!</definedName>
    <definedName name="XDO_GROUP_?G_4?28?">[1]TA!#REF!</definedName>
    <definedName name="XDO_GROUP_?G_4?50?">FO!$B$10:$IV$33</definedName>
    <definedName name="XDO_GROUP_?G_4?51?">FO!$B$38:$IV$38</definedName>
    <definedName name="XDO_GROUP_?G_4?52?">FO!$B$41:$IV$41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9" i="1" l="1"/>
</calcChain>
</file>

<file path=xl/sharedStrings.xml><?xml version="1.0" encoding="utf-8"?>
<sst xmlns="http://schemas.openxmlformats.org/spreadsheetml/2006/main" count="199" uniqueCount="160">
  <si>
    <t>Baroda BNP Paribas Mutual Fund</t>
  </si>
  <si>
    <t>T0ME20</t>
  </si>
  <si>
    <t>SCHEME NAME :</t>
  </si>
  <si>
    <t xml:space="preserve">Baroda BNP Paribas Focused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</si>
  <si>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</si>
  <si>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</si>
  <si>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</si>
  <si>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</si>
  <si>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</si>
  <si>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</si>
  <si>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</si>
  <si>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</si>
  <si>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</si>
  <si>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</si>
  <si>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</si>
  <si>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</si>
  <si>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</si>
  <si>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</si>
  <si>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</si>
  <si>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</si>
  <si>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</si>
  <si>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</si>
  <si>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</si>
  <si>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</si>
  <si>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</si>
  <si>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</si>
  <si>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</si>
  <si>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100001</t>
  </si>
  <si>
    <t>Housing Development Finance Corporation Ltd.</t>
  </si>
  <si>
    <t>INE001A01036</t>
  </si>
  <si>
    <t>Finance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</si>
  <si>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</si>
  <si>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</si>
  <si>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</si>
  <si>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</si>
  <si>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</si>
  <si>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</si>
  <si>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</si>
  <si>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</si>
  <si>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100095</t>
  </si>
  <si>
    <t>Bharti Airtel Ltd.</t>
  </si>
  <si>
    <t>INE397D01024</t>
  </si>
  <si>
    <t>Telecom - Services</t>
  </si>
  <si>
    <t>100115</t>
  </si>
  <si>
    <t>Siemens Ltd.</t>
  </si>
  <si>
    <t>INE003A01024</t>
  </si>
  <si>
    <t>Electrical Equipment</t>
  </si>
  <si>
    <t>100036</t>
  </si>
  <si>
    <t>Mahindra &amp; Mahindra Financial Services Ltd.</t>
  </si>
  <si>
    <t>INE774D01024</t>
  </si>
  <si>
    <t>100024</t>
  </si>
  <si>
    <t>Axis Bank Ltd.</t>
  </si>
  <si>
    <t>INE238A01034</t>
  </si>
  <si>
    <t>100010</t>
  </si>
  <si>
    <t>State Bank of India</t>
  </si>
  <si>
    <t>INE062A01020</t>
  </si>
  <si>
    <t>100843</t>
  </si>
  <si>
    <t>Dalmia Bharat Ltd.</t>
  </si>
  <si>
    <t>INE00R701025</t>
  </si>
  <si>
    <t>Cement &amp; Cement Products</t>
  </si>
  <si>
    <t>100453</t>
  </si>
  <si>
    <t>RBL Bank Ltd.</t>
  </si>
  <si>
    <t>INE976G01028</t>
  </si>
  <si>
    <t>100268</t>
  </si>
  <si>
    <t>NLC India Ltd.</t>
  </si>
  <si>
    <t>INE589A01014</t>
  </si>
  <si>
    <t>Power</t>
  </si>
  <si>
    <t>100089</t>
  </si>
  <si>
    <t>Bharat Electronics Ltd.</t>
  </si>
  <si>
    <t>INE263A01024</t>
  </si>
  <si>
    <t>Aerospace &amp; Defense</t>
  </si>
  <si>
    <t>100181</t>
  </si>
  <si>
    <t>NTPC Ltd.</t>
  </si>
  <si>
    <t>INE733E01010</t>
  </si>
  <si>
    <t>100586</t>
  </si>
  <si>
    <t>Ratnamani Metals &amp; Tubes Ltd.</t>
  </si>
  <si>
    <t>INE703B01027</t>
  </si>
  <si>
    <t>Industrial Products</t>
  </si>
  <si>
    <t>100026</t>
  </si>
  <si>
    <t>Persistent Systems Ltd.</t>
  </si>
  <si>
    <t>INE262H01013</t>
  </si>
  <si>
    <t>100035</t>
  </si>
  <si>
    <t>NMDC Ltd.</t>
  </si>
  <si>
    <t>INE584A01023</t>
  </si>
  <si>
    <t>Minerals &amp; Mining</t>
  </si>
  <si>
    <t>100242</t>
  </si>
  <si>
    <t>Schaeffler India Ltd.</t>
  </si>
  <si>
    <t>INE513A01022</t>
  </si>
  <si>
    <t>Auto Components</t>
  </si>
  <si>
    <t>100270</t>
  </si>
  <si>
    <t>PI Industries Ltd.</t>
  </si>
  <si>
    <t>INE603J01030</t>
  </si>
  <si>
    <t>Fertilizers &amp; Agrochemicals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</si>
  <si>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</si>
  <si>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</si>
  <si>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</si>
  <si>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</si>
  <si>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</si>
  <si>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</si>
  <si>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</si>
  <si>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100019</t>
  </si>
  <si>
    <t>ITC Ltd.</t>
  </si>
  <si>
    <t>INE154A01025</t>
  </si>
  <si>
    <t>Diversified FMCG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</si>
  <si>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</si>
  <si>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</si>
  <si>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</si>
  <si>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</si>
  <si>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</si>
  <si>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</si>
  <si>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</si>
  <si>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</si>
  <si>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</si>
  <si>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</si>
  <si>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</si>
  <si>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</si>
  <si>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</si>
  <si>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</si>
  <si>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</si>
  <si>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</si>
  <si>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</si>
  <si>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</si>
  <si>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</si>
  <si>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</si>
  <si>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</si>
  <si>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</si>
  <si>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</si>
  <si>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</si>
  <si>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</si>
  <si>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</si>
  <si>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</si>
  <si>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</si>
  <si>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</si>
  <si>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</si>
  <si>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</si>
  <si>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</si>
  <si>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</si>
  <si>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</si>
  <si>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</si>
  <si>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</si>
  <si>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</si>
  <si>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</si>
  <si>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</si>
  <si>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</si>
  <si>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</si>
  <si>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</si>
  <si>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</si>
  <si>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January 31, 2023</t>
  </si>
  <si>
    <t>(9) There were no investments made in derivative instruments and no such derivative instrument was squared off/ expired /exercised during the Month ended January 31, 2023. Further there are no investments in derivative instruments as on January 31, 2023.</t>
  </si>
  <si>
    <t>(10) Total Market value of investments in Foreign Securities/American Depositary Receipts/Global Depositary Receipts as at  January 31, 2023 is Rs. Nil.</t>
  </si>
  <si>
    <t>(11)  During the period, the portfolio turnover ratio is  0.13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</si>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</sst>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</cellXfs>
  <cellStyles count="6">
    <cellStyle name="Comma" xfId="1" builtinId="3"/>
    <cellStyle name="Comma 2" xfId="5" xr:uid="{7E48ECFA-936D-4A09-A207-ECA5741B61AB}"/>
    <cellStyle name="Hyperlink" xfId="2" builtinId="8"/>
    <cellStyle name="Normal" xfId="0" builtinId="0"/>
    <cellStyle name="Normal 2" xfId="4" xr:uid="{5ACBB3A6-13C8-424A-A89E-104293F4BD8B}"/>
    <cellStyle name="Style 1" xfId="3" xr:uid="{053923C1-A5D1-4258-8C6F-998AE057D9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5</xdr:col>
      <xdr:colOff>504275</xdr:colOff>
      <xdr:row>127</xdr:row>
      <xdr:rowOff>126322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25CEBC-2561-41B8-895D-0DE1C3CBF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0209933"/>
          <a:ext cx="7455408" cy="28102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FBBD8-CAF8-4E54-84F5-E33FA714C6F0}">
  <dimension ref="A1:BC114"/>
  <sheetViews>
    <sheetView showGridLines="0" tabSelected="1" zoomScale="90" zoomScaleNormal="90" workbookViewId="0">
      <pane ySplit="6" topLeftCell="A105" activePane="bottomLeft" state="frozen"/>
      <selection activeCell="J4" sqref="J4"/>
      <selection pane="bottomLeft" activeCell="C113" sqref="C11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175000</v>
      </c>
      <c r="G10" s="34">
        <v>2806.13</v>
      </c>
      <c r="H10" s="34">
        <v>9.44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19</v>
      </c>
      <c r="F11" s="33">
        <v>265000</v>
      </c>
      <c r="G11" s="34">
        <v>2204.54</v>
      </c>
      <c r="H11" s="34">
        <v>7.41</v>
      </c>
      <c r="I11" s="35"/>
      <c r="J11" s="35"/>
      <c r="K11" s="36"/>
    </row>
    <row r="12" spans="1:55" x14ac:dyDescent="0.3">
      <c r="B12" s="1" t="s">
        <v>23</v>
      </c>
      <c r="C12" s="21" t="s">
        <v>24</v>
      </c>
      <c r="D12" s="31" t="s">
        <v>25</v>
      </c>
      <c r="E12" s="32" t="s">
        <v>26</v>
      </c>
      <c r="F12" s="33">
        <v>85000</v>
      </c>
      <c r="G12" s="34">
        <v>1805.74</v>
      </c>
      <c r="H12" s="34">
        <v>6.07</v>
      </c>
      <c r="I12" s="35"/>
      <c r="J12" s="35"/>
      <c r="K12" s="36"/>
    </row>
    <row r="13" spans="1:55" x14ac:dyDescent="0.3">
      <c r="B13" s="1" t="s">
        <v>27</v>
      </c>
      <c r="C13" s="21" t="s">
        <v>28</v>
      </c>
      <c r="D13" s="31" t="s">
        <v>29</v>
      </c>
      <c r="E13" s="32" t="s">
        <v>30</v>
      </c>
      <c r="F13" s="33">
        <v>60000</v>
      </c>
      <c r="G13" s="34">
        <v>1573.77</v>
      </c>
      <c r="H13" s="34">
        <v>5.29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100000</v>
      </c>
      <c r="G14" s="34">
        <v>1533.75</v>
      </c>
      <c r="H14" s="34">
        <v>5.16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60000</v>
      </c>
      <c r="G15" s="34">
        <v>1412.31</v>
      </c>
      <c r="H15" s="34">
        <v>4.75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42</v>
      </c>
      <c r="F16" s="33">
        <v>165000</v>
      </c>
      <c r="G16" s="34">
        <v>1271</v>
      </c>
      <c r="H16" s="34">
        <v>4.2699999999999996</v>
      </c>
      <c r="I16" s="35"/>
      <c r="J16" s="35"/>
      <c r="K16" s="36"/>
    </row>
    <row r="17" spans="2:11" x14ac:dyDescent="0.3">
      <c r="B17" s="1" t="s">
        <v>43</v>
      </c>
      <c r="C17" s="21" t="s">
        <v>44</v>
      </c>
      <c r="D17" s="31" t="s">
        <v>45</v>
      </c>
      <c r="E17" s="32" t="s">
        <v>46</v>
      </c>
      <c r="F17" s="33">
        <v>40000</v>
      </c>
      <c r="G17" s="34">
        <v>1170.58</v>
      </c>
      <c r="H17" s="34">
        <v>3.94</v>
      </c>
      <c r="I17" s="35"/>
      <c r="J17" s="35"/>
      <c r="K17" s="36"/>
    </row>
    <row r="18" spans="2:11" x14ac:dyDescent="0.3">
      <c r="B18" s="1" t="s">
        <v>47</v>
      </c>
      <c r="C18" s="21" t="s">
        <v>48</v>
      </c>
      <c r="D18" s="31" t="s">
        <v>49</v>
      </c>
      <c r="E18" s="32" t="s">
        <v>30</v>
      </c>
      <c r="F18" s="33">
        <v>500000</v>
      </c>
      <c r="G18" s="34">
        <v>1163.75</v>
      </c>
      <c r="H18" s="34">
        <v>3.91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19</v>
      </c>
      <c r="F19" s="33">
        <v>130000</v>
      </c>
      <c r="G19" s="34">
        <v>1133.08</v>
      </c>
      <c r="H19" s="34">
        <v>3.81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19</v>
      </c>
      <c r="F20" s="33">
        <v>200000</v>
      </c>
      <c r="G20" s="34">
        <v>1107</v>
      </c>
      <c r="H20" s="34">
        <v>3.72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62500</v>
      </c>
      <c r="G21" s="34">
        <v>1104.8399999999999</v>
      </c>
      <c r="H21" s="34">
        <v>3.72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19</v>
      </c>
      <c r="F22" s="33">
        <v>675000</v>
      </c>
      <c r="G22" s="34">
        <v>1051.31</v>
      </c>
      <c r="H22" s="34">
        <v>3.54</v>
      </c>
      <c r="I22" s="35"/>
      <c r="J22" s="35"/>
      <c r="K22" s="36"/>
    </row>
    <row r="23" spans="2:11" x14ac:dyDescent="0.3">
      <c r="B23" s="1" t="s">
        <v>63</v>
      </c>
      <c r="C23" s="21" t="s">
        <v>64</v>
      </c>
      <c r="D23" s="31" t="s">
        <v>65</v>
      </c>
      <c r="E23" s="32" t="s">
        <v>66</v>
      </c>
      <c r="F23" s="33">
        <v>1267823</v>
      </c>
      <c r="G23" s="34">
        <v>989.54</v>
      </c>
      <c r="H23" s="34">
        <v>3.33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1000000</v>
      </c>
      <c r="G24" s="34">
        <v>949.5</v>
      </c>
      <c r="H24" s="34">
        <v>3.19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66</v>
      </c>
      <c r="F25" s="33">
        <v>550000</v>
      </c>
      <c r="G25" s="34">
        <v>941.33</v>
      </c>
      <c r="H25" s="34">
        <v>3.17</v>
      </c>
      <c r="I25" s="35"/>
      <c r="J25" s="35"/>
      <c r="K25" s="36"/>
    </row>
    <row r="26" spans="2:11" x14ac:dyDescent="0.3">
      <c r="B26" s="1" t="s">
        <v>74</v>
      </c>
      <c r="C26" s="21" t="s">
        <v>75</v>
      </c>
      <c r="D26" s="31" t="s">
        <v>76</v>
      </c>
      <c r="E26" s="32" t="s">
        <v>77</v>
      </c>
      <c r="F26" s="33">
        <v>42000</v>
      </c>
      <c r="G26" s="34">
        <v>932.57</v>
      </c>
      <c r="H26" s="34">
        <v>3.14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34</v>
      </c>
      <c r="F27" s="33">
        <v>19000</v>
      </c>
      <c r="G27" s="34">
        <v>890.63</v>
      </c>
      <c r="H27" s="34">
        <v>3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700000</v>
      </c>
      <c r="G28" s="34">
        <v>862.05</v>
      </c>
      <c r="H28" s="34">
        <v>2.9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30000</v>
      </c>
      <c r="G29" s="34">
        <v>807.57</v>
      </c>
      <c r="H29" s="34">
        <v>2.72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26000</v>
      </c>
      <c r="G30" s="34">
        <v>779.31</v>
      </c>
      <c r="H30" s="34">
        <v>2.62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50000</v>
      </c>
      <c r="G31" s="34">
        <v>689.38</v>
      </c>
      <c r="H31" s="34">
        <v>2.3199999999999998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96</v>
      </c>
      <c r="F32" s="33">
        <v>7500</v>
      </c>
      <c r="G32" s="34">
        <v>667.15</v>
      </c>
      <c r="H32" s="34">
        <v>2.2400000000000002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175000</v>
      </c>
      <c r="G33" s="34">
        <v>616.61</v>
      </c>
      <c r="H33" s="34">
        <v>2.0699999999999998</v>
      </c>
      <c r="I33" s="35"/>
      <c r="J33" s="35"/>
      <c r="K33" s="36"/>
    </row>
    <row r="34" spans="2:11" x14ac:dyDescent="0.3">
      <c r="C34" s="30" t="s">
        <v>104</v>
      </c>
      <c r="D34" s="31"/>
      <c r="E34" s="32"/>
      <c r="F34" s="33"/>
      <c r="G34" s="38">
        <v>28463.439999999999</v>
      </c>
      <c r="H34" s="38">
        <v>95.73</v>
      </c>
      <c r="I34" s="35"/>
      <c r="J34" s="35"/>
      <c r="K34" s="36"/>
    </row>
    <row r="35" spans="2:11" x14ac:dyDescent="0.3">
      <c r="C35" s="21"/>
      <c r="D35" s="31"/>
      <c r="E35" s="32"/>
      <c r="F35" s="33"/>
      <c r="G35" s="34"/>
      <c r="H35" s="34"/>
      <c r="I35" s="35"/>
      <c r="J35" s="35"/>
      <c r="K35" s="36"/>
    </row>
    <row r="36" spans="2:11" x14ac:dyDescent="0.3">
      <c r="C36" s="30" t="s">
        <v>105</v>
      </c>
      <c r="D36" s="31"/>
      <c r="E36" s="32"/>
      <c r="F36" s="33"/>
      <c r="G36" s="34" t="s">
        <v>106</v>
      </c>
      <c r="H36" s="34" t="s">
        <v>106</v>
      </c>
      <c r="I36" s="35"/>
      <c r="J36" s="35"/>
      <c r="K36" s="36"/>
    </row>
    <row r="37" spans="2:11" x14ac:dyDescent="0.3">
      <c r="C37" s="21"/>
      <c r="D37" s="31"/>
      <c r="E37" s="32"/>
      <c r="F37" s="33"/>
      <c r="G37" s="34"/>
      <c r="H37" s="34"/>
      <c r="I37" s="35"/>
      <c r="J37" s="35"/>
      <c r="K37" s="36"/>
    </row>
    <row r="38" spans="2:11" x14ac:dyDescent="0.3">
      <c r="C38" s="30" t="s">
        <v>107</v>
      </c>
      <c r="D38" s="31"/>
      <c r="E38" s="32"/>
      <c r="F38" s="33"/>
      <c r="G38" s="34" t="s">
        <v>106</v>
      </c>
      <c r="H38" s="34" t="s">
        <v>106</v>
      </c>
      <c r="I38" s="35"/>
      <c r="J38" s="35"/>
      <c r="K38" s="36"/>
    </row>
    <row r="39" spans="2:11" x14ac:dyDescent="0.3">
      <c r="C39" s="21"/>
      <c r="D39" s="31"/>
      <c r="E39" s="32"/>
      <c r="F39" s="33"/>
      <c r="G39" s="34"/>
      <c r="H39" s="34"/>
      <c r="I39" s="35"/>
      <c r="J39" s="35"/>
      <c r="K39" s="36"/>
    </row>
    <row r="40" spans="2:11" x14ac:dyDescent="0.3">
      <c r="C40" s="30" t="s">
        <v>108</v>
      </c>
      <c r="D40" s="31"/>
      <c r="E40" s="32"/>
      <c r="F40" s="33"/>
      <c r="G40" s="34"/>
      <c r="H40" s="34"/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109</v>
      </c>
      <c r="D42" s="31"/>
      <c r="E42" s="32"/>
      <c r="F42" s="33"/>
      <c r="G42" s="34" t="s">
        <v>106</v>
      </c>
      <c r="H42" s="34" t="s">
        <v>106</v>
      </c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110</v>
      </c>
      <c r="D44" s="31"/>
      <c r="E44" s="32"/>
      <c r="F44" s="33"/>
      <c r="G44" s="34" t="s">
        <v>106</v>
      </c>
      <c r="H44" s="34" t="s">
        <v>106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0" t="s">
        <v>111</v>
      </c>
      <c r="D46" s="31"/>
      <c r="E46" s="32"/>
      <c r="F46" s="33"/>
      <c r="G46" s="34" t="s">
        <v>106</v>
      </c>
      <c r="H46" s="34" t="s">
        <v>106</v>
      </c>
      <c r="I46" s="35"/>
      <c r="J46" s="35"/>
      <c r="K46" s="36"/>
    </row>
    <row r="47" spans="2:11" x14ac:dyDescent="0.3">
      <c r="C47" s="21"/>
      <c r="D47" s="31"/>
      <c r="E47" s="32"/>
      <c r="F47" s="33"/>
      <c r="G47" s="34"/>
      <c r="H47" s="34"/>
      <c r="I47" s="35"/>
      <c r="J47" s="35"/>
      <c r="K47" s="36"/>
    </row>
    <row r="48" spans="2:11" x14ac:dyDescent="0.3">
      <c r="C48" s="30" t="s">
        <v>112</v>
      </c>
      <c r="D48" s="31"/>
      <c r="E48" s="32"/>
      <c r="F48" s="33"/>
      <c r="G48" s="34" t="s">
        <v>106</v>
      </c>
      <c r="H48" s="34" t="s">
        <v>106</v>
      </c>
      <c r="I48" s="35"/>
      <c r="J48" s="35"/>
      <c r="K48" s="36"/>
    </row>
    <row r="49" spans="1:11" x14ac:dyDescent="0.3">
      <c r="C49" s="21"/>
      <c r="D49" s="31"/>
      <c r="E49" s="32"/>
      <c r="F49" s="33"/>
      <c r="G49" s="34"/>
      <c r="H49" s="34"/>
      <c r="I49" s="35"/>
      <c r="J49" s="35"/>
      <c r="K49" s="36"/>
    </row>
    <row r="50" spans="1:11" x14ac:dyDescent="0.3">
      <c r="C50" s="30" t="s">
        <v>113</v>
      </c>
      <c r="D50" s="31"/>
      <c r="E50" s="32"/>
      <c r="F50" s="33"/>
      <c r="G50" s="34" t="s">
        <v>106</v>
      </c>
      <c r="H50" s="34" t="s">
        <v>106</v>
      </c>
      <c r="I50" s="35"/>
      <c r="J50" s="35"/>
      <c r="K50" s="36"/>
    </row>
    <row r="51" spans="1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1:11" x14ac:dyDescent="0.3">
      <c r="C52" s="30" t="s">
        <v>114</v>
      </c>
      <c r="D52" s="31"/>
      <c r="E52" s="32"/>
      <c r="F52" s="33"/>
      <c r="G52" s="34"/>
      <c r="H52" s="34"/>
      <c r="I52" s="35"/>
      <c r="J52" s="35"/>
      <c r="K52" s="36"/>
    </row>
    <row r="53" spans="1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1:11" x14ac:dyDescent="0.3">
      <c r="C54" s="30" t="s">
        <v>115</v>
      </c>
      <c r="D54" s="31"/>
      <c r="E54" s="32"/>
      <c r="F54" s="33"/>
      <c r="G54" s="34" t="s">
        <v>106</v>
      </c>
      <c r="H54" s="34" t="s">
        <v>106</v>
      </c>
      <c r="I54" s="35"/>
      <c r="J54" s="35"/>
      <c r="K54" s="36"/>
    </row>
    <row r="55" spans="1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1:11" x14ac:dyDescent="0.3">
      <c r="C56" s="30" t="s">
        <v>116</v>
      </c>
      <c r="D56" s="31"/>
      <c r="E56" s="32"/>
      <c r="F56" s="33"/>
      <c r="G56" s="34" t="s">
        <v>106</v>
      </c>
      <c r="H56" s="34" t="s">
        <v>106</v>
      </c>
      <c r="I56" s="35"/>
      <c r="J56" s="35"/>
      <c r="K56" s="36"/>
    </row>
    <row r="57" spans="1:11" x14ac:dyDescent="0.3">
      <c r="C57" s="21"/>
      <c r="D57" s="31"/>
      <c r="E57" s="32"/>
      <c r="F57" s="33"/>
      <c r="G57" s="34"/>
      <c r="H57" s="34"/>
      <c r="I57" s="35"/>
      <c r="J57" s="35"/>
      <c r="K57" s="36"/>
    </row>
    <row r="58" spans="1:11" x14ac:dyDescent="0.3">
      <c r="C58" s="30" t="s">
        <v>117</v>
      </c>
      <c r="D58" s="31"/>
      <c r="E58" s="32"/>
      <c r="F58" s="33"/>
      <c r="G58" s="34" t="s">
        <v>106</v>
      </c>
      <c r="H58" s="34" t="s">
        <v>106</v>
      </c>
      <c r="I58" s="35"/>
      <c r="J58" s="35"/>
      <c r="K58" s="36"/>
    </row>
    <row r="59" spans="1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0" t="s">
        <v>118</v>
      </c>
      <c r="D60" s="31"/>
      <c r="E60" s="32"/>
      <c r="F60" s="33"/>
      <c r="G60" s="34" t="s">
        <v>106</v>
      </c>
      <c r="H60" s="34" t="s">
        <v>106</v>
      </c>
      <c r="I60" s="35"/>
      <c r="J60" s="35"/>
      <c r="K60" s="36"/>
    </row>
    <row r="61" spans="1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1:11" x14ac:dyDescent="0.3">
      <c r="A62" s="28"/>
      <c r="B62" s="29"/>
      <c r="C62" s="30" t="s">
        <v>119</v>
      </c>
      <c r="D62" s="31"/>
      <c r="E62" s="32"/>
      <c r="F62" s="33"/>
      <c r="G62" s="34"/>
      <c r="H62" s="34"/>
      <c r="I62" s="35"/>
      <c r="J62" s="35"/>
      <c r="K62" s="36"/>
    </row>
    <row r="63" spans="1:11" x14ac:dyDescent="0.3">
      <c r="A63" s="29"/>
      <c r="B63" s="29"/>
      <c r="C63" s="30" t="s">
        <v>120</v>
      </c>
      <c r="D63" s="31"/>
      <c r="E63" s="32"/>
      <c r="F63" s="33"/>
      <c r="G63" s="34" t="s">
        <v>106</v>
      </c>
      <c r="H63" s="34" t="s">
        <v>106</v>
      </c>
      <c r="I63" s="35"/>
      <c r="J63" s="35"/>
      <c r="K63" s="36"/>
    </row>
    <row r="64" spans="1:11" x14ac:dyDescent="0.3">
      <c r="A64" s="29"/>
      <c r="B64" s="29"/>
      <c r="C64" s="30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A65" s="29"/>
      <c r="B65" s="29"/>
      <c r="C65" s="30" t="s">
        <v>121</v>
      </c>
      <c r="D65" s="31"/>
      <c r="E65" s="32"/>
      <c r="F65" s="33"/>
      <c r="G65" s="34" t="s">
        <v>106</v>
      </c>
      <c r="H65" s="34" t="s">
        <v>106</v>
      </c>
      <c r="I65" s="35"/>
      <c r="J65" s="35"/>
      <c r="K65" s="36"/>
    </row>
    <row r="66" spans="1:11" x14ac:dyDescent="0.3">
      <c r="A66" s="29"/>
      <c r="B66" s="29"/>
      <c r="C66" s="30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A67" s="29"/>
      <c r="B67" s="29"/>
      <c r="C67" s="30" t="s">
        <v>122</v>
      </c>
      <c r="D67" s="31"/>
      <c r="E67" s="32"/>
      <c r="F67" s="33"/>
      <c r="G67" s="34" t="s">
        <v>106</v>
      </c>
      <c r="H67" s="34" t="s">
        <v>106</v>
      </c>
      <c r="I67" s="35"/>
      <c r="J67" s="35"/>
      <c r="K67" s="36"/>
    </row>
    <row r="68" spans="1:11" x14ac:dyDescent="0.3">
      <c r="A68" s="29"/>
      <c r="B68" s="29"/>
      <c r="C68" s="30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A69" s="29"/>
      <c r="B69" s="29"/>
      <c r="C69" s="30" t="s">
        <v>123</v>
      </c>
      <c r="D69" s="31"/>
      <c r="E69" s="32"/>
      <c r="F69" s="33"/>
      <c r="G69" s="34" t="s">
        <v>106</v>
      </c>
      <c r="H69" s="34" t="s">
        <v>106</v>
      </c>
      <c r="I69" s="35"/>
      <c r="J69" s="35"/>
      <c r="K69" s="36"/>
    </row>
    <row r="70" spans="1:11" x14ac:dyDescent="0.3">
      <c r="A70" s="29"/>
      <c r="B70" s="29"/>
      <c r="C70" s="30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7" t="s">
        <v>124</v>
      </c>
      <c r="D71" s="31"/>
      <c r="E71" s="32"/>
      <c r="F71" s="33"/>
      <c r="G71" s="34"/>
      <c r="H71" s="34"/>
      <c r="I71" s="35"/>
      <c r="J71" s="35"/>
      <c r="K71" s="36"/>
    </row>
    <row r="72" spans="1:11" x14ac:dyDescent="0.3">
      <c r="B72" s="1" t="s">
        <v>125</v>
      </c>
      <c r="C72" s="21" t="s">
        <v>126</v>
      </c>
      <c r="D72" s="31"/>
      <c r="E72" s="32"/>
      <c r="F72" s="33"/>
      <c r="G72" s="34">
        <v>1372.27</v>
      </c>
      <c r="H72" s="34">
        <v>4.6100000000000003</v>
      </c>
      <c r="I72" s="35">
        <v>6.4121865622490004</v>
      </c>
      <c r="J72" s="35"/>
      <c r="K72" s="36"/>
    </row>
    <row r="73" spans="1:11" x14ac:dyDescent="0.3">
      <c r="C73" s="30" t="s">
        <v>104</v>
      </c>
      <c r="D73" s="31"/>
      <c r="E73" s="32"/>
      <c r="F73" s="33"/>
      <c r="G73" s="38">
        <v>1372.27</v>
      </c>
      <c r="H73" s="38">
        <v>4.6100000000000003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A75" s="28"/>
      <c r="B75" s="29"/>
      <c r="C75" s="30" t="s">
        <v>127</v>
      </c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B76" s="1"/>
      <c r="C76" s="21" t="s">
        <v>128</v>
      </c>
      <c r="D76" s="31"/>
      <c r="E76" s="32"/>
      <c r="F76" s="33"/>
      <c r="G76" s="34">
        <v>-98.91</v>
      </c>
      <c r="H76" s="34">
        <v>-0.34</v>
      </c>
      <c r="I76" s="35"/>
      <c r="J76" s="35"/>
      <c r="K76" s="36"/>
    </row>
    <row r="77" spans="1:11" x14ac:dyDescent="0.3">
      <c r="C77" s="30" t="s">
        <v>104</v>
      </c>
      <c r="D77" s="31"/>
      <c r="E77" s="32"/>
      <c r="F77" s="33"/>
      <c r="G77" s="38">
        <v>-98.91</v>
      </c>
      <c r="H77" s="38">
        <v>-0.34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ht="14.4" thickBot="1" x14ac:dyDescent="0.35">
      <c r="C79" s="39" t="s">
        <v>129</v>
      </c>
      <c r="D79" s="40"/>
      <c r="E79" s="41"/>
      <c r="F79" s="42"/>
      <c r="G79" s="43">
        <v>29736.799999999999</v>
      </c>
      <c r="H79" s="43">
        <f>SUMIFS(H:H,C:C,"Total")</f>
        <v>100</v>
      </c>
      <c r="I79" s="44"/>
      <c r="J79" s="44"/>
      <c r="K79" s="45"/>
    </row>
    <row r="82" spans="3:55" x14ac:dyDescent="0.3">
      <c r="C82" s="11" t="s">
        <v>130</v>
      </c>
    </row>
    <row r="83" spans="3:55" x14ac:dyDescent="0.3">
      <c r="C83" s="2" t="s">
        <v>131</v>
      </c>
    </row>
    <row r="84" spans="3:55" x14ac:dyDescent="0.3">
      <c r="C84" s="46" t="s">
        <v>132</v>
      </c>
    </row>
    <row r="85" spans="3:55" x14ac:dyDescent="0.3">
      <c r="C85" s="2" t="s">
        <v>133</v>
      </c>
    </row>
    <row r="86" spans="3:55" x14ac:dyDescent="0.3">
      <c r="C86" s="2" t="s">
        <v>134</v>
      </c>
    </row>
    <row r="87" spans="3:55" x14ac:dyDescent="0.3">
      <c r="C87" s="2" t="s">
        <v>135</v>
      </c>
      <c r="D87" s="47"/>
      <c r="E87" s="47"/>
      <c r="F87" s="47"/>
      <c r="G87" s="48"/>
      <c r="H87" s="48"/>
    </row>
    <row r="88" spans="3:55" x14ac:dyDescent="0.3">
      <c r="C88" s="2" t="s">
        <v>136</v>
      </c>
    </row>
    <row r="89" spans="3:55" x14ac:dyDescent="0.3">
      <c r="C89" s="2" t="s">
        <v>137</v>
      </c>
    </row>
    <row r="90" spans="3:55" x14ac:dyDescent="0.3">
      <c r="C90" s="2" t="s">
        <v>138</v>
      </c>
    </row>
    <row r="91" spans="3:55" x14ac:dyDescent="0.3">
      <c r="C91" s="2" t="s">
        <v>139</v>
      </c>
    </row>
    <row r="92" spans="3:55" s="11" customFormat="1" x14ac:dyDescent="0.3">
      <c r="C92" s="11" t="s">
        <v>140</v>
      </c>
      <c r="E92" s="11" t="s">
        <v>141</v>
      </c>
      <c r="F92" s="49" t="s">
        <v>142</v>
      </c>
      <c r="G92" s="50"/>
      <c r="H92" s="50"/>
      <c r="I92" s="50"/>
      <c r="J92" s="50"/>
      <c r="K92" s="51"/>
      <c r="L92" s="51"/>
      <c r="M92" s="51"/>
      <c r="AJ92" s="51"/>
      <c r="AW92" s="51"/>
      <c r="AY92" s="51"/>
      <c r="BC92" s="51"/>
    </row>
    <row r="93" spans="3:55" x14ac:dyDescent="0.3">
      <c r="C93" s="2" t="s">
        <v>143</v>
      </c>
      <c r="E93" s="52">
        <v>13.883900000000001</v>
      </c>
      <c r="F93" s="53">
        <v>13.537699999999999</v>
      </c>
    </row>
    <row r="94" spans="3:55" x14ac:dyDescent="0.3">
      <c r="C94" s="2" t="s">
        <v>144</v>
      </c>
      <c r="E94" s="52">
        <v>14.787599999999999</v>
      </c>
      <c r="F94" s="53">
        <v>14.418799999999999</v>
      </c>
    </row>
    <row r="95" spans="3:55" x14ac:dyDescent="0.3">
      <c r="C95" s="2" t="s">
        <v>145</v>
      </c>
      <c r="E95" s="52">
        <v>14.9741</v>
      </c>
      <c r="F95" s="53">
        <v>14.6233</v>
      </c>
    </row>
    <row r="96" spans="3:55" x14ac:dyDescent="0.3">
      <c r="C96" s="2" t="s">
        <v>146</v>
      </c>
      <c r="E96" s="52">
        <v>15.989800000000001</v>
      </c>
      <c r="F96" s="53">
        <v>15.6152</v>
      </c>
    </row>
    <row r="98" spans="3:11" x14ac:dyDescent="0.3">
      <c r="C98" s="2" t="s">
        <v>147</v>
      </c>
    </row>
    <row r="100" spans="3:11" x14ac:dyDescent="0.3">
      <c r="C100" s="2" t="s">
        <v>148</v>
      </c>
    </row>
    <row r="101" spans="3:11" x14ac:dyDescent="0.3">
      <c r="C101" s="2" t="s">
        <v>149</v>
      </c>
    </row>
    <row r="102" spans="3:11" x14ac:dyDescent="0.3">
      <c r="C102" s="2" t="s">
        <v>150</v>
      </c>
    </row>
    <row r="103" spans="3:11" x14ac:dyDescent="0.3">
      <c r="C103" s="2" t="s">
        <v>151</v>
      </c>
    </row>
    <row r="104" spans="3:11" x14ac:dyDescent="0.3">
      <c r="C104" s="2" t="s">
        <v>152</v>
      </c>
    </row>
    <row r="105" spans="3:11" x14ac:dyDescent="0.3">
      <c r="C105" s="2" t="s">
        <v>153</v>
      </c>
    </row>
    <row r="106" spans="3:11" x14ac:dyDescent="0.3">
      <c r="C106" s="2" t="s">
        <v>154</v>
      </c>
    </row>
    <row r="107" spans="3:11" x14ac:dyDescent="0.3">
      <c r="C107" s="2" t="s">
        <v>155</v>
      </c>
    </row>
    <row r="108" spans="3:11" x14ac:dyDescent="0.3">
      <c r="C108" s="2" t="s">
        <v>156</v>
      </c>
    </row>
    <row r="109" spans="3:11" x14ac:dyDescent="0.3">
      <c r="C109" s="2" t="s">
        <v>157</v>
      </c>
    </row>
    <row r="110" spans="3:11" x14ac:dyDescent="0.3">
      <c r="C110" s="2" t="s">
        <v>158</v>
      </c>
    </row>
    <row r="111" spans="3:11" x14ac:dyDescent="0.3">
      <c r="C111" s="2" t="s">
        <v>159</v>
      </c>
    </row>
    <row r="112" spans="3:11" ht="14.4" x14ac:dyDescent="0.3">
      <c r="C112" s="54"/>
      <c r="D112" s="54"/>
      <c r="E112" s="55"/>
      <c r="F112" s="55"/>
      <c r="G112" s="55"/>
      <c r="H112" s="55"/>
      <c r="I112" s="55"/>
      <c r="J112" s="55"/>
      <c r="K112" s="55"/>
    </row>
    <row r="113" spans="3:11" ht="14.4" x14ac:dyDescent="0.3">
      <c r="C113" s="55"/>
      <c r="D113" s="55"/>
      <c r="E113" s="55"/>
      <c r="F113" s="55"/>
      <c r="G113" s="55"/>
      <c r="H113" s="55"/>
      <c r="I113" s="55"/>
      <c r="J113" s="55"/>
      <c r="K113" s="55"/>
    </row>
    <row r="114" spans="3:11" ht="14.4" x14ac:dyDescent="0.3">
      <c r="C114" s="55"/>
      <c r="D114" s="55"/>
      <c r="E114" s="55"/>
      <c r="F114" s="55"/>
      <c r="G114" s="55"/>
      <c r="H114" s="55"/>
      <c r="I114" s="55"/>
      <c r="J114" s="55"/>
      <c r="K114" s="5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FO</vt:lpstr>
      <vt:lpstr>XDO_?CLASS_3?11?</vt:lpstr>
      <vt:lpstr>XDO_?FINAL_ISIN?50?</vt:lpstr>
      <vt:lpstr>XDO_?FINAL_ISIN?51?</vt:lpstr>
      <vt:lpstr>XDO_?FINAL_ISIN?52?</vt:lpstr>
      <vt:lpstr>XDO_?FINAL_MV?50?</vt:lpstr>
      <vt:lpstr>XDO_?FINAL_MV?51?</vt:lpstr>
      <vt:lpstr>XDO_?FINAL_MV?52?</vt:lpstr>
      <vt:lpstr>XDO_?FINAL_NAME?50?</vt:lpstr>
      <vt:lpstr>XDO_?FINAL_NAME?51?</vt:lpstr>
      <vt:lpstr>XDO_?FINAL_NAME?52?</vt:lpstr>
      <vt:lpstr>XDO_?FINAL_PER_NET?50?</vt:lpstr>
      <vt:lpstr>XDO_?FINAL_PER_NET?51?</vt:lpstr>
      <vt:lpstr>XDO_?FINAL_PER_NET?52?</vt:lpstr>
      <vt:lpstr>XDO_?FINAL_QUANTITE?50?</vt:lpstr>
      <vt:lpstr>XDO_?FINAL_QUANTITE?51?</vt:lpstr>
      <vt:lpstr>XDO_?FINAL_QUANTITE?52?</vt:lpstr>
      <vt:lpstr>XDO_?NAMCNAME?11?</vt:lpstr>
      <vt:lpstr>XDO_?NOVAL?50?</vt:lpstr>
      <vt:lpstr>XDO_?NOVAL?51?</vt:lpstr>
      <vt:lpstr>XDO_?NOVAL?52?</vt:lpstr>
      <vt:lpstr>XDO_?NPTF?11?</vt:lpstr>
      <vt:lpstr>XDO_?RATING?50?</vt:lpstr>
      <vt:lpstr>XDO_?RATING?51?</vt:lpstr>
      <vt:lpstr>XDO_?RATING?52?</vt:lpstr>
      <vt:lpstr>XDO_?REMARKS?50?</vt:lpstr>
      <vt:lpstr>XDO_?REMARKS?51?</vt:lpstr>
      <vt:lpstr>XDO_?REMARKS?52?</vt:lpstr>
      <vt:lpstr>XDO_?TITL?11?</vt:lpstr>
      <vt:lpstr>XDO_?YTM?50?</vt:lpstr>
      <vt:lpstr>XDO_?YTM?51?</vt:lpstr>
      <vt:lpstr>XDO_?YTM?52?</vt:lpstr>
      <vt:lpstr>XDO_GROUP_?G_2?11?</vt:lpstr>
      <vt:lpstr>XDO_GROUP_?G_3?11?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Kshitija DESAI</cp:lastModifiedBy>
  <dcterms:created xsi:type="dcterms:W3CDTF">2023-02-06T13:49:36Z</dcterms:created>
  <dcterms:modified xsi:type="dcterms:W3CDTF">2023-02-09T12:19:44Z</dcterms:modified>
</cp:coreProperties>
</file>