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3\Monthly\For Sent\without Risko meter\"/>
    </mc:Choice>
  </mc:AlternateContent>
  <bookViews>
    <workbookView xWindow="0" yWindow="0" windowWidth="20490" windowHeight="7770"/>
  </bookViews>
  <sheets>
    <sheet name="JM Value Fund" sheetId="1" r:id="rId1"/>
  </sheets>
  <definedNames>
    <definedName name="_xlnm._FilterDatabase" localSheetId="0" hidden="1">'JM Value Fund'!$A$1:$J$78</definedName>
    <definedName name="Afs">#REF!</definedName>
    <definedName name="_xlnm.Database">#REF!</definedName>
    <definedName name="EBLDB">#REF!</definedName>
    <definedName name="fl">#REF!</definedName>
    <definedName name="_xlnm.Print_Area" localSheetId="0">'JM Value Fund'!$A$1:$E$68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1" i="1" l="1"/>
  <c r="E70" i="1"/>
  <c r="E71" i="1" s="1"/>
  <c r="D51" i="1"/>
  <c r="D55" i="1" s="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1" i="1" l="1"/>
  <c r="E55" i="1" s="1"/>
  <c r="E73" i="1" s="1"/>
  <c r="D73" i="1"/>
  <c r="D75" i="1" s="1"/>
  <c r="E75" i="1" s="1"/>
  <c r="E77" i="1" l="1"/>
</calcChain>
</file>

<file path=xl/sharedStrings.xml><?xml version="1.0" encoding="utf-8"?>
<sst xmlns="http://schemas.openxmlformats.org/spreadsheetml/2006/main" count="184" uniqueCount="149">
  <si>
    <t xml:space="preserve">JM Value Fund (An open ended equity scheme following a value investment strategy). </t>
  </si>
  <si>
    <t>Portfolio as on 31.05.2023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</si>
  <si>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</si>
  <si>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</si>
  <si>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</si>
  <si>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</si>
  <si>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</si>
  <si>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</si>
  <si>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</si>
  <si>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</si>
  <si>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</si>
  <si>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</si>
  <si>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</si>
  <si>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</si>
  <si>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</si>
  <si>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REC Ltd.</t>
  </si>
  <si>
    <t>Finance</t>
  </si>
  <si>
    <t>INE020B01018</t>
  </si>
  <si>
    <t>Infosys Ltd.</t>
  </si>
  <si>
    <t>IT - Software</t>
  </si>
  <si>
    <t>INE009A01021</t>
  </si>
  <si>
    <t>Kalpataru Power Transmission Ltd.</t>
  </si>
  <si>
    <t>Construction</t>
  </si>
  <si>
    <t>INE220B01022</t>
  </si>
  <si>
    <t>Larsen &amp; Toubro Ltd.</t>
  </si>
  <si>
    <t>INE018A01030</t>
  </si>
  <si>
    <t>Ultratech Cement Ltd.</t>
  </si>
  <si>
    <t>Cement &amp; Cement Products</t>
  </si>
  <si>
    <t>INE481G01011</t>
  </si>
  <si>
    <t>HCL Technologies Ltd.</t>
  </si>
  <si>
    <t>INE860A01027</t>
  </si>
  <si>
    <t>ICICI Bank Ltd.</t>
  </si>
  <si>
    <t>INE090A01021</t>
  </si>
  <si>
    <t>SKF India Ltd.</t>
  </si>
  <si>
    <t>Industrial Products</t>
  </si>
  <si>
    <t>INE640A01023</t>
  </si>
  <si>
    <t>Cummins India Ltd.</t>
  </si>
  <si>
    <t>INE298A01020</t>
  </si>
  <si>
    <t>Jindal Saw Ltd.</t>
  </si>
  <si>
    <t>INE324A01024</t>
  </si>
  <si>
    <t>Bank of Baroda</t>
  </si>
  <si>
    <t>INE028A01039</t>
  </si>
  <si>
    <t>Axis Bank Ltd.</t>
  </si>
  <si>
    <t>INE238A01034</t>
  </si>
  <si>
    <t>Engineers India Ltd.</t>
  </si>
  <si>
    <t>INE510A01028</t>
  </si>
  <si>
    <t>Can Fin Homes Ltd.</t>
  </si>
  <si>
    <t>INE477A01020</t>
  </si>
  <si>
    <t>State Bank of India</t>
  </si>
  <si>
    <t>INE062A01020</t>
  </si>
  <si>
    <t>Kirloskar Ferrous Industries Ltd</t>
  </si>
  <si>
    <t>Ferrous Metals</t>
  </si>
  <si>
    <t>INE884B01025</t>
  </si>
  <si>
    <t>Equitas Small Finance Bank Ltd.</t>
  </si>
  <si>
    <t>INE063P01018</t>
  </si>
  <si>
    <t>Orient Electric Ltd.</t>
  </si>
  <si>
    <t>Consumer Durables</t>
  </si>
  <si>
    <t>INE142Z01019</t>
  </si>
  <si>
    <t>Maruti Suzuki India Ltd.</t>
  </si>
  <si>
    <t>Automobiles</t>
  </si>
  <si>
    <t>INE585B01010</t>
  </si>
  <si>
    <t>One 97 Communications Ltd.</t>
  </si>
  <si>
    <t>Financial Technology (Fintech)</t>
  </si>
  <si>
    <t>INE982J01020</t>
  </si>
  <si>
    <t>The Phoenix Mills Ltd.</t>
  </si>
  <si>
    <t>Realty</t>
  </si>
  <si>
    <t>INE211B01039</t>
  </si>
  <si>
    <t>Fortis Healthcare Ltd.</t>
  </si>
  <si>
    <t>Healthcare Services</t>
  </si>
  <si>
    <t>INE061F01013</t>
  </si>
  <si>
    <t>Kirloskar Oil Engines Ltd.</t>
  </si>
  <si>
    <t>INE146L01010</t>
  </si>
  <si>
    <t>Indian Oil Corporation Ltd.</t>
  </si>
  <si>
    <t>Petroleum Products</t>
  </si>
  <si>
    <t>INE242A01010</t>
  </si>
  <si>
    <t>NTPC Ltd.</t>
  </si>
  <si>
    <t>Power</t>
  </si>
  <si>
    <t>INE733E01010</t>
  </si>
  <si>
    <t>Jyothy Labs Ltd.</t>
  </si>
  <si>
    <t>Household Products</t>
  </si>
  <si>
    <t>INE668F01031</t>
  </si>
  <si>
    <t>Hindustan Aeronautics Ltd.</t>
  </si>
  <si>
    <t>Aerospace &amp; Defense</t>
  </si>
  <si>
    <t>INE066F01012</t>
  </si>
  <si>
    <t>Vardhman Textiles Ltd.</t>
  </si>
  <si>
    <t>Textiles &amp; Apparels</t>
  </si>
  <si>
    <t>INE825A01020</t>
  </si>
  <si>
    <t>Welspun India Ltd.</t>
  </si>
  <si>
    <t>INE192B01031</t>
  </si>
  <si>
    <t>Firstsource Solutions Ltd.</t>
  </si>
  <si>
    <t>Commercial Services &amp; Supplies</t>
  </si>
  <si>
    <t>INE684F01012</t>
  </si>
  <si>
    <t>Godrej Consumer Products Ltd.</t>
  </si>
  <si>
    <t>Personal Products</t>
  </si>
  <si>
    <t>INE102D01028</t>
  </si>
  <si>
    <t>Mahindra &amp; Mahindra Financial Services Ltd.</t>
  </si>
  <si>
    <t>INE774D01024</t>
  </si>
  <si>
    <t>Poonawalla Fincorp Ltd.</t>
  </si>
  <si>
    <t>INE511C01022</t>
  </si>
  <si>
    <t>Balrampur Chini Mills Ltd.</t>
  </si>
  <si>
    <t>Agricultural Food &amp; other Products</t>
  </si>
  <si>
    <t>INE119A01028</t>
  </si>
  <si>
    <t>Crompton Greaves Consumer Electricals Ltd.</t>
  </si>
  <si>
    <t>INE299U01018</t>
  </si>
  <si>
    <t>Hindalco Industries Ltd.</t>
  </si>
  <si>
    <t>Non - Ferrous Metals</t>
  </si>
  <si>
    <t>INE038A01020</t>
  </si>
  <si>
    <t>Tech Mahindra Ltd.</t>
  </si>
  <si>
    <t>INE669C01036</t>
  </si>
  <si>
    <t>Birlasoft Ltd.</t>
  </si>
  <si>
    <t>INE836A01035</t>
  </si>
  <si>
    <t>Amber Enterprises India Ltd.</t>
  </si>
  <si>
    <t>INE371P01015</t>
  </si>
  <si>
    <t>Kalyani Steels Ltd.</t>
  </si>
  <si>
    <t>INE907A01026</t>
  </si>
  <si>
    <t>Vedanta Ltd.</t>
  </si>
  <si>
    <t>Diversified Metals</t>
  </si>
  <si>
    <t>INE205A01025</t>
  </si>
  <si>
    <t>Godrej Properties Ltd.</t>
  </si>
  <si>
    <t>INE484J01027</t>
  </si>
  <si>
    <t>Whirlpool of India Ltd.</t>
  </si>
  <si>
    <t>INE716A01013</t>
  </si>
  <si>
    <t>Birla Corporation Ltd.</t>
  </si>
  <si>
    <t>INE340A01012</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</si>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</sst>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u/>
      <sz val="10"/>
      <color indexed="9"/>
      <name val="Century Gothic"/>
      <family val="2"/>
    </font>
    <font>
      <sz val="10"/>
      <name val="Times New Roman"/>
      <family val="1"/>
    </font>
    <font>
      <b/>
      <sz val="10"/>
      <color indexed="9"/>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7" fillId="0" borderId="0"/>
    <xf numFmtId="164" fontId="1" fillId="0" borderId="0" applyFont="0" applyFill="0" applyBorder="0" applyAlignment="0" applyProtection="0"/>
    <xf numFmtId="0" fontId="7" fillId="0" borderId="0"/>
    <xf numFmtId="0" fontId="7" fillId="0" borderId="0"/>
  </cellStyleXfs>
  <cellXfs count="65">
    <xf numFmtId="0" fontId="0" fillId="0" borderId="0" xfId="0"/>
    <xf numFmtId="0" fontId="3" fillId="0" borderId="0" xfId="0" applyFont="1"/>
    <xf numFmtId="0" fontId="2" fillId="2" borderId="1" xfId="2" applyFont="1" applyFill="1" applyBorder="1" applyAlignment="1">
      <alignment horizontal="center" vertical="center"/>
    </xf>
    <xf numFmtId="0" fontId="5" fillId="0" borderId="3" xfId="0" applyFont="1" applyFill="1" applyBorder="1" applyAlignment="1">
      <alignment horizontal="center" vertical="center" wrapText="1"/>
    </xf>
    <xf numFmtId="165" fontId="5" fillId="0" borderId="3" xfId="1" applyNumberFormat="1" applyFont="1" applyFill="1" applyBorder="1" applyAlignment="1">
      <alignment horizontal="center" vertical="center"/>
    </xf>
    <xf numFmtId="0" fontId="3" fillId="0" borderId="0" xfId="0" applyFont="1" applyAlignment="1">
      <alignment horizontal="center"/>
    </xf>
    <xf numFmtId="0" fontId="5" fillId="0" borderId="3" xfId="0" applyFont="1" applyFill="1" applyBorder="1" applyAlignment="1">
      <alignment horizontal="left" wrapText="1"/>
    </xf>
    <xf numFmtId="0" fontId="6" fillId="0" borderId="3" xfId="0" applyFont="1" applyFill="1" applyBorder="1" applyAlignment="1">
      <alignment horizontal="center" wrapText="1"/>
    </xf>
    <xf numFmtId="165" fontId="6" fillId="0" borderId="3" xfId="1" applyNumberFormat="1" applyFont="1" applyFill="1" applyBorder="1" applyAlignment="1">
      <alignment horizontal="center"/>
    </xf>
    <xf numFmtId="0" fontId="5" fillId="0" borderId="3" xfId="0" applyFont="1" applyFill="1" applyBorder="1" applyAlignment="1">
      <alignment horizontal="center" wrapText="1"/>
    </xf>
    <xf numFmtId="0" fontId="6" fillId="0" borderId="3" xfId="0" applyFont="1" applyFill="1" applyBorder="1" applyAlignment="1">
      <alignment horizontal="center"/>
    </xf>
    <xf numFmtId="0" fontId="6" fillId="0" borderId="3" xfId="0" applyFont="1" applyBorder="1"/>
    <xf numFmtId="166" fontId="6" fillId="0" borderId="3" xfId="0" applyNumberFormat="1" applyFont="1" applyFill="1" applyBorder="1"/>
    <xf numFmtId="0" fontId="5" fillId="0" borderId="3" xfId="0" applyFont="1" applyFill="1" applyBorder="1" applyAlignment="1">
      <alignment wrapText="1"/>
    </xf>
    <xf numFmtId="4" fontId="6" fillId="0" borderId="3" xfId="0" applyNumberFormat="1" applyFont="1" applyFill="1" applyBorder="1" applyAlignment="1">
      <alignment wrapText="1"/>
    </xf>
    <xf numFmtId="0" fontId="6" fillId="0" borderId="3" xfId="0" applyFont="1" applyFill="1" applyBorder="1" applyAlignment="1">
      <alignment wrapText="1"/>
    </xf>
    <xf numFmtId="165" fontId="6" fillId="0" borderId="3" xfId="1" applyNumberFormat="1" applyFont="1" applyFill="1" applyBorder="1"/>
    <xf numFmtId="164" fontId="6" fillId="0" borderId="3" xfId="1" applyFont="1" applyFill="1" applyBorder="1"/>
    <xf numFmtId="0" fontId="3" fillId="0" borderId="0" xfId="0" applyFont="1" applyFill="1"/>
    <xf numFmtId="0" fontId="6" fillId="0" borderId="3" xfId="0" applyFont="1" applyFill="1" applyBorder="1"/>
    <xf numFmtId="164" fontId="5" fillId="0" borderId="3" xfId="1" applyFont="1" applyFill="1" applyBorder="1"/>
    <xf numFmtId="165" fontId="5" fillId="0" borderId="3" xfId="1" applyNumberFormat="1" applyFont="1" applyFill="1" applyBorder="1"/>
    <xf numFmtId="164" fontId="6" fillId="0" borderId="3" xfId="1" applyFont="1" applyFill="1" applyBorder="1" applyAlignment="1">
      <alignment horizontal="center"/>
    </xf>
    <xf numFmtId="164" fontId="5" fillId="0" borderId="3" xfId="1" applyFont="1" applyFill="1" applyBorder="1" applyAlignment="1">
      <alignment horizontal="right"/>
    </xf>
    <xf numFmtId="0" fontId="6" fillId="0" borderId="3" xfId="0" applyFont="1" applyFill="1" applyBorder="1" applyAlignment="1">
      <alignment horizontal="right"/>
    </xf>
    <xf numFmtId="4" fontId="5" fillId="0" borderId="3" xfId="1" applyNumberFormat="1" applyFont="1" applyFill="1" applyBorder="1"/>
    <xf numFmtId="164" fontId="6" fillId="0" borderId="3" xfId="1" applyFont="1" applyFill="1" applyBorder="1" applyAlignment="1">
      <alignment horizontal="right"/>
    </xf>
    <xf numFmtId="165" fontId="5" fillId="0" borderId="3" xfId="1" applyNumberFormat="1" applyFont="1" applyFill="1" applyBorder="1" applyAlignment="1">
      <alignment horizontal="right"/>
    </xf>
    <xf numFmtId="164" fontId="6" fillId="0" borderId="4" xfId="1" applyFont="1" applyFill="1" applyBorder="1"/>
    <xf numFmtId="0" fontId="6" fillId="0" borderId="3" xfId="0" applyFont="1" applyFill="1" applyBorder="1" applyAlignment="1">
      <alignment horizontal="left" wrapText="1"/>
    </xf>
    <xf numFmtId="165" fontId="6" fillId="0" borderId="3" xfId="1" applyNumberFormat="1" applyFont="1" applyFill="1" applyBorder="1" applyAlignment="1">
      <alignment horizontal="right"/>
    </xf>
    <xf numFmtId="2" fontId="6" fillId="0" borderId="3" xfId="0" applyNumberFormat="1" applyFont="1" applyFill="1" applyBorder="1" applyAlignment="1">
      <alignment horizontal="right"/>
    </xf>
    <xf numFmtId="0" fontId="6" fillId="0" borderId="0" xfId="0" applyFont="1" applyFill="1" applyBorder="1" applyAlignment="1">
      <alignment horizontal="right"/>
    </xf>
    <xf numFmtId="0" fontId="6" fillId="0" borderId="0" xfId="0" applyFont="1" applyFill="1"/>
    <xf numFmtId="0" fontId="6" fillId="0" borderId="0" xfId="0" applyFont="1"/>
    <xf numFmtId="0" fontId="5" fillId="0" borderId="0" xfId="0" applyFont="1" applyFill="1" applyBorder="1" applyAlignment="1">
      <alignment wrapText="1"/>
    </xf>
    <xf numFmtId="0" fontId="5" fillId="0" borderId="0" xfId="0" applyFont="1" applyFill="1" applyBorder="1" applyAlignment="1">
      <alignment horizontal="left" wrapText="1"/>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0" fontId="6" fillId="0" borderId="0" xfId="2" applyFont="1" applyFill="1" applyAlignment="1">
      <alignment wrapText="1"/>
    </xf>
    <xf numFmtId="0" fontId="6" fillId="0" borderId="0" xfId="2" applyFont="1" applyFill="1" applyAlignment="1">
      <alignment horizontal="left" wrapText="1"/>
    </xf>
    <xf numFmtId="165" fontId="6" fillId="0" borderId="0" xfId="5" applyNumberFormat="1" applyFont="1" applyFill="1"/>
    <xf numFmtId="164" fontId="6" fillId="0" borderId="0" xfId="5" applyFont="1" applyFill="1" applyAlignment="1">
      <alignment horizontal="right"/>
    </xf>
    <xf numFmtId="0" fontId="6" fillId="0" borderId="0" xfId="2" applyFont="1" applyFill="1" applyAlignment="1">
      <alignment horizontal="right"/>
    </xf>
    <xf numFmtId="0" fontId="6" fillId="0" borderId="0" xfId="2" applyFont="1"/>
    <xf numFmtId="164" fontId="6" fillId="0" borderId="0" xfId="1" applyFont="1" applyFill="1" applyBorder="1" applyAlignment="1">
      <alignment horizontal="right"/>
    </xf>
    <xf numFmtId="0" fontId="10" fillId="0" borderId="0" xfId="6" applyFont="1" applyBorder="1"/>
    <xf numFmtId="0" fontId="11" fillId="0" borderId="0" xfId="2" applyFont="1" applyFill="1" applyBorder="1" applyAlignment="1">
      <alignment horizontal="left" wrapText="1"/>
    </xf>
    <xf numFmtId="0" fontId="8" fillId="0" borderId="0" xfId="6" applyFont="1" applyBorder="1"/>
    <xf numFmtId="0" fontId="10" fillId="0" borderId="0" xfId="7" applyFont="1" applyAlignment="1">
      <alignment horizontal="center"/>
    </xf>
    <xf numFmtId="0" fontId="6" fillId="0" borderId="0" xfId="2" applyFont="1" applyAlignment="1">
      <alignment horizontal="left" wrapText="1"/>
    </xf>
    <xf numFmtId="0" fontId="5" fillId="0" borderId="0" xfId="2" applyFont="1" applyFill="1" applyBorder="1" applyAlignment="1"/>
    <xf numFmtId="0" fontId="5" fillId="0" borderId="0" xfId="2" applyFont="1" applyFill="1" applyBorder="1" applyAlignment="1">
      <alignment horizontal="left"/>
    </xf>
    <xf numFmtId="165" fontId="6" fillId="0" borderId="0" xfId="1" applyNumberFormat="1" applyFont="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2" fillId="2" borderId="1" xfId="2" applyFont="1" applyFill="1" applyBorder="1" applyAlignment="1">
      <alignment horizontal="center" vertical="top"/>
    </xf>
    <xf numFmtId="0" fontId="4" fillId="2" borderId="2" xfId="2" applyFont="1" applyFill="1" applyBorder="1" applyAlignment="1">
      <alignment horizontal="center" vertical="top" wrapText="1"/>
    </xf>
    <xf numFmtId="0" fontId="6" fillId="0" borderId="0" xfId="3" applyFont="1" applyAlignment="1">
      <alignment horizontal="left" vertical="top" wrapText="1"/>
    </xf>
    <xf numFmtId="0" fontId="6" fillId="0" borderId="0" xfId="2" applyFont="1" applyAlignment="1">
      <alignment horizontal="left" vertical="top" wrapText="1"/>
    </xf>
    <xf numFmtId="0" fontId="8" fillId="0" borderId="0" xfId="4" applyFont="1" applyBorder="1" applyAlignment="1">
      <alignment horizontal="left" vertical="top" wrapText="1"/>
    </xf>
    <xf numFmtId="0" fontId="9" fillId="0" borderId="0" xfId="4" applyFont="1" applyBorder="1" applyAlignment="1">
      <alignment horizontal="left" vertical="top" wrapText="1"/>
    </xf>
  </cellXfs>
  <cellStyles count="8">
    <cellStyle name="Comma" xfId="1" builtinId="3"/>
    <cellStyle name="Comma 4" xfId="5"/>
    <cellStyle name="Normal" xfId="0" builtinId="0"/>
    <cellStyle name="Normal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409575</xdr:colOff>
      <xdr:row>89</xdr:row>
      <xdr:rowOff>104775</xdr:rowOff>
    </xdr:from>
    <xdr:to>
      <xdr:col>0</xdr:col>
      <xdr:colOff>2413258</xdr:colOff>
      <xdr:row>95</xdr:row>
      <xdr:rowOff>123825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409575" y="17040225"/>
          <a:ext cx="2003683" cy="1104900"/>
        </a:xfrm>
        <a:prstGeom prst="rect">
          <a:avLst/>
        </a:prstGeom>
        <a:noFill/>
        <a:ln w="9525">
          <a:noFill/>
          <a:miter lim="800000"/>
          <a:headEnd/>
          <a:tailEnd/>
        </a:ln>
      </xdr:spPr>
    </xdr:pic>
    <xdr:clientData/>
  </xdr:twoCellAnchor>
  <xdr:twoCellAnchor editAs="oneCell">
    <xdr:from>
      <xdr:col>1</xdr:col>
      <xdr:colOff>504825</xdr:colOff>
      <xdr:row>89</xdr:row>
      <xdr:rowOff>133350</xdr:rowOff>
    </xdr:from>
    <xdr:to>
      <xdr:col>2</xdr:col>
      <xdr:colOff>386603</xdr:colOff>
      <xdr:row>95</xdr:row>
      <xdr:rowOff>113740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048000" y="17068800"/>
          <a:ext cx="1939178" cy="106624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6"/>
  <sheetViews>
    <sheetView tabSelected="1" topLeftCell="A79" zoomScaleNormal="100" workbookViewId="0">
      <selection activeCell="B97" sqref="B97"/>
    </sheetView>
  </sheetViews>
  <sheetFormatPr defaultRowHeight="12.75" x14ac:dyDescent="0.2"/>
  <cols>
    <col min="1" max="1" width="38.140625" style="54" customWidth="1"/>
    <col min="2" max="2" width="30.85546875" style="55" customWidth="1"/>
    <col min="3" max="3" width="14.5703125" style="56" customWidth="1"/>
    <col min="4" max="4" width="13.140625" style="1" customWidth="1"/>
    <col min="5" max="6" width="14.5703125" style="1" customWidth="1"/>
    <col min="7" max="7" width="13.42578125" style="1" customWidth="1"/>
    <col min="8" max="8" width="14.5703125" style="1" customWidth="1"/>
    <col min="9" max="16384" width="9.140625" style="1"/>
  </cols>
  <sheetData>
    <row r="1" spans="1:8" x14ac:dyDescent="0.2">
      <c r="A1" s="59" t="s">
        <v>0</v>
      </c>
      <c r="B1" s="59"/>
      <c r="C1" s="59"/>
      <c r="D1" s="59"/>
      <c r="E1" s="59"/>
      <c r="F1" s="59"/>
      <c r="G1" s="59"/>
      <c r="H1" s="59"/>
    </row>
    <row r="2" spans="1:8" x14ac:dyDescent="0.2">
      <c r="A2" s="60" t="s">
        <v>1</v>
      </c>
      <c r="B2" s="60"/>
      <c r="C2" s="60"/>
      <c r="D2" s="60"/>
      <c r="E2" s="60"/>
      <c r="F2" s="60"/>
      <c r="G2" s="2"/>
      <c r="H2" s="2"/>
    </row>
    <row r="3" spans="1:8" s="5" customFormat="1" ht="25.5" x14ac:dyDescent="0.2">
      <c r="A3" s="3" t="s">
        <v>2</v>
      </c>
      <c r="B3" s="3" t="s">
        <v>3</v>
      </c>
      <c r="C3" s="4" t="s">
        <v>4</v>
      </c>
      <c r="D3" s="3" t="s">
        <v>5</v>
      </c>
      <c r="E3" s="3" t="s">
        <v>6</v>
      </c>
      <c r="F3" s="3" t="s">
        <v>7</v>
      </c>
      <c r="G3" s="57" t="s">
        <v>8</v>
      </c>
      <c r="H3" s="58" t="s">
        <v>9</v>
      </c>
    </row>
    <row r="4" spans="1:8" ht="14.25" x14ac:dyDescent="0.3">
      <c r="A4" s="6" t="s">
        <v>10</v>
      </c>
      <c r="B4" s="7"/>
      <c r="C4" s="8"/>
      <c r="D4" s="9"/>
      <c r="E4" s="9"/>
      <c r="F4" s="10"/>
      <c r="G4" s="11"/>
      <c r="H4" s="12"/>
    </row>
    <row r="5" spans="1:8" ht="14.25" x14ac:dyDescent="0.3">
      <c r="A5" s="13" t="s">
        <v>11</v>
      </c>
      <c r="B5" s="7"/>
      <c r="C5" s="8"/>
      <c r="D5" s="9"/>
      <c r="E5" s="9"/>
      <c r="F5" s="10"/>
      <c r="G5" s="11"/>
      <c r="H5" s="12"/>
    </row>
    <row r="6" spans="1:8" s="18" customFormat="1" ht="14.25" x14ac:dyDescent="0.3">
      <c r="A6" s="14" t="s">
        <v>12</v>
      </c>
      <c r="B6" s="15" t="s">
        <v>13</v>
      </c>
      <c r="C6" s="16">
        <v>50605</v>
      </c>
      <c r="D6" s="17">
        <v>815.17064249999999</v>
      </c>
      <c r="E6" s="17">
        <f t="shared" ref="E6:E50" si="0">(+D6/$D$77*100)</f>
        <v>4.605012177543367</v>
      </c>
      <c r="F6" s="17" t="s">
        <v>14</v>
      </c>
      <c r="G6" s="12"/>
      <c r="H6" s="12"/>
    </row>
    <row r="7" spans="1:8" s="18" customFormat="1" ht="14.25" x14ac:dyDescent="0.3">
      <c r="A7" s="14" t="s">
        <v>15</v>
      </c>
      <c r="B7" s="15" t="s">
        <v>16</v>
      </c>
      <c r="C7" s="16">
        <v>518300</v>
      </c>
      <c r="D7" s="17">
        <v>733.65364999999997</v>
      </c>
      <c r="E7" s="17">
        <f t="shared" si="0"/>
        <v>4.1445113651147452</v>
      </c>
      <c r="F7" s="17" t="s">
        <v>17</v>
      </c>
      <c r="G7" s="12"/>
      <c r="H7" s="11"/>
    </row>
    <row r="8" spans="1:8" s="18" customFormat="1" ht="14.25" x14ac:dyDescent="0.3">
      <c r="A8" s="14" t="s">
        <v>18</v>
      </c>
      <c r="B8" s="15" t="s">
        <v>19</v>
      </c>
      <c r="C8" s="16">
        <v>53305</v>
      </c>
      <c r="D8" s="17">
        <v>702.71981500000004</v>
      </c>
      <c r="E8" s="17">
        <f t="shared" si="0"/>
        <v>3.9697618348369579</v>
      </c>
      <c r="F8" s="17" t="s">
        <v>20</v>
      </c>
      <c r="G8" s="12"/>
      <c r="H8" s="19"/>
    </row>
    <row r="9" spans="1:8" s="18" customFormat="1" ht="14.25" x14ac:dyDescent="0.3">
      <c r="A9" s="14" t="s">
        <v>21</v>
      </c>
      <c r="B9" s="15" t="s">
        <v>22</v>
      </c>
      <c r="C9" s="16">
        <v>128496</v>
      </c>
      <c r="D9" s="17">
        <v>690.15201599999989</v>
      </c>
      <c r="E9" s="17">
        <f t="shared" si="0"/>
        <v>3.898764592759612</v>
      </c>
      <c r="F9" s="17" t="s">
        <v>23</v>
      </c>
      <c r="G9" s="12"/>
      <c r="H9" s="11"/>
    </row>
    <row r="10" spans="1:8" s="18" customFormat="1" ht="14.25" x14ac:dyDescent="0.3">
      <c r="A10" s="14" t="s">
        <v>24</v>
      </c>
      <c r="B10" s="15" t="s">
        <v>22</v>
      </c>
      <c r="C10" s="16">
        <v>30000</v>
      </c>
      <c r="D10" s="17">
        <v>661.69500000000005</v>
      </c>
      <c r="E10" s="17">
        <f t="shared" si="0"/>
        <v>3.7380069570152092</v>
      </c>
      <c r="F10" s="17" t="s">
        <v>25</v>
      </c>
      <c r="G10" s="12"/>
      <c r="H10" s="11"/>
    </row>
    <row r="11" spans="1:8" s="18" customFormat="1" ht="14.25" x14ac:dyDescent="0.3">
      <c r="A11" s="14" t="s">
        <v>26</v>
      </c>
      <c r="B11" s="15" t="s">
        <v>27</v>
      </c>
      <c r="C11" s="16">
        <v>7654</v>
      </c>
      <c r="D11" s="17">
        <v>602.37362700000006</v>
      </c>
      <c r="E11" s="17">
        <f t="shared" si="0"/>
        <v>3.4028922818647334</v>
      </c>
      <c r="F11" s="17" t="s">
        <v>28</v>
      </c>
      <c r="G11" s="12"/>
      <c r="H11" s="11"/>
    </row>
    <row r="12" spans="1:8" s="18" customFormat="1" ht="14.25" x14ac:dyDescent="0.3">
      <c r="A12" s="14" t="s">
        <v>29</v>
      </c>
      <c r="B12" s="15" t="s">
        <v>19</v>
      </c>
      <c r="C12" s="16">
        <v>52000</v>
      </c>
      <c r="D12" s="17">
        <v>595.452</v>
      </c>
      <c r="E12" s="17">
        <f t="shared" si="0"/>
        <v>3.3637910496053629</v>
      </c>
      <c r="F12" s="17" t="s">
        <v>30</v>
      </c>
      <c r="G12" s="12"/>
      <c r="H12" s="12"/>
    </row>
    <row r="13" spans="1:8" s="18" customFormat="1" ht="14.25" x14ac:dyDescent="0.3">
      <c r="A13" s="14" t="s">
        <v>31</v>
      </c>
      <c r="B13" s="15" t="s">
        <v>13</v>
      </c>
      <c r="C13" s="16">
        <v>58000</v>
      </c>
      <c r="D13" s="17">
        <v>550.50699999999995</v>
      </c>
      <c r="E13" s="17">
        <f t="shared" si="0"/>
        <v>3.1098905022488785</v>
      </c>
      <c r="F13" s="17" t="s">
        <v>32</v>
      </c>
      <c r="G13" s="12"/>
      <c r="H13" s="12"/>
    </row>
    <row r="14" spans="1:8" s="18" customFormat="1" ht="14.25" x14ac:dyDescent="0.3">
      <c r="A14" s="14" t="s">
        <v>33</v>
      </c>
      <c r="B14" s="15" t="s">
        <v>34</v>
      </c>
      <c r="C14" s="16">
        <v>11643</v>
      </c>
      <c r="D14" s="17">
        <v>513.86380499999996</v>
      </c>
      <c r="E14" s="17">
        <f t="shared" si="0"/>
        <v>2.9028880043650123</v>
      </c>
      <c r="F14" s="17" t="s">
        <v>35</v>
      </c>
      <c r="G14" s="12"/>
      <c r="H14" s="11"/>
    </row>
    <row r="15" spans="1:8" s="18" customFormat="1" ht="14.25" x14ac:dyDescent="0.3">
      <c r="A15" s="14" t="s">
        <v>36</v>
      </c>
      <c r="B15" s="15" t="s">
        <v>34</v>
      </c>
      <c r="C15" s="16">
        <v>29172</v>
      </c>
      <c r="D15" s="17">
        <v>513.39802799999995</v>
      </c>
      <c r="E15" s="17">
        <f t="shared" si="0"/>
        <v>2.90025676540081</v>
      </c>
      <c r="F15" s="17" t="s">
        <v>37</v>
      </c>
      <c r="G15" s="12"/>
      <c r="H15" s="12"/>
    </row>
    <row r="16" spans="1:8" s="18" customFormat="1" ht="14.25" x14ac:dyDescent="0.3">
      <c r="A16" s="14" t="s">
        <v>38</v>
      </c>
      <c r="B16" s="15" t="s">
        <v>34</v>
      </c>
      <c r="C16" s="16">
        <v>208000</v>
      </c>
      <c r="D16" s="17">
        <v>505.85599999999999</v>
      </c>
      <c r="E16" s="17">
        <f t="shared" si="0"/>
        <v>2.8576508017256979</v>
      </c>
      <c r="F16" s="17" t="s">
        <v>39</v>
      </c>
      <c r="G16" s="12"/>
      <c r="H16" s="19"/>
    </row>
    <row r="17" spans="1:8" s="18" customFormat="1" ht="14.25" x14ac:dyDescent="0.3">
      <c r="A17" s="14" t="s">
        <v>40</v>
      </c>
      <c r="B17" s="15" t="s">
        <v>13</v>
      </c>
      <c r="C17" s="16">
        <v>270500</v>
      </c>
      <c r="D17" s="17">
        <v>500.42500000000001</v>
      </c>
      <c r="E17" s="17">
        <f t="shared" si="0"/>
        <v>2.8269703284207015</v>
      </c>
      <c r="F17" s="17" t="s">
        <v>41</v>
      </c>
      <c r="G17" s="12"/>
      <c r="H17" s="12"/>
    </row>
    <row r="18" spans="1:8" s="18" customFormat="1" ht="14.25" x14ac:dyDescent="0.3">
      <c r="A18" s="14" t="s">
        <v>42</v>
      </c>
      <c r="B18" s="15" t="s">
        <v>13</v>
      </c>
      <c r="C18" s="16">
        <v>52200</v>
      </c>
      <c r="D18" s="17">
        <v>477.55169999999998</v>
      </c>
      <c r="E18" s="17">
        <f t="shared" si="0"/>
        <v>2.6977558798758339</v>
      </c>
      <c r="F18" s="17" t="s">
        <v>43</v>
      </c>
      <c r="G18" s="12"/>
      <c r="H18" s="12"/>
    </row>
    <row r="19" spans="1:8" s="18" customFormat="1" ht="14.25" x14ac:dyDescent="0.3">
      <c r="A19" s="14" t="s">
        <v>44</v>
      </c>
      <c r="B19" s="15" t="s">
        <v>22</v>
      </c>
      <c r="C19" s="16">
        <v>420000</v>
      </c>
      <c r="D19" s="17">
        <v>465.57</v>
      </c>
      <c r="E19" s="17">
        <f t="shared" si="0"/>
        <v>2.6300695924520676</v>
      </c>
      <c r="F19" s="17" t="s">
        <v>45</v>
      </c>
      <c r="G19" s="12"/>
      <c r="H19" s="12"/>
    </row>
    <row r="20" spans="1:8" s="18" customFormat="1" ht="14.25" x14ac:dyDescent="0.3">
      <c r="A20" s="14" t="s">
        <v>46</v>
      </c>
      <c r="B20" s="15" t="s">
        <v>16</v>
      </c>
      <c r="C20" s="16">
        <v>65000</v>
      </c>
      <c r="D20" s="17">
        <v>459.68</v>
      </c>
      <c r="E20" s="17">
        <f t="shared" si="0"/>
        <v>2.5967961643971185</v>
      </c>
      <c r="F20" s="17" t="s">
        <v>47</v>
      </c>
      <c r="G20" s="12"/>
      <c r="H20" s="12"/>
    </row>
    <row r="21" spans="1:8" s="18" customFormat="1" ht="14.25" x14ac:dyDescent="0.3">
      <c r="A21" s="14" t="s">
        <v>48</v>
      </c>
      <c r="B21" s="15" t="s">
        <v>13</v>
      </c>
      <c r="C21" s="16">
        <v>77500</v>
      </c>
      <c r="D21" s="17">
        <v>449.38375000000002</v>
      </c>
      <c r="E21" s="17">
        <f t="shared" si="0"/>
        <v>2.5386312181134567</v>
      </c>
      <c r="F21" s="17" t="s">
        <v>49</v>
      </c>
      <c r="G21" s="12"/>
      <c r="H21" s="11"/>
    </row>
    <row r="22" spans="1:8" s="18" customFormat="1" ht="14.25" x14ac:dyDescent="0.3">
      <c r="A22" s="14" t="s">
        <v>50</v>
      </c>
      <c r="B22" s="15" t="s">
        <v>51</v>
      </c>
      <c r="C22" s="16">
        <v>94436</v>
      </c>
      <c r="D22" s="17">
        <v>414.10185999999999</v>
      </c>
      <c r="E22" s="17">
        <f t="shared" si="0"/>
        <v>2.3393189212445891</v>
      </c>
      <c r="F22" s="17" t="s">
        <v>52</v>
      </c>
      <c r="G22" s="12"/>
      <c r="H22" s="11"/>
    </row>
    <row r="23" spans="1:8" s="18" customFormat="1" ht="14.25" x14ac:dyDescent="0.3">
      <c r="A23" s="14" t="s">
        <v>53</v>
      </c>
      <c r="B23" s="15" t="s">
        <v>13</v>
      </c>
      <c r="C23" s="16">
        <v>458000</v>
      </c>
      <c r="D23" s="17">
        <v>395.71199999999999</v>
      </c>
      <c r="E23" s="17">
        <f t="shared" si="0"/>
        <v>2.23543204795926</v>
      </c>
      <c r="F23" s="17" t="s">
        <v>54</v>
      </c>
      <c r="G23" s="12"/>
      <c r="H23" s="12"/>
    </row>
    <row r="24" spans="1:8" s="18" customFormat="1" ht="14.25" x14ac:dyDescent="0.3">
      <c r="A24" s="14" t="s">
        <v>55</v>
      </c>
      <c r="B24" s="15" t="s">
        <v>56</v>
      </c>
      <c r="C24" s="16">
        <v>160053</v>
      </c>
      <c r="D24" s="17">
        <v>382.20656399999996</v>
      </c>
      <c r="E24" s="17">
        <f t="shared" si="0"/>
        <v>2.1591379642416504</v>
      </c>
      <c r="F24" s="17" t="s">
        <v>57</v>
      </c>
      <c r="G24" s="12"/>
      <c r="H24" s="11"/>
    </row>
    <row r="25" spans="1:8" s="18" customFormat="1" ht="14.25" x14ac:dyDescent="0.3">
      <c r="A25" s="14" t="s">
        <v>58</v>
      </c>
      <c r="B25" s="15" t="s">
        <v>59</v>
      </c>
      <c r="C25" s="16">
        <v>4070</v>
      </c>
      <c r="D25" s="17">
        <v>381.26539000000002</v>
      </c>
      <c r="E25" s="17">
        <f t="shared" si="0"/>
        <v>2.1538211415971364</v>
      </c>
      <c r="F25" s="17" t="s">
        <v>60</v>
      </c>
      <c r="G25" s="12"/>
      <c r="H25" s="11"/>
    </row>
    <row r="26" spans="1:8" s="18" customFormat="1" ht="14.25" x14ac:dyDescent="0.3">
      <c r="A26" s="14" t="s">
        <v>61</v>
      </c>
      <c r="B26" s="15" t="s">
        <v>62</v>
      </c>
      <c r="C26" s="16">
        <v>54000</v>
      </c>
      <c r="D26" s="17">
        <v>376.56900000000002</v>
      </c>
      <c r="E26" s="17">
        <f t="shared" si="0"/>
        <v>2.1272905822112307</v>
      </c>
      <c r="F26" s="17" t="s">
        <v>63</v>
      </c>
      <c r="G26" s="12"/>
      <c r="H26" s="11"/>
    </row>
    <row r="27" spans="1:8" s="18" customFormat="1" ht="14.25" x14ac:dyDescent="0.3">
      <c r="A27" s="14" t="s">
        <v>64</v>
      </c>
      <c r="B27" s="15" t="s">
        <v>65</v>
      </c>
      <c r="C27" s="16">
        <v>24650</v>
      </c>
      <c r="D27" s="17">
        <v>361.64015000000001</v>
      </c>
      <c r="E27" s="17">
        <f t="shared" si="0"/>
        <v>2.042955435111379</v>
      </c>
      <c r="F27" s="17" t="s">
        <v>66</v>
      </c>
      <c r="G27" s="12"/>
      <c r="H27" s="11"/>
    </row>
    <row r="28" spans="1:8" s="18" customFormat="1" ht="14.25" x14ac:dyDescent="0.3">
      <c r="A28" s="14" t="s">
        <v>67</v>
      </c>
      <c r="B28" s="15" t="s">
        <v>68</v>
      </c>
      <c r="C28" s="16">
        <v>130000</v>
      </c>
      <c r="D28" s="17">
        <v>357.11</v>
      </c>
      <c r="E28" s="17">
        <f t="shared" si="0"/>
        <v>2.0173639885743455</v>
      </c>
      <c r="F28" s="17" t="s">
        <v>69</v>
      </c>
      <c r="G28" s="12"/>
      <c r="H28" s="12"/>
    </row>
    <row r="29" spans="1:8" s="18" customFormat="1" ht="14.25" x14ac:dyDescent="0.3">
      <c r="A29" s="14" t="s">
        <v>70</v>
      </c>
      <c r="B29" s="15" t="s">
        <v>34</v>
      </c>
      <c r="C29" s="16">
        <v>87044</v>
      </c>
      <c r="D29" s="17">
        <v>352.52820000000003</v>
      </c>
      <c r="E29" s="17">
        <f t="shared" si="0"/>
        <v>1.9914807640137062</v>
      </c>
      <c r="F29" s="17" t="s">
        <v>71</v>
      </c>
      <c r="G29" s="12"/>
      <c r="H29" s="11"/>
    </row>
    <row r="30" spans="1:8" s="18" customFormat="1" ht="14.25" x14ac:dyDescent="0.3">
      <c r="A30" s="14" t="s">
        <v>72</v>
      </c>
      <c r="B30" s="15" t="s">
        <v>73</v>
      </c>
      <c r="C30" s="16">
        <v>389050</v>
      </c>
      <c r="D30" s="17">
        <v>350.14499999999998</v>
      </c>
      <c r="E30" s="17">
        <f t="shared" si="0"/>
        <v>1.9780177362139513</v>
      </c>
      <c r="F30" s="17" t="s">
        <v>74</v>
      </c>
      <c r="G30" s="12"/>
      <c r="H30" s="19"/>
    </row>
    <row r="31" spans="1:8" s="18" customFormat="1" ht="14.25" x14ac:dyDescent="0.3">
      <c r="A31" s="14" t="s">
        <v>75</v>
      </c>
      <c r="B31" s="15" t="s">
        <v>76</v>
      </c>
      <c r="C31" s="16">
        <v>200000</v>
      </c>
      <c r="D31" s="17">
        <v>347.7</v>
      </c>
      <c r="E31" s="17">
        <f t="shared" si="0"/>
        <v>1.9642055916308694</v>
      </c>
      <c r="F31" s="17" t="s">
        <v>77</v>
      </c>
      <c r="G31" s="12"/>
      <c r="H31" s="11"/>
    </row>
    <row r="32" spans="1:8" s="18" customFormat="1" ht="14.25" x14ac:dyDescent="0.3">
      <c r="A32" s="14" t="s">
        <v>78</v>
      </c>
      <c r="B32" s="15" t="s">
        <v>79</v>
      </c>
      <c r="C32" s="16">
        <v>165000</v>
      </c>
      <c r="D32" s="17">
        <v>345.26249999999999</v>
      </c>
      <c r="E32" s="17">
        <f t="shared" si="0"/>
        <v>1.9504358155894539</v>
      </c>
      <c r="F32" s="17" t="s">
        <v>80</v>
      </c>
      <c r="G32" s="12"/>
      <c r="H32" s="11"/>
    </row>
    <row r="33" spans="1:8" s="18" customFormat="1" ht="14.25" x14ac:dyDescent="0.3">
      <c r="A33" s="14" t="s">
        <v>81</v>
      </c>
      <c r="B33" s="15" t="s">
        <v>82</v>
      </c>
      <c r="C33" s="16">
        <v>10371</v>
      </c>
      <c r="D33" s="17">
        <v>323.26925549999999</v>
      </c>
      <c r="E33" s="17">
        <f t="shared" si="0"/>
        <v>1.8261929227939264</v>
      </c>
      <c r="F33" s="17" t="s">
        <v>83</v>
      </c>
      <c r="G33" s="12"/>
      <c r="H33" s="12"/>
    </row>
    <row r="34" spans="1:8" s="18" customFormat="1" ht="14.25" x14ac:dyDescent="0.3">
      <c r="A34" s="14" t="s">
        <v>84</v>
      </c>
      <c r="B34" s="15" t="s">
        <v>85</v>
      </c>
      <c r="C34" s="16">
        <v>94000</v>
      </c>
      <c r="D34" s="17">
        <v>302.63299999999998</v>
      </c>
      <c r="E34" s="17">
        <f t="shared" si="0"/>
        <v>1.7096158493299536</v>
      </c>
      <c r="F34" s="17" t="s">
        <v>86</v>
      </c>
      <c r="G34" s="12"/>
      <c r="H34" s="11"/>
    </row>
    <row r="35" spans="1:8" s="18" customFormat="1" ht="14.25" x14ac:dyDescent="0.3">
      <c r="A35" s="14" t="s">
        <v>87</v>
      </c>
      <c r="B35" s="15" t="s">
        <v>85</v>
      </c>
      <c r="C35" s="16">
        <v>309765</v>
      </c>
      <c r="D35" s="17">
        <v>285.44844749999999</v>
      </c>
      <c r="E35" s="17">
        <f t="shared" si="0"/>
        <v>1.6125379255158203</v>
      </c>
      <c r="F35" s="17" t="s">
        <v>88</v>
      </c>
      <c r="G35" s="12"/>
      <c r="H35" s="11"/>
    </row>
    <row r="36" spans="1:8" s="18" customFormat="1" ht="14.25" x14ac:dyDescent="0.3">
      <c r="A36" s="14" t="s">
        <v>89</v>
      </c>
      <c r="B36" s="15" t="s">
        <v>90</v>
      </c>
      <c r="C36" s="16">
        <v>205000</v>
      </c>
      <c r="D36" s="17">
        <v>275.93</v>
      </c>
      <c r="E36" s="17">
        <f t="shared" si="0"/>
        <v>1.558766893582703</v>
      </c>
      <c r="F36" s="17" t="s">
        <v>91</v>
      </c>
      <c r="G36" s="12"/>
      <c r="H36" s="12"/>
    </row>
    <row r="37" spans="1:8" s="18" customFormat="1" ht="14.25" x14ac:dyDescent="0.3">
      <c r="A37" s="14" t="s">
        <v>92</v>
      </c>
      <c r="B37" s="15" t="s">
        <v>93</v>
      </c>
      <c r="C37" s="16">
        <v>26000</v>
      </c>
      <c r="D37" s="17">
        <v>275.17099999999999</v>
      </c>
      <c r="E37" s="17">
        <f t="shared" si="0"/>
        <v>1.5544791971661145</v>
      </c>
      <c r="F37" s="17" t="s">
        <v>94</v>
      </c>
      <c r="G37" s="12"/>
      <c r="H37" s="12"/>
    </row>
    <row r="38" spans="1:8" s="18" customFormat="1" ht="14.25" x14ac:dyDescent="0.3">
      <c r="A38" s="14" t="s">
        <v>95</v>
      </c>
      <c r="B38" s="15" t="s">
        <v>16</v>
      </c>
      <c r="C38" s="16">
        <v>90010</v>
      </c>
      <c r="D38" s="17">
        <v>255.89842999999999</v>
      </c>
      <c r="E38" s="17">
        <f t="shared" si="0"/>
        <v>1.4456057724922653</v>
      </c>
      <c r="F38" s="17" t="s">
        <v>96</v>
      </c>
      <c r="G38" s="12"/>
      <c r="H38" s="11"/>
    </row>
    <row r="39" spans="1:8" s="18" customFormat="1" ht="14.25" x14ac:dyDescent="0.3">
      <c r="A39" s="14" t="s">
        <v>97</v>
      </c>
      <c r="B39" s="15" t="s">
        <v>16</v>
      </c>
      <c r="C39" s="16">
        <v>71000</v>
      </c>
      <c r="D39" s="17">
        <v>245.48249999999999</v>
      </c>
      <c r="E39" s="17">
        <f t="shared" si="0"/>
        <v>1.3867647372663934</v>
      </c>
      <c r="F39" s="17" t="s">
        <v>98</v>
      </c>
      <c r="G39" s="12"/>
      <c r="H39" s="11"/>
    </row>
    <row r="40" spans="1:8" s="18" customFormat="1" ht="14.25" x14ac:dyDescent="0.3">
      <c r="A40" s="14" t="s">
        <v>99</v>
      </c>
      <c r="B40" s="15" t="s">
        <v>100</v>
      </c>
      <c r="C40" s="16">
        <v>59500</v>
      </c>
      <c r="D40" s="17">
        <v>233.65649999999999</v>
      </c>
      <c r="E40" s="17">
        <f t="shared" si="0"/>
        <v>1.3199580207676107</v>
      </c>
      <c r="F40" s="17" t="s">
        <v>101</v>
      </c>
      <c r="G40" s="12"/>
      <c r="H40" s="12"/>
    </row>
    <row r="41" spans="1:8" s="18" customFormat="1" ht="14.25" x14ac:dyDescent="0.3">
      <c r="A41" s="14" t="s">
        <v>102</v>
      </c>
      <c r="B41" s="15" t="s">
        <v>56</v>
      </c>
      <c r="C41" s="16">
        <v>84000</v>
      </c>
      <c r="D41" s="17">
        <v>230.83199999999999</v>
      </c>
      <c r="E41" s="17">
        <f t="shared" si="0"/>
        <v>1.304002027976235</v>
      </c>
      <c r="F41" s="17" t="s">
        <v>103</v>
      </c>
      <c r="G41" s="12"/>
      <c r="H41" s="12"/>
    </row>
    <row r="42" spans="1:8" s="18" customFormat="1" ht="14.25" x14ac:dyDescent="0.3">
      <c r="A42" s="14" t="s">
        <v>104</v>
      </c>
      <c r="B42" s="15" t="s">
        <v>105</v>
      </c>
      <c r="C42" s="16">
        <v>56500</v>
      </c>
      <c r="D42" s="17">
        <v>229.33349999999999</v>
      </c>
      <c r="E42" s="17">
        <f t="shared" si="0"/>
        <v>1.2955367933513893</v>
      </c>
      <c r="F42" s="17" t="s">
        <v>106</v>
      </c>
      <c r="G42" s="12"/>
      <c r="H42" s="12"/>
    </row>
    <row r="43" spans="1:8" s="18" customFormat="1" ht="14.25" x14ac:dyDescent="0.3">
      <c r="A43" s="14" t="s">
        <v>107</v>
      </c>
      <c r="B43" s="15" t="s">
        <v>19</v>
      </c>
      <c r="C43" s="16">
        <v>19450</v>
      </c>
      <c r="D43" s="17">
        <v>216.97447500000001</v>
      </c>
      <c r="E43" s="17">
        <f t="shared" si="0"/>
        <v>1.2257189445964116</v>
      </c>
      <c r="F43" s="17" t="s">
        <v>108</v>
      </c>
      <c r="G43" s="12"/>
      <c r="H43" s="11"/>
    </row>
    <row r="44" spans="1:8" s="18" customFormat="1" ht="14.25" x14ac:dyDescent="0.3">
      <c r="A44" s="14" t="s">
        <v>109</v>
      </c>
      <c r="B44" s="15" t="s">
        <v>19</v>
      </c>
      <c r="C44" s="16">
        <v>62000</v>
      </c>
      <c r="D44" s="17">
        <v>212.97</v>
      </c>
      <c r="E44" s="17">
        <f t="shared" si="0"/>
        <v>1.2030971091447404</v>
      </c>
      <c r="F44" s="17" t="s">
        <v>110</v>
      </c>
      <c r="G44" s="12"/>
      <c r="H44" s="12"/>
    </row>
    <row r="45" spans="1:8" s="18" customFormat="1" ht="14.25" x14ac:dyDescent="0.3">
      <c r="A45" s="14" t="s">
        <v>111</v>
      </c>
      <c r="B45" s="15" t="s">
        <v>56</v>
      </c>
      <c r="C45" s="16">
        <v>10000</v>
      </c>
      <c r="D45" s="17">
        <v>211.67</v>
      </c>
      <c r="E45" s="17">
        <f t="shared" si="0"/>
        <v>1.1957532285893187</v>
      </c>
      <c r="F45" s="17" t="s">
        <v>112</v>
      </c>
      <c r="G45" s="12"/>
      <c r="H45" s="12"/>
    </row>
    <row r="46" spans="1:8" s="18" customFormat="1" ht="14.25" x14ac:dyDescent="0.3">
      <c r="A46" s="14" t="s">
        <v>113</v>
      </c>
      <c r="B46" s="15" t="s">
        <v>34</v>
      </c>
      <c r="C46" s="16">
        <v>62979</v>
      </c>
      <c r="D46" s="17">
        <v>210.06645449999999</v>
      </c>
      <c r="E46" s="17">
        <f t="shared" si="0"/>
        <v>1.1866945773453312</v>
      </c>
      <c r="F46" s="17" t="s">
        <v>114</v>
      </c>
      <c r="G46" s="12"/>
      <c r="H46" s="11"/>
    </row>
    <row r="47" spans="1:8" s="18" customFormat="1" ht="14.25" x14ac:dyDescent="0.3">
      <c r="A47" s="14" t="s">
        <v>115</v>
      </c>
      <c r="B47" s="15" t="s">
        <v>116</v>
      </c>
      <c r="C47" s="16">
        <v>75000</v>
      </c>
      <c r="D47" s="17">
        <v>208.72499999999999</v>
      </c>
      <c r="E47" s="17">
        <f t="shared" si="0"/>
        <v>1.1791165145618443</v>
      </c>
      <c r="F47" s="17" t="s">
        <v>117</v>
      </c>
      <c r="G47" s="12"/>
      <c r="H47" s="11"/>
    </row>
    <row r="48" spans="1:8" s="18" customFormat="1" ht="14.25" x14ac:dyDescent="0.3">
      <c r="A48" s="14" t="s">
        <v>118</v>
      </c>
      <c r="B48" s="15" t="s">
        <v>65</v>
      </c>
      <c r="C48" s="16">
        <v>12500</v>
      </c>
      <c r="D48" s="17">
        <v>173.78749999999999</v>
      </c>
      <c r="E48" s="17">
        <f t="shared" si="0"/>
        <v>0.98174972463488563</v>
      </c>
      <c r="F48" s="17" t="s">
        <v>119</v>
      </c>
      <c r="G48" s="12"/>
      <c r="H48" s="12"/>
    </row>
    <row r="49" spans="1:8" s="18" customFormat="1" ht="14.25" x14ac:dyDescent="0.3">
      <c r="A49" s="14" t="s">
        <v>120</v>
      </c>
      <c r="B49" s="15" t="s">
        <v>56</v>
      </c>
      <c r="C49" s="16">
        <v>12000</v>
      </c>
      <c r="D49" s="17">
        <v>171.20400000000001</v>
      </c>
      <c r="E49" s="17">
        <f t="shared" si="0"/>
        <v>0.9671551743157073</v>
      </c>
      <c r="F49" s="17" t="s">
        <v>121</v>
      </c>
      <c r="G49" s="12"/>
      <c r="H49" s="11"/>
    </row>
    <row r="50" spans="1:8" s="18" customFormat="1" ht="14.25" x14ac:dyDescent="0.3">
      <c r="A50" s="14" t="s">
        <v>122</v>
      </c>
      <c r="B50" s="15" t="s">
        <v>27</v>
      </c>
      <c r="C50" s="16">
        <v>6080</v>
      </c>
      <c r="D50" s="17">
        <v>68.162880000000001</v>
      </c>
      <c r="E50" s="17">
        <f t="shared" si="0"/>
        <v>0.38506157617964903</v>
      </c>
      <c r="F50" s="17" t="s">
        <v>123</v>
      </c>
      <c r="G50" s="12"/>
      <c r="H50" s="12"/>
    </row>
    <row r="51" spans="1:8" s="18" customFormat="1" ht="14.25" x14ac:dyDescent="0.3">
      <c r="A51" s="13" t="s">
        <v>124</v>
      </c>
      <c r="B51" s="15"/>
      <c r="C51" s="16"/>
      <c r="D51" s="20">
        <f>IF(ISERROR(SUM(D6:D50)),0,SUM(D6:D50))</f>
        <v>17432.907640000001</v>
      </c>
      <c r="E51" s="20">
        <f>IF(ISERROR(SUM(E6:E50)),0,SUM(E6:E50))</f>
        <v>98.480916493737439</v>
      </c>
      <c r="F51" s="20"/>
      <c r="G51" s="12"/>
      <c r="H51" s="11"/>
    </row>
    <row r="52" spans="1:8" s="18" customFormat="1" ht="14.25" x14ac:dyDescent="0.3">
      <c r="A52" s="13"/>
      <c r="B52" s="13"/>
      <c r="C52" s="21"/>
      <c r="D52" s="22"/>
      <c r="E52" s="22"/>
      <c r="F52" s="22"/>
      <c r="G52" s="12"/>
      <c r="H52" s="11"/>
    </row>
    <row r="53" spans="1:8" s="18" customFormat="1" ht="14.25" x14ac:dyDescent="0.3">
      <c r="A53" s="13" t="s">
        <v>125</v>
      </c>
      <c r="B53" s="13"/>
      <c r="C53" s="21"/>
      <c r="D53" s="23" t="s">
        <v>126</v>
      </c>
      <c r="E53" s="23" t="s">
        <v>126</v>
      </c>
      <c r="F53" s="23"/>
      <c r="G53" s="12"/>
      <c r="H53" s="11"/>
    </row>
    <row r="54" spans="1:8" s="18" customFormat="1" ht="14.25" x14ac:dyDescent="0.3">
      <c r="A54" s="13"/>
      <c r="B54" s="6"/>
      <c r="C54" s="21"/>
      <c r="D54" s="23"/>
      <c r="E54" s="23"/>
      <c r="F54" s="24"/>
      <c r="G54" s="12"/>
      <c r="H54" s="11"/>
    </row>
    <row r="55" spans="1:8" s="18" customFormat="1" ht="14.25" x14ac:dyDescent="0.3">
      <c r="A55" s="13" t="s">
        <v>127</v>
      </c>
      <c r="B55" s="13"/>
      <c r="C55" s="21"/>
      <c r="D55" s="20">
        <f>IF(ISERROR(+D51),0,D51)+IF(ISERROR(+#REF!),0,#REF!)</f>
        <v>17432.907640000001</v>
      </c>
      <c r="E55" s="20">
        <f>IF(ISERROR(+E51),0,E51)+IF(ISERROR(+#REF!),0,#REF!)</f>
        <v>98.480916493737439</v>
      </c>
      <c r="F55" s="25"/>
      <c r="G55" s="12"/>
      <c r="H55" s="11"/>
    </row>
    <row r="56" spans="1:8" s="18" customFormat="1" ht="14.25" x14ac:dyDescent="0.3">
      <c r="A56" s="13"/>
      <c r="B56" s="6"/>
      <c r="C56" s="21"/>
      <c r="D56" s="23"/>
      <c r="E56" s="23"/>
      <c r="F56" s="24"/>
      <c r="G56" s="12"/>
      <c r="H56" s="11"/>
    </row>
    <row r="57" spans="1:8" s="18" customFormat="1" ht="14.25" x14ac:dyDescent="0.3">
      <c r="A57" s="13" t="s">
        <v>128</v>
      </c>
      <c r="B57" s="6"/>
      <c r="C57" s="21"/>
      <c r="D57" s="23"/>
      <c r="E57" s="23"/>
      <c r="F57" s="24"/>
      <c r="G57" s="12"/>
      <c r="H57" s="11"/>
    </row>
    <row r="58" spans="1:8" s="18" customFormat="1" ht="14.25" x14ac:dyDescent="0.3">
      <c r="A58" s="13" t="s">
        <v>11</v>
      </c>
      <c r="B58" s="6"/>
      <c r="C58" s="21"/>
      <c r="D58" s="23" t="s">
        <v>126</v>
      </c>
      <c r="E58" s="23" t="s">
        <v>126</v>
      </c>
      <c r="F58" s="26"/>
      <c r="G58" s="12"/>
      <c r="H58" s="11"/>
    </row>
    <row r="59" spans="1:8" s="18" customFormat="1" ht="14.25" x14ac:dyDescent="0.3">
      <c r="A59" s="13"/>
      <c r="B59" s="6"/>
      <c r="C59" s="27"/>
      <c r="D59" s="26"/>
      <c r="E59" s="26"/>
      <c r="F59" s="26"/>
      <c r="G59" s="12"/>
      <c r="H59" s="11"/>
    </row>
    <row r="60" spans="1:8" s="18" customFormat="1" ht="14.25" x14ac:dyDescent="0.3">
      <c r="A60" s="13" t="s">
        <v>129</v>
      </c>
      <c r="B60" s="6"/>
      <c r="C60" s="27"/>
      <c r="D60" s="23" t="s">
        <v>126</v>
      </c>
      <c r="E60" s="23" t="s">
        <v>126</v>
      </c>
      <c r="F60" s="24"/>
      <c r="G60" s="12"/>
      <c r="H60" s="11"/>
    </row>
    <row r="61" spans="1:8" s="18" customFormat="1" ht="14.25" x14ac:dyDescent="0.3">
      <c r="A61" s="13"/>
      <c r="B61" s="6"/>
      <c r="C61" s="27"/>
      <c r="D61" s="26"/>
      <c r="E61" s="26"/>
      <c r="F61" s="26"/>
      <c r="G61" s="12"/>
      <c r="H61" s="11"/>
    </row>
    <row r="62" spans="1:8" s="18" customFormat="1" ht="14.25" x14ac:dyDescent="0.3">
      <c r="A62" s="13" t="s">
        <v>130</v>
      </c>
      <c r="B62" s="6"/>
      <c r="C62" s="27"/>
      <c r="D62" s="23"/>
      <c r="E62" s="23"/>
      <c r="F62" s="23"/>
      <c r="G62" s="12"/>
      <c r="H62" s="11"/>
    </row>
    <row r="63" spans="1:8" s="18" customFormat="1" ht="14.25" x14ac:dyDescent="0.3">
      <c r="A63" s="13"/>
      <c r="B63" s="6"/>
      <c r="C63" s="27"/>
      <c r="D63" s="17"/>
      <c r="E63" s="17"/>
      <c r="F63" s="28"/>
      <c r="G63" s="12"/>
      <c r="H63" s="11"/>
    </row>
    <row r="64" spans="1:8" s="18" customFormat="1" ht="14.25" x14ac:dyDescent="0.3">
      <c r="A64" s="13" t="s">
        <v>131</v>
      </c>
      <c r="B64" s="6"/>
      <c r="C64" s="27"/>
      <c r="D64" s="23" t="s">
        <v>126</v>
      </c>
      <c r="E64" s="23" t="s">
        <v>126</v>
      </c>
      <c r="F64" s="23"/>
      <c r="G64" s="12"/>
      <c r="H64" s="11"/>
    </row>
    <row r="65" spans="1:8" s="18" customFormat="1" ht="14.25" x14ac:dyDescent="0.3">
      <c r="A65" s="13"/>
      <c r="B65" s="6"/>
      <c r="C65" s="27"/>
      <c r="D65" s="23"/>
      <c r="E65" s="23"/>
      <c r="F65" s="23"/>
      <c r="G65" s="12"/>
      <c r="H65" s="11"/>
    </row>
    <row r="66" spans="1:8" s="18" customFormat="1" ht="14.25" x14ac:dyDescent="0.3">
      <c r="A66" s="13" t="s">
        <v>132</v>
      </c>
      <c r="B66" s="6"/>
      <c r="C66" s="27"/>
      <c r="D66" s="23" t="s">
        <v>126</v>
      </c>
      <c r="E66" s="23" t="s">
        <v>126</v>
      </c>
      <c r="F66" s="23"/>
      <c r="G66" s="12"/>
      <c r="H66" s="11"/>
    </row>
    <row r="67" spans="1:8" s="18" customFormat="1" ht="14.25" x14ac:dyDescent="0.3">
      <c r="A67" s="13"/>
      <c r="B67" s="6"/>
      <c r="C67" s="27"/>
      <c r="D67" s="23"/>
      <c r="E67" s="23"/>
      <c r="F67" s="23"/>
      <c r="G67" s="12"/>
      <c r="H67" s="11"/>
    </row>
    <row r="68" spans="1:8" s="18" customFormat="1" ht="14.25" x14ac:dyDescent="0.3">
      <c r="A68" s="13" t="s">
        <v>133</v>
      </c>
      <c r="B68" s="6"/>
      <c r="C68" s="27"/>
      <c r="D68" s="23"/>
      <c r="E68" s="23"/>
      <c r="F68" s="24"/>
      <c r="G68" s="12"/>
      <c r="H68" s="11"/>
    </row>
    <row r="69" spans="1:8" s="18" customFormat="1" ht="14.25" x14ac:dyDescent="0.3">
      <c r="A69" s="13"/>
      <c r="B69" s="29"/>
      <c r="C69" s="30"/>
      <c r="D69" s="26"/>
      <c r="E69" s="26"/>
      <c r="F69" s="31"/>
      <c r="G69" s="12"/>
      <c r="H69" s="11"/>
    </row>
    <row r="70" spans="1:8" s="18" customFormat="1" ht="14.25" x14ac:dyDescent="0.3">
      <c r="A70" s="14" t="s">
        <v>134</v>
      </c>
      <c r="B70" s="15"/>
      <c r="C70" s="16">
        <v>0</v>
      </c>
      <c r="D70" s="17">
        <v>3.3359999999999999</v>
      </c>
      <c r="E70" s="17">
        <f>(+D70/$D$77*100)</f>
        <v>1.884552733298988E-2</v>
      </c>
      <c r="F70" s="17" t="s">
        <v>135</v>
      </c>
      <c r="G70" s="12">
        <v>6.2098000000000004</v>
      </c>
      <c r="H70" s="11"/>
    </row>
    <row r="71" spans="1:8" s="18" customFormat="1" ht="14.25" x14ac:dyDescent="0.3">
      <c r="A71" s="13" t="s">
        <v>124</v>
      </c>
      <c r="B71" s="6"/>
      <c r="C71" s="27"/>
      <c r="D71" s="23">
        <f>IF(ISERROR(SUM(D70:D70)),0,SUM(D70:D70))</f>
        <v>3.3359999999999999</v>
      </c>
      <c r="E71" s="23">
        <f>IF(ISERROR(SUM(E70:E70)),0,SUM(E70:E70))</f>
        <v>1.884552733298988E-2</v>
      </c>
      <c r="F71" s="17"/>
      <c r="G71" s="12"/>
      <c r="H71" s="11"/>
    </row>
    <row r="72" spans="1:8" s="18" customFormat="1" ht="14.25" x14ac:dyDescent="0.3">
      <c r="A72" s="13"/>
      <c r="B72" s="6"/>
      <c r="C72" s="27"/>
      <c r="D72" s="23"/>
      <c r="E72" s="23"/>
      <c r="F72" s="23"/>
      <c r="G72" s="12"/>
      <c r="H72" s="11"/>
    </row>
    <row r="73" spans="1:8" s="18" customFormat="1" ht="14.25" x14ac:dyDescent="0.3">
      <c r="A73" s="13" t="s">
        <v>127</v>
      </c>
      <c r="B73" s="6"/>
      <c r="C73" s="27" t="s">
        <v>136</v>
      </c>
      <c r="D73" s="23">
        <f>+IF(ISERROR(#REF!),0,#REF!)+IF(ISERROR(D71),0,D71)+IF(ISERROR(D55),0,D55)+IF(ISERROR(#REF!),0,#REF!)+IF(ISERROR(#REF!),0,#REF!)+IF(ISERROR(#REF!),0,#REF!)+IF(ISERROR(#REF!),0,#REF!)+IF(ISERROR(#REF!),0,#REF!)+IF(ISERROR(#REF!),0,#REF!)</f>
        <v>17436.243640000001</v>
      </c>
      <c r="E73" s="23">
        <f>+IF(ISERROR(#REF!),0,#REF!)+IF(ISERROR(E71),0,E71)+IF(ISERROR(E55),0,E55)+IF(ISERROR(#REF!),0,#REF!)+IF(ISERROR(#REF!),0,#REF!)+IF(ISERROR(#REF!),0,#REF!)+IF(ISERROR(#REF!),0,#REF!)+IF(ISERROR(#REF!),0,#REF!)+IF(ISERROR(#REF!),0,#REF!)</f>
        <v>98.499762021070424</v>
      </c>
      <c r="F73" s="23"/>
      <c r="G73" s="12"/>
      <c r="H73" s="11"/>
    </row>
    <row r="74" spans="1:8" s="18" customFormat="1" ht="14.25" x14ac:dyDescent="0.3">
      <c r="A74" s="13"/>
      <c r="B74" s="6"/>
      <c r="C74" s="27"/>
      <c r="D74" s="23"/>
      <c r="E74" s="23"/>
      <c r="F74" s="32"/>
      <c r="G74" s="33"/>
      <c r="H74" s="34"/>
    </row>
    <row r="75" spans="1:8" s="18" customFormat="1" ht="14.25" x14ac:dyDescent="0.3">
      <c r="A75" s="13" t="s">
        <v>137</v>
      </c>
      <c r="B75" s="6"/>
      <c r="C75" s="27"/>
      <c r="D75" s="23">
        <f>+D77-D73</f>
        <v>265.56932099999904</v>
      </c>
      <c r="E75" s="23">
        <f>D75/$D$77*100</f>
        <v>1.5002379789295699</v>
      </c>
      <c r="F75" s="32"/>
      <c r="G75" s="33"/>
      <c r="H75" s="34"/>
    </row>
    <row r="76" spans="1:8" s="18" customFormat="1" ht="14.25" x14ac:dyDescent="0.3">
      <c r="A76" s="13"/>
      <c r="B76" s="6"/>
      <c r="C76" s="27"/>
      <c r="D76" s="26"/>
      <c r="E76" s="26"/>
      <c r="F76" s="32"/>
      <c r="G76" s="33"/>
      <c r="H76" s="34"/>
    </row>
    <row r="77" spans="1:8" s="18" customFormat="1" ht="14.25" x14ac:dyDescent="0.3">
      <c r="A77" s="13" t="s">
        <v>138</v>
      </c>
      <c r="B77" s="6"/>
      <c r="C77" s="27"/>
      <c r="D77" s="23">
        <v>17701.812961</v>
      </c>
      <c r="E77" s="23">
        <f>+E73+E75</f>
        <v>100</v>
      </c>
      <c r="F77" s="32"/>
      <c r="G77" s="33"/>
      <c r="H77" s="34"/>
    </row>
    <row r="78" spans="1:8" s="18" customFormat="1" ht="14.25" x14ac:dyDescent="0.3">
      <c r="A78" s="35"/>
      <c r="B78" s="36"/>
      <c r="C78" s="37"/>
      <c r="D78" s="38"/>
      <c r="E78" s="38"/>
      <c r="F78" s="32"/>
      <c r="G78" s="33"/>
      <c r="H78" s="34"/>
    </row>
    <row r="79" spans="1:8" ht="13.5" x14ac:dyDescent="0.2">
      <c r="A79" s="61" t="s">
        <v>139</v>
      </c>
      <c r="B79" s="61"/>
      <c r="C79" s="61"/>
      <c r="D79" s="61"/>
      <c r="E79" s="61"/>
      <c r="F79" s="62"/>
      <c r="G79" s="62"/>
      <c r="H79" s="62"/>
    </row>
    <row r="80" spans="1:8" ht="27.75" customHeight="1" x14ac:dyDescent="0.2">
      <c r="A80" s="61" t="s">
        <v>140</v>
      </c>
      <c r="B80" s="61"/>
      <c r="C80" s="61"/>
      <c r="D80" s="61"/>
      <c r="E80" s="61"/>
      <c r="F80" s="61"/>
      <c r="G80" s="61"/>
      <c r="H80" s="61"/>
    </row>
    <row r="81" spans="1:8" ht="13.5" x14ac:dyDescent="0.2">
      <c r="A81" s="63" t="s">
        <v>141</v>
      </c>
      <c r="B81" s="63"/>
      <c r="C81" s="63"/>
      <c r="D81" s="63"/>
      <c r="E81" s="63"/>
      <c r="F81" s="62"/>
      <c r="G81" s="62"/>
      <c r="H81" s="62"/>
    </row>
    <row r="82" spans="1:8" ht="59.25" customHeight="1" x14ac:dyDescent="0.2">
      <c r="A82" s="64" t="s">
        <v>142</v>
      </c>
      <c r="B82" s="64"/>
      <c r="C82" s="64"/>
      <c r="D82" s="64"/>
      <c r="E82" s="64"/>
      <c r="F82" s="62"/>
      <c r="G82" s="62"/>
      <c r="H82" s="62"/>
    </row>
    <row r="83" spans="1:8" ht="14.25" x14ac:dyDescent="0.3">
      <c r="A83" s="39"/>
      <c r="B83" s="40"/>
      <c r="C83" s="41"/>
      <c r="D83" s="42"/>
      <c r="E83" s="43"/>
      <c r="F83" s="44"/>
      <c r="G83" s="45"/>
      <c r="H83" s="45"/>
    </row>
    <row r="84" spans="1:8" ht="14.25" x14ac:dyDescent="0.3">
      <c r="A84" s="46" t="s">
        <v>143</v>
      </c>
      <c r="B84" s="47"/>
      <c r="C84" s="47"/>
      <c r="D84" s="47"/>
      <c r="E84" s="44"/>
      <c r="F84" s="44"/>
      <c r="G84" s="45"/>
      <c r="H84" s="45"/>
    </row>
    <row r="85" spans="1:8" ht="14.25" x14ac:dyDescent="0.3">
      <c r="A85" s="48" t="s">
        <v>144</v>
      </c>
      <c r="B85" s="47"/>
      <c r="C85" s="47"/>
      <c r="D85" s="47"/>
      <c r="E85" s="44"/>
      <c r="F85" s="44"/>
      <c r="G85" s="45"/>
      <c r="H85" s="45"/>
    </row>
    <row r="86" spans="1:8" ht="14.25" x14ac:dyDescent="0.3">
      <c r="A86" s="48" t="s">
        <v>145</v>
      </c>
      <c r="B86" s="47"/>
      <c r="C86" s="47"/>
      <c r="D86" s="47"/>
      <c r="E86" s="44"/>
      <c r="F86" s="44"/>
      <c r="G86" s="45"/>
      <c r="H86" s="45"/>
    </row>
    <row r="87" spans="1:8" ht="14.25" x14ac:dyDescent="0.3">
      <c r="A87" s="48" t="s">
        <v>146</v>
      </c>
      <c r="B87" s="47"/>
      <c r="C87" s="47"/>
      <c r="D87" s="47"/>
      <c r="E87" s="44"/>
      <c r="F87" s="44"/>
      <c r="G87" s="44"/>
      <c r="H87" s="44"/>
    </row>
    <row r="88" spans="1:8" ht="14.25" x14ac:dyDescent="0.3">
      <c r="A88" s="49"/>
      <c r="B88" s="50"/>
      <c r="C88" s="51"/>
      <c r="D88" s="51"/>
      <c r="E88" s="51"/>
      <c r="F88" s="51"/>
      <c r="G88" s="44"/>
      <c r="H88" s="44"/>
    </row>
    <row r="89" spans="1:8" ht="14.25" x14ac:dyDescent="0.3">
      <c r="A89" s="49" t="s">
        <v>147</v>
      </c>
      <c r="B89" s="52" t="s">
        <v>148</v>
      </c>
      <c r="C89" s="52"/>
      <c r="D89" s="52"/>
      <c r="E89" s="52"/>
      <c r="F89" s="44"/>
      <c r="G89" s="44"/>
      <c r="H89" s="44"/>
    </row>
    <row r="90" spans="1:8" ht="14.25" x14ac:dyDescent="0.3">
      <c r="A90" s="47"/>
      <c r="B90" s="50"/>
      <c r="C90" s="53"/>
      <c r="D90" s="47"/>
      <c r="E90" s="47"/>
      <c r="F90" s="44"/>
      <c r="G90" s="44"/>
      <c r="H90" s="44"/>
    </row>
    <row r="91" spans="1:8" ht="14.25" x14ac:dyDescent="0.3">
      <c r="A91" s="47"/>
      <c r="B91" s="50"/>
      <c r="C91" s="53"/>
      <c r="D91" s="47"/>
      <c r="E91" s="47"/>
      <c r="F91" s="44"/>
      <c r="G91" s="44"/>
      <c r="H91" s="44"/>
    </row>
    <row r="92" spans="1:8" ht="14.25" x14ac:dyDescent="0.3">
      <c r="A92" s="47"/>
      <c r="B92" s="50"/>
      <c r="C92" s="53"/>
      <c r="D92" s="47"/>
      <c r="E92" s="47"/>
      <c r="F92" s="44"/>
      <c r="G92" s="44"/>
      <c r="H92" s="44"/>
    </row>
    <row r="93" spans="1:8" ht="14.25" x14ac:dyDescent="0.3">
      <c r="A93" s="47"/>
      <c r="B93" s="50"/>
      <c r="C93" s="53"/>
      <c r="D93" s="47"/>
      <c r="E93" s="47"/>
      <c r="F93" s="44"/>
      <c r="G93" s="44"/>
      <c r="H93" s="44"/>
    </row>
    <row r="94" spans="1:8" ht="14.25" x14ac:dyDescent="0.3">
      <c r="A94" s="47"/>
      <c r="B94" s="50"/>
      <c r="C94" s="53"/>
      <c r="D94" s="47"/>
      <c r="E94" s="47"/>
      <c r="F94" s="44"/>
      <c r="G94" s="44"/>
      <c r="H94" s="44"/>
    </row>
    <row r="95" spans="1:8" ht="14.25" x14ac:dyDescent="0.3">
      <c r="A95" s="47"/>
      <c r="B95" s="50"/>
      <c r="C95" s="53"/>
      <c r="D95" s="47"/>
      <c r="E95" s="47"/>
      <c r="F95" s="44"/>
      <c r="G95" s="44"/>
      <c r="H95" s="44"/>
    </row>
    <row r="96" spans="1:8" ht="14.25" x14ac:dyDescent="0.3">
      <c r="A96" s="47"/>
      <c r="B96" s="50"/>
      <c r="C96" s="53"/>
      <c r="D96" s="47"/>
      <c r="E96" s="47"/>
      <c r="F96" s="44"/>
      <c r="G96" s="44"/>
      <c r="H96" s="44"/>
    </row>
  </sheetData>
  <mergeCells count="6">
    <mergeCell ref="A82:H82"/>
    <mergeCell ref="A1:H1"/>
    <mergeCell ref="A2:F2"/>
    <mergeCell ref="A79:H79"/>
    <mergeCell ref="A80:H80"/>
    <mergeCell ref="A81:H8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Santosh Parab</cp:lastModifiedBy>
  <dcterms:created xsi:type="dcterms:W3CDTF">2023-06-01T18:10:47Z</dcterms:created>
  <dcterms:modified xsi:type="dcterms:W3CDTF">2023-06-05T06:01:14Z</dcterms:modified>
</cp:coreProperties>
</file>