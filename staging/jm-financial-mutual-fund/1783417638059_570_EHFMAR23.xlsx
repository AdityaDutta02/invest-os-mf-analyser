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ch 2023\MonthlyHalf yearly\Portfolio for sent\"/>
    </mc:Choice>
  </mc:AlternateContent>
  <bookViews>
    <workbookView xWindow="0" yWindow="0" windowWidth="20490" windowHeight="7770"/>
  </bookViews>
  <sheets>
    <sheet name="BF" sheetId="1" r:id="rId1"/>
  </sheets>
  <externalReferences>
    <externalReference r:id="rId2"/>
    <externalReference r:id="rId3"/>
    <externalReference r:id="rId4"/>
  </externalReferences>
  <definedNames>
    <definedName name="_xlnm._FilterDatabase" localSheetId="0" hidden="1">BF!$A$3:$F$58</definedName>
    <definedName name="Afs">#REF!</definedName>
    <definedName name="_xlnm.Database">#REF!</definedName>
    <definedName name="EBLDB">#REF!</definedName>
    <definedName name="fl">#REF!</definedName>
    <definedName name="_xlnm.Print_Area" localSheetId="0">BF!$A$1:$E$49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3" i="1" l="1"/>
  <c r="D51" i="1"/>
  <c r="E50" i="1"/>
  <c r="E51" i="1" s="1"/>
  <c r="D47" i="1"/>
  <c r="E46" i="1"/>
  <c r="E45" i="1"/>
  <c r="D27" i="1"/>
  <c r="D31" i="1" s="1"/>
  <c r="E26" i="1"/>
  <c r="E25" i="1"/>
  <c r="E24" i="1"/>
  <c r="E23" i="1"/>
  <c r="E22" i="1"/>
  <c r="E21" i="1"/>
  <c r="E20" i="1"/>
  <c r="E19" i="1"/>
  <c r="E18" i="1"/>
  <c r="E17" i="1"/>
  <c r="E16" i="1"/>
  <c r="E15" i="1"/>
  <c r="E14" i="1"/>
  <c r="E13" i="1"/>
  <c r="E12" i="1"/>
  <c r="E11" i="1"/>
  <c r="E10" i="1"/>
  <c r="E9" i="1"/>
  <c r="E8" i="1"/>
  <c r="E7" i="1"/>
  <c r="E6" i="1"/>
  <c r="E27" i="1" l="1"/>
  <c r="E31" i="1" s="1"/>
  <c r="E47" i="1"/>
  <c r="D53" i="1"/>
  <c r="D55" i="1" s="1"/>
  <c r="E55" i="1" s="1"/>
  <c r="E53" i="1" l="1"/>
  <c r="E57" i="1" s="1"/>
</calcChain>
</file>

<file path=xl/sharedStrings.xml><?xml version="1.0" encoding="utf-8"?>
<sst xmlns="http://schemas.openxmlformats.org/spreadsheetml/2006/main" count="116" uniqueCount="100">
  <si>
    <t>JM Equity Hybrid Fund (An open ended hybrid scheme investing predominantly in equity and equity related instruments).</t>
  </si>
  <si>
    <t>Portfolio as on 31.03.2023</t>
  </si>
  <si>
    <t>Name of the Instruments</t>
  </si>
  <si>
    <t>Industry/Rating</t>
  </si>
  <si>
    <t>Quantity</t>
  </si>
  <si>
    <t>Market Value (Rs. In Lakhs)</t>
  </si>
  <si>
    <t>% age to NAV</t>
  </si>
  <si>
    <t>ISIN</t>
  </si>
  <si>
    <t>Yield %</t>
  </si>
  <si>
    <t>^YTC (AT1/Tier 2 bonds)</t>
  </si>
  <si>
    <t>EQUITY &amp; EQUITY RELATED</t>
  </si>
  <si>
    <t>a) Listed/Awaiting Listing On  Stock Exchange</t>
  </si>
  <si>
    <t>Gujarat Gas Ltd.</t>
  </si>
  <si>
    <t>Gas</t>
  </si>
  <si>
    <t>INE844O01030</t>
  </si>
  <si>
    <t>HDFC Bank Ltd.</t>
  </si>
  <si>
    <t>Banks</t>
  </si>
  <si>
    <t>INE040A01034</t>
  </si>
  <si>
    <t>Infosys Ltd.</t>
  </si>
  <si>
    <t>IT - Software</t>
  </si>
  <si>
    <t>INE009A01021</t>
  </si>
  <si>
    <t>Ultratech Cement Ltd.</t>
  </si>
  <si>
    <t>Cement &amp; Cement Products</t>
  </si>
  <si>
    <t>INE481G01011</t>
  </si>
  <si>
    <t>REC Ltd.</t>
  </si>
  <si>
    <t>Finance</t>
  </si>
  <si>
    <t>INE020B01018</t>
  </si>
  <si>
    <t>Canara Bank</t>
  </si>
  <si>
    <t>INE476A01014</t>
  </si>
  <si>
    <t>Larsen &amp; Toubro Ltd.</t>
  </si>
  <si>
    <t>Construction</t>
  </si>
  <si>
    <t>INE018A01030</t>
  </si>
  <si>
    <t>ICICI Bank Ltd.</t>
  </si>
  <si>
    <t>INE090A01021</t>
  </si>
  <si>
    <t>Equitas Small Finance Bank Ltd.</t>
  </si>
  <si>
    <t>INE063P01018</t>
  </si>
  <si>
    <t>Reliance Industries Ltd.</t>
  </si>
  <si>
    <t>Petroleum Products</t>
  </si>
  <si>
    <t>INE002A01018</t>
  </si>
  <si>
    <t>Hindustan Aeronautics Ltd.</t>
  </si>
  <si>
    <t>Aerospace &amp; Defense</t>
  </si>
  <si>
    <t>INE066F01012</t>
  </si>
  <si>
    <t>Bharat Forge Ltd.</t>
  </si>
  <si>
    <t>Industrial Products</t>
  </si>
  <si>
    <t>INE465A01025</t>
  </si>
  <si>
    <t>Crompton Greaves Consumer Electricals Ltd.</t>
  </si>
  <si>
    <t>Consumer Durables</t>
  </si>
  <si>
    <t>INE299U01018</t>
  </si>
  <si>
    <t>ICRA Ltd.</t>
  </si>
  <si>
    <t>Capital Markets</t>
  </si>
  <si>
    <t>INE725G01011</t>
  </si>
  <si>
    <t>SKF India Ltd.</t>
  </si>
  <si>
    <t>INE640A01023</t>
  </si>
  <si>
    <t>Dr. Reddy's Laboratories Ltd.</t>
  </si>
  <si>
    <t>Pharmaceuticals &amp; Biotechnology</t>
  </si>
  <si>
    <t>INE089A01023</t>
  </si>
  <si>
    <t>Jubilant Foodworks Ltd.</t>
  </si>
  <si>
    <t>Leisure Services</t>
  </si>
  <si>
    <t>INE797F01020</t>
  </si>
  <si>
    <t>Balrampur Chini Mills Ltd.</t>
  </si>
  <si>
    <t>Agricultural Food &amp; other Products</t>
  </si>
  <si>
    <t>INE119A01028</t>
  </si>
  <si>
    <t>Axis Bank Ltd.</t>
  </si>
  <si>
    <t>INE238A01034</t>
  </si>
  <si>
    <t>Cummins India Ltd.</t>
  </si>
  <si>
    <t>INE298A01020</t>
  </si>
  <si>
    <t>Aditya Birla Fashion and Retail Ltd.</t>
  </si>
  <si>
    <t>Retailing</t>
  </si>
  <si>
    <t>INE647O01011</t>
  </si>
  <si>
    <t>Sub Total:</t>
  </si>
  <si>
    <t>b) Unlisted</t>
  </si>
  <si>
    <t>NIL</t>
  </si>
  <si>
    <t>Total:</t>
  </si>
  <si>
    <t>DEBT INSTRUMENTS</t>
  </si>
  <si>
    <t>b) Privately Placed / Unlisted</t>
  </si>
  <si>
    <t>TERM DEPOSITS</t>
  </si>
  <si>
    <t>Deposits (Maturity not exceeding 91 days)</t>
  </si>
  <si>
    <t>Deposits (Placed as F &amp; O margin)</t>
  </si>
  <si>
    <t>GOVERNMENT SECURITIES</t>
  </si>
  <si>
    <t>7.38% Government of India Securities 2027 20/06/2027</t>
  </si>
  <si>
    <t>Sovereign</t>
  </si>
  <si>
    <t>IN0020220037</t>
  </si>
  <si>
    <t>7.26% Government of India Securities 2032 22/08/2032</t>
  </si>
  <si>
    <t>IN0020220060</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</si>
  <si>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</si>
  <si>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</si>
  <si>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</si>
  <si>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</si>
  <si>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</si>
  <si>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</si>
  <si>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</si>
  <si>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</si>
  <si>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</si>
  <si>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</si>
  <si>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</si>
  <si>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</si>
  <si>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</si>
  <si>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</si>
  <si>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Riskometer of the scheme </t>
  </si>
  <si>
    <t>Benchmark of the scheme - Crisil Hybrid 35+65 Aggressive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</si>
</sst>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sz val="10"/>
      <color indexed="8"/>
      <name val="Arial"/>
      <family val="2"/>
    </font>
    <font>
      <b/>
      <sz val="11"/>
      <color indexed="8"/>
      <name val="Times New Roman"/>
      <family val="1"/>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6" fillId="0" borderId="0"/>
    <xf numFmtId="0" fontId="6" fillId="0" borderId="0"/>
    <xf numFmtId="0" fontId="6" fillId="0" borderId="0"/>
  </cellStyleXfs>
  <cellXfs count="58">
    <xf numFmtId="0" fontId="0" fillId="0" borderId="0" xfId="0"/>
    <xf numFmtId="0" fontId="2" fillId="2" borderId="1" xfId="0" applyFont="1" applyFill="1" applyBorder="1" applyAlignment="1">
      <alignment horizontal="left"/>
    </xf>
    <xf numFmtId="0" fontId="3" fillId="0" borderId="0" xfId="0" applyFont="1"/>
    <xf numFmtId="0" fontId="2" fillId="2" borderId="2" xfId="0" applyFont="1" applyFill="1" applyBorder="1" applyAlignment="1">
      <alignment horizontal="left" wrapText="1"/>
    </xf>
    <xf numFmtId="0" fontId="3" fillId="2" borderId="0" xfId="0" applyFont="1" applyFill="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4" fillId="0" borderId="3" xfId="0" applyFont="1" applyBorder="1" applyAlignment="1">
      <alignment horizontal="center"/>
    </xf>
    <xf numFmtId="0" fontId="4" fillId="0" borderId="3" xfId="0" applyFont="1" applyBorder="1" applyAlignment="1">
      <alignment horizontal="center" wrapText="1"/>
    </xf>
    <xf numFmtId="0" fontId="3" fillId="0" borderId="0" xfId="0" applyFont="1" applyAlignment="1">
      <alignment horizontal="center"/>
    </xf>
    <xf numFmtId="0" fontId="4" fillId="0" borderId="3" xfId="0" applyFont="1" applyFill="1" applyBorder="1" applyAlignment="1">
      <alignment horizontal="left" wrapText="1"/>
    </xf>
    <xf numFmtId="0" fontId="3" fillId="0" borderId="3" xfId="0" applyFont="1" applyFill="1" applyBorder="1" applyAlignment="1">
      <alignment horizontal="center" wrapText="1"/>
    </xf>
    <xf numFmtId="165" fontId="3"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3" fillId="0" borderId="3" xfId="0" applyFont="1" applyFill="1" applyBorder="1" applyAlignment="1">
      <alignment horizontal="center"/>
    </xf>
    <xf numFmtId="166" fontId="3" fillId="0" borderId="3" xfId="0" applyNumberFormat="1" applyFont="1" applyFill="1" applyBorder="1"/>
    <xf numFmtId="0" fontId="4" fillId="0" borderId="3" xfId="0" applyFont="1" applyFill="1" applyBorder="1" applyAlignment="1">
      <alignment wrapText="1"/>
    </xf>
    <xf numFmtId="0" fontId="3" fillId="0" borderId="3" xfId="0" applyFont="1" applyBorder="1"/>
    <xf numFmtId="4" fontId="3" fillId="0" borderId="3" xfId="0" applyNumberFormat="1" applyFont="1" applyFill="1" applyBorder="1" applyAlignment="1">
      <alignment wrapText="1"/>
    </xf>
    <xf numFmtId="0" fontId="3" fillId="0" borderId="3" xfId="0" applyFont="1" applyFill="1" applyBorder="1" applyAlignment="1">
      <alignment wrapText="1"/>
    </xf>
    <xf numFmtId="165" fontId="3" fillId="0" borderId="3" xfId="1" applyNumberFormat="1" applyFont="1" applyFill="1" applyBorder="1"/>
    <xf numFmtId="164" fontId="3" fillId="0" borderId="3" xfId="1" applyFont="1" applyFill="1" applyBorder="1"/>
    <xf numFmtId="166" fontId="3" fillId="0" borderId="3" xfId="0" applyNumberFormat="1" applyFont="1" applyBorder="1"/>
    <xf numFmtId="0" fontId="3" fillId="0" borderId="0" xfId="0" applyFont="1" applyFill="1"/>
    <xf numFmtId="164" fontId="4" fillId="0" borderId="3" xfId="1" applyFont="1" applyFill="1" applyBorder="1"/>
    <xf numFmtId="165" fontId="4" fillId="0" borderId="3" xfId="1" applyNumberFormat="1" applyFont="1" applyFill="1" applyBorder="1"/>
    <xf numFmtId="164" fontId="3" fillId="0" borderId="3" xfId="1" applyFont="1" applyFill="1" applyBorder="1" applyAlignment="1">
      <alignment horizontal="center"/>
    </xf>
    <xf numFmtId="164" fontId="4" fillId="0" borderId="3" xfId="1" applyFont="1" applyFill="1" applyBorder="1" applyAlignment="1">
      <alignment horizontal="right"/>
    </xf>
    <xf numFmtId="0" fontId="3" fillId="0" borderId="3" xfId="0" applyFont="1" applyFill="1" applyBorder="1" applyAlignment="1">
      <alignment horizontal="right"/>
    </xf>
    <xf numFmtId="4" fontId="4" fillId="0" borderId="3" xfId="1" applyNumberFormat="1" applyFont="1" applyFill="1" applyBorder="1"/>
    <xf numFmtId="164" fontId="3" fillId="0" borderId="3" xfId="1" applyFont="1" applyFill="1" applyBorder="1" applyAlignment="1">
      <alignment horizontal="right"/>
    </xf>
    <xf numFmtId="165" fontId="4" fillId="0" borderId="3" xfId="1" applyNumberFormat="1" applyFont="1" applyFill="1" applyBorder="1" applyAlignment="1">
      <alignment horizontal="right"/>
    </xf>
    <xf numFmtId="4" fontId="4" fillId="0" borderId="3" xfId="1" applyNumberFormat="1" applyFont="1" applyFill="1" applyBorder="1" applyAlignment="1">
      <alignment horizontal="right"/>
    </xf>
    <xf numFmtId="164" fontId="3" fillId="0" borderId="0" xfId="1"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5" fillId="0" borderId="0" xfId="3" applyFont="1" applyAlignment="1">
      <alignment horizontal="left" wrapText="1"/>
    </xf>
    <xf numFmtId="0" fontId="5" fillId="0" borderId="0" xfId="3" applyFont="1" applyAlignment="1">
      <alignment horizontal="left" vertical="top" wrapText="1"/>
    </xf>
    <xf numFmtId="0" fontId="6" fillId="0" borderId="0" xfId="4" applyBorder="1" applyAlignment="1">
      <alignment horizontal="left" vertical="center"/>
    </xf>
    <xf numFmtId="0" fontId="7" fillId="0" borderId="0" xfId="4" applyFont="1" applyBorder="1" applyAlignment="1">
      <alignment horizontal="left" vertical="center" wrapText="1"/>
    </xf>
    <xf numFmtId="0" fontId="3" fillId="0" borderId="0" xfId="0" applyFont="1" applyFill="1" applyBorder="1" applyAlignment="1">
      <alignment horizontal="left" wrapText="1"/>
    </xf>
    <xf numFmtId="165" fontId="3" fillId="0" borderId="0" xfId="2" applyNumberFormat="1" applyFont="1" applyFill="1" applyBorder="1"/>
    <xf numFmtId="164" fontId="3" fillId="0" borderId="0" xfId="2" applyFont="1" applyFill="1" applyBorder="1" applyAlignment="1">
      <alignment horizontal="right"/>
    </xf>
    <xf numFmtId="0" fontId="3" fillId="0" borderId="0" xfId="0" applyFont="1" applyFill="1" applyBorder="1" applyAlignment="1">
      <alignment horizontal="right"/>
    </xf>
    <xf numFmtId="0" fontId="8" fillId="0" borderId="0" xfId="5" applyFont="1" applyBorder="1"/>
    <xf numFmtId="0" fontId="2" fillId="0" borderId="0" xfId="0" applyFont="1" applyFill="1" applyBorder="1" applyAlignment="1">
      <alignment horizontal="left" wrapText="1"/>
    </xf>
    <xf numFmtId="0" fontId="6" fillId="0" borderId="0" xfId="5" applyBorder="1"/>
    <xf numFmtId="0" fontId="6" fillId="0" borderId="0" xfId="5" applyBorder="1" applyAlignment="1">
      <alignment wrapText="1"/>
    </xf>
    <xf numFmtId="0" fontId="9" fillId="0" borderId="0" xfId="0" applyFont="1" applyAlignment="1">
      <alignment vertical="top" wrapText="1"/>
    </xf>
    <xf numFmtId="0" fontId="10" fillId="0" borderId="0" xfId="6" applyFont="1"/>
    <xf numFmtId="0" fontId="4" fillId="0" borderId="0" xfId="0" applyFont="1" applyFill="1" applyBorder="1" applyAlignment="1">
      <alignment horizontal="left"/>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cellXfs>
  <cellStyles count="7">
    <cellStyle name="Comma" xfId="1" builtinId="3"/>
    <cellStyle name="Comma 4" xfId="2"/>
    <cellStyle name="Normal" xfId="0" builtinId="0"/>
    <cellStyle name="Normal 2 3 2" xfId="3"/>
    <cellStyle name="Normal 4_BF" xfId="5"/>
    <cellStyle name="Normal 4_IF" xfId="6"/>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71</xdr:row>
      <xdr:rowOff>133350</xdr:rowOff>
    </xdr:from>
    <xdr:to>
      <xdr:col>0</xdr:col>
      <xdr:colOff>3533775</xdr:colOff>
      <xdr:row>85</xdr:row>
      <xdr:rowOff>3726</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868525"/>
          <a:ext cx="3533775" cy="213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371475</xdr:colOff>
      <xdr:row>71</xdr:row>
      <xdr:rowOff>95250</xdr:rowOff>
    </xdr:from>
    <xdr:to>
      <xdr:col>7</xdr:col>
      <xdr:colOff>276225</xdr:colOff>
      <xdr:row>85</xdr:row>
      <xdr:rowOff>38099</xdr:rowOff>
    </xdr:to>
    <xdr:pic>
      <xdr:nvPicPr>
        <xdr:cNvPr id="3"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48375" y="13077825"/>
          <a:ext cx="3886200" cy="2209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p\NAV%20All%20Files%202006-2007\NAV%20EXCEL%202007-2008\NAV%20UP%20TO%2031.03.2008\NAV%20FIXED%20MATURITY%20SCHEMES%202007-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bharatk\Desktop\A\Final%20Portfolio%20Disclosure%20-%2031.12.2012-sen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p\NAV%20All%20Files%202006-2007\NAV%20EXCEL%202007-2008\NAV%20Tax%20Gain%20Fund%20-%20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SA2 From Apr 01, 2004 "/>
      <sheetName val="QSB2 From Apr 01, 2004 "/>
      <sheetName val="QSC2 From Apr 01, 2004 "/>
      <sheetName val="FMP S-IV-YEARLY"/>
      <sheetName val="FMP SERIES IV- YEARLY"/>
      <sheetName val="FMP SERIES IV-13M1-working"/>
      <sheetName val="FMP SERIES IV- 13M"/>
      <sheetName val="FMP S-IV-13M1 "/>
      <sheetName val="FMP SERIES IV- 15M1"/>
      <sheetName val="FMP S-IV-15M1"/>
      <sheetName val="FMP SERIES IV- 15M-2"/>
      <sheetName val="FMP S4-15M2 Regular"/>
      <sheetName val="FMP S4-15M2 insti"/>
      <sheetName val="FMP SERIES VII- 13M"/>
      <sheetName val="FMP S7-13M Regular "/>
      <sheetName val="FMP S7-13M Insti"/>
      <sheetName val="Rectification"/>
      <sheetName val="FMP SERIES VII- 18M"/>
      <sheetName val="FMP S7-18M Regular "/>
      <sheetName val="FMP S7-18M Insti"/>
      <sheetName val="FMP SERIES VII- 18M (working)"/>
      <sheetName val="FMP SERIES VII- 15M 1"/>
      <sheetName val="FMP S7-15M Regular "/>
      <sheetName val="FMP S7-15M1 Insti"/>
      <sheetName val="Entries"/>
      <sheetName val="FMP SERIES IX- 15M"/>
      <sheetName val="FMP SERIES XI- 13M1"/>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F"/>
      <sheetName val="MMF-SPP"/>
      <sheetName val="MMF-SP"/>
      <sheetName val="MMF-RP"/>
      <sheetName val="JMSTF"/>
      <sheetName val="JMMSF"/>
      <sheetName val="JMMIP"/>
      <sheetName val="JMLGRO"/>
      <sheetName val="JMFST"/>
      <sheetName val="JMFLT"/>
      <sheetName val="JMEQ"/>
      <sheetName val="JMBAL"/>
      <sheetName val="JMAAF"/>
      <sheetName val="GSEC-RD"/>
      <sheetName val="FMP-S22-A"/>
      <sheetName val="DEBTG"/>
      <sheetName val="CORE 11-1"/>
      <sheetName val="BASICF"/>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 from APR 01 2005_ 1"/>
      <sheetName val="master010419"/>
      <sheetName val="JM TAX GAIN FUND-I"/>
      <sheetName val="B30"/>
      <sheetName val="b30-haribhakti-TGF"/>
      <sheetName val="INC SHIFT"/>
      <sheetName val="Health from APR 01 2005_1"/>
      <sheetName val="ENTRY"/>
      <sheetName val="tgf-040515"/>
      <sheetName val="tgf - 25.03"/>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tabColor indexed="11"/>
    <pageSetUpPr fitToPage="1"/>
  </sheetPr>
  <dimension ref="A1:H70"/>
  <sheetViews>
    <sheetView tabSelected="1" zoomScaleNormal="100" workbookViewId="0">
      <pane xSplit="1" ySplit="3" topLeftCell="B4" activePane="bottomRight" state="frozen"/>
      <selection activeCell="A88" sqref="A88:E89"/>
      <selection pane="topRight" activeCell="A88" sqref="A88:E89"/>
      <selection pane="bottomLeft" activeCell="A88" sqref="A88:E89"/>
      <selection pane="bottomRight" sqref="A1:H1"/>
    </sheetView>
  </sheetViews>
  <sheetFormatPr defaultRowHeight="12.75" x14ac:dyDescent="0.2"/>
  <cols>
    <col min="1" max="1" width="56.42578125" style="55" bestFit="1" customWidth="1"/>
    <col min="2" max="2" width="28.7109375" style="56" bestFit="1" customWidth="1"/>
    <col min="3" max="3" width="9.140625" style="57" bestFit="1" customWidth="1"/>
    <col min="4" max="4" width="16.5703125" style="2" customWidth="1"/>
    <col min="5" max="5" width="12.7109375" style="2" bestFit="1" customWidth="1"/>
    <col min="6" max="6" width="13.7109375" style="2" bestFit="1" customWidth="1"/>
    <col min="7" max="7" width="7.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4"/>
      <c r="H2" s="4"/>
    </row>
    <row r="3" spans="1:8" s="10" customFormat="1" ht="38.25" x14ac:dyDescent="0.2">
      <c r="A3" s="5" t="s">
        <v>2</v>
      </c>
      <c r="B3" s="6" t="s">
        <v>3</v>
      </c>
      <c r="C3" s="7" t="s">
        <v>4</v>
      </c>
      <c r="D3" s="5" t="s">
        <v>5</v>
      </c>
      <c r="E3" s="5" t="s">
        <v>6</v>
      </c>
      <c r="F3" s="5" t="s">
        <v>7</v>
      </c>
      <c r="G3" s="8" t="s">
        <v>8</v>
      </c>
      <c r="H3" s="9" t="s">
        <v>9</v>
      </c>
    </row>
    <row r="4" spans="1:8" x14ac:dyDescent="0.2">
      <c r="A4" s="11" t="s">
        <v>10</v>
      </c>
      <c r="B4" s="12"/>
      <c r="C4" s="13"/>
      <c r="D4" s="14"/>
      <c r="E4" s="14"/>
      <c r="F4" s="15"/>
      <c r="H4" s="16"/>
    </row>
    <row r="5" spans="1:8" x14ac:dyDescent="0.2">
      <c r="A5" s="17" t="s">
        <v>11</v>
      </c>
      <c r="B5" s="12"/>
      <c r="C5" s="13"/>
      <c r="D5" s="14"/>
      <c r="E5" s="14"/>
      <c r="F5" s="15"/>
      <c r="G5" s="18"/>
      <c r="H5" s="16"/>
    </row>
    <row r="6" spans="1:8" s="24" customFormat="1" x14ac:dyDescent="0.2">
      <c r="A6" s="19" t="s">
        <v>12</v>
      </c>
      <c r="B6" s="20" t="s">
        <v>13</v>
      </c>
      <c r="C6" s="21">
        <v>12100</v>
      </c>
      <c r="D6" s="22">
        <v>55.611600000000003</v>
      </c>
      <c r="E6" s="22">
        <f t="shared" ref="E6:E26" si="0">(+D6/$D$57*100)</f>
        <v>4.5817085687827328</v>
      </c>
      <c r="F6" s="22" t="s">
        <v>14</v>
      </c>
      <c r="G6" s="23"/>
      <c r="H6" s="16"/>
    </row>
    <row r="7" spans="1:8" s="24" customFormat="1" x14ac:dyDescent="0.2">
      <c r="A7" s="19" t="s">
        <v>15</v>
      </c>
      <c r="B7" s="20" t="s">
        <v>16</v>
      </c>
      <c r="C7" s="21">
        <v>3455</v>
      </c>
      <c r="D7" s="22">
        <v>55.609952499999999</v>
      </c>
      <c r="E7" s="22">
        <f t="shared" si="0"/>
        <v>4.5815728351432208</v>
      </c>
      <c r="F7" s="22" t="s">
        <v>17</v>
      </c>
      <c r="G7" s="23"/>
      <c r="H7" s="16"/>
    </row>
    <row r="8" spans="1:8" s="24" customFormat="1" x14ac:dyDescent="0.2">
      <c r="A8" s="19" t="s">
        <v>18</v>
      </c>
      <c r="B8" s="20" t="s">
        <v>19</v>
      </c>
      <c r="C8" s="21">
        <v>3875</v>
      </c>
      <c r="D8" s="22">
        <v>55.333062499999997</v>
      </c>
      <c r="E8" s="22">
        <f t="shared" si="0"/>
        <v>4.5587605210646789</v>
      </c>
      <c r="F8" s="22" t="s">
        <v>20</v>
      </c>
      <c r="G8" s="23"/>
      <c r="H8" s="16"/>
    </row>
    <row r="9" spans="1:8" s="24" customFormat="1" x14ac:dyDescent="0.2">
      <c r="A9" s="19" t="s">
        <v>21</v>
      </c>
      <c r="B9" s="20" t="s">
        <v>22</v>
      </c>
      <c r="C9" s="21">
        <v>690</v>
      </c>
      <c r="D9" s="22">
        <v>52.592835000000001</v>
      </c>
      <c r="E9" s="22">
        <f t="shared" si="0"/>
        <v>4.3329996399326118</v>
      </c>
      <c r="F9" s="22" t="s">
        <v>23</v>
      </c>
      <c r="G9" s="23"/>
      <c r="H9" s="16"/>
    </row>
    <row r="10" spans="1:8" s="24" customFormat="1" x14ac:dyDescent="0.2">
      <c r="A10" s="19" t="s">
        <v>24</v>
      </c>
      <c r="B10" s="20" t="s">
        <v>25</v>
      </c>
      <c r="C10" s="21">
        <v>45000</v>
      </c>
      <c r="D10" s="22">
        <v>51.952500000000001</v>
      </c>
      <c r="E10" s="22">
        <f t="shared" si="0"/>
        <v>4.2802439494581153</v>
      </c>
      <c r="F10" s="22" t="s">
        <v>26</v>
      </c>
      <c r="G10" s="23"/>
      <c r="H10" s="16"/>
    </row>
    <row r="11" spans="1:8" s="24" customFormat="1" x14ac:dyDescent="0.2">
      <c r="A11" s="19" t="s">
        <v>27</v>
      </c>
      <c r="B11" s="20" t="s">
        <v>16</v>
      </c>
      <c r="C11" s="21">
        <v>18250</v>
      </c>
      <c r="D11" s="22">
        <v>51.912125000000003</v>
      </c>
      <c r="E11" s="22">
        <f t="shared" si="0"/>
        <v>4.2769175484291111</v>
      </c>
      <c r="F11" s="22" t="s">
        <v>28</v>
      </c>
      <c r="G11" s="23"/>
      <c r="H11" s="16"/>
    </row>
    <row r="12" spans="1:8" s="24" customFormat="1" x14ac:dyDescent="0.2">
      <c r="A12" s="19" t="s">
        <v>29</v>
      </c>
      <c r="B12" s="20" t="s">
        <v>30</v>
      </c>
      <c r="C12" s="21">
        <v>2100</v>
      </c>
      <c r="D12" s="22">
        <v>45.4482</v>
      </c>
      <c r="E12" s="22">
        <f t="shared" si="0"/>
        <v>3.7443700122951213</v>
      </c>
      <c r="F12" s="22" t="s">
        <v>31</v>
      </c>
      <c r="G12" s="23"/>
      <c r="H12" s="16"/>
    </row>
    <row r="13" spans="1:8" s="24" customFormat="1" x14ac:dyDescent="0.2">
      <c r="A13" s="19" t="s">
        <v>32</v>
      </c>
      <c r="B13" s="20" t="s">
        <v>16</v>
      </c>
      <c r="C13" s="21">
        <v>5050</v>
      </c>
      <c r="D13" s="22">
        <v>44.301124999999999</v>
      </c>
      <c r="E13" s="22">
        <f t="shared" si="0"/>
        <v>3.6498652083237118</v>
      </c>
      <c r="F13" s="22" t="s">
        <v>33</v>
      </c>
      <c r="G13" s="23"/>
      <c r="H13" s="16"/>
    </row>
    <row r="14" spans="1:8" s="24" customFormat="1" x14ac:dyDescent="0.2">
      <c r="A14" s="19" t="s">
        <v>34</v>
      </c>
      <c r="B14" s="20" t="s">
        <v>16</v>
      </c>
      <c r="C14" s="21">
        <v>65000</v>
      </c>
      <c r="D14" s="22">
        <v>43.615000000000002</v>
      </c>
      <c r="E14" s="22">
        <f t="shared" si="0"/>
        <v>3.5933369877410271</v>
      </c>
      <c r="F14" s="22" t="s">
        <v>35</v>
      </c>
      <c r="G14" s="23"/>
      <c r="H14" s="16"/>
    </row>
    <row r="15" spans="1:8" s="24" customFormat="1" x14ac:dyDescent="0.2">
      <c r="A15" s="19" t="s">
        <v>36</v>
      </c>
      <c r="B15" s="20" t="s">
        <v>37</v>
      </c>
      <c r="C15" s="21">
        <v>1700</v>
      </c>
      <c r="D15" s="22">
        <v>39.627850000000002</v>
      </c>
      <c r="E15" s="22">
        <f t="shared" si="0"/>
        <v>3.2648451025943661</v>
      </c>
      <c r="F15" s="22" t="s">
        <v>38</v>
      </c>
      <c r="G15" s="23"/>
      <c r="H15" s="16"/>
    </row>
    <row r="16" spans="1:8" s="24" customFormat="1" x14ac:dyDescent="0.2">
      <c r="A16" s="19" t="s">
        <v>39</v>
      </c>
      <c r="B16" s="20" t="s">
        <v>40</v>
      </c>
      <c r="C16" s="21">
        <v>1450</v>
      </c>
      <c r="D16" s="22">
        <v>39.600949999999997</v>
      </c>
      <c r="E16" s="22">
        <f t="shared" si="0"/>
        <v>3.2626288750357215</v>
      </c>
      <c r="F16" s="22" t="s">
        <v>41</v>
      </c>
      <c r="G16" s="23"/>
      <c r="H16" s="16"/>
    </row>
    <row r="17" spans="1:8" s="24" customFormat="1" x14ac:dyDescent="0.2">
      <c r="A17" s="19" t="s">
        <v>42</v>
      </c>
      <c r="B17" s="20" t="s">
        <v>43</v>
      </c>
      <c r="C17" s="21">
        <v>5000</v>
      </c>
      <c r="D17" s="22">
        <v>38.522500000000001</v>
      </c>
      <c r="E17" s="22">
        <f t="shared" si="0"/>
        <v>3.1737779229681005</v>
      </c>
      <c r="F17" s="22" t="s">
        <v>44</v>
      </c>
      <c r="G17" s="23"/>
      <c r="H17" s="16"/>
    </row>
    <row r="18" spans="1:8" s="24" customFormat="1" x14ac:dyDescent="0.2">
      <c r="A18" s="19" t="s">
        <v>45</v>
      </c>
      <c r="B18" s="20" t="s">
        <v>46</v>
      </c>
      <c r="C18" s="21">
        <v>13000</v>
      </c>
      <c r="D18" s="22">
        <v>38.090000000000003</v>
      </c>
      <c r="E18" s="22">
        <f t="shared" si="0"/>
        <v>3.1381452679824768</v>
      </c>
      <c r="F18" s="22" t="s">
        <v>47</v>
      </c>
      <c r="G18" s="23"/>
      <c r="H18" s="16"/>
    </row>
    <row r="19" spans="1:8" s="24" customFormat="1" x14ac:dyDescent="0.2">
      <c r="A19" s="19" t="s">
        <v>48</v>
      </c>
      <c r="B19" s="20" t="s">
        <v>49</v>
      </c>
      <c r="C19" s="21">
        <v>825</v>
      </c>
      <c r="D19" s="22">
        <v>36.484387499999997</v>
      </c>
      <c r="E19" s="22">
        <f t="shared" si="0"/>
        <v>3.0058626408076661</v>
      </c>
      <c r="F19" s="22" t="s">
        <v>50</v>
      </c>
      <c r="G19" s="23"/>
      <c r="H19" s="16"/>
    </row>
    <row r="20" spans="1:8" s="24" customFormat="1" x14ac:dyDescent="0.2">
      <c r="A20" s="19" t="s">
        <v>51</v>
      </c>
      <c r="B20" s="20" t="s">
        <v>43</v>
      </c>
      <c r="C20" s="21">
        <v>820</v>
      </c>
      <c r="D20" s="22">
        <v>34.897150000000003</v>
      </c>
      <c r="E20" s="22">
        <f t="shared" si="0"/>
        <v>2.8750938865469857</v>
      </c>
      <c r="F20" s="22" t="s">
        <v>52</v>
      </c>
      <c r="G20" s="23"/>
      <c r="H20" s="16"/>
    </row>
    <row r="21" spans="1:8" s="24" customFormat="1" x14ac:dyDescent="0.2">
      <c r="A21" s="19" t="s">
        <v>53</v>
      </c>
      <c r="B21" s="20" t="s">
        <v>54</v>
      </c>
      <c r="C21" s="21">
        <v>725</v>
      </c>
      <c r="D21" s="22">
        <v>33.514937500000002</v>
      </c>
      <c r="E21" s="22">
        <f t="shared" si="0"/>
        <v>2.7612166585023226</v>
      </c>
      <c r="F21" s="22" t="s">
        <v>55</v>
      </c>
      <c r="G21" s="23"/>
      <c r="H21" s="16"/>
    </row>
    <row r="22" spans="1:8" s="24" customFormat="1" x14ac:dyDescent="0.2">
      <c r="A22" s="19" t="s">
        <v>56</v>
      </c>
      <c r="B22" s="20" t="s">
        <v>57</v>
      </c>
      <c r="C22" s="21">
        <v>7000</v>
      </c>
      <c r="D22" s="22">
        <v>30.806999999999999</v>
      </c>
      <c r="E22" s="22">
        <f t="shared" si="0"/>
        <v>2.5381160743170423</v>
      </c>
      <c r="F22" s="22" t="s">
        <v>58</v>
      </c>
      <c r="G22" s="23"/>
      <c r="H22" s="16"/>
    </row>
    <row r="23" spans="1:8" s="24" customFormat="1" x14ac:dyDescent="0.2">
      <c r="A23" s="19" t="s">
        <v>59</v>
      </c>
      <c r="B23" s="20" t="s">
        <v>60</v>
      </c>
      <c r="C23" s="21">
        <v>7500</v>
      </c>
      <c r="D23" s="22">
        <v>29.681249999999999</v>
      </c>
      <c r="E23" s="22">
        <f t="shared" si="0"/>
        <v>2.4453681868024382</v>
      </c>
      <c r="F23" s="22" t="s">
        <v>61</v>
      </c>
      <c r="G23" s="23"/>
      <c r="H23" s="16"/>
    </row>
    <row r="24" spans="1:8" s="24" customFormat="1" x14ac:dyDescent="0.2">
      <c r="A24" s="19" t="s">
        <v>62</v>
      </c>
      <c r="B24" s="20" t="s">
        <v>16</v>
      </c>
      <c r="C24" s="21">
        <v>3400</v>
      </c>
      <c r="D24" s="22">
        <v>29.189</v>
      </c>
      <c r="E24" s="22">
        <f t="shared" si="0"/>
        <v>2.4048128702320954</v>
      </c>
      <c r="F24" s="22" t="s">
        <v>63</v>
      </c>
      <c r="G24" s="23"/>
      <c r="H24" s="16"/>
    </row>
    <row r="25" spans="1:8" s="24" customFormat="1" x14ac:dyDescent="0.2">
      <c r="A25" s="19" t="s">
        <v>64</v>
      </c>
      <c r="B25" s="20" t="s">
        <v>43</v>
      </c>
      <c r="C25" s="21">
        <v>1650</v>
      </c>
      <c r="D25" s="22">
        <v>26.888400000000001</v>
      </c>
      <c r="E25" s="22">
        <f t="shared" si="0"/>
        <v>2.2152718620010505</v>
      </c>
      <c r="F25" s="22" t="s">
        <v>65</v>
      </c>
      <c r="G25" s="23"/>
      <c r="H25" s="16"/>
    </row>
    <row r="26" spans="1:8" s="24" customFormat="1" x14ac:dyDescent="0.2">
      <c r="A26" s="19" t="s">
        <v>66</v>
      </c>
      <c r="B26" s="20" t="s">
        <v>67</v>
      </c>
      <c r="C26" s="21">
        <v>10000</v>
      </c>
      <c r="D26" s="22">
        <v>21.434999999999999</v>
      </c>
      <c r="E26" s="22">
        <f t="shared" si="0"/>
        <v>1.7659790973800045</v>
      </c>
      <c r="F26" s="22" t="s">
        <v>68</v>
      </c>
      <c r="G26" s="23"/>
      <c r="H26" s="16"/>
    </row>
    <row r="27" spans="1:8" s="24" customFormat="1" x14ac:dyDescent="0.2">
      <c r="A27" s="17" t="s">
        <v>69</v>
      </c>
      <c r="B27" s="20"/>
      <c r="C27" s="21"/>
      <c r="D27" s="25">
        <f>IF(ISERROR(SUM(D6:D26)),0,SUM(D6:D26))</f>
        <v>855.11482500000011</v>
      </c>
      <c r="E27" s="25">
        <f>IF(ISERROR(SUM(E6:E26)),0,SUM(E6:E26))</f>
        <v>70.450893716340588</v>
      </c>
      <c r="F27" s="25"/>
      <c r="G27" s="23"/>
      <c r="H27" s="16"/>
    </row>
    <row r="28" spans="1:8" s="24" customFormat="1" x14ac:dyDescent="0.2">
      <c r="A28" s="17"/>
      <c r="B28" s="17"/>
      <c r="C28" s="26"/>
      <c r="D28" s="27"/>
      <c r="E28" s="27"/>
      <c r="F28" s="27"/>
      <c r="G28" s="23"/>
      <c r="H28" s="16"/>
    </row>
    <row r="29" spans="1:8" s="24" customFormat="1" x14ac:dyDescent="0.2">
      <c r="A29" s="17" t="s">
        <v>70</v>
      </c>
      <c r="B29" s="17"/>
      <c r="C29" s="26"/>
      <c r="D29" s="28" t="s">
        <v>71</v>
      </c>
      <c r="E29" s="28" t="s">
        <v>71</v>
      </c>
      <c r="F29" s="28"/>
      <c r="G29" s="23"/>
      <c r="H29" s="16"/>
    </row>
    <row r="30" spans="1:8" s="24" customFormat="1" x14ac:dyDescent="0.2">
      <c r="A30" s="17"/>
      <c r="B30" s="11"/>
      <c r="C30" s="26"/>
      <c r="D30" s="28"/>
      <c r="E30" s="28"/>
      <c r="F30" s="29"/>
      <c r="G30" s="23"/>
      <c r="H30" s="16"/>
    </row>
    <row r="31" spans="1:8" s="24" customFormat="1" x14ac:dyDescent="0.2">
      <c r="A31" s="17" t="s">
        <v>72</v>
      </c>
      <c r="B31" s="17"/>
      <c r="C31" s="26"/>
      <c r="D31" s="25">
        <f>IF(ISERROR(+D27),0,D27)+IF(ISERROR(+#REF!),0,#REF!)</f>
        <v>855.11482500000011</v>
      </c>
      <c r="E31" s="25">
        <f>IF(ISERROR(+E27),0,E27)+IF(ISERROR(+#REF!),0,#REF!)</f>
        <v>70.450893716340588</v>
      </c>
      <c r="F31" s="30"/>
      <c r="G31" s="23"/>
      <c r="H31" s="16"/>
    </row>
    <row r="32" spans="1:8" s="24" customFormat="1" x14ac:dyDescent="0.2">
      <c r="A32" s="17"/>
      <c r="B32" s="11"/>
      <c r="C32" s="26"/>
      <c r="D32" s="28"/>
      <c r="E32" s="28"/>
      <c r="F32" s="29"/>
      <c r="G32" s="23"/>
      <c r="H32" s="16"/>
    </row>
    <row r="33" spans="1:8" s="24" customFormat="1" x14ac:dyDescent="0.2">
      <c r="A33" s="17" t="s">
        <v>73</v>
      </c>
      <c r="B33" s="11"/>
      <c r="C33" s="26"/>
      <c r="D33" s="28"/>
      <c r="E33" s="28"/>
      <c r="F33" s="29"/>
      <c r="G33" s="23"/>
      <c r="H33" s="16"/>
    </row>
    <row r="34" spans="1:8" s="24" customFormat="1" x14ac:dyDescent="0.2">
      <c r="A34" s="17" t="s">
        <v>11</v>
      </c>
      <c r="B34" s="11"/>
      <c r="C34" s="26"/>
      <c r="D34" s="31"/>
      <c r="E34" s="31"/>
      <c r="F34" s="31"/>
      <c r="G34" s="23"/>
      <c r="H34" s="16"/>
    </row>
    <row r="35" spans="1:8" s="24" customFormat="1" x14ac:dyDescent="0.2">
      <c r="A35" s="17"/>
      <c r="B35" s="11"/>
      <c r="C35" s="32"/>
      <c r="D35" s="31"/>
      <c r="E35" s="31"/>
      <c r="F35" s="31"/>
      <c r="G35" s="18"/>
      <c r="H35" s="16"/>
    </row>
    <row r="36" spans="1:8" s="24" customFormat="1" x14ac:dyDescent="0.2">
      <c r="A36" s="17" t="s">
        <v>74</v>
      </c>
      <c r="B36" s="11"/>
      <c r="C36" s="32"/>
      <c r="D36" s="28" t="s">
        <v>71</v>
      </c>
      <c r="E36" s="28" t="s">
        <v>71</v>
      </c>
      <c r="F36" s="29"/>
      <c r="G36" s="18"/>
      <c r="H36" s="16"/>
    </row>
    <row r="37" spans="1:8" s="24" customFormat="1" x14ac:dyDescent="0.2">
      <c r="A37" s="17"/>
      <c r="B37" s="11"/>
      <c r="C37" s="32"/>
      <c r="D37" s="28"/>
      <c r="E37" s="28"/>
      <c r="F37" s="28"/>
      <c r="G37" s="18"/>
      <c r="H37" s="16"/>
    </row>
    <row r="38" spans="1:8" s="24" customFormat="1" x14ac:dyDescent="0.2">
      <c r="A38" s="17" t="s">
        <v>75</v>
      </c>
      <c r="B38" s="11"/>
      <c r="C38" s="32"/>
      <c r="D38" s="28"/>
      <c r="E38" s="28"/>
      <c r="F38" s="28"/>
      <c r="G38" s="18"/>
      <c r="H38" s="16"/>
    </row>
    <row r="39" spans="1:8" s="24" customFormat="1" x14ac:dyDescent="0.2">
      <c r="A39" s="17"/>
      <c r="B39" s="11"/>
      <c r="C39" s="32"/>
      <c r="D39" s="28"/>
      <c r="E39" s="28"/>
      <c r="F39" s="28"/>
      <c r="G39" s="18"/>
      <c r="H39" s="16"/>
    </row>
    <row r="40" spans="1:8" s="24" customFormat="1" x14ac:dyDescent="0.2">
      <c r="A40" s="17" t="s">
        <v>76</v>
      </c>
      <c r="B40" s="11"/>
      <c r="C40" s="32"/>
      <c r="D40" s="28" t="s">
        <v>71</v>
      </c>
      <c r="E40" s="28" t="s">
        <v>71</v>
      </c>
      <c r="F40" s="28"/>
      <c r="G40" s="18"/>
      <c r="H40" s="16"/>
    </row>
    <row r="41" spans="1:8" s="24" customFormat="1" x14ac:dyDescent="0.2">
      <c r="A41" s="17"/>
      <c r="B41" s="11"/>
      <c r="C41" s="32"/>
      <c r="D41" s="28"/>
      <c r="E41" s="28"/>
      <c r="F41" s="28"/>
      <c r="G41" s="18"/>
      <c r="H41" s="16"/>
    </row>
    <row r="42" spans="1:8" s="24" customFormat="1" x14ac:dyDescent="0.2">
      <c r="A42" s="17" t="s">
        <v>77</v>
      </c>
      <c r="B42" s="11"/>
      <c r="C42" s="32"/>
      <c r="D42" s="28"/>
      <c r="E42" s="28"/>
      <c r="F42" s="28"/>
      <c r="G42" s="18"/>
      <c r="H42" s="16"/>
    </row>
    <row r="43" spans="1:8" s="24" customFormat="1" x14ac:dyDescent="0.2">
      <c r="A43" s="17"/>
      <c r="B43" s="11"/>
      <c r="C43" s="32"/>
      <c r="D43" s="28"/>
      <c r="E43" s="28"/>
      <c r="F43" s="28"/>
      <c r="G43" s="18"/>
      <c r="H43" s="16"/>
    </row>
    <row r="44" spans="1:8" s="24" customFormat="1" x14ac:dyDescent="0.2">
      <c r="A44" s="17" t="s">
        <v>78</v>
      </c>
      <c r="B44" s="11"/>
      <c r="C44" s="32"/>
      <c r="D44" s="28"/>
      <c r="E44" s="28"/>
      <c r="F44" s="28"/>
      <c r="G44" s="18"/>
      <c r="H44" s="16"/>
    </row>
    <row r="45" spans="1:8" s="24" customFormat="1" x14ac:dyDescent="0.2">
      <c r="A45" s="19" t="s">
        <v>79</v>
      </c>
      <c r="B45" s="20" t="s">
        <v>80</v>
      </c>
      <c r="C45" s="21">
        <v>100000</v>
      </c>
      <c r="D45" s="22">
        <v>100.6974</v>
      </c>
      <c r="E45" s="22">
        <f>(+D45/$D$57*100)</f>
        <v>8.2962212997673568</v>
      </c>
      <c r="F45" s="22" t="s">
        <v>81</v>
      </c>
      <c r="G45" s="23">
        <v>7.181</v>
      </c>
      <c r="H45" s="16"/>
    </row>
    <row r="46" spans="1:8" s="24" customFormat="1" x14ac:dyDescent="0.2">
      <c r="A46" s="19" t="s">
        <v>82</v>
      </c>
      <c r="B46" s="20" t="s">
        <v>80</v>
      </c>
      <c r="C46" s="21">
        <v>100000</v>
      </c>
      <c r="D46" s="22">
        <v>99.622699999999995</v>
      </c>
      <c r="E46" s="22">
        <f>(+D46/$D$57*100)</f>
        <v>8.2076793013556806</v>
      </c>
      <c r="F46" s="22" t="s">
        <v>83</v>
      </c>
      <c r="G46" s="23">
        <v>7.3146000000000004</v>
      </c>
      <c r="H46" s="16"/>
    </row>
    <row r="47" spans="1:8" s="24" customFormat="1" x14ac:dyDescent="0.2">
      <c r="A47" s="17" t="s">
        <v>69</v>
      </c>
      <c r="B47" s="11"/>
      <c r="C47" s="32"/>
      <c r="D47" s="28">
        <f>IF(ISERROR(SUM(D45:D46)),0,SUM(D45:D46))</f>
        <v>200.3201</v>
      </c>
      <c r="E47" s="28">
        <f>IF(ISERROR(SUM(E45:E46)),0,SUM(E45:E46))</f>
        <v>16.503900601123036</v>
      </c>
      <c r="F47" s="33"/>
      <c r="G47" s="18"/>
      <c r="H47" s="16"/>
    </row>
    <row r="48" spans="1:8" s="24" customFormat="1" x14ac:dyDescent="0.2">
      <c r="A48" s="17"/>
      <c r="B48" s="11"/>
      <c r="C48" s="32"/>
      <c r="D48" s="28"/>
      <c r="E48" s="28"/>
      <c r="F48" s="28"/>
      <c r="G48" s="18"/>
      <c r="H48" s="16"/>
    </row>
    <row r="49" spans="1:8" s="24" customFormat="1" x14ac:dyDescent="0.2">
      <c r="A49" s="17" t="s">
        <v>84</v>
      </c>
      <c r="B49" s="11"/>
      <c r="C49" s="32"/>
      <c r="D49" s="28"/>
      <c r="E49" s="28"/>
      <c r="F49" s="29"/>
      <c r="G49" s="18"/>
      <c r="H49" s="16"/>
    </row>
    <row r="50" spans="1:8" s="24" customFormat="1" x14ac:dyDescent="0.2">
      <c r="A50" s="19" t="s">
        <v>85</v>
      </c>
      <c r="B50" s="20"/>
      <c r="C50" s="21">
        <v>0</v>
      </c>
      <c r="D50" s="22">
        <v>118.57219310000001</v>
      </c>
      <c r="E50" s="22">
        <f>(+D50/$D$57*100)</f>
        <v>9.7688833471008003</v>
      </c>
      <c r="F50" s="22" t="s">
        <v>86</v>
      </c>
      <c r="G50" s="18">
        <v>6.7727000000000004</v>
      </c>
      <c r="H50" s="16"/>
    </row>
    <row r="51" spans="1:8" s="24" customFormat="1" x14ac:dyDescent="0.2">
      <c r="A51" s="17" t="s">
        <v>69</v>
      </c>
      <c r="B51" s="11"/>
      <c r="C51" s="32"/>
      <c r="D51" s="28">
        <f>IF(ISERROR(SUM(D50:D50)),0,SUM(D50:D50))</f>
        <v>118.57219310000001</v>
      </c>
      <c r="E51" s="28">
        <f>IF(ISERROR(SUM(E50:E50)),0,SUM(E50:E50))</f>
        <v>9.7688833471008003</v>
      </c>
      <c r="F51" s="22"/>
      <c r="G51" s="18"/>
      <c r="H51" s="16"/>
    </row>
    <row r="52" spans="1:8" s="24" customFormat="1" x14ac:dyDescent="0.2">
      <c r="A52" s="17"/>
      <c r="B52" s="11"/>
      <c r="C52" s="32"/>
      <c r="D52" s="28"/>
      <c r="E52" s="28"/>
      <c r="F52" s="29"/>
      <c r="G52" s="18"/>
      <c r="H52" s="16"/>
    </row>
    <row r="53" spans="1:8" s="24" customFormat="1" x14ac:dyDescent="0.2">
      <c r="A53" s="17" t="s">
        <v>72</v>
      </c>
      <c r="B53" s="11"/>
      <c r="C53" s="32" t="s">
        <v>87</v>
      </c>
      <c r="D53" s="28">
        <f>+IF(ISERROR(#REF!),0,#REF!)+IF(ISERROR(D51),0,D51)+IF(ISERROR(D31),0,D31)+IF(ISERROR(#REF!),0,#REF!)+IF(ISERROR(D47),0,D47)+IF(ISERROR(#REF!),0,#REF!)+IF(ISERROR(#REF!),0,#REF!)+IF(ISERROR(#REF!),0,#REF!)+IF(ISERROR(#REF!),0,#REF!)</f>
        <v>1174.0071181000001</v>
      </c>
      <c r="E53" s="28">
        <f>+IF(ISERROR(#REF!),0,#REF!)+IF(ISERROR(E51),0,E51)+IF(ISERROR(E31),0,E31)+IF(ISERROR(#REF!),0,#REF!)+IF(ISERROR(E47),0,E47)+IF(ISERROR(#REF!),0,#REF!)+IF(ISERROR(#REF!),0,#REF!)+IF(ISERROR(#REF!),0,#REF!)+IF(ISERROR(#REF!),0,#REF!)</f>
        <v>96.72367766456442</v>
      </c>
      <c r="F53" s="28">
        <f>+IF(ISERROR(#REF!),0,#REF!)+IF(ISERROR(F51),0,F51)+IF(ISERROR(F31),0,F31)+IF(ISERROR(#REF!),0,#REF!)+IF(ISERROR(#REF!),0,#REF!)+IF(ISERROR(#REF!),0,#REF!)+IF(ISERROR(#REF!),0,#REF!)</f>
        <v>0</v>
      </c>
      <c r="G53" s="18"/>
      <c r="H53" s="16"/>
    </row>
    <row r="54" spans="1:8" s="24" customFormat="1" x14ac:dyDescent="0.2">
      <c r="A54" s="17"/>
      <c r="B54" s="11"/>
      <c r="C54" s="32"/>
      <c r="D54" s="28"/>
      <c r="E54" s="28"/>
      <c r="F54" s="34"/>
      <c r="G54" s="34"/>
      <c r="H54" s="34"/>
    </row>
    <row r="55" spans="1:8" s="24" customFormat="1" x14ac:dyDescent="0.2">
      <c r="A55" s="17" t="s">
        <v>88</v>
      </c>
      <c r="B55" s="11"/>
      <c r="C55" s="32"/>
      <c r="D55" s="28">
        <f>+D57-D53</f>
        <v>39.767157699800009</v>
      </c>
      <c r="E55" s="28">
        <f>D55/$D$57*100</f>
        <v>3.2763223354355553</v>
      </c>
      <c r="F55" s="34"/>
      <c r="G55" s="34"/>
      <c r="H55" s="34"/>
    </row>
    <row r="56" spans="1:8" s="24" customFormat="1" x14ac:dyDescent="0.2">
      <c r="A56" s="17"/>
      <c r="B56" s="11"/>
      <c r="C56" s="32"/>
      <c r="D56" s="31"/>
      <c r="E56" s="31"/>
      <c r="F56" s="34"/>
      <c r="G56" s="34"/>
      <c r="H56" s="34"/>
    </row>
    <row r="57" spans="1:8" s="24" customFormat="1" x14ac:dyDescent="0.2">
      <c r="A57" s="17" t="s">
        <v>89</v>
      </c>
      <c r="B57" s="11"/>
      <c r="C57" s="32"/>
      <c r="D57" s="28">
        <v>1213.7742757998001</v>
      </c>
      <c r="E57" s="28">
        <f>+E53+E55</f>
        <v>99.999999999999972</v>
      </c>
      <c r="F57" s="34"/>
      <c r="G57" s="34"/>
      <c r="H57" s="34"/>
    </row>
    <row r="58" spans="1:8" s="24" customFormat="1" x14ac:dyDescent="0.2">
      <c r="A58" s="35"/>
      <c r="B58" s="36"/>
      <c r="C58" s="37"/>
      <c r="D58" s="38"/>
      <c r="E58" s="38"/>
      <c r="F58" s="34"/>
      <c r="G58" s="34"/>
      <c r="H58" s="34"/>
    </row>
    <row r="59" spans="1:8" ht="15" x14ac:dyDescent="0.25">
      <c r="A59" s="40" t="s">
        <v>90</v>
      </c>
      <c r="B59" s="40"/>
      <c r="C59" s="40"/>
      <c r="D59" s="40"/>
      <c r="E59" s="40"/>
      <c r="F59" s="40"/>
      <c r="G59" s="40"/>
      <c r="H59" s="40"/>
    </row>
    <row r="60" spans="1:8" ht="30" customHeight="1" x14ac:dyDescent="0.2">
      <c r="A60" s="41" t="s">
        <v>91</v>
      </c>
      <c r="B60" s="41"/>
      <c r="C60" s="41"/>
      <c r="D60" s="41"/>
      <c r="E60" s="41"/>
      <c r="F60" s="41"/>
      <c r="G60" s="41"/>
      <c r="H60" s="41"/>
    </row>
    <row r="61" spans="1:8" ht="15" x14ac:dyDescent="0.2">
      <c r="A61" s="42" t="s">
        <v>92</v>
      </c>
      <c r="B61" s="42"/>
      <c r="C61" s="42"/>
      <c r="D61" s="42"/>
      <c r="E61" s="42"/>
      <c r="F61" s="42"/>
      <c r="G61" s="42"/>
      <c r="H61" s="42"/>
    </row>
    <row r="62" spans="1:8" ht="72" customHeight="1" x14ac:dyDescent="0.2">
      <c r="A62" s="43" t="s">
        <v>93</v>
      </c>
      <c r="B62" s="43"/>
      <c r="C62" s="43"/>
      <c r="D62" s="43"/>
      <c r="E62" s="43"/>
      <c r="F62" s="43"/>
      <c r="G62" s="43"/>
      <c r="H62" s="43"/>
    </row>
    <row r="63" spans="1:8" x14ac:dyDescent="0.2">
      <c r="A63" s="39"/>
      <c r="B63" s="44"/>
      <c r="C63" s="45"/>
      <c r="D63" s="46"/>
      <c r="E63" s="47"/>
      <c r="G63" s="34"/>
      <c r="H63" s="34"/>
    </row>
    <row r="64" spans="1:8" ht="15" x14ac:dyDescent="0.25">
      <c r="A64" s="48" t="s">
        <v>94</v>
      </c>
      <c r="B64" s="49"/>
      <c r="C64" s="49"/>
      <c r="D64" s="49"/>
    </row>
    <row r="65" spans="1:6" ht="15" x14ac:dyDescent="0.25">
      <c r="A65" s="50" t="s">
        <v>95</v>
      </c>
      <c r="B65" s="49"/>
      <c r="C65" s="49"/>
      <c r="D65" s="49"/>
    </row>
    <row r="66" spans="1:6" ht="15" x14ac:dyDescent="0.25">
      <c r="A66" s="51" t="s">
        <v>96</v>
      </c>
      <c r="B66" s="51"/>
      <c r="C66" s="51"/>
      <c r="D66" s="49"/>
      <c r="F66" s="52"/>
    </row>
    <row r="67" spans="1:6" ht="15" x14ac:dyDescent="0.25">
      <c r="A67" s="50" t="s">
        <v>97</v>
      </c>
      <c r="B67" s="49"/>
      <c r="C67" s="49"/>
      <c r="D67" s="49"/>
    </row>
    <row r="70" spans="1:6" ht="14.25" x14ac:dyDescent="0.2">
      <c r="A70" s="53" t="s">
        <v>98</v>
      </c>
      <c r="B70" s="49"/>
      <c r="C70" s="49"/>
      <c r="D70" s="54" t="s">
        <v>99</v>
      </c>
    </row>
  </sheetData>
  <mergeCells count="7">
    <mergeCell ref="A66:C66"/>
    <mergeCell ref="A61:H61"/>
    <mergeCell ref="A62:H62"/>
    <mergeCell ref="A1:H1"/>
    <mergeCell ref="A2:F2"/>
    <mergeCell ref="A59:H59"/>
    <mergeCell ref="A60:H60"/>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BF</vt:lpstr>
      <vt:lpstr>BF!Print_Area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2023-04-05T07:31:33Z</dcterms:created>
  <dcterms:modified xsi:type="dcterms:W3CDTF">2023-04-05T07:37:37Z</dcterms:modified>
</cp:coreProperties>
</file>