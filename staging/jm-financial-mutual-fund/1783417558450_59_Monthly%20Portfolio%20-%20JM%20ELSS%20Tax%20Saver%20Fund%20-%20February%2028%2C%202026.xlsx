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defaultThemeVersion="166925"/>
  <mc:AlternateContent xmlns:mc="http://schemas.openxmlformats.org/markup-compatibility/2006">
    <mc:Choice Requires="x15">
      <x15ac:absPath xmlns:x15ac="http://schemas.microsoft.com/office/spreadsheetml/2010/11/ac" url="G:\p\NAV All Files 2006-2007\Monthly Portfolio\Feb 2026\Monthly\Monthly\"/>
    </mc:Choice>
  </mc:AlternateContent>
  <xr:revisionPtr revIDLastSave="0" documentId="13_ncr:1_{7A7C42E4-9628-4046-9405-1961089E1BBF}" xr6:coauthVersionLast="47" xr6:coauthVersionMax="47" xr10:uidLastSave="{00000000-0000-0000-0000-000000000000}"/>
  <bookViews>
    <workbookView xWindow="-120" yWindow="-120" windowWidth="20730" windowHeight="11040" xr2:uid="{00000000-000D-0000-FFFF-FFFF00000000}"/>
  </bookViews>
  <sheets>
    <sheet name="JM ELSS Tax Saver Fund" sheetId="1" r:id="rId1"/>
  </sheets>
  <definedNames>
    <definedName name="_xlnm._FilterDatabase" localSheetId="0" hidden="1">'JM ELSS Tax Saver Fund'!$A$4:$J$62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ELSS Tax Saver Fund'!$B$1:$F$80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4" i="1" l="1"/>
</calcChain>
</file>

<file path=xl/sharedStrings.xml><?xml version="1.0" encoding="utf-8"?>
<sst xmlns="http://schemas.openxmlformats.org/spreadsheetml/2006/main" count="233" uniqueCount="176">
  <si>
    <t xml:space="preserve"> The risk of the benchmark is Very High </t>
  </si>
  <si>
    <t>The risk of the scheme is Very High</t>
  </si>
  <si>
    <t>*Investors should consult their financial advisers if in doubt about whether the product is suitable for them.</t>
  </si>
  <si>
    <t>• Investment predominantly in Equity &amp; Equity related securities and to enable investors tax deduction from total income as permitted under Income Tax Act, 1961 from time to time.</t>
  </si>
  <si>
    <t>• Capital Appreciation Over Long Term</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</si>
  <si>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</si>
  <si>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</si>
  <si>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</si>
  <si>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</si>
  <si>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</si>
  <si>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</si>
  <si>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ELSS Tax Saver Fund (An open ended equity linked saving scheme with a statutory lock in of 3 years and tax benefit.)</t>
  </si>
  <si>
    <t>JM Financial Mutual Fund</t>
  </si>
  <si>
    <t>NIL</t>
  </si>
  <si>
    <t>Total</t>
  </si>
  <si>
    <t>(b) Privately placed / Unlisted</t>
  </si>
  <si>
    <t>Cash &amp; Cash Equivalents</t>
  </si>
  <si>
    <t>Net Receivable/Payable</t>
  </si>
  <si>
    <t>CCIL</t>
  </si>
  <si>
    <t>ICICI Bank Limited</t>
  </si>
  <si>
    <t>HDFC Bank Limited</t>
  </si>
  <si>
    <t>Infosys Limited</t>
  </si>
  <si>
    <t>Bajaj Auto Limited</t>
  </si>
  <si>
    <t>Bajaj Finance Limited</t>
  </si>
  <si>
    <t>Maruti Suzuki India Limited</t>
  </si>
  <si>
    <t>Bharti Airtel Limited</t>
  </si>
  <si>
    <t>Larsen &amp; Toubro Limited</t>
  </si>
  <si>
    <t>One Source Specialty Pharma Ltd</t>
  </si>
  <si>
    <t>Kotak Mahindra Bank Limited</t>
  </si>
  <si>
    <t>Jubilant Foodworks Limited</t>
  </si>
  <si>
    <t>Tech Mahindra Limited</t>
  </si>
  <si>
    <t>Godfrey Phillips India Limited</t>
  </si>
  <si>
    <t>Neuland Laboratories Ltd</t>
  </si>
  <si>
    <t>Name of Instrument</t>
  </si>
  <si>
    <t>Rating/Industry</t>
  </si>
  <si>
    <t>Market Value (In Rs. lakh)</t>
  </si>
  <si>
    <t>% To Net Assets</t>
  </si>
  <si>
    <t>Maturity Date</t>
  </si>
  <si>
    <t>Put/Call Option</t>
  </si>
  <si>
    <t>Yield</t>
  </si>
  <si>
    <t>EQUITY &amp; EQUITY RELATED</t>
  </si>
  <si>
    <t>(a) Listed / awaiting listing on the stock exchanges</t>
  </si>
  <si>
    <t>Karur Vysya Bank Limited</t>
  </si>
  <si>
    <t>Eternal Limited</t>
  </si>
  <si>
    <t>Max Healthcare Institute Limited</t>
  </si>
  <si>
    <t>KEC International Limited</t>
  </si>
  <si>
    <t>Jindal Steel &amp; Power Limited</t>
  </si>
  <si>
    <t>Prestige Estates Projects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</si>
  <si>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</si>
  <si>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</si>
  <si>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</si>
  <si>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</si>
  <si>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</si>
  <si>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</si>
  <si>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</si>
  <si>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</si>
  <si>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</si>
  <si>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ISIN</t>
  </si>
  <si>
    <t>INE090A01021</t>
  </si>
  <si>
    <t>INE018A01030</t>
  </si>
  <si>
    <t>INE040A01034</t>
  </si>
  <si>
    <t>INE009A01021</t>
  </si>
  <si>
    <t>INE585B01010</t>
  </si>
  <si>
    <t>INE397D01024</t>
  </si>
  <si>
    <t>INE917I01010</t>
  </si>
  <si>
    <t>INE013P01021</t>
  </si>
  <si>
    <t>INE797F01020</t>
  </si>
  <si>
    <t>INE260B01028</t>
  </si>
  <si>
    <t>INE669C01036</t>
  </si>
  <si>
    <t>INE036D01028</t>
  </si>
  <si>
    <t>INE758T01015</t>
  </si>
  <si>
    <t>INE027H01010</t>
  </si>
  <si>
    <t>INE389H01022</t>
  </si>
  <si>
    <t>INE794A01010</t>
  </si>
  <si>
    <t>INE749A01030</t>
  </si>
  <si>
    <t>INE572J01011</t>
  </si>
  <si>
    <t>INE811K01011</t>
  </si>
  <si>
    <t>Coforge Limited</t>
  </si>
  <si>
    <t>INE326A01037</t>
  </si>
  <si>
    <t>Lupin Limited</t>
  </si>
  <si>
    <t>INE180A01020</t>
  </si>
  <si>
    <t>Max Financial Services Limited</t>
  </si>
  <si>
    <t>INE331A01037</t>
  </si>
  <si>
    <t>The Ramco Cements Limited</t>
  </si>
  <si>
    <t>INE982J01020</t>
  </si>
  <si>
    <t>One 97 Communications Limited</t>
  </si>
  <si>
    <t>INE0DYJ01015</t>
  </si>
  <si>
    <t>SYRMA SGS TECHNOLOGY LIMITED</t>
  </si>
  <si>
    <t>INE002A01018</t>
  </si>
  <si>
    <t>Reliance Industries Limited</t>
  </si>
  <si>
    <t>INE591G01025</t>
  </si>
  <si>
    <t>INE850M01015</t>
  </si>
  <si>
    <t>Northern Arc Capital Ltd</t>
  </si>
  <si>
    <t>INE572E01012</t>
  </si>
  <si>
    <t>PNB Housing Finance Limited</t>
  </si>
  <si>
    <t>INE296A01032</t>
  </si>
  <si>
    <t>INE151G01028</t>
  </si>
  <si>
    <t>Shaily Engineering Plastics Limited</t>
  </si>
  <si>
    <t>INE540H01012</t>
  </si>
  <si>
    <t>VOLTAMP TRANSFORMERS LTD</t>
  </si>
  <si>
    <t>INE0JPD01013</t>
  </si>
  <si>
    <t>Sanathan Textiles Ltd.</t>
  </si>
  <si>
    <t>INE455K01017</t>
  </si>
  <si>
    <t>Polycab India Limited</t>
  </si>
  <si>
    <t>INE015C01016</t>
  </si>
  <si>
    <t>Tinna Rubber and Infrastructure Limited</t>
  </si>
  <si>
    <t>INE103V01028</t>
  </si>
  <si>
    <t>Travel Food Services Limited</t>
  </si>
  <si>
    <t>INE262H01021</t>
  </si>
  <si>
    <t>PERSISTENT SYSTEMS LTD</t>
  </si>
  <si>
    <t>Construction</t>
  </si>
  <si>
    <t>INE118H01025</t>
  </si>
  <si>
    <t>BSE Ltd</t>
  </si>
  <si>
    <t>Healthcare Services</t>
  </si>
  <si>
    <t>INE854D01024</t>
  </si>
  <si>
    <t>United Spirits Limited</t>
  </si>
  <si>
    <t>IN9572J01019</t>
  </si>
  <si>
    <t>INE290S01011</t>
  </si>
  <si>
    <t>CarTrade Tech Limited</t>
  </si>
  <si>
    <t>Banks</t>
  </si>
  <si>
    <t>Petroleum Products</t>
  </si>
  <si>
    <t>Industrial Manufacturing</t>
  </si>
  <si>
    <t>Finance</t>
  </si>
  <si>
    <t>Financial Technology (Fintech)</t>
  </si>
  <si>
    <t>Automobiles</t>
  </si>
  <si>
    <t>Pharmaceuticals &amp; Biotechnology</t>
  </si>
  <si>
    <t>Industrial Products</t>
  </si>
  <si>
    <t>Leisure Services</t>
  </si>
  <si>
    <t>Cigarettes &amp; Tobacco Products</t>
  </si>
  <si>
    <t>Insurance</t>
  </si>
  <si>
    <t>Telecom - Services</t>
  </si>
  <si>
    <t>Capital Markets</t>
  </si>
  <si>
    <t>IT - Software</t>
  </si>
  <si>
    <t>Retailing</t>
  </si>
  <si>
    <t>Beverages</t>
  </si>
  <si>
    <t>Realty</t>
  </si>
  <si>
    <t>Ferrous Metals</t>
  </si>
  <si>
    <t>Textiles &amp; Apparels</t>
  </si>
  <si>
    <t>Cement &amp; Cement Products</t>
  </si>
  <si>
    <t>Electrical Equipment</t>
  </si>
  <si>
    <t>INE085001019</t>
  </si>
  <si>
    <t>WeWork India Management Limited</t>
  </si>
  <si>
    <t>INE205A01025</t>
  </si>
  <si>
    <t>Vedanta Limited</t>
  </si>
  <si>
    <t>Diversified Metals</t>
  </si>
  <si>
    <t>Commercial Services &amp; Supplies</t>
  </si>
  <si>
    <t>Scheme performance</t>
  </si>
  <si>
    <t>^YTC (AT1/Tier 2 bonds)</t>
  </si>
  <si>
    <t>https://www.jmfinancialmf.com/products/Equity/JM-ELSS-Tax-Saver-Fund/J282/Regular-Plan-Growth-Option</t>
  </si>
  <si>
    <t>https://www.jmfinancialmf.com/products/Equity/JM-ELSS-Tax-Saver-Fund/J446/Direct-Plan-Growth-Option</t>
  </si>
  <si>
    <t>Regular Plan</t>
  </si>
  <si>
    <t>Direct Plan</t>
  </si>
  <si>
    <t>INE774D01024</t>
  </si>
  <si>
    <t>Mahindra &amp; Mahindra Financial Serv Ltd.</t>
  </si>
  <si>
    <t>INE346A01027</t>
  </si>
  <si>
    <t>ICICI Prudential AMC Ltd</t>
  </si>
  <si>
    <t>INE237A01036</t>
  </si>
  <si>
    <t>INE062A01020</t>
  </si>
  <si>
    <t>State Bank of India</t>
  </si>
  <si>
    <t>INE615H01020</t>
  </si>
  <si>
    <t>TITAGARH RAIL SYSTEMS LIMITED</t>
  </si>
  <si>
    <t>INE372A01015</t>
  </si>
  <si>
    <t>APAR INDUSTRIES LTD</t>
  </si>
  <si>
    <t>INE101A01026</t>
  </si>
  <si>
    <t>Mahindra &amp; Mahindra Limited</t>
  </si>
  <si>
    <t>INE482A01020</t>
  </si>
  <si>
    <t>CEAT Limited</t>
  </si>
  <si>
    <t>INE522D01027</t>
  </si>
  <si>
    <t>Manappuram Finance Limited</t>
  </si>
  <si>
    <t>Monthly Portfolio Statement for the period ended 28.02.2026</t>
  </si>
  <si>
    <t>Auto Components</t>
  </si>
  <si>
    <t>02-MAR-2026</t>
  </si>
  <si>
    <t xml:space="preserve">    Riskometer of the scheme </t>
  </si>
  <si>
    <t xml:space="preserve">                                               Benchmark of the Scheme - BSE 500 TRI</t>
  </si>
  <si>
    <t>Spandana Sphoorty Financial Ltd. - Partly Paid</t>
  </si>
  <si>
    <t>Spandana Sphoorty Financial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</si>
</sst>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0.00%"/>
    <numFmt numFmtId="167" formatCode="0.00\%"/>
    <numFmt numFmtId="168" formatCode="#,##0.00;\(#,##0.00\)"/>
    <numFmt numFmtId="169" formatCode="#,##0%"/>
  </numFmts>
  <fonts count="21" x14ac:knownFonts="1">
    <font>
      <sz val="10"/>
      <name val="Arial"/>
    </font>
    <font>
      <sz val="10"/>
      <name val="Times New Roman"/>
      <family val="1"/>
    </font>
    <font>
      <sz val="10"/>
      <name val="Arial"/>
      <family val="2"/>
    </font>
    <font>
      <b/>
      <sz val="8"/>
      <color indexed="9"/>
      <name val="Century Gothic"/>
      <family val="2"/>
    </font>
    <font>
      <b/>
      <sz val="8"/>
      <name val="Century Gothic"/>
      <family val="2"/>
    </font>
    <font>
      <sz val="11"/>
      <color indexed="8"/>
      <name val="Calibri"/>
      <family val="2"/>
    </font>
    <font>
      <b/>
      <sz val="8"/>
      <color indexed="8"/>
      <name val="Century Gothic"/>
      <family val="2"/>
    </font>
    <font>
      <sz val="8"/>
      <name val="Century Gothic"/>
      <family val="2"/>
    </font>
    <font>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u/>
      <sz val="10"/>
      <color theme="10"/>
      <name val="Arial"/>
      <family val="2"/>
    </font>
    <font>
      <sz val="10"/>
      <name val="Century Gothic"/>
      <family val="2"/>
    </font>
    <font>
      <sz val="8"/>
      <color indexed="72"/>
      <name val="Century Gothic"/>
      <family val="2"/>
    </font>
    <font>
      <sz val="10"/>
      <color theme="4"/>
      <name val="Times New Roman"/>
      <family val="1"/>
    </font>
    <font>
      <sz val="8"/>
      <color theme="4"/>
      <name val="Century Gothic"/>
      <family val="2"/>
    </font>
    <font>
      <b/>
      <sz val="8"/>
      <color indexed="72"/>
      <name val="Century Gothic"/>
      <family val="2"/>
    </font>
    <font>
      <b/>
      <u/>
      <sz val="8"/>
      <color theme="4"/>
      <name val="Century Gothic"/>
      <family val="2"/>
    </font>
    <font>
      <b/>
      <u/>
      <sz val="8"/>
      <color theme="10"/>
      <name val="Century Gothic"/>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8"/>
      </left>
      <right style="thin">
        <color indexed="8"/>
      </right>
      <top style="thin">
        <color indexed="8"/>
      </top>
      <bottom style="thin">
        <color indexed="8"/>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3" fillId="0" borderId="0" applyNumberFormat="0" applyFill="0" applyBorder="0" applyAlignment="0" applyProtection="0"/>
    <xf numFmtId="164" fontId="2" fillId="0" borderId="0" applyFont="0" applyFill="0" applyBorder="0" applyAlignment="0" applyProtection="0"/>
  </cellStyleXfs>
  <cellXfs count="95">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applyAlignment="1">
      <alignment horizontal="left" wrapText="1"/>
    </xf>
    <xf numFmtId="0" fontId="6" fillId="0" borderId="0" xfId="3" applyFont="1" applyAlignment="1">
      <alignment horizontal="center"/>
    </xf>
    <xf numFmtId="0" fontId="7" fillId="0" borderId="0" xfId="2" applyFont="1" applyAlignment="1">
      <alignment horizontal="right"/>
    </xf>
    <xf numFmtId="0" fontId="10" fillId="2" borderId="2" xfId="2" applyFont="1" applyFill="1" applyBorder="1" applyAlignment="1">
      <alignment horizontal="center" vertical="center" wrapText="1"/>
    </xf>
    <xf numFmtId="0" fontId="7" fillId="0" borderId="0" xfId="6" applyFont="1" applyAlignment="1">
      <alignment horizontal="left" vertical="top"/>
    </xf>
    <xf numFmtId="0" fontId="7" fillId="0" borderId="0" xfId="6" applyFont="1" applyAlignment="1">
      <alignment vertical="top"/>
    </xf>
    <xf numFmtId="0" fontId="8" fillId="0" borderId="0" xfId="5" applyFont="1" applyAlignment="1">
      <alignment horizontal="left" vertical="top"/>
    </xf>
    <xf numFmtId="0" fontId="6" fillId="0" borderId="0" xfId="4" applyFont="1"/>
    <xf numFmtId="0" fontId="3" fillId="0" borderId="0" xfId="2" applyFont="1" applyAlignment="1">
      <alignment horizontal="left"/>
    </xf>
    <xf numFmtId="0" fontId="7" fillId="0" borderId="0" xfId="2" applyFont="1"/>
    <xf numFmtId="0" fontId="8" fillId="0" borderId="0" xfId="4" applyFont="1"/>
    <xf numFmtId="0" fontId="7" fillId="0" borderId="0" xfId="0" applyFont="1" applyAlignment="1">
      <alignment wrapText="1"/>
    </xf>
    <xf numFmtId="0" fontId="7" fillId="0" borderId="0" xfId="0" applyFont="1" applyAlignment="1">
      <alignment horizontal="left" wrapText="1"/>
    </xf>
    <xf numFmtId="0" fontId="7" fillId="0" borderId="0" xfId="2" applyFont="1" applyAlignment="1">
      <alignment wrapText="1"/>
    </xf>
    <xf numFmtId="0" fontId="14" fillId="3" borderId="0" xfId="2" applyFont="1" applyFill="1"/>
    <xf numFmtId="0" fontId="4" fillId="0" borderId="1" xfId="0" applyFont="1" applyBorder="1" applyAlignment="1">
      <alignment horizontal="center" vertical="center" wrapText="1"/>
    </xf>
    <xf numFmtId="0" fontId="7" fillId="0" borderId="1" xfId="0" applyFont="1" applyBorder="1"/>
    <xf numFmtId="0" fontId="7" fillId="0" borderId="1" xfId="2" applyFont="1" applyBorder="1"/>
    <xf numFmtId="0" fontId="7" fillId="0" borderId="1" xfId="2" applyFont="1" applyBorder="1" applyAlignment="1">
      <alignment horizontal="left" vertical="center"/>
    </xf>
    <xf numFmtId="0" fontId="7" fillId="0" borderId="1" xfId="2" applyFont="1" applyBorder="1" applyAlignment="1">
      <alignment wrapText="1"/>
    </xf>
    <xf numFmtId="0" fontId="4" fillId="0" borderId="0" xfId="2" applyFont="1" applyAlignment="1">
      <alignment horizontal="center" wrapText="1"/>
    </xf>
    <xf numFmtId="0" fontId="4" fillId="0" borderId="0" xfId="0" applyFont="1" applyAlignment="1">
      <alignment wrapText="1"/>
    </xf>
    <xf numFmtId="0" fontId="7" fillId="0" borderId="0" xfId="0" applyFont="1"/>
    <xf numFmtId="4" fontId="6" fillId="0" borderId="0" xfId="0" applyNumberFormat="1" applyFont="1"/>
    <xf numFmtId="166" fontId="4" fillId="0" borderId="0" xfId="0" applyNumberFormat="1" applyFont="1" applyAlignment="1">
      <alignment horizontal="right" vertical="top"/>
    </xf>
    <xf numFmtId="0" fontId="7" fillId="0" borderId="0" xfId="0" applyFont="1" applyAlignment="1">
      <alignment horizontal="right"/>
    </xf>
    <xf numFmtId="0" fontId="15" fillId="0" borderId="0" xfId="0" applyFont="1" applyAlignment="1">
      <alignment horizontal="right" vertical="top"/>
    </xf>
    <xf numFmtId="0" fontId="7" fillId="0" borderId="0" xfId="2" applyFont="1" applyAlignment="1">
      <alignment horizontal="left" wrapText="1"/>
    </xf>
    <xf numFmtId="165" fontId="7" fillId="0" borderId="0" xfId="1" applyNumberFormat="1" applyFont="1"/>
    <xf numFmtId="0" fontId="4" fillId="0" borderId="0" xfId="2" applyFont="1" applyAlignment="1">
      <alignment wrapText="1"/>
    </xf>
    <xf numFmtId="0" fontId="16" fillId="0" borderId="0" xfId="0" applyFont="1"/>
    <xf numFmtId="0" fontId="17" fillId="0" borderId="0" xfId="2" applyFont="1"/>
    <xf numFmtId="0" fontId="4" fillId="0" borderId="1" xfId="0" applyFont="1" applyBorder="1" applyAlignment="1">
      <alignment horizontal="left" vertical="center" wrapText="1"/>
    </xf>
    <xf numFmtId="165" fontId="4" fillId="0" borderId="1" xfId="1" applyNumberFormat="1" applyFont="1" applyFill="1" applyBorder="1" applyAlignment="1">
      <alignment horizontal="center" vertical="center"/>
    </xf>
    <xf numFmtId="165" fontId="4" fillId="0" borderId="1" xfId="1" applyNumberFormat="1" applyFont="1" applyFill="1" applyBorder="1" applyAlignment="1">
      <alignment horizontal="center" vertical="center" wrapText="1"/>
    </xf>
    <xf numFmtId="164" fontId="4" fillId="0" borderId="1" xfId="1" applyFont="1" applyBorder="1" applyAlignment="1">
      <alignment horizontal="center" vertical="center" wrapText="1"/>
    </xf>
    <xf numFmtId="10" fontId="4" fillId="0" borderId="1" xfId="0" applyNumberFormat="1" applyFont="1" applyBorder="1" applyAlignment="1">
      <alignment horizontal="center" vertical="center" wrapText="1"/>
    </xf>
    <xf numFmtId="0" fontId="1" fillId="0" borderId="0" xfId="0" applyFont="1" applyAlignment="1">
      <alignment horizontal="center"/>
    </xf>
    <xf numFmtId="0" fontId="8" fillId="0" borderId="1" xfId="0" applyFont="1" applyBorder="1"/>
    <xf numFmtId="0" fontId="18" fillId="0" borderId="1" xfId="0" applyFont="1" applyBorder="1" applyAlignment="1">
      <alignment horizontal="left" vertical="top"/>
    </xf>
    <xf numFmtId="4" fontId="8" fillId="0" borderId="1" xfId="0" applyNumberFormat="1" applyFont="1" applyBorder="1"/>
    <xf numFmtId="10" fontId="8" fillId="0" borderId="1" xfId="7" applyNumberFormat="1" applyFont="1" applyFill="1" applyBorder="1" applyAlignment="1"/>
    <xf numFmtId="10" fontId="8" fillId="0" borderId="1" xfId="7" applyNumberFormat="1" applyFont="1" applyFill="1" applyBorder="1" applyAlignment="1">
      <alignment horizontal="right"/>
    </xf>
    <xf numFmtId="0" fontId="15" fillId="0" borderId="1" xfId="0" applyFont="1" applyBorder="1" applyAlignment="1">
      <alignment horizontal="right" vertical="top"/>
    </xf>
    <xf numFmtId="4" fontId="6" fillId="0" borderId="1" xfId="0" applyNumberFormat="1" applyFont="1" applyBorder="1" applyAlignment="1">
      <alignment horizontal="right"/>
    </xf>
    <xf numFmtId="0" fontId="15" fillId="0" borderId="1" xfId="0" applyFont="1" applyBorder="1" applyAlignment="1">
      <alignment horizontal="left" vertical="top"/>
    </xf>
    <xf numFmtId="4" fontId="15" fillId="0" borderId="1" xfId="0" applyNumberFormat="1" applyFont="1" applyBorder="1" applyAlignment="1">
      <alignment horizontal="right" vertical="top"/>
    </xf>
    <xf numFmtId="166" fontId="15" fillId="0" borderId="1" xfId="0" applyNumberFormat="1" applyFont="1" applyBorder="1" applyAlignment="1">
      <alignment horizontal="right" vertical="top"/>
    </xf>
    <xf numFmtId="10" fontId="15" fillId="0" borderId="1" xfId="7" applyNumberFormat="1" applyFont="1" applyFill="1" applyBorder="1" applyAlignment="1" applyProtection="1">
      <alignment horizontal="right" vertical="top"/>
    </xf>
    <xf numFmtId="0" fontId="6" fillId="0" borderId="1" xfId="0" applyFont="1" applyBorder="1"/>
    <xf numFmtId="4" fontId="6" fillId="0" borderId="1" xfId="0" applyNumberFormat="1" applyFont="1" applyBorder="1"/>
    <xf numFmtId="4" fontId="4" fillId="0" borderId="1" xfId="0" applyNumberFormat="1" applyFont="1" applyBorder="1" applyAlignment="1">
      <alignment horizontal="right" vertical="top"/>
    </xf>
    <xf numFmtId="166" fontId="4" fillId="0" borderId="1" xfId="0" applyNumberFormat="1" applyFont="1" applyBorder="1" applyAlignment="1">
      <alignment horizontal="right" vertical="top"/>
    </xf>
    <xf numFmtId="10" fontId="7" fillId="0" borderId="1" xfId="7" applyNumberFormat="1" applyFont="1" applyFill="1" applyBorder="1" applyAlignment="1" applyProtection="1">
      <alignment horizontal="right" vertical="top"/>
    </xf>
    <xf numFmtId="10" fontId="4" fillId="0" borderId="1" xfId="7" applyNumberFormat="1" applyFont="1" applyFill="1" applyBorder="1" applyAlignment="1" applyProtection="1">
      <alignment horizontal="right" vertical="top"/>
    </xf>
    <xf numFmtId="4" fontId="7" fillId="0" borderId="1" xfId="0" applyNumberFormat="1" applyFont="1" applyBorder="1"/>
    <xf numFmtId="167" fontId="8" fillId="0" borderId="1" xfId="7" applyNumberFormat="1" applyFont="1" applyFill="1" applyBorder="1" applyAlignment="1"/>
    <xf numFmtId="167" fontId="8" fillId="0" borderId="1" xfId="0" applyNumberFormat="1" applyFont="1" applyBorder="1"/>
    <xf numFmtId="0" fontId="8" fillId="0" borderId="1" xfId="0" applyFont="1" applyBorder="1" applyAlignment="1">
      <alignment horizontal="right"/>
    </xf>
    <xf numFmtId="4" fontId="15" fillId="0" borderId="1" xfId="0" applyNumberFormat="1" applyFont="1" applyBorder="1" applyAlignment="1">
      <alignment horizontal="left" vertical="top"/>
    </xf>
    <xf numFmtId="167" fontId="4" fillId="0" borderId="1" xfId="0" applyNumberFormat="1" applyFont="1" applyBorder="1" applyAlignment="1">
      <alignment horizontal="right" vertical="top"/>
    </xf>
    <xf numFmtId="4" fontId="18"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0" fontId="15" fillId="0" borderId="1" xfId="0" applyFont="1" applyBorder="1" applyAlignment="1">
      <alignment horizontal="left" vertical="top" wrapText="1"/>
    </xf>
    <xf numFmtId="0" fontId="15" fillId="0" borderId="1" xfId="0" applyFont="1" applyBorder="1" applyAlignment="1">
      <alignment horizontal="right" vertical="top" wrapText="1"/>
    </xf>
    <xf numFmtId="166" fontId="15" fillId="0" borderId="1" xfId="0" applyNumberFormat="1" applyFont="1" applyBorder="1" applyAlignment="1">
      <alignment horizontal="right" vertical="top" wrapText="1"/>
    </xf>
    <xf numFmtId="166" fontId="7" fillId="0" borderId="1" xfId="0" applyNumberFormat="1" applyFont="1" applyBorder="1" applyAlignment="1">
      <alignment horizontal="right"/>
    </xf>
    <xf numFmtId="166" fontId="4" fillId="0" borderId="1" xfId="0" applyNumberFormat="1" applyFont="1" applyBorder="1" applyAlignment="1">
      <alignment horizontal="right"/>
    </xf>
    <xf numFmtId="0" fontId="4" fillId="0" borderId="1" xfId="0" applyFont="1" applyBorder="1" applyAlignment="1">
      <alignment horizontal="left" vertical="top" wrapText="1"/>
    </xf>
    <xf numFmtId="168" fontId="15" fillId="0" borderId="1" xfId="0" applyNumberFormat="1" applyFont="1" applyBorder="1" applyAlignment="1">
      <alignment horizontal="right" vertical="top" wrapText="1"/>
    </xf>
    <xf numFmtId="167" fontId="15" fillId="0" borderId="1" xfId="0" applyNumberFormat="1" applyFont="1" applyBorder="1" applyAlignment="1">
      <alignment horizontal="right" vertical="top" wrapText="1"/>
    </xf>
    <xf numFmtId="4" fontId="6" fillId="0" borderId="1" xfId="0" applyNumberFormat="1" applyFont="1" applyBorder="1" applyAlignment="1">
      <alignment horizontal="right" vertical="top"/>
    </xf>
    <xf numFmtId="0" fontId="4" fillId="0" borderId="1" xfId="0" applyFont="1" applyBorder="1" applyAlignment="1">
      <alignment wrapText="1"/>
    </xf>
    <xf numFmtId="10" fontId="7" fillId="0" borderId="4" xfId="7" applyNumberFormat="1" applyFont="1" applyBorder="1" applyAlignment="1">
      <alignment horizontal="right"/>
    </xf>
    <xf numFmtId="169" fontId="7" fillId="0" borderId="1" xfId="0" applyNumberFormat="1" applyFont="1" applyBorder="1" applyAlignment="1">
      <alignment horizontal="right" vertical="top"/>
    </xf>
    <xf numFmtId="169" fontId="4" fillId="0" borderId="1" xfId="0" applyNumberFormat="1" applyFont="1" applyBorder="1" applyAlignment="1">
      <alignment horizontal="right" vertical="top"/>
    </xf>
    <xf numFmtId="0" fontId="7" fillId="0" borderId="1" xfId="0" applyFont="1" applyBorder="1" applyAlignment="1">
      <alignment horizontal="right"/>
    </xf>
    <xf numFmtId="0" fontId="4" fillId="0" borderId="0" xfId="0" applyFont="1"/>
    <xf numFmtId="0" fontId="19" fillId="0" borderId="0" xfId="9" applyFont="1" applyAlignment="1"/>
    <xf numFmtId="0" fontId="20" fillId="0" borderId="0" xfId="9" applyFont="1" applyAlignment="1"/>
    <xf numFmtId="165" fontId="17" fillId="0" borderId="0" xfId="1" applyNumberFormat="1" applyFont="1"/>
    <xf numFmtId="0" fontId="17" fillId="0" borderId="0" xfId="0" applyFont="1"/>
    <xf numFmtId="0" fontId="4" fillId="0" borderId="0" xfId="2" applyFont="1" applyAlignment="1">
      <alignment wrapText="1"/>
    </xf>
    <xf numFmtId="0" fontId="4" fillId="0" borderId="0" xfId="0" applyFont="1" applyAlignment="1">
      <alignment wrapText="1"/>
    </xf>
    <xf numFmtId="0" fontId="4" fillId="0" borderId="0" xfId="2" applyFont="1" applyAlignment="1">
      <alignment horizontal="center"/>
    </xf>
    <xf numFmtId="0" fontId="4"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5" applyFont="1" applyAlignment="1">
      <alignment horizontal="left" vertical="top" wrapText="1"/>
    </xf>
    <xf numFmtId="0" fontId="7" fillId="0" borderId="0" xfId="0" applyFont="1"/>
  </cellXfs>
  <cellStyles count="11">
    <cellStyle name="Comma" xfId="1" builtinId="3"/>
    <cellStyle name="Comma 3" xfId="10" xr:uid="{00000000-0005-0000-0000-000001000000}"/>
    <cellStyle name="Hyperlink" xfId="9" builtinId="8"/>
    <cellStyle name="Normal" xfId="0" builtinId="0"/>
    <cellStyle name="Normal 2 2 2" xfId="2" xr:uid="{00000000-0005-0000-0000-000004000000}"/>
    <cellStyle name="Normal 2 3 2" xfId="6" xr:uid="{00000000-0005-0000-0000-000005000000}"/>
    <cellStyle name="Normal 3" xfId="8" xr:uid="{00000000-0005-0000-0000-000006000000}"/>
    <cellStyle name="Normal 4_IF" xfId="3" xr:uid="{00000000-0005-0000-0000-000007000000}"/>
    <cellStyle name="Normal 4_LD" xfId="5" xr:uid="{00000000-0005-0000-0000-000008000000}"/>
    <cellStyle name="Normal 4_TG" xfId="4" xr:uid="{00000000-0005-0000-0000-000009000000}"/>
    <cellStyle name="Percent"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495300</xdr:colOff>
      <xdr:row>102</xdr:row>
      <xdr:rowOff>104774</xdr:rowOff>
    </xdr:from>
    <xdr:to>
      <xdr:col>4</xdr:col>
      <xdr:colOff>76200</xdr:colOff>
      <xdr:row>105</xdr:row>
      <xdr:rowOff>66674</xdr:rowOff>
    </xdr:to>
    <xdr:sp macro="" textlink="">
      <xdr:nvSpPr>
        <xdr:cNvPr id="2" name="TextBox 1">
          <a:extLst>
            <a:ext uri="{FF2B5EF4-FFF2-40B4-BE49-F238E27FC236}">
              <a16:creationId xmlns:a16="http://schemas.microsoft.com/office/drawing/2014/main" id="{C93B2120-2B7A-402F-BA64-1BB2ACBEB95C}"/>
            </a:ext>
          </a:extLst>
        </xdr:cNvPr>
        <xdr:cNvSpPr txBox="1"/>
      </xdr:nvSpPr>
      <xdr:spPr>
        <a:xfrm>
          <a:off x="1136650" y="17249774"/>
          <a:ext cx="863600" cy="438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a:p>
      </xdr:txBody>
    </xdr:sp>
    <xdr:clientData/>
  </xdr:twoCellAnchor>
  <xdr:twoCellAnchor>
    <xdr:from>
      <xdr:col>1</xdr:col>
      <xdr:colOff>1123951</xdr:colOff>
      <xdr:row>103</xdr:row>
      <xdr:rowOff>142875</xdr:rowOff>
    </xdr:from>
    <xdr:to>
      <xdr:col>1</xdr:col>
      <xdr:colOff>3400425</xdr:colOff>
      <xdr:row>106</xdr:row>
      <xdr:rowOff>0</xdr:rowOff>
    </xdr:to>
    <xdr:sp macro="" textlink="">
      <xdr:nvSpPr>
        <xdr:cNvPr id="3" name="TextBox 2">
          <a:extLst>
            <a:ext uri="{FF2B5EF4-FFF2-40B4-BE49-F238E27FC236}">
              <a16:creationId xmlns:a16="http://schemas.microsoft.com/office/drawing/2014/main" id="{ACD59002-B3B9-4D8F-A686-7C5CC997937C}"/>
            </a:ext>
          </a:extLst>
        </xdr:cNvPr>
        <xdr:cNvSpPr txBox="1"/>
      </xdr:nvSpPr>
      <xdr:spPr>
        <a:xfrm>
          <a:off x="641351" y="17446625"/>
          <a:ext cx="0" cy="492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1100">
            <a:solidFill>
              <a:sysClr val="windowText" lastClr="000000"/>
            </a:solidFill>
          </a:endParaRPr>
        </a:p>
      </xdr:txBody>
    </xdr:sp>
    <xdr:clientData/>
  </xdr:twoCellAnchor>
  <xdr:oneCellAnchor>
    <xdr:from>
      <xdr:col>1</xdr:col>
      <xdr:colOff>371475</xdr:colOff>
      <xdr:row>96</xdr:row>
      <xdr:rowOff>66675</xdr:rowOff>
    </xdr:from>
    <xdr:ext cx="2514600" cy="1565275"/>
    <xdr:pic>
      <xdr:nvPicPr>
        <xdr:cNvPr id="4" name="Picture 7">
          <a:extLst>
            <a:ext uri="{FF2B5EF4-FFF2-40B4-BE49-F238E27FC236}">
              <a16:creationId xmlns:a16="http://schemas.microsoft.com/office/drawing/2014/main" id="{A74E0F81-6775-4CE4-850F-872AA67479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6825" y="18116550"/>
          <a:ext cx="2514600" cy="156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1009650</xdr:colOff>
      <xdr:row>96</xdr:row>
      <xdr:rowOff>85725</xdr:rowOff>
    </xdr:from>
    <xdr:ext cx="2627200" cy="1543050"/>
    <xdr:pic>
      <xdr:nvPicPr>
        <xdr:cNvPr id="5" name="Picture 8">
          <a:extLst>
            <a:ext uri="{FF2B5EF4-FFF2-40B4-BE49-F238E27FC236}">
              <a16:creationId xmlns:a16="http://schemas.microsoft.com/office/drawing/2014/main" id="{ACBF69E7-C9DE-42CC-84F8-14902384FBF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143500" y="18135600"/>
          <a:ext cx="2627200"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ELSS-Tax-Saver-Fund/J446/Direct-Plan-Growth-Option" TargetMode="External"/><Relationship Id="rId1" Type="http://schemas.openxmlformats.org/officeDocument/2006/relationships/hyperlink" Target="https://www.jmfinancialmf.com/products/Equity/JM-ELSS-Tax-Saver-Fund/J282/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K117"/>
  <sheetViews>
    <sheetView tabSelected="1" topLeftCell="A93" zoomScaleNormal="100" workbookViewId="0">
      <selection activeCell="B55" sqref="B55"/>
    </sheetView>
  </sheetViews>
  <sheetFormatPr defaultColWidth="9.140625" defaultRowHeight="14.25" x14ac:dyDescent="0.3"/>
  <cols>
    <col min="1" max="1" width="13.42578125" style="1" customWidth="1"/>
    <col min="2" max="2" width="48.5703125" style="4" customWidth="1"/>
    <col min="3" max="3" width="38" style="3" customWidth="1"/>
    <col min="4" max="4" width="13.42578125" style="2" customWidth="1"/>
    <col min="5" max="5" width="12.5703125" style="1" customWidth="1"/>
    <col min="6" max="6" width="11.85546875" style="1" customWidth="1"/>
    <col min="7" max="7" width="16.28515625" style="1" customWidth="1"/>
    <col min="8" max="8" width="9.5703125" style="1" bestFit="1" customWidth="1"/>
    <col min="9" max="9" width="12.28515625" style="1" customWidth="1"/>
    <col min="10" max="10" width="9.140625" style="14"/>
    <col min="11" max="16384" width="9.140625" style="1"/>
  </cols>
  <sheetData>
    <row r="1" spans="1:10" ht="13.5" x14ac:dyDescent="0.25">
      <c r="A1" s="8"/>
      <c r="B1" s="91" t="s">
        <v>12</v>
      </c>
      <c r="C1" s="91"/>
      <c r="D1" s="91"/>
      <c r="E1" s="91"/>
      <c r="F1" s="91"/>
      <c r="G1" s="91"/>
      <c r="H1" s="91"/>
      <c r="I1" s="91"/>
      <c r="J1" s="19"/>
    </row>
    <row r="2" spans="1:10" ht="13.5" x14ac:dyDescent="0.25">
      <c r="A2" s="8"/>
      <c r="B2" s="91" t="s">
        <v>11</v>
      </c>
      <c r="C2" s="91"/>
      <c r="D2" s="91"/>
      <c r="E2" s="91"/>
      <c r="F2" s="91"/>
      <c r="G2" s="91"/>
      <c r="H2" s="91"/>
      <c r="I2" s="91"/>
      <c r="J2" s="19"/>
    </row>
    <row r="3" spans="1:10" ht="12.75" customHeight="1" x14ac:dyDescent="0.25">
      <c r="A3" s="8"/>
      <c r="B3" s="92" t="s">
        <v>169</v>
      </c>
      <c r="C3" s="92"/>
      <c r="D3" s="92"/>
      <c r="E3" s="92"/>
      <c r="F3" s="92"/>
      <c r="G3" s="92"/>
      <c r="H3" s="92"/>
      <c r="I3" s="92"/>
      <c r="J3" s="19"/>
    </row>
    <row r="4" spans="1:10" s="42" customFormat="1" ht="38.25" x14ac:dyDescent="0.2">
      <c r="A4" s="20" t="s">
        <v>57</v>
      </c>
      <c r="B4" s="37" t="s">
        <v>33</v>
      </c>
      <c r="C4" s="38" t="s">
        <v>34</v>
      </c>
      <c r="D4" s="39" t="s">
        <v>10</v>
      </c>
      <c r="E4" s="40" t="s">
        <v>35</v>
      </c>
      <c r="F4" s="41" t="s">
        <v>36</v>
      </c>
      <c r="G4" s="20" t="s">
        <v>37</v>
      </c>
      <c r="H4" s="20" t="s">
        <v>38</v>
      </c>
      <c r="I4" s="20" t="s">
        <v>39</v>
      </c>
      <c r="J4" s="20" t="s">
        <v>147</v>
      </c>
    </row>
    <row r="5" spans="1:10" x14ac:dyDescent="0.3">
      <c r="A5" s="43"/>
      <c r="B5" s="44" t="s">
        <v>40</v>
      </c>
      <c r="C5" s="43"/>
      <c r="D5" s="45"/>
      <c r="E5" s="45"/>
      <c r="F5" s="46"/>
      <c r="G5" s="47"/>
      <c r="H5" s="46"/>
      <c r="I5" s="48"/>
      <c r="J5" s="21"/>
    </row>
    <row r="6" spans="1:10" x14ac:dyDescent="0.3">
      <c r="A6" s="43"/>
      <c r="B6" s="44" t="s">
        <v>41</v>
      </c>
      <c r="C6" s="43"/>
      <c r="D6" s="45"/>
      <c r="E6" s="49"/>
      <c r="F6" s="49"/>
      <c r="G6" s="47"/>
      <c r="H6" s="46"/>
      <c r="I6" s="48"/>
      <c r="J6" s="21"/>
    </row>
    <row r="7" spans="1:10" x14ac:dyDescent="0.3">
      <c r="A7" s="50" t="s">
        <v>60</v>
      </c>
      <c r="B7" s="50" t="s">
        <v>20</v>
      </c>
      <c r="C7" s="50" t="s">
        <v>119</v>
      </c>
      <c r="D7" s="51">
        <v>98262</v>
      </c>
      <c r="E7" s="51">
        <v>872.32090500000004</v>
      </c>
      <c r="F7" s="52">
        <v>4.014718062409945E-2</v>
      </c>
      <c r="G7" s="53"/>
      <c r="H7" s="53"/>
      <c r="I7" s="48"/>
      <c r="J7" s="21"/>
    </row>
    <row r="8" spans="1:10" x14ac:dyDescent="0.3">
      <c r="A8" s="50" t="s">
        <v>59</v>
      </c>
      <c r="B8" s="50" t="s">
        <v>26</v>
      </c>
      <c r="C8" s="50" t="s">
        <v>110</v>
      </c>
      <c r="D8" s="51">
        <v>18447</v>
      </c>
      <c r="E8" s="51">
        <v>789.21800099999996</v>
      </c>
      <c r="F8" s="52">
        <v>3.6322501795297113E-2</v>
      </c>
      <c r="G8" s="53"/>
      <c r="H8" s="53"/>
      <c r="I8" s="48"/>
      <c r="J8" s="21"/>
    </row>
    <row r="9" spans="1:10" x14ac:dyDescent="0.3">
      <c r="A9" s="50" t="s">
        <v>88</v>
      </c>
      <c r="B9" s="50" t="s">
        <v>89</v>
      </c>
      <c r="C9" s="50" t="s">
        <v>120</v>
      </c>
      <c r="D9" s="51">
        <v>53400</v>
      </c>
      <c r="E9" s="51">
        <v>744.34259999999995</v>
      </c>
      <c r="F9" s="52">
        <v>3.4257182921016677E-2</v>
      </c>
      <c r="G9" s="53"/>
      <c r="H9" s="53"/>
      <c r="I9" s="48"/>
      <c r="J9" s="21"/>
    </row>
    <row r="10" spans="1:10" x14ac:dyDescent="0.3">
      <c r="A10" s="50" t="s">
        <v>58</v>
      </c>
      <c r="B10" s="50" t="s">
        <v>19</v>
      </c>
      <c r="C10" s="50" t="s">
        <v>119</v>
      </c>
      <c r="D10" s="51">
        <v>48500</v>
      </c>
      <c r="E10" s="51">
        <v>668.76649999999995</v>
      </c>
      <c r="F10" s="52">
        <v>3.077891326110866E-2</v>
      </c>
      <c r="G10" s="53"/>
      <c r="H10" s="53"/>
      <c r="I10" s="48"/>
      <c r="J10" s="21"/>
    </row>
    <row r="11" spans="1:10" x14ac:dyDescent="0.3">
      <c r="A11" s="50" t="s">
        <v>69</v>
      </c>
      <c r="B11" s="50" t="s">
        <v>42</v>
      </c>
      <c r="C11" s="50" t="s">
        <v>119</v>
      </c>
      <c r="D11" s="51">
        <v>199000</v>
      </c>
      <c r="E11" s="51">
        <v>649.13800000000003</v>
      </c>
      <c r="F11" s="52">
        <v>2.9875542803788097E-2</v>
      </c>
      <c r="G11" s="53"/>
      <c r="H11" s="53"/>
      <c r="I11" s="48"/>
      <c r="J11" s="21"/>
    </row>
    <row r="12" spans="1:10" x14ac:dyDescent="0.3">
      <c r="A12" s="50" t="s">
        <v>63</v>
      </c>
      <c r="B12" s="50" t="s">
        <v>25</v>
      </c>
      <c r="C12" s="50" t="s">
        <v>130</v>
      </c>
      <c r="D12" s="51">
        <v>32950</v>
      </c>
      <c r="E12" s="51">
        <v>619.22934999999995</v>
      </c>
      <c r="F12" s="52">
        <v>2.8499044812176889E-2</v>
      </c>
      <c r="G12" s="53"/>
      <c r="H12" s="53"/>
      <c r="I12" s="48"/>
      <c r="J12" s="21"/>
    </row>
    <row r="13" spans="1:10" x14ac:dyDescent="0.3">
      <c r="A13" s="50" t="s">
        <v>78</v>
      </c>
      <c r="B13" s="50" t="s">
        <v>79</v>
      </c>
      <c r="C13" s="50" t="s">
        <v>125</v>
      </c>
      <c r="D13" s="51">
        <v>25000</v>
      </c>
      <c r="E13" s="51">
        <v>575.47500000000002</v>
      </c>
      <c r="F13" s="52">
        <v>2.6485320525080885E-2</v>
      </c>
      <c r="G13" s="53"/>
      <c r="H13" s="53"/>
      <c r="I13" s="48"/>
      <c r="J13" s="21"/>
    </row>
    <row r="14" spans="1:10" x14ac:dyDescent="0.3">
      <c r="A14" s="50" t="s">
        <v>106</v>
      </c>
      <c r="B14" s="50" t="s">
        <v>107</v>
      </c>
      <c r="C14" s="50" t="s">
        <v>127</v>
      </c>
      <c r="D14" s="51">
        <v>45598</v>
      </c>
      <c r="E14" s="51">
        <v>562.77051600000004</v>
      </c>
      <c r="F14" s="52">
        <v>2.5900616878796058E-2</v>
      </c>
      <c r="G14" s="53"/>
      <c r="H14" s="53"/>
      <c r="I14" s="48"/>
      <c r="J14" s="21"/>
    </row>
    <row r="15" spans="1:10" x14ac:dyDescent="0.3">
      <c r="A15" s="50" t="s">
        <v>102</v>
      </c>
      <c r="B15" s="50" t="s">
        <v>103</v>
      </c>
      <c r="C15" s="50" t="s">
        <v>126</v>
      </c>
      <c r="D15" s="51">
        <v>6500</v>
      </c>
      <c r="E15" s="51">
        <v>559.6825</v>
      </c>
      <c r="F15" s="52">
        <v>2.5758495859557032E-2</v>
      </c>
      <c r="G15" s="53"/>
      <c r="H15" s="53"/>
      <c r="I15" s="48"/>
      <c r="J15" s="21"/>
    </row>
    <row r="16" spans="1:10" x14ac:dyDescent="0.3">
      <c r="A16" s="50" t="s">
        <v>142</v>
      </c>
      <c r="B16" s="50" t="s">
        <v>143</v>
      </c>
      <c r="C16" s="50" t="s">
        <v>144</v>
      </c>
      <c r="D16" s="51">
        <v>75500</v>
      </c>
      <c r="E16" s="51">
        <v>542.39200000000005</v>
      </c>
      <c r="F16" s="52">
        <v>2.4962728129353441E-2</v>
      </c>
      <c r="G16" s="53"/>
      <c r="H16" s="53"/>
      <c r="I16" s="48"/>
      <c r="J16" s="21"/>
    </row>
    <row r="17" spans="1:10" x14ac:dyDescent="0.3">
      <c r="A17" s="50" t="s">
        <v>62</v>
      </c>
      <c r="B17" s="50" t="s">
        <v>24</v>
      </c>
      <c r="C17" s="50" t="s">
        <v>124</v>
      </c>
      <c r="D17" s="51">
        <v>3606</v>
      </c>
      <c r="E17" s="51">
        <v>535.74342000000001</v>
      </c>
      <c r="F17" s="52">
        <v>2.4656737821630876E-2</v>
      </c>
      <c r="G17" s="53"/>
      <c r="H17" s="53"/>
      <c r="I17" s="48"/>
      <c r="J17" s="21"/>
    </row>
    <row r="18" spans="1:10" x14ac:dyDescent="0.3">
      <c r="A18" s="50" t="s">
        <v>74</v>
      </c>
      <c r="B18" s="50" t="s">
        <v>46</v>
      </c>
      <c r="C18" s="50" t="s">
        <v>136</v>
      </c>
      <c r="D18" s="51">
        <v>41300</v>
      </c>
      <c r="E18" s="51">
        <v>513.8546</v>
      </c>
      <c r="F18" s="52">
        <v>2.3649339735500634E-2</v>
      </c>
      <c r="G18" s="53"/>
      <c r="H18" s="53"/>
      <c r="I18" s="48"/>
      <c r="J18" s="21"/>
    </row>
    <row r="19" spans="1:10" x14ac:dyDescent="0.3">
      <c r="A19" s="50" t="s">
        <v>114</v>
      </c>
      <c r="B19" s="50" t="s">
        <v>115</v>
      </c>
      <c r="C19" s="50" t="s">
        <v>134</v>
      </c>
      <c r="D19" s="51">
        <v>37100</v>
      </c>
      <c r="E19" s="51">
        <v>512.27679999999998</v>
      </c>
      <c r="F19" s="52">
        <v>2.3576724002889363E-2</v>
      </c>
      <c r="G19" s="53"/>
      <c r="H19" s="53"/>
      <c r="I19" s="48"/>
      <c r="J19" s="21"/>
    </row>
    <row r="20" spans="1:10" x14ac:dyDescent="0.3">
      <c r="A20" s="50" t="s">
        <v>86</v>
      </c>
      <c r="B20" s="50" t="s">
        <v>87</v>
      </c>
      <c r="C20" s="50" t="s">
        <v>121</v>
      </c>
      <c r="D20" s="51">
        <v>59457</v>
      </c>
      <c r="E20" s="51">
        <v>488.88518249999998</v>
      </c>
      <c r="F20" s="52">
        <v>2.2500162054781118E-2</v>
      </c>
      <c r="G20" s="53"/>
      <c r="H20" s="53"/>
      <c r="I20" s="48"/>
      <c r="J20" s="21"/>
    </row>
    <row r="21" spans="1:10" x14ac:dyDescent="0.3">
      <c r="A21" s="50" t="s">
        <v>157</v>
      </c>
      <c r="B21" s="50" t="s">
        <v>158</v>
      </c>
      <c r="C21" s="50" t="s">
        <v>119</v>
      </c>
      <c r="D21" s="51">
        <v>40500</v>
      </c>
      <c r="E21" s="51">
        <v>486.68849999999998</v>
      </c>
      <c r="F21" s="52">
        <v>2.2399063240576618E-2</v>
      </c>
      <c r="G21" s="53"/>
      <c r="H21" s="53"/>
      <c r="I21" s="48"/>
      <c r="J21" s="21"/>
    </row>
    <row r="22" spans="1:10" x14ac:dyDescent="0.3">
      <c r="A22" s="50" t="s">
        <v>71</v>
      </c>
      <c r="B22" s="50" t="s">
        <v>44</v>
      </c>
      <c r="C22" s="50" t="s">
        <v>113</v>
      </c>
      <c r="D22" s="51">
        <v>44400</v>
      </c>
      <c r="E22" s="51">
        <v>484.82580000000002</v>
      </c>
      <c r="F22" s="52">
        <v>2.2313335439122048E-2</v>
      </c>
      <c r="G22" s="53"/>
      <c r="H22" s="53"/>
      <c r="I22" s="48"/>
      <c r="J22" s="21"/>
    </row>
    <row r="23" spans="1:10" x14ac:dyDescent="0.3">
      <c r="A23" s="50" t="s">
        <v>80</v>
      </c>
      <c r="B23" s="50" t="s">
        <v>81</v>
      </c>
      <c r="C23" s="50" t="s">
        <v>129</v>
      </c>
      <c r="D23" s="51">
        <v>26400</v>
      </c>
      <c r="E23" s="51">
        <v>478.73759999999999</v>
      </c>
      <c r="F23" s="52">
        <v>2.2033135728585885E-2</v>
      </c>
      <c r="G23" s="53"/>
      <c r="H23" s="53"/>
      <c r="I23" s="48"/>
      <c r="J23" s="21"/>
    </row>
    <row r="24" spans="1:10" x14ac:dyDescent="0.3">
      <c r="A24" s="50" t="s">
        <v>64</v>
      </c>
      <c r="B24" s="50" t="s">
        <v>22</v>
      </c>
      <c r="C24" s="50" t="s">
        <v>124</v>
      </c>
      <c r="D24" s="51">
        <v>4800</v>
      </c>
      <c r="E24" s="51">
        <v>478.68</v>
      </c>
      <c r="F24" s="52">
        <v>2.2030484780304477E-2</v>
      </c>
      <c r="G24" s="53"/>
      <c r="H24" s="53"/>
      <c r="I24" s="48"/>
      <c r="J24" s="21"/>
    </row>
    <row r="25" spans="1:10" x14ac:dyDescent="0.3">
      <c r="A25" s="50" t="s">
        <v>152</v>
      </c>
      <c r="B25" s="50" t="s">
        <v>153</v>
      </c>
      <c r="C25" s="50" t="s">
        <v>122</v>
      </c>
      <c r="D25" s="51">
        <v>127000</v>
      </c>
      <c r="E25" s="51">
        <v>475.36099999999999</v>
      </c>
      <c r="F25" s="52">
        <v>2.1877733090269733E-2</v>
      </c>
      <c r="G25" s="53"/>
      <c r="H25" s="53"/>
      <c r="I25" s="48"/>
      <c r="J25" s="21"/>
    </row>
    <row r="26" spans="1:10" x14ac:dyDescent="0.3">
      <c r="A26" s="50" t="s">
        <v>156</v>
      </c>
      <c r="B26" s="50" t="s">
        <v>28</v>
      </c>
      <c r="C26" s="50" t="s">
        <v>119</v>
      </c>
      <c r="D26" s="51">
        <v>108500</v>
      </c>
      <c r="E26" s="51">
        <v>450.49200000000002</v>
      </c>
      <c r="F26" s="52">
        <v>2.0733176965089254E-2</v>
      </c>
      <c r="G26" s="53"/>
      <c r="H26" s="53"/>
      <c r="I26" s="48"/>
      <c r="J26" s="21"/>
    </row>
    <row r="27" spans="1:10" x14ac:dyDescent="0.3">
      <c r="A27" s="50" t="s">
        <v>66</v>
      </c>
      <c r="B27" s="50" t="s">
        <v>29</v>
      </c>
      <c r="C27" s="50" t="s">
        <v>127</v>
      </c>
      <c r="D27" s="51">
        <v>85500</v>
      </c>
      <c r="E27" s="51">
        <v>444.5145</v>
      </c>
      <c r="F27" s="52">
        <v>2.0458072045781428E-2</v>
      </c>
      <c r="G27" s="53"/>
      <c r="H27" s="53"/>
      <c r="I27" s="48"/>
      <c r="J27" s="21"/>
    </row>
    <row r="28" spans="1:10" x14ac:dyDescent="0.3">
      <c r="A28" s="50" t="s">
        <v>84</v>
      </c>
      <c r="B28" s="50" t="s">
        <v>85</v>
      </c>
      <c r="C28" s="50" t="s">
        <v>123</v>
      </c>
      <c r="D28" s="51">
        <v>38271</v>
      </c>
      <c r="E28" s="51">
        <v>420.33039300000002</v>
      </c>
      <c r="F28" s="52">
        <v>1.9345037030345739E-2</v>
      </c>
      <c r="G28" s="53"/>
      <c r="H28" s="53"/>
      <c r="I28" s="48"/>
      <c r="J28" s="22"/>
    </row>
    <row r="29" spans="1:10" x14ac:dyDescent="0.3">
      <c r="A29" s="50" t="s">
        <v>65</v>
      </c>
      <c r="B29" s="50" t="s">
        <v>27</v>
      </c>
      <c r="C29" s="50" t="s">
        <v>125</v>
      </c>
      <c r="D29" s="51">
        <v>31195</v>
      </c>
      <c r="E29" s="51">
        <v>420.13425999999998</v>
      </c>
      <c r="F29" s="52">
        <v>1.9336010321330501E-2</v>
      </c>
      <c r="G29" s="53"/>
      <c r="H29" s="53"/>
      <c r="I29" s="48"/>
      <c r="J29" s="22"/>
    </row>
    <row r="30" spans="1:10" x14ac:dyDescent="0.3">
      <c r="A30" s="50" t="s">
        <v>140</v>
      </c>
      <c r="B30" s="50" t="s">
        <v>141</v>
      </c>
      <c r="C30" s="50" t="s">
        <v>145</v>
      </c>
      <c r="D30" s="51">
        <v>83621</v>
      </c>
      <c r="E30" s="51">
        <v>415.01102300000002</v>
      </c>
      <c r="F30" s="52">
        <v>1.910022149632341E-2</v>
      </c>
      <c r="G30" s="53"/>
      <c r="H30" s="53"/>
      <c r="I30" s="48"/>
      <c r="J30" s="22"/>
    </row>
    <row r="31" spans="1:10" x14ac:dyDescent="0.3">
      <c r="A31" s="50" t="s">
        <v>93</v>
      </c>
      <c r="B31" s="50" t="s">
        <v>94</v>
      </c>
      <c r="C31" s="50" t="s">
        <v>122</v>
      </c>
      <c r="D31" s="51">
        <v>50300</v>
      </c>
      <c r="E31" s="51">
        <v>414.84924999999998</v>
      </c>
      <c r="F31" s="52">
        <v>1.9092776151595485E-2</v>
      </c>
      <c r="G31" s="53"/>
      <c r="H31" s="53"/>
      <c r="I31" s="48"/>
      <c r="J31" s="22"/>
    </row>
    <row r="32" spans="1:10" x14ac:dyDescent="0.3">
      <c r="A32" s="50" t="s">
        <v>100</v>
      </c>
      <c r="B32" s="50" t="s">
        <v>101</v>
      </c>
      <c r="C32" s="50" t="s">
        <v>137</v>
      </c>
      <c r="D32" s="51">
        <v>97568</v>
      </c>
      <c r="E32" s="51">
        <v>399.44339200000002</v>
      </c>
      <c r="F32" s="52">
        <v>1.8383746068457413E-2</v>
      </c>
      <c r="G32" s="53"/>
      <c r="H32" s="53"/>
      <c r="I32" s="48"/>
      <c r="J32" s="22"/>
    </row>
    <row r="33" spans="1:10" x14ac:dyDescent="0.3">
      <c r="A33" s="50" t="s">
        <v>72</v>
      </c>
      <c r="B33" s="50" t="s">
        <v>45</v>
      </c>
      <c r="C33" s="50" t="s">
        <v>110</v>
      </c>
      <c r="D33" s="51">
        <v>67485</v>
      </c>
      <c r="E33" s="51">
        <v>394.98970500000001</v>
      </c>
      <c r="F33" s="52">
        <v>1.8178772216051339E-2</v>
      </c>
      <c r="G33" s="53"/>
      <c r="H33" s="53"/>
      <c r="I33" s="48"/>
      <c r="J33" s="22"/>
    </row>
    <row r="34" spans="1:10" x14ac:dyDescent="0.3">
      <c r="A34" s="50" t="s">
        <v>111</v>
      </c>
      <c r="B34" s="50" t="s">
        <v>112</v>
      </c>
      <c r="C34" s="50" t="s">
        <v>131</v>
      </c>
      <c r="D34" s="51">
        <v>13850</v>
      </c>
      <c r="E34" s="51">
        <v>374.93335000000002</v>
      </c>
      <c r="F34" s="52">
        <v>1.7255710413644963E-2</v>
      </c>
      <c r="G34" s="53"/>
      <c r="H34" s="53"/>
      <c r="I34" s="48"/>
      <c r="J34" s="22"/>
    </row>
    <row r="35" spans="1:10" x14ac:dyDescent="0.3">
      <c r="A35" s="50" t="s">
        <v>95</v>
      </c>
      <c r="B35" s="50" t="s">
        <v>23</v>
      </c>
      <c r="C35" s="50" t="s">
        <v>122</v>
      </c>
      <c r="D35" s="51">
        <v>37500</v>
      </c>
      <c r="E35" s="51">
        <v>373.46249999999998</v>
      </c>
      <c r="F35" s="52">
        <v>1.7188016884483289E-2</v>
      </c>
      <c r="G35" s="53"/>
      <c r="H35" s="53"/>
      <c r="I35" s="48"/>
      <c r="J35" s="22"/>
    </row>
    <row r="36" spans="1:10" x14ac:dyDescent="0.3">
      <c r="A36" s="50" t="s">
        <v>117</v>
      </c>
      <c r="B36" s="50" t="s">
        <v>118</v>
      </c>
      <c r="C36" s="50" t="s">
        <v>133</v>
      </c>
      <c r="D36" s="51">
        <v>20655</v>
      </c>
      <c r="E36" s="51">
        <v>371.99655000000001</v>
      </c>
      <c r="F36" s="52">
        <v>1.7120548870019164E-2</v>
      </c>
      <c r="G36" s="53"/>
      <c r="H36" s="53"/>
      <c r="I36" s="48"/>
      <c r="J36" s="22"/>
    </row>
    <row r="37" spans="1:10" x14ac:dyDescent="0.3">
      <c r="A37" s="50" t="s">
        <v>61</v>
      </c>
      <c r="B37" s="50" t="s">
        <v>21</v>
      </c>
      <c r="C37" s="50" t="s">
        <v>132</v>
      </c>
      <c r="D37" s="51">
        <v>27297</v>
      </c>
      <c r="E37" s="51">
        <v>354.88829700000002</v>
      </c>
      <c r="F37" s="52">
        <v>1.6333168767791999E-2</v>
      </c>
      <c r="G37" s="53"/>
      <c r="H37" s="53"/>
      <c r="I37" s="48"/>
      <c r="J37" s="22"/>
    </row>
    <row r="38" spans="1:10" x14ac:dyDescent="0.3">
      <c r="A38" s="50" t="s">
        <v>96</v>
      </c>
      <c r="B38" s="50" t="s">
        <v>97</v>
      </c>
      <c r="C38" s="50" t="s">
        <v>126</v>
      </c>
      <c r="D38" s="51">
        <v>17837</v>
      </c>
      <c r="E38" s="51">
        <v>347.839337</v>
      </c>
      <c r="F38" s="52">
        <v>1.6008751608109176E-2</v>
      </c>
      <c r="G38" s="53"/>
      <c r="H38" s="53"/>
      <c r="I38" s="48"/>
      <c r="J38" s="22"/>
    </row>
    <row r="39" spans="1:10" x14ac:dyDescent="0.3">
      <c r="A39" s="50" t="s">
        <v>70</v>
      </c>
      <c r="B39" s="50" t="s">
        <v>43</v>
      </c>
      <c r="C39" s="50" t="s">
        <v>133</v>
      </c>
      <c r="D39" s="51">
        <v>140000</v>
      </c>
      <c r="E39" s="51">
        <v>344.82</v>
      </c>
      <c r="F39" s="52">
        <v>1.5869791430485062E-2</v>
      </c>
      <c r="G39" s="53"/>
      <c r="H39" s="53"/>
      <c r="I39" s="48"/>
      <c r="J39" s="22"/>
    </row>
    <row r="40" spans="1:10" x14ac:dyDescent="0.3">
      <c r="A40" s="50" t="s">
        <v>68</v>
      </c>
      <c r="B40" s="50" t="s">
        <v>30</v>
      </c>
      <c r="C40" s="50" t="s">
        <v>132</v>
      </c>
      <c r="D40" s="51">
        <v>23750</v>
      </c>
      <c r="E40" s="51">
        <v>322.47750000000002</v>
      </c>
      <c r="F40" s="52">
        <v>1.48415134447661E-2</v>
      </c>
      <c r="G40" s="53"/>
      <c r="H40" s="53"/>
      <c r="I40" s="48"/>
      <c r="J40" s="22"/>
    </row>
    <row r="41" spans="1:10" x14ac:dyDescent="0.3">
      <c r="A41" s="50" t="s">
        <v>67</v>
      </c>
      <c r="B41" s="50" t="s">
        <v>31</v>
      </c>
      <c r="C41" s="50" t="s">
        <v>128</v>
      </c>
      <c r="D41" s="51">
        <v>14835</v>
      </c>
      <c r="E41" s="51">
        <v>313.81959000000001</v>
      </c>
      <c r="F41" s="52">
        <v>1.4443046923323287E-2</v>
      </c>
      <c r="G41" s="53"/>
      <c r="H41" s="53"/>
      <c r="I41" s="48"/>
      <c r="J41" s="22"/>
    </row>
    <row r="42" spans="1:10" x14ac:dyDescent="0.3">
      <c r="A42" s="50" t="s">
        <v>82</v>
      </c>
      <c r="B42" s="50" t="s">
        <v>83</v>
      </c>
      <c r="C42" s="50" t="s">
        <v>138</v>
      </c>
      <c r="D42" s="51">
        <v>27500</v>
      </c>
      <c r="E42" s="51">
        <v>310.69499999999999</v>
      </c>
      <c r="F42" s="52">
        <v>1.4299242643972381E-2</v>
      </c>
      <c r="G42" s="53"/>
      <c r="H42" s="53"/>
      <c r="I42" s="48"/>
      <c r="J42" s="22"/>
    </row>
    <row r="43" spans="1:10" x14ac:dyDescent="0.3">
      <c r="A43" s="50" t="s">
        <v>154</v>
      </c>
      <c r="B43" s="50" t="s">
        <v>155</v>
      </c>
      <c r="C43" s="50" t="s">
        <v>131</v>
      </c>
      <c r="D43" s="51">
        <v>9510</v>
      </c>
      <c r="E43" s="51">
        <v>295.96071000000001</v>
      </c>
      <c r="F43" s="52">
        <v>1.3621120408671987E-2</v>
      </c>
      <c r="G43" s="53"/>
      <c r="H43" s="53"/>
      <c r="I43" s="48"/>
      <c r="J43" s="22"/>
    </row>
    <row r="44" spans="1:10" x14ac:dyDescent="0.3">
      <c r="A44" s="50" t="s">
        <v>104</v>
      </c>
      <c r="B44" s="50" t="s">
        <v>105</v>
      </c>
      <c r="C44" s="50" t="s">
        <v>126</v>
      </c>
      <c r="D44" s="51">
        <v>41538</v>
      </c>
      <c r="E44" s="51">
        <v>295.02364499999999</v>
      </c>
      <c r="F44" s="52">
        <v>1.3577993484169906E-2</v>
      </c>
      <c r="G44" s="53"/>
      <c r="H44" s="53"/>
      <c r="I44" s="48"/>
      <c r="J44" s="22"/>
    </row>
    <row r="45" spans="1:10" x14ac:dyDescent="0.3">
      <c r="A45" s="50" t="s">
        <v>161</v>
      </c>
      <c r="B45" s="50" t="s">
        <v>162</v>
      </c>
      <c r="C45" s="50" t="s">
        <v>139</v>
      </c>
      <c r="D45" s="51">
        <v>2625</v>
      </c>
      <c r="E45" s="51">
        <v>293.48812500000003</v>
      </c>
      <c r="F45" s="52">
        <v>1.350732362123464E-2</v>
      </c>
      <c r="G45" s="53"/>
      <c r="H45" s="53"/>
      <c r="I45" s="48"/>
      <c r="J45" s="22"/>
    </row>
    <row r="46" spans="1:10" x14ac:dyDescent="0.3">
      <c r="A46" s="50" t="s">
        <v>73</v>
      </c>
      <c r="B46" s="50" t="s">
        <v>32</v>
      </c>
      <c r="C46" s="50" t="s">
        <v>125</v>
      </c>
      <c r="D46" s="51">
        <v>2233</v>
      </c>
      <c r="E46" s="51">
        <v>286.38225</v>
      </c>
      <c r="F46" s="52">
        <v>1.3180287039304654E-2</v>
      </c>
      <c r="G46" s="53"/>
      <c r="H46" s="53"/>
      <c r="I46" s="48"/>
      <c r="J46" s="22"/>
    </row>
    <row r="47" spans="1:10" x14ac:dyDescent="0.3">
      <c r="A47" s="50" t="s">
        <v>108</v>
      </c>
      <c r="B47" s="50" t="s">
        <v>109</v>
      </c>
      <c r="C47" s="50" t="s">
        <v>132</v>
      </c>
      <c r="D47" s="51">
        <v>6000</v>
      </c>
      <c r="E47" s="51">
        <v>283.98</v>
      </c>
      <c r="F47" s="52">
        <v>1.3069727308245309E-2</v>
      </c>
      <c r="G47" s="53"/>
      <c r="H47" s="53"/>
      <c r="I47" s="48"/>
      <c r="J47" s="22"/>
    </row>
    <row r="48" spans="1:10" x14ac:dyDescent="0.3">
      <c r="A48" s="50" t="s">
        <v>76</v>
      </c>
      <c r="B48" s="50" t="s">
        <v>47</v>
      </c>
      <c r="C48" s="50" t="s">
        <v>135</v>
      </c>
      <c r="D48" s="51">
        <v>20350</v>
      </c>
      <c r="E48" s="51">
        <v>283.47550000000001</v>
      </c>
      <c r="F48" s="52">
        <v>1.3046508499079137E-2</v>
      </c>
      <c r="G48" s="53"/>
      <c r="H48" s="53"/>
      <c r="I48" s="48"/>
      <c r="J48" s="22"/>
    </row>
    <row r="49" spans="1:10" x14ac:dyDescent="0.3">
      <c r="A49" s="50" t="s">
        <v>91</v>
      </c>
      <c r="B49" s="50" t="s">
        <v>92</v>
      </c>
      <c r="C49" s="50" t="s">
        <v>122</v>
      </c>
      <c r="D49" s="51">
        <v>104601</v>
      </c>
      <c r="E49" s="51">
        <v>263.64682049999999</v>
      </c>
      <c r="F49" s="52">
        <v>1.2133925099024225E-2</v>
      </c>
      <c r="G49" s="53"/>
      <c r="H49" s="53"/>
      <c r="I49" s="48"/>
      <c r="J49" s="22"/>
    </row>
    <row r="50" spans="1:10" x14ac:dyDescent="0.3">
      <c r="A50" s="50" t="s">
        <v>90</v>
      </c>
      <c r="B50" s="50" t="s">
        <v>77</v>
      </c>
      <c r="C50" s="50" t="s">
        <v>132</v>
      </c>
      <c r="D50" s="51">
        <v>22000</v>
      </c>
      <c r="E50" s="51">
        <v>260.87599999999998</v>
      </c>
      <c r="F50" s="52">
        <v>1.2006402497590688E-2</v>
      </c>
      <c r="G50" s="53"/>
      <c r="H50" s="53"/>
      <c r="I50" s="48"/>
      <c r="J50" s="22"/>
    </row>
    <row r="51" spans="1:10" x14ac:dyDescent="0.3">
      <c r="A51" s="50" t="s">
        <v>98</v>
      </c>
      <c r="B51" s="50" t="s">
        <v>99</v>
      </c>
      <c r="C51" s="50" t="s">
        <v>139</v>
      </c>
      <c r="D51" s="51">
        <v>2863</v>
      </c>
      <c r="E51" s="51">
        <v>260.67615000000001</v>
      </c>
      <c r="F51" s="52">
        <v>1.1997204719569162E-2</v>
      </c>
      <c r="G51" s="53"/>
      <c r="H51" s="53"/>
      <c r="I51" s="48"/>
      <c r="J51" s="22"/>
    </row>
    <row r="52" spans="1:10" x14ac:dyDescent="0.3">
      <c r="A52" s="50" t="s">
        <v>159</v>
      </c>
      <c r="B52" s="50" t="s">
        <v>160</v>
      </c>
      <c r="C52" s="50" t="s">
        <v>121</v>
      </c>
      <c r="D52" s="51">
        <v>33685</v>
      </c>
      <c r="E52" s="51">
        <v>236.11500749999999</v>
      </c>
      <c r="F52" s="52">
        <v>1.0866817245613411E-2</v>
      </c>
      <c r="G52" s="53"/>
      <c r="H52" s="53"/>
      <c r="I52" s="48"/>
      <c r="J52" s="22"/>
    </row>
    <row r="53" spans="1:10" x14ac:dyDescent="0.3">
      <c r="A53" s="50" t="s">
        <v>163</v>
      </c>
      <c r="B53" s="50" t="s">
        <v>164</v>
      </c>
      <c r="C53" s="50" t="s">
        <v>124</v>
      </c>
      <c r="D53" s="51">
        <v>6925</v>
      </c>
      <c r="E53" s="51">
        <v>235.26994999999999</v>
      </c>
      <c r="F53" s="52">
        <v>1.0827924819791918E-2</v>
      </c>
      <c r="G53" s="53"/>
      <c r="H53" s="53"/>
      <c r="I53" s="48"/>
      <c r="J53" s="22"/>
    </row>
    <row r="54" spans="1:10" x14ac:dyDescent="0.3">
      <c r="A54" s="50" t="s">
        <v>165</v>
      </c>
      <c r="B54" s="50" t="s">
        <v>166</v>
      </c>
      <c r="C54" s="50" t="s">
        <v>170</v>
      </c>
      <c r="D54" s="51">
        <v>6572</v>
      </c>
      <c r="E54" s="51">
        <v>232.083608</v>
      </c>
      <c r="F54" s="52">
        <v>1.0681278502970983E-2</v>
      </c>
      <c r="G54" s="53"/>
      <c r="H54" s="53"/>
      <c r="I54" s="48"/>
      <c r="J54" s="22"/>
    </row>
    <row r="55" spans="1:10" x14ac:dyDescent="0.3">
      <c r="A55" s="50" t="s">
        <v>75</v>
      </c>
      <c r="B55" s="50" t="s">
        <v>175</v>
      </c>
      <c r="C55" s="50" t="s">
        <v>122</v>
      </c>
      <c r="D55" s="51">
        <v>85000</v>
      </c>
      <c r="E55" s="51">
        <v>215.13499999999999</v>
      </c>
      <c r="F55" s="52">
        <v>9.9012458076602385E-3</v>
      </c>
      <c r="G55" s="53"/>
      <c r="H55" s="53"/>
      <c r="I55" s="48"/>
      <c r="J55" s="22"/>
    </row>
    <row r="56" spans="1:10" x14ac:dyDescent="0.3">
      <c r="A56" s="50" t="s">
        <v>167</v>
      </c>
      <c r="B56" s="50" t="s">
        <v>168</v>
      </c>
      <c r="C56" s="50" t="s">
        <v>122</v>
      </c>
      <c r="D56" s="51">
        <v>70000</v>
      </c>
      <c r="E56" s="51">
        <v>198.27500000000001</v>
      </c>
      <c r="F56" s="52">
        <v>9.1252911544557318E-3</v>
      </c>
      <c r="G56" s="53"/>
      <c r="H56" s="53"/>
      <c r="I56" s="48"/>
      <c r="J56" s="22"/>
    </row>
    <row r="57" spans="1:10" x14ac:dyDescent="0.3">
      <c r="A57" s="50" t="s">
        <v>116</v>
      </c>
      <c r="B57" s="50" t="s">
        <v>174</v>
      </c>
      <c r="C57" s="50" t="s">
        <v>122</v>
      </c>
      <c r="D57" s="51">
        <v>20731</v>
      </c>
      <c r="E57" s="51">
        <v>26.369831999999999</v>
      </c>
      <c r="F57" s="52">
        <v>1.2136295281507184E-3</v>
      </c>
      <c r="G57" s="53"/>
      <c r="H57" s="53"/>
      <c r="I57" s="48"/>
      <c r="J57" s="22"/>
    </row>
    <row r="58" spans="1:10" ht="13.5" x14ac:dyDescent="0.25">
      <c r="A58" s="54"/>
      <c r="B58" s="44" t="s">
        <v>48</v>
      </c>
      <c r="C58" s="54"/>
      <c r="D58" s="55"/>
      <c r="E58" s="56">
        <v>21179.842519499995</v>
      </c>
      <c r="F58" s="57">
        <v>0.97476852652103763</v>
      </c>
      <c r="G58" s="58"/>
      <c r="H58" s="59"/>
      <c r="I58" s="48"/>
      <c r="J58" s="23"/>
    </row>
    <row r="59" spans="1:10" x14ac:dyDescent="0.3">
      <c r="A59" s="43"/>
      <c r="B59" s="44" t="s">
        <v>49</v>
      </c>
      <c r="C59" s="43"/>
      <c r="D59" s="45"/>
      <c r="E59" s="49" t="s">
        <v>13</v>
      </c>
      <c r="F59" s="49" t="s">
        <v>13</v>
      </c>
      <c r="G59" s="58"/>
      <c r="H59" s="59"/>
      <c r="I59" s="48"/>
      <c r="J59" s="23"/>
    </row>
    <row r="60" spans="1:10" ht="13.5" x14ac:dyDescent="0.25">
      <c r="A60" s="54"/>
      <c r="B60" s="44" t="s">
        <v>48</v>
      </c>
      <c r="C60" s="54"/>
      <c r="D60" s="55"/>
      <c r="E60" s="56" t="s">
        <v>13</v>
      </c>
      <c r="F60" s="57" t="s">
        <v>13</v>
      </c>
      <c r="G60" s="58"/>
      <c r="H60" s="59"/>
      <c r="I60" s="48"/>
      <c r="J60" s="23"/>
    </row>
    <row r="61" spans="1:10" x14ac:dyDescent="0.3">
      <c r="A61" s="54"/>
      <c r="B61" s="44" t="s">
        <v>14</v>
      </c>
      <c r="C61" s="54"/>
      <c r="D61" s="55"/>
      <c r="E61" s="56">
        <v>21179.842519499995</v>
      </c>
      <c r="F61" s="57">
        <v>0.97476852652103763</v>
      </c>
      <c r="G61" s="58"/>
      <c r="H61" s="59"/>
      <c r="I61" s="48"/>
      <c r="J61" s="22"/>
    </row>
    <row r="62" spans="1:10" x14ac:dyDescent="0.3">
      <c r="A62" s="21"/>
      <c r="B62" s="44"/>
      <c r="C62" s="21"/>
      <c r="D62" s="60"/>
      <c r="E62" s="60"/>
      <c r="F62" s="61"/>
      <c r="G62" s="47"/>
      <c r="H62" s="46"/>
      <c r="I62" s="48"/>
      <c r="J62" s="22"/>
    </row>
    <row r="63" spans="1:10" x14ac:dyDescent="0.3">
      <c r="A63" s="43"/>
      <c r="B63" s="44" t="s">
        <v>50</v>
      </c>
      <c r="C63" s="43"/>
      <c r="D63" s="43"/>
      <c r="E63" s="43"/>
      <c r="F63" s="62"/>
      <c r="G63" s="63"/>
      <c r="H63" s="43"/>
      <c r="I63" s="48"/>
      <c r="J63" s="22"/>
    </row>
    <row r="64" spans="1:10" x14ac:dyDescent="0.3">
      <c r="A64" s="50"/>
      <c r="B64" s="44" t="s">
        <v>51</v>
      </c>
      <c r="C64" s="50"/>
      <c r="D64" s="64"/>
      <c r="E64" s="56" t="s">
        <v>13</v>
      </c>
      <c r="F64" s="65" t="s">
        <v>13</v>
      </c>
      <c r="G64" s="48"/>
      <c r="H64" s="50"/>
      <c r="I64" s="48"/>
      <c r="J64" s="22"/>
    </row>
    <row r="65" spans="1:10" x14ac:dyDescent="0.3">
      <c r="A65" s="43"/>
      <c r="B65" s="44" t="s">
        <v>48</v>
      </c>
      <c r="C65" s="43"/>
      <c r="D65" s="45"/>
      <c r="E65" s="66" t="s">
        <v>13</v>
      </c>
      <c r="F65" s="57" t="s">
        <v>13</v>
      </c>
      <c r="G65" s="67"/>
      <c r="H65" s="57"/>
      <c r="I65" s="48"/>
      <c r="J65" s="22"/>
    </row>
    <row r="66" spans="1:10" x14ac:dyDescent="0.3">
      <c r="A66" s="54"/>
      <c r="B66" s="44" t="s">
        <v>15</v>
      </c>
      <c r="C66" s="54"/>
      <c r="D66" s="55"/>
      <c r="E66" s="49" t="s">
        <v>13</v>
      </c>
      <c r="F66" s="49" t="s">
        <v>13</v>
      </c>
      <c r="G66" s="67"/>
      <c r="H66" s="57"/>
      <c r="I66" s="48"/>
      <c r="J66" s="22"/>
    </row>
    <row r="67" spans="1:10" x14ac:dyDescent="0.3">
      <c r="A67" s="68"/>
      <c r="B67" s="44" t="s">
        <v>48</v>
      </c>
      <c r="C67" s="68"/>
      <c r="D67" s="68"/>
      <c r="E67" s="66" t="s">
        <v>13</v>
      </c>
      <c r="F67" s="57" t="s">
        <v>13</v>
      </c>
      <c r="G67" s="69"/>
      <c r="H67" s="68"/>
      <c r="I67" s="48"/>
      <c r="J67" s="22"/>
    </row>
    <row r="68" spans="1:10" x14ac:dyDescent="0.3">
      <c r="A68" s="68"/>
      <c r="B68" s="44" t="s">
        <v>52</v>
      </c>
      <c r="C68" s="68"/>
      <c r="D68" s="69"/>
      <c r="E68" s="49" t="s">
        <v>13</v>
      </c>
      <c r="F68" s="49" t="s">
        <v>13</v>
      </c>
      <c r="G68" s="70"/>
      <c r="H68" s="70"/>
      <c r="I68" s="48"/>
      <c r="J68" s="22"/>
    </row>
    <row r="69" spans="1:10" x14ac:dyDescent="0.3">
      <c r="A69" s="54"/>
      <c r="B69" s="44" t="s">
        <v>48</v>
      </c>
      <c r="C69" s="54"/>
      <c r="D69" s="55"/>
      <c r="E69" s="66" t="s">
        <v>13</v>
      </c>
      <c r="F69" s="57" t="s">
        <v>13</v>
      </c>
      <c r="G69" s="71"/>
      <c r="H69" s="72"/>
      <c r="I69" s="48"/>
      <c r="J69" s="24"/>
    </row>
    <row r="70" spans="1:10" x14ac:dyDescent="0.3">
      <c r="A70" s="54"/>
      <c r="B70" s="44" t="s">
        <v>53</v>
      </c>
      <c r="C70" s="54"/>
      <c r="D70" s="55"/>
      <c r="E70" s="49" t="s">
        <v>13</v>
      </c>
      <c r="F70" s="49" t="s">
        <v>13</v>
      </c>
      <c r="G70" s="71"/>
      <c r="H70" s="72"/>
      <c r="I70" s="48"/>
      <c r="J70" s="22"/>
    </row>
    <row r="71" spans="1:10" x14ac:dyDescent="0.3">
      <c r="A71" s="54"/>
      <c r="B71" s="44" t="s">
        <v>48</v>
      </c>
      <c r="C71" s="54"/>
      <c r="D71" s="55"/>
      <c r="E71" s="66" t="s">
        <v>13</v>
      </c>
      <c r="F71" s="57" t="s">
        <v>13</v>
      </c>
      <c r="G71" s="67"/>
      <c r="H71" s="57"/>
      <c r="I71" s="48"/>
      <c r="J71" s="22"/>
    </row>
    <row r="72" spans="1:10" x14ac:dyDescent="0.3">
      <c r="A72" s="54"/>
      <c r="B72" s="73" t="s">
        <v>14</v>
      </c>
      <c r="C72" s="54"/>
      <c r="D72" s="55"/>
      <c r="E72" s="66" t="s">
        <v>13</v>
      </c>
      <c r="F72" s="57" t="s">
        <v>13</v>
      </c>
      <c r="G72" s="67"/>
      <c r="H72" s="57"/>
      <c r="I72" s="48"/>
      <c r="J72" s="22"/>
    </row>
    <row r="73" spans="1:10" x14ac:dyDescent="0.3">
      <c r="A73" s="68"/>
      <c r="B73" s="68"/>
      <c r="C73" s="68"/>
      <c r="D73" s="74"/>
      <c r="E73" s="74"/>
      <c r="F73" s="75"/>
      <c r="G73" s="70"/>
      <c r="H73" s="70"/>
      <c r="I73" s="48"/>
      <c r="J73" s="22"/>
    </row>
    <row r="74" spans="1:10" x14ac:dyDescent="0.3">
      <c r="A74" s="54"/>
      <c r="B74" s="44" t="s">
        <v>54</v>
      </c>
      <c r="C74" s="54"/>
      <c r="D74" s="55"/>
      <c r="E74" s="76"/>
      <c r="F74" s="65"/>
      <c r="G74" s="67"/>
      <c r="H74" s="57"/>
      <c r="I74" s="48"/>
      <c r="J74" s="22"/>
    </row>
    <row r="75" spans="1:10" x14ac:dyDescent="0.3">
      <c r="A75" s="54"/>
      <c r="B75" s="54" t="s">
        <v>14</v>
      </c>
      <c r="C75" s="54"/>
      <c r="D75" s="55"/>
      <c r="E75" s="56" t="s">
        <v>13</v>
      </c>
      <c r="F75" s="57" t="s">
        <v>13</v>
      </c>
      <c r="G75" s="67"/>
      <c r="H75" s="57"/>
      <c r="I75" s="48"/>
      <c r="J75" s="22"/>
    </row>
    <row r="76" spans="1:10" x14ac:dyDescent="0.3">
      <c r="A76" s="54"/>
      <c r="B76" s="54"/>
      <c r="C76" s="54"/>
      <c r="D76" s="55"/>
      <c r="E76" s="55"/>
      <c r="F76" s="65"/>
      <c r="G76" s="67"/>
      <c r="H76" s="57"/>
      <c r="I76" s="48"/>
      <c r="J76" s="22"/>
    </row>
    <row r="77" spans="1:10" x14ac:dyDescent="0.3">
      <c r="A77" s="54"/>
      <c r="B77" s="77" t="s">
        <v>55</v>
      </c>
      <c r="C77" s="54"/>
      <c r="D77" s="55"/>
      <c r="E77" s="55"/>
      <c r="F77" s="65"/>
      <c r="G77" s="67"/>
      <c r="H77" s="57"/>
      <c r="I77" s="48"/>
      <c r="J77" s="22"/>
    </row>
    <row r="78" spans="1:10" x14ac:dyDescent="0.3">
      <c r="A78" s="50"/>
      <c r="B78" s="50" t="s">
        <v>18</v>
      </c>
      <c r="C78" s="50"/>
      <c r="D78" s="51">
        <v>3469.6386000000002</v>
      </c>
      <c r="E78" s="51">
        <v>346.91713909999999</v>
      </c>
      <c r="F78" s="52">
        <v>1.5966308918211165E-2</v>
      </c>
      <c r="G78" s="67" t="s">
        <v>171</v>
      </c>
      <c r="H78" s="57"/>
      <c r="I78" s="78">
        <v>4.916943E-2</v>
      </c>
      <c r="J78" s="22"/>
    </row>
    <row r="79" spans="1:10" x14ac:dyDescent="0.3">
      <c r="A79" s="54"/>
      <c r="B79" s="77" t="s">
        <v>14</v>
      </c>
      <c r="C79" s="54"/>
      <c r="D79" s="55"/>
      <c r="E79" s="56">
        <v>346.91713909999999</v>
      </c>
      <c r="F79" s="57">
        <v>1.5966308918211165E-2</v>
      </c>
      <c r="G79" s="67"/>
      <c r="H79" s="57"/>
      <c r="I79" s="48"/>
      <c r="J79" s="22"/>
    </row>
    <row r="80" spans="1:10" x14ac:dyDescent="0.3">
      <c r="A80" s="54"/>
      <c r="B80" s="77"/>
      <c r="C80" s="54"/>
      <c r="D80" s="55"/>
      <c r="E80" s="55"/>
      <c r="F80" s="65"/>
      <c r="G80" s="67"/>
      <c r="H80" s="57"/>
      <c r="I80" s="48"/>
      <c r="J80" s="22"/>
    </row>
    <row r="81" spans="1:11" x14ac:dyDescent="0.3">
      <c r="A81" s="54"/>
      <c r="B81" s="77" t="s">
        <v>16</v>
      </c>
      <c r="C81" s="54"/>
      <c r="D81" s="55"/>
      <c r="E81" s="55"/>
      <c r="F81" s="65"/>
      <c r="G81" s="67"/>
      <c r="H81" s="57"/>
      <c r="I81" s="48"/>
      <c r="J81" s="22"/>
    </row>
    <row r="82" spans="1:11" x14ac:dyDescent="0.3">
      <c r="A82" s="43"/>
      <c r="B82" s="77" t="s">
        <v>17</v>
      </c>
      <c r="C82" s="43"/>
      <c r="D82" s="45"/>
      <c r="E82" s="45">
        <v>201.31417970000001</v>
      </c>
      <c r="F82" s="52">
        <v>9.2651645607510873E-3</v>
      </c>
      <c r="G82" s="67"/>
      <c r="H82" s="67"/>
      <c r="I82" s="48"/>
      <c r="J82" s="22"/>
    </row>
    <row r="83" spans="1:11" x14ac:dyDescent="0.3">
      <c r="A83" s="54"/>
      <c r="B83" s="77" t="s">
        <v>14</v>
      </c>
      <c r="C83" s="54"/>
      <c r="D83" s="55"/>
      <c r="E83" s="55">
        <v>201.31417970000001</v>
      </c>
      <c r="F83" s="57">
        <v>9.2651645607510873E-3</v>
      </c>
      <c r="G83" s="79"/>
      <c r="H83" s="80"/>
      <c r="I83" s="48"/>
      <c r="J83" s="22"/>
    </row>
    <row r="84" spans="1:11" x14ac:dyDescent="0.3">
      <c r="A84" s="21"/>
      <c r="B84" s="77" t="s">
        <v>56</v>
      </c>
      <c r="C84" s="21"/>
      <c r="D84" s="21"/>
      <c r="E84" s="55">
        <f>E61+E79+E83</f>
        <v>21728.073838299992</v>
      </c>
      <c r="F84" s="57">
        <v>1</v>
      </c>
      <c r="G84" s="81"/>
      <c r="H84" s="21"/>
      <c r="I84" s="48"/>
      <c r="J84" s="22"/>
    </row>
    <row r="85" spans="1:11" x14ac:dyDescent="0.3">
      <c r="A85" s="27"/>
      <c r="B85" s="26"/>
      <c r="C85" s="27"/>
      <c r="D85" s="27"/>
      <c r="E85" s="28"/>
      <c r="F85" s="29"/>
      <c r="G85" s="30"/>
      <c r="H85" s="27"/>
      <c r="I85" s="31"/>
      <c r="J85" s="31"/>
      <c r="K85" s="31"/>
    </row>
    <row r="86" spans="1:11" ht="13.5" customHeight="1" x14ac:dyDescent="0.3">
      <c r="A86" s="9" t="s">
        <v>9</v>
      </c>
      <c r="B86" s="9"/>
      <c r="C86" s="9"/>
      <c r="D86" s="9"/>
      <c r="E86" s="9"/>
      <c r="F86" s="9"/>
      <c r="G86" s="9"/>
      <c r="H86" s="9"/>
      <c r="I86" s="27"/>
    </row>
    <row r="87" spans="1:11" ht="13.5" customHeight="1" x14ac:dyDescent="0.3">
      <c r="A87" s="10" t="s">
        <v>8</v>
      </c>
      <c r="B87" s="10"/>
      <c r="C87" s="10"/>
      <c r="D87" s="10"/>
      <c r="E87" s="10"/>
      <c r="F87" s="10"/>
      <c r="G87" s="10"/>
      <c r="H87" s="10"/>
      <c r="I87" s="27"/>
    </row>
    <row r="88" spans="1:11" ht="13.5" customHeight="1" x14ac:dyDescent="0.3">
      <c r="A88" s="11" t="s">
        <v>7</v>
      </c>
      <c r="B88" s="11"/>
      <c r="C88" s="11"/>
      <c r="D88" s="11"/>
      <c r="E88" s="11"/>
      <c r="F88" s="11"/>
      <c r="G88" s="11"/>
      <c r="H88" s="11"/>
      <c r="I88" s="27"/>
    </row>
    <row r="89" spans="1:11" ht="50.25" customHeight="1" x14ac:dyDescent="0.3">
      <c r="A89" s="93" t="s">
        <v>6</v>
      </c>
      <c r="B89" s="94"/>
      <c r="C89" s="94"/>
      <c r="D89" s="94"/>
      <c r="E89" s="94"/>
      <c r="F89" s="94"/>
      <c r="G89" s="94"/>
      <c r="H89" s="94"/>
      <c r="I89" s="94"/>
      <c r="J89" s="94"/>
    </row>
    <row r="90" spans="1:11" x14ac:dyDescent="0.3">
      <c r="A90" s="12" t="s">
        <v>5</v>
      </c>
      <c r="B90" s="13"/>
      <c r="C90" s="13"/>
      <c r="D90" s="14"/>
      <c r="E90" s="14"/>
      <c r="F90" s="14"/>
      <c r="G90" s="7"/>
      <c r="H90" s="7"/>
      <c r="I90" s="27"/>
      <c r="J90" s="18"/>
    </row>
    <row r="91" spans="1:11" x14ac:dyDescent="0.3">
      <c r="A91" s="15" t="s">
        <v>4</v>
      </c>
      <c r="B91" s="13"/>
      <c r="C91" s="14"/>
      <c r="D91" s="14"/>
      <c r="E91" s="14"/>
      <c r="F91" s="14"/>
      <c r="G91" s="7"/>
      <c r="H91" s="7"/>
      <c r="I91" s="27"/>
    </row>
    <row r="92" spans="1:11" x14ac:dyDescent="0.3">
      <c r="A92" s="15" t="s">
        <v>3</v>
      </c>
      <c r="B92" s="15"/>
      <c r="C92" s="15"/>
      <c r="D92" s="14"/>
      <c r="E92" s="14"/>
      <c r="F92" s="14"/>
      <c r="G92" s="7"/>
      <c r="H92" s="7"/>
      <c r="I92" s="27"/>
    </row>
    <row r="93" spans="1:11" x14ac:dyDescent="0.3">
      <c r="A93" s="15" t="s">
        <v>2</v>
      </c>
      <c r="B93" s="15"/>
      <c r="C93" s="15"/>
      <c r="D93" s="14"/>
      <c r="E93" s="14"/>
      <c r="F93" s="14"/>
      <c r="G93" s="7"/>
      <c r="H93" s="7"/>
      <c r="I93" s="27"/>
    </row>
    <row r="94" spans="1:11" x14ac:dyDescent="0.3">
      <c r="A94" s="27"/>
      <c r="B94" s="18"/>
      <c r="C94" s="32"/>
      <c r="D94" s="33"/>
      <c r="E94" s="14"/>
      <c r="F94" s="14"/>
      <c r="G94" s="14"/>
      <c r="H94" s="14"/>
      <c r="I94" s="14"/>
    </row>
    <row r="95" spans="1:11" x14ac:dyDescent="0.3">
      <c r="A95" s="27"/>
      <c r="B95" s="18"/>
      <c r="C95" s="32"/>
      <c r="D95" s="33"/>
      <c r="E95" s="14"/>
      <c r="F95" s="14"/>
      <c r="G95" s="14"/>
      <c r="H95" s="14"/>
      <c r="I95" s="14"/>
    </row>
    <row r="96" spans="1:11" x14ac:dyDescent="0.3">
      <c r="A96" s="27"/>
      <c r="B96" s="6" t="s">
        <v>172</v>
      </c>
      <c r="C96" s="89" t="s">
        <v>173</v>
      </c>
      <c r="D96" s="89"/>
      <c r="E96" s="14"/>
      <c r="F96" s="14"/>
      <c r="G96" s="14"/>
      <c r="H96" s="14"/>
      <c r="I96" s="14"/>
    </row>
    <row r="97" spans="1:9" x14ac:dyDescent="0.3">
      <c r="A97" s="27"/>
      <c r="B97" s="5"/>
      <c r="C97" s="5"/>
      <c r="D97" s="5"/>
      <c r="E97" s="14"/>
      <c r="F97" s="14"/>
      <c r="G97" s="14"/>
      <c r="H97" s="14"/>
      <c r="I97" s="14"/>
    </row>
    <row r="98" spans="1:9" x14ac:dyDescent="0.3">
      <c r="A98" s="27"/>
      <c r="B98" s="5"/>
      <c r="C98" s="5"/>
      <c r="D98" s="5"/>
      <c r="E98" s="14"/>
      <c r="F98" s="14"/>
      <c r="G98" s="14"/>
      <c r="H98" s="14"/>
      <c r="I98" s="14"/>
    </row>
    <row r="99" spans="1:9" x14ac:dyDescent="0.3">
      <c r="A99" s="27"/>
      <c r="B99" s="5"/>
      <c r="C99" s="5"/>
      <c r="D99" s="5"/>
      <c r="E99" s="14"/>
      <c r="F99" s="14"/>
      <c r="G99" s="14"/>
      <c r="H99" s="14"/>
      <c r="I99" s="14"/>
    </row>
    <row r="100" spans="1:9" x14ac:dyDescent="0.3">
      <c r="A100" s="27"/>
      <c r="B100" s="5"/>
      <c r="C100" s="5"/>
      <c r="D100" s="5"/>
      <c r="E100" s="14"/>
      <c r="F100" s="14"/>
      <c r="G100" s="14"/>
      <c r="H100" s="14"/>
      <c r="I100" s="14"/>
    </row>
    <row r="101" spans="1:9" x14ac:dyDescent="0.3">
      <c r="A101" s="27"/>
      <c r="B101" s="5"/>
      <c r="C101" s="5"/>
      <c r="D101" s="5"/>
      <c r="E101" s="14"/>
      <c r="F101" s="14"/>
      <c r="G101" s="14"/>
      <c r="H101" s="14"/>
      <c r="I101" s="14"/>
    </row>
    <row r="102" spans="1:9" x14ac:dyDescent="0.3">
      <c r="A102" s="27"/>
      <c r="B102" s="5"/>
      <c r="C102" s="5"/>
      <c r="D102" s="5"/>
      <c r="E102" s="14"/>
      <c r="F102" s="14"/>
      <c r="G102" s="14"/>
      <c r="H102" s="14"/>
      <c r="I102" s="14"/>
    </row>
    <row r="103" spans="1:9" x14ac:dyDescent="0.3">
      <c r="A103" s="27"/>
      <c r="B103" s="18"/>
      <c r="C103" s="32"/>
      <c r="D103" s="33"/>
      <c r="E103" s="14"/>
      <c r="F103" s="14"/>
      <c r="G103" s="14"/>
      <c r="H103" s="14"/>
      <c r="I103" s="14"/>
    </row>
    <row r="104" spans="1:9" x14ac:dyDescent="0.3">
      <c r="A104" s="27"/>
      <c r="B104" s="18"/>
      <c r="C104" s="32"/>
      <c r="D104" s="33"/>
      <c r="E104" s="14"/>
      <c r="F104" s="14"/>
      <c r="G104" s="14"/>
      <c r="H104" s="14"/>
      <c r="I104" s="14"/>
    </row>
    <row r="105" spans="1:9" x14ac:dyDescent="0.3">
      <c r="A105" s="27"/>
      <c r="B105" s="18"/>
      <c r="C105" s="18"/>
      <c r="D105" s="33"/>
      <c r="E105" s="14"/>
      <c r="F105" s="14"/>
      <c r="G105" s="14"/>
      <c r="H105" s="14"/>
      <c r="I105" s="14"/>
    </row>
    <row r="106" spans="1:9" x14ac:dyDescent="0.3">
      <c r="A106" s="27"/>
      <c r="B106" s="18"/>
      <c r="C106" s="18"/>
      <c r="D106" s="33"/>
      <c r="E106" s="14"/>
      <c r="F106" s="14"/>
      <c r="G106" s="14"/>
      <c r="H106" s="14"/>
      <c r="I106" s="14"/>
    </row>
    <row r="107" spans="1:9" x14ac:dyDescent="0.3">
      <c r="A107" s="27"/>
      <c r="B107" s="25" t="s">
        <v>1</v>
      </c>
      <c r="C107" s="90" t="s">
        <v>0</v>
      </c>
      <c r="D107" s="90"/>
      <c r="E107" s="90"/>
      <c r="F107" s="90"/>
      <c r="G107" s="14"/>
      <c r="H107" s="14"/>
      <c r="I107" s="14"/>
    </row>
    <row r="108" spans="1:9" x14ac:dyDescent="0.3">
      <c r="A108" s="27"/>
      <c r="B108" s="16"/>
      <c r="C108" s="17"/>
      <c r="D108" s="33"/>
      <c r="E108" s="27"/>
      <c r="F108" s="27"/>
      <c r="G108" s="27"/>
      <c r="H108" s="27"/>
      <c r="I108" s="27"/>
    </row>
    <row r="109" spans="1:9" x14ac:dyDescent="0.3">
      <c r="A109" s="87" t="s">
        <v>146</v>
      </c>
      <c r="B109" s="88"/>
      <c r="C109" s="17"/>
      <c r="D109" s="33"/>
      <c r="E109" s="27"/>
      <c r="F109" s="27"/>
      <c r="G109" s="27"/>
      <c r="H109" s="27"/>
      <c r="I109" s="27"/>
    </row>
    <row r="110" spans="1:9" x14ac:dyDescent="0.3">
      <c r="A110" s="34"/>
      <c r="B110" s="26"/>
      <c r="C110" s="17"/>
      <c r="D110" s="33"/>
      <c r="E110" s="27"/>
      <c r="F110" s="27"/>
      <c r="G110" s="27"/>
      <c r="H110" s="27"/>
      <c r="I110" s="27"/>
    </row>
    <row r="111" spans="1:9" x14ac:dyDescent="0.3">
      <c r="A111" s="82" t="s">
        <v>150</v>
      </c>
      <c r="B111" s="16"/>
      <c r="C111" s="17"/>
      <c r="D111" s="33"/>
      <c r="E111" s="27"/>
      <c r="F111" s="27"/>
      <c r="G111" s="27"/>
      <c r="H111" s="27"/>
      <c r="I111" s="27"/>
    </row>
    <row r="112" spans="1:9" x14ac:dyDescent="0.3">
      <c r="A112" s="83" t="s">
        <v>148</v>
      </c>
      <c r="B112" s="84"/>
      <c r="C112" s="84"/>
      <c r="D112" s="33"/>
      <c r="E112" s="27"/>
      <c r="F112" s="27"/>
      <c r="G112" s="27"/>
      <c r="H112" s="27"/>
      <c r="I112" s="27"/>
    </row>
    <row r="113" spans="1:10" x14ac:dyDescent="0.3">
      <c r="A113" s="83"/>
      <c r="B113" s="84"/>
      <c r="C113" s="84"/>
      <c r="D113" s="33"/>
      <c r="E113" s="27"/>
      <c r="F113" s="27"/>
      <c r="G113" s="27"/>
      <c r="H113" s="27"/>
      <c r="I113" s="27"/>
    </row>
    <row r="114" spans="1:10" x14ac:dyDescent="0.3">
      <c r="A114" s="82" t="s">
        <v>151</v>
      </c>
      <c r="B114" s="84"/>
      <c r="C114" s="84"/>
      <c r="D114" s="33"/>
      <c r="E114" s="27"/>
      <c r="F114" s="27"/>
      <c r="G114" s="27"/>
      <c r="H114" s="27"/>
      <c r="I114" s="27"/>
    </row>
    <row r="115" spans="1:10" s="35" customFormat="1" x14ac:dyDescent="0.3">
      <c r="A115" s="83" t="s">
        <v>149</v>
      </c>
      <c r="B115" s="83"/>
      <c r="C115" s="83"/>
      <c r="D115" s="85"/>
      <c r="E115" s="86"/>
      <c r="F115" s="86"/>
      <c r="G115" s="86"/>
      <c r="H115" s="86"/>
      <c r="I115" s="86"/>
      <c r="J115" s="36"/>
    </row>
    <row r="116" spans="1:10" x14ac:dyDescent="0.3">
      <c r="A116" s="27"/>
      <c r="B116" s="16"/>
      <c r="C116" s="17"/>
      <c r="D116" s="33"/>
      <c r="E116" s="27"/>
      <c r="F116" s="27"/>
      <c r="G116" s="27"/>
      <c r="H116" s="27"/>
      <c r="I116" s="27"/>
    </row>
    <row r="117" spans="1:10" x14ac:dyDescent="0.3">
      <c r="A117" s="27"/>
      <c r="B117" s="16"/>
      <c r="C117" s="17"/>
      <c r="D117" s="33"/>
      <c r="E117" s="27"/>
      <c r="F117" s="27"/>
      <c r="G117" s="27"/>
      <c r="H117" s="27"/>
      <c r="I117" s="27"/>
    </row>
  </sheetData>
  <mergeCells count="7">
    <mergeCell ref="A109:B109"/>
    <mergeCell ref="C96:D96"/>
    <mergeCell ref="C107:F107"/>
    <mergeCell ref="B1:I1"/>
    <mergeCell ref="B2:I2"/>
    <mergeCell ref="B3:I3"/>
    <mergeCell ref="A89:J89"/>
  </mergeCells>
  <hyperlinks>
    <hyperlink ref="A112" r:id="rId1" xr:uid="{00000000-0004-0000-0000-000000000000}"/>
    <hyperlink ref="A115" r:id="rId2" xr:uid="{00000000-0004-0000-0000-000001000000}"/>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ELSS Tax Saver Fund</vt:lpstr>
      <vt:lpstr>'JM ELSS Tax Saver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2025-02-05T09:34:31Z</dcterms:created>
  <dcterms:modified xsi:type="dcterms:W3CDTF">2026-03-07T11:56:37Z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2025-02-06T08:43:04Z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ad404f18-0393-4ca1-a266-81144e66624e</vt:lpwstr>
  </property>
  <property fmtid="{D5CDD505-2E9C-101B-9397-08002B2CF9AE}" pid="8" name="MSIP_Label_e3ba8fb0-bbb8-454c-aa98-661329b3f27f_ContentBits">
    <vt:lpwstr>3</vt:lpwstr>
  </property>
</Properties>
</file>