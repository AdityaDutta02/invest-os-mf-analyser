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Fund'!$A$1:$H$106</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6" i="1" l="1"/>
  <c r="E25" i="1"/>
  <c r="E26" i="1" s="1"/>
  <c r="D23" i="1"/>
  <c r="E22" i="1"/>
  <c r="E23" i="1" s="1"/>
  <c r="D19" i="1"/>
  <c r="E18" i="1"/>
  <c r="E17" i="1"/>
  <c r="E19" i="1" s="1"/>
  <c r="E28" i="1" l="1"/>
  <c r="D28" i="1"/>
  <c r="D30" i="1" s="1"/>
  <c r="E30" i="1" s="1"/>
  <c r="E32" i="1" l="1"/>
</calcChain>
</file>

<file path=xl/sharedStrings.xml><?xml version="1.0" encoding="utf-8"?>
<sst xmlns="http://schemas.openxmlformats.org/spreadsheetml/2006/main" count="78" uniqueCount="65">
  <si>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</si>
  <si>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</si>
  <si>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</si>
  <si>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</si>
  <si>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</si>
  <si>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</si>
  <si>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</si>
  <si>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</si>
  <si>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</si>
  <si>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</si>
  <si>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</si>
  <si>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</si>
  <si>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</si>
  <si>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</si>
  <si>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</si>
  <si>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</si>
  <si>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</si>
  <si>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</si>
  <si>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2033 14/08/2033</t>
  </si>
  <si>
    <t>Sovereign</t>
  </si>
  <si>
    <t>IN0020230085</t>
  </si>
  <si>
    <t>7.10% Government of India Securities 2029 18/04/2029</t>
  </si>
  <si>
    <t>IN0020220011</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</si>
  <si>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</si>
  <si>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</si>
  <si>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</si>
  <si>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</si>
  <si>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</si>
  <si>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</si>
  <si>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</si>
  <si>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</si>
  <si>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</si>
  <si>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</si>
  <si>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</si>
  <si>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</si>
  <si>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</si>
  <si>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</si>
  <si>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</si>
  <si>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</si>
  <si>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</si>
  <si>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</si>
  <si>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</si>
  <si>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</si>
  <si>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</si>
  <si>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</si>
  <si>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</si>
  <si>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</si>
  <si>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</si>
  <si>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</si>
  <si>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</si>
  <si>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</si>
  <si>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</si>
  <si>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</si>
  <si>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</si>
  <si>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</si>
  <si>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</si>
  <si>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</si>
  <si>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</si>
  <si>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</si>
  <si>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t>
  </si>
  <si>
    <t>Residual Maturity</t>
  </si>
  <si>
    <t xml:space="preserve">As on (Date) </t>
  </si>
  <si>
    <t>31.12.2023</t>
  </si>
  <si>
    <t xml:space="preserve">* in case of semi annual YTM,  it will be annualised </t>
  </si>
  <si>
    <t>Monthly Portfolio Statement for the period ended 31.12.2023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</si>
</sst>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3">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7" applyFont="1" applyBorder="1" applyAlignment="1">
      <alignment wrapText="1"/>
    </xf>
    <xf numFmtId="0" fontId="5" fillId="0" borderId="0" xfId="3" applyFont="1" applyAlignment="1">
      <alignment wrapText="1"/>
    </xf>
    <xf numFmtId="0" fontId="8" fillId="0" borderId="0" xfId="8" applyFont="1"/>
    <xf numFmtId="0" fontId="9" fillId="0" borderId="0" xfId="3" applyFont="1" applyFill="1" applyBorder="1" applyAlignment="1">
      <alignment horizontal="left" wrapText="1"/>
    </xf>
    <xf numFmtId="0" fontId="10" fillId="0" borderId="0" xfId="8" applyFont="1" applyBorder="1"/>
    <xf numFmtId="0" fontId="5" fillId="0" borderId="0" xfId="3" applyFont="1" applyAlignment="1">
      <alignment horizontal="left" wrapText="1"/>
    </xf>
    <xf numFmtId="165" fontId="5" fillId="0" borderId="0" xfId="1" applyNumberFormat="1" applyFont="1"/>
    <xf numFmtId="0" fontId="8" fillId="0" borderId="0" xfId="8"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9"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0" xfId="6" applyFont="1" applyAlignment="1">
      <alignment vertical="top" wrapText="1"/>
    </xf>
    <xf numFmtId="0" fontId="5" fillId="0" borderId="0" xfId="3"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6"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7" applyFont="1" applyBorder="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cellXfs>
  <cellStyles count="10">
    <cellStyle name="Comma" xfId="1" builtinId="3"/>
    <cellStyle name="Comma 3" xfId="9"/>
    <cellStyle name="Normal" xfId="0" builtinId="0"/>
    <cellStyle name="Normal 2 2" xfId="3"/>
    <cellStyle name="Normal 2 2 2" xfId="4"/>
    <cellStyle name="Normal 2 2_Template Portfolio Disclosure -31.12 2023" xfId="5"/>
    <cellStyle name="Normal 2 3 2" xfId="6"/>
    <cellStyle name="Normal 4_IF" xfId="8"/>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800100</xdr:colOff>
      <xdr:row>44</xdr:row>
      <xdr:rowOff>66675</xdr:rowOff>
    </xdr:from>
    <xdr:to>
      <xdr:col>0</xdr:col>
      <xdr:colOff>2724150</xdr:colOff>
      <xdr:row>50</xdr:row>
      <xdr:rowOff>38100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8601075"/>
          <a:ext cx="192405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561975</xdr:colOff>
      <xdr:row>44</xdr:row>
      <xdr:rowOff>85725</xdr:rowOff>
    </xdr:from>
    <xdr:to>
      <xdr:col>3</xdr:col>
      <xdr:colOff>771525</xdr:colOff>
      <xdr:row>50</xdr:row>
      <xdr:rowOff>47625</xdr:rowOff>
    </xdr:to>
    <xdr:pic>
      <xdr:nvPicPr>
        <xdr:cNvPr id="3"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38575" y="8620125"/>
          <a:ext cx="19621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6"/>
  <sheetViews>
    <sheetView tabSelected="1" zoomScaleNormal="85" workbookViewId="0">
      <selection sqref="A1:H1"/>
    </sheetView>
  </sheetViews>
  <sheetFormatPr defaultRowHeight="12.75" x14ac:dyDescent="0.2"/>
  <cols>
    <col min="1" max="1" width="49.140625" style="54" customWidth="1"/>
    <col min="2" max="2" width="14.5703125" style="55" customWidth="1"/>
    <col min="3" max="3" width="11.7109375" style="56" customWidth="1"/>
    <col min="4" max="4" width="13" style="1" customWidth="1"/>
    <col min="5" max="5" width="10.28515625" style="1" customWidth="1"/>
    <col min="6" max="6" width="13.28515625" style="1" customWidth="1"/>
    <col min="7" max="7" width="9.5703125" style="1" bestFit="1" customWidth="1"/>
    <col min="8" max="8" width="12.28515625" style="1" customWidth="1"/>
    <col min="9" max="16384" width="9.140625" style="1"/>
  </cols>
  <sheetData>
    <row r="1" spans="1:8" x14ac:dyDescent="0.2">
      <c r="A1" s="59" t="s">
        <v>0</v>
      </c>
      <c r="B1" s="59"/>
      <c r="C1" s="59"/>
      <c r="D1" s="59"/>
      <c r="E1" s="59"/>
      <c r="F1" s="59"/>
      <c r="G1" s="59"/>
      <c r="H1" s="59"/>
    </row>
    <row r="2" spans="1:8" ht="27" customHeight="1" x14ac:dyDescent="0.2">
      <c r="A2" s="60" t="s">
        <v>1</v>
      </c>
      <c r="B2" s="60"/>
      <c r="C2" s="60"/>
      <c r="D2" s="60"/>
      <c r="E2" s="60"/>
      <c r="F2" s="60"/>
      <c r="G2" s="60"/>
      <c r="H2" s="60"/>
    </row>
    <row r="3" spans="1:8" ht="12.75" customHeight="1" x14ac:dyDescent="0.2">
      <c r="A3" s="61" t="s">
        <v>64</v>
      </c>
      <c r="B3" s="61"/>
      <c r="C3" s="61"/>
      <c r="D3" s="61"/>
      <c r="E3" s="61"/>
      <c r="F3" s="61"/>
      <c r="G3" s="61"/>
      <c r="H3" s="61"/>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8" t="s">
        <v>12</v>
      </c>
      <c r="E6" s="8" t="s">
        <v>12</v>
      </c>
      <c r="F6" s="13"/>
      <c r="G6" s="10"/>
      <c r="H6" s="11"/>
    </row>
    <row r="7" spans="1:8" s="12" customFormat="1" ht="14.25" x14ac:dyDescent="0.3">
      <c r="A7" s="5"/>
      <c r="B7" s="6"/>
      <c r="C7" s="14"/>
      <c r="D7" s="13"/>
      <c r="E7" s="13"/>
      <c r="F7" s="13"/>
      <c r="G7" s="10"/>
      <c r="H7" s="11"/>
    </row>
    <row r="8" spans="1:8" s="12" customFormat="1" ht="14.25" x14ac:dyDescent="0.3">
      <c r="A8" s="5" t="s">
        <v>13</v>
      </c>
      <c r="B8" s="6"/>
      <c r="C8" s="14"/>
      <c r="D8" s="8" t="s">
        <v>12</v>
      </c>
      <c r="E8" s="8" t="s">
        <v>12</v>
      </c>
      <c r="F8" s="9"/>
      <c r="G8" s="10"/>
      <c r="H8" s="11"/>
    </row>
    <row r="9" spans="1:8" s="12" customFormat="1" ht="14.25" x14ac:dyDescent="0.3">
      <c r="A9" s="5"/>
      <c r="B9" s="6"/>
      <c r="C9" s="14"/>
      <c r="D9" s="8"/>
      <c r="E9" s="8"/>
      <c r="F9" s="8"/>
      <c r="G9" s="10"/>
      <c r="H9" s="11"/>
    </row>
    <row r="10" spans="1:8" s="12" customFormat="1" ht="14.25" x14ac:dyDescent="0.3">
      <c r="A10" s="5" t="s">
        <v>14</v>
      </c>
      <c r="B10" s="6"/>
      <c r="C10" s="14"/>
      <c r="D10" s="8"/>
      <c r="E10" s="8"/>
      <c r="F10" s="8"/>
      <c r="G10" s="10"/>
      <c r="H10" s="11"/>
    </row>
    <row r="11" spans="1:8" s="12" customFormat="1" ht="14.25" x14ac:dyDescent="0.3">
      <c r="A11" s="5"/>
      <c r="B11" s="6"/>
      <c r="C11" s="14"/>
      <c r="D11" s="15"/>
      <c r="E11" s="15"/>
      <c r="F11" s="16"/>
      <c r="G11" s="10"/>
      <c r="H11" s="11"/>
    </row>
    <row r="12" spans="1:8" s="12" customFormat="1" ht="14.25" x14ac:dyDescent="0.3">
      <c r="A12" s="5" t="s">
        <v>15</v>
      </c>
      <c r="B12" s="6"/>
      <c r="C12" s="14"/>
      <c r="D12" s="8" t="s">
        <v>12</v>
      </c>
      <c r="E12" s="8" t="s">
        <v>12</v>
      </c>
      <c r="F12" s="8"/>
      <c r="G12" s="10"/>
      <c r="H12" s="11"/>
    </row>
    <row r="13" spans="1:8" s="12" customFormat="1" ht="14.25" x14ac:dyDescent="0.3">
      <c r="A13" s="5"/>
      <c r="B13" s="6"/>
      <c r="C13" s="14"/>
      <c r="D13" s="8"/>
      <c r="E13" s="8"/>
      <c r="F13" s="8"/>
      <c r="G13" s="10"/>
      <c r="H13" s="11"/>
    </row>
    <row r="14" spans="1:8" s="12" customFormat="1" ht="14.25" x14ac:dyDescent="0.3">
      <c r="A14" s="5" t="s">
        <v>16</v>
      </c>
      <c r="B14" s="6"/>
      <c r="C14" s="14"/>
      <c r="D14" s="8" t="s">
        <v>12</v>
      </c>
      <c r="E14" s="8" t="s">
        <v>12</v>
      </c>
      <c r="F14" s="8"/>
      <c r="G14" s="10"/>
      <c r="H14" s="11"/>
    </row>
    <row r="15" spans="1:8" s="12" customFormat="1" ht="14.25" x14ac:dyDescent="0.3">
      <c r="A15" s="5"/>
      <c r="B15" s="6"/>
      <c r="C15" s="14"/>
      <c r="D15" s="8"/>
      <c r="E15" s="8"/>
      <c r="F15" s="8"/>
      <c r="G15" s="10"/>
      <c r="H15" s="11"/>
    </row>
    <row r="16" spans="1:8" s="12" customFormat="1" ht="14.25" x14ac:dyDescent="0.3">
      <c r="A16" s="5" t="s">
        <v>17</v>
      </c>
      <c r="B16" s="6"/>
      <c r="C16" s="14"/>
      <c r="D16" s="8"/>
      <c r="E16" s="8"/>
      <c r="F16" s="8"/>
      <c r="G16" s="10"/>
      <c r="H16" s="11"/>
    </row>
    <row r="17" spans="1:8" s="12" customFormat="1" ht="14.25" x14ac:dyDescent="0.3">
      <c r="A17" s="17" t="s">
        <v>18</v>
      </c>
      <c r="B17" s="18" t="s">
        <v>19</v>
      </c>
      <c r="C17" s="19">
        <v>1400000</v>
      </c>
      <c r="D17" s="15">
        <v>1400.2226000000001</v>
      </c>
      <c r="E17" s="15">
        <f>(+D17/$D$32*100)</f>
        <v>65.175129117080886</v>
      </c>
      <c r="F17" s="15" t="s">
        <v>20</v>
      </c>
      <c r="G17" s="10">
        <v>7.1771000000000003</v>
      </c>
      <c r="H17" s="11"/>
    </row>
    <row r="18" spans="1:8" s="12" customFormat="1" ht="14.25" x14ac:dyDescent="0.3">
      <c r="A18" s="17" t="s">
        <v>21</v>
      </c>
      <c r="B18" s="18" t="s">
        <v>19</v>
      </c>
      <c r="C18" s="19">
        <v>550000</v>
      </c>
      <c r="D18" s="15">
        <v>549.18325000000004</v>
      </c>
      <c r="E18" s="15">
        <f>(+D18/$D$32*100)</f>
        <v>25.562427879458671</v>
      </c>
      <c r="F18" s="15" t="s">
        <v>22</v>
      </c>
      <c r="G18" s="10">
        <v>7.1307</v>
      </c>
      <c r="H18" s="11"/>
    </row>
    <row r="19" spans="1:8" s="12" customFormat="1" ht="14.25" x14ac:dyDescent="0.3">
      <c r="A19" s="5" t="s">
        <v>23</v>
      </c>
      <c r="B19" s="6"/>
      <c r="C19" s="14"/>
      <c r="D19" s="8">
        <f>IF(ISERROR(SUM(D17:D18)),0,SUM(D17:D18))</f>
        <v>1949.4058500000001</v>
      </c>
      <c r="E19" s="8">
        <f>IF(ISERROR(SUM(E17:E18)),0,SUM(E17:E18))</f>
        <v>90.737556996539553</v>
      </c>
      <c r="F19" s="20"/>
      <c r="G19" s="10"/>
      <c r="H19" s="11"/>
    </row>
    <row r="20" spans="1:8" s="12" customFormat="1" ht="14.25" x14ac:dyDescent="0.3">
      <c r="A20" s="5"/>
      <c r="B20" s="6"/>
      <c r="C20" s="14"/>
      <c r="D20" s="8"/>
      <c r="E20" s="8"/>
      <c r="F20" s="8"/>
      <c r="G20" s="10"/>
      <c r="H20" s="11"/>
    </row>
    <row r="21" spans="1:8" s="12" customFormat="1" ht="14.25" x14ac:dyDescent="0.3">
      <c r="A21" s="5" t="s">
        <v>24</v>
      </c>
      <c r="B21" s="6"/>
      <c r="C21" s="14"/>
      <c r="D21" s="8"/>
      <c r="E21" s="8"/>
      <c r="F21" s="9"/>
      <c r="G21" s="10"/>
      <c r="H21" s="11"/>
    </row>
    <row r="22" spans="1:8" s="12" customFormat="1" ht="14.25" x14ac:dyDescent="0.3">
      <c r="A22" s="17" t="s">
        <v>25</v>
      </c>
      <c r="B22" s="18"/>
      <c r="C22" s="19">
        <v>0</v>
      </c>
      <c r="D22" s="15">
        <v>93.729070800000002</v>
      </c>
      <c r="E22" s="15">
        <f>(+D22/$D$32*100)</f>
        <v>4.3627379613884365</v>
      </c>
      <c r="F22" s="15" t="s">
        <v>26</v>
      </c>
      <c r="G22" s="10">
        <v>6.7633999999999999</v>
      </c>
      <c r="H22" s="11"/>
    </row>
    <row r="23" spans="1:8" s="12" customFormat="1" ht="14.25" x14ac:dyDescent="0.3">
      <c r="A23" s="5" t="s">
        <v>23</v>
      </c>
      <c r="B23" s="6"/>
      <c r="C23" s="14"/>
      <c r="D23" s="8">
        <f>IF(ISERROR(SUM(D22:D22)),0,SUM(D22:D22))</f>
        <v>93.729070800000002</v>
      </c>
      <c r="E23" s="8">
        <f>IF(ISERROR(SUM(E22:E22)),0,SUM(E22:E22))</f>
        <v>4.3627379613884365</v>
      </c>
      <c r="F23" s="15"/>
      <c r="G23" s="10"/>
      <c r="H23" s="11"/>
    </row>
    <row r="24" spans="1:8" s="12" customFormat="1" ht="14.25" x14ac:dyDescent="0.3">
      <c r="A24" s="21" t="s">
        <v>27</v>
      </c>
      <c r="B24" s="6"/>
      <c r="C24" s="14"/>
      <c r="D24" s="8"/>
      <c r="E24" s="8"/>
      <c r="F24" s="8"/>
      <c r="G24" s="10"/>
      <c r="H24" s="11"/>
    </row>
    <row r="25" spans="1:8" s="12" customFormat="1" ht="14.25" x14ac:dyDescent="0.3">
      <c r="A25" s="22" t="s">
        <v>28</v>
      </c>
      <c r="B25" s="18"/>
      <c r="C25" s="19">
        <v>50.798000000000002</v>
      </c>
      <c r="D25" s="15">
        <v>5.1221107209580001</v>
      </c>
      <c r="E25" s="15">
        <f>(+D25/$D$32*100)</f>
        <v>0.23841511170468316</v>
      </c>
      <c r="F25" s="15" t="s">
        <v>29</v>
      </c>
      <c r="G25" s="10">
        <v>7.18</v>
      </c>
      <c r="H25" s="11"/>
    </row>
    <row r="26" spans="1:8" s="12" customFormat="1" ht="14.25" x14ac:dyDescent="0.3">
      <c r="A26" s="5" t="s">
        <v>23</v>
      </c>
      <c r="B26" s="6"/>
      <c r="C26" s="14"/>
      <c r="D26" s="8">
        <f>IF(ISERROR(SUM(D25:D25)),0,SUM(D25:D25))</f>
        <v>5.1221107209580001</v>
      </c>
      <c r="E26" s="8">
        <f>IF(ISERROR(SUM(E25:E25)),0,SUM(E25:E25))</f>
        <v>0.23841511170468316</v>
      </c>
      <c r="F26" s="15"/>
      <c r="G26" s="10"/>
      <c r="H26" s="11"/>
    </row>
    <row r="27" spans="1:8" s="12" customFormat="1" ht="14.25" x14ac:dyDescent="0.3">
      <c r="A27" s="5"/>
      <c r="B27" s="6"/>
      <c r="C27" s="14"/>
      <c r="D27" s="8"/>
      <c r="E27" s="8"/>
      <c r="F27" s="9"/>
      <c r="G27" s="10"/>
      <c r="H27" s="11"/>
    </row>
    <row r="28" spans="1:8" s="12" customFormat="1" ht="14.25" x14ac:dyDescent="0.3">
      <c r="A28" s="5" t="s">
        <v>30</v>
      </c>
      <c r="B28" s="6"/>
      <c r="C28" s="14" t="s">
        <v>31</v>
      </c>
      <c r="D28" s="8">
        <f>+IF(ISERROR(#REF!),0,#REF!)+IF(ISERROR(D23),0,D23)+IF(ISERROR(#REF!),0,#REF!)+IF(ISERROR(#REF!),0,#REF!)+IF(ISERROR(D19),0,D19)+IF(ISERROR(#REF!),0,#REF!)+IF(ISERROR(#REF!),0,#REF!)+IF(ISERROR(#REF!),0,#REF!)+IF(ISERROR(#REF!),0,#REF!)+IF(ISERROR(D26),0,D26)+IF(ISERROR(#REF!),0,#REF!)</f>
        <v>2048.2570315209582</v>
      </c>
      <c r="E28" s="8">
        <f>+IF(ISERROR(#REF!),0,#REF!)+IF(ISERROR(E23),0,E23)+IF(ISERROR(#REF!),0,#REF!)+IF(ISERROR(#REF!),0,#REF!)+IF(ISERROR(E19),0,E19)+IF(ISERROR(#REF!),0,#REF!)+IF(ISERROR(#REF!),0,#REF!)+IF(ISERROR(#REF!),0,#REF!)+IF(ISERROR(#REF!),0,#REF!)+IF(ISERROR(E26),0,E26)+IF(ISERROR(#REF!),0,#REF!)</f>
        <v>95.338710069632668</v>
      </c>
      <c r="F28" s="8"/>
      <c r="G28" s="10"/>
      <c r="H28" s="11"/>
    </row>
    <row r="29" spans="1:8" s="12" customFormat="1" ht="14.25" x14ac:dyDescent="0.3">
      <c r="A29" s="5"/>
      <c r="B29" s="6"/>
      <c r="C29" s="14"/>
      <c r="D29" s="8"/>
      <c r="E29" s="8"/>
      <c r="F29" s="23"/>
      <c r="G29" s="24"/>
      <c r="H29" s="25"/>
    </row>
    <row r="30" spans="1:8" s="12" customFormat="1" ht="14.25" x14ac:dyDescent="0.3">
      <c r="A30" s="5" t="s">
        <v>32</v>
      </c>
      <c r="B30" s="6"/>
      <c r="C30" s="14"/>
      <c r="D30" s="8">
        <f>+D32-D28</f>
        <v>100.14316187894156</v>
      </c>
      <c r="E30" s="8">
        <f>D30/$D$32*100</f>
        <v>4.6612899303673201</v>
      </c>
      <c r="F30" s="23"/>
      <c r="G30" s="24"/>
      <c r="H30" s="25"/>
    </row>
    <row r="31" spans="1:8" s="12" customFormat="1" ht="14.25" x14ac:dyDescent="0.3">
      <c r="A31" s="5"/>
      <c r="B31" s="6"/>
      <c r="C31" s="14"/>
      <c r="D31" s="13"/>
      <c r="E31" s="13"/>
      <c r="F31" s="23"/>
      <c r="G31" s="24"/>
      <c r="H31" s="25"/>
    </row>
    <row r="32" spans="1:8" s="12" customFormat="1" ht="14.25" x14ac:dyDescent="0.3">
      <c r="A32" s="5" t="s">
        <v>33</v>
      </c>
      <c r="B32" s="6"/>
      <c r="C32" s="14"/>
      <c r="D32" s="8">
        <v>2148.4001933998998</v>
      </c>
      <c r="E32" s="8">
        <f>+E28+E30</f>
        <v>99.999999999999986</v>
      </c>
      <c r="F32" s="23"/>
      <c r="G32" s="24"/>
      <c r="H32" s="25"/>
    </row>
    <row r="33" spans="1:8" s="12" customFormat="1" ht="14.25" x14ac:dyDescent="0.3">
      <c r="A33" s="26"/>
      <c r="B33" s="27"/>
      <c r="C33" s="28"/>
      <c r="D33" s="29"/>
      <c r="E33" s="29"/>
      <c r="F33" s="23"/>
      <c r="G33" s="24"/>
      <c r="H33" s="25"/>
    </row>
    <row r="34" spans="1:8" s="12" customFormat="1" ht="13.5" x14ac:dyDescent="0.2">
      <c r="A34" s="57" t="s">
        <v>34</v>
      </c>
      <c r="B34" s="57"/>
      <c r="C34" s="57"/>
      <c r="D34" s="57"/>
      <c r="E34" s="57"/>
      <c r="F34" s="57"/>
      <c r="G34" s="57"/>
      <c r="H34" s="57"/>
    </row>
    <row r="35" spans="1:8" s="12" customFormat="1" ht="27" customHeight="1" x14ac:dyDescent="0.2">
      <c r="A35" s="62" t="s">
        <v>35</v>
      </c>
      <c r="B35" s="62"/>
      <c r="C35" s="62"/>
      <c r="D35" s="62"/>
      <c r="E35" s="62"/>
      <c r="F35" s="62"/>
      <c r="G35" s="63"/>
      <c r="H35" s="63"/>
    </row>
    <row r="36" spans="1:8" s="12" customFormat="1" ht="13.5" x14ac:dyDescent="0.2">
      <c r="A36" s="57" t="s">
        <v>36</v>
      </c>
      <c r="B36" s="57"/>
      <c r="C36" s="57"/>
      <c r="D36" s="57"/>
      <c r="E36" s="57"/>
      <c r="F36" s="57"/>
      <c r="G36" s="58"/>
      <c r="H36" s="58"/>
    </row>
    <row r="37" spans="1:8" s="12" customFormat="1" ht="66" customHeight="1" x14ac:dyDescent="0.2">
      <c r="A37" s="66" t="s">
        <v>37</v>
      </c>
      <c r="B37" s="66"/>
      <c r="C37" s="66"/>
      <c r="D37" s="66"/>
      <c r="E37" s="66"/>
      <c r="F37" s="66"/>
      <c r="G37" s="66"/>
      <c r="H37" s="58"/>
    </row>
    <row r="38" spans="1:8" s="12" customFormat="1" ht="14.25" x14ac:dyDescent="0.3">
      <c r="A38" s="30"/>
      <c r="B38" s="30"/>
      <c r="C38" s="30"/>
      <c r="D38" s="30"/>
      <c r="E38" s="30"/>
      <c r="F38" s="30"/>
      <c r="G38" s="30"/>
      <c r="H38" s="31"/>
    </row>
    <row r="39" spans="1:8" s="12" customFormat="1" ht="14.25" x14ac:dyDescent="0.3">
      <c r="A39" s="32" t="s">
        <v>38</v>
      </c>
      <c r="B39" s="33"/>
      <c r="C39" s="33"/>
      <c r="D39" s="25"/>
      <c r="E39" s="25"/>
      <c r="F39" s="23"/>
      <c r="G39" s="23"/>
      <c r="H39" s="23"/>
    </row>
    <row r="40" spans="1:8" ht="14.25" x14ac:dyDescent="0.3">
      <c r="A40" s="34" t="s">
        <v>39</v>
      </c>
      <c r="B40" s="33"/>
      <c r="C40" s="33"/>
      <c r="D40" s="25"/>
      <c r="E40" s="25"/>
      <c r="F40" s="23"/>
      <c r="G40" s="23"/>
      <c r="H40" s="23"/>
    </row>
    <row r="41" spans="1:8" ht="14.25" x14ac:dyDescent="0.3">
      <c r="A41" s="34" t="s">
        <v>40</v>
      </c>
      <c r="B41" s="33"/>
      <c r="C41" s="33"/>
      <c r="D41" s="25"/>
      <c r="E41" s="25"/>
      <c r="F41" s="25"/>
      <c r="G41" s="25"/>
      <c r="H41" s="25"/>
    </row>
    <row r="42" spans="1:8" ht="14.25" x14ac:dyDescent="0.3">
      <c r="A42" s="34" t="s">
        <v>41</v>
      </c>
      <c r="B42" s="33"/>
      <c r="C42" s="33"/>
      <c r="D42" s="25"/>
      <c r="E42" s="25"/>
      <c r="F42" s="25"/>
      <c r="G42" s="25"/>
      <c r="H42" s="25"/>
    </row>
    <row r="43" spans="1:8" ht="14.25" x14ac:dyDescent="0.3">
      <c r="A43" s="31"/>
      <c r="B43" s="35"/>
      <c r="C43" s="36"/>
      <c r="D43" s="25"/>
      <c r="E43" s="25"/>
      <c r="F43" s="25"/>
      <c r="G43" s="25"/>
      <c r="H43" s="25"/>
    </row>
    <row r="44" spans="1:8" ht="14.25" x14ac:dyDescent="0.3">
      <c r="A44" s="37" t="s">
        <v>42</v>
      </c>
      <c r="B44" s="67" t="s">
        <v>43</v>
      </c>
      <c r="C44" s="67"/>
      <c r="D44" s="67"/>
      <c r="E44" s="67"/>
      <c r="F44" s="25"/>
      <c r="G44" s="25"/>
      <c r="H44" s="25"/>
    </row>
    <row r="45" spans="1:8" ht="14.25" x14ac:dyDescent="0.3">
      <c r="A45" s="31"/>
      <c r="B45" s="35"/>
      <c r="C45" s="36"/>
      <c r="D45" s="25"/>
      <c r="E45" s="25"/>
      <c r="F45" s="25"/>
      <c r="G45" s="25"/>
      <c r="H45" s="25"/>
    </row>
    <row r="46" spans="1:8" ht="14.25" x14ac:dyDescent="0.3">
      <c r="A46" s="31"/>
      <c r="B46" s="35"/>
      <c r="C46" s="36"/>
      <c r="D46" s="25"/>
      <c r="E46" s="25"/>
      <c r="F46" s="25"/>
      <c r="G46" s="25"/>
      <c r="H46" s="25"/>
    </row>
    <row r="47" spans="1:8" ht="14.25" x14ac:dyDescent="0.3">
      <c r="A47" s="31"/>
      <c r="B47" s="35"/>
      <c r="C47" s="36"/>
      <c r="D47" s="25"/>
      <c r="E47" s="25"/>
      <c r="F47" s="25"/>
      <c r="G47" s="25"/>
      <c r="H47" s="25"/>
    </row>
    <row r="48" spans="1:8" ht="14.25" x14ac:dyDescent="0.3">
      <c r="A48" s="31"/>
      <c r="B48" s="35"/>
      <c r="C48" s="36"/>
      <c r="D48" s="25"/>
      <c r="E48" s="25"/>
      <c r="F48" s="25"/>
      <c r="G48" s="25"/>
      <c r="H48" s="25"/>
    </row>
    <row r="49" spans="1:8" ht="14.25" x14ac:dyDescent="0.3">
      <c r="A49" s="31"/>
      <c r="B49" s="35"/>
      <c r="C49" s="36"/>
      <c r="D49" s="25"/>
      <c r="E49" s="25"/>
      <c r="F49" s="25"/>
      <c r="G49" s="25"/>
      <c r="H49" s="25"/>
    </row>
    <row r="50" spans="1:8" ht="14.25" x14ac:dyDescent="0.3">
      <c r="A50" s="31"/>
      <c r="B50" s="35"/>
      <c r="C50" s="36"/>
      <c r="D50" s="25"/>
      <c r="E50" s="25"/>
      <c r="F50" s="25"/>
      <c r="G50" s="25"/>
      <c r="H50" s="25"/>
    </row>
    <row r="51" spans="1:8" ht="15" thickBot="1" x14ac:dyDescent="0.35">
      <c r="A51" s="31"/>
      <c r="B51" s="35"/>
      <c r="C51" s="36"/>
      <c r="D51" s="25"/>
      <c r="E51" s="25"/>
      <c r="F51" s="25"/>
      <c r="G51" s="25"/>
      <c r="H51" s="25"/>
    </row>
    <row r="52" spans="1:8" ht="15" thickBot="1" x14ac:dyDescent="0.35">
      <c r="A52" s="68" t="s">
        <v>44</v>
      </c>
      <c r="B52" s="69"/>
      <c r="C52" s="69"/>
      <c r="D52" s="70"/>
      <c r="E52" s="25"/>
      <c r="F52" s="25"/>
      <c r="G52" s="25"/>
      <c r="H52" s="25"/>
    </row>
    <row r="53" spans="1:8" ht="15" thickBot="1" x14ac:dyDescent="0.35">
      <c r="A53" s="38" t="s">
        <v>45</v>
      </c>
      <c r="B53" s="71" t="s">
        <v>46</v>
      </c>
      <c r="C53" s="71" t="s">
        <v>47</v>
      </c>
      <c r="D53" s="71" t="s">
        <v>48</v>
      </c>
      <c r="E53" s="25"/>
      <c r="F53" s="25"/>
      <c r="G53" s="25"/>
      <c r="H53" s="25"/>
    </row>
    <row r="54" spans="1:8" ht="15" thickBot="1" x14ac:dyDescent="0.35">
      <c r="A54" s="38" t="s">
        <v>49</v>
      </c>
      <c r="B54" s="72"/>
      <c r="C54" s="72"/>
      <c r="D54" s="72"/>
      <c r="E54" s="25"/>
      <c r="F54" s="25"/>
      <c r="G54" s="25"/>
      <c r="H54" s="25"/>
    </row>
    <row r="55" spans="1:8" ht="15" thickBot="1" x14ac:dyDescent="0.35">
      <c r="A55" s="39" t="s">
        <v>50</v>
      </c>
      <c r="B55" s="40"/>
      <c r="C55" s="40"/>
      <c r="D55" s="40"/>
      <c r="E55" s="25"/>
      <c r="F55" s="25"/>
      <c r="G55" s="25"/>
      <c r="H55" s="25"/>
    </row>
    <row r="56" spans="1:8" ht="15" thickBot="1" x14ac:dyDescent="0.35">
      <c r="A56" s="39" t="s">
        <v>51</v>
      </c>
      <c r="B56" s="40"/>
      <c r="C56" s="40"/>
      <c r="D56" s="40"/>
      <c r="E56" s="25"/>
      <c r="F56" s="25"/>
      <c r="G56" s="25"/>
      <c r="H56" s="25"/>
    </row>
    <row r="57" spans="1:8" ht="15" thickBot="1" x14ac:dyDescent="0.35">
      <c r="A57" s="39" t="s">
        <v>52</v>
      </c>
      <c r="B57" s="40"/>
      <c r="C57" s="41" t="s">
        <v>53</v>
      </c>
      <c r="D57" s="40"/>
      <c r="E57" s="25"/>
      <c r="F57" s="25"/>
      <c r="G57" s="25"/>
      <c r="H57" s="25"/>
    </row>
    <row r="58" spans="1:8" ht="14.25" x14ac:dyDescent="0.3">
      <c r="A58" s="31"/>
      <c r="B58" s="35"/>
      <c r="C58" s="36"/>
      <c r="D58" s="25"/>
      <c r="E58" s="25"/>
      <c r="F58" s="25"/>
      <c r="G58" s="25"/>
      <c r="H58" s="25"/>
    </row>
    <row r="59" spans="1:8" ht="14.25" x14ac:dyDescent="0.3">
      <c r="A59" s="64" t="s">
        <v>54</v>
      </c>
      <c r="B59" s="65"/>
      <c r="C59" s="25"/>
      <c r="D59" s="25"/>
      <c r="E59" s="25"/>
      <c r="F59" s="25"/>
      <c r="G59" s="25"/>
      <c r="H59" s="25"/>
    </row>
    <row r="60" spans="1:8" ht="40.5" x14ac:dyDescent="0.3">
      <c r="A60" s="42" t="s">
        <v>55</v>
      </c>
      <c r="B60" s="43" t="s">
        <v>56</v>
      </c>
      <c r="C60" s="25"/>
      <c r="D60" s="25"/>
      <c r="E60" s="25"/>
      <c r="F60" s="25"/>
      <c r="G60" s="25"/>
      <c r="H60" s="25"/>
    </row>
    <row r="61" spans="1:8" ht="14.25" x14ac:dyDescent="0.3">
      <c r="A61" s="44" t="s">
        <v>57</v>
      </c>
      <c r="B61" s="45"/>
      <c r="C61" s="25"/>
      <c r="D61" s="25"/>
      <c r="E61" s="25"/>
      <c r="F61" s="25"/>
      <c r="G61" s="25"/>
      <c r="H61" s="25"/>
    </row>
    <row r="62" spans="1:8" ht="14.25" x14ac:dyDescent="0.3">
      <c r="A62" s="44"/>
      <c r="B62" s="45" t="s">
        <v>31</v>
      </c>
      <c r="C62" s="25"/>
      <c r="D62" s="25"/>
      <c r="E62" s="25"/>
      <c r="F62" s="25"/>
      <c r="G62" s="25"/>
      <c r="H62" s="25"/>
    </row>
    <row r="63" spans="1:8" ht="14.25" x14ac:dyDescent="0.3">
      <c r="A63" s="44" t="s">
        <v>58</v>
      </c>
      <c r="B63" s="46">
        <v>7.2499999999999995E-2</v>
      </c>
      <c r="C63" s="25"/>
      <c r="D63" s="25"/>
      <c r="E63" s="25"/>
      <c r="F63" s="25"/>
      <c r="G63" s="25"/>
      <c r="H63" s="25"/>
    </row>
    <row r="64" spans="1:8" ht="14.25" x14ac:dyDescent="0.3">
      <c r="A64" s="44" t="s">
        <v>31</v>
      </c>
      <c r="B64" s="47"/>
      <c r="C64" s="25"/>
      <c r="D64" s="25"/>
      <c r="E64" s="25"/>
      <c r="F64" s="25"/>
      <c r="G64" s="25"/>
      <c r="H64" s="25"/>
    </row>
    <row r="65" spans="1:8" ht="14.25" x14ac:dyDescent="0.3">
      <c r="A65" s="44" t="s">
        <v>59</v>
      </c>
      <c r="B65" s="48">
        <v>5.8015999999999996</v>
      </c>
      <c r="C65" s="25"/>
      <c r="D65" s="25"/>
      <c r="E65" s="25"/>
      <c r="F65" s="25"/>
      <c r="G65" s="25"/>
      <c r="H65" s="25"/>
    </row>
    <row r="66" spans="1:8" ht="14.25" x14ac:dyDescent="0.3">
      <c r="A66" s="44" t="s">
        <v>60</v>
      </c>
      <c r="B66" s="48">
        <v>7.7782999999999998</v>
      </c>
      <c r="C66" s="25"/>
      <c r="D66" s="25"/>
      <c r="E66" s="25"/>
      <c r="F66" s="25"/>
      <c r="G66" s="25"/>
      <c r="H66" s="25"/>
    </row>
    <row r="67" spans="1:8" ht="14.25" x14ac:dyDescent="0.3">
      <c r="A67" s="44" t="s">
        <v>31</v>
      </c>
      <c r="B67" s="49"/>
      <c r="C67" s="25"/>
      <c r="D67" s="25"/>
      <c r="E67" s="25"/>
      <c r="F67" s="25"/>
      <c r="G67" s="25"/>
      <c r="H67" s="25"/>
    </row>
    <row r="68" spans="1:8" ht="14.25" x14ac:dyDescent="0.3">
      <c r="A68" s="44" t="s">
        <v>61</v>
      </c>
      <c r="B68" s="50" t="s">
        <v>62</v>
      </c>
      <c r="C68" s="51"/>
      <c r="D68" s="25"/>
      <c r="E68" s="25"/>
      <c r="F68" s="25"/>
      <c r="G68" s="25"/>
      <c r="H68" s="25"/>
    </row>
    <row r="69" spans="1:8" ht="14.25" x14ac:dyDescent="0.3">
      <c r="A69" s="52" t="s">
        <v>63</v>
      </c>
      <c r="B69" s="53"/>
      <c r="C69" s="51"/>
      <c r="D69" s="25"/>
      <c r="E69" s="25"/>
      <c r="F69" s="25"/>
      <c r="G69" s="25"/>
      <c r="H69" s="25"/>
    </row>
    <row r="70" spans="1:8" ht="14.25" x14ac:dyDescent="0.3">
      <c r="A70" s="31"/>
      <c r="B70" s="35"/>
      <c r="C70" s="36"/>
      <c r="D70" s="25"/>
      <c r="E70" s="25"/>
      <c r="F70" s="25"/>
      <c r="G70" s="25"/>
      <c r="H70" s="25"/>
    </row>
    <row r="71" spans="1:8" ht="14.25" x14ac:dyDescent="0.3">
      <c r="A71" s="31"/>
      <c r="B71" s="35"/>
      <c r="C71" s="36"/>
      <c r="D71" s="25"/>
      <c r="E71" s="25"/>
      <c r="F71" s="25"/>
      <c r="G71" s="25"/>
      <c r="H71" s="25"/>
    </row>
    <row r="72" spans="1:8" ht="14.25" x14ac:dyDescent="0.3">
      <c r="A72" s="31"/>
      <c r="B72" s="35"/>
      <c r="C72" s="36"/>
      <c r="D72" s="25"/>
      <c r="E72" s="25"/>
      <c r="F72" s="25"/>
      <c r="G72" s="25"/>
      <c r="H72" s="25"/>
    </row>
    <row r="73" spans="1:8" ht="14.25" x14ac:dyDescent="0.3">
      <c r="A73" s="31"/>
      <c r="B73" s="35"/>
      <c r="C73" s="36"/>
      <c r="D73" s="25"/>
      <c r="E73" s="25"/>
      <c r="F73" s="25"/>
      <c r="G73" s="25"/>
      <c r="H73" s="25"/>
    </row>
    <row r="74" spans="1:8" ht="14.25" x14ac:dyDescent="0.3">
      <c r="A74" s="31"/>
      <c r="B74" s="35"/>
      <c r="C74" s="36"/>
      <c r="D74" s="25"/>
      <c r="E74" s="25"/>
      <c r="F74" s="25"/>
      <c r="G74" s="25"/>
      <c r="H74" s="25"/>
    </row>
    <row r="75" spans="1:8" ht="14.25" x14ac:dyDescent="0.3">
      <c r="A75" s="31"/>
      <c r="B75" s="35"/>
      <c r="C75" s="36"/>
      <c r="D75" s="25"/>
      <c r="E75" s="25"/>
      <c r="F75" s="25"/>
      <c r="G75" s="25"/>
      <c r="H75" s="25"/>
    </row>
    <row r="76" spans="1:8" ht="14.25" x14ac:dyDescent="0.3">
      <c r="A76" s="31"/>
      <c r="B76" s="35"/>
      <c r="C76" s="36"/>
      <c r="D76" s="25"/>
      <c r="E76" s="25"/>
      <c r="F76" s="25"/>
      <c r="G76" s="25"/>
      <c r="H76" s="25"/>
    </row>
    <row r="77" spans="1:8" ht="14.25" x14ac:dyDescent="0.3">
      <c r="A77" s="31"/>
      <c r="B77" s="35"/>
      <c r="C77" s="36"/>
      <c r="D77" s="25"/>
      <c r="E77" s="25"/>
      <c r="F77" s="25"/>
      <c r="G77" s="25"/>
      <c r="H77" s="25"/>
    </row>
    <row r="78" spans="1:8" ht="14.25" x14ac:dyDescent="0.3">
      <c r="A78" s="31"/>
      <c r="B78" s="35"/>
      <c r="C78" s="36"/>
      <c r="D78" s="25"/>
      <c r="E78" s="25"/>
      <c r="F78" s="25"/>
      <c r="G78" s="25"/>
      <c r="H78" s="25"/>
    </row>
    <row r="79" spans="1:8" ht="14.25" x14ac:dyDescent="0.3">
      <c r="A79" s="31"/>
      <c r="B79" s="35"/>
      <c r="C79" s="36"/>
      <c r="D79" s="25"/>
      <c r="E79" s="25"/>
      <c r="F79" s="25"/>
      <c r="G79" s="25"/>
      <c r="H79" s="25"/>
    </row>
    <row r="80" spans="1:8" ht="14.25" x14ac:dyDescent="0.3">
      <c r="A80" s="31"/>
      <c r="B80" s="35"/>
      <c r="C80" s="36"/>
      <c r="D80" s="25"/>
      <c r="E80" s="25"/>
      <c r="F80" s="25"/>
      <c r="G80" s="25"/>
      <c r="H80" s="25"/>
    </row>
    <row r="81" spans="1:8" ht="14.25" x14ac:dyDescent="0.3">
      <c r="A81" s="31"/>
      <c r="B81" s="35"/>
      <c r="C81" s="36"/>
      <c r="D81" s="25"/>
      <c r="E81" s="25"/>
      <c r="F81" s="25"/>
      <c r="G81" s="25"/>
      <c r="H81" s="25"/>
    </row>
    <row r="82" spans="1:8" ht="14.25" x14ac:dyDescent="0.3">
      <c r="A82" s="31"/>
      <c r="B82" s="35"/>
      <c r="C82" s="36"/>
      <c r="D82" s="25"/>
      <c r="E82" s="25"/>
      <c r="F82" s="25"/>
      <c r="G82" s="25"/>
      <c r="H82" s="25"/>
    </row>
    <row r="83" spans="1:8" ht="14.25" x14ac:dyDescent="0.3">
      <c r="A83" s="31"/>
      <c r="B83" s="35"/>
      <c r="C83" s="36"/>
      <c r="D83" s="25"/>
      <c r="E83" s="25"/>
      <c r="F83" s="25"/>
      <c r="G83" s="25"/>
      <c r="H83" s="25"/>
    </row>
    <row r="84" spans="1:8" ht="14.25" x14ac:dyDescent="0.3">
      <c r="A84" s="31"/>
      <c r="B84" s="35"/>
      <c r="C84" s="36"/>
      <c r="D84" s="25"/>
      <c r="E84" s="25"/>
      <c r="F84" s="25"/>
      <c r="G84" s="25"/>
      <c r="H84" s="25"/>
    </row>
    <row r="85" spans="1:8" ht="14.25" x14ac:dyDescent="0.3">
      <c r="A85" s="31"/>
      <c r="B85" s="35"/>
      <c r="C85" s="36"/>
      <c r="D85" s="25"/>
      <c r="E85" s="25"/>
      <c r="F85" s="25"/>
      <c r="G85" s="25"/>
      <c r="H85" s="25"/>
    </row>
    <row r="86" spans="1:8" ht="14.25" x14ac:dyDescent="0.3">
      <c r="A86" s="31"/>
      <c r="B86" s="35"/>
      <c r="C86" s="36"/>
      <c r="D86" s="25"/>
      <c r="E86" s="25"/>
      <c r="F86" s="25"/>
      <c r="G86" s="25"/>
      <c r="H86" s="25"/>
    </row>
    <row r="87" spans="1:8" ht="14.25" x14ac:dyDescent="0.3">
      <c r="A87" s="31"/>
      <c r="B87" s="35"/>
      <c r="C87" s="36"/>
      <c r="D87" s="25"/>
      <c r="E87" s="25"/>
      <c r="F87" s="25"/>
      <c r="G87" s="25"/>
      <c r="H87" s="25"/>
    </row>
    <row r="88" spans="1:8" ht="14.25" x14ac:dyDescent="0.3">
      <c r="A88" s="31"/>
      <c r="B88" s="35"/>
      <c r="C88" s="36"/>
      <c r="D88" s="25"/>
      <c r="E88" s="25"/>
      <c r="F88" s="25"/>
      <c r="G88" s="25"/>
      <c r="H88" s="25"/>
    </row>
    <row r="89" spans="1:8" ht="14.25" x14ac:dyDescent="0.3">
      <c r="A89" s="31"/>
      <c r="B89" s="35"/>
      <c r="C89" s="36"/>
      <c r="D89" s="25"/>
      <c r="E89" s="25"/>
      <c r="F89" s="25"/>
      <c r="G89" s="25"/>
      <c r="H89" s="25"/>
    </row>
    <row r="90" spans="1:8" ht="14.25" x14ac:dyDescent="0.3">
      <c r="A90" s="31"/>
      <c r="B90" s="35"/>
      <c r="C90" s="36"/>
      <c r="D90" s="25"/>
      <c r="E90" s="25"/>
      <c r="F90" s="25"/>
      <c r="G90" s="25"/>
      <c r="H90" s="25"/>
    </row>
    <row r="91" spans="1:8" ht="14.25" x14ac:dyDescent="0.3">
      <c r="A91" s="31"/>
      <c r="B91" s="35"/>
      <c r="C91" s="36"/>
      <c r="D91" s="25"/>
      <c r="E91" s="25"/>
      <c r="F91" s="25"/>
      <c r="G91" s="25"/>
      <c r="H91" s="25"/>
    </row>
    <row r="92" spans="1:8" ht="14.25" x14ac:dyDescent="0.3">
      <c r="A92" s="31"/>
      <c r="B92" s="35"/>
      <c r="C92" s="36"/>
      <c r="D92" s="25"/>
      <c r="E92" s="25"/>
      <c r="F92" s="25"/>
      <c r="G92" s="25"/>
      <c r="H92" s="25"/>
    </row>
    <row r="93" spans="1:8" ht="14.25" x14ac:dyDescent="0.3">
      <c r="A93" s="31"/>
      <c r="B93" s="35"/>
      <c r="C93" s="36"/>
      <c r="D93" s="25"/>
      <c r="E93" s="25"/>
      <c r="F93" s="25"/>
      <c r="G93" s="25"/>
      <c r="H93" s="25"/>
    </row>
    <row r="94" spans="1:8" ht="14.25" x14ac:dyDescent="0.3">
      <c r="A94" s="31"/>
      <c r="B94" s="35"/>
      <c r="C94" s="36"/>
      <c r="D94" s="25"/>
      <c r="E94" s="25"/>
      <c r="F94" s="25"/>
      <c r="G94" s="25"/>
      <c r="H94" s="25"/>
    </row>
    <row r="95" spans="1:8" ht="14.25" x14ac:dyDescent="0.3">
      <c r="A95" s="31"/>
      <c r="B95" s="35"/>
      <c r="C95" s="36"/>
      <c r="D95" s="25"/>
      <c r="E95" s="25"/>
      <c r="F95" s="25"/>
      <c r="G95" s="25"/>
      <c r="H95" s="25"/>
    </row>
    <row r="96" spans="1:8" ht="14.25" x14ac:dyDescent="0.3">
      <c r="A96" s="31"/>
      <c r="B96" s="35"/>
      <c r="C96" s="36"/>
      <c r="D96" s="25"/>
      <c r="E96" s="25"/>
      <c r="F96" s="25"/>
      <c r="G96" s="25"/>
      <c r="H96" s="25"/>
    </row>
    <row r="97" spans="1:8" ht="14.25" x14ac:dyDescent="0.3">
      <c r="A97" s="31"/>
      <c r="B97" s="35"/>
      <c r="C97" s="36"/>
      <c r="D97" s="25"/>
      <c r="E97" s="25"/>
      <c r="F97" s="25"/>
      <c r="G97" s="25"/>
      <c r="H97" s="25"/>
    </row>
    <row r="98" spans="1:8" ht="14.25" x14ac:dyDescent="0.3">
      <c r="A98" s="31"/>
      <c r="B98" s="35"/>
      <c r="C98" s="36"/>
      <c r="D98" s="25"/>
      <c r="E98" s="25"/>
      <c r="F98" s="25"/>
      <c r="G98" s="25"/>
      <c r="H98" s="25"/>
    </row>
    <row r="99" spans="1:8" ht="14.25" x14ac:dyDescent="0.3">
      <c r="A99" s="31"/>
      <c r="B99" s="35"/>
      <c r="C99" s="36"/>
      <c r="D99" s="25"/>
      <c r="E99" s="25"/>
      <c r="F99" s="25"/>
      <c r="G99" s="25"/>
      <c r="H99" s="25"/>
    </row>
    <row r="100" spans="1:8" ht="14.25" x14ac:dyDescent="0.3">
      <c r="A100" s="31"/>
      <c r="B100" s="35"/>
      <c r="C100" s="36"/>
      <c r="D100" s="25"/>
      <c r="E100" s="25"/>
      <c r="F100" s="25"/>
      <c r="G100" s="25"/>
      <c r="H100" s="25"/>
    </row>
    <row r="101" spans="1:8" ht="14.25" x14ac:dyDescent="0.3">
      <c r="A101" s="31"/>
      <c r="B101" s="35"/>
      <c r="C101" s="36"/>
      <c r="D101" s="25"/>
      <c r="E101" s="25"/>
      <c r="F101" s="25"/>
      <c r="G101" s="25"/>
      <c r="H101" s="25"/>
    </row>
    <row r="102" spans="1:8" ht="14.25" x14ac:dyDescent="0.3">
      <c r="A102" s="31"/>
      <c r="B102" s="35"/>
      <c r="C102" s="36"/>
      <c r="D102" s="25"/>
      <c r="E102" s="25"/>
      <c r="F102" s="25"/>
      <c r="G102" s="25"/>
      <c r="H102" s="25"/>
    </row>
    <row r="103" spans="1:8" ht="14.25" x14ac:dyDescent="0.3">
      <c r="A103" s="31"/>
      <c r="B103" s="35"/>
      <c r="C103" s="36"/>
      <c r="D103" s="25"/>
      <c r="E103" s="25"/>
      <c r="F103" s="25"/>
      <c r="G103" s="25"/>
      <c r="H103" s="25"/>
    </row>
    <row r="104" spans="1:8" ht="14.25" x14ac:dyDescent="0.3">
      <c r="A104" s="31"/>
      <c r="B104" s="35"/>
      <c r="C104" s="36"/>
      <c r="D104" s="25"/>
      <c r="E104" s="25"/>
      <c r="F104" s="25"/>
      <c r="G104" s="25"/>
      <c r="H104" s="25"/>
    </row>
    <row r="105" spans="1:8" ht="14.25" x14ac:dyDescent="0.3">
      <c r="A105" s="31"/>
      <c r="B105" s="35"/>
      <c r="C105" s="36"/>
      <c r="D105" s="25"/>
      <c r="E105" s="25"/>
      <c r="F105" s="25"/>
      <c r="G105" s="25"/>
      <c r="H105" s="25"/>
    </row>
    <row r="106" spans="1:8" ht="14.25" x14ac:dyDescent="0.3">
      <c r="A106" s="31"/>
      <c r="B106" s="35"/>
      <c r="C106" s="36"/>
      <c r="D106" s="25"/>
      <c r="E106" s="25"/>
      <c r="F106" s="25"/>
      <c r="G106" s="25"/>
      <c r="H106" s="25"/>
    </row>
  </sheetData>
  <mergeCells count="13">
    <mergeCell ref="A59:B59"/>
    <mergeCell ref="A37:H37"/>
    <mergeCell ref="B44:E44"/>
    <mergeCell ref="A52:D52"/>
    <mergeCell ref="B53:B54"/>
    <mergeCell ref="C53:C54"/>
    <mergeCell ref="D53:D54"/>
    <mergeCell ref="A36:H36"/>
    <mergeCell ref="A1:H1"/>
    <mergeCell ref="A2:H2"/>
    <mergeCell ref="A3:H3"/>
    <mergeCell ref="A34:H34"/>
    <mergeCell ref="A35:H3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2024-01-01T12:09:08Z</dcterms:created>
  <dcterms:modified xsi:type="dcterms:W3CDTF">2024-01-04T07:58:30Z</dcterms:modified>
</cp:coreProperties>
</file>