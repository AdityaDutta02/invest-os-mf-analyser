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Aggressive Hybrid Fund" sheetId="1" r:id="rId1"/>
  </sheets>
  <definedNames>
    <definedName name="_xlnm._FilterDatabase" localSheetId="0" hidden="1">'JM Aggressive Hybrid Fund'!$A$4:$H$101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Fund'!$A$1:$E$96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5" i="1" l="1"/>
  <c r="D95" i="1"/>
  <c r="D72" i="1"/>
  <c r="E72" i="1"/>
  <c r="D44" i="1"/>
  <c r="E44" i="1"/>
  <c r="E100" i="1" l="1"/>
  <c r="D100" i="1"/>
  <c r="E86" i="1"/>
  <c r="E87" i="1" s="1"/>
  <c r="D86" i="1"/>
  <c r="D87" i="1" s="1"/>
  <c r="E92" i="1"/>
  <c r="D92" i="1"/>
  <c r="E49" i="1"/>
  <c r="D49" i="1"/>
  <c r="E101" i="1" l="1"/>
  <c r="D101" i="1"/>
</calcChain>
</file>

<file path=xl/sharedStrings.xml><?xml version="1.0" encoding="utf-8"?>
<sst xmlns="http://schemas.openxmlformats.org/spreadsheetml/2006/main" count="284" uniqueCount="227">
  <si>
    <t>JM Financial Mutual Fund</t>
  </si>
  <si>
    <t>JM Aggressive Hybrid Fund (An open ended hybrid scheme investing predominantly in equity and equity related instruments.)</t>
  </si>
  <si>
    <t>Name of the Instruments</t>
  </si>
  <si>
    <t>Industry/Rating</t>
  </si>
  <si>
    <t>Market Value (Rs. In Lakhs)</t>
  </si>
  <si>
    <t>% age to NAV</t>
  </si>
  <si>
    <t>ISIN</t>
  </si>
  <si>
    <t>Yield %</t>
  </si>
  <si>
    <t>^YTC (AT1/Tier 2 bonds)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</si>
  <si>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</si>
  <si>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</si>
  <si>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</si>
  <si>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</si>
  <si>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</si>
  <si>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</si>
  <si>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</si>
  <si>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</si>
  <si>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</si>
  <si>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</si>
  <si>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 xml:space="preserve">                                 Benchmark of the scheme - Crisil Hybrid 35+65 Aggressive Index</t>
  </si>
  <si>
    <t>The risk of the scheme is Very High</t>
  </si>
  <si>
    <t xml:space="preserve"> The risk of the benchmark is Very High </t>
  </si>
  <si>
    <t>Equity &amp; Equity related</t>
  </si>
  <si>
    <t>a) Listed / awaiting listing on Stock Exchanges</t>
  </si>
  <si>
    <t>INE009A01021</t>
  </si>
  <si>
    <t>INE296A01024</t>
  </si>
  <si>
    <t>INE040A01034</t>
  </si>
  <si>
    <t>INE917I01010</t>
  </si>
  <si>
    <t>INE397D01024</t>
  </si>
  <si>
    <t>INE090A01021</t>
  </si>
  <si>
    <t>INE020B01018</t>
  </si>
  <si>
    <t>INE797F01020</t>
  </si>
  <si>
    <t>INE758T01015</t>
  </si>
  <si>
    <t>INE044A01036</t>
  </si>
  <si>
    <t>INE102D01028</t>
  </si>
  <si>
    <t>INE669C01036</t>
  </si>
  <si>
    <t>INE794A01010</t>
  </si>
  <si>
    <t>INE00E101023</t>
  </si>
  <si>
    <t>Healthcare Services</t>
  </si>
  <si>
    <t>INE112L01020</t>
  </si>
  <si>
    <t>INE481G01011</t>
  </si>
  <si>
    <t>INE200M01039</t>
  </si>
  <si>
    <t>INE117A01022</t>
  </si>
  <si>
    <t>INE457L01029</t>
  </si>
  <si>
    <t>INE237A01028</t>
  </si>
  <si>
    <t>INE128S01021</t>
  </si>
  <si>
    <t>INE836A01035</t>
  </si>
  <si>
    <t>INE052I01032</t>
  </si>
  <si>
    <t>Construction</t>
  </si>
  <si>
    <t>INE018A01030</t>
  </si>
  <si>
    <t>INE872J01023</t>
  </si>
  <si>
    <t>INE03QK01018</t>
  </si>
  <si>
    <t>INE226A01021</t>
  </si>
  <si>
    <t>INE474Q01031</t>
  </si>
  <si>
    <t>INE804L01022</t>
  </si>
  <si>
    <t>INE350C01017</t>
  </si>
  <si>
    <t>INE551W01018</t>
  </si>
  <si>
    <t>INE777F01014</t>
  </si>
  <si>
    <t>INE191A01027</t>
  </si>
  <si>
    <t>INE106T01025</t>
  </si>
  <si>
    <t>Subtotal</t>
  </si>
  <si>
    <t>(b) UNLISTED</t>
  </si>
  <si>
    <t>NIL</t>
  </si>
  <si>
    <t>Preference Shares</t>
  </si>
  <si>
    <t>Total</t>
  </si>
  <si>
    <t>Debt Instruments</t>
  </si>
  <si>
    <t>(a) Listed / awaiting listing on Stock Exchange</t>
  </si>
  <si>
    <t>6.79% GOI - 07-OCT-2034</t>
  </si>
  <si>
    <t>SOVEREIGN</t>
  </si>
  <si>
    <t>IN0020240126</t>
  </si>
  <si>
    <t>6.92% GOI  18-Nov-2039</t>
  </si>
  <si>
    <t>IN0020240134</t>
  </si>
  <si>
    <t>7.22% Gujarat SDL - 15-JAN-2035</t>
  </si>
  <si>
    <t>IN1520240145</t>
  </si>
  <si>
    <t>7.32% GOI - 13-Nov-2030</t>
  </si>
  <si>
    <t>IN0020230135</t>
  </si>
  <si>
    <t>7.12% Gujarat SDL - 22-JAN-2035</t>
  </si>
  <si>
    <t>IN1520240152</t>
  </si>
  <si>
    <t>7.17% GOI - 17-APR-2030</t>
  </si>
  <si>
    <t>IN0020230036</t>
  </si>
  <si>
    <t>Non Convertible Debentures</t>
  </si>
  <si>
    <t>CRISIL AAA</t>
  </si>
  <si>
    <t>INE556F08KO7</t>
  </si>
  <si>
    <t>INE377Y07375</t>
  </si>
  <si>
    <t>INE040A08666</t>
  </si>
  <si>
    <t>INE115A07QR5</t>
  </si>
  <si>
    <t>ICRA AAA</t>
  </si>
  <si>
    <t>INE020B08FD6</t>
  </si>
  <si>
    <t>INE377Y07433</t>
  </si>
  <si>
    <t>INE071G07637</t>
  </si>
  <si>
    <t>CARE AAA</t>
  </si>
  <si>
    <t>INE020B08FC8</t>
  </si>
  <si>
    <t>INE261F08DR2</t>
  </si>
  <si>
    <t>INE936D07174</t>
  </si>
  <si>
    <t>INE941D07208</t>
  </si>
  <si>
    <t>INE134E08JP5</t>
  </si>
  <si>
    <t>INE040A08922</t>
  </si>
  <si>
    <t>(b) Privately placed / Unlisted</t>
  </si>
  <si>
    <t>(c) Securitised Debt</t>
  </si>
  <si>
    <t>Certificate of Deposits</t>
  </si>
  <si>
    <t>CARE A1+</t>
  </si>
  <si>
    <t>INE160A16QM3</t>
  </si>
  <si>
    <t>Tri Party Repo (TREPs)</t>
  </si>
  <si>
    <t>GRAND TOTAL</t>
  </si>
  <si>
    <t>IT - Software</t>
  </si>
  <si>
    <t>Finance</t>
  </si>
  <si>
    <t>Banks</t>
  </si>
  <si>
    <t>Automobiles</t>
  </si>
  <si>
    <t>Telecom - Services</t>
  </si>
  <si>
    <t>Leisure Services</t>
  </si>
  <si>
    <t>Retailing</t>
  </si>
  <si>
    <t>Pharmaceuticals &amp; Biotechnology</t>
  </si>
  <si>
    <t>Personal Products</t>
  </si>
  <si>
    <t>Food Products</t>
  </si>
  <si>
    <t>Cement &amp; Cement Products</t>
  </si>
  <si>
    <t>Beverages</t>
  </si>
  <si>
    <t>Electrical Equipment</t>
  </si>
  <si>
    <t>Consumer Durables</t>
  </si>
  <si>
    <t>Chemicals &amp; Petrochemicals</t>
  </si>
  <si>
    <t>Telecom - Equipment &amp; Accessories</t>
  </si>
  <si>
    <t>Industrial Products</t>
  </si>
  <si>
    <t>Cash &amp; Cash Equivalents</t>
  </si>
  <si>
    <t>Net Receivable/Payable</t>
  </si>
  <si>
    <t>6.75% GOI 23-Dec-2029</t>
  </si>
  <si>
    <t>IN0020240183</t>
  </si>
  <si>
    <t>CARE AA+</t>
  </si>
  <si>
    <t>INE121A07RH2</t>
  </si>
  <si>
    <t>INE237A163Z0</t>
  </si>
  <si>
    <t>CRISIL A1+</t>
  </si>
  <si>
    <t>CCIL</t>
  </si>
  <si>
    <t>Quantity/Face Value</t>
  </si>
  <si>
    <t>Monthly Portfolio Statement for the period ended 31.03.2025</t>
  </si>
  <si>
    <t>Bajaj Finance Limited</t>
  </si>
  <si>
    <t>HDFC Bank Limited</t>
  </si>
  <si>
    <t>REC Limited</t>
  </si>
  <si>
    <t>Power Grid Corporation of India Limited</t>
  </si>
  <si>
    <t>Power</t>
  </si>
  <si>
    <t>Infosys Limited</t>
  </si>
  <si>
    <t>Bharti Airtel Limited</t>
  </si>
  <si>
    <t>ICICI Bank Limited</t>
  </si>
  <si>
    <t>Bajaj Auto Limited</t>
  </si>
  <si>
    <t>Kotak Mahindra Bank Limited</t>
  </si>
  <si>
    <t>Jubilant Foodworks Limited</t>
  </si>
  <si>
    <t>Voltas Limited</t>
  </si>
  <si>
    <t>Godrej Consumer Products Limited</t>
  </si>
  <si>
    <t>Vedanta Limited</t>
  </si>
  <si>
    <t>Diversified Metals</t>
  </si>
  <si>
    <t>PG Electroplast Limited</t>
  </si>
  <si>
    <t>UltraTech Cement Limited</t>
  </si>
  <si>
    <t>Sun Pharmaceutical Industries Limited</t>
  </si>
  <si>
    <t>Ujjivan Small Finance Bank Limited</t>
  </si>
  <si>
    <t>Varun Beverages Limited</t>
  </si>
  <si>
    <t>Zomato Limited</t>
  </si>
  <si>
    <t>Devyani International Limited</t>
  </si>
  <si>
    <t>Camlin Fine Sciences Limited</t>
  </si>
  <si>
    <t>Neuland Laboratories Ltd</t>
  </si>
  <si>
    <t>Tech Mahindra Limited</t>
  </si>
  <si>
    <t>ABB India Limited</t>
  </si>
  <si>
    <t>Suven Pharmaceuticals Ltd</t>
  </si>
  <si>
    <t>GLOBAL HEALTH LIMITED</t>
  </si>
  <si>
    <t>BIKAJI FOODS INTERNATIONAL LIMITED</t>
  </si>
  <si>
    <t>Larsen &amp; Toubro Limited</t>
  </si>
  <si>
    <t>FIVE-STAR BUSINESS FINANCE LIMITED</t>
  </si>
  <si>
    <t>Metropolis Healthcare Limited</t>
  </si>
  <si>
    <t>Tata Motors Limited</t>
  </si>
  <si>
    <t>MEDPLUS HEALTH SERVICES LIMITED</t>
  </si>
  <si>
    <t>Hi-Tech Pipes Limited</t>
  </si>
  <si>
    <t>Birlasoft Ltd</t>
  </si>
  <si>
    <t>OPTIEMUS INFRACOM LIMITED</t>
  </si>
  <si>
    <t>Orchid Pharma Limited</t>
  </si>
  <si>
    <t>Exicom Tele-Systems Limited</t>
  </si>
  <si>
    <t>INE752E01010</t>
  </si>
  <si>
    <t>INE205A01025</t>
  </si>
  <si>
    <t>INE155A01022</t>
  </si>
  <si>
    <t>7.68% SIDBI 09-JUL-2027**</t>
  </si>
  <si>
    <t>7.9237% Bajaj Housing Finance Ltd 16-MAR-2026**</t>
  </si>
  <si>
    <t>7.8% HDFC Bank Limited 03-MAY-2033**</t>
  </si>
  <si>
    <t>7.68% LIC Housing Finance Limited 29-MAY-2034</t>
  </si>
  <si>
    <t>7.58% REC Limited 31-MAY-2029**</t>
  </si>
  <si>
    <t>7.85% Bajaj Housing Finance Ltd 01-SEP-2028**</t>
  </si>
  <si>
    <t>8.061% ICICI Home Finance Company Limited 25-MAR-2026**</t>
  </si>
  <si>
    <t>7.7% REC Limited 31-AUG-2026**</t>
  </si>
  <si>
    <t>7.2% NABARD 23-SEP-2025**</t>
  </si>
  <si>
    <t>6.4% Jamnagar Utilities &amp; Power Pvt Ltd 29-SEP-2026**</t>
  </si>
  <si>
    <t>7.645% LIC Housing Finance Limited 21-FEB-2030**</t>
  </si>
  <si>
    <t>7.45% REC Limited 31-AUG-2035**</t>
  </si>
  <si>
    <t>7.2% Power Finance Corporation Limited 10-AUG-2035**</t>
  </si>
  <si>
    <t>7.15% Indian Railway Finance Corporation Ltd 27-DEC-2034**</t>
  </si>
  <si>
    <t>6.75% Sikka Ports &amp; Terminals Limited 22-APR-2026**</t>
  </si>
  <si>
    <t>7.85% Power Finance Corporation Limited 03-APR-2028**</t>
  </si>
  <si>
    <t>8.25% Cholamandalam Invest &amp; Finance Co Ltd 09-JUN-2025**</t>
  </si>
  <si>
    <t>7.8% HDFC Bank Limited 02-JUN-2025**</t>
  </si>
  <si>
    <t>INE115A07RD3</t>
  </si>
  <si>
    <t>INE020B08FG9</t>
  </si>
  <si>
    <t>INE134E08LA3</t>
  </si>
  <si>
    <t>INE053F08452</t>
  </si>
  <si>
    <t>7.3%</t>
  </si>
  <si>
    <t>7.45%</t>
  </si>
  <si>
    <t>7.35%</t>
  </si>
  <si>
    <t>7.39%</t>
  </si>
  <si>
    <t>7.15%</t>
  </si>
  <si>
    <t>7.54%</t>
  </si>
  <si>
    <t>7.47%</t>
  </si>
  <si>
    <t>7.26%</t>
  </si>
  <si>
    <t>7.65%</t>
  </si>
  <si>
    <t>7.46%</t>
  </si>
  <si>
    <t>7.13%</t>
  </si>
  <si>
    <t>7.1%</t>
  </si>
  <si>
    <t>7.08%</t>
  </si>
  <si>
    <t>7.66%</t>
  </si>
  <si>
    <t>7.24%</t>
  </si>
  <si>
    <t>7.67%</t>
  </si>
  <si>
    <t>7.6%</t>
  </si>
  <si>
    <t>7.16%</t>
  </si>
  <si>
    <t>7.19%</t>
  </si>
  <si>
    <t>(d) Government Securities / SDL</t>
  </si>
  <si>
    <t>7.37% GOI - 23-OCT-2028</t>
  </si>
  <si>
    <t>IN0020230101</t>
  </si>
  <si>
    <t>6.69%</t>
  </si>
  <si>
    <t>6.58%</t>
  </si>
  <si>
    <t>6.94%</t>
  </si>
  <si>
    <t>6.49%</t>
  </si>
  <si>
    <t>6.44%</t>
  </si>
  <si>
    <t>6.45%</t>
  </si>
  <si>
    <t>Kotak Mahindra Bank Limited 28-JAN-2026**</t>
  </si>
  <si>
    <t>Punjab National Bank 05-DEC-2025**</t>
  </si>
  <si>
    <t>Note - Traded Securities (Debt) as on March 28,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</si>
</sst>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5"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
      <sz val="10"/>
      <name val="Arial"/>
      <family val="2"/>
    </font>
    <font>
      <b/>
      <sz val="10"/>
      <name val="Tahoma"/>
      <family val="2"/>
    </font>
    <font>
      <b/>
      <sz val="10"/>
      <color indexed="72"/>
      <name val="Tahoma"/>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2" fillId="0" borderId="0" applyFont="0" applyFill="0" applyBorder="0" applyAlignment="0" applyProtection="0"/>
  </cellStyleXfs>
  <cellXfs count="61">
    <xf numFmtId="0" fontId="0" fillId="0" borderId="0" xfId="0"/>
    <xf numFmtId="0" fontId="3" fillId="0" borderId="0" xfId="0" applyFont="1"/>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Border="1" applyAlignment="1">
      <alignment horizontal="left" wrapText="1"/>
    </xf>
    <xf numFmtId="0" fontId="5" fillId="0" borderId="3" xfId="0" applyFont="1" applyBorder="1" applyAlignment="1">
      <alignment horizontal="center" wrapText="1"/>
    </xf>
    <xf numFmtId="165" fontId="5" fillId="0" borderId="3" xfId="1" applyNumberFormat="1" applyFont="1" applyFill="1" applyBorder="1" applyAlignment="1">
      <alignment horizontal="center"/>
    </xf>
    <xf numFmtId="0" fontId="4" fillId="0" borderId="3" xfId="0" applyFont="1" applyBorder="1" applyAlignment="1">
      <alignment horizontal="center" wrapText="1"/>
    </xf>
    <xf numFmtId="0" fontId="5" fillId="0" borderId="3" xfId="0" applyFont="1" applyBorder="1" applyAlignment="1">
      <alignment horizontal="center"/>
    </xf>
    <xf numFmtId="0" fontId="5" fillId="0" borderId="3" xfId="0" applyFont="1" applyBorder="1"/>
    <xf numFmtId="166" fontId="5" fillId="0" borderId="3" xfId="0" applyNumberFormat="1" applyFont="1" applyBorder="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right"/>
    </xf>
    <xf numFmtId="0" fontId="5" fillId="0" borderId="0" xfId="0" applyFont="1"/>
    <xf numFmtId="0" fontId="5" fillId="0" borderId="0" xfId="2" applyFont="1" applyAlignment="1">
      <alignment wrapText="1"/>
    </xf>
    <xf numFmtId="0" fontId="4" fillId="0" borderId="0" xfId="2" applyFont="1" applyAlignment="1">
      <alignment horizontal="left" wrapText="1"/>
    </xf>
    <xf numFmtId="0" fontId="5" fillId="0" borderId="0" xfId="2" applyFont="1" applyAlignment="1">
      <alignment horizontal="right"/>
    </xf>
    <xf numFmtId="0" fontId="5" fillId="0" borderId="0" xfId="2" applyFont="1"/>
    <xf numFmtId="0" fontId="8" fillId="0" borderId="0" xfId="4" applyFont="1" applyAlignment="1">
      <alignment horizontal="left" vertical="top" wrapText="1"/>
    </xf>
    <xf numFmtId="0" fontId="9" fillId="0" borderId="0" xfId="5" applyFont="1"/>
    <xf numFmtId="0" fontId="10" fillId="0" borderId="0" xfId="2" applyFont="1" applyAlignment="1">
      <alignment horizontal="left" wrapText="1"/>
    </xf>
    <xf numFmtId="0" fontId="7" fillId="0" borderId="0" xfId="5" applyFont="1"/>
    <xf numFmtId="0" fontId="7" fillId="0" borderId="0" xfId="2" applyFont="1" applyAlignment="1">
      <alignment vertical="top"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4" fillId="0" borderId="0" xfId="2" applyFont="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2" applyFont="1"/>
    <xf numFmtId="0" fontId="11" fillId="0" borderId="0" xfId="2" applyFont="1" applyAlignment="1">
      <alignment horizontal="center" wrapText="1"/>
    </xf>
    <xf numFmtId="0" fontId="3" fillId="0" borderId="0" xfId="0" applyFont="1" applyAlignment="1">
      <alignment wrapText="1"/>
    </xf>
    <xf numFmtId="0" fontId="3" fillId="0" borderId="0" xfId="0" applyFont="1" applyAlignment="1">
      <alignment horizontal="left" wrapText="1"/>
    </xf>
    <xf numFmtId="10" fontId="4" fillId="0" borderId="3" xfId="0" applyNumberFormat="1" applyFont="1" applyBorder="1" applyAlignment="1">
      <alignment horizontal="center" wrapText="1"/>
    </xf>
    <xf numFmtId="0" fontId="5" fillId="0" borderId="3" xfId="0" applyFont="1" applyBorder="1" applyAlignment="1">
      <alignment horizontal="left" wrapText="1"/>
    </xf>
    <xf numFmtId="10" fontId="5" fillId="0" borderId="3" xfId="0" applyNumberFormat="1" applyFont="1" applyBorder="1" applyAlignment="1">
      <alignment horizontal="center" wrapText="1"/>
    </xf>
    <xf numFmtId="4" fontId="5" fillId="0" borderId="3" xfId="0" applyNumberFormat="1" applyFont="1" applyBorder="1" applyAlignment="1">
      <alignment horizontal="center" wrapText="1"/>
    </xf>
    <xf numFmtId="4" fontId="4" fillId="0" borderId="3" xfId="0" applyNumberFormat="1" applyFont="1" applyBorder="1" applyAlignment="1">
      <alignment horizontal="center" wrapText="1"/>
    </xf>
    <xf numFmtId="167" fontId="5" fillId="0" borderId="3" xfId="0" applyNumberFormat="1" applyFont="1" applyBorder="1"/>
    <xf numFmtId="0" fontId="4" fillId="0" borderId="3" xfId="2" applyFont="1" applyBorder="1" applyAlignment="1">
      <alignment wrapText="1"/>
    </xf>
    <xf numFmtId="0" fontId="5" fillId="0" borderId="3" xfId="2" applyFont="1" applyBorder="1" applyAlignment="1">
      <alignment wrapText="1"/>
    </xf>
    <xf numFmtId="10" fontId="4" fillId="0" borderId="3" xfId="7" applyNumberFormat="1" applyFont="1" applyBorder="1" applyAlignment="1">
      <alignment horizontal="center" wrapText="1"/>
    </xf>
    <xf numFmtId="10" fontId="5" fillId="0" borderId="3" xfId="0" applyNumberFormat="1" applyFont="1" applyBorder="1"/>
    <xf numFmtId="0" fontId="13" fillId="0" borderId="3" xfId="0" applyFont="1" applyBorder="1" applyAlignment="1">
      <alignment horizontal="left" vertical="top" wrapText="1"/>
    </xf>
    <xf numFmtId="0" fontId="14" fillId="0" borderId="3" xfId="0" applyFont="1" applyBorder="1" applyAlignment="1">
      <alignment horizontal="left" vertical="top"/>
    </xf>
    <xf numFmtId="10" fontId="5" fillId="0" borderId="3" xfId="0" applyNumberFormat="1" applyFont="1" applyBorder="1" applyAlignment="1">
      <alignment horizontal="left"/>
    </xf>
    <xf numFmtId="167" fontId="5" fillId="0" borderId="3" xfId="0" applyNumberFormat="1" applyFont="1" applyBorder="1" applyAlignment="1">
      <alignment horizontal="left"/>
    </xf>
    <xf numFmtId="0" fontId="7" fillId="0" borderId="0" xfId="6" applyFont="1" applyBorder="1"/>
    <xf numFmtId="0" fontId="8" fillId="0" borderId="0" xfId="4" applyFont="1" applyAlignment="1">
      <alignment horizontal="left" vertical="top" wrapText="1"/>
    </xf>
    <xf numFmtId="0" fontId="11" fillId="0" borderId="0" xfId="2" applyFont="1" applyAlignment="1">
      <alignment horizontal="center"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Alignment="1">
      <alignment horizontal="left" vertical="top"/>
    </xf>
  </cellXfs>
  <cellStyles count="8">
    <cellStyle name="Comma" xfId="1" builtinId="3"/>
    <cellStyle name="Normal" xfId="0" builtinId="0"/>
    <cellStyle name="Normal 2 2 2" xfId="2"/>
    <cellStyle name="Normal 2 3 2" xfId="3"/>
    <cellStyle name="Normal 4_BF" xfId="5"/>
    <cellStyle name="Normal 4_IF" xfId="6"/>
    <cellStyle name="Normal 4_LD" xfId="4"/>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847725</xdr:colOff>
      <xdr:row>117</xdr:row>
      <xdr:rowOff>76200</xdr:rowOff>
    </xdr:from>
    <xdr:to>
      <xdr:col>0</xdr:col>
      <xdr:colOff>3362325</xdr:colOff>
      <xdr:row>126</xdr:row>
      <xdr:rowOff>76200</xdr:rowOff>
    </xdr:to>
    <xdr:pic>
      <xdr:nvPicPr>
        <xdr:cNvPr id="2" name="Picture 5">
          <a:extLst>
            <a:ext uri="{FF2B5EF4-FFF2-40B4-BE49-F238E27FC236}">
              <a16:creationId xmlns:a16="http://schemas.microsoft.com/office/drawing/2014/main" id="{282D7D14-2D13-47B4-8FA9-E6F87398B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7725" y="20002500"/>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1104900</xdr:colOff>
      <xdr:row>117</xdr:row>
      <xdr:rowOff>57150</xdr:rowOff>
    </xdr:from>
    <xdr:to>
      <xdr:col>3</xdr:col>
      <xdr:colOff>171450</xdr:colOff>
      <xdr:row>126</xdr:row>
      <xdr:rowOff>57150</xdr:rowOff>
    </xdr:to>
    <xdr:pic>
      <xdr:nvPicPr>
        <xdr:cNvPr id="3" name="Picture 6">
          <a:extLst>
            <a:ext uri="{FF2B5EF4-FFF2-40B4-BE49-F238E27FC236}">
              <a16:creationId xmlns:a16="http://schemas.microsoft.com/office/drawing/2014/main" id="{D08BA988-EE13-427F-B3BF-4B2E3F0EDE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29300" y="2141220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29"/>
  <sheetViews>
    <sheetView tabSelected="1" topLeftCell="A109" zoomScaleNormal="100" workbookViewId="0">
      <selection activeCell="A122" sqref="A122"/>
    </sheetView>
  </sheetViews>
  <sheetFormatPr defaultColWidth="9.140625" defaultRowHeight="12.75" x14ac:dyDescent="0.2"/>
  <cols>
    <col min="1" max="1" width="70.85546875" style="38" customWidth="1"/>
    <col min="2" max="2" width="34.42578125" style="39" customWidth="1"/>
    <col min="3" max="3" width="17.28515625" style="35" customWidth="1"/>
    <col min="4" max="4" width="14.5703125" style="1" customWidth="1"/>
    <col min="5" max="5" width="9.85546875" style="1" customWidth="1"/>
    <col min="6" max="6" width="16.28515625" style="1" customWidth="1"/>
    <col min="7" max="7" width="9.5703125" style="1" bestFit="1" customWidth="1"/>
    <col min="8" max="8" width="12.28515625" style="1" customWidth="1"/>
    <col min="9" max="16384" width="9.140625" style="1"/>
  </cols>
  <sheetData>
    <row r="1" spans="1:8" x14ac:dyDescent="0.2">
      <c r="A1" s="57" t="s">
        <v>0</v>
      </c>
      <c r="B1" s="57"/>
      <c r="C1" s="57"/>
      <c r="D1" s="57"/>
      <c r="E1" s="57"/>
      <c r="F1" s="57"/>
      <c r="G1" s="57"/>
      <c r="H1" s="57"/>
    </row>
    <row r="2" spans="1:8" x14ac:dyDescent="0.2">
      <c r="A2" s="57" t="s">
        <v>1</v>
      </c>
      <c r="B2" s="57"/>
      <c r="C2" s="57"/>
      <c r="D2" s="57"/>
      <c r="E2" s="57"/>
      <c r="F2" s="57"/>
      <c r="G2" s="57"/>
      <c r="H2" s="57"/>
    </row>
    <row r="3" spans="1:8" x14ac:dyDescent="0.2">
      <c r="A3" s="58" t="s">
        <v>131</v>
      </c>
      <c r="B3" s="58"/>
      <c r="C3" s="58"/>
      <c r="D3" s="58"/>
      <c r="E3" s="58"/>
      <c r="F3" s="58"/>
      <c r="G3" s="58"/>
      <c r="H3" s="58"/>
    </row>
    <row r="4" spans="1:8" s="5" customFormat="1" ht="25.5" x14ac:dyDescent="0.2">
      <c r="A4" s="2" t="s">
        <v>2</v>
      </c>
      <c r="B4" s="3" t="s">
        <v>3</v>
      </c>
      <c r="C4" s="4" t="s">
        <v>130</v>
      </c>
      <c r="D4" s="2" t="s">
        <v>4</v>
      </c>
      <c r="E4" s="2" t="s">
        <v>5</v>
      </c>
      <c r="F4" s="2" t="s">
        <v>6</v>
      </c>
      <c r="G4" s="2" t="s">
        <v>7</v>
      </c>
      <c r="H4" s="2" t="s">
        <v>8</v>
      </c>
    </row>
    <row r="5" spans="1:8" ht="14.25" x14ac:dyDescent="0.3">
      <c r="A5" s="6" t="s">
        <v>22</v>
      </c>
      <c r="B5" s="7"/>
      <c r="C5" s="8"/>
      <c r="D5" s="9"/>
      <c r="E5" s="9"/>
      <c r="F5" s="10"/>
      <c r="G5" s="11"/>
      <c r="H5" s="12"/>
    </row>
    <row r="6" spans="1:8" ht="14.25" x14ac:dyDescent="0.3">
      <c r="A6" s="6" t="s">
        <v>23</v>
      </c>
      <c r="B6" s="7"/>
      <c r="C6" s="8"/>
      <c r="D6" s="9"/>
      <c r="E6" s="9"/>
      <c r="F6" s="10"/>
      <c r="G6" s="11"/>
      <c r="H6" s="12"/>
    </row>
    <row r="7" spans="1:8" ht="14.25" x14ac:dyDescent="0.3">
      <c r="A7" s="41" t="s">
        <v>132</v>
      </c>
      <c r="B7" s="41" t="s">
        <v>105</v>
      </c>
      <c r="C7" s="8">
        <v>52504</v>
      </c>
      <c r="D7" s="43">
        <v>4696.7978240000002</v>
      </c>
      <c r="E7" s="42">
        <v>6.117866600625025E-2</v>
      </c>
      <c r="F7" s="10" t="s">
        <v>25</v>
      </c>
      <c r="G7" s="11"/>
      <c r="H7" s="12"/>
    </row>
    <row r="8" spans="1:8" ht="14.25" x14ac:dyDescent="0.3">
      <c r="A8" s="41" t="s">
        <v>133</v>
      </c>
      <c r="B8" s="41" t="s">
        <v>106</v>
      </c>
      <c r="C8" s="8">
        <v>192000</v>
      </c>
      <c r="D8" s="43">
        <v>3510.1439999999998</v>
      </c>
      <c r="E8" s="42">
        <v>4.5721773739657412E-2</v>
      </c>
      <c r="F8" s="10" t="s">
        <v>26</v>
      </c>
      <c r="G8" s="11"/>
      <c r="H8" s="12"/>
    </row>
    <row r="9" spans="1:8" ht="14.25" x14ac:dyDescent="0.3">
      <c r="A9" s="41" t="s">
        <v>134</v>
      </c>
      <c r="B9" s="41" t="s">
        <v>105</v>
      </c>
      <c r="C9" s="8">
        <v>680500</v>
      </c>
      <c r="D9" s="43">
        <v>2920.7060000000001</v>
      </c>
      <c r="E9" s="42">
        <v>3.8043983065099277E-2</v>
      </c>
      <c r="F9" s="10" t="s">
        <v>30</v>
      </c>
      <c r="G9" s="11"/>
      <c r="H9" s="12"/>
    </row>
    <row r="10" spans="1:8" ht="14.25" x14ac:dyDescent="0.3">
      <c r="A10" s="41" t="s">
        <v>135</v>
      </c>
      <c r="B10" s="41" t="s">
        <v>136</v>
      </c>
      <c r="C10" s="8">
        <v>1000000</v>
      </c>
      <c r="D10" s="43">
        <v>2903.5</v>
      </c>
      <c r="E10" s="42">
        <v>3.781986438536291E-2</v>
      </c>
      <c r="F10" s="10" t="s">
        <v>171</v>
      </c>
      <c r="G10" s="11"/>
      <c r="H10" s="12"/>
    </row>
    <row r="11" spans="1:8" ht="14.25" x14ac:dyDescent="0.3">
      <c r="A11" s="41" t="s">
        <v>137</v>
      </c>
      <c r="B11" s="41" t="s">
        <v>104</v>
      </c>
      <c r="C11" s="8">
        <v>180000</v>
      </c>
      <c r="D11" s="43">
        <v>2827.17</v>
      </c>
      <c r="E11" s="42">
        <v>3.6825619422891837E-2</v>
      </c>
      <c r="F11" s="10" t="s">
        <v>24</v>
      </c>
      <c r="G11" s="11"/>
      <c r="H11" s="12"/>
    </row>
    <row r="12" spans="1:8" ht="14.25" x14ac:dyDescent="0.3">
      <c r="A12" s="41" t="s">
        <v>138</v>
      </c>
      <c r="B12" s="41" t="s">
        <v>108</v>
      </c>
      <c r="C12" s="8">
        <v>150000</v>
      </c>
      <c r="D12" s="43">
        <v>2600.1</v>
      </c>
      <c r="E12" s="42">
        <v>3.3867893710481177E-2</v>
      </c>
      <c r="F12" s="10" t="s">
        <v>28</v>
      </c>
      <c r="G12" s="11"/>
      <c r="H12" s="12"/>
    </row>
    <row r="13" spans="1:8" ht="14.25" x14ac:dyDescent="0.3">
      <c r="A13" s="41" t="s">
        <v>139</v>
      </c>
      <c r="B13" s="41" t="s">
        <v>106</v>
      </c>
      <c r="C13" s="8">
        <v>180114</v>
      </c>
      <c r="D13" s="43">
        <v>2428.5671189999998</v>
      </c>
      <c r="E13" s="42">
        <v>3.1633572960679007E-2</v>
      </c>
      <c r="F13" s="10" t="s">
        <v>29</v>
      </c>
      <c r="G13" s="11"/>
      <c r="H13" s="12"/>
    </row>
    <row r="14" spans="1:8" ht="14.25" x14ac:dyDescent="0.3">
      <c r="A14" s="41" t="s">
        <v>140</v>
      </c>
      <c r="B14" s="41" t="s">
        <v>107</v>
      </c>
      <c r="C14" s="8">
        <v>26280</v>
      </c>
      <c r="D14" s="43">
        <v>2070.56178</v>
      </c>
      <c r="E14" s="42">
        <v>2.6970334327919968E-2</v>
      </c>
      <c r="F14" s="10" t="s">
        <v>27</v>
      </c>
      <c r="G14" s="11"/>
      <c r="H14" s="12"/>
    </row>
    <row r="15" spans="1:8" ht="14.25" x14ac:dyDescent="0.3">
      <c r="A15" s="41" t="s">
        <v>141</v>
      </c>
      <c r="B15" s="41" t="s">
        <v>106</v>
      </c>
      <c r="C15" s="8">
        <v>90000</v>
      </c>
      <c r="D15" s="43">
        <v>1954.08</v>
      </c>
      <c r="E15" s="42">
        <v>2.545308785884276E-2</v>
      </c>
      <c r="F15" s="10" t="s">
        <v>44</v>
      </c>
      <c r="G15" s="11"/>
      <c r="H15" s="12"/>
    </row>
    <row r="16" spans="1:8" ht="14.25" x14ac:dyDescent="0.3">
      <c r="A16" s="41" t="s">
        <v>142</v>
      </c>
      <c r="B16" s="41" t="s">
        <v>109</v>
      </c>
      <c r="C16" s="8">
        <v>285000</v>
      </c>
      <c r="D16" s="43">
        <v>1893.3975</v>
      </c>
      <c r="E16" s="42">
        <v>2.4662661159836462E-2</v>
      </c>
      <c r="F16" s="10" t="s">
        <v>31</v>
      </c>
      <c r="G16" s="11"/>
      <c r="H16" s="12"/>
    </row>
    <row r="17" spans="1:8" ht="14.25" x14ac:dyDescent="0.3">
      <c r="A17" s="41" t="s">
        <v>143</v>
      </c>
      <c r="B17" s="41" t="s">
        <v>117</v>
      </c>
      <c r="C17" s="8">
        <v>125000</v>
      </c>
      <c r="D17" s="43">
        <v>1823.375</v>
      </c>
      <c r="E17" s="42">
        <v>2.3750575244932355E-2</v>
      </c>
      <c r="F17" s="10" t="s">
        <v>52</v>
      </c>
      <c r="G17" s="11"/>
      <c r="H17" s="12"/>
    </row>
    <row r="18" spans="1:8" ht="14.25" x14ac:dyDescent="0.3">
      <c r="A18" s="41" t="s">
        <v>144</v>
      </c>
      <c r="B18" s="41" t="s">
        <v>112</v>
      </c>
      <c r="C18" s="8">
        <v>150000</v>
      </c>
      <c r="D18" s="43">
        <v>1738.875</v>
      </c>
      <c r="E18" s="42">
        <v>2.2649911032580652E-2</v>
      </c>
      <c r="F18" s="10" t="s">
        <v>34</v>
      </c>
      <c r="G18" s="11"/>
      <c r="H18" s="12"/>
    </row>
    <row r="19" spans="1:8" ht="14.25" x14ac:dyDescent="0.3">
      <c r="A19" s="41" t="s">
        <v>145</v>
      </c>
      <c r="B19" s="41" t="s">
        <v>146</v>
      </c>
      <c r="C19" s="8">
        <v>375000</v>
      </c>
      <c r="D19" s="43">
        <v>1737.75</v>
      </c>
      <c r="E19" s="42">
        <v>2.26352572191026E-2</v>
      </c>
      <c r="F19" s="10" t="s">
        <v>172</v>
      </c>
      <c r="G19" s="45"/>
      <c r="H19" s="12"/>
    </row>
    <row r="20" spans="1:8" ht="14.25" x14ac:dyDescent="0.3">
      <c r="A20" s="41" t="s">
        <v>147</v>
      </c>
      <c r="B20" s="41" t="s">
        <v>117</v>
      </c>
      <c r="C20" s="8">
        <v>177136</v>
      </c>
      <c r="D20" s="43">
        <v>1623.6285760000001</v>
      </c>
      <c r="E20" s="42">
        <v>2.1148755831417218E-2</v>
      </c>
      <c r="F20" s="10" t="s">
        <v>43</v>
      </c>
      <c r="G20" s="45"/>
      <c r="H20" s="12"/>
    </row>
    <row r="21" spans="1:8" ht="14.25" x14ac:dyDescent="0.3">
      <c r="A21" s="41" t="s">
        <v>148</v>
      </c>
      <c r="B21" s="41" t="s">
        <v>114</v>
      </c>
      <c r="C21" s="8">
        <v>14000</v>
      </c>
      <c r="D21" s="43">
        <v>1611.337</v>
      </c>
      <c r="E21" s="42">
        <v>2.098865053181247E-2</v>
      </c>
      <c r="F21" s="10" t="s">
        <v>40</v>
      </c>
      <c r="G21" s="45"/>
      <c r="H21" s="12"/>
    </row>
    <row r="22" spans="1:8" ht="14.25" x14ac:dyDescent="0.3">
      <c r="A22" s="41" t="s">
        <v>149</v>
      </c>
      <c r="B22" s="41" t="s">
        <v>111</v>
      </c>
      <c r="C22" s="8">
        <v>86500</v>
      </c>
      <c r="D22" s="43">
        <v>1500.5155</v>
      </c>
      <c r="E22" s="42">
        <v>1.9545132673716211E-2</v>
      </c>
      <c r="F22" s="10" t="s">
        <v>33</v>
      </c>
      <c r="G22" s="45"/>
      <c r="H22" s="12"/>
    </row>
    <row r="23" spans="1:8" ht="14.25" x14ac:dyDescent="0.3">
      <c r="A23" s="41" t="s">
        <v>150</v>
      </c>
      <c r="B23" s="41" t="s">
        <v>106</v>
      </c>
      <c r="C23" s="8">
        <v>4276466</v>
      </c>
      <c r="D23" s="43">
        <v>1471.5319506000001</v>
      </c>
      <c r="E23" s="42">
        <v>1.9167604205414343E-2</v>
      </c>
      <c r="F23" s="10" t="s">
        <v>56</v>
      </c>
      <c r="G23" s="45"/>
      <c r="H23" s="12"/>
    </row>
    <row r="24" spans="1:8" ht="14.25" x14ac:dyDescent="0.3">
      <c r="A24" s="41" t="s">
        <v>151</v>
      </c>
      <c r="B24" s="41" t="s">
        <v>115</v>
      </c>
      <c r="C24" s="8">
        <v>260000</v>
      </c>
      <c r="D24" s="43">
        <v>1403.09</v>
      </c>
      <c r="E24" s="42">
        <v>1.8276105913710639E-2</v>
      </c>
      <c r="F24" s="10" t="s">
        <v>41</v>
      </c>
      <c r="G24" s="45"/>
      <c r="H24" s="12"/>
    </row>
    <row r="25" spans="1:8" ht="14.25" x14ac:dyDescent="0.3">
      <c r="A25" s="41" t="s">
        <v>152</v>
      </c>
      <c r="B25" s="41" t="s">
        <v>110</v>
      </c>
      <c r="C25" s="8">
        <v>635000</v>
      </c>
      <c r="D25" s="43">
        <v>1280.7950000000001</v>
      </c>
      <c r="E25" s="42">
        <v>1.6683138696556184E-2</v>
      </c>
      <c r="F25" s="10" t="s">
        <v>32</v>
      </c>
      <c r="G25" s="45"/>
      <c r="H25" s="12"/>
    </row>
    <row r="26" spans="1:8" ht="14.25" x14ac:dyDescent="0.3">
      <c r="A26" s="41" t="s">
        <v>153</v>
      </c>
      <c r="B26" s="41" t="s">
        <v>109</v>
      </c>
      <c r="C26" s="8">
        <v>842359</v>
      </c>
      <c r="D26" s="43">
        <v>1256.2942126</v>
      </c>
      <c r="E26" s="42">
        <v>1.636400094666722E-2</v>
      </c>
      <c r="F26" s="10" t="s">
        <v>50</v>
      </c>
      <c r="G26" s="45"/>
      <c r="H26" s="12"/>
    </row>
    <row r="27" spans="1:8" ht="14.25" x14ac:dyDescent="0.3">
      <c r="A27" s="41" t="s">
        <v>154</v>
      </c>
      <c r="B27" s="41" t="s">
        <v>118</v>
      </c>
      <c r="C27" s="8">
        <v>746343</v>
      </c>
      <c r="D27" s="43">
        <v>1251.9903824999999</v>
      </c>
      <c r="E27" s="42">
        <v>1.6307940925754653E-2</v>
      </c>
      <c r="F27" s="10" t="s">
        <v>47</v>
      </c>
      <c r="G27" s="45"/>
      <c r="H27" s="12"/>
    </row>
    <row r="28" spans="1:8" ht="14.25" x14ac:dyDescent="0.3">
      <c r="A28" s="41" t="s">
        <v>155</v>
      </c>
      <c r="B28" s="41" t="s">
        <v>111</v>
      </c>
      <c r="C28" s="8">
        <v>9500</v>
      </c>
      <c r="D28" s="43">
        <v>1146.7972500000001</v>
      </c>
      <c r="E28" s="42">
        <v>1.4937735998797011E-2</v>
      </c>
      <c r="F28" s="10" t="s">
        <v>36</v>
      </c>
      <c r="G28" s="45"/>
      <c r="H28" s="12"/>
    </row>
    <row r="29" spans="1:8" ht="14.25" x14ac:dyDescent="0.3">
      <c r="A29" s="41" t="s">
        <v>156</v>
      </c>
      <c r="B29" s="41" t="s">
        <v>104</v>
      </c>
      <c r="C29" s="8">
        <v>80000</v>
      </c>
      <c r="D29" s="43">
        <v>1134.5999999999999</v>
      </c>
      <c r="E29" s="42">
        <v>1.4778859353067938E-2</v>
      </c>
      <c r="F29" s="10" t="s">
        <v>35</v>
      </c>
      <c r="G29" s="45"/>
      <c r="H29" s="12"/>
    </row>
    <row r="30" spans="1:8" ht="14.25" x14ac:dyDescent="0.3">
      <c r="A30" s="41" t="s">
        <v>157</v>
      </c>
      <c r="B30" s="41" t="s">
        <v>116</v>
      </c>
      <c r="C30" s="8">
        <v>20000</v>
      </c>
      <c r="D30" s="43">
        <v>1109.25</v>
      </c>
      <c r="E30" s="42">
        <v>1.4448660089362426E-2</v>
      </c>
      <c r="F30" s="10" t="s">
        <v>42</v>
      </c>
      <c r="G30" s="45"/>
      <c r="H30" s="12"/>
    </row>
    <row r="31" spans="1:8" ht="14.25" x14ac:dyDescent="0.3">
      <c r="A31" s="41" t="s">
        <v>158</v>
      </c>
      <c r="B31" s="41" t="s">
        <v>111</v>
      </c>
      <c r="C31" s="8">
        <v>93248</v>
      </c>
      <c r="D31" s="43">
        <v>1073.28448</v>
      </c>
      <c r="E31" s="42">
        <v>1.3980187181165747E-2</v>
      </c>
      <c r="F31" s="10" t="s">
        <v>51</v>
      </c>
      <c r="G31" s="45"/>
      <c r="H31" s="12"/>
    </row>
    <row r="32" spans="1:8" ht="14.25" x14ac:dyDescent="0.3">
      <c r="A32" s="41" t="s">
        <v>159</v>
      </c>
      <c r="B32" s="41" t="s">
        <v>38</v>
      </c>
      <c r="C32" s="8">
        <v>89552</v>
      </c>
      <c r="D32" s="43">
        <v>1073.1016159999999</v>
      </c>
      <c r="E32" s="42">
        <v>1.3977805265656547E-2</v>
      </c>
      <c r="F32" s="10" t="s">
        <v>53</v>
      </c>
      <c r="G32" s="45"/>
      <c r="H32" s="12"/>
    </row>
    <row r="33" spans="1:8" ht="14.25" x14ac:dyDescent="0.3">
      <c r="A33" s="41" t="s">
        <v>160</v>
      </c>
      <c r="B33" s="41" t="s">
        <v>113</v>
      </c>
      <c r="C33" s="8">
        <v>160473</v>
      </c>
      <c r="D33" s="43">
        <v>1060.7265299999999</v>
      </c>
      <c r="E33" s="42">
        <v>1.3816612197195309E-2</v>
      </c>
      <c r="F33" s="10" t="s">
        <v>37</v>
      </c>
      <c r="G33" s="45"/>
      <c r="H33" s="12"/>
    </row>
    <row r="34" spans="1:8" ht="14.25" x14ac:dyDescent="0.3">
      <c r="A34" s="41" t="s">
        <v>161</v>
      </c>
      <c r="B34" s="41" t="s">
        <v>48</v>
      </c>
      <c r="C34" s="8">
        <v>28520</v>
      </c>
      <c r="D34" s="43">
        <v>996.00396000000001</v>
      </c>
      <c r="E34" s="42">
        <v>1.297356111399498E-2</v>
      </c>
      <c r="F34" s="10" t="s">
        <v>49</v>
      </c>
      <c r="G34" s="45"/>
      <c r="H34" s="12"/>
    </row>
    <row r="35" spans="1:8" ht="14.25" x14ac:dyDescent="0.3">
      <c r="A35" s="41" t="s">
        <v>162</v>
      </c>
      <c r="B35" s="41" t="s">
        <v>105</v>
      </c>
      <c r="C35" s="8">
        <v>132825</v>
      </c>
      <c r="D35" s="43">
        <v>961.58658749999995</v>
      </c>
      <c r="E35" s="42">
        <v>1.2525253774421872E-2</v>
      </c>
      <c r="F35" s="10" t="s">
        <v>45</v>
      </c>
      <c r="G35" s="45"/>
      <c r="H35" s="12"/>
    </row>
    <row r="36" spans="1:8" ht="14.25" x14ac:dyDescent="0.3">
      <c r="A36" s="41" t="s">
        <v>163</v>
      </c>
      <c r="B36" s="41" t="s">
        <v>38</v>
      </c>
      <c r="C36" s="8">
        <v>60000</v>
      </c>
      <c r="D36" s="43">
        <v>938.73</v>
      </c>
      <c r="E36" s="42">
        <v>1.2227532734448673E-2</v>
      </c>
      <c r="F36" s="10" t="s">
        <v>39</v>
      </c>
      <c r="G36" s="45"/>
      <c r="H36" s="12"/>
    </row>
    <row r="37" spans="1:8" ht="14.25" x14ac:dyDescent="0.3">
      <c r="A37" s="41" t="s">
        <v>164</v>
      </c>
      <c r="B37" s="41" t="s">
        <v>107</v>
      </c>
      <c r="C37" s="8">
        <v>120000</v>
      </c>
      <c r="D37" s="43">
        <v>809.34</v>
      </c>
      <c r="E37" s="42">
        <v>1.0542148800292618E-2</v>
      </c>
      <c r="F37" s="10" t="s">
        <v>173</v>
      </c>
      <c r="G37" s="45"/>
      <c r="H37" s="12"/>
    </row>
    <row r="38" spans="1:8" ht="14.25" x14ac:dyDescent="0.3">
      <c r="A38" s="41" t="s">
        <v>165</v>
      </c>
      <c r="B38" s="41" t="s">
        <v>110</v>
      </c>
      <c r="C38" s="8">
        <v>103521</v>
      </c>
      <c r="D38" s="43">
        <v>786.75959999999998</v>
      </c>
      <c r="E38" s="42">
        <v>1.0248025271528282E-2</v>
      </c>
      <c r="F38" s="10" t="s">
        <v>54</v>
      </c>
      <c r="G38" s="45"/>
      <c r="H38" s="12"/>
    </row>
    <row r="39" spans="1:8" ht="14.25" x14ac:dyDescent="0.3">
      <c r="A39" s="41" t="s">
        <v>166</v>
      </c>
      <c r="B39" s="41" t="s">
        <v>120</v>
      </c>
      <c r="C39" s="8">
        <v>618877</v>
      </c>
      <c r="D39" s="43">
        <v>634.34892500000001</v>
      </c>
      <c r="E39" s="42">
        <v>8.2627829572931785E-3</v>
      </c>
      <c r="F39" s="10" t="s">
        <v>59</v>
      </c>
      <c r="G39" s="45"/>
      <c r="H39" s="12"/>
    </row>
    <row r="40" spans="1:8" ht="14.25" x14ac:dyDescent="0.3">
      <c r="A40" s="41" t="s">
        <v>167</v>
      </c>
      <c r="B40" s="41" t="s">
        <v>104</v>
      </c>
      <c r="C40" s="8">
        <v>160000</v>
      </c>
      <c r="D40" s="43">
        <v>620.32000000000005</v>
      </c>
      <c r="E40" s="42">
        <v>8.0800476237397351E-3</v>
      </c>
      <c r="F40" s="10" t="s">
        <v>46</v>
      </c>
      <c r="G40" s="45"/>
      <c r="H40" s="12"/>
    </row>
    <row r="41" spans="1:8" ht="14.25" x14ac:dyDescent="0.3">
      <c r="A41" s="41" t="s">
        <v>168</v>
      </c>
      <c r="B41" s="41" t="s">
        <v>119</v>
      </c>
      <c r="C41" s="8">
        <v>128500</v>
      </c>
      <c r="D41" s="43">
        <v>549.40174999999999</v>
      </c>
      <c r="E41" s="42">
        <v>7.1562940169041002E-3</v>
      </c>
      <c r="F41" s="10" t="s">
        <v>55</v>
      </c>
      <c r="G41" s="45"/>
      <c r="H41" s="12"/>
    </row>
    <row r="42" spans="1:8" ht="14.25" x14ac:dyDescent="0.3">
      <c r="A42" s="41" t="s">
        <v>169</v>
      </c>
      <c r="B42" s="41" t="s">
        <v>111</v>
      </c>
      <c r="C42" s="8">
        <v>54204</v>
      </c>
      <c r="D42" s="43">
        <v>420.67724399999997</v>
      </c>
      <c r="E42" s="42">
        <v>5.4795785493673916E-3</v>
      </c>
      <c r="F42" s="10" t="s">
        <v>58</v>
      </c>
      <c r="G42" s="45"/>
      <c r="H42" s="12"/>
    </row>
    <row r="43" spans="1:8" ht="14.25" x14ac:dyDescent="0.3">
      <c r="A43" s="41" t="s">
        <v>170</v>
      </c>
      <c r="B43" s="41" t="s">
        <v>116</v>
      </c>
      <c r="C43" s="8">
        <v>281248</v>
      </c>
      <c r="D43" s="43">
        <v>414.6720512</v>
      </c>
      <c r="E43" s="42">
        <v>5.4013572380865382E-3</v>
      </c>
      <c r="F43" s="10" t="s">
        <v>57</v>
      </c>
      <c r="G43" s="45"/>
      <c r="H43" s="12"/>
    </row>
    <row r="44" spans="1:8" ht="14.25" x14ac:dyDescent="0.3">
      <c r="A44" s="6" t="s">
        <v>60</v>
      </c>
      <c r="B44" s="7"/>
      <c r="C44" s="8"/>
      <c r="D44" s="44">
        <f>SUM(D7:D43)</f>
        <v>58233.806838399993</v>
      </c>
      <c r="E44" s="48">
        <f>SUM(E7:E43)</f>
        <v>0.75853097202400765</v>
      </c>
      <c r="F44" s="10"/>
      <c r="G44" s="45"/>
      <c r="H44" s="12"/>
    </row>
    <row r="45" spans="1:8" ht="14.25" x14ac:dyDescent="0.3">
      <c r="A45" s="6" t="s">
        <v>61</v>
      </c>
      <c r="B45" s="7"/>
      <c r="C45" s="8"/>
      <c r="D45" s="44"/>
      <c r="E45" s="40"/>
      <c r="F45" s="10"/>
      <c r="G45" s="45"/>
      <c r="H45" s="12"/>
    </row>
    <row r="46" spans="1:8" ht="14.25" x14ac:dyDescent="0.3">
      <c r="A46" s="6" t="s">
        <v>60</v>
      </c>
      <c r="B46" s="7"/>
      <c r="C46" s="8"/>
      <c r="D46" s="44" t="s">
        <v>62</v>
      </c>
      <c r="E46" s="40" t="s">
        <v>62</v>
      </c>
      <c r="F46" s="10"/>
      <c r="G46" s="45"/>
      <c r="H46" s="12"/>
    </row>
    <row r="47" spans="1:8" ht="14.25" x14ac:dyDescent="0.3">
      <c r="A47" s="6" t="s">
        <v>63</v>
      </c>
      <c r="B47" s="7"/>
      <c r="C47" s="8"/>
      <c r="D47" s="44"/>
      <c r="E47" s="40"/>
      <c r="F47" s="10"/>
      <c r="G47" s="45"/>
      <c r="H47" s="12"/>
    </row>
    <row r="48" spans="1:8" ht="14.25" x14ac:dyDescent="0.3">
      <c r="A48" s="6" t="s">
        <v>60</v>
      </c>
      <c r="B48" s="7"/>
      <c r="C48" s="8"/>
      <c r="D48" s="44" t="s">
        <v>62</v>
      </c>
      <c r="E48" s="40" t="s">
        <v>62</v>
      </c>
      <c r="F48" s="10"/>
      <c r="G48" s="45"/>
      <c r="H48" s="12"/>
    </row>
    <row r="49" spans="1:8" ht="14.25" x14ac:dyDescent="0.3">
      <c r="A49" s="6" t="s">
        <v>64</v>
      </c>
      <c r="B49" s="7"/>
      <c r="C49" s="8"/>
      <c r="D49" s="44">
        <f>+D44</f>
        <v>58233.806838399993</v>
      </c>
      <c r="E49" s="48">
        <f>+E44</f>
        <v>0.75853097202400765</v>
      </c>
      <c r="F49" s="10"/>
      <c r="G49" s="45"/>
      <c r="H49" s="12"/>
    </row>
    <row r="50" spans="1:8" ht="14.25" x14ac:dyDescent="0.3">
      <c r="A50" s="6"/>
      <c r="B50" s="7"/>
      <c r="C50" s="8"/>
      <c r="D50" s="44"/>
      <c r="E50" s="40"/>
      <c r="F50" s="10"/>
      <c r="G50" s="45"/>
      <c r="H50" s="12"/>
    </row>
    <row r="51" spans="1:8" ht="14.25" x14ac:dyDescent="0.3">
      <c r="A51" s="6" t="s">
        <v>65</v>
      </c>
      <c r="B51" s="7"/>
      <c r="C51" s="8"/>
      <c r="D51" s="44"/>
      <c r="E51" s="40"/>
      <c r="F51" s="10"/>
      <c r="G51" s="45"/>
      <c r="H51" s="12"/>
    </row>
    <row r="52" spans="1:8" ht="14.25" x14ac:dyDescent="0.3">
      <c r="A52" s="6" t="s">
        <v>66</v>
      </c>
      <c r="B52" s="7"/>
      <c r="C52" s="8"/>
      <c r="D52" s="44"/>
      <c r="E52" s="40"/>
      <c r="F52" s="10"/>
      <c r="G52" s="45"/>
      <c r="H52" s="12"/>
    </row>
    <row r="53" spans="1:8" ht="14.25" x14ac:dyDescent="0.3">
      <c r="A53" s="6" t="s">
        <v>80</v>
      </c>
      <c r="B53" s="7"/>
      <c r="C53" s="8"/>
      <c r="D53" s="44"/>
      <c r="E53" s="40"/>
      <c r="F53" s="10"/>
      <c r="G53" s="45"/>
      <c r="H53" s="12"/>
    </row>
    <row r="54" spans="1:8" ht="14.25" x14ac:dyDescent="0.3">
      <c r="A54" s="41" t="s">
        <v>174</v>
      </c>
      <c r="B54" s="41" t="s">
        <v>81</v>
      </c>
      <c r="C54" s="8">
        <v>750000</v>
      </c>
      <c r="D54" s="43">
        <v>756.03674999999998</v>
      </c>
      <c r="E54" s="42">
        <v>9.8478413484933778E-3</v>
      </c>
      <c r="F54" s="10" t="s">
        <v>82</v>
      </c>
      <c r="G54" s="52" t="s">
        <v>196</v>
      </c>
      <c r="H54" s="12"/>
    </row>
    <row r="55" spans="1:8" ht="14.25" x14ac:dyDescent="0.3">
      <c r="A55" s="41" t="s">
        <v>175</v>
      </c>
      <c r="B55" s="41" t="s">
        <v>81</v>
      </c>
      <c r="C55" s="8">
        <v>600000</v>
      </c>
      <c r="D55" s="43">
        <v>602.39880000000005</v>
      </c>
      <c r="E55" s="42">
        <v>7.8466130263149143E-3</v>
      </c>
      <c r="F55" s="10" t="s">
        <v>83</v>
      </c>
      <c r="G55" s="52" t="s">
        <v>197</v>
      </c>
      <c r="H55" s="12"/>
    </row>
    <row r="56" spans="1:8" ht="14.25" x14ac:dyDescent="0.3">
      <c r="A56" s="41" t="s">
        <v>176</v>
      </c>
      <c r="B56" s="41" t="s">
        <v>81</v>
      </c>
      <c r="C56" s="8">
        <v>500000</v>
      </c>
      <c r="D56" s="43">
        <v>513.17550000000006</v>
      </c>
      <c r="E56" s="42">
        <v>6.6844249408957472E-3</v>
      </c>
      <c r="F56" s="10" t="s">
        <v>84</v>
      </c>
      <c r="G56" s="52" t="s">
        <v>198</v>
      </c>
      <c r="H56" s="12"/>
    </row>
    <row r="57" spans="1:8" ht="14.25" x14ac:dyDescent="0.3">
      <c r="A57" s="41" t="s">
        <v>177</v>
      </c>
      <c r="B57" s="41" t="s">
        <v>81</v>
      </c>
      <c r="C57" s="8">
        <v>500000</v>
      </c>
      <c r="D57" s="43">
        <v>509.18950000000001</v>
      </c>
      <c r="E57" s="42">
        <v>6.6325048515415005E-3</v>
      </c>
      <c r="F57" s="10" t="s">
        <v>85</v>
      </c>
      <c r="G57" s="52" t="s">
        <v>199</v>
      </c>
      <c r="H57" s="12"/>
    </row>
    <row r="58" spans="1:8" ht="14.25" x14ac:dyDescent="0.3">
      <c r="A58" s="41" t="s">
        <v>178</v>
      </c>
      <c r="B58" s="41" t="s">
        <v>86</v>
      </c>
      <c r="C58" s="8">
        <v>500000</v>
      </c>
      <c r="D58" s="43">
        <v>507.33199999999999</v>
      </c>
      <c r="E58" s="42">
        <v>6.6083097772877339E-3</v>
      </c>
      <c r="F58" s="10" t="s">
        <v>87</v>
      </c>
      <c r="G58" s="52" t="s">
        <v>200</v>
      </c>
      <c r="H58" s="12"/>
    </row>
    <row r="59" spans="1:8" ht="14.25" x14ac:dyDescent="0.3">
      <c r="A59" s="41" t="s">
        <v>179</v>
      </c>
      <c r="B59" s="41" t="s">
        <v>81</v>
      </c>
      <c r="C59" s="8">
        <v>500000</v>
      </c>
      <c r="D59" s="43">
        <v>504.17599999999999</v>
      </c>
      <c r="E59" s="42">
        <v>6.5672009458772962E-3</v>
      </c>
      <c r="F59" s="10" t="s">
        <v>88</v>
      </c>
      <c r="G59" s="52" t="s">
        <v>201</v>
      </c>
      <c r="H59" s="12"/>
    </row>
    <row r="60" spans="1:8" ht="14.25" x14ac:dyDescent="0.3">
      <c r="A60" s="41" t="s">
        <v>180</v>
      </c>
      <c r="B60" s="41" t="s">
        <v>86</v>
      </c>
      <c r="C60" s="8">
        <v>500000</v>
      </c>
      <c r="D60" s="43">
        <v>502.67099999999999</v>
      </c>
      <c r="E60" s="42">
        <v>6.5475973998466537E-3</v>
      </c>
      <c r="F60" s="10" t="s">
        <v>89</v>
      </c>
      <c r="G60" s="52" t="s">
        <v>202</v>
      </c>
      <c r="H60" s="12"/>
    </row>
    <row r="61" spans="1:8" ht="14.25" x14ac:dyDescent="0.3">
      <c r="A61" s="41" t="s">
        <v>181</v>
      </c>
      <c r="B61" s="41" t="s">
        <v>90</v>
      </c>
      <c r="C61" s="8">
        <v>500000</v>
      </c>
      <c r="D61" s="43">
        <v>502.25450000000001</v>
      </c>
      <c r="E61" s="42">
        <v>6.5421722324567775E-3</v>
      </c>
      <c r="F61" s="10" t="s">
        <v>91</v>
      </c>
      <c r="G61" s="52" t="s">
        <v>203</v>
      </c>
      <c r="H61" s="12"/>
    </row>
    <row r="62" spans="1:8" ht="14.25" x14ac:dyDescent="0.3">
      <c r="A62" s="41" t="s">
        <v>182</v>
      </c>
      <c r="B62" s="41" t="s">
        <v>81</v>
      </c>
      <c r="C62" s="8">
        <v>500000</v>
      </c>
      <c r="D62" s="43">
        <v>499.108</v>
      </c>
      <c r="E62" s="42">
        <v>6.5011871443601552E-3</v>
      </c>
      <c r="F62" s="10" t="s">
        <v>92</v>
      </c>
      <c r="G62" s="52" t="s">
        <v>196</v>
      </c>
      <c r="H62" s="12"/>
    </row>
    <row r="63" spans="1:8" ht="14.25" x14ac:dyDescent="0.3">
      <c r="A63" s="41" t="s">
        <v>183</v>
      </c>
      <c r="B63" s="41" t="s">
        <v>81</v>
      </c>
      <c r="C63" s="8">
        <v>500000</v>
      </c>
      <c r="D63" s="43">
        <v>491.209</v>
      </c>
      <c r="E63" s="42">
        <v>6.3982978353262368E-3</v>
      </c>
      <c r="F63" s="10" t="s">
        <v>93</v>
      </c>
      <c r="G63" s="52" t="s">
        <v>204</v>
      </c>
      <c r="H63" s="12"/>
    </row>
    <row r="64" spans="1:8" ht="14.25" x14ac:dyDescent="0.3">
      <c r="A64" s="41" t="s">
        <v>184</v>
      </c>
      <c r="B64" s="41" t="s">
        <v>90</v>
      </c>
      <c r="C64" s="8">
        <v>250000</v>
      </c>
      <c r="D64" s="43">
        <v>251.82499999999999</v>
      </c>
      <c r="E64" s="42">
        <v>3.2801747369877784E-3</v>
      </c>
      <c r="F64" s="10" t="s">
        <v>192</v>
      </c>
      <c r="G64" s="52" t="s">
        <v>205</v>
      </c>
      <c r="H64" s="12"/>
    </row>
    <row r="65" spans="1:8" ht="14.25" x14ac:dyDescent="0.3">
      <c r="A65" s="41" t="s">
        <v>185</v>
      </c>
      <c r="B65" s="41" t="s">
        <v>90</v>
      </c>
      <c r="C65" s="8">
        <v>200000</v>
      </c>
      <c r="D65" s="43">
        <v>204.4528</v>
      </c>
      <c r="E65" s="42">
        <v>2.6631228411254436E-3</v>
      </c>
      <c r="F65" s="10" t="s">
        <v>193</v>
      </c>
      <c r="G65" s="52" t="s">
        <v>206</v>
      </c>
      <c r="H65" s="12"/>
    </row>
    <row r="66" spans="1:8" ht="14.25" x14ac:dyDescent="0.3">
      <c r="A66" s="41" t="s">
        <v>186</v>
      </c>
      <c r="B66" s="41" t="s">
        <v>90</v>
      </c>
      <c r="C66" s="8">
        <v>200000</v>
      </c>
      <c r="D66" s="43">
        <v>201.35480000000001</v>
      </c>
      <c r="E66" s="42">
        <v>2.6227694952098749E-3</v>
      </c>
      <c r="F66" s="10" t="s">
        <v>194</v>
      </c>
      <c r="G66" s="52" t="s">
        <v>207</v>
      </c>
      <c r="H66" s="12"/>
    </row>
    <row r="67" spans="1:8" ht="14.25" x14ac:dyDescent="0.3">
      <c r="A67" s="41" t="s">
        <v>187</v>
      </c>
      <c r="B67" s="41" t="s">
        <v>90</v>
      </c>
      <c r="C67" s="8">
        <v>200000</v>
      </c>
      <c r="D67" s="43">
        <v>201.02260000000001</v>
      </c>
      <c r="E67" s="42">
        <v>2.6184423869099549E-3</v>
      </c>
      <c r="F67" s="10" t="s">
        <v>195</v>
      </c>
      <c r="G67" s="52" t="s">
        <v>208</v>
      </c>
      <c r="H67" s="12"/>
    </row>
    <row r="68" spans="1:8" ht="14.25" x14ac:dyDescent="0.3">
      <c r="A68" s="41" t="s">
        <v>188</v>
      </c>
      <c r="B68" s="41" t="s">
        <v>81</v>
      </c>
      <c r="C68" s="8">
        <v>200000</v>
      </c>
      <c r="D68" s="43">
        <v>198.19839999999999</v>
      </c>
      <c r="E68" s="42">
        <v>2.5816554535546452E-3</v>
      </c>
      <c r="F68" s="10" t="s">
        <v>94</v>
      </c>
      <c r="G68" s="52" t="s">
        <v>209</v>
      </c>
      <c r="H68" s="12"/>
    </row>
    <row r="69" spans="1:8" ht="14.25" x14ac:dyDescent="0.3">
      <c r="A69" s="41" t="s">
        <v>189</v>
      </c>
      <c r="B69" s="41" t="s">
        <v>86</v>
      </c>
      <c r="C69" s="8">
        <v>150000</v>
      </c>
      <c r="D69" s="43">
        <v>152.92904999999999</v>
      </c>
      <c r="E69" s="42">
        <v>1.9919944658454911E-3</v>
      </c>
      <c r="F69" s="10" t="s">
        <v>95</v>
      </c>
      <c r="G69" s="52" t="s">
        <v>210</v>
      </c>
      <c r="H69" s="12"/>
    </row>
    <row r="70" spans="1:8" ht="14.25" x14ac:dyDescent="0.3">
      <c r="A70" s="41" t="s">
        <v>190</v>
      </c>
      <c r="B70" s="41" t="s">
        <v>125</v>
      </c>
      <c r="C70" s="8">
        <v>100000</v>
      </c>
      <c r="D70" s="43">
        <v>100.03319999999999</v>
      </c>
      <c r="E70" s="42">
        <v>1.3029936483671034E-3</v>
      </c>
      <c r="F70" s="10" t="s">
        <v>126</v>
      </c>
      <c r="G70" s="52" t="s">
        <v>211</v>
      </c>
      <c r="H70" s="12"/>
    </row>
    <row r="71" spans="1:8" ht="14.25" x14ac:dyDescent="0.3">
      <c r="A71" s="41" t="s">
        <v>191</v>
      </c>
      <c r="B71" s="41" t="s">
        <v>81</v>
      </c>
      <c r="C71" s="8">
        <v>100000</v>
      </c>
      <c r="D71" s="43">
        <v>99.950999999999993</v>
      </c>
      <c r="E71" s="42">
        <v>1.3019229430623069E-3</v>
      </c>
      <c r="F71" s="10" t="s">
        <v>96</v>
      </c>
      <c r="G71" s="52" t="s">
        <v>212</v>
      </c>
      <c r="H71" s="12"/>
    </row>
    <row r="72" spans="1:8" ht="14.25" x14ac:dyDescent="0.3">
      <c r="A72" s="6" t="s">
        <v>60</v>
      </c>
      <c r="B72" s="7"/>
      <c r="C72" s="8"/>
      <c r="D72" s="44">
        <f>SUM(D54:D71)</f>
        <v>6797.3179</v>
      </c>
      <c r="E72" s="48">
        <f>SUM(E54:E71)</f>
        <v>8.8539225473462976E-2</v>
      </c>
      <c r="F72" s="10"/>
      <c r="G72" s="45"/>
      <c r="H72" s="12"/>
    </row>
    <row r="73" spans="1:8" ht="14.25" x14ac:dyDescent="0.3">
      <c r="A73" s="6" t="s">
        <v>97</v>
      </c>
      <c r="B73" s="7"/>
      <c r="C73" s="8"/>
      <c r="D73" s="44"/>
      <c r="E73" s="40"/>
      <c r="F73" s="10"/>
      <c r="G73" s="45"/>
      <c r="H73" s="12"/>
    </row>
    <row r="74" spans="1:8" ht="14.25" x14ac:dyDescent="0.3">
      <c r="A74" s="6" t="s">
        <v>60</v>
      </c>
      <c r="B74" s="7"/>
      <c r="C74" s="8"/>
      <c r="D74" s="44" t="s">
        <v>62</v>
      </c>
      <c r="E74" s="40" t="s">
        <v>62</v>
      </c>
      <c r="F74" s="10"/>
      <c r="G74" s="45"/>
      <c r="H74" s="12"/>
    </row>
    <row r="75" spans="1:8" ht="14.25" x14ac:dyDescent="0.3">
      <c r="A75" s="6" t="s">
        <v>98</v>
      </c>
      <c r="B75" s="7"/>
      <c r="C75" s="8"/>
      <c r="D75" s="44"/>
      <c r="E75" s="40"/>
      <c r="F75" s="10"/>
      <c r="G75" s="45"/>
      <c r="H75" s="12"/>
    </row>
    <row r="76" spans="1:8" ht="14.25" x14ac:dyDescent="0.3">
      <c r="A76" s="6" t="s">
        <v>60</v>
      </c>
      <c r="B76" s="7"/>
      <c r="C76" s="8"/>
      <c r="D76" s="44" t="s">
        <v>62</v>
      </c>
      <c r="E76" s="40" t="s">
        <v>62</v>
      </c>
      <c r="F76" s="10"/>
      <c r="G76" s="45"/>
      <c r="H76" s="12"/>
    </row>
    <row r="77" spans="1:8" ht="14.25" x14ac:dyDescent="0.3">
      <c r="A77" s="51" t="s">
        <v>215</v>
      </c>
      <c r="B77" s="7"/>
      <c r="C77" s="8"/>
      <c r="D77" s="44"/>
      <c r="E77" s="40"/>
      <c r="F77" s="10"/>
      <c r="G77" s="45"/>
      <c r="H77" s="12"/>
    </row>
    <row r="78" spans="1:8" ht="14.25" x14ac:dyDescent="0.3">
      <c r="A78" s="41" t="s">
        <v>70</v>
      </c>
      <c r="B78" s="41" t="s">
        <v>68</v>
      </c>
      <c r="C78" s="8">
        <v>2475000</v>
      </c>
      <c r="D78" s="43">
        <v>2528.299125</v>
      </c>
      <c r="E78" s="42">
        <v>3.2932643372871259E-2</v>
      </c>
      <c r="F78" s="10" t="s">
        <v>71</v>
      </c>
      <c r="G78" s="49" t="s">
        <v>218</v>
      </c>
      <c r="H78" s="12"/>
    </row>
    <row r="79" spans="1:8" ht="14.25" x14ac:dyDescent="0.3">
      <c r="A79" s="41" t="s">
        <v>67</v>
      </c>
      <c r="B79" s="41" t="s">
        <v>68</v>
      </c>
      <c r="C79" s="8">
        <v>2075000</v>
      </c>
      <c r="D79" s="43">
        <v>2105.5855000000001</v>
      </c>
      <c r="E79" s="42">
        <v>2.7426539714753419E-2</v>
      </c>
      <c r="F79" s="10" t="s">
        <v>69</v>
      </c>
      <c r="G79" s="49" t="s">
        <v>219</v>
      </c>
      <c r="H79" s="12"/>
    </row>
    <row r="80" spans="1:8" ht="14.25" x14ac:dyDescent="0.3">
      <c r="A80" s="41" t="s">
        <v>72</v>
      </c>
      <c r="B80" s="41" t="s">
        <v>68</v>
      </c>
      <c r="C80" s="8">
        <v>1000000</v>
      </c>
      <c r="D80" s="43">
        <v>1019.481</v>
      </c>
      <c r="E80" s="42">
        <v>1.3279363927485504E-2</v>
      </c>
      <c r="F80" s="10" t="s">
        <v>73</v>
      </c>
      <c r="G80" s="49" t="s">
        <v>220</v>
      </c>
      <c r="H80" s="12"/>
    </row>
    <row r="81" spans="1:8" ht="14.25" x14ac:dyDescent="0.3">
      <c r="A81" s="41" t="s">
        <v>74</v>
      </c>
      <c r="B81" s="41" t="s">
        <v>68</v>
      </c>
      <c r="C81" s="8">
        <v>525000</v>
      </c>
      <c r="D81" s="43">
        <v>545.09857499999998</v>
      </c>
      <c r="E81" s="42">
        <v>7.1002425290699403E-3</v>
      </c>
      <c r="F81" s="10" t="s">
        <v>75</v>
      </c>
      <c r="G81" s="49" t="s">
        <v>221</v>
      </c>
      <c r="H81" s="12"/>
    </row>
    <row r="82" spans="1:8" ht="14.25" x14ac:dyDescent="0.3">
      <c r="A82" s="41" t="s">
        <v>76</v>
      </c>
      <c r="B82" s="41" t="s">
        <v>68</v>
      </c>
      <c r="C82" s="8">
        <v>500000</v>
      </c>
      <c r="D82" s="43">
        <v>506.24250000000001</v>
      </c>
      <c r="E82" s="42">
        <v>6.5941183730349861E-3</v>
      </c>
      <c r="F82" s="10" t="s">
        <v>77</v>
      </c>
      <c r="G82" s="49" t="s">
        <v>220</v>
      </c>
      <c r="H82" s="12"/>
    </row>
    <row r="83" spans="1:8" ht="14.25" x14ac:dyDescent="0.3">
      <c r="A83" s="41" t="s">
        <v>78</v>
      </c>
      <c r="B83" s="41" t="s">
        <v>68</v>
      </c>
      <c r="C83" s="8">
        <v>400000</v>
      </c>
      <c r="D83" s="43">
        <v>411.55119999999999</v>
      </c>
      <c r="E83" s="42">
        <v>5.3607062413064807E-3</v>
      </c>
      <c r="F83" s="10" t="s">
        <v>79</v>
      </c>
      <c r="G83" s="49" t="s">
        <v>221</v>
      </c>
      <c r="H83" s="12"/>
    </row>
    <row r="84" spans="1:8" ht="14.25" x14ac:dyDescent="0.3">
      <c r="A84" s="41" t="s">
        <v>216</v>
      </c>
      <c r="B84" s="41" t="s">
        <v>68</v>
      </c>
      <c r="C84" s="8">
        <v>100000</v>
      </c>
      <c r="D84" s="43">
        <v>102.91070000000001</v>
      </c>
      <c r="E84" s="42">
        <v>1.3404748468409736E-3</v>
      </c>
      <c r="F84" s="10" t="s">
        <v>217</v>
      </c>
      <c r="G84" s="49" t="s">
        <v>222</v>
      </c>
      <c r="H84" s="12"/>
    </row>
    <row r="85" spans="1:8" ht="14.25" x14ac:dyDescent="0.3">
      <c r="A85" s="41" t="s">
        <v>123</v>
      </c>
      <c r="B85" s="41" t="s">
        <v>68</v>
      </c>
      <c r="C85" s="8">
        <v>50000</v>
      </c>
      <c r="D85" s="43">
        <v>50.5884</v>
      </c>
      <c r="E85" s="42">
        <v>6.5894486911399796E-4</v>
      </c>
      <c r="F85" s="10" t="s">
        <v>124</v>
      </c>
      <c r="G85" s="49" t="s">
        <v>223</v>
      </c>
      <c r="H85" s="12"/>
    </row>
    <row r="86" spans="1:8" ht="14.25" x14ac:dyDescent="0.3">
      <c r="A86" s="6" t="s">
        <v>60</v>
      </c>
      <c r="B86" s="7"/>
      <c r="C86" s="8"/>
      <c r="D86" s="44">
        <f>SUM(D78:D85)</f>
        <v>7269.7570000000005</v>
      </c>
      <c r="E86" s="48">
        <f>SUM(E78:E85)</f>
        <v>9.4693033874476557E-2</v>
      </c>
      <c r="F86" s="10"/>
      <c r="G86" s="45"/>
      <c r="H86" s="12"/>
    </row>
    <row r="87" spans="1:8" ht="14.25" x14ac:dyDescent="0.3">
      <c r="A87" s="50" t="s">
        <v>64</v>
      </c>
      <c r="B87" s="7"/>
      <c r="C87" s="8"/>
      <c r="D87" s="44">
        <f>+D86+D72</f>
        <v>14067.0749</v>
      </c>
      <c r="E87" s="48">
        <f>+E86+E72</f>
        <v>0.18323225934793952</v>
      </c>
      <c r="F87" s="10"/>
      <c r="G87" s="45"/>
      <c r="H87" s="12"/>
    </row>
    <row r="88" spans="1:8" ht="14.25" x14ac:dyDescent="0.3">
      <c r="A88" s="6"/>
      <c r="B88" s="7"/>
      <c r="C88" s="8"/>
      <c r="D88" s="44"/>
      <c r="E88" s="48"/>
      <c r="F88" s="10"/>
      <c r="G88" s="45"/>
      <c r="H88" s="12"/>
    </row>
    <row r="89" spans="1:8" ht="14.25" x14ac:dyDescent="0.3">
      <c r="A89" s="6" t="s">
        <v>99</v>
      </c>
      <c r="B89" s="7"/>
      <c r="C89" s="8"/>
      <c r="D89" s="44"/>
      <c r="E89" s="40"/>
      <c r="F89" s="10"/>
      <c r="G89" s="45"/>
      <c r="H89" s="12"/>
    </row>
    <row r="90" spans="1:8" ht="14.25" x14ac:dyDescent="0.3">
      <c r="A90" s="41" t="s">
        <v>224</v>
      </c>
      <c r="B90" s="41" t="s">
        <v>128</v>
      </c>
      <c r="C90" s="8">
        <v>500000</v>
      </c>
      <c r="D90" s="43">
        <v>472.05450000000002</v>
      </c>
      <c r="E90" s="42">
        <v>6.148798750645874E-3</v>
      </c>
      <c r="F90" s="10" t="s">
        <v>127</v>
      </c>
      <c r="G90" s="52" t="s">
        <v>213</v>
      </c>
      <c r="H90" s="12"/>
    </row>
    <row r="91" spans="1:8" ht="14.25" x14ac:dyDescent="0.3">
      <c r="A91" s="41" t="s">
        <v>225</v>
      </c>
      <c r="B91" s="41" t="s">
        <v>100</v>
      </c>
      <c r="C91" s="8">
        <v>500000</v>
      </c>
      <c r="D91" s="43">
        <v>476.7115</v>
      </c>
      <c r="E91" s="42">
        <v>6.2094590256390322E-3</v>
      </c>
      <c r="F91" s="10" t="s">
        <v>101</v>
      </c>
      <c r="G91" s="52" t="s">
        <v>214</v>
      </c>
      <c r="H91" s="12"/>
    </row>
    <row r="92" spans="1:8" ht="14.25" x14ac:dyDescent="0.3">
      <c r="A92" s="6" t="s">
        <v>60</v>
      </c>
      <c r="B92" s="7"/>
      <c r="C92" s="8"/>
      <c r="D92" s="44">
        <f>SUM(D90:D91)</f>
        <v>948.76600000000008</v>
      </c>
      <c r="E92" s="48">
        <f>SUM(E90:E91)</f>
        <v>1.2358257776284905E-2</v>
      </c>
      <c r="F92" s="10"/>
      <c r="G92" s="53"/>
      <c r="H92" s="12"/>
    </row>
    <row r="93" spans="1:8" ht="14.25" x14ac:dyDescent="0.3">
      <c r="A93" s="6" t="s">
        <v>102</v>
      </c>
      <c r="B93" s="7"/>
      <c r="C93" s="8"/>
      <c r="D93" s="44"/>
      <c r="E93" s="40"/>
      <c r="F93" s="10"/>
      <c r="G93" s="53"/>
      <c r="H93" s="12"/>
    </row>
    <row r="94" spans="1:8" ht="14.25" x14ac:dyDescent="0.3">
      <c r="A94" s="47" t="s">
        <v>129</v>
      </c>
      <c r="B94" s="7"/>
      <c r="C94" s="8">
        <v>32861.7961</v>
      </c>
      <c r="D94" s="43">
        <v>3285.5796134000002</v>
      </c>
      <c r="E94" s="42">
        <v>4.2796685175168277E-2</v>
      </c>
      <c r="F94" s="10"/>
      <c r="G94" s="52">
        <v>6.6703239999999997E-2</v>
      </c>
      <c r="H94" s="12"/>
    </row>
    <row r="95" spans="1:8" ht="14.25" x14ac:dyDescent="0.3">
      <c r="A95" s="6" t="s">
        <v>64</v>
      </c>
      <c r="B95" s="7"/>
      <c r="C95" s="8"/>
      <c r="D95" s="44">
        <f>+D94</f>
        <v>3285.5796134000002</v>
      </c>
      <c r="E95" s="48">
        <f>+E94</f>
        <v>4.2796685175168277E-2</v>
      </c>
      <c r="F95" s="10"/>
      <c r="G95" s="45"/>
      <c r="H95" s="12"/>
    </row>
    <row r="96" spans="1:8" ht="14.25" x14ac:dyDescent="0.3">
      <c r="A96" s="6"/>
      <c r="B96" s="7"/>
      <c r="C96" s="8"/>
      <c r="D96" s="44"/>
      <c r="E96" s="40"/>
      <c r="F96" s="10"/>
      <c r="G96" s="45"/>
      <c r="H96" s="12"/>
    </row>
    <row r="97" spans="1:8" ht="14.25" x14ac:dyDescent="0.3">
      <c r="A97" s="6"/>
      <c r="B97" s="7"/>
      <c r="C97" s="8"/>
      <c r="D97" s="44"/>
      <c r="E97" s="40"/>
      <c r="F97" s="10"/>
      <c r="G97" s="45"/>
      <c r="H97" s="12"/>
    </row>
    <row r="98" spans="1:8" ht="14.25" x14ac:dyDescent="0.3">
      <c r="A98" s="46" t="s">
        <v>121</v>
      </c>
      <c r="B98" s="7"/>
      <c r="C98" s="8"/>
      <c r="D98" s="44"/>
      <c r="E98" s="40"/>
      <c r="F98" s="10"/>
      <c r="G98" s="45"/>
      <c r="H98" s="12"/>
    </row>
    <row r="99" spans="1:8" ht="14.25" x14ac:dyDescent="0.3">
      <c r="A99" s="47" t="s">
        <v>122</v>
      </c>
      <c r="B99" s="7"/>
      <c r="C99" s="8"/>
      <c r="D99" s="43">
        <v>236.5973807</v>
      </c>
      <c r="E99" s="42">
        <v>3.0818256765993042E-3</v>
      </c>
      <c r="F99" s="10"/>
      <c r="G99" s="45"/>
      <c r="H99" s="12"/>
    </row>
    <row r="100" spans="1:8" ht="14.25" x14ac:dyDescent="0.3">
      <c r="A100" s="6" t="s">
        <v>64</v>
      </c>
      <c r="B100" s="7"/>
      <c r="C100" s="8"/>
      <c r="D100" s="44">
        <f>+D99</f>
        <v>236.5973807</v>
      </c>
      <c r="E100" s="48">
        <f>+E99</f>
        <v>3.0818256765993042E-3</v>
      </c>
      <c r="F100" s="10"/>
      <c r="G100" s="45"/>
      <c r="H100" s="12"/>
    </row>
    <row r="101" spans="1:8" ht="14.25" x14ac:dyDescent="0.3">
      <c r="A101" s="6" t="s">
        <v>103</v>
      </c>
      <c r="B101" s="7"/>
      <c r="C101" s="8"/>
      <c r="D101" s="44">
        <f>+D100+D95+D92+D87+D49</f>
        <v>76771.824732499983</v>
      </c>
      <c r="E101" s="48">
        <f>+E100+E95+E92+E87+E49</f>
        <v>0.99999999999999967</v>
      </c>
      <c r="F101" s="10"/>
      <c r="G101" s="45"/>
      <c r="H101" s="12"/>
    </row>
    <row r="102" spans="1:8" ht="14.25" x14ac:dyDescent="0.3">
      <c r="A102" s="13"/>
      <c r="B102" s="14"/>
      <c r="C102" s="15"/>
      <c r="D102" s="16"/>
      <c r="E102" s="16"/>
      <c r="F102" s="17"/>
      <c r="G102" s="18"/>
      <c r="H102" s="18"/>
    </row>
    <row r="103" spans="1:8" ht="14.25" x14ac:dyDescent="0.3">
      <c r="A103" s="19" t="s">
        <v>9</v>
      </c>
      <c r="B103" s="20"/>
      <c r="C103" s="15"/>
      <c r="D103" s="16"/>
      <c r="E103" s="16"/>
      <c r="F103" s="21"/>
      <c r="G103" s="22"/>
      <c r="H103" s="22"/>
    </row>
    <row r="104" spans="1:8" ht="14.25" x14ac:dyDescent="0.3">
      <c r="A104" s="19"/>
      <c r="B104" s="20"/>
      <c r="C104" s="15"/>
      <c r="D104" s="16"/>
      <c r="E104" s="16"/>
      <c r="F104" s="21"/>
      <c r="G104" s="22"/>
      <c r="H104" s="22"/>
    </row>
    <row r="105" spans="1:8" ht="14.25" x14ac:dyDescent="0.3">
      <c r="A105" s="54" t="s">
        <v>226</v>
      </c>
      <c r="B105" s="20"/>
      <c r="C105" s="15"/>
      <c r="D105" s="16"/>
      <c r="E105" s="16"/>
      <c r="F105" s="21"/>
      <c r="G105" s="22"/>
      <c r="H105" s="22"/>
    </row>
    <row r="106" spans="1:8" ht="14.25" x14ac:dyDescent="0.3">
      <c r="A106" s="54"/>
      <c r="B106" s="20"/>
      <c r="C106" s="15"/>
      <c r="D106" s="16"/>
      <c r="E106" s="16"/>
      <c r="F106" s="21"/>
      <c r="G106" s="22"/>
      <c r="H106" s="22"/>
    </row>
    <row r="107" spans="1:8" ht="13.5" x14ac:dyDescent="0.2">
      <c r="A107" s="59" t="s">
        <v>10</v>
      </c>
      <c r="B107" s="59"/>
      <c r="C107" s="59"/>
      <c r="D107" s="59"/>
      <c r="E107" s="59"/>
      <c r="F107" s="59"/>
      <c r="G107" s="59"/>
      <c r="H107" s="59"/>
    </row>
    <row r="108" spans="1:8" ht="13.5" x14ac:dyDescent="0.2">
      <c r="A108" s="59" t="s">
        <v>11</v>
      </c>
      <c r="B108" s="59"/>
      <c r="C108" s="59"/>
      <c r="D108" s="59"/>
      <c r="E108" s="59"/>
      <c r="F108" s="59"/>
      <c r="G108" s="59"/>
      <c r="H108" s="59"/>
    </row>
    <row r="109" spans="1:8" ht="13.5" x14ac:dyDescent="0.2">
      <c r="A109" s="60" t="s">
        <v>12</v>
      </c>
      <c r="B109" s="60"/>
      <c r="C109" s="60"/>
      <c r="D109" s="60"/>
      <c r="E109" s="60"/>
      <c r="F109" s="60"/>
      <c r="G109" s="60"/>
      <c r="H109" s="60"/>
    </row>
    <row r="110" spans="1:8" ht="54" customHeight="1" x14ac:dyDescent="0.2">
      <c r="A110" s="55" t="s">
        <v>13</v>
      </c>
      <c r="B110" s="55"/>
      <c r="C110" s="55"/>
      <c r="D110" s="55"/>
      <c r="E110" s="55"/>
      <c r="F110" s="55"/>
      <c r="G110" s="55"/>
      <c r="H110" s="55"/>
    </row>
    <row r="111" spans="1:8" x14ac:dyDescent="0.2">
      <c r="A111" s="23"/>
      <c r="B111" s="23"/>
      <c r="C111" s="23"/>
      <c r="D111" s="23"/>
      <c r="E111" s="23"/>
      <c r="F111" s="23"/>
      <c r="G111" s="23"/>
      <c r="H111" s="23"/>
    </row>
    <row r="112" spans="1:8" ht="14.25" x14ac:dyDescent="0.3">
      <c r="A112" s="24" t="s">
        <v>14</v>
      </c>
      <c r="B112" s="25"/>
      <c r="C112" s="25"/>
      <c r="D112" s="25"/>
      <c r="E112" s="22"/>
      <c r="F112" s="22"/>
      <c r="G112" s="22"/>
      <c r="H112" s="22"/>
    </row>
    <row r="113" spans="1:8" ht="14.25" x14ac:dyDescent="0.3">
      <c r="A113" s="26" t="s">
        <v>15</v>
      </c>
      <c r="B113" s="25"/>
      <c r="C113" s="25"/>
      <c r="D113" s="25"/>
      <c r="E113" s="22"/>
      <c r="F113" s="22"/>
      <c r="G113" s="22"/>
      <c r="H113" s="22"/>
    </row>
    <row r="114" spans="1:8" ht="14.25" x14ac:dyDescent="0.3">
      <c r="A114" s="26" t="s">
        <v>16</v>
      </c>
      <c r="B114" s="26"/>
      <c r="C114" s="26"/>
      <c r="D114" s="25"/>
      <c r="E114" s="22"/>
      <c r="F114" s="27"/>
      <c r="G114" s="22"/>
      <c r="H114" s="22"/>
    </row>
    <row r="115" spans="1:8" ht="14.25" x14ac:dyDescent="0.3">
      <c r="A115" s="26" t="s">
        <v>17</v>
      </c>
      <c r="B115" s="26"/>
      <c r="C115" s="26"/>
      <c r="D115" s="25"/>
      <c r="E115" s="22"/>
      <c r="F115" s="22"/>
      <c r="G115" s="22"/>
      <c r="H115" s="22"/>
    </row>
    <row r="116" spans="1:8" ht="14.25" x14ac:dyDescent="0.3">
      <c r="A116" s="19"/>
      <c r="B116" s="28"/>
      <c r="C116" s="29"/>
      <c r="D116" s="22"/>
      <c r="E116" s="22"/>
      <c r="F116" s="22"/>
      <c r="G116" s="22"/>
      <c r="H116" s="22"/>
    </row>
    <row r="117" spans="1:8" ht="14.25" x14ac:dyDescent="0.3">
      <c r="A117" s="30" t="s">
        <v>18</v>
      </c>
      <c r="B117" s="31" t="s">
        <v>19</v>
      </c>
      <c r="C117" s="25"/>
      <c r="D117" s="22"/>
      <c r="E117" s="22"/>
      <c r="F117" s="22"/>
      <c r="G117" s="22"/>
      <c r="H117" s="22"/>
    </row>
    <row r="118" spans="1:8" ht="14.25" x14ac:dyDescent="0.3">
      <c r="A118" s="19"/>
      <c r="B118" s="28"/>
      <c r="C118" s="29"/>
      <c r="D118" s="22"/>
      <c r="E118" s="22"/>
      <c r="F118" s="22"/>
      <c r="G118" s="22"/>
      <c r="H118" s="22"/>
    </row>
    <row r="119" spans="1:8" ht="14.25" x14ac:dyDescent="0.3">
      <c r="A119" s="19"/>
      <c r="B119" s="28"/>
      <c r="C119" s="29"/>
      <c r="D119" s="22"/>
      <c r="E119" s="22"/>
      <c r="F119" s="22"/>
      <c r="G119" s="22"/>
      <c r="H119" s="22"/>
    </row>
    <row r="120" spans="1:8" ht="14.25" x14ac:dyDescent="0.3">
      <c r="A120" s="19"/>
      <c r="B120" s="28"/>
      <c r="C120" s="29"/>
      <c r="D120" s="22"/>
      <c r="E120" s="22"/>
      <c r="F120" s="22"/>
      <c r="G120" s="22"/>
      <c r="H120" s="22"/>
    </row>
    <row r="121" spans="1:8" ht="14.25" x14ac:dyDescent="0.3">
      <c r="A121" s="19"/>
      <c r="B121" s="28"/>
      <c r="C121" s="29"/>
      <c r="D121" s="22"/>
      <c r="E121" s="22"/>
      <c r="F121" s="22"/>
      <c r="G121" s="22"/>
      <c r="H121" s="22"/>
    </row>
    <row r="122" spans="1:8" ht="14.25" x14ac:dyDescent="0.3">
      <c r="A122" s="19"/>
      <c r="B122" s="28"/>
      <c r="C122" s="29"/>
      <c r="D122" s="22"/>
      <c r="E122" s="22"/>
      <c r="F122" s="22"/>
      <c r="G122" s="22"/>
      <c r="H122" s="22"/>
    </row>
    <row r="123" spans="1:8" ht="14.25" x14ac:dyDescent="0.3">
      <c r="A123" s="19"/>
      <c r="B123" s="28"/>
      <c r="C123" s="29"/>
      <c r="D123" s="22"/>
      <c r="E123" s="22"/>
      <c r="F123" s="22"/>
      <c r="G123" s="22"/>
      <c r="H123" s="22"/>
    </row>
    <row r="124" spans="1:8" ht="14.25" x14ac:dyDescent="0.3">
      <c r="A124" s="19"/>
      <c r="B124" s="28"/>
      <c r="C124" s="29"/>
      <c r="D124" s="22"/>
      <c r="E124" s="32"/>
      <c r="F124" s="22"/>
      <c r="G124" s="22"/>
      <c r="H124" s="22"/>
    </row>
    <row r="125" spans="1:8" x14ac:dyDescent="0.2">
      <c r="A125" s="33"/>
      <c r="B125" s="34"/>
      <c r="D125" s="36"/>
      <c r="E125" s="36"/>
      <c r="F125" s="36"/>
      <c r="G125" s="36"/>
      <c r="H125" s="36"/>
    </row>
    <row r="126" spans="1:8" x14ac:dyDescent="0.2">
      <c r="A126" s="33"/>
      <c r="B126" s="34"/>
      <c r="D126" s="36"/>
      <c r="E126" s="36"/>
      <c r="F126" s="36"/>
      <c r="G126" s="36"/>
      <c r="H126" s="36"/>
    </row>
    <row r="127" spans="1:8" x14ac:dyDescent="0.2">
      <c r="A127" s="33"/>
      <c r="B127" s="34"/>
      <c r="D127" s="36"/>
      <c r="E127" s="36"/>
      <c r="F127" s="36"/>
      <c r="G127" s="36"/>
      <c r="H127" s="36"/>
    </row>
    <row r="128" spans="1:8" x14ac:dyDescent="0.2">
      <c r="A128" s="33"/>
      <c r="B128" s="34"/>
      <c r="D128" s="36"/>
      <c r="E128" s="36"/>
      <c r="F128" s="36"/>
      <c r="G128" s="36"/>
      <c r="H128" s="36"/>
    </row>
    <row r="129" spans="1:8" x14ac:dyDescent="0.2">
      <c r="A129" s="37" t="s">
        <v>20</v>
      </c>
      <c r="B129" s="56" t="s">
        <v>21</v>
      </c>
      <c r="C129" s="56"/>
      <c r="D129" s="56"/>
      <c r="E129" s="56"/>
      <c r="F129" s="36"/>
      <c r="G129" s="36"/>
      <c r="H129" s="36"/>
    </row>
  </sheetData>
  <mergeCells count="8">
    <mergeCell ref="A110:H110"/>
    <mergeCell ref="B129:E129"/>
    <mergeCell ref="A1:H1"/>
    <mergeCell ref="A2:H2"/>
    <mergeCell ref="A3:H3"/>
    <mergeCell ref="A107:H107"/>
    <mergeCell ref="A108:H108"/>
    <mergeCell ref="A109:H109"/>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2025-04-08T10:15:29Z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