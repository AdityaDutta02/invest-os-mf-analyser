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Arbitrage Fund" sheetId="1" r:id="rId1"/>
  </sheets>
  <definedNames>
    <definedName name="_xlnm._FilterDatabase" localSheetId="0" hidden="1">'JM Arbitrage Fund'!$A$1:$H$210</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Fund'!$A$1:$E$76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1" i="1" l="1"/>
  <c r="E90" i="1"/>
  <c r="E91" i="1" s="1"/>
  <c r="D88" i="1"/>
  <c r="E87" i="1"/>
  <c r="E88" i="1" s="1"/>
  <c r="D86" i="1"/>
  <c r="E85" i="1"/>
  <c r="E84" i="1"/>
  <c r="E83" i="1"/>
  <c r="E82" i="1"/>
  <c r="E81" i="1"/>
  <c r="E80" i="1"/>
  <c r="E79" i="1"/>
  <c r="E78" i="1"/>
  <c r="E86" i="1" s="1"/>
  <c r="D59" i="1"/>
  <c r="D63" i="1" s="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9" i="1" l="1"/>
  <c r="E63" i="1" s="1"/>
  <c r="D93" i="1"/>
  <c r="D95" i="1" s="1"/>
  <c r="E95" i="1" s="1"/>
  <c r="E93" i="1"/>
  <c r="E97" i="1" l="1"/>
</calcChain>
</file>

<file path=xl/sharedStrings.xml><?xml version="1.0" encoding="utf-8"?>
<sst xmlns="http://schemas.openxmlformats.org/spreadsheetml/2006/main" count="367" uniqueCount="262">
  <si>
    <t>JM Financial Mutual Fund</t>
  </si>
  <si>
    <t>JM Arbitrage Fund (An open ended scheme investing in arbitrage opportunities)</t>
  </si>
  <si>
    <t>Monthly Portfolio Statement for the period ended 30.04.2024</t>
  </si>
  <si>
    <t>Name of the Instruments</t>
  </si>
  <si>
    <t>Industry/Rating</t>
  </si>
  <si>
    <t>Quantity</t>
  </si>
  <si>
    <t>Market Value (Rs. In Lakhs)</t>
  </si>
  <si>
    <t>% age to NAV</t>
  </si>
  <si>
    <t>ISIN</t>
  </si>
  <si>
    <t>Yield %</t>
  </si>
  <si>
    <t>^YTC (AT1/Tier 2 bonds)</t>
  </si>
  <si>
    <t>EQUITY &amp; EQUITY RELATED</t>
  </si>
  <si>
    <t>a) Listed/Awaiting Listing On  Stock Exchange</t>
  </si>
  <si>
    <t>Sun TV Network Ltd.</t>
  </si>
  <si>
    <t>Entertainment</t>
  </si>
  <si>
    <t>INE424H01027</t>
  </si>
  <si>
    <t>HDFC Bank Ltd.</t>
  </si>
  <si>
    <t>Banks</t>
  </si>
  <si>
    <t>INE040A01034</t>
  </si>
  <si>
    <t>Vedanta Ltd.</t>
  </si>
  <si>
    <t>Diversified Metals</t>
  </si>
  <si>
    <t>INE205A01025</t>
  </si>
  <si>
    <t>Reliance Industries Ltd.</t>
  </si>
  <si>
    <t>Petroleum Products</t>
  </si>
  <si>
    <t>INE002A01018</t>
  </si>
  <si>
    <t>Larsen &amp; Toubro Ltd.</t>
  </si>
  <si>
    <t>Construction</t>
  </si>
  <si>
    <t>INE018A01030</t>
  </si>
  <si>
    <t>Vodafone Idea Ltd.</t>
  </si>
  <si>
    <t>Telecom - Services</t>
  </si>
  <si>
    <t>INE669E01016</t>
  </si>
  <si>
    <t>Multi Commodity Exchange of India Ltd.</t>
  </si>
  <si>
    <t>Capital Markets</t>
  </si>
  <si>
    <t>INE745G01035</t>
  </si>
  <si>
    <t>Glenmark Pharmaceuticals Ltd.</t>
  </si>
  <si>
    <t>Pharmaceuticals &amp; Biotechnology</t>
  </si>
  <si>
    <t>INE935A01035</t>
  </si>
  <si>
    <t>Bank of Baroda</t>
  </si>
  <si>
    <t>INE028A01039</t>
  </si>
  <si>
    <t>IndusInd Bank Ltd.</t>
  </si>
  <si>
    <t>INE095A01012</t>
  </si>
  <si>
    <t>Steel Authority of India Ltd.</t>
  </si>
  <si>
    <t>Ferrous Metals</t>
  </si>
  <si>
    <t>INE114A01011</t>
  </si>
  <si>
    <t>Ashok Leyland Ltd.</t>
  </si>
  <si>
    <t>Agricultural, Commercial &amp; Construction Vehicles</t>
  </si>
  <si>
    <t>INE208A01029</t>
  </si>
  <si>
    <t>Kotak Mahindra Bank Ltd.</t>
  </si>
  <si>
    <t>INE237A01028</t>
  </si>
  <si>
    <t>Balrampur Chini Mills Ltd.</t>
  </si>
  <si>
    <t>Agricultural Food &amp; other Products</t>
  </si>
  <si>
    <t>INE119A01028</t>
  </si>
  <si>
    <t>Petronet LNG Ltd.</t>
  </si>
  <si>
    <t>Gas</t>
  </si>
  <si>
    <t>INE347G01014</t>
  </si>
  <si>
    <t>Polycab India Ltd.</t>
  </si>
  <si>
    <t>Industrial Products</t>
  </si>
  <si>
    <t>INE455K01017</t>
  </si>
  <si>
    <t>Biocon Ltd.</t>
  </si>
  <si>
    <t>INE376G01013</t>
  </si>
  <si>
    <t>Hindustan Unilever Ltd.</t>
  </si>
  <si>
    <t>Diversified FMCG</t>
  </si>
  <si>
    <t>INE030A01027</t>
  </si>
  <si>
    <t>Container Corporation of India Ltd.</t>
  </si>
  <si>
    <t>Transport Services</t>
  </si>
  <si>
    <t>INE111A01025</t>
  </si>
  <si>
    <t>Canara Bank</t>
  </si>
  <si>
    <t>INE476A01014</t>
  </si>
  <si>
    <t>Power Grid Corporation of India Ltd.</t>
  </si>
  <si>
    <t>Power</t>
  </si>
  <si>
    <t>INE752E01010</t>
  </si>
  <si>
    <t>Dixon Technologies (India) Ltd.</t>
  </si>
  <si>
    <t>Consumer Durables</t>
  </si>
  <si>
    <t>INE935N01020</t>
  </si>
  <si>
    <t>Tata Communications Ltd.</t>
  </si>
  <si>
    <t>INE151A01013</t>
  </si>
  <si>
    <t>Hindustan Copper Ltd.</t>
  </si>
  <si>
    <t>Non - Ferrous Metals</t>
  </si>
  <si>
    <t>INE531E01026</t>
  </si>
  <si>
    <t>Divi's Laboratories Ltd.</t>
  </si>
  <si>
    <t>INE361B01024</t>
  </si>
  <si>
    <t>LIC Housing Finance Ltd.</t>
  </si>
  <si>
    <t>Finance</t>
  </si>
  <si>
    <t>INE115A01026</t>
  </si>
  <si>
    <t>Godrej Properties Ltd.</t>
  </si>
  <si>
    <t>Realty</t>
  </si>
  <si>
    <t>INE484J01027</t>
  </si>
  <si>
    <t>Piramal Enterprises Ltd.</t>
  </si>
  <si>
    <t>INE140A01024</t>
  </si>
  <si>
    <t>Escorts Kubota Ltd.</t>
  </si>
  <si>
    <t>INE042A01014</t>
  </si>
  <si>
    <t>Info Edge (India) Ltd.</t>
  </si>
  <si>
    <t>Retailing</t>
  </si>
  <si>
    <t>INE663F01024</t>
  </si>
  <si>
    <t>HDFC Life Insurance Company Ltd.</t>
  </si>
  <si>
    <t>Insurance</t>
  </si>
  <si>
    <t>INE795G01014</t>
  </si>
  <si>
    <t>Gujarat Narmada Valley Fertilizers &amp; Chemicals Ltd</t>
  </si>
  <si>
    <t>Chemicals &amp; Petrochemicals</t>
  </si>
  <si>
    <t>INE113A01013</t>
  </si>
  <si>
    <t>TVS Motor Company Ltd.</t>
  </si>
  <si>
    <t>Automobiles</t>
  </si>
  <si>
    <t>INE494B01023</t>
  </si>
  <si>
    <t>Tata Power Company Ltd.</t>
  </si>
  <si>
    <t>INE245A01021</t>
  </si>
  <si>
    <t>Indian Oil Corporation Ltd.</t>
  </si>
  <si>
    <t>INE242A01010</t>
  </si>
  <si>
    <t>AXIS Bank Ltd.</t>
  </si>
  <si>
    <t>INE238A01034</t>
  </si>
  <si>
    <t>Tata Steel Ltd.</t>
  </si>
  <si>
    <t>INE081A01020</t>
  </si>
  <si>
    <t>Granules India Ltd.</t>
  </si>
  <si>
    <t>INE101D01020</t>
  </si>
  <si>
    <t>Trent Ltd.</t>
  </si>
  <si>
    <t>INE849A01020</t>
  </si>
  <si>
    <t>Hindalco Industries Ltd.</t>
  </si>
  <si>
    <t>INE038A01020</t>
  </si>
  <si>
    <t>Bosch Ltd.</t>
  </si>
  <si>
    <t>Auto Components</t>
  </si>
  <si>
    <t>INE323A01026</t>
  </si>
  <si>
    <t>Bharat Petroleum Corporation Ltd.</t>
  </si>
  <si>
    <t>INE029A01011</t>
  </si>
  <si>
    <t>City Union Bank Ltd.</t>
  </si>
  <si>
    <t>INE491A01021</t>
  </si>
  <si>
    <t>JSW Steel Ltd.</t>
  </si>
  <si>
    <t>INE019A01038</t>
  </si>
  <si>
    <t>SBI Life Insurance Company Ltd.</t>
  </si>
  <si>
    <t>INE123W01016</t>
  </si>
  <si>
    <t>GMR Airports Infrastructure Ltd.</t>
  </si>
  <si>
    <t>Transport Infrastructure</t>
  </si>
  <si>
    <t>INE776C01039</t>
  </si>
  <si>
    <t>ACC Ltd.</t>
  </si>
  <si>
    <t>Cement &amp; Cement Products</t>
  </si>
  <si>
    <t>INE012A01025</t>
  </si>
  <si>
    <t>HCL Technologies Ltd.</t>
  </si>
  <si>
    <t>IT - Software</t>
  </si>
  <si>
    <t>INE860A01027</t>
  </si>
  <si>
    <t>Crompton Greaves Consumer Electricals Ltd.</t>
  </si>
  <si>
    <t>INE299U01018</t>
  </si>
  <si>
    <t>Abbott India Ltd.</t>
  </si>
  <si>
    <t>INE358A01014</t>
  </si>
  <si>
    <t>United Spirits Ltd.</t>
  </si>
  <si>
    <t>Beverages</t>
  </si>
  <si>
    <t>INE854D01024</t>
  </si>
  <si>
    <t>The Ramco Cements Ltd.</t>
  </si>
  <si>
    <t>INE331A01037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</si>
  <si>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</si>
  <si>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</si>
  <si>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</si>
  <si>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</si>
  <si>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</si>
  <si>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</si>
  <si>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</si>
  <si>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</si>
  <si>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</si>
  <si>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</si>
  <si>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</si>
  <si>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91 Days Treasury-Bill 27/06/2024</t>
  </si>
  <si>
    <t>Sovereign</t>
  </si>
  <si>
    <t>IN002023X559</t>
  </si>
  <si>
    <t>182 Days Treasury-Bill 06/06/2024</t>
  </si>
  <si>
    <t>IN002023Y375</t>
  </si>
  <si>
    <t>182 Days Treasury-Bill 23/05/2024</t>
  </si>
  <si>
    <t>IN002023Y359</t>
  </si>
  <si>
    <t>182 Days Treasury-Bill 04/07/2024</t>
  </si>
  <si>
    <t>IN002023Y417</t>
  </si>
  <si>
    <t>91 Days Treasury-Bill 16/05/2024</t>
  </si>
  <si>
    <t>IN002023X476</t>
  </si>
  <si>
    <t>182 Days Treasury-Bill 30/05/2024</t>
  </si>
  <si>
    <t>IN002023Y367</t>
  </si>
  <si>
    <t>182 Days Treasury-Bill 13/06/2024</t>
  </si>
  <si>
    <t>IN002023Y383</t>
  </si>
  <si>
    <t>91 Days Treasury-Bill 12/07/2024</t>
  </si>
  <si>
    <t>IN002024X029</t>
  </si>
  <si>
    <t>TREPS-Triparty Repo</t>
  </si>
  <si>
    <t/>
  </si>
  <si>
    <t>Mutual Fund Units</t>
  </si>
  <si>
    <t>JM Liquid Fund - Direct Growth</t>
  </si>
  <si>
    <t>INF192K01CM6</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</si>
  <si>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</si>
  <si>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</si>
  <si>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</si>
  <si>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</si>
  <si>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</si>
  <si>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</si>
  <si>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</si>
  <si>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April 30, 2024:</t>
  </si>
  <si>
    <t>Underlying</t>
  </si>
  <si>
    <t>Long / Short</t>
  </si>
  <si>
    <t>Futures price when purchased (Rs.)</t>
  </si>
  <si>
    <t>Current  price of the Contract (Rs.)</t>
  </si>
  <si>
    <t>Total Margin maintained in   (Rs. In Lakhs)</t>
  </si>
  <si>
    <t>Abbott India Ltd.May-2024</t>
  </si>
  <si>
    <t>Short</t>
  </si>
  <si>
    <t>ACC Ltd.May-2024</t>
  </si>
  <si>
    <t>Ashok Leyland Ltd.May-2024</t>
  </si>
  <si>
    <t>AXIS Bank Ltd.May-2024</t>
  </si>
  <si>
    <t>Balrampur Chini Mills Ltd.May-2024</t>
  </si>
  <si>
    <t>Bank of BarodaMay-2024</t>
  </si>
  <si>
    <t>Biocon Ltd.May-2024</t>
  </si>
  <si>
    <t>Bosch Ltd.May-2024</t>
  </si>
  <si>
    <t>Bharat Petroleum Corporation Ltd.May-2024</t>
  </si>
  <si>
    <t>Canara BankMay-2024</t>
  </si>
  <si>
    <t>Container Corporation of India Ltd.May-2024</t>
  </si>
  <si>
    <t>Crompton Greaves Consumer Electricals Ltd.May-2024</t>
  </si>
  <si>
    <t>City Union Bank Ltd.May-2024</t>
  </si>
  <si>
    <t>Divi's Laboratories Ltd.May-2024</t>
  </si>
  <si>
    <t>Dixon Technologies (India) Ltd.May-2024</t>
  </si>
  <si>
    <t>Escorts Kubota Ltd.May-2024</t>
  </si>
  <si>
    <t>Glenmark Pharmaceuticals Ltd.May-2024</t>
  </si>
  <si>
    <t>GMR Airports Infrastructure Ltd.May-2024</t>
  </si>
  <si>
    <t>Gujarat Narmada Valley Fertilizers &amp; Chemicals LtdMay-2024</t>
  </si>
  <si>
    <t>Godrej Properties Ltd.May-2024</t>
  </si>
  <si>
    <t>Granules India Ltd.May-2024</t>
  </si>
  <si>
    <t>HCL Technologies Ltd.May-2024</t>
  </si>
  <si>
    <t>HDFC Bank Ltd.May-2024</t>
  </si>
  <si>
    <t>HDFC Life Insurance Company Ltd.May-2024</t>
  </si>
  <si>
    <t>Hindalco Industries Ltd.May-2024</t>
  </si>
  <si>
    <t>Hindustan Copper Ltd.May-2024</t>
  </si>
  <si>
    <t>Hindustan Unilever Ltd.May-2024</t>
  </si>
  <si>
    <t>Vodafone Idea Ltd.May-2024</t>
  </si>
  <si>
    <t>IndusInd Bank Ltd.May-2024</t>
  </si>
  <si>
    <t>Indian Oil Corporation Ltd.May-2024</t>
  </si>
  <si>
    <t>JSW Steel Ltd.May-2024</t>
  </si>
  <si>
    <t>Kotak Mahindra Bank Ltd.May-2024</t>
  </si>
  <si>
    <t>LIC Housing Finance Ltd.May-2024</t>
  </si>
  <si>
    <t>Larsen &amp; Toubro Ltd.May-2024</t>
  </si>
  <si>
    <t>United Spirits Ltd.May-2024</t>
  </si>
  <si>
    <t>Multi Commodity Exchange of India Ltd.May-2024</t>
  </si>
  <si>
    <t>Info Edge (India) Ltd.May-2024</t>
  </si>
  <si>
    <t>Piramal Enterprises Ltd.May-2024</t>
  </si>
  <si>
    <t>Petronet LNG Ltd.May-2024</t>
  </si>
  <si>
    <t>Polycab India Ltd.May-2024</t>
  </si>
  <si>
    <t>Power Grid Corporation of India Ltd.May-2024</t>
  </si>
  <si>
    <t>The Ramco Cements Ltd.May-2024</t>
  </si>
  <si>
    <t>Reliance Industries Ltd.May-2024</t>
  </si>
  <si>
    <t>Steel Authority of India Ltd.May-2024</t>
  </si>
  <si>
    <t>SBI Life Insurance Company Ltd.May-2024</t>
  </si>
  <si>
    <t>Sun TV Network Ltd.May-2024</t>
  </si>
  <si>
    <t>Tata Communications Ltd.May-2024</t>
  </si>
  <si>
    <t>Tata Power Company Ltd.May-2024</t>
  </si>
  <si>
    <t>Tata Steel Ltd.May-2024</t>
  </si>
  <si>
    <t>Trent Ltd.May-2024</t>
  </si>
  <si>
    <t>TVS Motor Company Ltd.May-2024</t>
  </si>
  <si>
    <t>Vedanta Ltd.May-2024</t>
  </si>
  <si>
    <t>Total outstanding exposure in derivative instruments at the end of the period - Short -(Rs in Lakhs) : (10,273.71)</t>
  </si>
  <si>
    <t>Total 73.52% of existing assets hedged through futures as on 30/04/2024</t>
  </si>
  <si>
    <t>For the period ended April 30, 2024,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</si>
  <si>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</si>
  <si>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</si>
  <si>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</si>
  <si>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</si>
  <si>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</si>
  <si>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30/04/2024</t>
  </si>
  <si>
    <t>For the period ended April 30, 2024,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</si>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</sst>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92">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4" fillId="0" borderId="0" xfId="3" applyFont="1" applyFill="1" applyAlignment="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2" applyFont="1" applyFill="1" applyAlignment="1">
      <alignment horizontal="right"/>
    </xf>
    <xf numFmtId="0" fontId="4" fillId="3" borderId="3" xfId="3" applyFont="1" applyFill="1" applyBorder="1" applyAlignment="1">
      <alignment horizontal="left" vertical="top" wrapText="1"/>
    </xf>
    <xf numFmtId="0" fontId="4" fillId="3" borderId="3" xfId="2" applyFont="1" applyFill="1" applyBorder="1" applyAlignment="1">
      <alignment horizontal="left" vertical="top" wrapText="1"/>
    </xf>
    <xf numFmtId="165" fontId="4" fillId="3" borderId="3" xfId="5" applyNumberFormat="1" applyFont="1" applyFill="1" applyBorder="1" applyAlignment="1">
      <alignment horizontal="left" vertical="top"/>
    </xf>
    <xf numFmtId="4" fontId="3" fillId="0" borderId="3" xfId="2" applyNumberFormat="1" applyFont="1" applyFill="1" applyBorder="1" applyAlignment="1">
      <alignment wrapText="1"/>
    </xf>
    <xf numFmtId="3" fontId="5" fillId="0" borderId="3" xfId="1" applyNumberFormat="1" applyFont="1" applyFill="1" applyBorder="1"/>
    <xf numFmtId="4" fontId="3" fillId="0" borderId="3" xfId="1" applyNumberFormat="1" applyFont="1" applyFill="1" applyBorder="1"/>
    <xf numFmtId="4" fontId="5" fillId="0" borderId="3" xfId="1" applyNumberFormat="1" applyFont="1" applyFill="1" applyBorder="1"/>
    <xf numFmtId="4" fontId="5" fillId="0" borderId="0" xfId="2" applyNumberFormat="1" applyFont="1" applyFill="1"/>
    <xf numFmtId="4" fontId="5" fillId="0" borderId="0" xfId="2" applyNumberFormat="1"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3" applyFont="1" applyFill="1" applyBorder="1" applyAlignment="1"/>
    <xf numFmtId="165" fontId="5" fillId="0" borderId="0" xfId="6" applyNumberFormat="1" applyFont="1"/>
    <xf numFmtId="0" fontId="5" fillId="0" borderId="0" xfId="2" applyFont="1" applyFill="1" applyAlignment="1">
      <alignment wrapText="1"/>
    </xf>
    <xf numFmtId="165" fontId="5" fillId="0" borderId="0" xfId="6" applyNumberFormat="1" applyFont="1" applyFill="1"/>
    <xf numFmtId="164" fontId="5" fillId="0" borderId="0" xfId="2" applyNumberFormat="1" applyFont="1"/>
    <xf numFmtId="0" fontId="4" fillId="4" borderId="3" xfId="2" applyFont="1" applyFill="1" applyBorder="1" applyAlignment="1"/>
    <xf numFmtId="165" fontId="5" fillId="0" borderId="3" xfId="1" applyNumberFormat="1" applyFont="1" applyBorder="1"/>
    <xf numFmtId="4" fontId="5" fillId="0" borderId="3" xfId="2" applyNumberFormat="1" applyFont="1" applyBorder="1"/>
    <xf numFmtId="164" fontId="5" fillId="0" borderId="3" xfId="1" applyFont="1" applyBorder="1"/>
    <xf numFmtId="0" fontId="4" fillId="0" borderId="0" xfId="2" applyFont="1"/>
    <xf numFmtId="0" fontId="4" fillId="4" borderId="4" xfId="2" applyFont="1" applyFill="1" applyBorder="1" applyAlignment="1"/>
    <xf numFmtId="0" fontId="4" fillId="4" borderId="2" xfId="2" applyFont="1" applyFill="1" applyBorder="1" applyAlignment="1"/>
    <xf numFmtId="0" fontId="4" fillId="4" borderId="5" xfId="2" applyFont="1" applyFill="1" applyBorder="1" applyAlignment="1"/>
    <xf numFmtId="0" fontId="5" fillId="4" borderId="3" xfId="2" applyFont="1" applyFill="1" applyBorder="1" applyAlignment="1"/>
    <xf numFmtId="0" fontId="5" fillId="0" borderId="3" xfId="2" applyFont="1" applyBorder="1" applyAlignment="1">
      <alignment horizontal="center" vertical="top"/>
    </xf>
    <xf numFmtId="0" fontId="9" fillId="0" borderId="0" xfId="7" applyFont="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164" fontId="3" fillId="0" borderId="0" xfId="1" applyFont="1" applyFill="1"/>
    <xf numFmtId="0" fontId="7" fillId="0" borderId="0" xfId="4" applyFont="1" applyBorder="1" applyAlignment="1">
      <alignment horizontal="left" vertical="top" wrapText="1"/>
    </xf>
    <xf numFmtId="0" fontId="5" fillId="0" borderId="0" xfId="2" applyFont="1" applyAlignment="1">
      <alignment horizontal="lef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4" xfId="2" applyFont="1" applyFill="1" applyBorder="1" applyAlignment="1">
      <alignment horizontal="left"/>
    </xf>
    <xf numFmtId="0" fontId="5" fillId="0" borderId="2" xfId="2" applyFont="1" applyFill="1" applyBorder="1" applyAlignment="1">
      <alignment horizontal="left"/>
    </xf>
    <xf numFmtId="0" fontId="5" fillId="0" borderId="5" xfId="2" applyFont="1" applyFill="1" applyBorder="1" applyAlignment="1">
      <alignment horizontal="left"/>
    </xf>
    <xf numFmtId="0" fontId="8" fillId="0" borderId="0" xfId="4" applyFont="1" applyBorder="1" applyAlignment="1">
      <alignment horizontal="left" vertical="top" wrapText="1"/>
    </xf>
    <xf numFmtId="0" fontId="4" fillId="0" borderId="1" xfId="2" applyFont="1" applyFill="1" applyBorder="1" applyAlignment="1">
      <alignment horizontal="left"/>
    </xf>
  </cellXfs>
  <cellStyles count="9">
    <cellStyle name="Comma" xfId="1" builtinId="3"/>
    <cellStyle name="Comma 2" xfId="5"/>
    <cellStyle name="Comma 4" xfId="6"/>
    <cellStyle name="Normal" xfId="0" builtinId="0"/>
    <cellStyle name="Normal 2 2 2" xfId="2"/>
    <cellStyle name="Normal 2 3 2" xfId="3"/>
    <cellStyle name="Normal 4_AA" xfId="7"/>
    <cellStyle name="Normal 4_IF" xfId="8"/>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438151</xdr:colOff>
      <xdr:row>182</xdr:row>
      <xdr:rowOff>47625</xdr:rowOff>
    </xdr:from>
    <xdr:to>
      <xdr:col>0</xdr:col>
      <xdr:colOff>2495551</xdr:colOff>
      <xdr:row>188</xdr:row>
      <xdr:rowOff>150888</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38151" y="34480500"/>
          <a:ext cx="2057400" cy="1189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381000</xdr:colOff>
      <xdr:row>182</xdr:row>
      <xdr:rowOff>76200</xdr:rowOff>
    </xdr:from>
    <xdr:to>
      <xdr:col>1</xdr:col>
      <xdr:colOff>2457450</xdr:colOff>
      <xdr:row>188</xdr:row>
      <xdr:rowOff>152400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34509075"/>
          <a:ext cx="20764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333375</xdr:colOff>
      <xdr:row>188</xdr:row>
      <xdr:rowOff>142875</xdr:rowOff>
    </xdr:from>
    <xdr:to>
      <xdr:col>0</xdr:col>
      <xdr:colOff>2600326</xdr:colOff>
      <xdr:row>191</xdr:row>
      <xdr:rowOff>85725</xdr:rowOff>
    </xdr:to>
    <xdr:sp macro="" textlink="">
      <xdr:nvSpPr>
        <xdr:cNvPr id="4" name="TextBox 3"/>
        <xdr:cNvSpPr txBox="1"/>
      </xdr:nvSpPr>
      <xdr:spPr>
        <a:xfrm>
          <a:off x="333375" y="356616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risk</a:t>
          </a:r>
          <a:endParaRPr lang="en-IN" sz="1100">
            <a:solidFill>
              <a:sysClr val="windowText" lastClr="000000"/>
            </a:solidFill>
          </a:endParaRPr>
        </a:p>
      </xdr:txBody>
    </xdr:sp>
    <xdr:clientData/>
  </xdr:twoCellAnchor>
  <xdr:twoCellAnchor>
    <xdr:from>
      <xdr:col>1</xdr:col>
      <xdr:colOff>285750</xdr:colOff>
      <xdr:row>188</xdr:row>
      <xdr:rowOff>142875</xdr:rowOff>
    </xdr:from>
    <xdr:to>
      <xdr:col>1</xdr:col>
      <xdr:colOff>2552701</xdr:colOff>
      <xdr:row>191</xdr:row>
      <xdr:rowOff>85725</xdr:rowOff>
    </xdr:to>
    <xdr:sp macro="" textlink="">
      <xdr:nvSpPr>
        <xdr:cNvPr id="5" name="TextBox 4"/>
        <xdr:cNvSpPr txBox="1"/>
      </xdr:nvSpPr>
      <xdr:spPr>
        <a:xfrm>
          <a:off x="3028950" y="356616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indexed="11"/>
    <pageSetUpPr fitToPage="1"/>
  </sheetPr>
  <dimension ref="A1:I210"/>
  <sheetViews>
    <sheetView tabSelected="1" zoomScaleNormal="100" workbookViewId="0">
      <selection sqref="A1:H1"/>
    </sheetView>
  </sheetViews>
  <sheetFormatPr defaultRowHeight="12.75" x14ac:dyDescent="0.2"/>
  <cols>
    <col min="1" max="1" width="41.140625" style="78" customWidth="1"/>
    <col min="2" max="2" width="41.140625" style="79" bestFit="1" customWidth="1"/>
    <col min="3" max="3" width="13.42578125" style="80"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84" t="s">
        <v>0</v>
      </c>
      <c r="B1" s="84"/>
      <c r="C1" s="84"/>
      <c r="D1" s="84"/>
      <c r="E1" s="84"/>
      <c r="F1" s="84"/>
      <c r="G1" s="84"/>
      <c r="H1" s="84"/>
    </row>
    <row r="2" spans="1:8" x14ac:dyDescent="0.2">
      <c r="A2" s="84" t="s">
        <v>1</v>
      </c>
      <c r="B2" s="84"/>
      <c r="C2" s="84"/>
      <c r="D2" s="84"/>
      <c r="E2" s="84"/>
      <c r="F2" s="84"/>
      <c r="G2" s="84"/>
      <c r="H2" s="84"/>
    </row>
    <row r="3" spans="1:8" x14ac:dyDescent="0.2">
      <c r="A3" s="85" t="s">
        <v>2</v>
      </c>
      <c r="B3" s="85"/>
      <c r="C3" s="85"/>
      <c r="D3" s="85"/>
      <c r="E3" s="85"/>
      <c r="F3" s="85"/>
      <c r="G3" s="85"/>
      <c r="H3" s="85"/>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130500</v>
      </c>
      <c r="D7" s="16">
        <v>855.29700000000003</v>
      </c>
      <c r="E7" s="16">
        <f t="shared" ref="E7:E58" si="0">(+D7/$D$97*100)</f>
        <v>6.1209159345405943</v>
      </c>
      <c r="F7" s="16" t="s">
        <v>15</v>
      </c>
      <c r="G7" s="11"/>
      <c r="H7" s="10"/>
    </row>
    <row r="8" spans="1:8" s="17" customFormat="1" ht="14.25" x14ac:dyDescent="0.3">
      <c r="A8" s="13" t="s">
        <v>16</v>
      </c>
      <c r="B8" s="14" t="s">
        <v>17</v>
      </c>
      <c r="C8" s="15">
        <v>40700</v>
      </c>
      <c r="D8" s="16">
        <v>618.6807</v>
      </c>
      <c r="E8" s="16">
        <f t="shared" si="0"/>
        <v>4.4275760993230762</v>
      </c>
      <c r="F8" s="16" t="s">
        <v>18</v>
      </c>
      <c r="G8" s="11"/>
      <c r="H8" s="11"/>
    </row>
    <row r="9" spans="1:8" s="17" customFormat="1" ht="14.25" x14ac:dyDescent="0.3">
      <c r="A9" s="13" t="s">
        <v>19</v>
      </c>
      <c r="B9" s="14" t="s">
        <v>20</v>
      </c>
      <c r="C9" s="15">
        <v>147200</v>
      </c>
      <c r="D9" s="16">
        <v>585.63520000000005</v>
      </c>
      <c r="E9" s="16">
        <f t="shared" si="0"/>
        <v>4.1910866371656494</v>
      </c>
      <c r="F9" s="16" t="s">
        <v>21</v>
      </c>
      <c r="G9" s="11"/>
      <c r="H9" s="10"/>
    </row>
    <row r="10" spans="1:8" s="17" customFormat="1" ht="14.25" x14ac:dyDescent="0.3">
      <c r="A10" s="13" t="s">
        <v>22</v>
      </c>
      <c r="B10" s="14" t="s">
        <v>23</v>
      </c>
      <c r="C10" s="15">
        <v>18500</v>
      </c>
      <c r="D10" s="16">
        <v>542.79</v>
      </c>
      <c r="E10" s="16">
        <f t="shared" si="0"/>
        <v>3.8844658172649842</v>
      </c>
      <c r="F10" s="16" t="s">
        <v>24</v>
      </c>
      <c r="G10" s="11"/>
      <c r="H10" s="10"/>
    </row>
    <row r="11" spans="1:8" s="17" customFormat="1" ht="14.25" x14ac:dyDescent="0.3">
      <c r="A11" s="13" t="s">
        <v>25</v>
      </c>
      <c r="B11" s="14" t="s">
        <v>26</v>
      </c>
      <c r="C11" s="15">
        <v>14700</v>
      </c>
      <c r="D11" s="16">
        <v>528.36210000000005</v>
      </c>
      <c r="E11" s="16">
        <f t="shared" si="0"/>
        <v>3.7812128384611796</v>
      </c>
      <c r="F11" s="16" t="s">
        <v>27</v>
      </c>
      <c r="G11" s="11"/>
      <c r="H11" s="11"/>
    </row>
    <row r="12" spans="1:8" s="17" customFormat="1" ht="14.25" x14ac:dyDescent="0.3">
      <c r="A12" s="13" t="s">
        <v>28</v>
      </c>
      <c r="B12" s="14" t="s">
        <v>29</v>
      </c>
      <c r="C12" s="15">
        <v>3520000</v>
      </c>
      <c r="D12" s="16">
        <v>464.64</v>
      </c>
      <c r="E12" s="16">
        <f t="shared" si="0"/>
        <v>3.3251868997844514</v>
      </c>
      <c r="F12" s="16" t="s">
        <v>30</v>
      </c>
      <c r="G12" s="11"/>
      <c r="H12" s="11"/>
    </row>
    <row r="13" spans="1:8" s="17" customFormat="1" ht="14.25" x14ac:dyDescent="0.3">
      <c r="A13" s="13" t="s">
        <v>31</v>
      </c>
      <c r="B13" s="14" t="s">
        <v>32</v>
      </c>
      <c r="C13" s="15">
        <v>10200</v>
      </c>
      <c r="D13" s="16">
        <v>419.11799999999999</v>
      </c>
      <c r="E13" s="16">
        <f t="shared" si="0"/>
        <v>2.9994096140320674</v>
      </c>
      <c r="F13" s="16" t="s">
        <v>33</v>
      </c>
      <c r="G13" s="11"/>
      <c r="H13" s="18"/>
    </row>
    <row r="14" spans="1:8" s="17" customFormat="1" ht="14.25" x14ac:dyDescent="0.3">
      <c r="A14" s="13" t="s">
        <v>34</v>
      </c>
      <c r="B14" s="14" t="s">
        <v>35</v>
      </c>
      <c r="C14" s="15">
        <v>38425</v>
      </c>
      <c r="D14" s="16">
        <v>406.22910000000002</v>
      </c>
      <c r="E14" s="16">
        <f t="shared" si="0"/>
        <v>2.9071704580561897</v>
      </c>
      <c r="F14" s="16" t="s">
        <v>36</v>
      </c>
      <c r="G14" s="11"/>
      <c r="H14" s="11"/>
    </row>
    <row r="15" spans="1:8" s="17" customFormat="1" ht="14.25" x14ac:dyDescent="0.3">
      <c r="A15" s="13" t="s">
        <v>37</v>
      </c>
      <c r="B15" s="14" t="s">
        <v>17</v>
      </c>
      <c r="C15" s="15">
        <v>125775</v>
      </c>
      <c r="D15" s="16">
        <v>354.056625</v>
      </c>
      <c r="E15" s="16">
        <f t="shared" si="0"/>
        <v>2.5337991805094182</v>
      </c>
      <c r="F15" s="16" t="s">
        <v>38</v>
      </c>
      <c r="G15" s="11"/>
      <c r="H15" s="11"/>
    </row>
    <row r="16" spans="1:8" s="17" customFormat="1" ht="14.25" x14ac:dyDescent="0.3">
      <c r="A16" s="13" t="s">
        <v>39</v>
      </c>
      <c r="B16" s="14" t="s">
        <v>17</v>
      </c>
      <c r="C16" s="15">
        <v>21000</v>
      </c>
      <c r="D16" s="16">
        <v>318.29700000000003</v>
      </c>
      <c r="E16" s="16">
        <f t="shared" si="0"/>
        <v>2.2778861368816536</v>
      </c>
      <c r="F16" s="16" t="s">
        <v>40</v>
      </c>
      <c r="G16" s="11"/>
      <c r="H16" s="11"/>
    </row>
    <row r="17" spans="1:8" s="17" customFormat="1" ht="14.25" x14ac:dyDescent="0.3">
      <c r="A17" s="13" t="s">
        <v>41</v>
      </c>
      <c r="B17" s="14" t="s">
        <v>42</v>
      </c>
      <c r="C17" s="15">
        <v>192000</v>
      </c>
      <c r="D17" s="16">
        <v>315.26400000000001</v>
      </c>
      <c r="E17" s="16">
        <f t="shared" si="0"/>
        <v>2.2561805328289544</v>
      </c>
      <c r="F17" s="16" t="s">
        <v>43</v>
      </c>
      <c r="G17" s="11"/>
      <c r="H17" s="10"/>
    </row>
    <row r="18" spans="1:8" s="17" customFormat="1" ht="14.25" x14ac:dyDescent="0.3">
      <c r="A18" s="13" t="s">
        <v>44</v>
      </c>
      <c r="B18" s="14" t="s">
        <v>45</v>
      </c>
      <c r="C18" s="15">
        <v>160000</v>
      </c>
      <c r="D18" s="16">
        <v>308.24</v>
      </c>
      <c r="E18" s="16">
        <f t="shared" si="0"/>
        <v>2.2059134168163723</v>
      </c>
      <c r="F18" s="16" t="s">
        <v>46</v>
      </c>
      <c r="G18" s="11"/>
      <c r="H18" s="11"/>
    </row>
    <row r="19" spans="1:8" s="17" customFormat="1" ht="14.25" x14ac:dyDescent="0.3">
      <c r="A19" s="13" t="s">
        <v>47</v>
      </c>
      <c r="B19" s="14" t="s">
        <v>17</v>
      </c>
      <c r="C19" s="15">
        <v>18400</v>
      </c>
      <c r="D19" s="16">
        <v>298.80680000000001</v>
      </c>
      <c r="E19" s="16">
        <f t="shared" si="0"/>
        <v>2.1384049090188375</v>
      </c>
      <c r="F19" s="16" t="s">
        <v>48</v>
      </c>
      <c r="G19" s="11"/>
      <c r="H19" s="11"/>
    </row>
    <row r="20" spans="1:8" s="17" customFormat="1" ht="14.25" x14ac:dyDescent="0.3">
      <c r="A20" s="13" t="s">
        <v>49</v>
      </c>
      <c r="B20" s="14" t="s">
        <v>50</v>
      </c>
      <c r="C20" s="15">
        <v>75200</v>
      </c>
      <c r="D20" s="16">
        <v>297.45359999999999</v>
      </c>
      <c r="E20" s="16">
        <f t="shared" si="0"/>
        <v>2.1287207601879397</v>
      </c>
      <c r="F20" s="16" t="s">
        <v>51</v>
      </c>
      <c r="G20" s="11"/>
      <c r="H20" s="11"/>
    </row>
    <row r="21" spans="1:8" s="17" customFormat="1" ht="14.25" x14ac:dyDescent="0.3">
      <c r="A21" s="13" t="s">
        <v>52</v>
      </c>
      <c r="B21" s="14" t="s">
        <v>53</v>
      </c>
      <c r="C21" s="15">
        <v>93000</v>
      </c>
      <c r="D21" s="16">
        <v>288.81150000000002</v>
      </c>
      <c r="E21" s="16">
        <f t="shared" si="0"/>
        <v>2.0668737437738836</v>
      </c>
      <c r="F21" s="16" t="s">
        <v>54</v>
      </c>
      <c r="G21" s="11"/>
      <c r="H21" s="10"/>
    </row>
    <row r="22" spans="1:8" s="17" customFormat="1" ht="14.25" x14ac:dyDescent="0.3">
      <c r="A22" s="13" t="s">
        <v>55</v>
      </c>
      <c r="B22" s="14" t="s">
        <v>56</v>
      </c>
      <c r="C22" s="15">
        <v>5000</v>
      </c>
      <c r="D22" s="16">
        <v>283.32749999999999</v>
      </c>
      <c r="E22" s="16">
        <f t="shared" si="0"/>
        <v>2.0276276070692987</v>
      </c>
      <c r="F22" s="16" t="s">
        <v>57</v>
      </c>
      <c r="G22" s="11"/>
      <c r="H22" s="10"/>
    </row>
    <row r="23" spans="1:8" s="17" customFormat="1" ht="14.25" x14ac:dyDescent="0.3">
      <c r="A23" s="13" t="s">
        <v>58</v>
      </c>
      <c r="B23" s="14" t="s">
        <v>35</v>
      </c>
      <c r="C23" s="15">
        <v>87500</v>
      </c>
      <c r="D23" s="16">
        <v>261.23124999999999</v>
      </c>
      <c r="E23" s="16">
        <f t="shared" si="0"/>
        <v>1.8694962343197248</v>
      </c>
      <c r="F23" s="16" t="s">
        <v>59</v>
      </c>
      <c r="G23" s="11"/>
      <c r="H23" s="11"/>
    </row>
    <row r="24" spans="1:8" s="17" customFormat="1" ht="14.25" x14ac:dyDescent="0.3">
      <c r="A24" s="13" t="s">
        <v>60</v>
      </c>
      <c r="B24" s="14" t="s">
        <v>61</v>
      </c>
      <c r="C24" s="15">
        <v>11400</v>
      </c>
      <c r="D24" s="16">
        <v>254.2713</v>
      </c>
      <c r="E24" s="16">
        <f t="shared" si="0"/>
        <v>1.8196874908556346</v>
      </c>
      <c r="F24" s="16" t="s">
        <v>62</v>
      </c>
      <c r="G24" s="11"/>
      <c r="H24" s="11"/>
    </row>
    <row r="25" spans="1:8" s="17" customFormat="1" ht="14.25" x14ac:dyDescent="0.3">
      <c r="A25" s="13" t="s">
        <v>63</v>
      </c>
      <c r="B25" s="14" t="s">
        <v>64</v>
      </c>
      <c r="C25" s="15">
        <v>24000</v>
      </c>
      <c r="D25" s="16">
        <v>246.72</v>
      </c>
      <c r="E25" s="16">
        <f t="shared" si="0"/>
        <v>1.7656467629020745</v>
      </c>
      <c r="F25" s="16" t="s">
        <v>65</v>
      </c>
      <c r="G25" s="11"/>
      <c r="H25" s="11"/>
    </row>
    <row r="26" spans="1:8" s="17" customFormat="1" ht="14.25" x14ac:dyDescent="0.3">
      <c r="A26" s="13" t="s">
        <v>66</v>
      </c>
      <c r="B26" s="14" t="s">
        <v>17</v>
      </c>
      <c r="C26" s="15">
        <v>32400</v>
      </c>
      <c r="D26" s="16">
        <v>201.51179999999999</v>
      </c>
      <c r="E26" s="16">
        <f t="shared" si="0"/>
        <v>1.4421151805956964</v>
      </c>
      <c r="F26" s="16" t="s">
        <v>67</v>
      </c>
      <c r="G26" s="11"/>
      <c r="H26" s="11"/>
    </row>
    <row r="27" spans="1:8" s="17" customFormat="1" ht="14.25" x14ac:dyDescent="0.3">
      <c r="A27" s="13" t="s">
        <v>68</v>
      </c>
      <c r="B27" s="14" t="s">
        <v>69</v>
      </c>
      <c r="C27" s="15">
        <v>64800</v>
      </c>
      <c r="D27" s="16">
        <v>195.59880000000001</v>
      </c>
      <c r="E27" s="16">
        <f t="shared" si="0"/>
        <v>1.3997989139410274</v>
      </c>
      <c r="F27" s="16" t="s">
        <v>70</v>
      </c>
      <c r="G27" s="11"/>
      <c r="H27" s="10"/>
    </row>
    <row r="28" spans="1:8" s="17" customFormat="1" ht="14.25" x14ac:dyDescent="0.3">
      <c r="A28" s="13" t="s">
        <v>71</v>
      </c>
      <c r="B28" s="14" t="s">
        <v>72</v>
      </c>
      <c r="C28" s="15">
        <v>2300</v>
      </c>
      <c r="D28" s="16">
        <v>191.86025000000001</v>
      </c>
      <c r="E28" s="16">
        <f t="shared" si="0"/>
        <v>1.3730440553748491</v>
      </c>
      <c r="F28" s="16" t="s">
        <v>73</v>
      </c>
      <c r="G28" s="11"/>
      <c r="H28" s="11"/>
    </row>
    <row r="29" spans="1:8" s="17" customFormat="1" ht="14.25" x14ac:dyDescent="0.3">
      <c r="A29" s="13" t="s">
        <v>74</v>
      </c>
      <c r="B29" s="14" t="s">
        <v>29</v>
      </c>
      <c r="C29" s="15">
        <v>10000</v>
      </c>
      <c r="D29" s="16">
        <v>172.98500000000001</v>
      </c>
      <c r="E29" s="16">
        <f t="shared" si="0"/>
        <v>1.2379637049311583</v>
      </c>
      <c r="F29" s="16" t="s">
        <v>75</v>
      </c>
      <c r="G29" s="11"/>
      <c r="H29" s="10"/>
    </row>
    <row r="30" spans="1:8" s="17" customFormat="1" ht="14.25" x14ac:dyDescent="0.3">
      <c r="A30" s="13" t="s">
        <v>76</v>
      </c>
      <c r="B30" s="14" t="s">
        <v>77</v>
      </c>
      <c r="C30" s="15">
        <v>39750</v>
      </c>
      <c r="D30" s="16">
        <v>153.435</v>
      </c>
      <c r="E30" s="16">
        <f t="shared" si="0"/>
        <v>1.0980545195601483</v>
      </c>
      <c r="F30" s="16" t="s">
        <v>78</v>
      </c>
      <c r="G30" s="11"/>
      <c r="H30" s="11"/>
    </row>
    <row r="31" spans="1:8" s="17" customFormat="1" ht="14.25" x14ac:dyDescent="0.3">
      <c r="A31" s="13" t="s">
        <v>79</v>
      </c>
      <c r="B31" s="14" t="s">
        <v>35</v>
      </c>
      <c r="C31" s="15">
        <v>3800</v>
      </c>
      <c r="D31" s="16">
        <v>152.09119999999999</v>
      </c>
      <c r="E31" s="16">
        <f t="shared" si="0"/>
        <v>1.0884376416419097</v>
      </c>
      <c r="F31" s="16" t="s">
        <v>80</v>
      </c>
      <c r="G31" s="11"/>
      <c r="H31" s="11"/>
    </row>
    <row r="32" spans="1:8" s="17" customFormat="1" ht="14.25" x14ac:dyDescent="0.3">
      <c r="A32" s="13" t="s">
        <v>81</v>
      </c>
      <c r="B32" s="14" t="s">
        <v>82</v>
      </c>
      <c r="C32" s="15">
        <v>22000</v>
      </c>
      <c r="D32" s="16">
        <v>148.24700000000001</v>
      </c>
      <c r="E32" s="16">
        <f t="shared" si="0"/>
        <v>1.0609267009563224</v>
      </c>
      <c r="F32" s="16" t="s">
        <v>83</v>
      </c>
      <c r="G32" s="11"/>
      <c r="H32" s="11"/>
    </row>
    <row r="33" spans="1:8" s="17" customFormat="1" ht="14.25" x14ac:dyDescent="0.3">
      <c r="A33" s="13" t="s">
        <v>84</v>
      </c>
      <c r="B33" s="14" t="s">
        <v>85</v>
      </c>
      <c r="C33" s="15">
        <v>4750</v>
      </c>
      <c r="D33" s="16">
        <v>125.761</v>
      </c>
      <c r="E33" s="16">
        <f t="shared" si="0"/>
        <v>0.90000609009941535</v>
      </c>
      <c r="F33" s="16" t="s">
        <v>86</v>
      </c>
      <c r="G33" s="11"/>
      <c r="H33" s="11"/>
    </row>
    <row r="34" spans="1:8" s="17" customFormat="1" ht="14.25" x14ac:dyDescent="0.3">
      <c r="A34" s="13" t="s">
        <v>87</v>
      </c>
      <c r="B34" s="14" t="s">
        <v>82</v>
      </c>
      <c r="C34" s="15">
        <v>11250</v>
      </c>
      <c r="D34" s="16">
        <v>104.02875</v>
      </c>
      <c r="E34" s="16">
        <f t="shared" si="0"/>
        <v>0.74447967609536791</v>
      </c>
      <c r="F34" s="16" t="s">
        <v>88</v>
      </c>
      <c r="G34" s="11"/>
      <c r="H34" s="10"/>
    </row>
    <row r="35" spans="1:8" s="17" customFormat="1" ht="14.25" x14ac:dyDescent="0.3">
      <c r="A35" s="13" t="s">
        <v>89</v>
      </c>
      <c r="B35" s="14" t="s">
        <v>45</v>
      </c>
      <c r="C35" s="15">
        <v>2750</v>
      </c>
      <c r="D35" s="16">
        <v>92.360124999999996</v>
      </c>
      <c r="E35" s="16">
        <f t="shared" si="0"/>
        <v>0.6609733938370661</v>
      </c>
      <c r="F35" s="16" t="s">
        <v>90</v>
      </c>
      <c r="G35" s="11"/>
      <c r="H35" s="11"/>
    </row>
    <row r="36" spans="1:8" s="17" customFormat="1" ht="14.25" x14ac:dyDescent="0.3">
      <c r="A36" s="13" t="s">
        <v>91</v>
      </c>
      <c r="B36" s="14" t="s">
        <v>92</v>
      </c>
      <c r="C36" s="15">
        <v>1500</v>
      </c>
      <c r="D36" s="16">
        <v>90.806250000000006</v>
      </c>
      <c r="E36" s="16">
        <f t="shared" si="0"/>
        <v>0.64985311836809545</v>
      </c>
      <c r="F36" s="16" t="s">
        <v>93</v>
      </c>
      <c r="G36" s="11"/>
      <c r="H36" s="18"/>
    </row>
    <row r="37" spans="1:8" s="17" customFormat="1" ht="14.25" x14ac:dyDescent="0.3">
      <c r="A37" s="13" t="s">
        <v>94</v>
      </c>
      <c r="B37" s="14" t="s">
        <v>95</v>
      </c>
      <c r="C37" s="15">
        <v>15400</v>
      </c>
      <c r="D37" s="16">
        <v>89.882099999999994</v>
      </c>
      <c r="E37" s="16">
        <f t="shared" si="0"/>
        <v>0.64323945731128618</v>
      </c>
      <c r="F37" s="16" t="s">
        <v>96</v>
      </c>
      <c r="G37" s="11"/>
      <c r="H37" s="11"/>
    </row>
    <row r="38" spans="1:8" s="17" customFormat="1" ht="14.25" x14ac:dyDescent="0.3">
      <c r="A38" s="13" t="s">
        <v>97</v>
      </c>
      <c r="B38" s="14" t="s">
        <v>98</v>
      </c>
      <c r="C38" s="15">
        <v>11700</v>
      </c>
      <c r="D38" s="16">
        <v>83.380049999999997</v>
      </c>
      <c r="E38" s="16">
        <f t="shared" si="0"/>
        <v>0.59670766607130798</v>
      </c>
      <c r="F38" s="16" t="s">
        <v>99</v>
      </c>
      <c r="G38" s="11"/>
      <c r="H38" s="11"/>
    </row>
    <row r="39" spans="1:8" s="17" customFormat="1" ht="14.25" x14ac:dyDescent="0.3">
      <c r="A39" s="13" t="s">
        <v>100</v>
      </c>
      <c r="B39" s="14" t="s">
        <v>101</v>
      </c>
      <c r="C39" s="15">
        <v>3850</v>
      </c>
      <c r="D39" s="16">
        <v>79.31</v>
      </c>
      <c r="E39" s="16">
        <f t="shared" si="0"/>
        <v>0.56758043436188199</v>
      </c>
      <c r="F39" s="16" t="s">
        <v>102</v>
      </c>
      <c r="G39" s="11"/>
      <c r="H39" s="10"/>
    </row>
    <row r="40" spans="1:8" s="17" customFormat="1" ht="14.25" x14ac:dyDescent="0.3">
      <c r="A40" s="13" t="s">
        <v>103</v>
      </c>
      <c r="B40" s="14" t="s">
        <v>69</v>
      </c>
      <c r="C40" s="15">
        <v>16875</v>
      </c>
      <c r="D40" s="16">
        <v>75.810937499999994</v>
      </c>
      <c r="E40" s="16">
        <f t="shared" si="0"/>
        <v>0.54253946331649827</v>
      </c>
      <c r="F40" s="16" t="s">
        <v>104</v>
      </c>
      <c r="G40" s="11"/>
      <c r="H40" s="10"/>
    </row>
    <row r="41" spans="1:8" s="17" customFormat="1" ht="14.25" x14ac:dyDescent="0.3">
      <c r="A41" s="13" t="s">
        <v>105</v>
      </c>
      <c r="B41" s="14" t="s">
        <v>23</v>
      </c>
      <c r="C41" s="15">
        <v>43875</v>
      </c>
      <c r="D41" s="16">
        <v>74.0829375</v>
      </c>
      <c r="E41" s="16">
        <f t="shared" si="0"/>
        <v>0.53017306575531653</v>
      </c>
      <c r="F41" s="16" t="s">
        <v>106</v>
      </c>
      <c r="G41" s="11"/>
      <c r="H41" s="11"/>
    </row>
    <row r="42" spans="1:8" s="17" customFormat="1" ht="14.25" x14ac:dyDescent="0.3">
      <c r="A42" s="13" t="s">
        <v>107</v>
      </c>
      <c r="B42" s="14" t="s">
        <v>17</v>
      </c>
      <c r="C42" s="15">
        <v>6250</v>
      </c>
      <c r="D42" s="16">
        <v>72.868750000000006</v>
      </c>
      <c r="E42" s="16">
        <f t="shared" si="0"/>
        <v>0.52148375711016759</v>
      </c>
      <c r="F42" s="16" t="s">
        <v>108</v>
      </c>
      <c r="G42" s="11"/>
      <c r="H42" s="11"/>
    </row>
    <row r="43" spans="1:8" s="17" customFormat="1" ht="14.25" x14ac:dyDescent="0.3">
      <c r="A43" s="13" t="s">
        <v>109</v>
      </c>
      <c r="B43" s="14" t="s">
        <v>42</v>
      </c>
      <c r="C43" s="15">
        <v>38500</v>
      </c>
      <c r="D43" s="16">
        <v>63.524999999999999</v>
      </c>
      <c r="E43" s="16">
        <f t="shared" si="0"/>
        <v>0.4546153964549054</v>
      </c>
      <c r="F43" s="16" t="s">
        <v>110</v>
      </c>
      <c r="G43" s="11"/>
      <c r="H43" s="10"/>
    </row>
    <row r="44" spans="1:8" s="17" customFormat="1" ht="14.25" x14ac:dyDescent="0.3">
      <c r="A44" s="13" t="s">
        <v>111</v>
      </c>
      <c r="B44" s="14" t="s">
        <v>35</v>
      </c>
      <c r="C44" s="15">
        <v>14000</v>
      </c>
      <c r="D44" s="16">
        <v>59.262</v>
      </c>
      <c r="E44" s="16">
        <f t="shared" si="0"/>
        <v>0.42410732191594819</v>
      </c>
      <c r="F44" s="16" t="s">
        <v>112</v>
      </c>
      <c r="G44" s="11"/>
      <c r="H44" s="11"/>
    </row>
    <row r="45" spans="1:8" s="17" customFormat="1" ht="14.25" x14ac:dyDescent="0.3">
      <c r="A45" s="13" t="s">
        <v>113</v>
      </c>
      <c r="B45" s="14" t="s">
        <v>92</v>
      </c>
      <c r="C45" s="15">
        <v>1200</v>
      </c>
      <c r="D45" s="16">
        <v>52.918799999999997</v>
      </c>
      <c r="E45" s="16">
        <f t="shared" si="0"/>
        <v>0.3787123375351098</v>
      </c>
      <c r="F45" s="16" t="s">
        <v>114</v>
      </c>
      <c r="G45" s="11"/>
      <c r="H45" s="10"/>
    </row>
    <row r="46" spans="1:8" s="17" customFormat="1" ht="14.25" x14ac:dyDescent="0.3">
      <c r="A46" s="13" t="s">
        <v>115</v>
      </c>
      <c r="B46" s="14" t="s">
        <v>77</v>
      </c>
      <c r="C46" s="15">
        <v>7000</v>
      </c>
      <c r="D46" s="16">
        <v>45.107999999999997</v>
      </c>
      <c r="E46" s="16">
        <f t="shared" si="0"/>
        <v>0.32281450300335102</v>
      </c>
      <c r="F46" s="16" t="s">
        <v>116</v>
      </c>
      <c r="G46" s="11"/>
      <c r="H46" s="11"/>
    </row>
    <row r="47" spans="1:8" s="17" customFormat="1" ht="14.25" x14ac:dyDescent="0.3">
      <c r="A47" s="13" t="s">
        <v>117</v>
      </c>
      <c r="B47" s="14" t="s">
        <v>118</v>
      </c>
      <c r="C47" s="15">
        <v>150</v>
      </c>
      <c r="D47" s="16">
        <v>44.034075000000001</v>
      </c>
      <c r="E47" s="16">
        <f t="shared" si="0"/>
        <v>0.31512898014403845</v>
      </c>
      <c r="F47" s="16" t="s">
        <v>119</v>
      </c>
      <c r="G47" s="11"/>
      <c r="H47" s="11"/>
    </row>
    <row r="48" spans="1:8" s="17" customFormat="1" ht="14.25" x14ac:dyDescent="0.3">
      <c r="A48" s="13" t="s">
        <v>120</v>
      </c>
      <c r="B48" s="14" t="s">
        <v>23</v>
      </c>
      <c r="C48" s="15">
        <v>5400</v>
      </c>
      <c r="D48" s="16">
        <v>32.796900000000001</v>
      </c>
      <c r="E48" s="16">
        <f t="shared" si="0"/>
        <v>0.23471036121199351</v>
      </c>
      <c r="F48" s="16" t="s">
        <v>121</v>
      </c>
      <c r="G48" s="11"/>
      <c r="H48" s="11"/>
    </row>
    <row r="49" spans="1:8" s="17" customFormat="1" ht="14.25" x14ac:dyDescent="0.3">
      <c r="A49" s="13" t="s">
        <v>122</v>
      </c>
      <c r="B49" s="14" t="s">
        <v>17</v>
      </c>
      <c r="C49" s="15">
        <v>20000</v>
      </c>
      <c r="D49" s="16">
        <v>32.14</v>
      </c>
      <c r="E49" s="16">
        <f t="shared" si="0"/>
        <v>0.23000926945392622</v>
      </c>
      <c r="F49" s="16" t="s">
        <v>123</v>
      </c>
      <c r="G49" s="11"/>
      <c r="H49" s="11"/>
    </row>
    <row r="50" spans="1:8" s="17" customFormat="1" ht="14.25" x14ac:dyDescent="0.3">
      <c r="A50" s="13" t="s">
        <v>124</v>
      </c>
      <c r="B50" s="14" t="s">
        <v>42</v>
      </c>
      <c r="C50" s="15">
        <v>2700</v>
      </c>
      <c r="D50" s="16">
        <v>23.819400000000002</v>
      </c>
      <c r="E50" s="16">
        <f t="shared" si="0"/>
        <v>0.17046306138241599</v>
      </c>
      <c r="F50" s="16" t="s">
        <v>125</v>
      </c>
      <c r="G50" s="11"/>
      <c r="H50" s="11"/>
    </row>
    <row r="51" spans="1:8" s="17" customFormat="1" ht="14.25" x14ac:dyDescent="0.3">
      <c r="A51" s="13" t="s">
        <v>126</v>
      </c>
      <c r="B51" s="14" t="s">
        <v>95</v>
      </c>
      <c r="C51" s="15">
        <v>1500</v>
      </c>
      <c r="D51" s="16">
        <v>21.548249999999999</v>
      </c>
      <c r="E51" s="16">
        <f t="shared" si="0"/>
        <v>0.15420962167114391</v>
      </c>
      <c r="F51" s="16" t="s">
        <v>127</v>
      </c>
      <c r="G51" s="11"/>
      <c r="H51" s="10"/>
    </row>
    <row r="52" spans="1:8" s="17" customFormat="1" ht="14.25" x14ac:dyDescent="0.3">
      <c r="A52" s="13" t="s">
        <v>128</v>
      </c>
      <c r="B52" s="14" t="s">
        <v>129</v>
      </c>
      <c r="C52" s="15">
        <v>22500</v>
      </c>
      <c r="D52" s="16">
        <v>19.158750000000001</v>
      </c>
      <c r="E52" s="16">
        <f t="shared" si="0"/>
        <v>0.13710921254357214</v>
      </c>
      <c r="F52" s="16" t="s">
        <v>130</v>
      </c>
      <c r="G52" s="11"/>
      <c r="H52" s="11"/>
    </row>
    <row r="53" spans="1:8" s="17" customFormat="1" ht="14.25" x14ac:dyDescent="0.3">
      <c r="A53" s="13" t="s">
        <v>131</v>
      </c>
      <c r="B53" s="14" t="s">
        <v>132</v>
      </c>
      <c r="C53" s="15">
        <v>600</v>
      </c>
      <c r="D53" s="16">
        <v>15.190799999999999</v>
      </c>
      <c r="E53" s="16">
        <f t="shared" si="0"/>
        <v>0.10871265744930622</v>
      </c>
      <c r="F53" s="16" t="s">
        <v>133</v>
      </c>
      <c r="G53" s="11"/>
      <c r="H53" s="11"/>
    </row>
    <row r="54" spans="1:8" s="17" customFormat="1" ht="14.25" x14ac:dyDescent="0.3">
      <c r="A54" s="13" t="s">
        <v>134</v>
      </c>
      <c r="B54" s="14" t="s">
        <v>135</v>
      </c>
      <c r="C54" s="15">
        <v>1050</v>
      </c>
      <c r="D54" s="16">
        <v>14.349299999999999</v>
      </c>
      <c r="E54" s="16">
        <f t="shared" si="0"/>
        <v>0.10269047947029318</v>
      </c>
      <c r="F54" s="16" t="s">
        <v>136</v>
      </c>
      <c r="G54" s="11"/>
      <c r="H54" s="11"/>
    </row>
    <row r="55" spans="1:8" s="17" customFormat="1" ht="14.25" x14ac:dyDescent="0.3">
      <c r="A55" s="13" t="s">
        <v>137</v>
      </c>
      <c r="B55" s="14" t="s">
        <v>72</v>
      </c>
      <c r="C55" s="15">
        <v>3600</v>
      </c>
      <c r="D55" s="16">
        <v>11.462400000000001</v>
      </c>
      <c r="E55" s="16">
        <f t="shared" si="0"/>
        <v>8.2030437155839575E-2</v>
      </c>
      <c r="F55" s="16" t="s">
        <v>138</v>
      </c>
      <c r="G55" s="11"/>
      <c r="H55" s="11"/>
    </row>
    <row r="56" spans="1:8" s="17" customFormat="1" ht="14.25" x14ac:dyDescent="0.3">
      <c r="A56" s="13" t="s">
        <v>139</v>
      </c>
      <c r="B56" s="14" t="s">
        <v>35</v>
      </c>
      <c r="C56" s="15">
        <v>40</v>
      </c>
      <c r="D56" s="16">
        <v>10.578419999999999</v>
      </c>
      <c r="E56" s="16">
        <f t="shared" si="0"/>
        <v>7.5704251903447484E-2</v>
      </c>
      <c r="F56" s="16" t="s">
        <v>140</v>
      </c>
      <c r="G56" s="11"/>
      <c r="H56" s="11"/>
    </row>
    <row r="57" spans="1:8" s="17" customFormat="1" ht="14.25" x14ac:dyDescent="0.3">
      <c r="A57" s="13" t="s">
        <v>141</v>
      </c>
      <c r="B57" s="14" t="s">
        <v>142</v>
      </c>
      <c r="C57" s="15">
        <v>700</v>
      </c>
      <c r="D57" s="16">
        <v>8.2390000000000008</v>
      </c>
      <c r="E57" s="16">
        <f t="shared" si="0"/>
        <v>5.8962239297787752E-2</v>
      </c>
      <c r="F57" s="16" t="s">
        <v>143</v>
      </c>
      <c r="G57" s="11"/>
      <c r="H57" s="18"/>
    </row>
    <row r="58" spans="1:8" s="17" customFormat="1" ht="14.25" x14ac:dyDescent="0.3">
      <c r="A58" s="13" t="s">
        <v>144</v>
      </c>
      <c r="B58" s="14" t="s">
        <v>132</v>
      </c>
      <c r="C58" s="15">
        <v>850</v>
      </c>
      <c r="D58" s="16">
        <v>6.7541000000000002</v>
      </c>
      <c r="E58" s="16">
        <f t="shared" si="0"/>
        <v>4.8335582041654106E-2</v>
      </c>
      <c r="F58" s="16" t="s">
        <v>145</v>
      </c>
      <c r="G58" s="11"/>
      <c r="H58" s="10"/>
    </row>
    <row r="59" spans="1:8" s="17" customFormat="1" ht="14.25" x14ac:dyDescent="0.3">
      <c r="A59" s="12" t="s">
        <v>146</v>
      </c>
      <c r="B59" s="14"/>
      <c r="C59" s="15"/>
      <c r="D59" s="19">
        <f>IF(ISERROR(SUM(D7:D58)),0,SUM(D7:D58))</f>
        <v>10212.136819999998</v>
      </c>
      <c r="E59" s="19">
        <f>IF(ISERROR(SUM(E7:E58)),0,SUM(E7:E58))</f>
        <v>73.082953625754271</v>
      </c>
      <c r="F59" s="19"/>
      <c r="G59" s="11"/>
      <c r="H59" s="10"/>
    </row>
    <row r="60" spans="1:8" s="17" customFormat="1" ht="14.25" x14ac:dyDescent="0.3">
      <c r="A60" s="12"/>
      <c r="B60" s="12"/>
      <c r="C60" s="20"/>
      <c r="D60" s="21"/>
      <c r="E60" s="21"/>
      <c r="F60" s="21"/>
      <c r="G60" s="11"/>
      <c r="H60" s="10"/>
    </row>
    <row r="61" spans="1:8" s="17" customFormat="1" ht="14.25" x14ac:dyDescent="0.3">
      <c r="A61" s="12" t="s">
        <v>147</v>
      </c>
      <c r="B61" s="12"/>
      <c r="C61" s="20"/>
      <c r="D61" s="22" t="s">
        <v>148</v>
      </c>
      <c r="E61" s="22" t="s">
        <v>148</v>
      </c>
      <c r="F61" s="22"/>
      <c r="G61" s="11"/>
      <c r="H61" s="10"/>
    </row>
    <row r="62" spans="1:8" s="17" customFormat="1" ht="14.25" x14ac:dyDescent="0.3">
      <c r="A62" s="12"/>
      <c r="B62" s="5"/>
      <c r="C62" s="20"/>
      <c r="D62" s="22"/>
      <c r="E62" s="22"/>
      <c r="F62" s="23"/>
      <c r="G62" s="11"/>
      <c r="H62" s="10"/>
    </row>
    <row r="63" spans="1:8" s="17" customFormat="1" ht="14.25" x14ac:dyDescent="0.3">
      <c r="A63" s="12" t="s">
        <v>149</v>
      </c>
      <c r="B63" s="12"/>
      <c r="C63" s="20"/>
      <c r="D63" s="19">
        <f>IF(ISERROR(+D59),0,D59)+IF(ISERROR(+#REF!),0,#REF!)</f>
        <v>10212.136819999998</v>
      </c>
      <c r="E63" s="19">
        <f>IF(ISERROR(+E59),0,E59)+IF(ISERROR(+#REF!),0,#REF!)</f>
        <v>73.082953625754271</v>
      </c>
      <c r="F63" s="24"/>
      <c r="G63" s="11"/>
      <c r="H63" s="10"/>
    </row>
    <row r="64" spans="1:8" s="17" customFormat="1" ht="14.25" x14ac:dyDescent="0.3">
      <c r="A64" s="12"/>
      <c r="B64" s="5"/>
      <c r="C64" s="20"/>
      <c r="D64" s="22"/>
      <c r="E64" s="22"/>
      <c r="F64" s="23"/>
      <c r="G64" s="11"/>
      <c r="H64" s="10"/>
    </row>
    <row r="65" spans="1:8" s="17" customFormat="1" ht="14.25" x14ac:dyDescent="0.3">
      <c r="A65" s="12" t="s">
        <v>150</v>
      </c>
      <c r="B65" s="5"/>
      <c r="C65" s="20"/>
      <c r="D65" s="22"/>
      <c r="E65" s="22"/>
      <c r="F65" s="23"/>
      <c r="G65" s="11"/>
      <c r="H65" s="10"/>
    </row>
    <row r="66" spans="1:8" s="17" customFormat="1" ht="14.25" x14ac:dyDescent="0.3">
      <c r="A66" s="12" t="s">
        <v>12</v>
      </c>
      <c r="B66" s="5"/>
      <c r="C66" s="20"/>
      <c r="D66" s="22" t="s">
        <v>148</v>
      </c>
      <c r="E66" s="22" t="s">
        <v>148</v>
      </c>
      <c r="F66" s="25"/>
      <c r="G66" s="11"/>
      <c r="H66" s="10"/>
    </row>
    <row r="67" spans="1:8" s="17" customFormat="1" ht="14.25" x14ac:dyDescent="0.3">
      <c r="A67" s="12"/>
      <c r="B67" s="5"/>
      <c r="C67" s="26"/>
      <c r="D67" s="25"/>
      <c r="E67" s="25"/>
      <c r="F67" s="25"/>
      <c r="G67" s="11"/>
      <c r="H67" s="10"/>
    </row>
    <row r="68" spans="1:8" s="17" customFormat="1" ht="14.25" x14ac:dyDescent="0.3">
      <c r="A68" s="12" t="s">
        <v>151</v>
      </c>
      <c r="B68" s="5"/>
      <c r="C68" s="26"/>
      <c r="D68" s="22" t="s">
        <v>148</v>
      </c>
      <c r="E68" s="22" t="s">
        <v>148</v>
      </c>
      <c r="F68" s="23"/>
      <c r="G68" s="11"/>
      <c r="H68" s="10"/>
    </row>
    <row r="69" spans="1:8" s="17" customFormat="1" ht="14.25" x14ac:dyDescent="0.3">
      <c r="A69" s="12"/>
      <c r="B69" s="5"/>
      <c r="C69" s="26"/>
      <c r="D69" s="22"/>
      <c r="E69" s="22"/>
      <c r="F69" s="22"/>
      <c r="G69" s="11"/>
      <c r="H69" s="10"/>
    </row>
    <row r="70" spans="1:8" s="17" customFormat="1" ht="14.25" x14ac:dyDescent="0.3">
      <c r="A70" s="12" t="s">
        <v>152</v>
      </c>
      <c r="B70" s="5"/>
      <c r="C70" s="26"/>
      <c r="D70" s="22"/>
      <c r="E70" s="22"/>
      <c r="F70" s="22"/>
      <c r="G70" s="11"/>
      <c r="H70" s="10"/>
    </row>
    <row r="71" spans="1:8" s="17" customFormat="1" ht="14.25" x14ac:dyDescent="0.3">
      <c r="A71" s="12"/>
      <c r="B71" s="5"/>
      <c r="C71" s="26"/>
      <c r="D71" s="16"/>
      <c r="E71" s="16"/>
      <c r="F71" s="27"/>
      <c r="G71" s="11"/>
      <c r="H71" s="10"/>
    </row>
    <row r="72" spans="1:8" s="17" customFormat="1" ht="14.25" x14ac:dyDescent="0.3">
      <c r="A72" s="12" t="s">
        <v>153</v>
      </c>
      <c r="B72" s="5"/>
      <c r="C72" s="26"/>
      <c r="D72" s="22" t="s">
        <v>148</v>
      </c>
      <c r="E72" s="22" t="s">
        <v>148</v>
      </c>
      <c r="F72" s="22"/>
      <c r="G72" s="11"/>
      <c r="H72" s="10"/>
    </row>
    <row r="73" spans="1:8" s="17" customFormat="1" ht="14.25" x14ac:dyDescent="0.3">
      <c r="A73" s="12"/>
      <c r="B73" s="5"/>
      <c r="C73" s="26"/>
      <c r="D73" s="22"/>
      <c r="E73" s="22"/>
      <c r="F73" s="22"/>
      <c r="G73" s="11"/>
      <c r="H73" s="10"/>
    </row>
    <row r="74" spans="1:8" s="17" customFormat="1" ht="14.25" x14ac:dyDescent="0.3">
      <c r="A74" s="12" t="s">
        <v>154</v>
      </c>
      <c r="B74" s="5"/>
      <c r="C74" s="26"/>
      <c r="D74" s="22" t="s">
        <v>148</v>
      </c>
      <c r="E74" s="22" t="s">
        <v>148</v>
      </c>
      <c r="F74" s="22"/>
      <c r="G74" s="11"/>
      <c r="H74" s="10"/>
    </row>
    <row r="75" spans="1:8" s="17" customFormat="1" ht="14.25" x14ac:dyDescent="0.3">
      <c r="A75" s="12"/>
      <c r="B75" s="5"/>
      <c r="C75" s="26"/>
      <c r="D75" s="22"/>
      <c r="E75" s="22"/>
      <c r="F75" s="22"/>
      <c r="G75" s="11"/>
      <c r="H75" s="10"/>
    </row>
    <row r="76" spans="1:8" s="17" customFormat="1" ht="14.25" x14ac:dyDescent="0.3">
      <c r="A76" s="12" t="s">
        <v>155</v>
      </c>
      <c r="B76" s="5"/>
      <c r="C76" s="26"/>
      <c r="D76" s="22"/>
      <c r="E76" s="22"/>
      <c r="F76" s="23"/>
      <c r="G76" s="11"/>
      <c r="H76" s="10"/>
    </row>
    <row r="77" spans="1:8" s="17" customFormat="1" ht="14.25" x14ac:dyDescent="0.3">
      <c r="A77" s="12" t="s">
        <v>156</v>
      </c>
      <c r="B77" s="14"/>
      <c r="C77" s="15"/>
      <c r="D77" s="16"/>
      <c r="E77" s="25"/>
      <c r="F77" s="28"/>
      <c r="G77" s="11"/>
      <c r="H77" s="10"/>
    </row>
    <row r="78" spans="1:8" s="17" customFormat="1" ht="14.25" x14ac:dyDescent="0.3">
      <c r="A78" s="13" t="s">
        <v>157</v>
      </c>
      <c r="B78" s="14" t="s">
        <v>158</v>
      </c>
      <c r="C78" s="15">
        <v>500000</v>
      </c>
      <c r="D78" s="16">
        <v>494.63150000000002</v>
      </c>
      <c r="E78" s="16">
        <f t="shared" ref="E78:E85" si="1">(+D78/$D$97*100)</f>
        <v>3.5398204718077064</v>
      </c>
      <c r="F78" s="16" t="s">
        <v>159</v>
      </c>
      <c r="G78" s="11">
        <v>6.9500999999999999</v>
      </c>
      <c r="H78" s="10"/>
    </row>
    <row r="79" spans="1:8" s="17" customFormat="1" ht="14.25" x14ac:dyDescent="0.3">
      <c r="A79" s="13" t="s">
        <v>160</v>
      </c>
      <c r="B79" s="14" t="s">
        <v>158</v>
      </c>
      <c r="C79" s="15">
        <v>400000</v>
      </c>
      <c r="D79" s="16">
        <v>397.31119999999999</v>
      </c>
      <c r="E79" s="16">
        <f t="shared" si="1"/>
        <v>2.8433496844387918</v>
      </c>
      <c r="F79" s="16" t="s">
        <v>161</v>
      </c>
      <c r="G79" s="11">
        <v>6.8615000000000004</v>
      </c>
      <c r="H79" s="10"/>
    </row>
    <row r="80" spans="1:8" s="17" customFormat="1" ht="14.25" x14ac:dyDescent="0.3">
      <c r="A80" s="13" t="s">
        <v>162</v>
      </c>
      <c r="B80" s="14" t="s">
        <v>158</v>
      </c>
      <c r="C80" s="15">
        <v>300000</v>
      </c>
      <c r="D80" s="16">
        <v>298.82909999999998</v>
      </c>
      <c r="E80" s="16">
        <f t="shared" si="1"/>
        <v>2.138564498524401</v>
      </c>
      <c r="F80" s="16" t="s">
        <v>163</v>
      </c>
      <c r="G80" s="11">
        <v>6.5007999999999999</v>
      </c>
      <c r="H80" s="10"/>
    </row>
    <row r="81" spans="1:8" s="17" customFormat="1" ht="14.25" x14ac:dyDescent="0.3">
      <c r="A81" s="13" t="s">
        <v>164</v>
      </c>
      <c r="B81" s="14" t="s">
        <v>158</v>
      </c>
      <c r="C81" s="15">
        <v>205000</v>
      </c>
      <c r="D81" s="16">
        <v>202.52483000000001</v>
      </c>
      <c r="E81" s="16">
        <f t="shared" si="1"/>
        <v>1.4493649096011387</v>
      </c>
      <c r="F81" s="16" t="s">
        <v>165</v>
      </c>
      <c r="G81" s="11">
        <v>6.9701000000000004</v>
      </c>
      <c r="H81" s="10"/>
    </row>
    <row r="82" spans="1:8" s="17" customFormat="1" ht="14.25" x14ac:dyDescent="0.3">
      <c r="A82" s="13" t="s">
        <v>166</v>
      </c>
      <c r="B82" s="14" t="s">
        <v>158</v>
      </c>
      <c r="C82" s="15">
        <v>200000</v>
      </c>
      <c r="D82" s="16">
        <v>199.446</v>
      </c>
      <c r="E82" s="16">
        <f t="shared" si="1"/>
        <v>1.4273313240668253</v>
      </c>
      <c r="F82" s="16" t="s">
        <v>167</v>
      </c>
      <c r="G82" s="11">
        <v>6.7591000000000001</v>
      </c>
      <c r="H82" s="10"/>
    </row>
    <row r="83" spans="1:8" s="17" customFormat="1" ht="14.25" x14ac:dyDescent="0.3">
      <c r="A83" s="13" t="s">
        <v>168</v>
      </c>
      <c r="B83" s="14" t="s">
        <v>158</v>
      </c>
      <c r="C83" s="15">
        <v>200000</v>
      </c>
      <c r="D83" s="16">
        <v>198.9222</v>
      </c>
      <c r="E83" s="16">
        <f t="shared" si="1"/>
        <v>1.4235827598060919</v>
      </c>
      <c r="F83" s="16" t="s">
        <v>169</v>
      </c>
      <c r="G83" s="11">
        <v>6.8201000000000001</v>
      </c>
      <c r="H83" s="10"/>
    </row>
    <row r="84" spans="1:8" s="17" customFormat="1" ht="14.25" x14ac:dyDescent="0.3">
      <c r="A84" s="13" t="s">
        <v>170</v>
      </c>
      <c r="B84" s="14" t="s">
        <v>158</v>
      </c>
      <c r="C84" s="15">
        <v>200000</v>
      </c>
      <c r="D84" s="16">
        <v>198.39619999999999</v>
      </c>
      <c r="E84" s="16">
        <f t="shared" si="1"/>
        <v>1.4198184512892045</v>
      </c>
      <c r="F84" s="16" t="s">
        <v>171</v>
      </c>
      <c r="G84" s="11">
        <v>6.8619000000000003</v>
      </c>
      <c r="H84" s="10"/>
    </row>
    <row r="85" spans="1:8" s="17" customFormat="1" ht="14.25" x14ac:dyDescent="0.3">
      <c r="A85" s="13" t="s">
        <v>172</v>
      </c>
      <c r="B85" s="14" t="s">
        <v>158</v>
      </c>
      <c r="C85" s="15">
        <v>200000</v>
      </c>
      <c r="D85" s="16">
        <v>197.28739999999999</v>
      </c>
      <c r="E85" s="16">
        <f t="shared" si="1"/>
        <v>1.411883346187446</v>
      </c>
      <c r="F85" s="16" t="s">
        <v>173</v>
      </c>
      <c r="G85" s="11">
        <v>6.9702000000000002</v>
      </c>
      <c r="H85" s="10"/>
    </row>
    <row r="86" spans="1:8" s="17" customFormat="1" ht="14.25" x14ac:dyDescent="0.3">
      <c r="A86" s="12" t="s">
        <v>146</v>
      </c>
      <c r="B86" s="29"/>
      <c r="C86" s="30"/>
      <c r="D86" s="22">
        <f>IF(ISERROR(SUM(D78:D85)),0,SUM(D78:D85))</f>
        <v>2187.34843</v>
      </c>
      <c r="E86" s="22">
        <f>IF(ISERROR(SUM(E78:E85)),0,SUM(E78:E85))</f>
        <v>15.653715445721605</v>
      </c>
      <c r="F86" s="31"/>
      <c r="G86" s="11"/>
      <c r="H86" s="10"/>
    </row>
    <row r="87" spans="1:8" s="17" customFormat="1" ht="14.25" x14ac:dyDescent="0.3">
      <c r="A87" s="13" t="s">
        <v>174</v>
      </c>
      <c r="B87" s="14"/>
      <c r="C87" s="15">
        <v>0</v>
      </c>
      <c r="D87" s="16">
        <v>216.0400932</v>
      </c>
      <c r="E87" s="16">
        <f>(+D87/$D$97*100)</f>
        <v>1.5460866213344782</v>
      </c>
      <c r="F87" s="16" t="s">
        <v>175</v>
      </c>
      <c r="G87" s="11">
        <v>6.6520999999999999</v>
      </c>
      <c r="H87" s="10"/>
    </row>
    <row r="88" spans="1:8" s="17" customFormat="1" ht="14.25" x14ac:dyDescent="0.3">
      <c r="A88" s="12" t="s">
        <v>146</v>
      </c>
      <c r="B88" s="5"/>
      <c r="C88" s="26"/>
      <c r="D88" s="22">
        <f>IF(ISERROR(SUM(D87:D87)),0,SUM(D87:D87))</f>
        <v>216.0400932</v>
      </c>
      <c r="E88" s="22">
        <f>IF(ISERROR(SUM(E87:E87)),0,SUM(E87:E87))</f>
        <v>1.5460866213344782</v>
      </c>
      <c r="F88" s="16"/>
      <c r="G88" s="11"/>
      <c r="H88" s="10"/>
    </row>
    <row r="89" spans="1:8" s="17" customFormat="1" ht="14.25" x14ac:dyDescent="0.3">
      <c r="A89" s="12" t="s">
        <v>176</v>
      </c>
      <c r="B89" s="5"/>
      <c r="C89" s="26"/>
      <c r="D89" s="22"/>
      <c r="E89" s="22"/>
      <c r="F89" s="22"/>
      <c r="G89" s="11"/>
      <c r="H89" s="10"/>
    </row>
    <row r="90" spans="1:8" s="17" customFormat="1" ht="14.25" x14ac:dyDescent="0.3">
      <c r="A90" s="13" t="s">
        <v>177</v>
      </c>
      <c r="B90" s="14"/>
      <c r="C90" s="15">
        <v>1688851.746</v>
      </c>
      <c r="D90" s="16">
        <v>1121.52422322495</v>
      </c>
      <c r="E90" s="16">
        <f>(+D90/$D$97*100)</f>
        <v>8.0261657516755687</v>
      </c>
      <c r="F90" s="16" t="s">
        <v>178</v>
      </c>
      <c r="G90" s="11"/>
      <c r="H90" s="10"/>
    </row>
    <row r="91" spans="1:8" s="17" customFormat="1" ht="14.25" x14ac:dyDescent="0.3">
      <c r="A91" s="12" t="s">
        <v>146</v>
      </c>
      <c r="B91" s="5"/>
      <c r="C91" s="26"/>
      <c r="D91" s="22">
        <f>IF(ISERROR(SUM(D90:D90)),0,SUM(D90:D90))</f>
        <v>1121.52422322495</v>
      </c>
      <c r="E91" s="22">
        <f>IF(ISERROR(SUM(E90:E90)),0,SUM(E90:E90))</f>
        <v>8.0261657516755687</v>
      </c>
      <c r="F91" s="32"/>
      <c r="G91" s="11"/>
      <c r="H91" s="10"/>
    </row>
    <row r="92" spans="1:8" s="17" customFormat="1" ht="14.25" x14ac:dyDescent="0.3">
      <c r="A92" s="12"/>
      <c r="B92" s="5"/>
      <c r="C92" s="26"/>
      <c r="D92" s="22"/>
      <c r="E92" s="22"/>
      <c r="F92" s="23"/>
      <c r="G92" s="11"/>
      <c r="H92" s="10"/>
    </row>
    <row r="93" spans="1:8" s="17" customFormat="1" ht="14.25" x14ac:dyDescent="0.3">
      <c r="A93" s="12" t="s">
        <v>149</v>
      </c>
      <c r="B93" s="5"/>
      <c r="C93" s="26" t="s">
        <v>179</v>
      </c>
      <c r="D93" s="22">
        <f>+IF(ISERROR(#REF!),0,#REF!)+IF(ISERROR(D88),0,D88)+IF(ISERROR(D63),0,D63)+IF(ISERROR(#REF!),0,#REF!)+IF(ISERROR(#REF!),0,#REF!)+IF(ISERROR(D86),0,D86)+IF(ISERROR(D91),0,D91)+IF(ISERROR(#REF!),0,#REF!)+IF(ISERROR(#REF!),0,#REF!)+IF(ISERROR(#REF!),0,#REF!)</f>
        <v>13737.049566424947</v>
      </c>
      <c r="E93" s="22">
        <f>+IF(ISERROR(#REF!),0,#REF!)+IF(ISERROR(E88),0,E88)+IF(ISERROR(E63),0,E63)+IF(ISERROR(#REF!),0,#REF!)+IF(ISERROR(#REF!),0,#REF!)+IF(ISERROR(E86),0,E86)+IF(ISERROR(E91),0,E91)+IF(ISERROR(#REF!),0,#REF!)+IF(ISERROR(#REF!),0,#REF!)+IF(ISERROR(#REF!),0,#REF!)</f>
        <v>98.308921444485918</v>
      </c>
      <c r="F93" s="22"/>
      <c r="G93" s="11"/>
      <c r="H93" s="10"/>
    </row>
    <row r="94" spans="1:8" s="17" customFormat="1" ht="14.25" x14ac:dyDescent="0.3">
      <c r="A94" s="12"/>
      <c r="B94" s="5"/>
      <c r="C94" s="26"/>
      <c r="D94" s="22"/>
      <c r="E94" s="22"/>
      <c r="F94" s="33"/>
      <c r="G94" s="34"/>
      <c r="H94" s="35"/>
    </row>
    <row r="95" spans="1:8" s="17" customFormat="1" ht="14.25" x14ac:dyDescent="0.3">
      <c r="A95" s="12" t="s">
        <v>180</v>
      </c>
      <c r="B95" s="5"/>
      <c r="C95" s="26"/>
      <c r="D95" s="22">
        <f>+D97-D93</f>
        <v>236.30032347505767</v>
      </c>
      <c r="E95" s="22">
        <f>D95/$D$97*100</f>
        <v>1.6910785555141399</v>
      </c>
      <c r="F95" s="33"/>
      <c r="G95" s="34"/>
      <c r="H95" s="35"/>
    </row>
    <row r="96" spans="1:8" s="17" customFormat="1" ht="14.25" x14ac:dyDescent="0.3">
      <c r="A96" s="12"/>
      <c r="B96" s="5"/>
      <c r="C96" s="26"/>
      <c r="D96" s="25"/>
      <c r="E96" s="25"/>
      <c r="F96" s="33"/>
      <c r="G96" s="34"/>
      <c r="H96" s="35"/>
    </row>
    <row r="97" spans="1:9" s="17" customFormat="1" ht="14.25" x14ac:dyDescent="0.3">
      <c r="A97" s="12" t="s">
        <v>181</v>
      </c>
      <c r="B97" s="5"/>
      <c r="C97" s="26"/>
      <c r="D97" s="22">
        <v>13973.349889900004</v>
      </c>
      <c r="E97" s="22">
        <f>+E93+E95</f>
        <v>100.00000000000006</v>
      </c>
      <c r="F97" s="33"/>
      <c r="G97" s="34"/>
      <c r="H97" s="35"/>
    </row>
    <row r="98" spans="1:9" s="17" customFormat="1" ht="14.25" x14ac:dyDescent="0.3">
      <c r="A98" s="36"/>
      <c r="B98" s="37"/>
      <c r="C98" s="38"/>
      <c r="D98" s="39"/>
      <c r="E98" s="39"/>
      <c r="F98" s="33"/>
      <c r="G98" s="34"/>
      <c r="H98" s="35"/>
    </row>
    <row r="99" spans="1:9" s="17" customFormat="1" ht="13.5" x14ac:dyDescent="0.2">
      <c r="A99" s="86" t="s">
        <v>182</v>
      </c>
      <c r="B99" s="86"/>
      <c r="C99" s="86"/>
      <c r="D99" s="86"/>
      <c r="E99" s="86"/>
      <c r="F99" s="86"/>
      <c r="G99" s="86"/>
      <c r="H99" s="86"/>
    </row>
    <row r="100" spans="1:9" s="17" customFormat="1" ht="25.5" customHeight="1" x14ac:dyDescent="0.2">
      <c r="A100" s="86" t="s">
        <v>183</v>
      </c>
      <c r="B100" s="86"/>
      <c r="C100" s="86"/>
      <c r="D100" s="86"/>
      <c r="E100" s="86"/>
      <c r="F100" s="86"/>
      <c r="G100" s="86"/>
      <c r="H100" s="83"/>
    </row>
    <row r="101" spans="1:9" s="17" customFormat="1" ht="13.5" x14ac:dyDescent="0.2">
      <c r="A101" s="82" t="s">
        <v>184</v>
      </c>
      <c r="B101" s="82"/>
      <c r="C101" s="82"/>
      <c r="D101" s="82"/>
      <c r="E101" s="82"/>
      <c r="F101" s="82"/>
      <c r="G101" s="82"/>
      <c r="H101" s="83"/>
    </row>
    <row r="102" spans="1:9" s="17" customFormat="1" ht="51.75" customHeight="1" x14ac:dyDescent="0.2">
      <c r="A102" s="90" t="s">
        <v>185</v>
      </c>
      <c r="B102" s="90"/>
      <c r="C102" s="90"/>
      <c r="D102" s="90"/>
      <c r="E102" s="90"/>
      <c r="F102" s="90"/>
      <c r="G102" s="90"/>
      <c r="H102" s="83"/>
    </row>
    <row r="103" spans="1:9" s="17" customFormat="1" ht="14.25" x14ac:dyDescent="0.3">
      <c r="A103" s="36"/>
      <c r="B103" s="37"/>
      <c r="C103" s="38"/>
      <c r="D103" s="39"/>
      <c r="E103" s="39"/>
      <c r="F103" s="33"/>
      <c r="G103" s="34"/>
      <c r="H103" s="35"/>
    </row>
    <row r="104" spans="1:9" s="17" customFormat="1" ht="14.25" x14ac:dyDescent="0.3">
      <c r="A104" s="40" t="s">
        <v>186</v>
      </c>
      <c r="B104" s="41"/>
      <c r="C104" s="42"/>
      <c r="D104" s="43"/>
      <c r="E104" s="43"/>
      <c r="F104" s="44"/>
      <c r="G104" s="34"/>
      <c r="H104" s="35"/>
    </row>
    <row r="105" spans="1:9" s="17" customFormat="1" ht="51" x14ac:dyDescent="0.3">
      <c r="A105" s="45" t="s">
        <v>187</v>
      </c>
      <c r="B105" s="46" t="s">
        <v>188</v>
      </c>
      <c r="C105" s="47" t="s">
        <v>5</v>
      </c>
      <c r="D105" s="45" t="s">
        <v>189</v>
      </c>
      <c r="E105" s="45" t="s">
        <v>190</v>
      </c>
      <c r="F105" s="45" t="s">
        <v>191</v>
      </c>
      <c r="G105" s="34"/>
      <c r="H105" s="35"/>
    </row>
    <row r="106" spans="1:9" s="17" customFormat="1" ht="14.25" x14ac:dyDescent="0.3">
      <c r="A106" s="48" t="s">
        <v>192</v>
      </c>
      <c r="B106" s="13" t="s">
        <v>193</v>
      </c>
      <c r="C106" s="49">
        <v>40</v>
      </c>
      <c r="D106" s="50">
        <v>26568.05</v>
      </c>
      <c r="E106" s="50">
        <v>26540.05</v>
      </c>
      <c r="F106" s="51">
        <v>1.8776465</v>
      </c>
      <c r="G106" s="52"/>
      <c r="H106" s="53"/>
      <c r="I106" s="81"/>
    </row>
    <row r="107" spans="1:9" s="17" customFormat="1" ht="14.25" x14ac:dyDescent="0.3">
      <c r="A107" s="48" t="s">
        <v>194</v>
      </c>
      <c r="B107" s="13" t="s">
        <v>193</v>
      </c>
      <c r="C107" s="49">
        <v>600</v>
      </c>
      <c r="D107" s="50">
        <v>2424.1999999999998</v>
      </c>
      <c r="E107" s="50">
        <v>2543</v>
      </c>
      <c r="F107" s="51">
        <v>3.0557790000000002</v>
      </c>
      <c r="G107" s="52"/>
      <c r="H107" s="53"/>
      <c r="I107" s="81"/>
    </row>
    <row r="108" spans="1:9" s="17" customFormat="1" ht="14.25" x14ac:dyDescent="0.3">
      <c r="A108" s="48" t="s">
        <v>195</v>
      </c>
      <c r="B108" s="13" t="s">
        <v>193</v>
      </c>
      <c r="C108" s="49">
        <v>160000</v>
      </c>
      <c r="D108" s="50">
        <v>183.55937499999999</v>
      </c>
      <c r="E108" s="50">
        <v>194.15</v>
      </c>
      <c r="F108" s="51">
        <v>54.752000000000002</v>
      </c>
      <c r="G108" s="52"/>
      <c r="H108" s="53"/>
      <c r="I108" s="81"/>
    </row>
    <row r="109" spans="1:9" s="17" customFormat="1" ht="14.25" x14ac:dyDescent="0.3">
      <c r="A109" s="48" t="s">
        <v>196</v>
      </c>
      <c r="B109" s="13" t="s">
        <v>193</v>
      </c>
      <c r="C109" s="49">
        <v>6250</v>
      </c>
      <c r="D109" s="50">
        <v>1076.9153846199999</v>
      </c>
      <c r="E109" s="50">
        <v>1172.8</v>
      </c>
      <c r="F109" s="51">
        <v>12.937046899999999</v>
      </c>
      <c r="G109" s="52"/>
      <c r="H109" s="53"/>
      <c r="I109" s="81"/>
    </row>
    <row r="110" spans="1:9" s="17" customFormat="1" ht="14.25" x14ac:dyDescent="0.3">
      <c r="A110" s="48" t="s">
        <v>197</v>
      </c>
      <c r="B110" s="13" t="s">
        <v>193</v>
      </c>
      <c r="C110" s="49">
        <v>75200</v>
      </c>
      <c r="D110" s="50">
        <v>409.55739999999997</v>
      </c>
      <c r="E110" s="50">
        <v>398.75</v>
      </c>
      <c r="F110" s="51">
        <v>84.317999999999998</v>
      </c>
      <c r="G110" s="52"/>
      <c r="H110" s="53"/>
      <c r="I110" s="81"/>
    </row>
    <row r="111" spans="1:9" s="17" customFormat="1" ht="14.25" x14ac:dyDescent="0.3">
      <c r="A111" s="48" t="s">
        <v>198</v>
      </c>
      <c r="B111" s="13" t="s">
        <v>193</v>
      </c>
      <c r="C111" s="49">
        <v>125775</v>
      </c>
      <c r="D111" s="50">
        <v>266.98716279000001</v>
      </c>
      <c r="E111" s="50">
        <v>283.39999999999998</v>
      </c>
      <c r="F111" s="51">
        <v>73.653525599999995</v>
      </c>
      <c r="G111" s="52"/>
      <c r="H111" s="53"/>
      <c r="I111" s="81"/>
    </row>
    <row r="112" spans="1:9" s="17" customFormat="1" ht="14.25" x14ac:dyDescent="0.3">
      <c r="A112" s="48" t="s">
        <v>199</v>
      </c>
      <c r="B112" s="13" t="s">
        <v>193</v>
      </c>
      <c r="C112" s="49">
        <v>87500</v>
      </c>
      <c r="D112" s="50">
        <v>315.3614</v>
      </c>
      <c r="E112" s="50">
        <v>300.05</v>
      </c>
      <c r="F112" s="51">
        <v>82.775000000000006</v>
      </c>
      <c r="G112" s="52"/>
      <c r="H112" s="53"/>
      <c r="I112" s="81"/>
    </row>
    <row r="113" spans="1:9" s="17" customFormat="1" ht="14.25" x14ac:dyDescent="0.3">
      <c r="A113" s="48" t="s">
        <v>200</v>
      </c>
      <c r="B113" s="13" t="s">
        <v>193</v>
      </c>
      <c r="C113" s="49">
        <v>150</v>
      </c>
      <c r="D113" s="50">
        <v>29572.33333333</v>
      </c>
      <c r="E113" s="50">
        <v>29492.95</v>
      </c>
      <c r="F113" s="51">
        <v>7.8185200999999998</v>
      </c>
      <c r="G113" s="52"/>
      <c r="H113" s="53"/>
      <c r="I113" s="81"/>
    </row>
    <row r="114" spans="1:9" s="17" customFormat="1" ht="14.25" x14ac:dyDescent="0.3">
      <c r="A114" s="48" t="s">
        <v>201</v>
      </c>
      <c r="B114" s="13" t="s">
        <v>193</v>
      </c>
      <c r="C114" s="49">
        <v>5400</v>
      </c>
      <c r="D114" s="50">
        <v>604.29999999999995</v>
      </c>
      <c r="E114" s="50">
        <v>611.20000000000005</v>
      </c>
      <c r="F114" s="51">
        <v>6.43086</v>
      </c>
      <c r="G114" s="52"/>
      <c r="H114" s="53"/>
      <c r="I114" s="81"/>
    </row>
    <row r="115" spans="1:9" s="17" customFormat="1" ht="14.25" x14ac:dyDescent="0.3">
      <c r="A115" s="48" t="s">
        <v>202</v>
      </c>
      <c r="B115" s="13" t="s">
        <v>193</v>
      </c>
      <c r="C115" s="49">
        <v>32400</v>
      </c>
      <c r="D115" s="50">
        <v>603.04995832999998</v>
      </c>
      <c r="E115" s="50">
        <v>626.75</v>
      </c>
      <c r="F115" s="51">
        <v>49.604724000000004</v>
      </c>
      <c r="G115" s="52"/>
      <c r="H115" s="53"/>
      <c r="I115" s="81"/>
    </row>
    <row r="116" spans="1:9" s="17" customFormat="1" ht="14.25" x14ac:dyDescent="0.3">
      <c r="A116" s="48" t="s">
        <v>203</v>
      </c>
      <c r="B116" s="13" t="s">
        <v>193</v>
      </c>
      <c r="C116" s="49">
        <v>24000</v>
      </c>
      <c r="D116" s="50">
        <v>960.25829999999996</v>
      </c>
      <c r="E116" s="50">
        <v>1035.7</v>
      </c>
      <c r="F116" s="51">
        <v>48.956760000000003</v>
      </c>
      <c r="G116" s="52"/>
      <c r="H116" s="53"/>
      <c r="I116" s="81"/>
    </row>
    <row r="117" spans="1:9" s="17" customFormat="1" ht="28.5" customHeight="1" x14ac:dyDescent="0.3">
      <c r="A117" s="48" t="s">
        <v>204</v>
      </c>
      <c r="B117" s="13" t="s">
        <v>193</v>
      </c>
      <c r="C117" s="49">
        <v>3600</v>
      </c>
      <c r="D117" s="50">
        <v>311.02499999999998</v>
      </c>
      <c r="E117" s="50">
        <v>320.39999999999998</v>
      </c>
      <c r="F117" s="51">
        <v>2.03796</v>
      </c>
      <c r="G117" s="52"/>
      <c r="H117" s="53"/>
      <c r="I117" s="81"/>
    </row>
    <row r="118" spans="1:9" s="17" customFormat="1" ht="14.25" x14ac:dyDescent="0.3">
      <c r="A118" s="48" t="s">
        <v>205</v>
      </c>
      <c r="B118" s="13" t="s">
        <v>193</v>
      </c>
      <c r="C118" s="49">
        <v>20000</v>
      </c>
      <c r="D118" s="50">
        <v>157.4375</v>
      </c>
      <c r="E118" s="50">
        <v>161.80000000000001</v>
      </c>
      <c r="F118" s="51">
        <v>6.5737500000000004</v>
      </c>
      <c r="G118" s="52"/>
      <c r="H118" s="53"/>
      <c r="I118" s="81"/>
    </row>
    <row r="119" spans="1:9" s="17" customFormat="1" ht="14.25" x14ac:dyDescent="0.3">
      <c r="A119" s="48" t="s">
        <v>206</v>
      </c>
      <c r="B119" s="13" t="s">
        <v>193</v>
      </c>
      <c r="C119" s="49">
        <v>3800</v>
      </c>
      <c r="D119" s="50">
        <v>3765.3710105300001</v>
      </c>
      <c r="E119" s="50">
        <v>4033.05</v>
      </c>
      <c r="F119" s="51">
        <v>27.014466000000002</v>
      </c>
      <c r="G119" s="52"/>
      <c r="H119" s="53"/>
      <c r="I119" s="81"/>
    </row>
    <row r="120" spans="1:9" s="17" customFormat="1" ht="14.25" x14ac:dyDescent="0.3">
      <c r="A120" s="48" t="s">
        <v>207</v>
      </c>
      <c r="B120" s="13" t="s">
        <v>193</v>
      </c>
      <c r="C120" s="49">
        <v>2300</v>
      </c>
      <c r="D120" s="50">
        <v>7838.6956086999999</v>
      </c>
      <c r="E120" s="50">
        <v>8401.65</v>
      </c>
      <c r="F120" s="51">
        <v>42.321006300000001</v>
      </c>
      <c r="G120" s="52"/>
      <c r="H120" s="53"/>
      <c r="I120" s="81"/>
    </row>
    <row r="121" spans="1:9" s="17" customFormat="1" ht="14.25" x14ac:dyDescent="0.3">
      <c r="A121" s="48" t="s">
        <v>208</v>
      </c>
      <c r="B121" s="13" t="s">
        <v>193</v>
      </c>
      <c r="C121" s="49">
        <v>2750</v>
      </c>
      <c r="D121" s="50">
        <v>3198.9384615399999</v>
      </c>
      <c r="E121" s="50">
        <v>3369.65</v>
      </c>
      <c r="F121" s="51">
        <v>17.073271899999998</v>
      </c>
      <c r="G121" s="52"/>
      <c r="H121" s="53"/>
      <c r="I121" s="81"/>
    </row>
    <row r="122" spans="1:9" s="17" customFormat="1" ht="14.25" x14ac:dyDescent="0.3">
      <c r="A122" s="48" t="s">
        <v>209</v>
      </c>
      <c r="B122" s="13" t="s">
        <v>193</v>
      </c>
      <c r="C122" s="49">
        <v>38425</v>
      </c>
      <c r="D122" s="50">
        <v>1047.5037434000001</v>
      </c>
      <c r="E122" s="50">
        <v>1063.25</v>
      </c>
      <c r="F122" s="51">
        <v>146.09857439999999</v>
      </c>
      <c r="G122" s="52"/>
      <c r="H122" s="53"/>
      <c r="I122" s="81"/>
    </row>
    <row r="123" spans="1:9" s="17" customFormat="1" ht="14.25" x14ac:dyDescent="0.3">
      <c r="A123" s="48" t="s">
        <v>210</v>
      </c>
      <c r="B123" s="13" t="s">
        <v>193</v>
      </c>
      <c r="C123" s="49">
        <v>22500</v>
      </c>
      <c r="D123" s="50">
        <v>92.1</v>
      </c>
      <c r="E123" s="50">
        <v>85.8</v>
      </c>
      <c r="F123" s="51">
        <v>5.4403874999999999</v>
      </c>
      <c r="G123" s="52"/>
      <c r="H123" s="53"/>
      <c r="I123" s="81"/>
    </row>
    <row r="124" spans="1:9" s="17" customFormat="1" ht="27" x14ac:dyDescent="0.3">
      <c r="A124" s="48" t="s">
        <v>211</v>
      </c>
      <c r="B124" s="13" t="s">
        <v>193</v>
      </c>
      <c r="C124" s="49">
        <v>11700</v>
      </c>
      <c r="D124" s="50">
        <v>702.18333332999998</v>
      </c>
      <c r="E124" s="50">
        <v>716.15</v>
      </c>
      <c r="F124" s="51">
        <v>18.475821</v>
      </c>
      <c r="G124" s="52"/>
      <c r="H124" s="53"/>
      <c r="I124" s="81"/>
    </row>
    <row r="125" spans="1:9" s="17" customFormat="1" ht="14.25" x14ac:dyDescent="0.3">
      <c r="A125" s="48" t="s">
        <v>212</v>
      </c>
      <c r="B125" s="13" t="s">
        <v>193</v>
      </c>
      <c r="C125" s="49">
        <v>4750</v>
      </c>
      <c r="D125" s="50">
        <v>2560.1299600000002</v>
      </c>
      <c r="E125" s="50">
        <v>2666.1</v>
      </c>
      <c r="F125" s="51">
        <v>27.6296575</v>
      </c>
      <c r="G125" s="52"/>
      <c r="H125" s="53"/>
      <c r="I125" s="81"/>
    </row>
    <row r="126" spans="1:9" s="17" customFormat="1" ht="14.25" x14ac:dyDescent="0.3">
      <c r="A126" s="48" t="s">
        <v>213</v>
      </c>
      <c r="B126" s="13" t="s">
        <v>193</v>
      </c>
      <c r="C126" s="49">
        <v>14000</v>
      </c>
      <c r="D126" s="50">
        <v>418.64998571000001</v>
      </c>
      <c r="E126" s="50">
        <v>425.7</v>
      </c>
      <c r="F126" s="51">
        <v>11.648595</v>
      </c>
      <c r="G126" s="52"/>
      <c r="H126" s="53"/>
      <c r="I126" s="81"/>
    </row>
    <row r="127" spans="1:9" s="17" customFormat="1" ht="14.25" x14ac:dyDescent="0.3">
      <c r="A127" s="48" t="s">
        <v>214</v>
      </c>
      <c r="B127" s="13" t="s">
        <v>193</v>
      </c>
      <c r="C127" s="49">
        <v>1050</v>
      </c>
      <c r="D127" s="50">
        <v>1373.0833047599999</v>
      </c>
      <c r="E127" s="50">
        <v>1358.85</v>
      </c>
      <c r="F127" s="51">
        <v>2.5430815999999998</v>
      </c>
      <c r="G127" s="52"/>
      <c r="H127" s="53"/>
      <c r="I127" s="81"/>
    </row>
    <row r="128" spans="1:9" s="17" customFormat="1" ht="14.25" x14ac:dyDescent="0.3">
      <c r="A128" s="48" t="s">
        <v>215</v>
      </c>
      <c r="B128" s="13" t="s">
        <v>193</v>
      </c>
      <c r="C128" s="49">
        <v>40700</v>
      </c>
      <c r="D128" s="50">
        <v>1506.9377594600001</v>
      </c>
      <c r="E128" s="50">
        <v>1513.2</v>
      </c>
      <c r="F128" s="51">
        <v>109.60509999999999</v>
      </c>
      <c r="G128" s="52"/>
      <c r="H128" s="53"/>
      <c r="I128" s="81"/>
    </row>
    <row r="129" spans="1:9" s="17" customFormat="1" ht="14.25" x14ac:dyDescent="0.3">
      <c r="A129" s="48" t="s">
        <v>216</v>
      </c>
      <c r="B129" s="13" t="s">
        <v>193</v>
      </c>
      <c r="C129" s="49">
        <v>15400</v>
      </c>
      <c r="D129" s="50">
        <v>601.99999286000002</v>
      </c>
      <c r="E129" s="50">
        <v>587.54999999999995</v>
      </c>
      <c r="F129" s="51">
        <v>15.962870000000001</v>
      </c>
      <c r="G129" s="52"/>
      <c r="H129" s="53"/>
      <c r="I129" s="81"/>
    </row>
    <row r="130" spans="1:9" s="17" customFormat="1" ht="14.25" x14ac:dyDescent="0.3">
      <c r="A130" s="48" t="s">
        <v>217</v>
      </c>
      <c r="B130" s="13" t="s">
        <v>193</v>
      </c>
      <c r="C130" s="49">
        <v>7000</v>
      </c>
      <c r="D130" s="50">
        <v>624.53</v>
      </c>
      <c r="E130" s="50">
        <v>649</v>
      </c>
      <c r="F130" s="51">
        <v>9.3502500000000008</v>
      </c>
      <c r="G130" s="52"/>
      <c r="H130" s="53"/>
      <c r="I130" s="81"/>
    </row>
    <row r="131" spans="1:9" s="17" customFormat="1" ht="14.25" x14ac:dyDescent="0.3">
      <c r="A131" s="48" t="s">
        <v>218</v>
      </c>
      <c r="B131" s="13" t="s">
        <v>193</v>
      </c>
      <c r="C131" s="49">
        <v>39750</v>
      </c>
      <c r="D131" s="50">
        <v>393.14330013</v>
      </c>
      <c r="E131" s="50">
        <v>389.1</v>
      </c>
      <c r="F131" s="51">
        <v>50.486375599999995</v>
      </c>
      <c r="G131" s="52"/>
      <c r="H131" s="53"/>
      <c r="I131" s="81"/>
    </row>
    <row r="132" spans="1:9" s="17" customFormat="1" ht="14.25" x14ac:dyDescent="0.3">
      <c r="A132" s="48" t="s">
        <v>219</v>
      </c>
      <c r="B132" s="13" t="s">
        <v>193</v>
      </c>
      <c r="C132" s="49">
        <v>11400</v>
      </c>
      <c r="D132" s="50">
        <v>2258.3631</v>
      </c>
      <c r="E132" s="50">
        <v>2246.25</v>
      </c>
      <c r="F132" s="51">
        <v>45.173070000000003</v>
      </c>
      <c r="G132" s="52"/>
      <c r="H132" s="53"/>
      <c r="I132" s="81"/>
    </row>
    <row r="133" spans="1:9" s="17" customFormat="1" ht="14.25" x14ac:dyDescent="0.3">
      <c r="A133" s="48" t="s">
        <v>220</v>
      </c>
      <c r="B133" s="13" t="s">
        <v>193</v>
      </c>
      <c r="C133" s="49">
        <v>3520000</v>
      </c>
      <c r="D133" s="50">
        <v>13.652200000000001</v>
      </c>
      <c r="E133" s="50">
        <v>13.35</v>
      </c>
      <c r="F133" s="51">
        <v>214.57919999999999</v>
      </c>
      <c r="G133" s="52"/>
      <c r="H133" s="53"/>
      <c r="I133" s="81"/>
    </row>
    <row r="134" spans="1:9" s="17" customFormat="1" ht="14.25" x14ac:dyDescent="0.3">
      <c r="A134" s="48" t="s">
        <v>221</v>
      </c>
      <c r="B134" s="13" t="s">
        <v>193</v>
      </c>
      <c r="C134" s="49">
        <v>21000</v>
      </c>
      <c r="D134" s="50">
        <v>1488.9345000000001</v>
      </c>
      <c r="E134" s="50">
        <v>1525.4</v>
      </c>
      <c r="F134" s="51">
        <v>58.974299999999999</v>
      </c>
      <c r="G134" s="52"/>
      <c r="H134" s="53"/>
      <c r="I134" s="81"/>
    </row>
    <row r="135" spans="1:9" s="17" customFormat="1" ht="14.25" x14ac:dyDescent="0.3">
      <c r="A135" s="48" t="s">
        <v>222</v>
      </c>
      <c r="B135" s="13" t="s">
        <v>193</v>
      </c>
      <c r="C135" s="49">
        <v>43875</v>
      </c>
      <c r="D135" s="50">
        <v>170.89285713999999</v>
      </c>
      <c r="E135" s="50">
        <v>169.7</v>
      </c>
      <c r="F135" s="51">
        <v>15.2806753</v>
      </c>
      <c r="G135" s="52"/>
      <c r="H135" s="53"/>
      <c r="I135" s="81"/>
    </row>
    <row r="136" spans="1:9" s="17" customFormat="1" ht="14.25" x14ac:dyDescent="0.3">
      <c r="A136" s="48" t="s">
        <v>223</v>
      </c>
      <c r="B136" s="13" t="s">
        <v>193</v>
      </c>
      <c r="C136" s="49">
        <v>2700</v>
      </c>
      <c r="D136" s="50">
        <v>863.75</v>
      </c>
      <c r="E136" s="50">
        <v>888.6</v>
      </c>
      <c r="F136" s="51">
        <v>4.2313725</v>
      </c>
      <c r="G136" s="52"/>
      <c r="H136" s="53"/>
      <c r="I136" s="81"/>
    </row>
    <row r="137" spans="1:9" s="17" customFormat="1" ht="14.25" x14ac:dyDescent="0.3">
      <c r="A137" s="48" t="s">
        <v>224</v>
      </c>
      <c r="B137" s="13" t="s">
        <v>193</v>
      </c>
      <c r="C137" s="49">
        <v>18400</v>
      </c>
      <c r="D137" s="50">
        <v>1823.6075347799999</v>
      </c>
      <c r="E137" s="50">
        <v>1636.4</v>
      </c>
      <c r="F137" s="51">
        <v>53.084322</v>
      </c>
      <c r="G137" s="52"/>
      <c r="H137" s="53"/>
      <c r="I137" s="81"/>
    </row>
    <row r="138" spans="1:9" s="17" customFormat="1" ht="14.25" x14ac:dyDescent="0.3">
      <c r="A138" s="48" t="s">
        <v>225</v>
      </c>
      <c r="B138" s="13" t="s">
        <v>193</v>
      </c>
      <c r="C138" s="49">
        <v>22000</v>
      </c>
      <c r="D138" s="50">
        <v>674.32272726999997</v>
      </c>
      <c r="E138" s="50">
        <v>678.45</v>
      </c>
      <c r="F138" s="51">
        <v>33.602359999999997</v>
      </c>
      <c r="G138" s="52"/>
      <c r="H138" s="53"/>
      <c r="I138" s="81"/>
    </row>
    <row r="139" spans="1:9" s="17" customFormat="1" ht="14.25" x14ac:dyDescent="0.3">
      <c r="A139" s="48" t="s">
        <v>226</v>
      </c>
      <c r="B139" s="13" t="s">
        <v>193</v>
      </c>
      <c r="C139" s="49">
        <v>14700</v>
      </c>
      <c r="D139" s="50">
        <v>3600.1081632700002</v>
      </c>
      <c r="E139" s="50">
        <v>3617.55</v>
      </c>
      <c r="F139" s="51">
        <v>93.860969999999995</v>
      </c>
      <c r="G139" s="52"/>
      <c r="H139" s="53"/>
      <c r="I139" s="81"/>
    </row>
    <row r="140" spans="1:9" s="17" customFormat="1" ht="14.25" x14ac:dyDescent="0.3">
      <c r="A140" s="48" t="s">
        <v>227</v>
      </c>
      <c r="B140" s="13" t="s">
        <v>193</v>
      </c>
      <c r="C140" s="49">
        <v>700</v>
      </c>
      <c r="D140" s="50">
        <v>1169.0999999999999</v>
      </c>
      <c r="E140" s="50">
        <v>1185.05</v>
      </c>
      <c r="F140" s="51">
        <v>1.4633413</v>
      </c>
      <c r="G140" s="52"/>
      <c r="H140" s="53"/>
      <c r="I140" s="81"/>
    </row>
    <row r="141" spans="1:9" s="17" customFormat="1" ht="14.25" x14ac:dyDescent="0.3">
      <c r="A141" s="48" t="s">
        <v>228</v>
      </c>
      <c r="B141" s="13" t="s">
        <v>193</v>
      </c>
      <c r="C141" s="49">
        <v>10200</v>
      </c>
      <c r="D141" s="50">
        <v>4022.1346038500001</v>
      </c>
      <c r="E141" s="50">
        <v>4133.5</v>
      </c>
      <c r="F141" s="51">
        <v>106.07436449999999</v>
      </c>
      <c r="G141" s="52"/>
      <c r="H141" s="53"/>
      <c r="I141" s="81"/>
    </row>
    <row r="142" spans="1:9" s="17" customFormat="1" ht="14.25" x14ac:dyDescent="0.3">
      <c r="A142" s="48" t="s">
        <v>229</v>
      </c>
      <c r="B142" s="13" t="s">
        <v>193</v>
      </c>
      <c r="C142" s="49">
        <v>1500</v>
      </c>
      <c r="D142" s="50">
        <v>5924.0699800000002</v>
      </c>
      <c r="E142" s="50">
        <v>6087.45</v>
      </c>
      <c r="F142" s="51">
        <v>18.7352138</v>
      </c>
      <c r="G142" s="52"/>
      <c r="H142" s="53"/>
      <c r="I142" s="81"/>
    </row>
    <row r="143" spans="1:9" s="17" customFormat="1" ht="14.25" x14ac:dyDescent="0.3">
      <c r="A143" s="48" t="s">
        <v>230</v>
      </c>
      <c r="B143" s="13" t="s">
        <v>193</v>
      </c>
      <c r="C143" s="49">
        <v>11250</v>
      </c>
      <c r="D143" s="50">
        <v>878.56330044000003</v>
      </c>
      <c r="E143" s="50">
        <v>930.6</v>
      </c>
      <c r="F143" s="51">
        <v>25.555204700000001</v>
      </c>
      <c r="G143" s="52"/>
      <c r="H143" s="53"/>
      <c r="I143" s="81"/>
    </row>
    <row r="144" spans="1:9" s="17" customFormat="1" ht="14.25" x14ac:dyDescent="0.3">
      <c r="A144" s="48" t="s">
        <v>231</v>
      </c>
      <c r="B144" s="13" t="s">
        <v>193</v>
      </c>
      <c r="C144" s="49">
        <v>93000</v>
      </c>
      <c r="D144" s="50">
        <v>298.97498235</v>
      </c>
      <c r="E144" s="50">
        <v>313</v>
      </c>
      <c r="F144" s="51">
        <v>52.620795000000001</v>
      </c>
      <c r="G144" s="52"/>
      <c r="H144" s="53"/>
      <c r="I144" s="81"/>
    </row>
    <row r="145" spans="1:9" s="17" customFormat="1" ht="14.25" x14ac:dyDescent="0.3">
      <c r="A145" s="48" t="s">
        <v>232</v>
      </c>
      <c r="B145" s="13" t="s">
        <v>193</v>
      </c>
      <c r="C145" s="49">
        <v>5000</v>
      </c>
      <c r="D145" s="50">
        <v>5593.7599760000003</v>
      </c>
      <c r="E145" s="50">
        <v>5708.4</v>
      </c>
      <c r="F145" s="51">
        <v>66.314737500000007</v>
      </c>
      <c r="G145" s="52"/>
      <c r="H145" s="53"/>
      <c r="I145" s="81"/>
    </row>
    <row r="146" spans="1:9" s="17" customFormat="1" ht="14.25" x14ac:dyDescent="0.3">
      <c r="A146" s="48" t="s">
        <v>233</v>
      </c>
      <c r="B146" s="13" t="s">
        <v>193</v>
      </c>
      <c r="C146" s="49">
        <v>64800</v>
      </c>
      <c r="D146" s="50">
        <v>287.65553889</v>
      </c>
      <c r="E146" s="50">
        <v>303.35000000000002</v>
      </c>
      <c r="F146" s="51">
        <v>34.745759999999997</v>
      </c>
      <c r="G146" s="52"/>
      <c r="H146" s="53"/>
      <c r="I146" s="81"/>
    </row>
    <row r="147" spans="1:9" s="17" customFormat="1" ht="14.25" x14ac:dyDescent="0.3">
      <c r="A147" s="48" t="s">
        <v>234</v>
      </c>
      <c r="B147" s="13" t="s">
        <v>193</v>
      </c>
      <c r="C147" s="49">
        <v>850</v>
      </c>
      <c r="D147" s="50">
        <v>817.25</v>
      </c>
      <c r="E147" s="50">
        <v>798.75</v>
      </c>
      <c r="F147" s="51">
        <v>1.1993925000000001</v>
      </c>
      <c r="G147" s="52"/>
      <c r="H147" s="53"/>
      <c r="I147" s="81"/>
    </row>
    <row r="148" spans="1:9" s="17" customFormat="1" ht="14.25" x14ac:dyDescent="0.3">
      <c r="A148" s="48" t="s">
        <v>235</v>
      </c>
      <c r="B148" s="13" t="s">
        <v>193</v>
      </c>
      <c r="C148" s="49">
        <v>18500</v>
      </c>
      <c r="D148" s="50">
        <v>2965.0445648599998</v>
      </c>
      <c r="E148" s="50">
        <v>2953.85</v>
      </c>
      <c r="F148" s="51">
        <v>96.415247500000007</v>
      </c>
      <c r="G148" s="52"/>
      <c r="H148" s="53"/>
      <c r="I148" s="81"/>
    </row>
    <row r="149" spans="1:9" s="17" customFormat="1" ht="14.25" x14ac:dyDescent="0.3">
      <c r="A149" s="48" t="s">
        <v>236</v>
      </c>
      <c r="B149" s="13" t="s">
        <v>193</v>
      </c>
      <c r="C149" s="49">
        <v>192000</v>
      </c>
      <c r="D149" s="50">
        <v>169.11353750000001</v>
      </c>
      <c r="E149" s="50">
        <v>165.3</v>
      </c>
      <c r="F149" s="51">
        <v>99.229200000000006</v>
      </c>
      <c r="G149" s="52"/>
      <c r="H149" s="53"/>
      <c r="I149" s="81"/>
    </row>
    <row r="150" spans="1:9" s="17" customFormat="1" ht="14.25" x14ac:dyDescent="0.3">
      <c r="A150" s="48" t="s">
        <v>237</v>
      </c>
      <c r="B150" s="13" t="s">
        <v>193</v>
      </c>
      <c r="C150" s="49">
        <v>1500</v>
      </c>
      <c r="D150" s="50">
        <v>1472.9749999999999</v>
      </c>
      <c r="E150" s="50">
        <v>1447</v>
      </c>
      <c r="F150" s="51">
        <v>3.8272613</v>
      </c>
      <c r="G150" s="52"/>
      <c r="H150" s="53"/>
      <c r="I150" s="81"/>
    </row>
    <row r="151" spans="1:9" s="17" customFormat="1" ht="14.25" x14ac:dyDescent="0.3">
      <c r="A151" s="48" t="s">
        <v>238</v>
      </c>
      <c r="B151" s="13" t="s">
        <v>193</v>
      </c>
      <c r="C151" s="49">
        <v>130500</v>
      </c>
      <c r="D151" s="50">
        <v>628.4953931</v>
      </c>
      <c r="E151" s="50">
        <v>658.6</v>
      </c>
      <c r="F151" s="51">
        <v>160.94565</v>
      </c>
      <c r="G151" s="52"/>
      <c r="H151" s="53"/>
      <c r="I151" s="81"/>
    </row>
    <row r="152" spans="1:9" s="17" customFormat="1" ht="14.25" x14ac:dyDescent="0.3">
      <c r="A152" s="48" t="s">
        <v>239</v>
      </c>
      <c r="B152" s="13" t="s">
        <v>193</v>
      </c>
      <c r="C152" s="49">
        <v>10000</v>
      </c>
      <c r="D152" s="50">
        <v>1749.2750000000001</v>
      </c>
      <c r="E152" s="50">
        <v>1742.85</v>
      </c>
      <c r="F152" s="51">
        <v>33.6145</v>
      </c>
      <c r="G152" s="52"/>
      <c r="H152" s="53"/>
      <c r="I152" s="81"/>
    </row>
    <row r="153" spans="1:9" s="17" customFormat="1" ht="14.25" x14ac:dyDescent="0.3">
      <c r="A153" s="48" t="s">
        <v>240</v>
      </c>
      <c r="B153" s="13" t="s">
        <v>193</v>
      </c>
      <c r="C153" s="49">
        <v>16875</v>
      </c>
      <c r="D153" s="50">
        <v>432.43</v>
      </c>
      <c r="E153" s="50">
        <v>451.4</v>
      </c>
      <c r="F153" s="51">
        <v>16.0228547</v>
      </c>
      <c r="G153" s="52"/>
      <c r="H153" s="53"/>
      <c r="I153" s="81"/>
    </row>
    <row r="154" spans="1:9" s="17" customFormat="1" ht="14.25" x14ac:dyDescent="0.3">
      <c r="A154" s="48" t="s">
        <v>241</v>
      </c>
      <c r="B154" s="13" t="s">
        <v>193</v>
      </c>
      <c r="C154" s="49">
        <v>38500</v>
      </c>
      <c r="D154" s="50">
        <v>165.15</v>
      </c>
      <c r="E154" s="50">
        <v>166.2</v>
      </c>
      <c r="F154" s="51">
        <v>12.126345000000001</v>
      </c>
      <c r="G154" s="52"/>
      <c r="H154" s="53"/>
      <c r="I154" s="81"/>
    </row>
    <row r="155" spans="1:9" s="17" customFormat="1" ht="14.25" x14ac:dyDescent="0.3">
      <c r="A155" s="48" t="s">
        <v>242</v>
      </c>
      <c r="B155" s="13" t="s">
        <v>193</v>
      </c>
      <c r="C155" s="49">
        <v>1200</v>
      </c>
      <c r="D155" s="50">
        <v>4194.3999999999996</v>
      </c>
      <c r="E155" s="50">
        <v>4442.6499999999996</v>
      </c>
      <c r="F155" s="51">
        <v>11.213988000000001</v>
      </c>
      <c r="G155" s="52"/>
      <c r="H155" s="53"/>
      <c r="I155" s="81"/>
    </row>
    <row r="156" spans="1:9" s="17" customFormat="1" ht="14.25" x14ac:dyDescent="0.3">
      <c r="A156" s="48" t="s">
        <v>243</v>
      </c>
      <c r="B156" s="13" t="s">
        <v>193</v>
      </c>
      <c r="C156" s="49">
        <v>3850</v>
      </c>
      <c r="D156" s="50">
        <v>1965.4272727299999</v>
      </c>
      <c r="E156" s="50">
        <v>2076.3000000000002</v>
      </c>
      <c r="F156" s="51">
        <v>14.1016645</v>
      </c>
      <c r="G156" s="52"/>
      <c r="H156" s="53"/>
      <c r="I156" s="81"/>
    </row>
    <row r="157" spans="1:9" s="17" customFormat="1" ht="14.25" x14ac:dyDescent="0.3">
      <c r="A157" s="48" t="s">
        <v>244</v>
      </c>
      <c r="B157" s="13" t="s">
        <v>193</v>
      </c>
      <c r="C157" s="49">
        <v>147200</v>
      </c>
      <c r="D157" s="50">
        <v>384.78826563000001</v>
      </c>
      <c r="E157" s="50">
        <v>400.2</v>
      </c>
      <c r="F157" s="51">
        <v>294.292912</v>
      </c>
      <c r="G157" s="52"/>
      <c r="H157" s="53"/>
      <c r="I157" s="81"/>
    </row>
    <row r="158" spans="1:9" ht="14.25" x14ac:dyDescent="0.3">
      <c r="A158" s="54"/>
      <c r="B158" s="55"/>
      <c r="C158" s="56"/>
      <c r="D158" s="35"/>
      <c r="E158" s="57"/>
      <c r="F158" s="35"/>
      <c r="G158" s="35"/>
      <c r="H158" s="35"/>
    </row>
    <row r="159" spans="1:9" ht="14.25" x14ac:dyDescent="0.3">
      <c r="A159" s="58" t="s">
        <v>245</v>
      </c>
      <c r="B159" s="55"/>
      <c r="C159" s="59"/>
      <c r="D159" s="35"/>
      <c r="E159" s="57"/>
      <c r="F159" s="53"/>
      <c r="G159" s="35"/>
      <c r="H159" s="35"/>
    </row>
    <row r="160" spans="1:9" ht="14.25" x14ac:dyDescent="0.3">
      <c r="A160" s="60"/>
      <c r="B160" s="41"/>
      <c r="C160" s="61"/>
      <c r="D160" s="35"/>
      <c r="E160" s="57"/>
      <c r="F160" s="35"/>
      <c r="G160" s="35"/>
      <c r="H160" s="35"/>
    </row>
    <row r="161" spans="1:8" ht="14.25" x14ac:dyDescent="0.3">
      <c r="A161" s="91" t="s">
        <v>246</v>
      </c>
      <c r="B161" s="91"/>
      <c r="C161" s="91"/>
      <c r="D161" s="62"/>
      <c r="E161" s="57"/>
      <c r="F161" s="35"/>
      <c r="G161" s="35"/>
      <c r="H161" s="35"/>
    </row>
    <row r="162" spans="1:8" ht="14.25" x14ac:dyDescent="0.3">
      <c r="A162" s="63" t="s">
        <v>247</v>
      </c>
      <c r="B162" s="63"/>
      <c r="C162" s="63"/>
      <c r="D162" s="63"/>
      <c r="E162" s="35"/>
      <c r="F162" s="35"/>
      <c r="G162" s="35"/>
      <c r="H162" s="35"/>
    </row>
    <row r="163" spans="1:8" ht="14.25" x14ac:dyDescent="0.3">
      <c r="A163" s="87" t="s">
        <v>248</v>
      </c>
      <c r="B163" s="88"/>
      <c r="C163" s="89"/>
      <c r="D163" s="64">
        <v>1377</v>
      </c>
      <c r="E163" s="35"/>
      <c r="F163" s="35"/>
      <c r="G163" s="35"/>
      <c r="H163" s="35"/>
    </row>
    <row r="164" spans="1:8" ht="14.25" x14ac:dyDescent="0.3">
      <c r="A164" s="87" t="s">
        <v>249</v>
      </c>
      <c r="B164" s="88"/>
      <c r="C164" s="89"/>
      <c r="D164" s="64">
        <v>1558</v>
      </c>
      <c r="E164" s="35"/>
      <c r="F164" s="35"/>
      <c r="G164" s="35"/>
      <c r="H164" s="35"/>
    </row>
    <row r="165" spans="1:8" ht="14.25" x14ac:dyDescent="0.3">
      <c r="A165" s="87" t="s">
        <v>250</v>
      </c>
      <c r="B165" s="88"/>
      <c r="C165" s="89"/>
      <c r="D165" s="65">
        <v>11747.6522651</v>
      </c>
      <c r="E165" s="35"/>
      <c r="F165" s="35"/>
      <c r="G165" s="35"/>
      <c r="H165" s="35"/>
    </row>
    <row r="166" spans="1:8" ht="14.25" x14ac:dyDescent="0.3">
      <c r="A166" s="87" t="s">
        <v>251</v>
      </c>
      <c r="B166" s="88"/>
      <c r="C166" s="89"/>
      <c r="D166" s="65">
        <v>13317.5007675</v>
      </c>
      <c r="E166" s="35"/>
      <c r="F166" s="35"/>
      <c r="G166" s="35"/>
      <c r="H166" s="35"/>
    </row>
    <row r="167" spans="1:8" ht="14.25" x14ac:dyDescent="0.3">
      <c r="A167" s="87" t="s">
        <v>252</v>
      </c>
      <c r="B167" s="88"/>
      <c r="C167" s="89"/>
      <c r="D167" s="66">
        <v>-562.64705240000012</v>
      </c>
      <c r="E167" s="35"/>
      <c r="F167" s="53"/>
      <c r="G167" s="35"/>
      <c r="H167" s="35"/>
    </row>
    <row r="168" spans="1:8" ht="14.25" x14ac:dyDescent="0.3">
      <c r="A168" s="60"/>
      <c r="B168" s="41"/>
      <c r="C168" s="35"/>
      <c r="D168" s="35"/>
      <c r="E168" s="57"/>
      <c r="F168" s="53"/>
      <c r="G168" s="35"/>
      <c r="H168" s="35"/>
    </row>
    <row r="169" spans="1:8" ht="14.25" x14ac:dyDescent="0.3">
      <c r="A169" s="67" t="s">
        <v>253</v>
      </c>
      <c r="B169" s="67"/>
      <c r="C169" s="67"/>
      <c r="D169" s="35"/>
      <c r="E169" s="35"/>
      <c r="F169" s="53"/>
      <c r="G169" s="35"/>
      <c r="H169" s="35"/>
    </row>
    <row r="170" spans="1:8" ht="14.25" x14ac:dyDescent="0.3">
      <c r="A170" s="68" t="s">
        <v>254</v>
      </c>
      <c r="B170" s="69"/>
      <c r="C170" s="70"/>
      <c r="D170" s="71"/>
      <c r="E170" s="35"/>
      <c r="F170" s="53"/>
      <c r="G170" s="35"/>
      <c r="H170" s="35"/>
    </row>
    <row r="171" spans="1:8" ht="14.25" x14ac:dyDescent="0.3">
      <c r="A171" s="87" t="s">
        <v>248</v>
      </c>
      <c r="B171" s="88"/>
      <c r="C171" s="89"/>
      <c r="D171" s="72" t="s">
        <v>255</v>
      </c>
      <c r="E171" s="35"/>
      <c r="F171" s="35"/>
      <c r="G171" s="35"/>
      <c r="H171" s="35"/>
    </row>
    <row r="172" spans="1:8" ht="14.25" x14ac:dyDescent="0.3">
      <c r="A172" s="87" t="s">
        <v>249</v>
      </c>
      <c r="B172" s="88"/>
      <c r="C172" s="89"/>
      <c r="D172" s="72" t="s">
        <v>255</v>
      </c>
      <c r="E172" s="35"/>
      <c r="F172" s="35"/>
      <c r="G172" s="35"/>
      <c r="H172" s="35"/>
    </row>
    <row r="173" spans="1:8" ht="14.25" x14ac:dyDescent="0.3">
      <c r="A173" s="87" t="s">
        <v>250</v>
      </c>
      <c r="B173" s="88"/>
      <c r="C173" s="89"/>
      <c r="D173" s="72" t="s">
        <v>255</v>
      </c>
      <c r="E173" s="35"/>
      <c r="F173" s="35"/>
      <c r="G173" s="35"/>
      <c r="H173" s="35"/>
    </row>
    <row r="174" spans="1:8" ht="14.25" x14ac:dyDescent="0.3">
      <c r="A174" s="87" t="s">
        <v>251</v>
      </c>
      <c r="B174" s="88"/>
      <c r="C174" s="89"/>
      <c r="D174" s="72" t="s">
        <v>255</v>
      </c>
      <c r="E174" s="35"/>
      <c r="F174" s="35"/>
      <c r="G174" s="35"/>
      <c r="H174" s="35"/>
    </row>
    <row r="175" spans="1:8" ht="14.25" x14ac:dyDescent="0.3">
      <c r="A175" s="87" t="s">
        <v>252</v>
      </c>
      <c r="B175" s="88"/>
      <c r="C175" s="89"/>
      <c r="D175" s="72" t="s">
        <v>255</v>
      </c>
      <c r="E175" s="35"/>
      <c r="F175" s="35"/>
      <c r="G175" s="35"/>
      <c r="H175" s="35"/>
    </row>
    <row r="176" spans="1:8" ht="14.25" x14ac:dyDescent="0.3">
      <c r="A176" s="54"/>
      <c r="B176" s="55"/>
      <c r="C176" s="56"/>
      <c r="D176" s="35"/>
      <c r="E176" s="35"/>
      <c r="F176" s="35"/>
      <c r="G176" s="35"/>
      <c r="H176" s="35"/>
    </row>
    <row r="177" spans="1:8" ht="14.25" x14ac:dyDescent="0.3">
      <c r="A177" s="73" t="s">
        <v>256</v>
      </c>
      <c r="B177" s="74"/>
      <c r="C177" s="74"/>
      <c r="D177" s="35"/>
      <c r="E177" s="35"/>
      <c r="F177" s="35"/>
      <c r="G177" s="35"/>
      <c r="H177" s="35"/>
    </row>
    <row r="178" spans="1:8" ht="14.25" x14ac:dyDescent="0.3">
      <c r="A178" s="75" t="s">
        <v>257</v>
      </c>
      <c r="B178" s="74"/>
      <c r="C178" s="74"/>
      <c r="D178" s="35"/>
      <c r="E178" s="35"/>
      <c r="F178" s="35"/>
      <c r="G178" s="35"/>
      <c r="H178" s="35"/>
    </row>
    <row r="179" spans="1:8" ht="14.25" x14ac:dyDescent="0.3">
      <c r="A179" s="75" t="s">
        <v>258</v>
      </c>
      <c r="B179" s="75"/>
      <c r="C179" s="75"/>
      <c r="D179" s="35"/>
      <c r="E179" s="35"/>
      <c r="F179" s="35"/>
      <c r="G179" s="35"/>
      <c r="H179" s="35"/>
    </row>
    <row r="180" spans="1:8" ht="14.25" x14ac:dyDescent="0.3">
      <c r="A180" s="75" t="s">
        <v>259</v>
      </c>
      <c r="B180" s="75"/>
      <c r="C180" s="75"/>
      <c r="D180" s="35"/>
      <c r="E180" s="35"/>
      <c r="F180" s="35"/>
      <c r="G180" s="35"/>
      <c r="H180" s="35"/>
    </row>
    <row r="181" spans="1:8" ht="14.25" x14ac:dyDescent="0.3">
      <c r="A181" s="75"/>
      <c r="B181" s="74"/>
      <c r="C181" s="74"/>
      <c r="D181" s="35"/>
      <c r="E181" s="35"/>
      <c r="F181" s="35"/>
      <c r="G181" s="35"/>
      <c r="H181" s="35"/>
    </row>
    <row r="182" spans="1:8" ht="14.25" x14ac:dyDescent="0.3">
      <c r="A182" s="76" t="s">
        <v>260</v>
      </c>
      <c r="B182" s="77" t="s">
        <v>261</v>
      </c>
      <c r="C182" s="1"/>
      <c r="D182" s="35"/>
      <c r="E182" s="35"/>
      <c r="F182" s="35"/>
      <c r="G182" s="35"/>
      <c r="H182" s="35"/>
    </row>
    <row r="183" spans="1:8" ht="14.25" x14ac:dyDescent="0.3">
      <c r="A183" s="74"/>
      <c r="B183" s="74"/>
      <c r="C183" s="74"/>
      <c r="D183" s="35"/>
      <c r="E183" s="35"/>
      <c r="F183" s="35"/>
      <c r="G183" s="35"/>
      <c r="H183" s="35"/>
    </row>
    <row r="184" spans="1:8" ht="14.25" x14ac:dyDescent="0.3">
      <c r="A184" s="74"/>
      <c r="B184" s="74"/>
      <c r="C184" s="74"/>
      <c r="D184" s="35"/>
      <c r="E184" s="35"/>
      <c r="F184" s="35"/>
      <c r="G184" s="35"/>
      <c r="H184" s="35"/>
    </row>
    <row r="185" spans="1:8" ht="14.25" x14ac:dyDescent="0.3">
      <c r="A185" s="74"/>
      <c r="B185" s="74"/>
      <c r="C185" s="74"/>
      <c r="D185" s="35"/>
      <c r="E185" s="35"/>
      <c r="F185" s="35"/>
      <c r="G185" s="35"/>
      <c r="H185" s="35"/>
    </row>
    <row r="186" spans="1:8" ht="14.25" x14ac:dyDescent="0.3">
      <c r="A186" s="74"/>
      <c r="B186" s="74"/>
      <c r="C186" s="74"/>
      <c r="D186" s="35"/>
      <c r="E186" s="35"/>
      <c r="F186" s="35"/>
      <c r="G186" s="35"/>
      <c r="H186" s="35"/>
    </row>
    <row r="187" spans="1:8" ht="14.25" x14ac:dyDescent="0.3">
      <c r="A187" s="74"/>
      <c r="B187" s="74"/>
      <c r="C187" s="74"/>
      <c r="D187" s="35"/>
      <c r="E187" s="35"/>
      <c r="F187" s="35"/>
      <c r="G187" s="35"/>
      <c r="H187" s="35"/>
    </row>
    <row r="188" spans="1:8" ht="14.25" x14ac:dyDescent="0.3">
      <c r="A188" s="74"/>
      <c r="B188" s="74"/>
      <c r="C188" s="74"/>
      <c r="D188" s="35"/>
      <c r="E188" s="35"/>
      <c r="F188" s="35"/>
      <c r="G188" s="35"/>
      <c r="H188" s="35"/>
    </row>
    <row r="189" spans="1:8" ht="14.25" x14ac:dyDescent="0.3">
      <c r="A189" s="74"/>
      <c r="B189" s="74"/>
      <c r="C189" s="74"/>
      <c r="D189" s="35"/>
      <c r="E189" s="35"/>
      <c r="F189" s="35"/>
      <c r="G189" s="35"/>
      <c r="H189" s="35"/>
    </row>
    <row r="190" spans="1:8" ht="14.25" x14ac:dyDescent="0.3">
      <c r="A190" s="54"/>
      <c r="B190" s="55"/>
      <c r="C190" s="56"/>
      <c r="D190" s="35"/>
      <c r="E190" s="35"/>
      <c r="F190" s="35"/>
      <c r="G190" s="35"/>
      <c r="H190" s="35"/>
    </row>
    <row r="191" spans="1:8" ht="14.25" x14ac:dyDescent="0.3">
      <c r="A191" s="54"/>
      <c r="B191" s="55"/>
      <c r="C191" s="56"/>
      <c r="D191" s="35"/>
      <c r="E191" s="35"/>
      <c r="F191" s="35"/>
      <c r="G191" s="35"/>
      <c r="H191" s="35"/>
    </row>
    <row r="192" spans="1:8" ht="14.25" x14ac:dyDescent="0.3">
      <c r="A192" s="54"/>
      <c r="B192" s="55"/>
      <c r="C192" s="56"/>
      <c r="D192" s="35"/>
      <c r="E192" s="35"/>
      <c r="F192" s="35"/>
      <c r="G192" s="35"/>
      <c r="H192" s="35"/>
    </row>
    <row r="193" spans="1:8" ht="14.25" x14ac:dyDescent="0.3">
      <c r="A193" s="54"/>
      <c r="B193" s="55"/>
      <c r="C193" s="56"/>
      <c r="D193" s="35"/>
      <c r="E193" s="35"/>
      <c r="F193" s="35"/>
      <c r="G193" s="35"/>
      <c r="H193" s="35"/>
    </row>
    <row r="194" spans="1:8" ht="14.25" x14ac:dyDescent="0.3">
      <c r="A194" s="54"/>
      <c r="B194" s="55"/>
      <c r="C194" s="56"/>
      <c r="D194" s="35"/>
      <c r="E194" s="35"/>
      <c r="F194" s="35"/>
      <c r="G194" s="35"/>
      <c r="H194" s="35"/>
    </row>
    <row r="195" spans="1:8" ht="14.25" x14ac:dyDescent="0.3">
      <c r="A195" s="54"/>
      <c r="B195" s="55"/>
      <c r="C195" s="56"/>
      <c r="D195" s="35"/>
      <c r="E195" s="35"/>
      <c r="F195" s="35"/>
      <c r="G195" s="35"/>
      <c r="H195" s="35"/>
    </row>
    <row r="196" spans="1:8" ht="14.25" x14ac:dyDescent="0.3">
      <c r="A196" s="54"/>
      <c r="B196" s="55"/>
      <c r="C196" s="56"/>
      <c r="D196" s="35"/>
      <c r="E196" s="35"/>
      <c r="F196" s="35"/>
      <c r="G196" s="35"/>
      <c r="H196" s="35"/>
    </row>
    <row r="197" spans="1:8" ht="14.25" x14ac:dyDescent="0.3">
      <c r="A197" s="54"/>
      <c r="B197" s="55"/>
      <c r="C197" s="56"/>
      <c r="D197" s="35"/>
      <c r="E197" s="35"/>
      <c r="F197" s="35"/>
      <c r="G197" s="35"/>
      <c r="H197" s="35"/>
    </row>
    <row r="198" spans="1:8" ht="14.25" x14ac:dyDescent="0.3">
      <c r="A198" s="54"/>
      <c r="B198" s="55"/>
      <c r="C198" s="56"/>
      <c r="D198" s="35"/>
      <c r="E198" s="35"/>
      <c r="F198" s="35"/>
      <c r="G198" s="35"/>
      <c r="H198" s="35"/>
    </row>
    <row r="199" spans="1:8" ht="14.25" x14ac:dyDescent="0.3">
      <c r="A199" s="54"/>
      <c r="B199" s="55"/>
      <c r="C199" s="56"/>
      <c r="D199" s="35"/>
      <c r="E199" s="35"/>
      <c r="F199" s="35"/>
      <c r="G199" s="35"/>
      <c r="H199" s="35"/>
    </row>
    <row r="200" spans="1:8" ht="14.25" x14ac:dyDescent="0.3">
      <c r="A200" s="54"/>
      <c r="B200" s="55"/>
      <c r="C200" s="56"/>
      <c r="D200" s="35"/>
      <c r="E200" s="35"/>
      <c r="F200" s="35"/>
      <c r="G200" s="35"/>
      <c r="H200" s="35"/>
    </row>
    <row r="201" spans="1:8" ht="14.25" x14ac:dyDescent="0.3">
      <c r="A201" s="54"/>
      <c r="B201" s="55"/>
      <c r="C201" s="56"/>
      <c r="D201" s="35"/>
      <c r="E201" s="35"/>
      <c r="F201" s="35"/>
      <c r="G201" s="35"/>
      <c r="H201" s="35"/>
    </row>
    <row r="202" spans="1:8" ht="14.25" x14ac:dyDescent="0.3">
      <c r="A202" s="54"/>
      <c r="B202" s="55"/>
      <c r="C202" s="56"/>
      <c r="D202" s="35"/>
      <c r="E202" s="35"/>
      <c r="F202" s="35"/>
      <c r="G202" s="35"/>
      <c r="H202" s="35"/>
    </row>
    <row r="203" spans="1:8" ht="14.25" x14ac:dyDescent="0.3">
      <c r="A203" s="54"/>
      <c r="B203" s="55"/>
      <c r="C203" s="56"/>
      <c r="D203" s="35"/>
      <c r="E203" s="35"/>
      <c r="F203" s="35"/>
      <c r="G203" s="35"/>
      <c r="H203" s="35"/>
    </row>
    <row r="204" spans="1:8" ht="14.25" x14ac:dyDescent="0.3">
      <c r="A204" s="54"/>
      <c r="B204" s="55"/>
      <c r="C204" s="56"/>
      <c r="D204" s="35"/>
      <c r="E204" s="35"/>
      <c r="F204" s="35"/>
      <c r="G204" s="35"/>
      <c r="H204" s="35"/>
    </row>
    <row r="205" spans="1:8" ht="14.25" x14ac:dyDescent="0.3">
      <c r="A205" s="54"/>
      <c r="B205" s="55"/>
      <c r="C205" s="56"/>
      <c r="D205" s="35"/>
      <c r="E205" s="35"/>
      <c r="F205" s="35"/>
      <c r="G205" s="35"/>
      <c r="H205" s="35"/>
    </row>
    <row r="206" spans="1:8" ht="14.25" x14ac:dyDescent="0.3">
      <c r="A206" s="54"/>
      <c r="B206" s="55"/>
      <c r="C206" s="56"/>
      <c r="D206" s="35"/>
      <c r="E206" s="35"/>
      <c r="F206" s="35"/>
      <c r="G206" s="35"/>
      <c r="H206" s="35"/>
    </row>
    <row r="207" spans="1:8" ht="14.25" x14ac:dyDescent="0.3">
      <c r="A207" s="54"/>
      <c r="B207" s="55"/>
      <c r="C207" s="56"/>
      <c r="D207" s="35"/>
      <c r="E207" s="35"/>
      <c r="F207" s="35"/>
      <c r="G207" s="35"/>
      <c r="H207" s="35"/>
    </row>
    <row r="208" spans="1:8" ht="14.25" x14ac:dyDescent="0.3">
      <c r="A208" s="54"/>
      <c r="B208" s="55"/>
      <c r="C208" s="56"/>
      <c r="D208" s="35"/>
      <c r="E208" s="35"/>
      <c r="F208" s="35"/>
      <c r="G208" s="35"/>
      <c r="H208" s="35"/>
    </row>
    <row r="209" spans="1:8" ht="14.25" x14ac:dyDescent="0.3">
      <c r="A209" s="54"/>
      <c r="B209" s="55"/>
      <c r="C209" s="56"/>
      <c r="D209" s="35"/>
      <c r="E209" s="35"/>
      <c r="F209" s="35"/>
      <c r="G209" s="35"/>
      <c r="H209" s="35"/>
    </row>
    <row r="210" spans="1:8" ht="14.25" x14ac:dyDescent="0.3">
      <c r="A210" s="54"/>
      <c r="B210" s="55"/>
      <c r="C210" s="56"/>
      <c r="D210" s="35"/>
      <c r="E210" s="35"/>
      <c r="F210" s="35"/>
      <c r="G210" s="35"/>
      <c r="H210" s="35"/>
    </row>
  </sheetData>
  <mergeCells count="18">
    <mergeCell ref="A175:C175"/>
    <mergeCell ref="A102:H102"/>
    <mergeCell ref="A161:C161"/>
    <mergeCell ref="A163:C163"/>
    <mergeCell ref="A164:C164"/>
    <mergeCell ref="A165:C165"/>
    <mergeCell ref="A166:C166"/>
    <mergeCell ref="A167:C167"/>
    <mergeCell ref="A171:C171"/>
    <mergeCell ref="A172:C172"/>
    <mergeCell ref="A173:C173"/>
    <mergeCell ref="A174:C174"/>
    <mergeCell ref="A101:H101"/>
    <mergeCell ref="A1:H1"/>
    <mergeCell ref="A2:H2"/>
    <mergeCell ref="A3:H3"/>
    <mergeCell ref="A99:H99"/>
    <mergeCell ref="A100:H10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2024-05-02T14:44:37Z</dcterms:created>
  <dcterms:modified xsi:type="dcterms:W3CDTF">2024-05-06T07:21:22Z</dcterms:modified>
</cp:coreProperties>
</file>