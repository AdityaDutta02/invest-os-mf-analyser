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Liquid Fund" sheetId="1" r:id="rId1"/>
  </sheets>
  <definedNames>
    <definedName name="_xlnm._FilterDatabase" localSheetId="0" hidden="1">'JM Liquid Fund'!$A$1:$H$142</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Fund'!$A$1:$E$43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0" i="1" l="1"/>
  <c r="E59" i="1"/>
  <c r="E60" i="1" s="1"/>
  <c r="D57" i="1"/>
  <c r="E56" i="1"/>
  <c r="E57" i="1" s="1"/>
  <c r="D55" i="1"/>
  <c r="E54" i="1"/>
  <c r="E53" i="1"/>
  <c r="E52" i="1"/>
  <c r="E51" i="1"/>
  <c r="E50" i="1"/>
  <c r="E49" i="1"/>
  <c r="E48" i="1"/>
  <c r="E47" i="1"/>
  <c r="E46" i="1"/>
  <c r="D44" i="1"/>
  <c r="E43" i="1"/>
  <c r="E42" i="1"/>
  <c r="E41" i="1"/>
  <c r="E40" i="1"/>
  <c r="E39" i="1"/>
  <c r="E38" i="1"/>
  <c r="E37" i="1"/>
  <c r="E36" i="1"/>
  <c r="E35" i="1"/>
  <c r="E34" i="1"/>
  <c r="E33" i="1"/>
  <c r="E32" i="1"/>
  <c r="E31" i="1"/>
  <c r="E30" i="1"/>
  <c r="E29" i="1"/>
  <c r="E28" i="1"/>
  <c r="E27" i="1"/>
  <c r="E26" i="1"/>
  <c r="E25" i="1"/>
  <c r="E24" i="1"/>
  <c r="E23" i="1"/>
  <c r="E22" i="1"/>
  <c r="F12" i="1"/>
  <c r="F62" i="1" s="1"/>
  <c r="D8" i="1"/>
  <c r="D12" i="1" s="1"/>
  <c r="D62" i="1" s="1"/>
  <c r="D64" i="1" s="1"/>
  <c r="E64" i="1" s="1"/>
  <c r="E7" i="1"/>
  <c r="E8" i="1" s="1"/>
  <c r="E12" i="1" s="1"/>
  <c r="E55" i="1" l="1"/>
  <c r="E44" i="1"/>
  <c r="E62" i="1"/>
  <c r="E66" i="1" s="1"/>
</calcChain>
</file>

<file path=xl/sharedStrings.xml><?xml version="1.0" encoding="utf-8"?>
<sst xmlns="http://schemas.openxmlformats.org/spreadsheetml/2006/main" count="172" uniqueCount="129">
  <si>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</si>
  <si>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</si>
  <si>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</si>
  <si>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</si>
  <si>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</si>
  <si>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</si>
  <si>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</si>
  <si>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</si>
  <si>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</si>
  <si>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</si>
  <si>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</si>
  <si>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</si>
  <si>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</si>
  <si>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</si>
  <si>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INE514E08DM8</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</si>
  <si>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</si>
  <si>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</si>
  <si>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</si>
  <si>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</si>
  <si>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</si>
  <si>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</si>
  <si>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</si>
  <si>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</si>
  <si>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</si>
  <si>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Punjab National Bank CD**</t>
  </si>
  <si>
    <t>CARE A1+</t>
  </si>
  <si>
    <t>INE160A16NW9</t>
  </si>
  <si>
    <t>AXIS Bank Ltd.CD**</t>
  </si>
  <si>
    <t>CRISIL A1+</t>
  </si>
  <si>
    <t>INE238AD6306</t>
  </si>
  <si>
    <t>NABARD CD</t>
  </si>
  <si>
    <t>INE261F16686</t>
  </si>
  <si>
    <t>HDFC Securities Ltd.CP**</t>
  </si>
  <si>
    <t>INE700G14GX6</t>
  </si>
  <si>
    <t>Bank of Baroda CD**</t>
  </si>
  <si>
    <t>IND A1+</t>
  </si>
  <si>
    <t>INE028A16EA3</t>
  </si>
  <si>
    <t>SIDBI Ltd.CP</t>
  </si>
  <si>
    <t>INE556F14JU4</t>
  </si>
  <si>
    <t>Kotak Mahindra Bank CD**</t>
  </si>
  <si>
    <t>INE237A169U8</t>
  </si>
  <si>
    <t>HDFC Bank Ltd.CD</t>
  </si>
  <si>
    <t>INE040A16DT0</t>
  </si>
  <si>
    <t>ICICI Securities Ltd.CP**</t>
  </si>
  <si>
    <t>INE763G14RK8</t>
  </si>
  <si>
    <t>INE028A16EE5</t>
  </si>
  <si>
    <t>Reliance Retail Ventures Ltd.CP**</t>
  </si>
  <si>
    <t>INE929O14BD8</t>
  </si>
  <si>
    <t>INE237A161T7</t>
  </si>
  <si>
    <t>Canara Bank CD**</t>
  </si>
  <si>
    <t>INE476A16WT6</t>
  </si>
  <si>
    <t>Union Bank of India CD**</t>
  </si>
  <si>
    <t>ICRA A1+</t>
  </si>
  <si>
    <t>INE692A16GN4</t>
  </si>
  <si>
    <t>INE238AD6496</t>
  </si>
  <si>
    <t>Aditya Birla Finance Ltd.CP**</t>
  </si>
  <si>
    <t>INE860H140X0</t>
  </si>
  <si>
    <t>INE028A16EK2</t>
  </si>
  <si>
    <t>Bajaj Finance Ltd.CP**</t>
  </si>
  <si>
    <t>INE296A14WO4</t>
  </si>
  <si>
    <t>INE692A16GO2</t>
  </si>
  <si>
    <t>IIFL Finance Ltd.CP**</t>
  </si>
  <si>
    <t>INE530B14BX9</t>
  </si>
  <si>
    <t>SIDBI Ltd.CD</t>
  </si>
  <si>
    <t>INE556F16AH5</t>
  </si>
  <si>
    <t>Cholamandalam Investment &amp; Finance Company Ltd CP**</t>
  </si>
  <si>
    <t>INE121A14VK4</t>
  </si>
  <si>
    <t>Treasury Bills</t>
  </si>
  <si>
    <t>364 Days Treasury-Bill 18/01/2024</t>
  </si>
  <si>
    <t>Sovereign</t>
  </si>
  <si>
    <t>IN002022Z424</t>
  </si>
  <si>
    <t>182 Days Treasury-Bill 07/03/2024</t>
  </si>
  <si>
    <t>IN002023Y243</t>
  </si>
  <si>
    <t>364 Days Treasury-Bill 26/01/2024</t>
  </si>
  <si>
    <t>IN002022Z432</t>
  </si>
  <si>
    <t>91 Days Treasury-Bill 15/02/2024</t>
  </si>
  <si>
    <t>IN002023X344</t>
  </si>
  <si>
    <t>91 Days Treasury-Bill 22/02/2024</t>
  </si>
  <si>
    <t>IN002023X351</t>
  </si>
  <si>
    <t>91 Days Treasury-Bill 14/03/2024</t>
  </si>
  <si>
    <t>IN002023X385</t>
  </si>
  <si>
    <t>182 Days Treasury-Bill 11/01/2024</t>
  </si>
  <si>
    <t>IN002023Y151</t>
  </si>
  <si>
    <t>91 Days Treasury-Bill 08/02/2024</t>
  </si>
  <si>
    <t>IN002023X336</t>
  </si>
  <si>
    <t>182 Days Treasury-Bill 22/02/2024</t>
  </si>
  <si>
    <t>IN002023Y227</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</si>
  <si>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</si>
  <si>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</si>
  <si>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</si>
  <si>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</si>
  <si>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</si>
  <si>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</si>
  <si>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</si>
  <si>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</si>
  <si>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</si>
  <si>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December 29, 2023.</t>
  </si>
  <si>
    <t>Note - Aggregate investments by other scheme (s) of JM Financial Mutual Fund at the end of the period is Rs.1,155.64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</si>
  <si>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</si>
  <si>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</si>
  <si>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</si>
  <si>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</si>
  <si>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</si>
  <si>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</si>
  <si>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</si>
  <si>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</si>
  <si>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</si>
  <si>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</si>
  <si>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</si>
  <si>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</si>
  <si>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</si>
  <si>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</si>
  <si>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</si>
  <si>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</si>
  <si>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</si>
  <si>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</si>
  <si>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</si>
  <si>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</si>
  <si>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</si>
  <si>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</si>
  <si>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</si>
  <si>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</si>
  <si>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</si>
  <si>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</si>
  <si>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</si>
  <si>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</si>
  <si>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31.12.2023</t>
  </si>
  <si>
    <t xml:space="preserve">* in case of semi annual YTM,  it will be annualised </t>
  </si>
  <si>
    <t>Monthly Portfolio Statement for the period ended 31.12.2023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</si>
</sst>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0">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applyBorder="1" applyAlignment="1">
      <alignment horizontal="right"/>
    </xf>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6" applyFont="1" applyBorder="1"/>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7" fillId="0" borderId="0" xfId="8" applyFont="1" applyBorder="1" applyAlignment="1">
      <alignment horizontal="left" vertical="center" wrapText="1"/>
    </xf>
    <xf numFmtId="0" fontId="9" fillId="0" borderId="0" xfId="9"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9" applyFont="1" applyBorder="1"/>
    <xf numFmtId="4" fontId="5" fillId="0" borderId="0" xfId="3" applyNumberFormat="1" applyFont="1"/>
    <xf numFmtId="0" fontId="7" fillId="0" borderId="0" xfId="10" applyFont="1" applyBorder="1"/>
    <xf numFmtId="0" fontId="9" fillId="0" borderId="0" xfId="6"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NumberFormat="1" applyFont="1" applyBorder="1" applyAlignment="1">
      <alignment horizontal="center"/>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0" xfId="7"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8" applyFont="1" applyBorder="1" applyAlignment="1">
      <alignment horizontal="left" vertical="top" wrapText="1"/>
    </xf>
    <xf numFmtId="0" fontId="5" fillId="0" borderId="0" xfId="3" applyFont="1" applyAlignment="1">
      <alignment horizontal="left" vertical="top" wrapText="1"/>
    </xf>
    <xf numFmtId="0" fontId="8" fillId="0" borderId="0" xfId="8"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1">
    <cellStyle name="Comma" xfId="1" builtinId="3"/>
    <cellStyle name="Normal" xfId="0" builtinId="0"/>
    <cellStyle name="Normal 2 2" xfId="3"/>
    <cellStyle name="Normal 2 2 2" xfId="4"/>
    <cellStyle name="Normal 2 2_Template Portfolio Disclosure -31.12 2023" xfId="5"/>
    <cellStyle name="Normal 2 3 2" xfId="7"/>
    <cellStyle name="Normal 4_IF" xfId="6"/>
    <cellStyle name="Normal 4_LD" xfId="8"/>
    <cellStyle name="Normal 4_LF" xfId="9"/>
    <cellStyle name="Normal 4_ON" xf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962025</xdr:colOff>
      <xdr:row>84</xdr:row>
      <xdr:rowOff>85725</xdr:rowOff>
    </xdr:from>
    <xdr:to>
      <xdr:col>0</xdr:col>
      <xdr:colOff>2838450</xdr:colOff>
      <xdr:row>90</xdr:row>
      <xdr:rowOff>171450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2025" y="16011525"/>
          <a:ext cx="187642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314325</xdr:colOff>
      <xdr:row>84</xdr:row>
      <xdr:rowOff>47625</xdr:rowOff>
    </xdr:from>
    <xdr:to>
      <xdr:col>3</xdr:col>
      <xdr:colOff>561975</xdr:colOff>
      <xdr:row>90</xdr:row>
      <xdr:rowOff>133350</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52850" y="15973425"/>
          <a:ext cx="19431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2"/>
  <sheetViews>
    <sheetView tabSelected="1" zoomScaleNormal="100" workbookViewId="0">
      <selection sqref="A1:H1"/>
    </sheetView>
  </sheetViews>
  <sheetFormatPr defaultRowHeight="12.75" x14ac:dyDescent="0.2"/>
  <cols>
    <col min="1" max="1" width="51.5703125" style="72" customWidth="1"/>
    <col min="2" max="2" width="14.42578125" style="73" customWidth="1"/>
    <col min="3" max="3" width="11" style="74" customWidth="1"/>
    <col min="4" max="4" width="13.140625" style="1" customWidth="1"/>
    <col min="5" max="5" width="10.85546875" style="1" customWidth="1"/>
    <col min="6" max="6" width="13.42578125" style="1" customWidth="1"/>
    <col min="7" max="7" width="11.85546875" style="1" customWidth="1"/>
    <col min="8" max="8" width="14" style="1" customWidth="1"/>
    <col min="9" max="16384" width="9.140625" style="1"/>
  </cols>
  <sheetData>
    <row r="1" spans="1:8" x14ac:dyDescent="0.2">
      <c r="A1" s="76" t="s">
        <v>0</v>
      </c>
      <c r="B1" s="76"/>
      <c r="C1" s="76"/>
      <c r="D1" s="76"/>
      <c r="E1" s="76"/>
      <c r="F1" s="76"/>
      <c r="G1" s="76"/>
      <c r="H1" s="76"/>
    </row>
    <row r="2" spans="1:8" x14ac:dyDescent="0.2">
      <c r="A2" s="77" t="s">
        <v>1</v>
      </c>
      <c r="B2" s="77"/>
      <c r="C2" s="77"/>
      <c r="D2" s="77"/>
      <c r="E2" s="77"/>
      <c r="F2" s="77"/>
      <c r="G2" s="77"/>
      <c r="H2" s="77"/>
    </row>
    <row r="3" spans="1:8" ht="12.75" customHeight="1" x14ac:dyDescent="0.2">
      <c r="A3" s="78" t="s">
        <v>128</v>
      </c>
      <c r="B3" s="78"/>
      <c r="C3" s="78"/>
      <c r="D3" s="78"/>
      <c r="E3" s="78"/>
      <c r="F3" s="78"/>
      <c r="G3" s="78"/>
      <c r="H3" s="78"/>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13"/>
      <c r="E6" s="13"/>
      <c r="F6" s="13"/>
      <c r="G6" s="10"/>
      <c r="H6" s="11"/>
    </row>
    <row r="7" spans="1:8" s="12" customFormat="1" ht="14.25" x14ac:dyDescent="0.3">
      <c r="A7" s="14" t="s">
        <v>12</v>
      </c>
      <c r="B7" s="15" t="s">
        <v>13</v>
      </c>
      <c r="C7" s="16">
        <v>50</v>
      </c>
      <c r="D7" s="17">
        <v>500.709</v>
      </c>
      <c r="E7" s="17">
        <f>(+D7/$D$66*100)</f>
        <v>0.35054390578457778</v>
      </c>
      <c r="F7" s="17" t="s">
        <v>14</v>
      </c>
      <c r="G7" s="10">
        <v>7.54</v>
      </c>
      <c r="H7" s="11"/>
    </row>
    <row r="8" spans="1:8" s="12" customFormat="1" ht="14.25" x14ac:dyDescent="0.3">
      <c r="A8" s="5" t="s">
        <v>15</v>
      </c>
      <c r="B8" s="6"/>
      <c r="C8" s="18"/>
      <c r="D8" s="8">
        <f>IF(ISERROR(SUM(D7:D7)),0,SUM(D7:D7))</f>
        <v>500.709</v>
      </c>
      <c r="E8" s="8">
        <f>IF(ISERROR(SUM(E7:E7)),0,SUM(E7:E7))</f>
        <v>0.35054390578457778</v>
      </c>
      <c r="F8" s="8"/>
      <c r="G8" s="10"/>
      <c r="H8" s="11"/>
    </row>
    <row r="9" spans="1:8" s="12" customFormat="1" ht="14.25" x14ac:dyDescent="0.3">
      <c r="A9" s="5"/>
      <c r="B9" s="6"/>
      <c r="C9" s="18"/>
      <c r="D9" s="13"/>
      <c r="E9" s="13"/>
      <c r="F9" s="13"/>
      <c r="G9" s="10"/>
      <c r="H9" s="11"/>
    </row>
    <row r="10" spans="1:8" s="12" customFormat="1" ht="14.25" x14ac:dyDescent="0.3">
      <c r="A10" s="5" t="s">
        <v>16</v>
      </c>
      <c r="B10" s="6"/>
      <c r="C10" s="18"/>
      <c r="D10" s="8" t="s">
        <v>17</v>
      </c>
      <c r="E10" s="8" t="s">
        <v>17</v>
      </c>
      <c r="F10" s="9"/>
      <c r="G10" s="10"/>
      <c r="H10" s="11"/>
    </row>
    <row r="11" spans="1:8" s="12" customFormat="1" ht="14.25" x14ac:dyDescent="0.3">
      <c r="A11" s="5"/>
      <c r="B11" s="6"/>
      <c r="C11" s="18"/>
      <c r="D11" s="13"/>
      <c r="E11" s="13"/>
      <c r="F11" s="13"/>
      <c r="G11" s="10"/>
      <c r="H11" s="11"/>
    </row>
    <row r="12" spans="1:8" s="12" customFormat="1" ht="14.25" x14ac:dyDescent="0.3">
      <c r="A12" s="5" t="s">
        <v>18</v>
      </c>
      <c r="B12" s="6"/>
      <c r="C12" s="18"/>
      <c r="D12" s="8">
        <f>IF(ISERROR(+D8),0,D8)+IF(ISERROR(+#REF!),0,#REF!)+IF(ISERROR(+#REF!),0,#REF!)</f>
        <v>500.709</v>
      </c>
      <c r="E12" s="8">
        <f>IF(ISERROR(+E8),0,E8)+IF(ISERROR(+#REF!),0,#REF!)+IF(ISERROR(+#REF!),0,#REF!)</f>
        <v>0.35054390578457778</v>
      </c>
      <c r="F12" s="8">
        <f>IF(ISERROR(+F8),0,F8)+IF(ISERROR(+#REF!),0,#REF!)+IF(ISERROR(+#REF!),0,#REF!)</f>
        <v>0</v>
      </c>
      <c r="G12" s="10"/>
      <c r="H12" s="11"/>
    </row>
    <row r="13" spans="1:8" s="12" customFormat="1" ht="14.25" x14ac:dyDescent="0.3">
      <c r="A13" s="5"/>
      <c r="B13" s="6"/>
      <c r="C13" s="18"/>
      <c r="D13" s="8"/>
      <c r="E13" s="8"/>
      <c r="F13" s="8"/>
      <c r="G13" s="10"/>
      <c r="H13" s="11"/>
    </row>
    <row r="14" spans="1:8" s="12" customFormat="1" ht="14.25" x14ac:dyDescent="0.3">
      <c r="A14" s="5" t="s">
        <v>19</v>
      </c>
      <c r="B14" s="6"/>
      <c r="C14" s="18"/>
      <c r="D14" s="8"/>
      <c r="E14" s="8"/>
      <c r="F14" s="8"/>
      <c r="G14" s="10"/>
      <c r="H14" s="11"/>
    </row>
    <row r="15" spans="1:8" s="12" customFormat="1" ht="14.25" x14ac:dyDescent="0.3">
      <c r="A15" s="5"/>
      <c r="B15" s="6"/>
      <c r="C15" s="18"/>
      <c r="D15" s="17"/>
      <c r="E15" s="17"/>
      <c r="F15" s="19"/>
      <c r="G15" s="10"/>
      <c r="H15" s="11"/>
    </row>
    <row r="16" spans="1:8" s="12" customFormat="1" ht="14.25" x14ac:dyDescent="0.3">
      <c r="A16" s="5" t="s">
        <v>20</v>
      </c>
      <c r="B16" s="6"/>
      <c r="C16" s="18"/>
      <c r="D16" s="8" t="s">
        <v>17</v>
      </c>
      <c r="E16" s="8" t="s">
        <v>17</v>
      </c>
      <c r="F16" s="8"/>
      <c r="G16" s="10"/>
      <c r="H16" s="11"/>
    </row>
    <row r="17" spans="1:8" s="12" customFormat="1" ht="14.25" x14ac:dyDescent="0.3">
      <c r="A17" s="5"/>
      <c r="B17" s="6"/>
      <c r="C17" s="18"/>
      <c r="D17" s="8"/>
      <c r="E17" s="8"/>
      <c r="F17" s="8"/>
      <c r="G17" s="10"/>
      <c r="H17" s="11"/>
    </row>
    <row r="18" spans="1:8" s="12" customFormat="1" ht="14.25" x14ac:dyDescent="0.3">
      <c r="A18" s="5" t="s">
        <v>21</v>
      </c>
      <c r="B18" s="6"/>
      <c r="C18" s="18"/>
      <c r="D18" s="8" t="s">
        <v>17</v>
      </c>
      <c r="E18" s="8" t="s">
        <v>17</v>
      </c>
      <c r="F18" s="8"/>
      <c r="G18" s="10"/>
      <c r="H18" s="11"/>
    </row>
    <row r="19" spans="1:8" s="12" customFormat="1" ht="14.25" x14ac:dyDescent="0.3">
      <c r="A19" s="5"/>
      <c r="B19" s="6"/>
      <c r="C19" s="18"/>
      <c r="D19" s="8"/>
      <c r="E19" s="8"/>
      <c r="F19" s="8"/>
      <c r="G19" s="10"/>
      <c r="H19" s="11"/>
    </row>
    <row r="20" spans="1:8" s="12" customFormat="1" ht="14.25" x14ac:dyDescent="0.3">
      <c r="A20" s="5" t="s">
        <v>22</v>
      </c>
      <c r="B20" s="6"/>
      <c r="C20" s="18"/>
      <c r="D20" s="8"/>
      <c r="E20" s="8"/>
      <c r="F20" s="9"/>
      <c r="G20" s="10"/>
      <c r="H20" s="11"/>
    </row>
    <row r="21" spans="1:8" s="12" customFormat="1" ht="14.25" x14ac:dyDescent="0.3">
      <c r="A21" s="5" t="s">
        <v>23</v>
      </c>
      <c r="B21" s="6"/>
      <c r="C21" s="18"/>
      <c r="D21" s="8"/>
      <c r="E21" s="8"/>
      <c r="F21" s="9"/>
      <c r="G21" s="10"/>
      <c r="H21" s="11"/>
    </row>
    <row r="22" spans="1:8" s="12" customFormat="1" ht="14.25" x14ac:dyDescent="0.3">
      <c r="A22" s="14" t="s">
        <v>24</v>
      </c>
      <c r="B22" s="15" t="s">
        <v>25</v>
      </c>
      <c r="C22" s="16">
        <v>1500</v>
      </c>
      <c r="D22" s="17">
        <v>7425.0675000000001</v>
      </c>
      <c r="E22" s="17">
        <f t="shared" ref="E22:E43" si="0">(+D22/$D$66*100)</f>
        <v>5.1982532012888338</v>
      </c>
      <c r="F22" s="17" t="s">
        <v>26</v>
      </c>
      <c r="G22" s="10">
        <v>7.3673999999999999</v>
      </c>
      <c r="H22" s="11"/>
    </row>
    <row r="23" spans="1:8" s="12" customFormat="1" ht="14.25" x14ac:dyDescent="0.3">
      <c r="A23" s="14" t="s">
        <v>27</v>
      </c>
      <c r="B23" s="15" t="s">
        <v>28</v>
      </c>
      <c r="C23" s="16">
        <v>1000</v>
      </c>
      <c r="D23" s="17">
        <v>4981.9750000000004</v>
      </c>
      <c r="E23" s="17">
        <f t="shared" si="0"/>
        <v>3.4878561699931936</v>
      </c>
      <c r="F23" s="17" t="s">
        <v>29</v>
      </c>
      <c r="G23" s="10">
        <v>7.3376000000000001</v>
      </c>
      <c r="H23" s="11"/>
    </row>
    <row r="24" spans="1:8" s="12" customFormat="1" ht="14.25" x14ac:dyDescent="0.3">
      <c r="A24" s="14" t="s">
        <v>30</v>
      </c>
      <c r="B24" s="15" t="s">
        <v>28</v>
      </c>
      <c r="C24" s="16">
        <v>1000</v>
      </c>
      <c r="D24" s="17">
        <v>4977.92</v>
      </c>
      <c r="E24" s="17">
        <f t="shared" si="0"/>
        <v>3.4850172844569705</v>
      </c>
      <c r="F24" s="17" t="s">
        <v>31</v>
      </c>
      <c r="G24" s="10">
        <v>7.359</v>
      </c>
      <c r="H24" s="11"/>
    </row>
    <row r="25" spans="1:8" s="12" customFormat="1" ht="14.25" x14ac:dyDescent="0.3">
      <c r="A25" s="14" t="s">
        <v>32</v>
      </c>
      <c r="B25" s="15" t="s">
        <v>25</v>
      </c>
      <c r="C25" s="16">
        <v>1000</v>
      </c>
      <c r="D25" s="17">
        <v>4977.0200000000004</v>
      </c>
      <c r="E25" s="17">
        <f t="shared" si="0"/>
        <v>3.4843871988878958</v>
      </c>
      <c r="F25" s="17" t="s">
        <v>33</v>
      </c>
      <c r="G25" s="10">
        <v>8.0251999999999999</v>
      </c>
      <c r="H25" s="11"/>
    </row>
    <row r="26" spans="1:8" s="12" customFormat="1" ht="14.25" x14ac:dyDescent="0.3">
      <c r="A26" s="14" t="s">
        <v>34</v>
      </c>
      <c r="B26" s="15" t="s">
        <v>35</v>
      </c>
      <c r="C26" s="16">
        <v>1000</v>
      </c>
      <c r="D26" s="17">
        <v>4976.1149999999998</v>
      </c>
      <c r="E26" s="17">
        <f t="shared" si="0"/>
        <v>3.4837536128434361</v>
      </c>
      <c r="F26" s="17" t="s">
        <v>36</v>
      </c>
      <c r="G26" s="10">
        <v>7.3007</v>
      </c>
      <c r="H26" s="11"/>
    </row>
    <row r="27" spans="1:8" s="12" customFormat="1" ht="14.25" x14ac:dyDescent="0.3">
      <c r="A27" s="14" t="s">
        <v>37</v>
      </c>
      <c r="B27" s="15" t="s">
        <v>25</v>
      </c>
      <c r="C27" s="16">
        <v>1000</v>
      </c>
      <c r="D27" s="17">
        <v>4975.79</v>
      </c>
      <c r="E27" s="17">
        <f t="shared" si="0"/>
        <v>3.4835260819434923</v>
      </c>
      <c r="F27" s="17" t="s">
        <v>38</v>
      </c>
      <c r="G27" s="10">
        <v>7.3997000000000002</v>
      </c>
      <c r="H27" s="11"/>
    </row>
    <row r="28" spans="1:8" s="12" customFormat="1" ht="14.25" x14ac:dyDescent="0.3">
      <c r="A28" s="14" t="s">
        <v>39</v>
      </c>
      <c r="B28" s="15" t="s">
        <v>28</v>
      </c>
      <c r="C28" s="16">
        <v>1000</v>
      </c>
      <c r="D28" s="17">
        <v>4970.12</v>
      </c>
      <c r="E28" s="17">
        <f t="shared" si="0"/>
        <v>3.4795565428583184</v>
      </c>
      <c r="F28" s="17" t="s">
        <v>40</v>
      </c>
      <c r="G28" s="10">
        <v>7.3151000000000002</v>
      </c>
      <c r="H28" s="11"/>
    </row>
    <row r="29" spans="1:8" s="12" customFormat="1" ht="14.25" x14ac:dyDescent="0.3">
      <c r="A29" s="14" t="s">
        <v>41</v>
      </c>
      <c r="B29" s="15" t="s">
        <v>25</v>
      </c>
      <c r="C29" s="16">
        <v>1000</v>
      </c>
      <c r="D29" s="17">
        <v>4965.0050000000001</v>
      </c>
      <c r="E29" s="17">
        <f t="shared" si="0"/>
        <v>3.4759755565407406</v>
      </c>
      <c r="F29" s="17" t="s">
        <v>42</v>
      </c>
      <c r="G29" s="10">
        <v>7.3503999999999996</v>
      </c>
      <c r="H29" s="11"/>
    </row>
    <row r="30" spans="1:8" s="12" customFormat="1" ht="14.25" x14ac:dyDescent="0.3">
      <c r="A30" s="14" t="s">
        <v>43</v>
      </c>
      <c r="B30" s="15" t="s">
        <v>28</v>
      </c>
      <c r="C30" s="16">
        <v>1000</v>
      </c>
      <c r="D30" s="17">
        <v>4961.68</v>
      </c>
      <c r="E30" s="17">
        <f t="shared" si="0"/>
        <v>3.4736477404105459</v>
      </c>
      <c r="F30" s="17" t="s">
        <v>44</v>
      </c>
      <c r="G30" s="10">
        <v>8.0547000000000004</v>
      </c>
      <c r="H30" s="11"/>
    </row>
    <row r="31" spans="1:8" s="12" customFormat="1" ht="14.25" x14ac:dyDescent="0.3">
      <c r="A31" s="14" t="s">
        <v>34</v>
      </c>
      <c r="B31" s="15" t="s">
        <v>35</v>
      </c>
      <c r="C31" s="16">
        <v>1000</v>
      </c>
      <c r="D31" s="17">
        <v>4949.1750000000002</v>
      </c>
      <c r="E31" s="17">
        <f t="shared" si="0"/>
        <v>3.4648930514757827</v>
      </c>
      <c r="F31" s="17" t="s">
        <v>45</v>
      </c>
      <c r="G31" s="10">
        <v>7.3497000000000003</v>
      </c>
      <c r="H31" s="11"/>
    </row>
    <row r="32" spans="1:8" s="12" customFormat="1" ht="14.25" x14ac:dyDescent="0.3">
      <c r="A32" s="14" t="s">
        <v>46</v>
      </c>
      <c r="B32" s="15" t="s">
        <v>25</v>
      </c>
      <c r="C32" s="16">
        <v>1000</v>
      </c>
      <c r="D32" s="17">
        <v>4946.3850000000002</v>
      </c>
      <c r="E32" s="17">
        <f t="shared" si="0"/>
        <v>3.4629397862116496</v>
      </c>
      <c r="F32" s="17" t="s">
        <v>47</v>
      </c>
      <c r="G32" s="10">
        <v>7.4650999999999996</v>
      </c>
      <c r="H32" s="11"/>
    </row>
    <row r="33" spans="1:8" s="12" customFormat="1" ht="14.25" x14ac:dyDescent="0.3">
      <c r="A33" s="14" t="s">
        <v>39</v>
      </c>
      <c r="B33" s="15" t="s">
        <v>28</v>
      </c>
      <c r="C33" s="16">
        <v>1000</v>
      </c>
      <c r="D33" s="17">
        <v>4941.8850000000002</v>
      </c>
      <c r="E33" s="17">
        <f t="shared" si="0"/>
        <v>3.4597893583662729</v>
      </c>
      <c r="F33" s="17" t="s">
        <v>48</v>
      </c>
      <c r="G33" s="10">
        <v>7.2751000000000001</v>
      </c>
      <c r="H33" s="11"/>
    </row>
    <row r="34" spans="1:8" s="12" customFormat="1" ht="14.25" x14ac:dyDescent="0.3">
      <c r="A34" s="14" t="s">
        <v>49</v>
      </c>
      <c r="B34" s="15" t="s">
        <v>28</v>
      </c>
      <c r="C34" s="16">
        <v>1000</v>
      </c>
      <c r="D34" s="17">
        <v>4936.3850000000002</v>
      </c>
      <c r="E34" s="17">
        <f t="shared" si="0"/>
        <v>3.455938835444146</v>
      </c>
      <c r="F34" s="17" t="s">
        <v>50</v>
      </c>
      <c r="G34" s="10">
        <v>7.3498999999999999</v>
      </c>
      <c r="H34" s="11"/>
    </row>
    <row r="35" spans="1:8" s="12" customFormat="1" ht="14.25" x14ac:dyDescent="0.3">
      <c r="A35" s="14" t="s">
        <v>51</v>
      </c>
      <c r="B35" s="15" t="s">
        <v>52</v>
      </c>
      <c r="C35" s="16">
        <v>1000</v>
      </c>
      <c r="D35" s="17">
        <v>4935.3149999999996</v>
      </c>
      <c r="E35" s="17">
        <f t="shared" si="0"/>
        <v>3.4551897337120225</v>
      </c>
      <c r="F35" s="17" t="s">
        <v>53</v>
      </c>
      <c r="G35" s="10">
        <v>7.3597999999999999</v>
      </c>
      <c r="H35" s="11"/>
    </row>
    <row r="36" spans="1:8" s="12" customFormat="1" ht="14.25" x14ac:dyDescent="0.3">
      <c r="A36" s="14" t="s">
        <v>27</v>
      </c>
      <c r="B36" s="15" t="s">
        <v>28</v>
      </c>
      <c r="C36" s="16">
        <v>1000</v>
      </c>
      <c r="D36" s="17">
        <v>4930.5</v>
      </c>
      <c r="E36" s="17">
        <f t="shared" si="0"/>
        <v>3.4518187759174701</v>
      </c>
      <c r="F36" s="17" t="s">
        <v>54</v>
      </c>
      <c r="G36" s="10">
        <v>7.35</v>
      </c>
      <c r="H36" s="11"/>
    </row>
    <row r="37" spans="1:8" s="12" customFormat="1" ht="14.25" x14ac:dyDescent="0.3">
      <c r="A37" s="14" t="s">
        <v>55</v>
      </c>
      <c r="B37" s="15" t="s">
        <v>52</v>
      </c>
      <c r="C37" s="16">
        <v>1000</v>
      </c>
      <c r="D37" s="17">
        <v>4929.67</v>
      </c>
      <c r="E37" s="17">
        <f t="shared" si="0"/>
        <v>3.4512376970037679</v>
      </c>
      <c r="F37" s="17" t="s">
        <v>56</v>
      </c>
      <c r="G37" s="10">
        <v>7.8902000000000001</v>
      </c>
      <c r="H37" s="11"/>
    </row>
    <row r="38" spans="1:8" s="12" customFormat="1" ht="14.25" x14ac:dyDescent="0.3">
      <c r="A38" s="14" t="s">
        <v>34</v>
      </c>
      <c r="B38" s="15" t="s">
        <v>35</v>
      </c>
      <c r="C38" s="16">
        <v>1000</v>
      </c>
      <c r="D38" s="17">
        <v>4926.835</v>
      </c>
      <c r="E38" s="17">
        <f t="shared" si="0"/>
        <v>3.4492529274611807</v>
      </c>
      <c r="F38" s="17" t="s">
        <v>57</v>
      </c>
      <c r="G38" s="10">
        <v>7.3247999999999998</v>
      </c>
      <c r="H38" s="11"/>
    </row>
    <row r="39" spans="1:8" s="12" customFormat="1" ht="14.25" x14ac:dyDescent="0.3">
      <c r="A39" s="14" t="s">
        <v>58</v>
      </c>
      <c r="B39" s="15" t="s">
        <v>28</v>
      </c>
      <c r="C39" s="16">
        <v>1000</v>
      </c>
      <c r="D39" s="17">
        <v>4924.8900000000003</v>
      </c>
      <c r="E39" s="17">
        <f t="shared" si="0"/>
        <v>3.447891242536901</v>
      </c>
      <c r="F39" s="17" t="s">
        <v>59</v>
      </c>
      <c r="G39" s="10">
        <v>7.8403999999999998</v>
      </c>
      <c r="H39" s="11"/>
    </row>
    <row r="40" spans="1:8" s="12" customFormat="1" ht="14.25" x14ac:dyDescent="0.3">
      <c r="A40" s="14" t="s">
        <v>51</v>
      </c>
      <c r="B40" s="15" t="s">
        <v>52</v>
      </c>
      <c r="C40" s="16">
        <v>1000</v>
      </c>
      <c r="D40" s="17">
        <v>4921.6000000000004</v>
      </c>
      <c r="E40" s="17">
        <f t="shared" si="0"/>
        <v>3.4455879297343928</v>
      </c>
      <c r="F40" s="17" t="s">
        <v>60</v>
      </c>
      <c r="G40" s="10">
        <v>7.36</v>
      </c>
      <c r="H40" s="11"/>
    </row>
    <row r="41" spans="1:8" s="12" customFormat="1" ht="14.25" x14ac:dyDescent="0.3">
      <c r="A41" s="14" t="s">
        <v>61</v>
      </c>
      <c r="B41" s="15" t="s">
        <v>28</v>
      </c>
      <c r="C41" s="16">
        <v>1000</v>
      </c>
      <c r="D41" s="17">
        <v>4920.415</v>
      </c>
      <c r="E41" s="17">
        <f t="shared" si="0"/>
        <v>3.4447583170684437</v>
      </c>
      <c r="F41" s="17" t="s">
        <v>62</v>
      </c>
      <c r="G41" s="10">
        <v>8.9450000000000003</v>
      </c>
      <c r="H41" s="11"/>
    </row>
    <row r="42" spans="1:8" s="12" customFormat="1" ht="14.25" x14ac:dyDescent="0.3">
      <c r="A42" s="14" t="s">
        <v>63</v>
      </c>
      <c r="B42" s="15" t="s">
        <v>25</v>
      </c>
      <c r="C42" s="16">
        <v>1000</v>
      </c>
      <c r="D42" s="17">
        <v>4914.5450000000001</v>
      </c>
      <c r="E42" s="17">
        <f t="shared" si="0"/>
        <v>3.4406487589679187</v>
      </c>
      <c r="F42" s="17" t="s">
        <v>64</v>
      </c>
      <c r="G42" s="10">
        <v>7.3799000000000001</v>
      </c>
      <c r="H42" s="11"/>
    </row>
    <row r="43" spans="1:8" s="12" customFormat="1" ht="14.25" x14ac:dyDescent="0.3">
      <c r="A43" s="14" t="s">
        <v>65</v>
      </c>
      <c r="B43" s="15" t="s">
        <v>28</v>
      </c>
      <c r="C43" s="16">
        <v>300</v>
      </c>
      <c r="D43" s="17">
        <v>1473.7215000000001</v>
      </c>
      <c r="E43" s="17">
        <f t="shared" si="0"/>
        <v>1.0317451666511019</v>
      </c>
      <c r="F43" s="17" t="s">
        <v>66</v>
      </c>
      <c r="G43" s="10">
        <v>8.0350999999999999</v>
      </c>
      <c r="H43" s="11"/>
    </row>
    <row r="44" spans="1:8" s="12" customFormat="1" ht="14.25" x14ac:dyDescent="0.3">
      <c r="A44" s="5" t="s">
        <v>15</v>
      </c>
      <c r="B44" s="20"/>
      <c r="C44" s="21"/>
      <c r="D44" s="8">
        <f>IF(ISERROR(SUM(D22:D43)),0,SUM(D22:D43))</f>
        <v>107862.01400000001</v>
      </c>
      <c r="E44" s="8">
        <f>IF(ISERROR(SUM(E22:E43)),0,SUM(E22:E43))</f>
        <v>75.513664969774482</v>
      </c>
      <c r="F44" s="22"/>
      <c r="G44" s="10"/>
      <c r="H44" s="11"/>
    </row>
    <row r="45" spans="1:8" s="12" customFormat="1" ht="14.25" x14ac:dyDescent="0.3">
      <c r="A45" s="5" t="s">
        <v>67</v>
      </c>
      <c r="B45" s="15"/>
      <c r="C45" s="16"/>
      <c r="D45" s="17"/>
      <c r="E45" s="13"/>
      <c r="F45" s="23"/>
      <c r="G45" s="10"/>
      <c r="H45" s="11"/>
    </row>
    <row r="46" spans="1:8" s="12" customFormat="1" ht="14.25" x14ac:dyDescent="0.3">
      <c r="A46" s="14" t="s">
        <v>68</v>
      </c>
      <c r="B46" s="15" t="s">
        <v>69</v>
      </c>
      <c r="C46" s="16">
        <v>5000000</v>
      </c>
      <c r="D46" s="17">
        <v>4984.1000000000004</v>
      </c>
      <c r="E46" s="17">
        <f t="shared" ref="E46:E54" si="1">(+D46/$D$66*100)</f>
        <v>3.4893438720312879</v>
      </c>
      <c r="F46" s="17" t="s">
        <v>70</v>
      </c>
      <c r="G46" s="10">
        <v>6.8494000000000002</v>
      </c>
      <c r="H46" s="11"/>
    </row>
    <row r="47" spans="1:8" s="12" customFormat="1" ht="14.25" x14ac:dyDescent="0.3">
      <c r="A47" s="14" t="s">
        <v>71</v>
      </c>
      <c r="B47" s="15" t="s">
        <v>69</v>
      </c>
      <c r="C47" s="16">
        <v>3500000</v>
      </c>
      <c r="D47" s="17">
        <v>3456.8065000000001</v>
      </c>
      <c r="E47" s="17">
        <f t="shared" si="1"/>
        <v>2.4200932119285175</v>
      </c>
      <c r="F47" s="17" t="s">
        <v>72</v>
      </c>
      <c r="G47" s="10">
        <v>6.9101999999999997</v>
      </c>
      <c r="H47" s="11"/>
    </row>
    <row r="48" spans="1:8" s="12" customFormat="1" ht="14.25" x14ac:dyDescent="0.3">
      <c r="A48" s="14" t="s">
        <v>73</v>
      </c>
      <c r="B48" s="15" t="s">
        <v>69</v>
      </c>
      <c r="C48" s="16">
        <v>3400000</v>
      </c>
      <c r="D48" s="17">
        <v>3384.2138</v>
      </c>
      <c r="E48" s="17">
        <f t="shared" si="1"/>
        <v>2.3692714200505045</v>
      </c>
      <c r="F48" s="17" t="s">
        <v>74</v>
      </c>
      <c r="G48" s="10">
        <v>6.8103999999999996</v>
      </c>
      <c r="H48" s="11"/>
    </row>
    <row r="49" spans="1:8" s="12" customFormat="1" ht="14.25" x14ac:dyDescent="0.3">
      <c r="A49" s="14" t="s">
        <v>75</v>
      </c>
      <c r="B49" s="15" t="s">
        <v>69</v>
      </c>
      <c r="C49" s="16">
        <v>2500000</v>
      </c>
      <c r="D49" s="17">
        <v>2479.0749999999998</v>
      </c>
      <c r="E49" s="17">
        <f t="shared" si="1"/>
        <v>1.7355882023948084</v>
      </c>
      <c r="F49" s="17" t="s">
        <v>76</v>
      </c>
      <c r="G49" s="10">
        <v>6.8463000000000003</v>
      </c>
      <c r="H49" s="11"/>
    </row>
    <row r="50" spans="1:8" s="12" customFormat="1" ht="14.25" x14ac:dyDescent="0.3">
      <c r="A50" s="14" t="s">
        <v>77</v>
      </c>
      <c r="B50" s="15" t="s">
        <v>69</v>
      </c>
      <c r="C50" s="16">
        <v>2500000</v>
      </c>
      <c r="D50" s="17">
        <v>2475.7325000000001</v>
      </c>
      <c r="E50" s="17">
        <f t="shared" si="1"/>
        <v>1.7332481346007707</v>
      </c>
      <c r="F50" s="17" t="s">
        <v>78</v>
      </c>
      <c r="G50" s="10">
        <v>6.8803999999999998</v>
      </c>
      <c r="H50" s="11"/>
    </row>
    <row r="51" spans="1:8" s="12" customFormat="1" ht="14.25" x14ac:dyDescent="0.3">
      <c r="A51" s="14" t="s">
        <v>79</v>
      </c>
      <c r="B51" s="15" t="s">
        <v>69</v>
      </c>
      <c r="C51" s="16">
        <v>800000</v>
      </c>
      <c r="D51" s="17">
        <v>789.09439999999995</v>
      </c>
      <c r="E51" s="17">
        <f t="shared" si="1"/>
        <v>0.5524411045312505</v>
      </c>
      <c r="F51" s="17" t="s">
        <v>80</v>
      </c>
      <c r="G51" s="10">
        <v>6.9101999999999997</v>
      </c>
      <c r="H51" s="11"/>
    </row>
    <row r="52" spans="1:8" s="12" customFormat="1" ht="14.25" x14ac:dyDescent="0.3">
      <c r="A52" s="14" t="s">
        <v>81</v>
      </c>
      <c r="B52" s="15" t="s">
        <v>69</v>
      </c>
      <c r="C52" s="16">
        <v>300000</v>
      </c>
      <c r="D52" s="17">
        <v>299.44049999999999</v>
      </c>
      <c r="E52" s="17">
        <f t="shared" si="1"/>
        <v>0.20963681982965526</v>
      </c>
      <c r="F52" s="17" t="s">
        <v>82</v>
      </c>
      <c r="G52" s="10">
        <v>6.82</v>
      </c>
      <c r="H52" s="11"/>
    </row>
    <row r="53" spans="1:8" s="12" customFormat="1" ht="14.25" x14ac:dyDescent="0.3">
      <c r="A53" s="14" t="s">
        <v>83</v>
      </c>
      <c r="B53" s="15" t="s">
        <v>69</v>
      </c>
      <c r="C53" s="16">
        <v>300000</v>
      </c>
      <c r="D53" s="17">
        <v>297.87869999999998</v>
      </c>
      <c r="E53" s="17">
        <f t="shared" si="1"/>
        <v>0.20854341133878662</v>
      </c>
      <c r="F53" s="17" t="s">
        <v>84</v>
      </c>
      <c r="G53" s="10">
        <v>6.8402000000000003</v>
      </c>
      <c r="H53" s="11"/>
    </row>
    <row r="54" spans="1:8" s="12" customFormat="1" ht="14.25" x14ac:dyDescent="0.3">
      <c r="A54" s="14" t="s">
        <v>85</v>
      </c>
      <c r="B54" s="15" t="s">
        <v>69</v>
      </c>
      <c r="C54" s="16">
        <v>300000</v>
      </c>
      <c r="D54" s="17">
        <v>297.08789999999999</v>
      </c>
      <c r="E54" s="17">
        <f t="shared" si="1"/>
        <v>0.20798977615209244</v>
      </c>
      <c r="F54" s="17" t="s">
        <v>86</v>
      </c>
      <c r="G54" s="10">
        <v>6.8803999999999998</v>
      </c>
      <c r="H54" s="11"/>
    </row>
    <row r="55" spans="1:8" s="12" customFormat="1" ht="14.25" x14ac:dyDescent="0.3">
      <c r="A55" s="5" t="s">
        <v>15</v>
      </c>
      <c r="B55" s="20"/>
      <c r="C55" s="21"/>
      <c r="D55" s="8">
        <f>IF(ISERROR(SUM(D46:D54)),0,SUM(D46:D54))</f>
        <v>18463.4293</v>
      </c>
      <c r="E55" s="8">
        <f>IF(ISERROR(SUM(E46:E54)),0,SUM(E46:E54))</f>
        <v>12.926155952857673</v>
      </c>
      <c r="F55" s="22"/>
      <c r="G55" s="10"/>
      <c r="H55" s="11"/>
    </row>
    <row r="56" spans="1:8" s="12" customFormat="1" ht="14.25" x14ac:dyDescent="0.3">
      <c r="A56" s="14" t="s">
        <v>87</v>
      </c>
      <c r="B56" s="15"/>
      <c r="C56" s="16">
        <v>0</v>
      </c>
      <c r="D56" s="17">
        <v>15340.467316800001</v>
      </c>
      <c r="E56" s="17">
        <f>(+D56/$D$66*100)</f>
        <v>10.739785643540927</v>
      </c>
      <c r="F56" s="17" t="s">
        <v>88</v>
      </c>
      <c r="G56" s="10">
        <v>6.7633999999999999</v>
      </c>
      <c r="H56" s="11"/>
    </row>
    <row r="57" spans="1:8" s="12" customFormat="1" ht="14.25" x14ac:dyDescent="0.3">
      <c r="A57" s="5" t="s">
        <v>15</v>
      </c>
      <c r="B57" s="6"/>
      <c r="C57" s="18"/>
      <c r="D57" s="8">
        <f>IF(ISERROR(SUM(D56:D56)),0,SUM(D56:D56))</f>
        <v>15340.467316800001</v>
      </c>
      <c r="E57" s="8">
        <f>IF(ISERROR(SUM(E56:E56)),0,SUM(E56:E56))</f>
        <v>10.739785643540927</v>
      </c>
      <c r="F57" s="17"/>
      <c r="G57" s="10"/>
      <c r="H57" s="11"/>
    </row>
    <row r="58" spans="1:8" s="12" customFormat="1" ht="14.25" x14ac:dyDescent="0.3">
      <c r="A58" s="24" t="s">
        <v>89</v>
      </c>
      <c r="B58" s="6"/>
      <c r="C58" s="18"/>
      <c r="D58" s="8"/>
      <c r="E58" s="8"/>
      <c r="F58" s="8"/>
      <c r="G58" s="10"/>
      <c r="H58" s="11"/>
    </row>
    <row r="59" spans="1:8" s="12" customFormat="1" ht="14.25" x14ac:dyDescent="0.3">
      <c r="A59" s="25" t="s">
        <v>90</v>
      </c>
      <c r="B59" s="15"/>
      <c r="C59" s="16">
        <v>4806.76</v>
      </c>
      <c r="D59" s="17">
        <v>484.67965134596</v>
      </c>
      <c r="E59" s="17">
        <f>(+D59/$D$66*100)</f>
        <v>0.33932183770836993</v>
      </c>
      <c r="F59" s="17" t="s">
        <v>91</v>
      </c>
      <c r="G59" s="10">
        <v>7.18</v>
      </c>
      <c r="H59" s="11"/>
    </row>
    <row r="60" spans="1:8" s="12" customFormat="1" ht="14.25" x14ac:dyDescent="0.3">
      <c r="A60" s="5" t="s">
        <v>15</v>
      </c>
      <c r="B60" s="6"/>
      <c r="C60" s="18"/>
      <c r="D60" s="8">
        <f>IF(ISERROR(SUM(D59:D59)),0,SUM(D59:D59))</f>
        <v>484.67965134596</v>
      </c>
      <c r="E60" s="8">
        <f>IF(ISERROR(SUM(E59:E59)),0,SUM(E59:E59))</f>
        <v>0.33932183770836993</v>
      </c>
      <c r="F60" s="17"/>
      <c r="G60" s="10"/>
      <c r="H60" s="11"/>
    </row>
    <row r="61" spans="1:8" s="12" customFormat="1" ht="14.25" x14ac:dyDescent="0.3">
      <c r="A61" s="5"/>
      <c r="B61" s="6"/>
      <c r="C61" s="18"/>
      <c r="D61" s="8"/>
      <c r="E61" s="8"/>
      <c r="F61" s="9"/>
      <c r="G61" s="10"/>
      <c r="H61" s="11"/>
    </row>
    <row r="62" spans="1:8" s="12" customFormat="1" ht="14.25" x14ac:dyDescent="0.3">
      <c r="A62" s="5" t="s">
        <v>18</v>
      </c>
      <c r="B62" s="6"/>
      <c r="C62" s="18" t="s">
        <v>92</v>
      </c>
      <c r="D62" s="8">
        <f>+IF(ISERROR(D12),0,D12)+IF(ISERROR(D57),0,D57)+IF(ISERROR(#REF!),0,#REF!)+IF(ISERROR(#REF!),0,#REF!)+IF(ISERROR(#REF!),0,#REF!)+IF(ISERROR(D55),0,D55)+IF(ISERROR(#REF!),0,#REF!)+IF(ISERROR(#REF!),0,#REF!)+IF(ISERROR(D44),0,D44)+IF(ISERROR(D60),0,D60)+IF(ISERROR(#REF!),0,#REF!)</f>
        <v>142651.29926814599</v>
      </c>
      <c r="E62" s="8">
        <f>+IF(ISERROR(E12),0,E12)+IF(ISERROR(E57),0,E57)+IF(ISERROR(#REF!),0,#REF!)+IF(ISERROR(#REF!),0,#REF!)+IF(ISERROR(#REF!),0,#REF!)+IF(ISERROR(E55),0,E55)+IF(ISERROR(#REF!),0,#REF!)+IF(ISERROR(#REF!),0,#REF!)+IF(ISERROR(E44),0,E44)+IF(ISERROR(E60),0,E60)+IF(ISERROR(#REF!),0,#REF!)</f>
        <v>99.869472309666023</v>
      </c>
      <c r="F62" s="8">
        <f>+IF(ISERROR(F12),0,F12)+IF(ISERROR(F57),0,F57)+IF(ISERROR(#REF!),0,#REF!)+IF(ISERROR(#REF!),0,#REF!)+IF(ISERROR(#REF!),0,#REF!)+IF(ISERROR(F55),0,F55)+IF(ISERROR(#REF!),0,#REF!)+IF(ISERROR(#REF!),0,#REF!)+IF(ISERROR(#REF!),0,#REF!)+F44</f>
        <v>0</v>
      </c>
      <c r="G62" s="10"/>
      <c r="H62" s="11"/>
    </row>
    <row r="63" spans="1:8" s="12" customFormat="1" ht="14.25" x14ac:dyDescent="0.3">
      <c r="A63" s="5"/>
      <c r="B63" s="6"/>
      <c r="C63" s="18"/>
      <c r="D63" s="8"/>
      <c r="E63" s="8"/>
      <c r="F63" s="26"/>
      <c r="G63" s="27"/>
      <c r="H63" s="28"/>
    </row>
    <row r="64" spans="1:8" s="12" customFormat="1" ht="14.25" x14ac:dyDescent="0.3">
      <c r="A64" s="5" t="s">
        <v>93</v>
      </c>
      <c r="B64" s="6"/>
      <c r="C64" s="18"/>
      <c r="D64" s="8">
        <f>+D66-D62</f>
        <v>186.44280565410736</v>
      </c>
      <c r="E64" s="8">
        <f>D64/$D$66*100</f>
        <v>0.13052769033395795</v>
      </c>
      <c r="F64" s="29"/>
      <c r="G64" s="27"/>
      <c r="H64" s="28"/>
    </row>
    <row r="65" spans="1:8" s="12" customFormat="1" ht="14.25" x14ac:dyDescent="0.3">
      <c r="A65" s="5"/>
      <c r="B65" s="6"/>
      <c r="C65" s="18"/>
      <c r="D65" s="13"/>
      <c r="E65" s="13"/>
      <c r="F65" s="26"/>
      <c r="G65" s="27"/>
      <c r="H65" s="28"/>
    </row>
    <row r="66" spans="1:8" s="12" customFormat="1" ht="14.25" x14ac:dyDescent="0.3">
      <c r="A66" s="5" t="s">
        <v>94</v>
      </c>
      <c r="B66" s="6"/>
      <c r="C66" s="18"/>
      <c r="D66" s="8">
        <v>142837.74207380009</v>
      </c>
      <c r="E66" s="8">
        <f>+E62+E64</f>
        <v>99.999999999999986</v>
      </c>
      <c r="F66" s="26"/>
      <c r="G66" s="27"/>
      <c r="H66" s="28"/>
    </row>
    <row r="67" spans="1:8" s="12" customFormat="1" ht="14.25" x14ac:dyDescent="0.3">
      <c r="A67" s="30"/>
      <c r="B67" s="31"/>
      <c r="C67" s="32"/>
      <c r="D67" s="33"/>
      <c r="E67" s="33"/>
      <c r="F67" s="26"/>
      <c r="G67" s="27"/>
      <c r="H67" s="28"/>
    </row>
    <row r="68" spans="1:8" s="12" customFormat="1" ht="14.25" x14ac:dyDescent="0.3">
      <c r="A68" s="34" t="s">
        <v>95</v>
      </c>
      <c r="B68" s="31"/>
      <c r="C68" s="32"/>
      <c r="D68" s="33"/>
      <c r="E68" s="33"/>
      <c r="F68" s="35"/>
      <c r="G68" s="27"/>
      <c r="H68" s="28"/>
    </row>
    <row r="69" spans="1:8" s="12" customFormat="1" ht="14.25" x14ac:dyDescent="0.3">
      <c r="A69" s="34"/>
      <c r="B69" s="31"/>
      <c r="C69" s="32"/>
      <c r="D69" s="33"/>
      <c r="E69" s="33"/>
      <c r="F69" s="35"/>
      <c r="G69" s="27"/>
      <c r="H69" s="28"/>
    </row>
    <row r="70" spans="1:8" s="12" customFormat="1" ht="14.25" x14ac:dyDescent="0.3">
      <c r="A70" s="36" t="s">
        <v>96</v>
      </c>
      <c r="B70" s="31"/>
      <c r="C70" s="32"/>
      <c r="D70" s="33"/>
      <c r="E70" s="33"/>
      <c r="F70" s="35"/>
      <c r="G70" s="27"/>
      <c r="H70" s="28"/>
    </row>
    <row r="71" spans="1:8" s="12" customFormat="1" ht="14.25" x14ac:dyDescent="0.3">
      <c r="A71" s="36"/>
      <c r="B71" s="31"/>
      <c r="C71" s="32"/>
      <c r="D71" s="33"/>
      <c r="E71" s="33"/>
      <c r="F71" s="35"/>
      <c r="G71" s="27"/>
      <c r="H71" s="28"/>
    </row>
    <row r="72" spans="1:8" s="12" customFormat="1" ht="13.5" x14ac:dyDescent="0.2">
      <c r="A72" s="75" t="s">
        <v>97</v>
      </c>
      <c r="B72" s="75"/>
      <c r="C72" s="75"/>
      <c r="D72" s="75"/>
      <c r="E72" s="75"/>
      <c r="F72" s="75"/>
      <c r="G72" s="75"/>
      <c r="H72" s="75"/>
    </row>
    <row r="73" spans="1:8" s="12" customFormat="1" ht="14.25" x14ac:dyDescent="0.3">
      <c r="A73" s="37"/>
      <c r="B73" s="38"/>
      <c r="C73" s="39"/>
      <c r="D73" s="40"/>
      <c r="E73" s="40"/>
      <c r="F73" s="35"/>
      <c r="G73" s="27"/>
      <c r="H73" s="28"/>
    </row>
    <row r="74" spans="1:8" s="12" customFormat="1" ht="13.5" x14ac:dyDescent="0.2">
      <c r="A74" s="75" t="s">
        <v>98</v>
      </c>
      <c r="B74" s="75"/>
      <c r="C74" s="75"/>
      <c r="D74" s="75"/>
      <c r="E74" s="75"/>
      <c r="F74" s="75"/>
      <c r="G74" s="75"/>
      <c r="H74" s="75"/>
    </row>
    <row r="75" spans="1:8" s="12" customFormat="1" ht="27.75" customHeight="1" x14ac:dyDescent="0.2">
      <c r="A75" s="75" t="s">
        <v>99</v>
      </c>
      <c r="B75" s="75"/>
      <c r="C75" s="75"/>
      <c r="D75" s="75"/>
      <c r="E75" s="75"/>
      <c r="F75" s="75"/>
      <c r="G75" s="75"/>
      <c r="H75" s="75"/>
    </row>
    <row r="76" spans="1:8" ht="13.5" x14ac:dyDescent="0.2">
      <c r="A76" s="81" t="s">
        <v>100</v>
      </c>
      <c r="B76" s="81"/>
      <c r="C76" s="81"/>
      <c r="D76" s="81"/>
      <c r="E76" s="81"/>
      <c r="F76" s="81"/>
      <c r="G76" s="82"/>
      <c r="H76" s="82"/>
    </row>
    <row r="77" spans="1:8" ht="53.25" customHeight="1" x14ac:dyDescent="0.2">
      <c r="A77" s="83" t="s">
        <v>101</v>
      </c>
      <c r="B77" s="83"/>
      <c r="C77" s="83"/>
      <c r="D77" s="83"/>
      <c r="E77" s="83"/>
      <c r="F77" s="83"/>
      <c r="G77" s="83"/>
      <c r="H77" s="82"/>
    </row>
    <row r="78" spans="1:8" ht="14.25" x14ac:dyDescent="0.3">
      <c r="A78" s="41"/>
      <c r="B78" s="41"/>
      <c r="C78" s="41"/>
      <c r="D78" s="41"/>
      <c r="E78" s="41"/>
      <c r="F78" s="41"/>
      <c r="G78" s="40"/>
      <c r="H78" s="40"/>
    </row>
    <row r="79" spans="1:8" ht="14.25" x14ac:dyDescent="0.3">
      <c r="A79" s="42" t="s">
        <v>102</v>
      </c>
      <c r="B79" s="43"/>
      <c r="C79" s="43"/>
      <c r="D79" s="28"/>
      <c r="E79" s="28"/>
      <c r="F79" s="44"/>
      <c r="G79" s="28"/>
      <c r="H79" s="28"/>
    </row>
    <row r="80" spans="1:8" ht="14.25" x14ac:dyDescent="0.3">
      <c r="A80" s="45" t="s">
        <v>103</v>
      </c>
      <c r="B80" s="43"/>
      <c r="C80" s="43"/>
      <c r="D80" s="28"/>
      <c r="E80" s="28"/>
      <c r="F80" s="28"/>
      <c r="G80" s="28"/>
      <c r="H80" s="46"/>
    </row>
    <row r="81" spans="1:8" ht="14.25" x14ac:dyDescent="0.3">
      <c r="A81" s="45" t="s">
        <v>104</v>
      </c>
      <c r="B81" s="43"/>
      <c r="C81" s="43"/>
      <c r="D81" s="28"/>
      <c r="E81" s="28"/>
      <c r="F81" s="28"/>
      <c r="G81" s="28"/>
      <c r="H81" s="46"/>
    </row>
    <row r="82" spans="1:8" ht="14.25" x14ac:dyDescent="0.3">
      <c r="A82" s="45" t="s">
        <v>105</v>
      </c>
      <c r="B82" s="43"/>
      <c r="C82" s="43"/>
      <c r="D82" s="28"/>
      <c r="E82" s="28"/>
      <c r="F82" s="28"/>
      <c r="G82" s="28"/>
      <c r="H82" s="28"/>
    </row>
    <row r="83" spans="1:8" ht="14.25" x14ac:dyDescent="0.3">
      <c r="A83" s="47"/>
      <c r="B83" s="43"/>
      <c r="C83" s="43"/>
      <c r="D83" s="28"/>
      <c r="E83" s="28"/>
      <c r="F83" s="28"/>
      <c r="G83" s="28"/>
      <c r="H83" s="28"/>
    </row>
    <row r="84" spans="1:8" ht="14.25" x14ac:dyDescent="0.3">
      <c r="A84" s="48" t="s">
        <v>106</v>
      </c>
      <c r="B84" s="84" t="s">
        <v>107</v>
      </c>
      <c r="C84" s="84"/>
      <c r="D84" s="84"/>
      <c r="E84" s="49"/>
      <c r="F84" s="28"/>
      <c r="G84" s="28"/>
      <c r="H84" s="28"/>
    </row>
    <row r="85" spans="1:8" ht="14.25" x14ac:dyDescent="0.3">
      <c r="A85" s="48"/>
      <c r="B85" s="50"/>
      <c r="C85" s="50"/>
      <c r="D85" s="50"/>
      <c r="E85" s="49"/>
      <c r="F85" s="28"/>
      <c r="G85" s="28"/>
      <c r="H85" s="28"/>
    </row>
    <row r="86" spans="1:8" ht="14.25" x14ac:dyDescent="0.3">
      <c r="A86" s="51"/>
      <c r="B86" s="43"/>
      <c r="C86" s="43"/>
      <c r="D86" s="28"/>
      <c r="E86" s="28"/>
      <c r="F86" s="28"/>
      <c r="G86" s="28"/>
      <c r="H86" s="28"/>
    </row>
    <row r="87" spans="1:8" ht="14.25" x14ac:dyDescent="0.3">
      <c r="A87" s="43"/>
      <c r="B87" s="43"/>
      <c r="C87" s="43"/>
      <c r="D87" s="28"/>
      <c r="E87" s="28"/>
      <c r="F87" s="28"/>
      <c r="G87" s="28"/>
      <c r="H87" s="28"/>
    </row>
    <row r="88" spans="1:8" ht="14.25" x14ac:dyDescent="0.3">
      <c r="A88" s="52"/>
      <c r="B88" s="53"/>
      <c r="C88" s="54"/>
      <c r="D88" s="28"/>
      <c r="E88" s="28"/>
      <c r="F88" s="28"/>
      <c r="G88" s="28"/>
      <c r="H88" s="28"/>
    </row>
    <row r="89" spans="1:8" ht="14.25" x14ac:dyDescent="0.3">
      <c r="A89" s="52"/>
      <c r="B89" s="53"/>
      <c r="C89" s="54"/>
      <c r="D89" s="28"/>
      <c r="E89" s="28"/>
      <c r="F89" s="28"/>
      <c r="G89" s="28"/>
      <c r="H89" s="28"/>
    </row>
    <row r="90" spans="1:8" ht="14.25" x14ac:dyDescent="0.3">
      <c r="A90" s="52"/>
      <c r="B90" s="53"/>
      <c r="C90" s="54"/>
      <c r="D90" s="28"/>
      <c r="E90" s="28"/>
      <c r="F90" s="28"/>
      <c r="G90" s="28"/>
      <c r="H90" s="28"/>
    </row>
    <row r="91" spans="1:8" ht="14.25" x14ac:dyDescent="0.3">
      <c r="A91" s="52"/>
      <c r="B91" s="53"/>
      <c r="C91" s="54"/>
      <c r="D91" s="28"/>
      <c r="E91" s="28"/>
      <c r="F91" s="28"/>
      <c r="G91" s="28"/>
      <c r="H91" s="28"/>
    </row>
    <row r="92" spans="1:8" ht="15" thickBot="1" x14ac:dyDescent="0.35">
      <c r="A92" s="52"/>
      <c r="B92" s="53"/>
      <c r="C92" s="54"/>
      <c r="D92" s="28"/>
      <c r="E92" s="55"/>
      <c r="F92" s="28"/>
      <c r="G92" s="28"/>
      <c r="H92" s="28"/>
    </row>
    <row r="93" spans="1:8" ht="15" thickBot="1" x14ac:dyDescent="0.35">
      <c r="A93" s="85" t="s">
        <v>108</v>
      </c>
      <c r="B93" s="86"/>
      <c r="C93" s="86"/>
      <c r="D93" s="87"/>
      <c r="E93" s="55"/>
      <c r="F93" s="28"/>
      <c r="G93" s="28"/>
      <c r="H93" s="28"/>
    </row>
    <row r="94" spans="1:8" ht="15" thickBot="1" x14ac:dyDescent="0.35">
      <c r="A94" s="56" t="s">
        <v>109</v>
      </c>
      <c r="B94" s="88" t="s">
        <v>110</v>
      </c>
      <c r="C94" s="88" t="s">
        <v>111</v>
      </c>
      <c r="D94" s="88" t="s">
        <v>112</v>
      </c>
      <c r="E94" s="55"/>
      <c r="F94" s="28"/>
      <c r="G94" s="28"/>
      <c r="H94" s="28"/>
    </row>
    <row r="95" spans="1:8" ht="15" thickBot="1" x14ac:dyDescent="0.35">
      <c r="A95" s="56" t="s">
        <v>113</v>
      </c>
      <c r="B95" s="89"/>
      <c r="C95" s="89"/>
      <c r="D95" s="89"/>
      <c r="E95" s="55"/>
      <c r="F95" s="28"/>
      <c r="G95" s="28"/>
      <c r="H95" s="28"/>
    </row>
    <row r="96" spans="1:8" ht="15" thickBot="1" x14ac:dyDescent="0.35">
      <c r="A96" s="57" t="s">
        <v>114</v>
      </c>
      <c r="B96" s="58"/>
      <c r="C96" s="59" t="s">
        <v>115</v>
      </c>
      <c r="D96" s="58"/>
      <c r="E96" s="55"/>
      <c r="F96" s="28"/>
      <c r="G96" s="28"/>
      <c r="H96" s="28"/>
    </row>
    <row r="97" spans="1:8" ht="15" thickBot="1" x14ac:dyDescent="0.35">
      <c r="A97" s="60" t="s">
        <v>116</v>
      </c>
      <c r="B97" s="58"/>
      <c r="C97" s="58"/>
      <c r="D97" s="58"/>
      <c r="E97" s="55"/>
      <c r="F97" s="28"/>
      <c r="G97" s="28"/>
      <c r="H97" s="28"/>
    </row>
    <row r="98" spans="1:8" ht="15" thickBot="1" x14ac:dyDescent="0.35">
      <c r="A98" s="60" t="s">
        <v>117</v>
      </c>
      <c r="B98" s="58"/>
      <c r="C98" s="58"/>
      <c r="D98" s="58"/>
      <c r="E98" s="55"/>
      <c r="F98" s="28"/>
      <c r="G98" s="28"/>
      <c r="H98" s="28"/>
    </row>
    <row r="99" spans="1:8" ht="14.25" x14ac:dyDescent="0.3">
      <c r="A99" s="36"/>
      <c r="B99" s="61"/>
      <c r="C99" s="61"/>
      <c r="D99" s="61"/>
      <c r="E99" s="55"/>
      <c r="F99" s="28"/>
      <c r="G99" s="28"/>
      <c r="H99" s="28"/>
    </row>
    <row r="100" spans="1:8" ht="14.25" x14ac:dyDescent="0.3">
      <c r="A100" s="52"/>
      <c r="B100" s="53"/>
      <c r="C100" s="54"/>
      <c r="D100" s="28"/>
      <c r="E100" s="55"/>
      <c r="F100" s="28"/>
      <c r="G100" s="28"/>
      <c r="H100" s="28"/>
    </row>
    <row r="101" spans="1:8" ht="14.25" x14ac:dyDescent="0.3">
      <c r="A101" s="79" t="s">
        <v>118</v>
      </c>
      <c r="B101" s="80"/>
      <c r="C101" s="54"/>
      <c r="D101" s="28"/>
      <c r="E101" s="55"/>
      <c r="F101" s="28"/>
      <c r="G101" s="28"/>
      <c r="H101" s="28"/>
    </row>
    <row r="102" spans="1:8" ht="14.25" x14ac:dyDescent="0.3">
      <c r="A102" s="62" t="s">
        <v>119</v>
      </c>
      <c r="B102" s="63" t="s">
        <v>120</v>
      </c>
      <c r="C102" s="54"/>
      <c r="D102" s="28"/>
      <c r="E102" s="55"/>
      <c r="F102" s="28"/>
      <c r="G102" s="28"/>
      <c r="H102" s="28"/>
    </row>
    <row r="103" spans="1:8" ht="14.25" x14ac:dyDescent="0.3">
      <c r="A103" s="62" t="s">
        <v>121</v>
      </c>
      <c r="B103" s="64"/>
      <c r="C103" s="54"/>
      <c r="D103" s="28"/>
      <c r="E103" s="55"/>
      <c r="F103" s="28"/>
      <c r="G103" s="28"/>
      <c r="H103" s="28"/>
    </row>
    <row r="104" spans="1:8" ht="14.25" x14ac:dyDescent="0.3">
      <c r="A104" s="62"/>
      <c r="B104" s="64"/>
      <c r="C104" s="54"/>
      <c r="D104" s="28"/>
      <c r="E104" s="55"/>
      <c r="F104" s="28"/>
      <c r="G104" s="28"/>
      <c r="H104" s="28"/>
    </row>
    <row r="105" spans="1:8" ht="14.25" x14ac:dyDescent="0.3">
      <c r="A105" s="62" t="s">
        <v>122</v>
      </c>
      <c r="B105" s="65">
        <v>7.3700000000000002E-2</v>
      </c>
      <c r="C105" s="54"/>
      <c r="D105" s="28"/>
      <c r="E105" s="55"/>
      <c r="F105" s="28"/>
      <c r="G105" s="28"/>
      <c r="H105" s="28"/>
    </row>
    <row r="106" spans="1:8" ht="14.25" x14ac:dyDescent="0.3">
      <c r="A106" s="62" t="s">
        <v>92</v>
      </c>
      <c r="B106" s="66"/>
      <c r="C106" s="54"/>
      <c r="D106" s="28"/>
      <c r="E106" s="55"/>
      <c r="F106" s="28"/>
      <c r="G106" s="28"/>
      <c r="H106" s="28"/>
    </row>
    <row r="107" spans="1:8" ht="14.25" x14ac:dyDescent="0.3">
      <c r="A107" s="62" t="s">
        <v>123</v>
      </c>
      <c r="B107" s="67">
        <v>0.12239999999999999</v>
      </c>
      <c r="C107" s="54"/>
      <c r="D107" s="28"/>
      <c r="E107" s="55"/>
      <c r="F107" s="28"/>
      <c r="G107" s="28"/>
      <c r="H107" s="28"/>
    </row>
    <row r="108" spans="1:8" ht="14.25" x14ac:dyDescent="0.3">
      <c r="A108" s="62" t="s">
        <v>124</v>
      </c>
      <c r="B108" s="68">
        <v>0.12280000000000001</v>
      </c>
      <c r="C108" s="54"/>
      <c r="D108" s="28"/>
      <c r="E108" s="55"/>
      <c r="F108" s="28"/>
      <c r="G108" s="28"/>
      <c r="H108" s="28"/>
    </row>
    <row r="109" spans="1:8" ht="14.25" x14ac:dyDescent="0.3">
      <c r="A109" s="62" t="s">
        <v>92</v>
      </c>
      <c r="B109" s="20"/>
      <c r="C109" s="54"/>
      <c r="D109" s="28"/>
      <c r="E109" s="55"/>
      <c r="F109" s="28"/>
      <c r="G109" s="28"/>
      <c r="H109" s="28"/>
    </row>
    <row r="110" spans="1:8" ht="14.25" x14ac:dyDescent="0.3">
      <c r="A110" s="62" t="s">
        <v>125</v>
      </c>
      <c r="B110" s="69" t="s">
        <v>126</v>
      </c>
      <c r="C110" s="54"/>
      <c r="D110" s="28"/>
      <c r="E110" s="55"/>
      <c r="F110" s="28"/>
      <c r="G110" s="28"/>
      <c r="H110" s="28"/>
    </row>
    <row r="111" spans="1:8" ht="14.25" x14ac:dyDescent="0.3">
      <c r="A111" s="70" t="s">
        <v>127</v>
      </c>
      <c r="B111" s="71"/>
      <c r="C111" s="54"/>
      <c r="D111" s="28"/>
      <c r="E111" s="55"/>
      <c r="F111" s="28"/>
      <c r="G111" s="28"/>
      <c r="H111" s="28"/>
    </row>
    <row r="112" spans="1:8" ht="14.25" x14ac:dyDescent="0.3">
      <c r="A112" s="52"/>
      <c r="B112" s="53"/>
      <c r="C112" s="54"/>
      <c r="D112" s="28"/>
      <c r="E112" s="28"/>
      <c r="F112" s="28"/>
      <c r="G112" s="28"/>
      <c r="H112" s="28"/>
    </row>
    <row r="113" spans="1:8" ht="14.25" x14ac:dyDescent="0.3">
      <c r="A113" s="52"/>
      <c r="B113" s="53"/>
      <c r="C113" s="54"/>
      <c r="D113" s="28"/>
      <c r="E113" s="28"/>
      <c r="F113" s="28"/>
      <c r="G113" s="28"/>
      <c r="H113" s="28"/>
    </row>
    <row r="114" spans="1:8" ht="14.25" x14ac:dyDescent="0.3">
      <c r="A114" s="52"/>
      <c r="B114" s="53"/>
      <c r="C114" s="54"/>
      <c r="D114" s="28"/>
      <c r="E114" s="28"/>
      <c r="F114" s="28"/>
      <c r="G114" s="28"/>
      <c r="H114" s="28"/>
    </row>
    <row r="115" spans="1:8" ht="14.25" x14ac:dyDescent="0.3">
      <c r="A115" s="52"/>
      <c r="B115" s="53"/>
      <c r="C115" s="54"/>
      <c r="D115" s="28"/>
      <c r="E115" s="28"/>
      <c r="F115" s="28"/>
      <c r="G115" s="28"/>
      <c r="H115" s="28"/>
    </row>
    <row r="116" spans="1:8" ht="14.25" x14ac:dyDescent="0.3">
      <c r="A116" s="52"/>
      <c r="B116" s="53"/>
      <c r="C116" s="54"/>
      <c r="D116" s="28"/>
      <c r="E116" s="28"/>
      <c r="F116" s="28"/>
      <c r="G116" s="28"/>
      <c r="H116" s="28"/>
    </row>
    <row r="117" spans="1:8" ht="14.25" x14ac:dyDescent="0.3">
      <c r="A117" s="52"/>
      <c r="B117" s="53"/>
      <c r="C117" s="54"/>
      <c r="D117" s="28"/>
      <c r="E117" s="28"/>
      <c r="F117" s="28"/>
      <c r="G117" s="28"/>
      <c r="H117" s="28"/>
    </row>
    <row r="118" spans="1:8" ht="14.25" x14ac:dyDescent="0.3">
      <c r="A118" s="52"/>
      <c r="B118" s="53"/>
      <c r="C118" s="54"/>
      <c r="D118" s="28"/>
      <c r="E118" s="28"/>
      <c r="F118" s="28"/>
      <c r="G118" s="28"/>
      <c r="H118" s="28"/>
    </row>
    <row r="119" spans="1:8" ht="14.25" x14ac:dyDescent="0.3">
      <c r="A119" s="52"/>
      <c r="B119" s="53"/>
      <c r="C119" s="54"/>
      <c r="D119" s="28"/>
      <c r="E119" s="28"/>
      <c r="F119" s="28"/>
      <c r="G119" s="28"/>
      <c r="H119" s="28"/>
    </row>
    <row r="120" spans="1:8" ht="14.25" x14ac:dyDescent="0.3">
      <c r="A120" s="52"/>
      <c r="B120" s="53"/>
      <c r="C120" s="54"/>
      <c r="D120" s="28"/>
      <c r="E120" s="28"/>
      <c r="F120" s="28"/>
      <c r="G120" s="28"/>
      <c r="H120" s="28"/>
    </row>
    <row r="121" spans="1:8" ht="14.25" x14ac:dyDescent="0.3">
      <c r="A121" s="52"/>
      <c r="B121" s="53"/>
      <c r="C121" s="54"/>
      <c r="D121" s="28"/>
      <c r="E121" s="28"/>
      <c r="F121" s="28"/>
      <c r="G121" s="28"/>
      <c r="H121" s="28"/>
    </row>
    <row r="122" spans="1:8" ht="14.25" x14ac:dyDescent="0.3">
      <c r="A122" s="52"/>
      <c r="B122" s="53"/>
      <c r="C122" s="54"/>
      <c r="D122" s="28"/>
      <c r="E122" s="28"/>
      <c r="F122" s="28"/>
      <c r="G122" s="28"/>
      <c r="H122" s="28"/>
    </row>
    <row r="123" spans="1:8" ht="14.25" x14ac:dyDescent="0.3">
      <c r="A123" s="52"/>
      <c r="B123" s="53"/>
      <c r="C123" s="54"/>
      <c r="D123" s="28"/>
      <c r="E123" s="28"/>
      <c r="F123" s="28"/>
      <c r="G123" s="28"/>
      <c r="H123" s="28"/>
    </row>
    <row r="124" spans="1:8" ht="14.25" x14ac:dyDescent="0.3">
      <c r="A124" s="52"/>
      <c r="B124" s="53"/>
      <c r="C124" s="54"/>
      <c r="D124" s="28"/>
      <c r="E124" s="28"/>
      <c r="F124" s="28"/>
      <c r="G124" s="28"/>
      <c r="H124" s="28"/>
    </row>
    <row r="125" spans="1:8" ht="14.25" x14ac:dyDescent="0.3">
      <c r="A125" s="52"/>
      <c r="B125" s="53"/>
      <c r="C125" s="54"/>
      <c r="D125" s="28"/>
      <c r="E125" s="28"/>
      <c r="F125" s="28"/>
      <c r="G125" s="28"/>
      <c r="H125" s="28"/>
    </row>
    <row r="126" spans="1:8" ht="14.25" x14ac:dyDescent="0.3">
      <c r="A126" s="52"/>
      <c r="B126" s="53"/>
      <c r="C126" s="54"/>
      <c r="D126" s="28"/>
      <c r="E126" s="28"/>
      <c r="F126" s="28"/>
      <c r="G126" s="28"/>
      <c r="H126" s="28"/>
    </row>
    <row r="127" spans="1:8" ht="14.25" x14ac:dyDescent="0.3">
      <c r="A127" s="52"/>
      <c r="B127" s="53"/>
      <c r="C127" s="54"/>
      <c r="D127" s="28"/>
      <c r="E127" s="28"/>
      <c r="F127" s="28"/>
      <c r="G127" s="28"/>
      <c r="H127" s="28"/>
    </row>
    <row r="128" spans="1:8" ht="14.25" x14ac:dyDescent="0.3">
      <c r="A128" s="52"/>
      <c r="B128" s="53"/>
      <c r="C128" s="54"/>
      <c r="D128" s="28"/>
      <c r="E128" s="28"/>
      <c r="F128" s="28"/>
      <c r="G128" s="28"/>
      <c r="H128" s="28"/>
    </row>
    <row r="129" spans="1:8" ht="14.25" x14ac:dyDescent="0.3">
      <c r="A129" s="52"/>
      <c r="B129" s="53"/>
      <c r="C129" s="54"/>
      <c r="D129" s="28"/>
      <c r="E129" s="28"/>
      <c r="F129" s="28"/>
      <c r="G129" s="28"/>
      <c r="H129" s="28"/>
    </row>
    <row r="130" spans="1:8" ht="14.25" x14ac:dyDescent="0.3">
      <c r="A130" s="52"/>
      <c r="B130" s="53"/>
      <c r="C130" s="54"/>
      <c r="D130" s="28"/>
      <c r="E130" s="28"/>
      <c r="F130" s="28"/>
      <c r="G130" s="28"/>
      <c r="H130" s="28"/>
    </row>
    <row r="131" spans="1:8" ht="14.25" x14ac:dyDescent="0.3">
      <c r="A131" s="52"/>
      <c r="B131" s="53"/>
      <c r="C131" s="54"/>
      <c r="D131" s="28"/>
      <c r="E131" s="28"/>
      <c r="F131" s="28"/>
      <c r="G131" s="28"/>
      <c r="H131" s="28"/>
    </row>
    <row r="132" spans="1:8" ht="14.25" x14ac:dyDescent="0.3">
      <c r="A132" s="52"/>
      <c r="B132" s="53"/>
      <c r="C132" s="54"/>
      <c r="D132" s="28"/>
      <c r="E132" s="28"/>
      <c r="F132" s="28"/>
      <c r="G132" s="28"/>
      <c r="H132" s="28"/>
    </row>
    <row r="133" spans="1:8" ht="14.25" x14ac:dyDescent="0.3">
      <c r="A133" s="52"/>
      <c r="B133" s="53"/>
      <c r="C133" s="54"/>
      <c r="D133" s="28"/>
      <c r="E133" s="28"/>
      <c r="F133" s="28"/>
      <c r="G133" s="28"/>
      <c r="H133" s="28"/>
    </row>
    <row r="134" spans="1:8" ht="14.25" x14ac:dyDescent="0.3">
      <c r="A134" s="52"/>
      <c r="B134" s="53"/>
      <c r="C134" s="54"/>
      <c r="D134" s="28"/>
      <c r="E134" s="28"/>
      <c r="F134" s="28"/>
      <c r="G134" s="28"/>
      <c r="H134" s="28"/>
    </row>
    <row r="135" spans="1:8" ht="14.25" x14ac:dyDescent="0.3">
      <c r="A135" s="52"/>
      <c r="B135" s="53"/>
      <c r="C135" s="54"/>
      <c r="D135" s="28"/>
      <c r="E135" s="28"/>
      <c r="F135" s="28"/>
      <c r="G135" s="28"/>
      <c r="H135" s="28"/>
    </row>
    <row r="136" spans="1:8" ht="14.25" x14ac:dyDescent="0.3">
      <c r="A136" s="52"/>
      <c r="B136" s="53"/>
      <c r="C136" s="54"/>
      <c r="D136" s="28"/>
      <c r="E136" s="28"/>
      <c r="F136" s="28"/>
      <c r="G136" s="28"/>
      <c r="H136" s="28"/>
    </row>
    <row r="137" spans="1:8" ht="14.25" x14ac:dyDescent="0.3">
      <c r="A137" s="52"/>
      <c r="B137" s="53"/>
      <c r="C137" s="54"/>
      <c r="D137" s="28"/>
      <c r="E137" s="28"/>
      <c r="F137" s="28"/>
      <c r="G137" s="28"/>
      <c r="H137" s="28"/>
    </row>
    <row r="138" spans="1:8" ht="14.25" x14ac:dyDescent="0.3">
      <c r="A138" s="52"/>
      <c r="B138" s="53"/>
      <c r="C138" s="54"/>
      <c r="D138" s="28"/>
      <c r="E138" s="28"/>
      <c r="F138" s="28"/>
      <c r="G138" s="28"/>
      <c r="H138" s="28"/>
    </row>
    <row r="139" spans="1:8" ht="14.25" x14ac:dyDescent="0.3">
      <c r="A139" s="52"/>
      <c r="B139" s="53"/>
      <c r="C139" s="54"/>
      <c r="D139" s="28"/>
      <c r="E139" s="28"/>
      <c r="F139" s="28"/>
      <c r="G139" s="28"/>
      <c r="H139" s="28"/>
    </row>
    <row r="140" spans="1:8" ht="14.25" x14ac:dyDescent="0.3">
      <c r="A140" s="52"/>
      <c r="B140" s="53"/>
      <c r="C140" s="54"/>
      <c r="D140" s="28"/>
      <c r="E140" s="28"/>
      <c r="F140" s="28"/>
      <c r="G140" s="28"/>
      <c r="H140" s="28"/>
    </row>
    <row r="141" spans="1:8" ht="14.25" x14ac:dyDescent="0.3">
      <c r="A141" s="52"/>
      <c r="B141" s="53"/>
      <c r="C141" s="54"/>
      <c r="D141" s="28"/>
      <c r="E141" s="28"/>
      <c r="F141" s="28"/>
      <c r="G141" s="28"/>
      <c r="H141" s="28"/>
    </row>
    <row r="142" spans="1:8" ht="14.25" x14ac:dyDescent="0.3">
      <c r="A142" s="52"/>
      <c r="B142" s="53"/>
      <c r="C142" s="54"/>
      <c r="D142" s="28"/>
      <c r="E142" s="28"/>
      <c r="F142" s="28"/>
      <c r="G142" s="28"/>
      <c r="H142" s="28"/>
    </row>
  </sheetData>
  <mergeCells count="14">
    <mergeCell ref="A101:B101"/>
    <mergeCell ref="A76:H76"/>
    <mergeCell ref="A77:H77"/>
    <mergeCell ref="B84:D84"/>
    <mergeCell ref="A93:D93"/>
    <mergeCell ref="B94:B95"/>
    <mergeCell ref="C94:C95"/>
    <mergeCell ref="D94:D95"/>
    <mergeCell ref="A75:H75"/>
    <mergeCell ref="A1:H1"/>
    <mergeCell ref="A2:H2"/>
    <mergeCell ref="A3:H3"/>
    <mergeCell ref="A72:H72"/>
    <mergeCell ref="A74:H7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2024-01-01T11:44:13Z</dcterms:created>
  <dcterms:modified xsi:type="dcterms:W3CDTF">2024-01-04T08:02:48Z</dcterms:modified>
</cp:coreProperties>
</file>