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Liquid Fund" sheetId="1" r:id="rId1"/>
  </sheets>
  <definedNames>
    <definedName name="_xlnm._FilterDatabase" localSheetId="0" hidden="1">'JM Liquid Fund'!$1:$337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5" i="1" l="1"/>
  <c r="E64" i="1"/>
  <c r="E65" i="1" s="1"/>
  <c r="D62" i="1"/>
  <c r="E61" i="1"/>
  <c r="E62" i="1" s="1"/>
  <c r="D60" i="1"/>
  <c r="E59" i="1"/>
  <c r="E58" i="1"/>
  <c r="E57" i="1"/>
  <c r="E56" i="1"/>
  <c r="E55" i="1"/>
  <c r="E54" i="1"/>
  <c r="D52" i="1"/>
  <c r="E51" i="1"/>
  <c r="E50" i="1"/>
  <c r="E49" i="1"/>
  <c r="E48" i="1"/>
  <c r="E47" i="1"/>
  <c r="E46" i="1"/>
  <c r="E45" i="1"/>
  <c r="E44" i="1"/>
  <c r="E43" i="1"/>
  <c r="E42" i="1"/>
  <c r="E41" i="1"/>
  <c r="E40" i="1"/>
  <c r="E39" i="1"/>
  <c r="E38" i="1"/>
  <c r="E37" i="1"/>
  <c r="E36" i="1"/>
  <c r="E35" i="1"/>
  <c r="E34" i="1"/>
  <c r="E33" i="1"/>
  <c r="E32" i="1"/>
  <c r="E31" i="1"/>
  <c r="E30" i="1"/>
  <c r="E29" i="1"/>
  <c r="F19" i="1"/>
  <c r="D15" i="1"/>
  <c r="E14" i="1"/>
  <c r="E15" i="1" s="1"/>
  <c r="D11" i="1"/>
  <c r="D19" i="1" s="1"/>
  <c r="E10" i="1"/>
  <c r="E9" i="1"/>
  <c r="E8" i="1"/>
  <c r="E7" i="1"/>
  <c r="E11" i="1" l="1"/>
  <c r="E19" i="1" s="1"/>
  <c r="D67" i="1"/>
  <c r="D69" i="1" s="1"/>
  <c r="E69" i="1" s="1"/>
  <c r="E52" i="1"/>
  <c r="E60" i="1"/>
  <c r="E67" i="1" l="1"/>
  <c r="E71" i="1" s="1"/>
</calcChain>
</file>

<file path=xl/sharedStrings.xml><?xml version="1.0" encoding="utf-8"?>
<sst xmlns="http://schemas.openxmlformats.org/spreadsheetml/2006/main" count="181" uniqueCount="137">
  <si>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</si>
  <si>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</si>
  <si>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</si>
  <si>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</si>
  <si>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</si>
  <si>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</si>
  <si>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</si>
  <si>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</si>
  <si>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</si>
  <si>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</si>
  <si>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</si>
  <si>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REC Ltd.</t>
  </si>
  <si>
    <t>CARE AAA</t>
  </si>
  <si>
    <t>INE020B08DR1</t>
  </si>
  <si>
    <t>Tata Motors Finance Ltd.**</t>
  </si>
  <si>
    <t>CRISIL AA</t>
  </si>
  <si>
    <t>INE601U08234</t>
  </si>
  <si>
    <t>REC Ltd.**</t>
  </si>
  <si>
    <t>INE020B08BV7</t>
  </si>
  <si>
    <t>Axis Finance Ltd.**</t>
  </si>
  <si>
    <t>INE891K07663</t>
  </si>
  <si>
    <t>Sub Total:</t>
  </si>
  <si>
    <t>Bajaj Housing Finance Ltd.**</t>
  </si>
  <si>
    <t>CRISIL AAA</t>
  </si>
  <si>
    <t>INE377Y07219</t>
  </si>
  <si>
    <t>b) Privately Placed / Unlisted</t>
  </si>
  <si>
    <t>NIL</t>
  </si>
  <si>
    <t>Total:</t>
  </si>
  <si>
    <t>TERM DEPOSITS</t>
  </si>
  <si>
    <t>Deposits (Maturity not exceeding 91 days)</t>
  </si>
  <si>
    <t>Deposits (Placed as F &amp; O margin)</t>
  </si>
  <si>
    <t>MONEY MARKET INSTRUMENTS</t>
  </si>
  <si>
    <t>Certificate of Deposit (CD) / Commercial Paper (CP)</t>
  </si>
  <si>
    <t>Bajaj Finance Ltd.CP**</t>
  </si>
  <si>
    <t>CRISIL A1+</t>
  </si>
  <si>
    <t>INE296A14WY3</t>
  </si>
  <si>
    <t>Union Bank of India CD</t>
  </si>
  <si>
    <t>ICRA A1+</t>
  </si>
  <si>
    <t>INE692A16GT1</t>
  </si>
  <si>
    <t>SIDBI Ltd.CP**</t>
  </si>
  <si>
    <t>CARE A1+</t>
  </si>
  <si>
    <t>INE556F14JZ3</t>
  </si>
  <si>
    <t>Tata Capital Ltd.CP**</t>
  </si>
  <si>
    <t>INE306N14VV1</t>
  </si>
  <si>
    <t>Canara Bank CD**</t>
  </si>
  <si>
    <t>INE476A16XL1</t>
  </si>
  <si>
    <t>Export-Import Bank of India CP**</t>
  </si>
  <si>
    <t>INE514E14RI4</t>
  </si>
  <si>
    <t>Bank of Baroda CD**</t>
  </si>
  <si>
    <t>IND A1+</t>
  </si>
  <si>
    <t>INE028A16ET3</t>
  </si>
  <si>
    <t>AXIS Bank Ltd.CD**</t>
  </si>
  <si>
    <t>INE238AD6421</t>
  </si>
  <si>
    <t>State Bank of India CD</t>
  </si>
  <si>
    <t>INE062A16499</t>
  </si>
  <si>
    <t>HDFC Bank Ltd.CD</t>
  </si>
  <si>
    <t>INE040A16EO9</t>
  </si>
  <si>
    <t>Kotak Mahindra Bank CD**</t>
  </si>
  <si>
    <t>INE237A169T0</t>
  </si>
  <si>
    <t>ICICI Securities Ltd.CP**</t>
  </si>
  <si>
    <t>INE763G14TL2</t>
  </si>
  <si>
    <t>INE476A16XW8</t>
  </si>
  <si>
    <t>INE514E14RO2</t>
  </si>
  <si>
    <t>INE028A16FG7</t>
  </si>
  <si>
    <t>INE238AD6728</t>
  </si>
  <si>
    <t>SIDBI Ltd.CD**</t>
  </si>
  <si>
    <t>INE556F16AI3</t>
  </si>
  <si>
    <t>LIC Housing Finance Ltd.CP**</t>
  </si>
  <si>
    <t>INE115A14EL0</t>
  </si>
  <si>
    <t>Standard Chartered Capital Ltd.CP**</t>
  </si>
  <si>
    <t>INE403G14RO3</t>
  </si>
  <si>
    <t>NABARD CP**</t>
  </si>
  <si>
    <t>INE261F14KU9</t>
  </si>
  <si>
    <t>INE556F16AJ1</t>
  </si>
  <si>
    <t>Piramal Capital &amp; Housing Finance Ltd. CP**</t>
  </si>
  <si>
    <t>INE516Y14FE1</t>
  </si>
  <si>
    <t>HDFC Bank Ltd.CD**</t>
  </si>
  <si>
    <t>INE040A16DZ7</t>
  </si>
  <si>
    <t>Treasury Bills</t>
  </si>
  <si>
    <t>91 Days Treasury-Bill 09/05/2024</t>
  </si>
  <si>
    <t>Sovereign</t>
  </si>
  <si>
    <t>IN002023X468</t>
  </si>
  <si>
    <t>91 Days Treasury-Bill 27/06/2024</t>
  </si>
  <si>
    <t>IN002023X559</t>
  </si>
  <si>
    <t>91 Days Treasury-Bill 16/05/2024</t>
  </si>
  <si>
    <t>IN002023X476</t>
  </si>
  <si>
    <t>182 Days Treasury-Bill 23/05/2024</t>
  </si>
  <si>
    <t>IN002023Y359</t>
  </si>
  <si>
    <t>364 Days Treasury-Bill 23/05/2024</t>
  </si>
  <si>
    <t>IN002023Z091</t>
  </si>
  <si>
    <t>91 Days Treasury-Bill 25/04/2024</t>
  </si>
  <si>
    <t>IN002023X443</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</si>
  <si>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</si>
  <si>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</si>
  <si>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</si>
  <si>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</si>
  <si>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</si>
  <si>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</si>
  <si>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</si>
  <si>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</si>
  <si>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</si>
  <si>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</si>
  <si>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</si>
  <si>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</si>
  <si>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</si>
  <si>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</si>
  <si>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</si>
  <si>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</si>
  <si>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</si>
  <si>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</si>
  <si>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</si>
  <si>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</si>
  <si>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</si>
  <si>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</si>
  <si>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</si>
  <si>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</si>
  <si>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</si>
  <si>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</si>
  <si>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</si>
  <si>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</si>
  <si>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</si>
  <si>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</si>
  <si>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</si>
  <si>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</si>
  <si>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</si>
  <si>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</si>
  <si>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</si>
  <si>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</si>
  <si>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</si>
  <si>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31.03.2024</t>
  </si>
  <si>
    <t xml:space="preserve">* in case of semi annual YTM,  it will be annualised </t>
  </si>
  <si>
    <t>a). i ) Listed/Awaiting Listing On  Stock Exchange</t>
  </si>
  <si>
    <t xml:space="preserve">a). ii )  Zero Coupon Bond </t>
  </si>
  <si>
    <t>Note I - Traded Securities (Debt) as on March 28, 2024.</t>
  </si>
  <si>
    <t>Note II - Aggregate investments by other scheme (s) of JM Financial Mutual Fund at the end of the period is Rs.816.41 Lakhs.</t>
  </si>
  <si>
    <t>Note : - The Benchmark and Riskometer of the Benchmark has been revised to CRISIL Liquid Debt A-I Index with effect from March 12, 2024</t>
  </si>
  <si>
    <t>Monthly Portfolio Statement for the period ended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</si>
</sst>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cellStyleXfs>
  <cellXfs count="97">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4" fillId="0" borderId="3" xfId="3" applyFont="1" applyFill="1" applyBorder="1" applyAlignment="1">
      <alignment wrapText="1"/>
    </xf>
    <xf numFmtId="4" fontId="5" fillId="0" borderId="3" xfId="3"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applyFill="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7" fillId="0" borderId="0" xfId="4" applyFont="1" applyBorder="1"/>
    <xf numFmtId="4" fontId="5" fillId="0" borderId="0" xfId="0" applyNumberFormat="1" applyFont="1" applyFill="1" applyAlignment="1">
      <alignment horizontal="right"/>
    </xf>
    <xf numFmtId="0" fontId="5" fillId="0" borderId="0" xfId="5"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5" fillId="0" borderId="0" xfId="3" applyFont="1" applyFill="1"/>
    <xf numFmtId="0" fontId="5" fillId="0" borderId="0" xfId="3" applyFont="1"/>
    <xf numFmtId="0" fontId="7" fillId="0" borderId="0" xfId="6" applyFont="1" applyBorder="1" applyAlignment="1">
      <alignment horizontal="left" vertical="center" wrapText="1"/>
    </xf>
    <xf numFmtId="0" fontId="9" fillId="0" borderId="0" xfId="7"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7" applyFont="1" applyBorder="1"/>
    <xf numFmtId="4" fontId="5" fillId="0" borderId="0" xfId="3" applyNumberFormat="1" applyFont="1"/>
    <xf numFmtId="0" fontId="7" fillId="0" borderId="0" xfId="8" applyFont="1" applyBorder="1"/>
    <xf numFmtId="0" fontId="9" fillId="0" borderId="0" xfId="4"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4" applyFont="1" applyBorder="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5" fillId="0" borderId="0" xfId="5" applyFont="1" applyAlignment="1">
      <alignment horizontal="left" vertical="top"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cellXfs>
  <cellStyles count="9">
    <cellStyle name="Comma" xfId="1" builtinId="3"/>
    <cellStyle name="Normal" xfId="0" builtinId="0"/>
    <cellStyle name="Normal 2 2 2" xfId="3"/>
    <cellStyle name="Normal 2 3 2" xfId="5"/>
    <cellStyle name="Normal 4_IF" xfId="4"/>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723900</xdr:colOff>
      <xdr:row>89</xdr:row>
      <xdr:rowOff>66675</xdr:rowOff>
    </xdr:from>
    <xdr:to>
      <xdr:col>0</xdr:col>
      <xdr:colOff>2714625</xdr:colOff>
      <xdr:row>95</xdr:row>
      <xdr:rowOff>56664</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6983075"/>
          <a:ext cx="1990725" cy="10758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398684</xdr:colOff>
      <xdr:row>89</xdr:row>
      <xdr:rowOff>57150</xdr:rowOff>
    </xdr:from>
    <xdr:to>
      <xdr:col>3</xdr:col>
      <xdr:colOff>458144</xdr:colOff>
      <xdr:row>95</xdr:row>
      <xdr:rowOff>40107</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8134" y="16973550"/>
          <a:ext cx="2059710" cy="1068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7"/>
  <sheetViews>
    <sheetView tabSelected="1" zoomScaleNormal="100" workbookViewId="0">
      <selection sqref="A1:H1"/>
    </sheetView>
  </sheetViews>
  <sheetFormatPr defaultRowHeight="12.75" x14ac:dyDescent="0.2"/>
  <cols>
    <col min="1" max="1" width="48.28515625" style="77" customWidth="1"/>
    <col min="2" max="2" width="16.5703125" style="78" customWidth="1"/>
    <col min="3" max="3" width="13.42578125" style="79" customWidth="1"/>
    <col min="4" max="4" width="13.28515625" style="1" customWidth="1"/>
    <col min="5" max="5" width="9.28515625" style="1" customWidth="1"/>
    <col min="6" max="6" width="13.7109375" style="1" bestFit="1" customWidth="1"/>
    <col min="7" max="7" width="8.85546875" style="1" customWidth="1"/>
    <col min="8" max="8" width="13.5703125" style="1" customWidth="1"/>
    <col min="9" max="16384" width="9.140625" style="1"/>
  </cols>
  <sheetData>
    <row r="1" spans="1:8" x14ac:dyDescent="0.2">
      <c r="A1" s="94" t="s">
        <v>0</v>
      </c>
      <c r="B1" s="94"/>
      <c r="C1" s="94"/>
      <c r="D1" s="94"/>
      <c r="E1" s="94"/>
      <c r="F1" s="94"/>
      <c r="G1" s="94"/>
      <c r="H1" s="94"/>
    </row>
    <row r="2" spans="1:8" x14ac:dyDescent="0.2">
      <c r="A2" s="95" t="s">
        <v>1</v>
      </c>
      <c r="B2" s="95"/>
      <c r="C2" s="95"/>
      <c r="D2" s="95"/>
      <c r="E2" s="95"/>
      <c r="F2" s="95"/>
      <c r="G2" s="95"/>
      <c r="H2" s="95"/>
    </row>
    <row r="3" spans="1:8" ht="12.75" customHeight="1" x14ac:dyDescent="0.2">
      <c r="A3" s="96" t="s">
        <v>136</v>
      </c>
      <c r="B3" s="96"/>
      <c r="C3" s="96"/>
      <c r="D3" s="96"/>
      <c r="E3" s="96"/>
      <c r="F3" s="96"/>
      <c r="G3" s="96"/>
      <c r="H3" s="96"/>
    </row>
    <row r="4" spans="1:8" s="2" customFormat="1" ht="25.5" x14ac:dyDescent="0.2">
      <c r="A4" s="80" t="s">
        <v>2</v>
      </c>
      <c r="B4" s="80" t="s">
        <v>3</v>
      </c>
      <c r="C4" s="81" t="s">
        <v>4</v>
      </c>
      <c r="D4" s="80" t="s">
        <v>5</v>
      </c>
      <c r="E4" s="80" t="s">
        <v>6</v>
      </c>
      <c r="F4" s="80" t="s">
        <v>7</v>
      </c>
      <c r="G4" s="80" t="s">
        <v>8</v>
      </c>
      <c r="H4" s="80" t="s">
        <v>9</v>
      </c>
    </row>
    <row r="5" spans="1:8" s="10" customFormat="1" ht="14.25" x14ac:dyDescent="0.3">
      <c r="A5" s="3" t="s">
        <v>10</v>
      </c>
      <c r="B5" s="4"/>
      <c r="C5" s="5"/>
      <c r="D5" s="6"/>
      <c r="E5" s="6"/>
      <c r="F5" s="7"/>
      <c r="G5" s="8"/>
      <c r="H5" s="9"/>
    </row>
    <row r="6" spans="1:8" s="10" customFormat="1" ht="14.25" x14ac:dyDescent="0.3">
      <c r="A6" s="3" t="s">
        <v>131</v>
      </c>
      <c r="B6" s="4"/>
      <c r="C6" s="5"/>
      <c r="D6" s="11"/>
      <c r="E6" s="11"/>
      <c r="F6" s="11"/>
      <c r="G6" s="8"/>
      <c r="H6" s="9"/>
    </row>
    <row r="7" spans="1:8" s="10" customFormat="1" ht="14.25" x14ac:dyDescent="0.3">
      <c r="A7" s="12" t="s">
        <v>11</v>
      </c>
      <c r="B7" s="13" t="s">
        <v>12</v>
      </c>
      <c r="C7" s="14">
        <v>350</v>
      </c>
      <c r="D7" s="15">
        <v>3483.0459999999998</v>
      </c>
      <c r="E7" s="15">
        <f>(+D7/$D$71*100)</f>
        <v>2.1899840297568396</v>
      </c>
      <c r="F7" s="15" t="s">
        <v>13</v>
      </c>
      <c r="G7" s="8">
        <v>7.6501000000000001</v>
      </c>
      <c r="H7" s="9"/>
    </row>
    <row r="8" spans="1:8" s="10" customFormat="1" ht="14.25" x14ac:dyDescent="0.3">
      <c r="A8" s="12" t="s">
        <v>14</v>
      </c>
      <c r="B8" s="13" t="s">
        <v>15</v>
      </c>
      <c r="C8" s="14">
        <v>250</v>
      </c>
      <c r="D8" s="15">
        <v>2503.0174999999999</v>
      </c>
      <c r="E8" s="15">
        <f>(+D8/$D$71*100)</f>
        <v>1.5737858044946553</v>
      </c>
      <c r="F8" s="15" t="s">
        <v>16</v>
      </c>
      <c r="G8" s="8">
        <v>8.3767999999999994</v>
      </c>
      <c r="H8" s="9"/>
    </row>
    <row r="9" spans="1:8" s="10" customFormat="1" ht="14.25" x14ac:dyDescent="0.3">
      <c r="A9" s="12" t="s">
        <v>17</v>
      </c>
      <c r="B9" s="13" t="s">
        <v>12</v>
      </c>
      <c r="C9" s="14">
        <v>250</v>
      </c>
      <c r="D9" s="15">
        <v>2499.8525</v>
      </c>
      <c r="E9" s="15">
        <f>(+D9/$D$71*100)</f>
        <v>1.5717957936093037</v>
      </c>
      <c r="F9" s="15" t="s">
        <v>18</v>
      </c>
      <c r="G9" s="8">
        <v>7.6501000000000001</v>
      </c>
      <c r="H9" s="9"/>
    </row>
    <row r="10" spans="1:8" s="10" customFormat="1" ht="14.25" x14ac:dyDescent="0.3">
      <c r="A10" s="12" t="s">
        <v>19</v>
      </c>
      <c r="B10" s="13" t="s">
        <v>12</v>
      </c>
      <c r="C10" s="14">
        <v>250</v>
      </c>
      <c r="D10" s="15">
        <v>2485.0475000000001</v>
      </c>
      <c r="E10" s="15">
        <f>(+D10/$D$71*100)</f>
        <v>1.562487069704839</v>
      </c>
      <c r="F10" s="15" t="s">
        <v>20</v>
      </c>
      <c r="G10" s="8">
        <v>8.1097999999999999</v>
      </c>
      <c r="H10" s="9"/>
    </row>
    <row r="11" spans="1:8" s="10" customFormat="1" ht="14.25" x14ac:dyDescent="0.3">
      <c r="A11" s="3" t="s">
        <v>21</v>
      </c>
      <c r="B11" s="4"/>
      <c r="C11" s="16"/>
      <c r="D11" s="6">
        <f>IF(ISERROR(SUM(D7:D10)),0,SUM(D7:D10))</f>
        <v>10970.963500000002</v>
      </c>
      <c r="E11" s="6">
        <f>IF(ISERROR(SUM(E7:E10)),0,SUM(E7:E10))</f>
        <v>6.898052697565638</v>
      </c>
      <c r="F11" s="6"/>
      <c r="G11" s="8"/>
      <c r="H11" s="9"/>
    </row>
    <row r="12" spans="1:8" s="10" customFormat="1" ht="14.25" x14ac:dyDescent="0.3">
      <c r="A12" s="3"/>
      <c r="B12" s="4"/>
      <c r="C12" s="16"/>
      <c r="D12" s="11"/>
      <c r="E12" s="11"/>
      <c r="F12" s="11"/>
      <c r="G12" s="8"/>
      <c r="H12" s="9"/>
    </row>
    <row r="13" spans="1:8" s="10" customFormat="1" ht="14.25" x14ac:dyDescent="0.3">
      <c r="A13" s="3" t="s">
        <v>132</v>
      </c>
      <c r="B13" s="4"/>
      <c r="C13" s="16"/>
      <c r="D13" s="11"/>
      <c r="E13" s="11"/>
      <c r="F13" s="11"/>
      <c r="G13" s="8"/>
      <c r="H13" s="9"/>
    </row>
    <row r="14" spans="1:8" s="10" customFormat="1" ht="14.25" x14ac:dyDescent="0.3">
      <c r="A14" s="12" t="s">
        <v>22</v>
      </c>
      <c r="B14" s="13" t="s">
        <v>23</v>
      </c>
      <c r="C14" s="14">
        <v>180</v>
      </c>
      <c r="D14" s="15">
        <v>1784.7270000000001</v>
      </c>
      <c r="E14" s="15">
        <f>(+D14/$D$71*100)</f>
        <v>1.1221567637854442</v>
      </c>
      <c r="F14" s="15" t="s">
        <v>24</v>
      </c>
      <c r="G14" s="8">
        <v>8.0090000000000003</v>
      </c>
      <c r="H14" s="9"/>
    </row>
    <row r="15" spans="1:8" s="10" customFormat="1" ht="14.25" x14ac:dyDescent="0.3">
      <c r="A15" s="3" t="s">
        <v>21</v>
      </c>
      <c r="B15" s="4"/>
      <c r="C15" s="16"/>
      <c r="D15" s="6">
        <f>IF(ISERROR(SUM(D14:D14)),0,SUM(D14:D14))</f>
        <v>1784.7270000000001</v>
      </c>
      <c r="E15" s="6">
        <f>IF(ISERROR(SUM(E14:E14)),0,SUM(E14:E14))</f>
        <v>1.1221567637854442</v>
      </c>
      <c r="F15" s="17"/>
      <c r="G15" s="8"/>
      <c r="H15" s="9"/>
    </row>
    <row r="16" spans="1:8" s="10" customFormat="1" ht="14.25" x14ac:dyDescent="0.3">
      <c r="A16" s="3"/>
      <c r="B16" s="4"/>
      <c r="C16" s="16"/>
      <c r="D16" s="11"/>
      <c r="E16" s="11"/>
      <c r="F16" s="11"/>
      <c r="G16" s="8"/>
      <c r="H16" s="9"/>
    </row>
    <row r="17" spans="1:8" s="10" customFormat="1" ht="14.25" x14ac:dyDescent="0.3">
      <c r="A17" s="3" t="s">
        <v>25</v>
      </c>
      <c r="B17" s="4"/>
      <c r="C17" s="16"/>
      <c r="D17" s="6" t="s">
        <v>26</v>
      </c>
      <c r="E17" s="6" t="s">
        <v>26</v>
      </c>
      <c r="F17" s="7"/>
      <c r="G17" s="8"/>
      <c r="H17" s="9"/>
    </row>
    <row r="18" spans="1:8" s="10" customFormat="1" ht="14.25" x14ac:dyDescent="0.3">
      <c r="A18" s="3"/>
      <c r="B18" s="4"/>
      <c r="C18" s="16"/>
      <c r="D18" s="11"/>
      <c r="E18" s="11"/>
      <c r="F18" s="11"/>
      <c r="G18" s="8"/>
      <c r="H18" s="9"/>
    </row>
    <row r="19" spans="1:8" s="10" customFormat="1" ht="14.25" x14ac:dyDescent="0.3">
      <c r="A19" s="3" t="s">
        <v>27</v>
      </c>
      <c r="B19" s="4"/>
      <c r="C19" s="16"/>
      <c r="D19" s="6">
        <f>IF(ISERROR(+D11),0,D11)+IF(ISERROR(+#REF!),0,#REF!)+IF(ISERROR(+D15),0,D15)</f>
        <v>12755.690500000002</v>
      </c>
      <c r="E19" s="6">
        <f>IF(ISERROR(+E11),0,E11)+IF(ISERROR(+#REF!),0,#REF!)+IF(ISERROR(+E15),0,E15)</f>
        <v>8.020209461351083</v>
      </c>
      <c r="F19" s="6">
        <f>IF(ISERROR(+F11),0,F11)+IF(ISERROR(+#REF!),0,#REF!)+IF(ISERROR(+#REF!),0,#REF!)</f>
        <v>0</v>
      </c>
      <c r="G19" s="8"/>
      <c r="H19" s="9"/>
    </row>
    <row r="20" spans="1:8" s="10" customFormat="1" ht="14.25" x14ac:dyDescent="0.3">
      <c r="A20" s="3"/>
      <c r="B20" s="4"/>
      <c r="C20" s="16"/>
      <c r="D20" s="6"/>
      <c r="E20" s="6"/>
      <c r="F20" s="6"/>
      <c r="G20" s="8"/>
      <c r="H20" s="9"/>
    </row>
    <row r="21" spans="1:8" s="10" customFormat="1" ht="14.25" x14ac:dyDescent="0.3">
      <c r="A21" s="3" t="s">
        <v>28</v>
      </c>
      <c r="B21" s="4"/>
      <c r="C21" s="16"/>
      <c r="D21" s="6"/>
      <c r="E21" s="6"/>
      <c r="F21" s="6"/>
      <c r="G21" s="8"/>
      <c r="H21" s="9"/>
    </row>
    <row r="22" spans="1:8" s="10" customFormat="1" ht="14.25" x14ac:dyDescent="0.3">
      <c r="A22" s="3"/>
      <c r="B22" s="4"/>
      <c r="C22" s="16"/>
      <c r="D22" s="15"/>
      <c r="E22" s="15"/>
      <c r="F22" s="18"/>
      <c r="G22" s="8"/>
      <c r="H22" s="9"/>
    </row>
    <row r="23" spans="1:8" s="10" customFormat="1" ht="14.25" x14ac:dyDescent="0.3">
      <c r="A23" s="3" t="s">
        <v>29</v>
      </c>
      <c r="B23" s="4"/>
      <c r="C23" s="16"/>
      <c r="D23" s="6" t="s">
        <v>26</v>
      </c>
      <c r="E23" s="6" t="s">
        <v>26</v>
      </c>
      <c r="F23" s="6"/>
      <c r="G23" s="8"/>
      <c r="H23" s="9"/>
    </row>
    <row r="24" spans="1:8" s="10" customFormat="1" ht="14.25" x14ac:dyDescent="0.3">
      <c r="A24" s="3"/>
      <c r="B24" s="4"/>
      <c r="C24" s="16"/>
      <c r="D24" s="6"/>
      <c r="E24" s="6"/>
      <c r="F24" s="6"/>
      <c r="G24" s="8"/>
      <c r="H24" s="9"/>
    </row>
    <row r="25" spans="1:8" s="10" customFormat="1" ht="14.25" x14ac:dyDescent="0.3">
      <c r="A25" s="3" t="s">
        <v>30</v>
      </c>
      <c r="B25" s="4"/>
      <c r="C25" s="16"/>
      <c r="D25" s="6" t="s">
        <v>26</v>
      </c>
      <c r="E25" s="6" t="s">
        <v>26</v>
      </c>
      <c r="F25" s="6"/>
      <c r="G25" s="8"/>
      <c r="H25" s="9"/>
    </row>
    <row r="26" spans="1:8" s="10" customFormat="1" ht="14.25" x14ac:dyDescent="0.3">
      <c r="A26" s="3"/>
      <c r="B26" s="4"/>
      <c r="C26" s="16"/>
      <c r="D26" s="6"/>
      <c r="E26" s="6"/>
      <c r="F26" s="6"/>
      <c r="G26" s="8"/>
      <c r="H26" s="9"/>
    </row>
    <row r="27" spans="1:8" s="10" customFormat="1" ht="14.25" x14ac:dyDescent="0.3">
      <c r="A27" s="3" t="s">
        <v>31</v>
      </c>
      <c r="B27" s="4"/>
      <c r="C27" s="16"/>
      <c r="D27" s="6"/>
      <c r="E27" s="6"/>
      <c r="F27" s="7"/>
      <c r="G27" s="8"/>
      <c r="H27" s="9"/>
    </row>
    <row r="28" spans="1:8" s="10" customFormat="1" ht="14.25" x14ac:dyDescent="0.3">
      <c r="A28" s="3" t="s">
        <v>32</v>
      </c>
      <c r="B28" s="4"/>
      <c r="C28" s="16"/>
      <c r="D28" s="6"/>
      <c r="E28" s="6"/>
      <c r="F28" s="7"/>
      <c r="G28" s="8"/>
      <c r="H28" s="9"/>
    </row>
    <row r="29" spans="1:8" s="10" customFormat="1" ht="14.25" x14ac:dyDescent="0.3">
      <c r="A29" s="12" t="s">
        <v>33</v>
      </c>
      <c r="B29" s="13" t="s">
        <v>34</v>
      </c>
      <c r="C29" s="14">
        <v>2000</v>
      </c>
      <c r="D29" s="15">
        <v>9961.93</v>
      </c>
      <c r="E29" s="15">
        <f t="shared" ref="E29:E51" si="0">(+D29/$D$71*100)</f>
        <v>6.2636174215200011</v>
      </c>
      <c r="F29" s="15" t="s">
        <v>35</v>
      </c>
      <c r="G29" s="8">
        <v>7.7492999999999999</v>
      </c>
      <c r="H29" s="9"/>
    </row>
    <row r="30" spans="1:8" s="10" customFormat="1" ht="14.25" x14ac:dyDescent="0.3">
      <c r="A30" s="12" t="s">
        <v>36</v>
      </c>
      <c r="B30" s="13" t="s">
        <v>37</v>
      </c>
      <c r="C30" s="14">
        <v>2000</v>
      </c>
      <c r="D30" s="15">
        <v>9927.89</v>
      </c>
      <c r="E30" s="15">
        <f t="shared" si="0"/>
        <v>6.2422145872269938</v>
      </c>
      <c r="F30" s="15" t="s">
        <v>38</v>
      </c>
      <c r="G30" s="8">
        <v>7.5751999999999997</v>
      </c>
      <c r="H30" s="9"/>
    </row>
    <row r="31" spans="1:8" s="10" customFormat="1" ht="14.25" x14ac:dyDescent="0.3">
      <c r="A31" s="12" t="s">
        <v>39</v>
      </c>
      <c r="B31" s="13" t="s">
        <v>40</v>
      </c>
      <c r="C31" s="14">
        <v>2000</v>
      </c>
      <c r="D31" s="15">
        <v>9922.52</v>
      </c>
      <c r="E31" s="15">
        <f t="shared" si="0"/>
        <v>6.2388381706537439</v>
      </c>
      <c r="F31" s="15" t="s">
        <v>41</v>
      </c>
      <c r="G31" s="8">
        <v>7.5003000000000002</v>
      </c>
      <c r="H31" s="9"/>
    </row>
    <row r="32" spans="1:8" s="10" customFormat="1" ht="14.25" x14ac:dyDescent="0.3">
      <c r="A32" s="12" t="s">
        <v>42</v>
      </c>
      <c r="B32" s="13" t="s">
        <v>34</v>
      </c>
      <c r="C32" s="14">
        <v>1000</v>
      </c>
      <c r="D32" s="15">
        <v>4975.5950000000003</v>
      </c>
      <c r="E32" s="15">
        <f t="shared" si="0"/>
        <v>3.1284322941867506</v>
      </c>
      <c r="F32" s="15" t="s">
        <v>43</v>
      </c>
      <c r="G32" s="8">
        <v>7.7847</v>
      </c>
      <c r="H32" s="9"/>
    </row>
    <row r="33" spans="1:8" s="10" customFormat="1" ht="14.25" x14ac:dyDescent="0.3">
      <c r="A33" s="12" t="s">
        <v>44</v>
      </c>
      <c r="B33" s="13" t="s">
        <v>34</v>
      </c>
      <c r="C33" s="14">
        <v>1000</v>
      </c>
      <c r="D33" s="15">
        <v>4964.0600000000004</v>
      </c>
      <c r="E33" s="15">
        <f t="shared" si="0"/>
        <v>3.121179600486109</v>
      </c>
      <c r="F33" s="15" t="s">
        <v>45</v>
      </c>
      <c r="G33" s="8">
        <v>7.5503</v>
      </c>
      <c r="H33" s="9"/>
    </row>
    <row r="34" spans="1:8" s="10" customFormat="1" ht="14.25" x14ac:dyDescent="0.3">
      <c r="A34" s="12" t="s">
        <v>46</v>
      </c>
      <c r="B34" s="13" t="s">
        <v>34</v>
      </c>
      <c r="C34" s="14">
        <v>1000</v>
      </c>
      <c r="D34" s="15">
        <v>4963.53</v>
      </c>
      <c r="E34" s="15">
        <f t="shared" si="0"/>
        <v>3.1208463601166816</v>
      </c>
      <c r="F34" s="15" t="s">
        <v>47</v>
      </c>
      <c r="G34" s="8">
        <v>7.4496000000000002</v>
      </c>
      <c r="H34" s="9"/>
    </row>
    <row r="35" spans="1:8" s="10" customFormat="1" ht="14.25" x14ac:dyDescent="0.3">
      <c r="A35" s="12" t="s">
        <v>48</v>
      </c>
      <c r="B35" s="13" t="s">
        <v>49</v>
      </c>
      <c r="C35" s="14">
        <v>1000</v>
      </c>
      <c r="D35" s="15">
        <v>4961.0050000000001</v>
      </c>
      <c r="E35" s="15">
        <f t="shared" si="0"/>
        <v>3.1192587526962985</v>
      </c>
      <c r="F35" s="15" t="s">
        <v>50</v>
      </c>
      <c r="G35" s="8">
        <v>7.55</v>
      </c>
      <c r="H35" s="9"/>
    </row>
    <row r="36" spans="1:8" s="10" customFormat="1" ht="14.25" x14ac:dyDescent="0.3">
      <c r="A36" s="12" t="s">
        <v>51</v>
      </c>
      <c r="B36" s="13" t="s">
        <v>34</v>
      </c>
      <c r="C36" s="14">
        <v>1000</v>
      </c>
      <c r="D36" s="15">
        <v>4954.9049999999997</v>
      </c>
      <c r="E36" s="15">
        <f t="shared" si="0"/>
        <v>3.1154233446708179</v>
      </c>
      <c r="F36" s="15" t="s">
        <v>52</v>
      </c>
      <c r="G36" s="8">
        <v>7.5498000000000003</v>
      </c>
      <c r="H36" s="9"/>
    </row>
    <row r="37" spans="1:8" s="10" customFormat="1" ht="14.25" x14ac:dyDescent="0.3">
      <c r="A37" s="12" t="s">
        <v>53</v>
      </c>
      <c r="B37" s="13" t="s">
        <v>40</v>
      </c>
      <c r="C37" s="14">
        <v>1000</v>
      </c>
      <c r="D37" s="15">
        <v>4953</v>
      </c>
      <c r="E37" s="15">
        <f t="shared" si="0"/>
        <v>3.1142255656071232</v>
      </c>
      <c r="F37" s="15" t="s">
        <v>54</v>
      </c>
      <c r="G37" s="8">
        <v>7.5298999999999996</v>
      </c>
      <c r="H37" s="9"/>
    </row>
    <row r="38" spans="1:8" s="10" customFormat="1" ht="14.25" x14ac:dyDescent="0.3">
      <c r="A38" s="12" t="s">
        <v>55</v>
      </c>
      <c r="B38" s="13" t="s">
        <v>40</v>
      </c>
      <c r="C38" s="14">
        <v>1000</v>
      </c>
      <c r="D38" s="15">
        <v>4940.97</v>
      </c>
      <c r="E38" s="15">
        <f t="shared" si="0"/>
        <v>3.1066616379765453</v>
      </c>
      <c r="F38" s="15" t="s">
        <v>56</v>
      </c>
      <c r="G38" s="8">
        <v>7.6502999999999997</v>
      </c>
      <c r="H38" s="9"/>
    </row>
    <row r="39" spans="1:8" s="10" customFormat="1" ht="14.25" x14ac:dyDescent="0.3">
      <c r="A39" s="12" t="s">
        <v>57</v>
      </c>
      <c r="B39" s="13" t="s">
        <v>34</v>
      </c>
      <c r="C39" s="14">
        <v>1000</v>
      </c>
      <c r="D39" s="15">
        <v>4939.95</v>
      </c>
      <c r="E39" s="15">
        <f t="shared" si="0"/>
        <v>3.1060203074542514</v>
      </c>
      <c r="F39" s="15" t="s">
        <v>58</v>
      </c>
      <c r="G39" s="8">
        <v>7.5202</v>
      </c>
      <c r="H39" s="9"/>
    </row>
    <row r="40" spans="1:8" s="10" customFormat="1" ht="14.25" x14ac:dyDescent="0.3">
      <c r="A40" s="12" t="s">
        <v>59</v>
      </c>
      <c r="B40" s="13" t="s">
        <v>34</v>
      </c>
      <c r="C40" s="14">
        <v>1000</v>
      </c>
      <c r="D40" s="15">
        <v>4930.7250000000004</v>
      </c>
      <c r="E40" s="15">
        <f t="shared" si="0"/>
        <v>3.1002200387599808</v>
      </c>
      <c r="F40" s="15" t="s">
        <v>60</v>
      </c>
      <c r="G40" s="8">
        <v>7.7698999999999998</v>
      </c>
      <c r="H40" s="9"/>
    </row>
    <row r="41" spans="1:8" s="10" customFormat="1" ht="14.25" x14ac:dyDescent="0.3">
      <c r="A41" s="12" t="s">
        <v>44</v>
      </c>
      <c r="B41" s="13" t="s">
        <v>34</v>
      </c>
      <c r="C41" s="14">
        <v>1000</v>
      </c>
      <c r="D41" s="15">
        <v>4927.87</v>
      </c>
      <c r="E41" s="15">
        <f t="shared" si="0"/>
        <v>3.0984249420529726</v>
      </c>
      <c r="F41" s="15" t="s">
        <v>61</v>
      </c>
      <c r="G41" s="8">
        <v>7.5250000000000004</v>
      </c>
      <c r="H41" s="9"/>
    </row>
    <row r="42" spans="1:8" s="10" customFormat="1" ht="14.25" x14ac:dyDescent="0.3">
      <c r="A42" s="12" t="s">
        <v>46</v>
      </c>
      <c r="B42" s="13" t="s">
        <v>34</v>
      </c>
      <c r="C42" s="14">
        <v>1000</v>
      </c>
      <c r="D42" s="15">
        <v>4918.45</v>
      </c>
      <c r="E42" s="15">
        <f t="shared" si="0"/>
        <v>3.092502066052969</v>
      </c>
      <c r="F42" s="15" t="s">
        <v>62</v>
      </c>
      <c r="G42" s="8">
        <v>7.5651000000000002</v>
      </c>
      <c r="H42" s="9"/>
    </row>
    <row r="43" spans="1:8" s="10" customFormat="1" ht="14.25" x14ac:dyDescent="0.3">
      <c r="A43" s="12" t="s">
        <v>51</v>
      </c>
      <c r="B43" s="13" t="s">
        <v>49</v>
      </c>
      <c r="C43" s="14">
        <v>1000</v>
      </c>
      <c r="D43" s="15">
        <v>4915.1750000000002</v>
      </c>
      <c r="E43" s="15">
        <f t="shared" si="0"/>
        <v>3.0904428920720761</v>
      </c>
      <c r="F43" s="15" t="s">
        <v>63</v>
      </c>
      <c r="G43" s="8">
        <v>7.4991000000000003</v>
      </c>
      <c r="H43" s="9"/>
    </row>
    <row r="44" spans="1:8" s="10" customFormat="1" ht="14.25" x14ac:dyDescent="0.3">
      <c r="A44" s="12" t="s">
        <v>51</v>
      </c>
      <c r="B44" s="13" t="s">
        <v>34</v>
      </c>
      <c r="C44" s="14">
        <v>1000</v>
      </c>
      <c r="D44" s="15">
        <v>4913.6099999999997</v>
      </c>
      <c r="E44" s="15">
        <f t="shared" si="0"/>
        <v>3.0894588898491451</v>
      </c>
      <c r="F44" s="15" t="s">
        <v>64</v>
      </c>
      <c r="G44" s="8">
        <v>7.5498000000000003</v>
      </c>
      <c r="H44" s="9"/>
    </row>
    <row r="45" spans="1:8" s="10" customFormat="1" ht="14.25" x14ac:dyDescent="0.3">
      <c r="A45" s="12" t="s">
        <v>65</v>
      </c>
      <c r="B45" s="13" t="s">
        <v>40</v>
      </c>
      <c r="C45" s="14">
        <v>500</v>
      </c>
      <c r="D45" s="15">
        <v>2488.2399999999998</v>
      </c>
      <c r="E45" s="15">
        <f t="shared" si="0"/>
        <v>1.564494371364076</v>
      </c>
      <c r="F45" s="15" t="s">
        <v>66</v>
      </c>
      <c r="G45" s="8">
        <v>7.5003000000000002</v>
      </c>
      <c r="H45" s="9"/>
    </row>
    <row r="46" spans="1:8" s="10" customFormat="1" ht="14.25" x14ac:dyDescent="0.3">
      <c r="A46" s="12" t="s">
        <v>67</v>
      </c>
      <c r="B46" s="13" t="s">
        <v>34</v>
      </c>
      <c r="C46" s="14">
        <v>500</v>
      </c>
      <c r="D46" s="15">
        <v>2488.0075000000002</v>
      </c>
      <c r="E46" s="15">
        <f t="shared" si="0"/>
        <v>1.5643481857303181</v>
      </c>
      <c r="F46" s="15" t="s">
        <v>68</v>
      </c>
      <c r="G46" s="8">
        <v>7.6501000000000001</v>
      </c>
      <c r="H46" s="9"/>
    </row>
    <row r="47" spans="1:8" s="10" customFormat="1" ht="14.25" x14ac:dyDescent="0.3">
      <c r="A47" s="12" t="s">
        <v>69</v>
      </c>
      <c r="B47" s="13" t="s">
        <v>34</v>
      </c>
      <c r="C47" s="14">
        <v>500</v>
      </c>
      <c r="D47" s="15">
        <v>2484.2775000000001</v>
      </c>
      <c r="E47" s="15">
        <f t="shared" si="0"/>
        <v>1.5620029280360488</v>
      </c>
      <c r="F47" s="15" t="s">
        <v>70</v>
      </c>
      <c r="G47" s="8">
        <v>8.25</v>
      </c>
      <c r="H47" s="9"/>
    </row>
    <row r="48" spans="1:8" s="10" customFormat="1" ht="14.25" x14ac:dyDescent="0.3">
      <c r="A48" s="12" t="s">
        <v>71</v>
      </c>
      <c r="B48" s="13" t="s">
        <v>34</v>
      </c>
      <c r="C48" s="14">
        <v>500</v>
      </c>
      <c r="D48" s="15">
        <v>2481.1374999999998</v>
      </c>
      <c r="E48" s="15">
        <f t="shared" si="0"/>
        <v>1.5600286360360476</v>
      </c>
      <c r="F48" s="15" t="s">
        <v>72</v>
      </c>
      <c r="G48" s="8">
        <v>7.4996</v>
      </c>
      <c r="H48" s="9"/>
    </row>
    <row r="49" spans="1:8" s="10" customFormat="1" ht="14.25" x14ac:dyDescent="0.3">
      <c r="A49" s="12" t="s">
        <v>65</v>
      </c>
      <c r="B49" s="13" t="s">
        <v>40</v>
      </c>
      <c r="C49" s="14">
        <v>500</v>
      </c>
      <c r="D49" s="15">
        <v>2470.46</v>
      </c>
      <c r="E49" s="15">
        <f t="shared" si="0"/>
        <v>1.5533151001029222</v>
      </c>
      <c r="F49" s="15" t="s">
        <v>73</v>
      </c>
      <c r="G49" s="8">
        <v>7.5247999999999999</v>
      </c>
      <c r="H49" s="9"/>
    </row>
    <row r="50" spans="1:8" s="10" customFormat="1" ht="14.25" x14ac:dyDescent="0.3">
      <c r="A50" s="12" t="s">
        <v>74</v>
      </c>
      <c r="B50" s="13" t="s">
        <v>40</v>
      </c>
      <c r="C50" s="14">
        <v>500</v>
      </c>
      <c r="D50" s="15">
        <v>2468.8674999999998</v>
      </c>
      <c r="E50" s="15">
        <f t="shared" si="0"/>
        <v>1.5523138071061062</v>
      </c>
      <c r="F50" s="15" t="s">
        <v>75</v>
      </c>
      <c r="G50" s="8">
        <v>9.0248000000000008</v>
      </c>
      <c r="H50" s="9"/>
    </row>
    <row r="51" spans="1:8" s="10" customFormat="1" ht="14.25" x14ac:dyDescent="0.3">
      <c r="A51" s="12" t="s">
        <v>76</v>
      </c>
      <c r="B51" s="13" t="s">
        <v>40</v>
      </c>
      <c r="C51" s="14">
        <v>400</v>
      </c>
      <c r="D51" s="15">
        <v>1969.848</v>
      </c>
      <c r="E51" s="15">
        <f t="shared" si="0"/>
        <v>1.2385525947829721</v>
      </c>
      <c r="F51" s="15" t="s">
        <v>77</v>
      </c>
      <c r="G51" s="8">
        <v>7.55</v>
      </c>
      <c r="H51" s="9"/>
    </row>
    <row r="52" spans="1:8" s="10" customFormat="1" ht="14.25" x14ac:dyDescent="0.3">
      <c r="A52" s="3" t="s">
        <v>21</v>
      </c>
      <c r="B52" s="19"/>
      <c r="C52" s="20"/>
      <c r="D52" s="6">
        <f>IF(ISERROR(SUM(D29:D51)),0,SUM(D29:D51))</f>
        <v>110922.023</v>
      </c>
      <c r="E52" s="6">
        <f>IF(ISERROR(SUM(E29:E51)),0,SUM(E29:E51))</f>
        <v>69.742822494540945</v>
      </c>
      <c r="F52" s="21"/>
      <c r="G52" s="8"/>
      <c r="H52" s="9"/>
    </row>
    <row r="53" spans="1:8" s="10" customFormat="1" ht="14.25" x14ac:dyDescent="0.3">
      <c r="A53" s="3" t="s">
        <v>78</v>
      </c>
      <c r="B53" s="13"/>
      <c r="C53" s="14"/>
      <c r="D53" s="15"/>
      <c r="E53" s="11"/>
      <c r="F53" s="22"/>
      <c r="G53" s="8"/>
      <c r="H53" s="9"/>
    </row>
    <row r="54" spans="1:8" s="10" customFormat="1" ht="14.25" x14ac:dyDescent="0.3">
      <c r="A54" s="12" t="s">
        <v>79</v>
      </c>
      <c r="B54" s="13" t="s">
        <v>80</v>
      </c>
      <c r="C54" s="14">
        <v>7000000</v>
      </c>
      <c r="D54" s="15">
        <v>6951.5110000000004</v>
      </c>
      <c r="E54" s="15">
        <f t="shared" ref="E54:E59" si="1">(+D54/$D$71*100)</f>
        <v>4.3708001768219544</v>
      </c>
      <c r="F54" s="15" t="s">
        <v>81</v>
      </c>
      <c r="G54" s="8">
        <v>6.7</v>
      </c>
      <c r="H54" s="9"/>
    </row>
    <row r="55" spans="1:8" s="10" customFormat="1" ht="14.25" x14ac:dyDescent="0.3">
      <c r="A55" s="12" t="s">
        <v>82</v>
      </c>
      <c r="B55" s="13" t="s">
        <v>80</v>
      </c>
      <c r="C55" s="14">
        <v>6000000</v>
      </c>
      <c r="D55" s="15">
        <v>5902.9139999999998</v>
      </c>
      <c r="E55" s="15">
        <f t="shared" si="1"/>
        <v>3.7114891359540088</v>
      </c>
      <c r="F55" s="15" t="s">
        <v>83</v>
      </c>
      <c r="G55" s="8">
        <v>6.9001999999999999</v>
      </c>
      <c r="H55" s="9"/>
    </row>
    <row r="56" spans="1:8" s="10" customFormat="1" ht="14.25" x14ac:dyDescent="0.3">
      <c r="A56" s="12" t="s">
        <v>84</v>
      </c>
      <c r="B56" s="13" t="s">
        <v>80</v>
      </c>
      <c r="C56" s="14">
        <v>3500000</v>
      </c>
      <c r="D56" s="15">
        <v>3471.2195000000002</v>
      </c>
      <c r="E56" s="15">
        <f t="shared" si="1"/>
        <v>2.1825480538530133</v>
      </c>
      <c r="F56" s="15" t="s">
        <v>85</v>
      </c>
      <c r="G56" s="8">
        <v>6.7251000000000003</v>
      </c>
      <c r="H56" s="9"/>
    </row>
    <row r="57" spans="1:8" s="10" customFormat="1" ht="14.25" x14ac:dyDescent="0.3">
      <c r="A57" s="12" t="s">
        <v>86</v>
      </c>
      <c r="B57" s="13" t="s">
        <v>80</v>
      </c>
      <c r="C57" s="14">
        <v>1700000</v>
      </c>
      <c r="D57" s="15">
        <v>1683.867</v>
      </c>
      <c r="E57" s="15">
        <f t="shared" si="1"/>
        <v>1.0587404927280779</v>
      </c>
      <c r="F57" s="15" t="s">
        <v>87</v>
      </c>
      <c r="G57" s="8">
        <v>6.7251000000000003</v>
      </c>
      <c r="H57" s="9"/>
    </row>
    <row r="58" spans="1:8" s="10" customFormat="1" ht="14.25" x14ac:dyDescent="0.3">
      <c r="A58" s="12" t="s">
        <v>88</v>
      </c>
      <c r="B58" s="13" t="s">
        <v>80</v>
      </c>
      <c r="C58" s="14">
        <v>500000</v>
      </c>
      <c r="D58" s="15">
        <v>495.255</v>
      </c>
      <c r="E58" s="15">
        <f t="shared" si="1"/>
        <v>0.31139426256708175</v>
      </c>
      <c r="F58" s="15" t="s">
        <v>89</v>
      </c>
      <c r="G58" s="8">
        <v>6.7251000000000003</v>
      </c>
      <c r="H58" s="9"/>
    </row>
    <row r="59" spans="1:8" s="10" customFormat="1" ht="14.25" x14ac:dyDescent="0.3">
      <c r="A59" s="12" t="s">
        <v>90</v>
      </c>
      <c r="B59" s="13" t="s">
        <v>80</v>
      </c>
      <c r="C59" s="14">
        <v>300000</v>
      </c>
      <c r="D59" s="15">
        <v>298.69380000000001</v>
      </c>
      <c r="E59" s="15">
        <f t="shared" si="1"/>
        <v>0.18780534388216052</v>
      </c>
      <c r="F59" s="15" t="s">
        <v>91</v>
      </c>
      <c r="G59" s="8">
        <v>6.6506999999999996</v>
      </c>
      <c r="H59" s="9"/>
    </row>
    <row r="60" spans="1:8" s="10" customFormat="1" ht="14.25" x14ac:dyDescent="0.3">
      <c r="A60" s="3" t="s">
        <v>21</v>
      </c>
      <c r="B60" s="19"/>
      <c r="C60" s="20"/>
      <c r="D60" s="6">
        <f>IF(ISERROR(SUM(D54:D59)),0,SUM(D54:D59))</f>
        <v>18803.460299999999</v>
      </c>
      <c r="E60" s="6">
        <f>IF(ISERROR(SUM(E54:E59)),0,SUM(E54:E59))</f>
        <v>11.822777465806295</v>
      </c>
      <c r="F60" s="21"/>
      <c r="G60" s="8"/>
      <c r="H60" s="9"/>
    </row>
    <row r="61" spans="1:8" s="10" customFormat="1" ht="14.25" x14ac:dyDescent="0.3">
      <c r="A61" s="12" t="s">
        <v>92</v>
      </c>
      <c r="B61" s="13"/>
      <c r="C61" s="14">
        <v>0</v>
      </c>
      <c r="D61" s="15">
        <v>15313.633106500001</v>
      </c>
      <c r="E61" s="15">
        <f>(+D61/$D$71*100)</f>
        <v>9.6285297239228615</v>
      </c>
      <c r="F61" s="15" t="s">
        <v>93</v>
      </c>
      <c r="G61" s="8">
        <v>7.0936000000000003</v>
      </c>
      <c r="H61" s="9"/>
    </row>
    <row r="62" spans="1:8" s="10" customFormat="1" ht="14.25" x14ac:dyDescent="0.3">
      <c r="A62" s="3" t="s">
        <v>21</v>
      </c>
      <c r="B62" s="4"/>
      <c r="C62" s="16"/>
      <c r="D62" s="6">
        <f>IF(ISERROR(SUM(D61:D61)),0,SUM(D61:D61))</f>
        <v>15313.633106500001</v>
      </c>
      <c r="E62" s="6">
        <f>IF(ISERROR(SUM(E61:E61)),0,SUM(E61:E61))</f>
        <v>9.6285297239228615</v>
      </c>
      <c r="F62" s="15"/>
      <c r="G62" s="8"/>
      <c r="H62" s="9"/>
    </row>
    <row r="63" spans="1:8" s="10" customFormat="1" ht="14.25" x14ac:dyDescent="0.3">
      <c r="A63" s="23" t="s">
        <v>94</v>
      </c>
      <c r="B63" s="4"/>
      <c r="C63" s="16"/>
      <c r="D63" s="6"/>
      <c r="E63" s="6"/>
      <c r="F63" s="6"/>
      <c r="G63" s="8"/>
      <c r="H63" s="9"/>
    </row>
    <row r="64" spans="1:8" s="10" customFormat="1" ht="14.25" x14ac:dyDescent="0.3">
      <c r="A64" s="24" t="s">
        <v>95</v>
      </c>
      <c r="B64" s="13"/>
      <c r="C64" s="14">
        <v>4806.76</v>
      </c>
      <c r="D64" s="15">
        <v>489.59694759892</v>
      </c>
      <c r="E64" s="15">
        <f>(+D64/$D$71*100)</f>
        <v>0.30783673148713259</v>
      </c>
      <c r="F64" s="15" t="s">
        <v>96</v>
      </c>
      <c r="G64" s="8">
        <v>6.95</v>
      </c>
      <c r="H64" s="9"/>
    </row>
    <row r="65" spans="1:8" s="10" customFormat="1" ht="14.25" x14ac:dyDescent="0.3">
      <c r="A65" s="3" t="s">
        <v>21</v>
      </c>
      <c r="B65" s="4"/>
      <c r="C65" s="16"/>
      <c r="D65" s="6">
        <f>IF(ISERROR(SUM(D64:D64)),0,SUM(D64:D64))</f>
        <v>489.59694759892</v>
      </c>
      <c r="E65" s="6">
        <f>IF(ISERROR(SUM(E64:E64)),0,SUM(E64:E64))</f>
        <v>0.30783673148713259</v>
      </c>
      <c r="F65" s="15"/>
      <c r="G65" s="8"/>
      <c r="H65" s="9"/>
    </row>
    <row r="66" spans="1:8" s="10" customFormat="1" ht="14.25" x14ac:dyDescent="0.3">
      <c r="A66" s="3"/>
      <c r="B66" s="4"/>
      <c r="C66" s="16"/>
      <c r="D66" s="6"/>
      <c r="E66" s="6"/>
      <c r="F66" s="7"/>
      <c r="G66" s="8"/>
      <c r="H66" s="9"/>
    </row>
    <row r="67" spans="1:8" s="10" customFormat="1" ht="14.25" x14ac:dyDescent="0.3">
      <c r="A67" s="3" t="s">
        <v>27</v>
      </c>
      <c r="B67" s="4"/>
      <c r="C67" s="16" t="s">
        <v>97</v>
      </c>
      <c r="D67" s="6">
        <f>+IF(ISERROR(D19),0,D19)+IF(ISERROR(D62),0,D62)+IF(ISERROR(#REF!),0,#REF!)+IF(ISERROR(#REF!),0,#REF!)+IF(ISERROR(#REF!),0,#REF!)+IF(ISERROR(D60),0,D60)+IF(ISERROR(#REF!),0,#REF!)+IF(ISERROR(#REF!),0,#REF!)+IF(ISERROR(D52),0,D52)+IF(ISERROR(D65),0,D65)</f>
        <v>158284.40385409893</v>
      </c>
      <c r="E67" s="6">
        <f>+IF(ISERROR(E19),0,E19)+IF(ISERROR(E62),0,E62)+IF(ISERROR(#REF!),0,#REF!)+IF(ISERROR(#REF!),0,#REF!)+IF(ISERROR(#REF!),0,#REF!)+IF(ISERROR(E60),0,E60)+IF(ISERROR(#REF!),0,#REF!)+IF(ISERROR(#REF!),0,#REF!)+IF(ISERROR(E52),0,E52)+IF(ISERROR(E65),0,E65)</f>
        <v>99.52217587710831</v>
      </c>
      <c r="F67" s="6"/>
      <c r="G67" s="8"/>
      <c r="H67" s="9"/>
    </row>
    <row r="68" spans="1:8" s="10" customFormat="1" ht="14.25" x14ac:dyDescent="0.3">
      <c r="A68" s="3"/>
      <c r="B68" s="4"/>
      <c r="C68" s="16"/>
      <c r="D68" s="6"/>
      <c r="E68" s="6"/>
      <c r="F68" s="25"/>
      <c r="G68" s="26"/>
      <c r="H68" s="27"/>
    </row>
    <row r="69" spans="1:8" s="10" customFormat="1" ht="14.25" x14ac:dyDescent="0.3">
      <c r="A69" s="3" t="s">
        <v>98</v>
      </c>
      <c r="B69" s="4"/>
      <c r="C69" s="16"/>
      <c r="D69" s="6">
        <f>+D71-D67</f>
        <v>759.95229980107979</v>
      </c>
      <c r="E69" s="6">
        <f>D69/$D$71*100</f>
        <v>0.47782412289167203</v>
      </c>
      <c r="F69" s="25"/>
      <c r="G69" s="26"/>
      <c r="H69" s="27"/>
    </row>
    <row r="70" spans="1:8" s="10" customFormat="1" ht="14.25" x14ac:dyDescent="0.3">
      <c r="A70" s="3"/>
      <c r="B70" s="4"/>
      <c r="C70" s="16"/>
      <c r="D70" s="11"/>
      <c r="E70" s="11"/>
      <c r="F70" s="25"/>
      <c r="G70" s="28"/>
      <c r="H70" s="27"/>
    </row>
    <row r="71" spans="1:8" s="10" customFormat="1" ht="14.25" x14ac:dyDescent="0.3">
      <c r="A71" s="3" t="s">
        <v>99</v>
      </c>
      <c r="B71" s="4"/>
      <c r="C71" s="16"/>
      <c r="D71" s="6">
        <v>159044.35615390001</v>
      </c>
      <c r="E71" s="6">
        <f>+E67+E69</f>
        <v>99.999999999999986</v>
      </c>
      <c r="F71" s="25"/>
      <c r="G71" s="28"/>
      <c r="H71" s="27"/>
    </row>
    <row r="72" spans="1:8" s="10" customFormat="1" ht="14.25" x14ac:dyDescent="0.3">
      <c r="A72" s="29"/>
      <c r="B72" s="30"/>
      <c r="C72" s="31"/>
      <c r="D72" s="32"/>
      <c r="E72" s="32"/>
      <c r="F72" s="25"/>
      <c r="G72" s="28"/>
      <c r="H72" s="27"/>
    </row>
    <row r="73" spans="1:8" s="10" customFormat="1" ht="14.25" x14ac:dyDescent="0.3">
      <c r="A73" s="33" t="s">
        <v>100</v>
      </c>
      <c r="B73" s="30"/>
      <c r="C73" s="31"/>
      <c r="D73" s="32"/>
      <c r="E73" s="32"/>
      <c r="F73" s="34"/>
      <c r="G73" s="28"/>
      <c r="H73" s="27"/>
    </row>
    <row r="74" spans="1:8" s="10" customFormat="1" ht="14.25" x14ac:dyDescent="0.3">
      <c r="A74" s="33"/>
      <c r="B74" s="30"/>
      <c r="C74" s="31"/>
      <c r="D74" s="32"/>
      <c r="E74" s="32"/>
      <c r="F74" s="34"/>
      <c r="G74" s="28"/>
      <c r="H74" s="27"/>
    </row>
    <row r="75" spans="1:8" s="10" customFormat="1" ht="14.25" x14ac:dyDescent="0.3">
      <c r="A75" s="35" t="s">
        <v>133</v>
      </c>
      <c r="B75" s="30"/>
      <c r="C75" s="31"/>
      <c r="D75" s="32"/>
      <c r="E75" s="32"/>
      <c r="F75" s="36"/>
      <c r="G75" s="26"/>
      <c r="H75" s="27"/>
    </row>
    <row r="76" spans="1:8" ht="13.5" x14ac:dyDescent="0.2">
      <c r="A76" s="37"/>
      <c r="B76" s="37"/>
      <c r="C76" s="37"/>
      <c r="D76" s="37"/>
      <c r="E76" s="37"/>
      <c r="F76" s="37"/>
      <c r="G76" s="37"/>
      <c r="H76" s="37"/>
    </row>
    <row r="77" spans="1:8" ht="13.5" customHeight="1" x14ac:dyDescent="0.2">
      <c r="A77" s="84" t="s">
        <v>134</v>
      </c>
      <c r="B77" s="84"/>
      <c r="C77" s="84"/>
      <c r="D77" s="84"/>
      <c r="E77" s="84"/>
      <c r="F77" s="84"/>
      <c r="G77" s="84"/>
      <c r="H77" s="84"/>
    </row>
    <row r="78" spans="1:8" ht="14.25" x14ac:dyDescent="0.3">
      <c r="A78" s="38"/>
      <c r="B78" s="39"/>
      <c r="C78" s="40"/>
      <c r="D78" s="41"/>
      <c r="E78" s="41"/>
      <c r="F78" s="42"/>
      <c r="G78" s="43"/>
      <c r="H78" s="44"/>
    </row>
    <row r="79" spans="1:8" ht="13.5" x14ac:dyDescent="0.2">
      <c r="A79" s="84" t="s">
        <v>101</v>
      </c>
      <c r="B79" s="84"/>
      <c r="C79" s="84"/>
      <c r="D79" s="84"/>
      <c r="E79" s="84"/>
      <c r="F79" s="84"/>
      <c r="G79" s="84"/>
      <c r="H79" s="84"/>
    </row>
    <row r="80" spans="1:8" ht="24.75" customHeight="1" x14ac:dyDescent="0.2">
      <c r="A80" s="84" t="s">
        <v>102</v>
      </c>
      <c r="B80" s="84"/>
      <c r="C80" s="84"/>
      <c r="D80" s="84"/>
      <c r="E80" s="84"/>
      <c r="F80" s="84"/>
      <c r="G80" s="84"/>
      <c r="H80" s="84"/>
    </row>
    <row r="81" spans="1:8" ht="13.5" x14ac:dyDescent="0.2">
      <c r="A81" s="85" t="s">
        <v>103</v>
      </c>
      <c r="B81" s="85"/>
      <c r="C81" s="85"/>
      <c r="D81" s="85"/>
      <c r="E81" s="85"/>
      <c r="F81" s="85"/>
      <c r="G81" s="86"/>
      <c r="H81" s="86"/>
    </row>
    <row r="82" spans="1:8" ht="63.75" customHeight="1" x14ac:dyDescent="0.2">
      <c r="A82" s="87" t="s">
        <v>104</v>
      </c>
      <c r="B82" s="87"/>
      <c r="C82" s="87"/>
      <c r="D82" s="87"/>
      <c r="E82" s="87"/>
      <c r="F82" s="87"/>
      <c r="G82" s="87"/>
      <c r="H82" s="86"/>
    </row>
    <row r="83" spans="1:8" ht="14.25" x14ac:dyDescent="0.3">
      <c r="A83" s="45"/>
      <c r="B83" s="45"/>
      <c r="C83" s="45"/>
      <c r="D83" s="45"/>
      <c r="E83" s="45"/>
      <c r="F83" s="45"/>
      <c r="G83" s="41"/>
      <c r="H83" s="41"/>
    </row>
    <row r="84" spans="1:8" ht="14.25" x14ac:dyDescent="0.3">
      <c r="A84" s="46" t="s">
        <v>105</v>
      </c>
      <c r="B84" s="47"/>
      <c r="C84" s="47"/>
      <c r="D84" s="44"/>
      <c r="E84" s="44"/>
      <c r="F84" s="48"/>
      <c r="G84" s="44"/>
      <c r="H84" s="44"/>
    </row>
    <row r="85" spans="1:8" ht="14.25" x14ac:dyDescent="0.3">
      <c r="A85" s="49" t="s">
        <v>106</v>
      </c>
      <c r="B85" s="47"/>
      <c r="C85" s="47"/>
      <c r="D85" s="44"/>
      <c r="E85" s="44"/>
      <c r="F85" s="44"/>
      <c r="G85" s="44"/>
      <c r="H85" s="50"/>
    </row>
    <row r="86" spans="1:8" ht="14.25" x14ac:dyDescent="0.3">
      <c r="A86" s="49" t="s">
        <v>107</v>
      </c>
      <c r="B86" s="47"/>
      <c r="C86" s="47"/>
      <c r="D86" s="44"/>
      <c r="E86" s="44"/>
      <c r="F86" s="44"/>
      <c r="G86" s="44"/>
      <c r="H86" s="50"/>
    </row>
    <row r="87" spans="1:8" ht="14.25" x14ac:dyDescent="0.3">
      <c r="A87" s="49" t="s">
        <v>108</v>
      </c>
      <c r="B87" s="47"/>
      <c r="C87" s="47"/>
      <c r="D87" s="44"/>
      <c r="E87" s="44"/>
      <c r="F87" s="44"/>
      <c r="G87" s="44"/>
      <c r="H87" s="44"/>
    </row>
    <row r="88" spans="1:8" ht="14.25" x14ac:dyDescent="0.3">
      <c r="A88" s="51"/>
      <c r="B88" s="47"/>
      <c r="C88" s="47"/>
      <c r="D88" s="44"/>
      <c r="E88" s="44"/>
      <c r="F88" s="44"/>
      <c r="G88" s="44"/>
      <c r="H88" s="44"/>
    </row>
    <row r="89" spans="1:8" ht="14.25" x14ac:dyDescent="0.3">
      <c r="A89" s="52" t="s">
        <v>109</v>
      </c>
      <c r="B89" s="88" t="s">
        <v>110</v>
      </c>
      <c r="C89" s="88"/>
      <c r="D89" s="88"/>
      <c r="E89" s="53"/>
      <c r="F89" s="44"/>
      <c r="G89" s="44"/>
      <c r="H89" s="44"/>
    </row>
    <row r="90" spans="1:8" ht="14.25" x14ac:dyDescent="0.3">
      <c r="A90" s="52"/>
      <c r="B90" s="54"/>
      <c r="C90" s="54"/>
      <c r="D90" s="54"/>
      <c r="E90" s="53"/>
      <c r="F90" s="44"/>
      <c r="G90" s="44"/>
      <c r="H90" s="44"/>
    </row>
    <row r="91" spans="1:8" ht="14.25" x14ac:dyDescent="0.3">
      <c r="A91" s="55"/>
      <c r="B91" s="47"/>
      <c r="C91" s="47"/>
      <c r="D91" s="44"/>
      <c r="E91" s="44"/>
      <c r="F91" s="44"/>
      <c r="G91" s="44"/>
      <c r="H91" s="44"/>
    </row>
    <row r="92" spans="1:8" ht="14.25" x14ac:dyDescent="0.3">
      <c r="A92" s="47"/>
      <c r="B92" s="47"/>
      <c r="C92" s="47"/>
      <c r="D92" s="44"/>
      <c r="E92" s="44"/>
      <c r="F92" s="44"/>
      <c r="G92" s="44"/>
      <c r="H92" s="44"/>
    </row>
    <row r="93" spans="1:8" ht="14.25" x14ac:dyDescent="0.3">
      <c r="A93" s="56"/>
      <c r="B93" s="57"/>
      <c r="C93" s="58"/>
      <c r="D93" s="44"/>
      <c r="E93" s="44"/>
      <c r="F93" s="44"/>
      <c r="G93" s="44"/>
      <c r="H93" s="44"/>
    </row>
    <row r="94" spans="1:8" ht="14.25" x14ac:dyDescent="0.3">
      <c r="A94" s="56"/>
      <c r="B94" s="57"/>
      <c r="C94" s="58"/>
      <c r="D94" s="44"/>
      <c r="E94" s="44"/>
      <c r="F94" s="44"/>
      <c r="G94" s="44"/>
      <c r="H94" s="44"/>
    </row>
    <row r="95" spans="1:8" ht="14.25" x14ac:dyDescent="0.3">
      <c r="A95" s="56"/>
      <c r="B95" s="57"/>
      <c r="C95" s="58"/>
      <c r="D95" s="44"/>
      <c r="E95" s="44"/>
      <c r="F95" s="44"/>
      <c r="G95" s="44"/>
      <c r="H95" s="44"/>
    </row>
    <row r="96" spans="1:8" ht="14.25" x14ac:dyDescent="0.3">
      <c r="A96" s="56"/>
      <c r="B96" s="57"/>
      <c r="C96" s="58"/>
      <c r="D96" s="44"/>
      <c r="E96" s="44"/>
      <c r="F96" s="44"/>
      <c r="G96" s="44"/>
      <c r="H96" s="44"/>
    </row>
    <row r="97" spans="1:8" ht="14.25" x14ac:dyDescent="0.3">
      <c r="A97" s="59"/>
      <c r="B97" s="57"/>
      <c r="C97" s="58"/>
      <c r="D97" s="44"/>
      <c r="E97" s="44"/>
      <c r="F97" s="44"/>
      <c r="G97" s="44"/>
      <c r="H97" s="44"/>
    </row>
    <row r="98" spans="1:8" ht="14.25" x14ac:dyDescent="0.3">
      <c r="A98" s="35" t="s">
        <v>135</v>
      </c>
      <c r="B98" s="57"/>
      <c r="C98" s="58"/>
      <c r="D98" s="44"/>
      <c r="E98" s="44"/>
      <c r="F98" s="44"/>
      <c r="G98" s="44"/>
      <c r="H98" s="44"/>
    </row>
    <row r="99" spans="1:8" ht="15" thickBot="1" x14ac:dyDescent="0.35">
      <c r="A99" s="56"/>
      <c r="B99" s="57"/>
      <c r="C99" s="58"/>
      <c r="D99" s="44"/>
      <c r="E99" s="60"/>
      <c r="F99" s="44"/>
      <c r="G99" s="44"/>
      <c r="H99" s="44"/>
    </row>
    <row r="100" spans="1:8" ht="15" thickBot="1" x14ac:dyDescent="0.35">
      <c r="A100" s="89" t="s">
        <v>111</v>
      </c>
      <c r="B100" s="90"/>
      <c r="C100" s="90"/>
      <c r="D100" s="91"/>
      <c r="E100" s="60"/>
      <c r="F100" s="44"/>
      <c r="G100" s="44"/>
      <c r="H100" s="44"/>
    </row>
    <row r="101" spans="1:8" ht="15" thickBot="1" x14ac:dyDescent="0.35">
      <c r="A101" s="61" t="s">
        <v>112</v>
      </c>
      <c r="B101" s="92" t="s">
        <v>113</v>
      </c>
      <c r="C101" s="92" t="s">
        <v>114</v>
      </c>
      <c r="D101" s="92" t="s">
        <v>115</v>
      </c>
      <c r="E101" s="60"/>
      <c r="F101" s="44"/>
      <c r="G101" s="44"/>
      <c r="H101" s="44"/>
    </row>
    <row r="102" spans="1:8" ht="15" thickBot="1" x14ac:dyDescent="0.35">
      <c r="A102" s="61" t="s">
        <v>116</v>
      </c>
      <c r="B102" s="93"/>
      <c r="C102" s="93"/>
      <c r="D102" s="93"/>
      <c r="E102" s="60"/>
      <c r="F102" s="44"/>
      <c r="G102" s="44"/>
      <c r="H102" s="44"/>
    </row>
    <row r="103" spans="1:8" ht="15" thickBot="1" x14ac:dyDescent="0.35">
      <c r="A103" s="62" t="s">
        <v>117</v>
      </c>
      <c r="B103" s="63"/>
      <c r="C103" s="63" t="s">
        <v>118</v>
      </c>
      <c r="D103" s="64"/>
      <c r="E103" s="60"/>
      <c r="F103" s="44"/>
      <c r="G103" s="44"/>
      <c r="H103" s="44"/>
    </row>
    <row r="104" spans="1:8" ht="15" thickBot="1" x14ac:dyDescent="0.35">
      <c r="A104" s="65" t="s">
        <v>119</v>
      </c>
      <c r="B104" s="64"/>
      <c r="C104" s="64"/>
      <c r="D104" s="64"/>
      <c r="E104" s="60"/>
      <c r="F104" s="44"/>
      <c r="G104" s="44"/>
      <c r="H104" s="44"/>
    </row>
    <row r="105" spans="1:8" ht="15" thickBot="1" x14ac:dyDescent="0.35">
      <c r="A105" s="65" t="s">
        <v>120</v>
      </c>
      <c r="B105" s="64"/>
      <c r="C105" s="64"/>
      <c r="D105" s="64"/>
      <c r="E105" s="60"/>
      <c r="F105" s="44"/>
      <c r="G105" s="44"/>
      <c r="H105" s="44"/>
    </row>
    <row r="106" spans="1:8" ht="14.25" x14ac:dyDescent="0.3">
      <c r="A106" s="35"/>
      <c r="B106" s="66"/>
      <c r="C106" s="66"/>
      <c r="D106" s="66"/>
      <c r="E106" s="60"/>
      <c r="F106" s="44"/>
      <c r="G106" s="44"/>
      <c r="H106" s="44"/>
    </row>
    <row r="107" spans="1:8" ht="14.25" x14ac:dyDescent="0.3">
      <c r="A107" s="82" t="s">
        <v>121</v>
      </c>
      <c r="B107" s="83"/>
      <c r="C107" s="58"/>
      <c r="D107" s="44"/>
      <c r="E107" s="60"/>
      <c r="F107" s="44"/>
      <c r="G107" s="44"/>
      <c r="H107" s="44"/>
    </row>
    <row r="108" spans="1:8" ht="14.25" x14ac:dyDescent="0.3">
      <c r="A108" s="67" t="s">
        <v>122</v>
      </c>
      <c r="B108" s="68" t="s">
        <v>123</v>
      </c>
      <c r="C108" s="58"/>
      <c r="D108" s="44"/>
      <c r="E108" s="60"/>
      <c r="F108" s="44"/>
      <c r="G108" s="44"/>
      <c r="H108" s="44"/>
    </row>
    <row r="109" spans="1:8" ht="14.25" x14ac:dyDescent="0.3">
      <c r="A109" s="67" t="s">
        <v>124</v>
      </c>
      <c r="B109" s="69"/>
      <c r="C109" s="58"/>
      <c r="D109" s="44"/>
      <c r="E109" s="60"/>
      <c r="F109" s="44"/>
      <c r="G109" s="44"/>
      <c r="H109" s="44"/>
    </row>
    <row r="110" spans="1:8" ht="14.25" x14ac:dyDescent="0.3">
      <c r="A110" s="67"/>
      <c r="B110" s="69"/>
      <c r="C110" s="58"/>
      <c r="D110" s="44"/>
      <c r="E110" s="60"/>
      <c r="F110" s="44"/>
      <c r="G110" s="44"/>
      <c r="H110" s="44"/>
    </row>
    <row r="111" spans="1:8" ht="14.25" x14ac:dyDescent="0.3">
      <c r="A111" s="67" t="s">
        <v>125</v>
      </c>
      <c r="B111" s="70">
        <v>7.4985958201428782E-2</v>
      </c>
      <c r="C111" s="58"/>
      <c r="D111" s="44"/>
      <c r="E111" s="60"/>
      <c r="F111" s="44"/>
      <c r="G111" s="44"/>
      <c r="H111" s="44"/>
    </row>
    <row r="112" spans="1:8" ht="14.25" x14ac:dyDescent="0.3">
      <c r="A112" s="67" t="s">
        <v>97</v>
      </c>
      <c r="B112" s="71"/>
      <c r="C112" s="58"/>
      <c r="D112" s="44"/>
      <c r="E112" s="60"/>
      <c r="F112" s="44"/>
      <c r="G112" s="44"/>
      <c r="H112" s="44"/>
    </row>
    <row r="113" spans="1:8" ht="14.25" x14ac:dyDescent="0.3">
      <c r="A113" s="67" t="s">
        <v>126</v>
      </c>
      <c r="B113" s="72">
        <v>0.12670000000000001</v>
      </c>
      <c r="C113" s="58"/>
      <c r="D113" s="44"/>
      <c r="E113" s="60"/>
      <c r="F113" s="44"/>
      <c r="G113" s="44"/>
      <c r="H113" s="44"/>
    </row>
    <row r="114" spans="1:8" ht="14.25" x14ac:dyDescent="0.3">
      <c r="A114" s="67" t="s">
        <v>127</v>
      </c>
      <c r="B114" s="72">
        <v>0.1273</v>
      </c>
      <c r="C114" s="58"/>
      <c r="D114" s="44"/>
      <c r="E114" s="60"/>
      <c r="F114" s="44"/>
      <c r="G114" s="44"/>
      <c r="H114" s="44"/>
    </row>
    <row r="115" spans="1:8" ht="14.25" x14ac:dyDescent="0.3">
      <c r="A115" s="67" t="s">
        <v>97</v>
      </c>
      <c r="B115" s="73"/>
      <c r="C115" s="58"/>
      <c r="D115" s="44"/>
      <c r="E115" s="60"/>
      <c r="F115" s="44"/>
      <c r="G115" s="44"/>
      <c r="H115" s="44"/>
    </row>
    <row r="116" spans="1:8" ht="14.25" x14ac:dyDescent="0.3">
      <c r="A116" s="67" t="s">
        <v>128</v>
      </c>
      <c r="B116" s="74" t="s">
        <v>129</v>
      </c>
      <c r="C116" s="58"/>
      <c r="D116" s="44"/>
      <c r="E116" s="60"/>
      <c r="F116" s="44"/>
      <c r="G116" s="44"/>
      <c r="H116" s="44"/>
    </row>
    <row r="117" spans="1:8" ht="14.25" x14ac:dyDescent="0.3">
      <c r="A117" s="75" t="s">
        <v>130</v>
      </c>
      <c r="B117" s="76"/>
      <c r="C117" s="58"/>
      <c r="D117" s="44"/>
      <c r="E117" s="60"/>
      <c r="F117" s="44"/>
      <c r="G117" s="44"/>
      <c r="H117" s="44"/>
    </row>
  </sheetData>
  <mergeCells count="14">
    <mergeCell ref="A1:H1"/>
    <mergeCell ref="A2:H2"/>
    <mergeCell ref="A3:H3"/>
    <mergeCell ref="A77:H77"/>
    <mergeCell ref="A79:H79"/>
    <mergeCell ref="A107:B107"/>
    <mergeCell ref="A80:H80"/>
    <mergeCell ref="A81:H81"/>
    <mergeCell ref="A82:H82"/>
    <mergeCell ref="B89:D89"/>
    <mergeCell ref="A100:D100"/>
    <mergeCell ref="B101:B102"/>
    <mergeCell ref="C101:C102"/>
    <mergeCell ref="D101:D10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2024-04-01T11:33:49Z</dcterms:created>
  <dcterms:modified xsi:type="dcterms:W3CDTF">2024-04-03T12:47:02Z</dcterms:modified>
</cp:coreProperties>
</file>