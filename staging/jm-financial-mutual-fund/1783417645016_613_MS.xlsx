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MS" sheetId="1" r:id="rId1"/>
  </sheets>
  <definedNames>
    <definedName name="_xlnm._FilterDatabase" localSheetId="0" hidden="1">MS!$A$1:$H$79</definedName>
    <definedName name="Afs">#REF!</definedName>
    <definedName name="_xlnm.Database">#REF!</definedName>
    <definedName name="EBLDB">#REF!</definedName>
    <definedName name="fl">#REF!</definedName>
    <definedName name="_xlnm.Print_Area" localSheetId="0">MS!$A$1:$E$68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3" i="1" l="1"/>
  <c r="D70" i="1"/>
  <c r="E69" i="1"/>
  <c r="E70" i="1" s="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1" i="1" s="1"/>
  <c r="E55" i="1" s="1"/>
  <c r="D73" i="1" l="1"/>
  <c r="D75" i="1" s="1"/>
  <c r="E75" i="1" s="1"/>
  <c r="E73" i="1"/>
  <c r="E77" i="1" s="1"/>
</calcChain>
</file>

<file path=xl/sharedStrings.xml><?xml version="1.0" encoding="utf-8"?>
<sst xmlns="http://schemas.openxmlformats.org/spreadsheetml/2006/main" count="184" uniqueCount="153">
  <si>
    <t>JM Flexicap Fund (An open ended dynamic equity scheme investing across large cap, mid cap, small cap stocks).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</si>
  <si>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</si>
  <si>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</si>
  <si>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</si>
  <si>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</si>
  <si>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</si>
  <si>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</si>
  <si>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</si>
  <si>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</si>
  <si>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</si>
  <si>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</si>
  <si>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</si>
  <si>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</si>
  <si>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</si>
  <si>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</si>
  <si>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Axis Bank Ltd.</t>
  </si>
  <si>
    <t>INE238A01034</t>
  </si>
  <si>
    <t>ICICI Bank Ltd.</t>
  </si>
  <si>
    <t>INE090A01021</t>
  </si>
  <si>
    <t>Ultratech Cement Ltd.</t>
  </si>
  <si>
    <t>Cement &amp; Cement Products</t>
  </si>
  <si>
    <t>INE481G01011</t>
  </si>
  <si>
    <t>State Bank of India</t>
  </si>
  <si>
    <t>INE062A01020</t>
  </si>
  <si>
    <t>Infosys Ltd.</t>
  </si>
  <si>
    <t>IT - Software</t>
  </si>
  <si>
    <t>INE009A01021</t>
  </si>
  <si>
    <t>Reliance Industries Ltd.</t>
  </si>
  <si>
    <t>Petroleum Products</t>
  </si>
  <si>
    <t>INE002A01018</t>
  </si>
  <si>
    <t>Larsen &amp; Toubro Ltd.</t>
  </si>
  <si>
    <t>Construction</t>
  </si>
  <si>
    <t>INE018A01030</t>
  </si>
  <si>
    <t>Balrampur Chini Mills Ltd.</t>
  </si>
  <si>
    <t>Agricultural Food &amp; other Products</t>
  </si>
  <si>
    <t>INE119A01028</t>
  </si>
  <si>
    <t>Bharat Forge Ltd.</t>
  </si>
  <si>
    <t>Industrial Products</t>
  </si>
  <si>
    <t>INE465A01025</t>
  </si>
  <si>
    <t>Cummins India Ltd.</t>
  </si>
  <si>
    <t>INE298A01020</t>
  </si>
  <si>
    <t>Fortis Healthcare Ltd.</t>
  </si>
  <si>
    <t>Healthcare Services</t>
  </si>
  <si>
    <t>INE061F01013</t>
  </si>
  <si>
    <t>Tata Consultancy Services Ltd.</t>
  </si>
  <si>
    <t>INE467B01029</t>
  </si>
  <si>
    <t>United Spirits Ltd.</t>
  </si>
  <si>
    <t>Beverages</t>
  </si>
  <si>
    <t>INE854D01024</t>
  </si>
  <si>
    <t>SKF India Ltd.</t>
  </si>
  <si>
    <t>INE640A01023</t>
  </si>
  <si>
    <t>L&amp;T Technology Services Ltd.</t>
  </si>
  <si>
    <t>IT - Services</t>
  </si>
  <si>
    <t>INE010V01017</t>
  </si>
  <si>
    <t>REC Ltd.</t>
  </si>
  <si>
    <t>Finance</t>
  </si>
  <si>
    <t>INE020B01018</t>
  </si>
  <si>
    <t>Schaeffler India Ltd.</t>
  </si>
  <si>
    <t>Auto Components</t>
  </si>
  <si>
    <t>INE513A01022</t>
  </si>
  <si>
    <t>Bosch Ltd.</t>
  </si>
  <si>
    <t>INE323A01026</t>
  </si>
  <si>
    <t>Maruti Suzuki India Ltd.</t>
  </si>
  <si>
    <t>Automobiles</t>
  </si>
  <si>
    <t>INE585B01010</t>
  </si>
  <si>
    <t>Bank of Baroda</t>
  </si>
  <si>
    <t>INE028A01039</t>
  </si>
  <si>
    <t>Mahindra &amp; Mahindra Financial Services Ltd.</t>
  </si>
  <si>
    <t>INE774D01024</t>
  </si>
  <si>
    <t>Asian Paints Ltd.</t>
  </si>
  <si>
    <t>Consumer Durables</t>
  </si>
  <si>
    <t>INE021A01026</t>
  </si>
  <si>
    <t>Hindalco Industries Ltd.</t>
  </si>
  <si>
    <t>Non - Ferrous Metals</t>
  </si>
  <si>
    <t>INE038A01020</t>
  </si>
  <si>
    <t>Titan Company Ltd.</t>
  </si>
  <si>
    <t>INE280A01028</t>
  </si>
  <si>
    <t>Aarti Industries Ltd.</t>
  </si>
  <si>
    <t>Chemicals &amp; Petrochemicals</t>
  </si>
  <si>
    <t>INE769A01020</t>
  </si>
  <si>
    <t>Jubilant Foodworks Ltd.</t>
  </si>
  <si>
    <t>Leisure Services</t>
  </si>
  <si>
    <t>INE797F01020</t>
  </si>
  <si>
    <t>Trent Ltd.</t>
  </si>
  <si>
    <t>Retailing</t>
  </si>
  <si>
    <t>INE849A01020</t>
  </si>
  <si>
    <t>Sun Pharmaceutical Industries Ltd.</t>
  </si>
  <si>
    <t>Pharmaceuticals &amp; Biotechnology</t>
  </si>
  <si>
    <t>INE044A01036</t>
  </si>
  <si>
    <t>Mahindra &amp; Mahindra Ltd.</t>
  </si>
  <si>
    <t>INE101A01026</t>
  </si>
  <si>
    <t>TVS Motor Company Ltd.</t>
  </si>
  <si>
    <t>INE494B01023</t>
  </si>
  <si>
    <t>SBI Life Insurance Company Ltd.</t>
  </si>
  <si>
    <t>Insurance</t>
  </si>
  <si>
    <t>INE123W01016</t>
  </si>
  <si>
    <t>Bharti Airtel Ltd.</t>
  </si>
  <si>
    <t>Telecom - Services</t>
  </si>
  <si>
    <t>INE397D01024</t>
  </si>
  <si>
    <t>Britannia Industries Ltd.</t>
  </si>
  <si>
    <t>Food Products</t>
  </si>
  <si>
    <t>INE216A01030</t>
  </si>
  <si>
    <t>City Union Bank Ltd.</t>
  </si>
  <si>
    <t>INE491A01021</t>
  </si>
  <si>
    <t>Bharat Electronics Ltd.</t>
  </si>
  <si>
    <t>Aerospace &amp; Defense</t>
  </si>
  <si>
    <t>INE263A01024</t>
  </si>
  <si>
    <t>Varun Beverages Ltd.</t>
  </si>
  <si>
    <t>INE200M01013</t>
  </si>
  <si>
    <t>Vardhman Textiles Ltd.</t>
  </si>
  <si>
    <t>Textiles &amp; Apparels</t>
  </si>
  <si>
    <t>INE825A01020</t>
  </si>
  <si>
    <t>Indian Oil Corporation Ltd.</t>
  </si>
  <si>
    <t>INE242A01010</t>
  </si>
  <si>
    <t>SRF Ltd.</t>
  </si>
  <si>
    <t>INE647A01010</t>
  </si>
  <si>
    <t>Indraprastha Gas Ltd.</t>
  </si>
  <si>
    <t>Gas</t>
  </si>
  <si>
    <t>INE203G01027</t>
  </si>
  <si>
    <t>ACC Ltd.</t>
  </si>
  <si>
    <t>INE012A01025</t>
  </si>
  <si>
    <t>NTPC Ltd.</t>
  </si>
  <si>
    <t>Power</t>
  </si>
  <si>
    <t>INE733E01010</t>
  </si>
  <si>
    <t>Bharti Airtel Limited -  Rights Partly Paid</t>
  </si>
  <si>
    <t>IN9397D01014</t>
  </si>
  <si>
    <t>INE0LRU01027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</si>
  <si>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</si>
  <si>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</si>
  <si>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</si>
  <si>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</si>
  <si>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</si>
  <si>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</si>
  <si>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</si>
  <si>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</si>
  <si>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</si>
  <si>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</si>
  <si>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</si>
  <si>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</si>
  <si>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</si>
  <si>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</si>
  <si>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</si>
  <si>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</si>
  <si>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</si>
  <si>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</si>
  <si>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</si>
  <si>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</si>
  <si>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</si>
  <si>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</si>
  <si>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</si>
  <si>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</si>
  <si>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</si>
  <si>
    <t>Aarti Pharmalabs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</si>
</sst>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xf numFmtId="0" fontId="6" fillId="0" borderId="0"/>
  </cellStyleXfs>
  <cellXfs count="61">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Border="1" applyAlignment="1">
      <alignment horizontal="right"/>
    </xf>
    <xf numFmtId="0" fontId="5" fillId="0" borderId="0" xfId="2" applyFont="1" applyAlignment="1">
      <alignment horizontal="left" vertical="top"/>
    </xf>
    <xf numFmtId="0" fontId="5" fillId="0" borderId="0" xfId="2" applyFont="1" applyAlignment="1">
      <alignment horizontal="left" vertical="top"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6" applyFont="1"/>
    <xf numFmtId="0" fontId="3" fillId="0" borderId="0" xfId="0"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5" fillId="0" borderId="0" xfId="2" applyFont="1" applyAlignment="1">
      <alignment horizontal="left" wrapText="1"/>
    </xf>
    <xf numFmtId="0" fontId="6" fillId="0" borderId="0" xfId="3" applyBorder="1" applyAlignment="1">
      <alignment horizontal="left" vertical="center" wrapText="1"/>
    </xf>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93</xdr:row>
      <xdr:rowOff>142875</xdr:rowOff>
    </xdr:from>
    <xdr:to>
      <xdr:col>1</xdr:col>
      <xdr:colOff>1190625</xdr:colOff>
      <xdr:row>107</xdr:row>
      <xdr:rowOff>38100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17173575"/>
          <a:ext cx="3429000" cy="2162175"/>
        </a:xfrm>
        <a:prstGeom prst="rect">
          <a:avLst/>
        </a:prstGeom>
        <a:noFill/>
        <a:ln w="9525">
          <a:noFill/>
          <a:miter lim="800000"/>
          <a:headEnd/>
          <a:tailEnd/>
        </a:ln>
      </xdr:spPr>
    </xdr:pic>
    <xdr:clientData/>
  </xdr:twoCellAnchor>
  <xdr:twoCellAnchor editAs="oneCell">
    <xdr:from>
      <xdr:col>3</xdr:col>
      <xdr:colOff>0</xdr:colOff>
      <xdr:row>93</xdr:row>
      <xdr:rowOff>152400</xdr:rowOff>
    </xdr:from>
    <xdr:to>
      <xdr:col>6</xdr:col>
      <xdr:colOff>247650</xdr:colOff>
      <xdr:row>107</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81775" y="17183100"/>
          <a:ext cx="3771900"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6"/>
  <sheetViews>
    <sheetView tabSelected="1" zoomScaleNormal="100" workbookViewId="0">
      <pane ySplit="1" topLeftCell="A77" activePane="bottomLeft" state="frozen"/>
      <selection pane="bottomLeft" sqref="A1:H1"/>
    </sheetView>
  </sheetViews>
  <sheetFormatPr defaultRowHeight="12.75" x14ac:dyDescent="0.2"/>
  <cols>
    <col min="1" max="1" width="45.140625" style="51" customWidth="1"/>
    <col min="2" max="2" width="40.140625" style="52" customWidth="1"/>
    <col min="3" max="3" width="13.42578125" style="53"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6" t="s">
        <v>0</v>
      </c>
      <c r="B1" s="56"/>
      <c r="C1" s="56"/>
      <c r="D1" s="56"/>
      <c r="E1" s="56"/>
      <c r="F1" s="56"/>
      <c r="G1" s="56"/>
      <c r="H1" s="56"/>
    </row>
    <row r="2" spans="1:8" x14ac:dyDescent="0.2">
      <c r="A2" s="2" t="s">
        <v>1</v>
      </c>
      <c r="B2" s="3"/>
      <c r="C2" s="3"/>
      <c r="D2" s="3"/>
      <c r="E2" s="3"/>
      <c r="F2" s="3"/>
      <c r="G2" s="3"/>
      <c r="H2" s="3"/>
    </row>
    <row r="3" spans="1:8" s="9" customFormat="1" ht="38.2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125950</v>
      </c>
      <c r="D6" s="21">
        <v>2050.6549249999998</v>
      </c>
      <c r="E6" s="21">
        <f t="shared" ref="E6:E50" si="0">(+D6/$D$77*100)</f>
        <v>8.1910160550611177</v>
      </c>
      <c r="F6" s="21" t="s">
        <v>14</v>
      </c>
      <c r="G6" s="16"/>
      <c r="H6" s="16"/>
    </row>
    <row r="7" spans="1:8" s="22" customFormat="1" x14ac:dyDescent="0.2">
      <c r="A7" s="18" t="s">
        <v>15</v>
      </c>
      <c r="B7" s="19" t="s">
        <v>13</v>
      </c>
      <c r="C7" s="20">
        <v>122550</v>
      </c>
      <c r="D7" s="21">
        <v>1144.3106250000001</v>
      </c>
      <c r="E7" s="21">
        <f t="shared" si="0"/>
        <v>4.5707674104905891</v>
      </c>
      <c r="F7" s="21" t="s">
        <v>16</v>
      </c>
      <c r="G7" s="16"/>
      <c r="H7" s="16"/>
    </row>
    <row r="8" spans="1:8" s="22" customFormat="1" x14ac:dyDescent="0.2">
      <c r="A8" s="18" t="s">
        <v>17</v>
      </c>
      <c r="B8" s="19" t="s">
        <v>13</v>
      </c>
      <c r="C8" s="20">
        <v>110050</v>
      </c>
      <c r="D8" s="21">
        <v>980.38042499999995</v>
      </c>
      <c r="E8" s="21">
        <f t="shared" si="0"/>
        <v>3.9159742106501132</v>
      </c>
      <c r="F8" s="21" t="s">
        <v>18</v>
      </c>
      <c r="G8" s="16"/>
      <c r="H8" s="16"/>
    </row>
    <row r="9" spans="1:8" s="22" customFormat="1" x14ac:dyDescent="0.2">
      <c r="A9" s="18" t="s">
        <v>19</v>
      </c>
      <c r="B9" s="19" t="s">
        <v>20</v>
      </c>
      <c r="C9" s="20">
        <v>13300</v>
      </c>
      <c r="D9" s="21">
        <v>925.55364999999995</v>
      </c>
      <c r="E9" s="21">
        <f t="shared" si="0"/>
        <v>3.6969773483319819</v>
      </c>
      <c r="F9" s="21" t="s">
        <v>21</v>
      </c>
      <c r="G9" s="16"/>
      <c r="H9" s="15"/>
    </row>
    <row r="10" spans="1:8" s="22" customFormat="1" x14ac:dyDescent="0.2">
      <c r="A10" s="18" t="s">
        <v>22</v>
      </c>
      <c r="B10" s="19" t="s">
        <v>13</v>
      </c>
      <c r="C10" s="20">
        <v>147700</v>
      </c>
      <c r="D10" s="21">
        <v>906.43489999999997</v>
      </c>
      <c r="E10" s="21">
        <f t="shared" si="0"/>
        <v>3.6206105319098092</v>
      </c>
      <c r="F10" s="21" t="s">
        <v>23</v>
      </c>
      <c r="G10" s="16"/>
      <c r="H10" s="15"/>
    </row>
    <row r="11" spans="1:8" s="22" customFormat="1" x14ac:dyDescent="0.2">
      <c r="A11" s="18" t="s">
        <v>24</v>
      </c>
      <c r="B11" s="19" t="s">
        <v>25</v>
      </c>
      <c r="C11" s="20">
        <v>59400</v>
      </c>
      <c r="D11" s="21">
        <v>895.87080000000003</v>
      </c>
      <c r="E11" s="21">
        <f t="shared" si="0"/>
        <v>3.5784139089420171</v>
      </c>
      <c r="F11" s="21" t="s">
        <v>26</v>
      </c>
      <c r="G11" s="16"/>
      <c r="H11" s="23"/>
    </row>
    <row r="12" spans="1:8" s="22" customFormat="1" x14ac:dyDescent="0.2">
      <c r="A12" s="18" t="s">
        <v>27</v>
      </c>
      <c r="B12" s="19" t="s">
        <v>28</v>
      </c>
      <c r="C12" s="20">
        <v>35066</v>
      </c>
      <c r="D12" s="21">
        <v>893.20115199999998</v>
      </c>
      <c r="E12" s="21">
        <f t="shared" si="0"/>
        <v>3.5677504231635098</v>
      </c>
      <c r="F12" s="21" t="s">
        <v>29</v>
      </c>
      <c r="G12" s="16"/>
      <c r="H12" s="15"/>
    </row>
    <row r="13" spans="1:8" s="22" customFormat="1" x14ac:dyDescent="0.2">
      <c r="A13" s="18" t="s">
        <v>30</v>
      </c>
      <c r="B13" s="19" t="s">
        <v>31</v>
      </c>
      <c r="C13" s="20">
        <v>40731</v>
      </c>
      <c r="D13" s="21">
        <v>849.56719799999996</v>
      </c>
      <c r="E13" s="21">
        <f t="shared" si="0"/>
        <v>3.3934615101910857</v>
      </c>
      <c r="F13" s="21" t="s">
        <v>32</v>
      </c>
      <c r="G13" s="16"/>
      <c r="H13" s="15"/>
    </row>
    <row r="14" spans="1:8" s="22" customFormat="1" x14ac:dyDescent="0.2">
      <c r="A14" s="18" t="s">
        <v>33</v>
      </c>
      <c r="B14" s="19" t="s">
        <v>34</v>
      </c>
      <c r="C14" s="20">
        <v>199467</v>
      </c>
      <c r="D14" s="21">
        <v>791.38532250000003</v>
      </c>
      <c r="E14" s="21">
        <f t="shared" si="0"/>
        <v>3.1610632307321138</v>
      </c>
      <c r="F14" s="21" t="s">
        <v>35</v>
      </c>
      <c r="G14" s="16"/>
      <c r="H14" s="16"/>
    </row>
    <row r="15" spans="1:8" s="22" customFormat="1" x14ac:dyDescent="0.2">
      <c r="A15" s="18" t="s">
        <v>36</v>
      </c>
      <c r="B15" s="19" t="s">
        <v>37</v>
      </c>
      <c r="C15" s="20">
        <v>75000</v>
      </c>
      <c r="D15" s="21">
        <v>659.88750000000005</v>
      </c>
      <c r="E15" s="21">
        <f t="shared" si="0"/>
        <v>2.6358160220614124</v>
      </c>
      <c r="F15" s="21" t="s">
        <v>38</v>
      </c>
      <c r="G15" s="16"/>
      <c r="H15" s="16"/>
    </row>
    <row r="16" spans="1:8" s="22" customFormat="1" x14ac:dyDescent="0.2">
      <c r="A16" s="18" t="s">
        <v>39</v>
      </c>
      <c r="B16" s="19" t="s">
        <v>37</v>
      </c>
      <c r="C16" s="20">
        <v>47067</v>
      </c>
      <c r="D16" s="21">
        <v>649.71286799999996</v>
      </c>
      <c r="E16" s="21">
        <f t="shared" si="0"/>
        <v>2.5951750672862746</v>
      </c>
      <c r="F16" s="21" t="s">
        <v>40</v>
      </c>
      <c r="G16" s="16"/>
      <c r="H16" s="16"/>
    </row>
    <row r="17" spans="1:8" s="22" customFormat="1" x14ac:dyDescent="0.2">
      <c r="A17" s="18" t="s">
        <v>41</v>
      </c>
      <c r="B17" s="19" t="s">
        <v>42</v>
      </c>
      <c r="C17" s="20">
        <v>226501</v>
      </c>
      <c r="D17" s="21">
        <v>648.019361</v>
      </c>
      <c r="E17" s="21">
        <f t="shared" si="0"/>
        <v>2.5884106220072334</v>
      </c>
      <c r="F17" s="21" t="s">
        <v>43</v>
      </c>
      <c r="G17" s="16"/>
      <c r="H17" s="16"/>
    </row>
    <row r="18" spans="1:8" s="22" customFormat="1" x14ac:dyDescent="0.2">
      <c r="A18" s="18" t="s">
        <v>44</v>
      </c>
      <c r="B18" s="19" t="s">
        <v>25</v>
      </c>
      <c r="C18" s="20">
        <v>19485</v>
      </c>
      <c r="D18" s="21">
        <v>634.567995</v>
      </c>
      <c r="E18" s="21">
        <f t="shared" si="0"/>
        <v>2.5346812726538785</v>
      </c>
      <c r="F18" s="21" t="s">
        <v>45</v>
      </c>
      <c r="G18" s="16"/>
      <c r="H18" s="15"/>
    </row>
    <row r="19" spans="1:8" s="22" customFormat="1" x14ac:dyDescent="0.2">
      <c r="A19" s="18" t="s">
        <v>46</v>
      </c>
      <c r="B19" s="19" t="s">
        <v>47</v>
      </c>
      <c r="C19" s="20">
        <v>65000</v>
      </c>
      <c r="D19" s="21">
        <v>570.40750000000003</v>
      </c>
      <c r="E19" s="21">
        <f t="shared" si="0"/>
        <v>2.2784023452542974</v>
      </c>
      <c r="F19" s="21" t="s">
        <v>48</v>
      </c>
      <c r="G19" s="16"/>
      <c r="H19" s="15"/>
    </row>
    <row r="20" spans="1:8" s="22" customFormat="1" x14ac:dyDescent="0.2">
      <c r="A20" s="18" t="s">
        <v>49</v>
      </c>
      <c r="B20" s="19" t="s">
        <v>37</v>
      </c>
      <c r="C20" s="20">
        <v>12575</v>
      </c>
      <c r="D20" s="21">
        <v>565.76182500000004</v>
      </c>
      <c r="E20" s="21">
        <f t="shared" si="0"/>
        <v>2.2598459328381049</v>
      </c>
      <c r="F20" s="21" t="s">
        <v>50</v>
      </c>
      <c r="G20" s="16"/>
      <c r="H20" s="15"/>
    </row>
    <row r="21" spans="1:8" s="22" customFormat="1" x14ac:dyDescent="0.2">
      <c r="A21" s="18" t="s">
        <v>51</v>
      </c>
      <c r="B21" s="19" t="s">
        <v>52</v>
      </c>
      <c r="C21" s="20">
        <v>15152</v>
      </c>
      <c r="D21" s="21">
        <v>558.13149599999997</v>
      </c>
      <c r="E21" s="21">
        <f t="shared" si="0"/>
        <v>2.2293677931070146</v>
      </c>
      <c r="F21" s="21" t="s">
        <v>53</v>
      </c>
      <c r="G21" s="16"/>
      <c r="H21" s="15"/>
    </row>
    <row r="22" spans="1:8" s="22" customFormat="1" x14ac:dyDescent="0.2">
      <c r="A22" s="18" t="s">
        <v>54</v>
      </c>
      <c r="B22" s="19" t="s">
        <v>55</v>
      </c>
      <c r="C22" s="20">
        <v>455000</v>
      </c>
      <c r="D22" s="21">
        <v>530.07500000000005</v>
      </c>
      <c r="E22" s="21">
        <f t="shared" si="0"/>
        <v>2.1173005669818012</v>
      </c>
      <c r="F22" s="21" t="s">
        <v>56</v>
      </c>
      <c r="G22" s="16"/>
      <c r="H22" s="15"/>
    </row>
    <row r="23" spans="1:8" s="22" customFormat="1" x14ac:dyDescent="0.2">
      <c r="A23" s="18" t="s">
        <v>57</v>
      </c>
      <c r="B23" s="19" t="s">
        <v>58</v>
      </c>
      <c r="C23" s="20">
        <v>18700</v>
      </c>
      <c r="D23" s="21">
        <v>513.62355000000002</v>
      </c>
      <c r="E23" s="21">
        <f t="shared" si="0"/>
        <v>2.0515878576243085</v>
      </c>
      <c r="F23" s="21" t="s">
        <v>59</v>
      </c>
      <c r="G23" s="16"/>
      <c r="H23" s="15"/>
    </row>
    <row r="24" spans="1:8" s="22" customFormat="1" x14ac:dyDescent="0.2">
      <c r="A24" s="18" t="s">
        <v>60</v>
      </c>
      <c r="B24" s="19" t="s">
        <v>58</v>
      </c>
      <c r="C24" s="20">
        <v>2780</v>
      </c>
      <c r="D24" s="21">
        <v>479.94475999999997</v>
      </c>
      <c r="E24" s="21">
        <f t="shared" si="0"/>
        <v>1.9170632692882033</v>
      </c>
      <c r="F24" s="21" t="s">
        <v>61</v>
      </c>
      <c r="G24" s="16"/>
      <c r="H24" s="16"/>
    </row>
    <row r="25" spans="1:8" s="22" customFormat="1" x14ac:dyDescent="0.2">
      <c r="A25" s="18" t="s">
        <v>62</v>
      </c>
      <c r="B25" s="19" t="s">
        <v>63</v>
      </c>
      <c r="C25" s="20">
        <v>5675</v>
      </c>
      <c r="D25" s="21">
        <v>476.39355</v>
      </c>
      <c r="E25" s="21">
        <f t="shared" si="0"/>
        <v>1.902878523834312</v>
      </c>
      <c r="F25" s="21" t="s">
        <v>64</v>
      </c>
      <c r="G25" s="16"/>
      <c r="H25" s="15"/>
    </row>
    <row r="26" spans="1:8" s="22" customFormat="1" x14ac:dyDescent="0.2">
      <c r="A26" s="18" t="s">
        <v>65</v>
      </c>
      <c r="B26" s="19" t="s">
        <v>13</v>
      </c>
      <c r="C26" s="20">
        <v>242000</v>
      </c>
      <c r="D26" s="21">
        <v>449.39400000000001</v>
      </c>
      <c r="E26" s="21">
        <f t="shared" si="0"/>
        <v>1.7950331009729179</v>
      </c>
      <c r="F26" s="21" t="s">
        <v>66</v>
      </c>
      <c r="G26" s="16"/>
      <c r="H26" s="16"/>
    </row>
    <row r="27" spans="1:8" s="22" customFormat="1" x14ac:dyDescent="0.2">
      <c r="A27" s="18" t="s">
        <v>67</v>
      </c>
      <c r="B27" s="19" t="s">
        <v>55</v>
      </c>
      <c r="C27" s="20">
        <v>190650</v>
      </c>
      <c r="D27" s="21">
        <v>447.26490000000001</v>
      </c>
      <c r="E27" s="21">
        <f t="shared" si="0"/>
        <v>1.7865287484998511</v>
      </c>
      <c r="F27" s="21" t="s">
        <v>68</v>
      </c>
      <c r="G27" s="16"/>
      <c r="H27" s="15"/>
    </row>
    <row r="28" spans="1:8" s="22" customFormat="1" x14ac:dyDescent="0.2">
      <c r="A28" s="18" t="s">
        <v>69</v>
      </c>
      <c r="B28" s="19" t="s">
        <v>70</v>
      </c>
      <c r="C28" s="20">
        <v>14350</v>
      </c>
      <c r="D28" s="21">
        <v>443.11365000000001</v>
      </c>
      <c r="E28" s="21">
        <f t="shared" si="0"/>
        <v>1.7699472383764094</v>
      </c>
      <c r="F28" s="21" t="s">
        <v>71</v>
      </c>
      <c r="G28" s="16"/>
      <c r="H28" s="16"/>
    </row>
    <row r="29" spans="1:8" s="22" customFormat="1" x14ac:dyDescent="0.2">
      <c r="A29" s="18" t="s">
        <v>72</v>
      </c>
      <c r="B29" s="19" t="s">
        <v>73</v>
      </c>
      <c r="C29" s="20">
        <v>92000</v>
      </c>
      <c r="D29" s="21">
        <v>435.48200000000003</v>
      </c>
      <c r="E29" s="21">
        <f t="shared" si="0"/>
        <v>1.7394638221202068</v>
      </c>
      <c r="F29" s="21" t="s">
        <v>74</v>
      </c>
      <c r="G29" s="16"/>
      <c r="H29" s="16"/>
    </row>
    <row r="30" spans="1:8" s="22" customFormat="1" x14ac:dyDescent="0.2">
      <c r="A30" s="18" t="s">
        <v>75</v>
      </c>
      <c r="B30" s="19" t="s">
        <v>70</v>
      </c>
      <c r="C30" s="20">
        <v>16450</v>
      </c>
      <c r="D30" s="21">
        <v>427.28874999999999</v>
      </c>
      <c r="E30" s="21">
        <f t="shared" si="0"/>
        <v>1.7067371836814509</v>
      </c>
      <c r="F30" s="21" t="s">
        <v>76</v>
      </c>
      <c r="G30" s="16"/>
      <c r="H30" s="15"/>
    </row>
    <row r="31" spans="1:8" s="22" customFormat="1" x14ac:dyDescent="0.2">
      <c r="A31" s="18" t="s">
        <v>77</v>
      </c>
      <c r="B31" s="19" t="s">
        <v>78</v>
      </c>
      <c r="C31" s="20">
        <v>69250</v>
      </c>
      <c r="D31" s="21">
        <v>422.49425000000002</v>
      </c>
      <c r="E31" s="21">
        <f t="shared" si="0"/>
        <v>1.6875863133925404</v>
      </c>
      <c r="F31" s="21" t="s">
        <v>79</v>
      </c>
      <c r="G31" s="16"/>
      <c r="H31" s="16"/>
    </row>
    <row r="32" spans="1:8" s="22" customFormat="1" x14ac:dyDescent="0.2">
      <c r="A32" s="18" t="s">
        <v>80</v>
      </c>
      <c r="B32" s="19" t="s">
        <v>81</v>
      </c>
      <c r="C32" s="20">
        <v>80500</v>
      </c>
      <c r="D32" s="21">
        <v>411.39524999999998</v>
      </c>
      <c r="E32" s="21">
        <f t="shared" si="0"/>
        <v>1.6432531171600615</v>
      </c>
      <c r="F32" s="21" t="s">
        <v>82</v>
      </c>
      <c r="G32" s="16"/>
      <c r="H32" s="23"/>
    </row>
    <row r="33" spans="1:8" s="22" customFormat="1" x14ac:dyDescent="0.2">
      <c r="A33" s="18" t="s">
        <v>83</v>
      </c>
      <c r="B33" s="19" t="s">
        <v>84</v>
      </c>
      <c r="C33" s="20">
        <v>29600</v>
      </c>
      <c r="D33" s="21">
        <v>399.99959999999999</v>
      </c>
      <c r="E33" s="21">
        <f t="shared" si="0"/>
        <v>1.5977349995236403</v>
      </c>
      <c r="F33" s="21" t="s">
        <v>85</v>
      </c>
      <c r="G33" s="16"/>
      <c r="H33" s="15"/>
    </row>
    <row r="34" spans="1:8" s="22" customFormat="1" x14ac:dyDescent="0.2">
      <c r="A34" s="18" t="s">
        <v>86</v>
      </c>
      <c r="B34" s="19" t="s">
        <v>87</v>
      </c>
      <c r="C34" s="20">
        <v>38250</v>
      </c>
      <c r="D34" s="21">
        <v>383.03550000000001</v>
      </c>
      <c r="E34" s="21">
        <f t="shared" si="0"/>
        <v>1.5299745909996842</v>
      </c>
      <c r="F34" s="21" t="s">
        <v>88</v>
      </c>
      <c r="G34" s="16"/>
      <c r="H34" s="15"/>
    </row>
    <row r="35" spans="1:8" s="22" customFormat="1" x14ac:dyDescent="0.2">
      <c r="A35" s="18" t="s">
        <v>89</v>
      </c>
      <c r="B35" s="19" t="s">
        <v>63</v>
      </c>
      <c r="C35" s="20">
        <v>30000</v>
      </c>
      <c r="D35" s="21">
        <v>374.76</v>
      </c>
      <c r="E35" s="21">
        <f t="shared" si="0"/>
        <v>1.4969194179731165</v>
      </c>
      <c r="F35" s="21" t="s">
        <v>90</v>
      </c>
      <c r="G35" s="16"/>
      <c r="H35" s="15"/>
    </row>
    <row r="36" spans="1:8" s="22" customFormat="1" x14ac:dyDescent="0.2">
      <c r="A36" s="18" t="s">
        <v>91</v>
      </c>
      <c r="B36" s="19" t="s">
        <v>63</v>
      </c>
      <c r="C36" s="20">
        <v>34371</v>
      </c>
      <c r="D36" s="21">
        <v>373.06283400000001</v>
      </c>
      <c r="E36" s="21">
        <f t="shared" si="0"/>
        <v>1.4901403573985521</v>
      </c>
      <c r="F36" s="21" t="s">
        <v>92</v>
      </c>
      <c r="G36" s="16"/>
      <c r="H36" s="15"/>
    </row>
    <row r="37" spans="1:8" s="22" customFormat="1" x14ac:dyDescent="0.2">
      <c r="A37" s="18" t="s">
        <v>93</v>
      </c>
      <c r="B37" s="19" t="s">
        <v>94</v>
      </c>
      <c r="C37" s="20">
        <v>30000</v>
      </c>
      <c r="D37" s="21">
        <v>369.39</v>
      </c>
      <c r="E37" s="21">
        <f t="shared" si="0"/>
        <v>1.4754698041548977</v>
      </c>
      <c r="F37" s="21" t="s">
        <v>95</v>
      </c>
      <c r="G37" s="16"/>
      <c r="H37" s="15"/>
    </row>
    <row r="38" spans="1:8" s="22" customFormat="1" x14ac:dyDescent="0.2">
      <c r="A38" s="18" t="s">
        <v>96</v>
      </c>
      <c r="B38" s="19" t="s">
        <v>97</v>
      </c>
      <c r="C38" s="20">
        <v>45434</v>
      </c>
      <c r="D38" s="21">
        <v>366.24347399999999</v>
      </c>
      <c r="E38" s="21">
        <f t="shared" si="0"/>
        <v>1.4629015047938205</v>
      </c>
      <c r="F38" s="21" t="s">
        <v>98</v>
      </c>
      <c r="G38" s="16"/>
      <c r="H38" s="16"/>
    </row>
    <row r="39" spans="1:8" s="22" customFormat="1" x14ac:dyDescent="0.2">
      <c r="A39" s="18" t="s">
        <v>99</v>
      </c>
      <c r="B39" s="19" t="s">
        <v>100</v>
      </c>
      <c r="C39" s="20">
        <v>8450</v>
      </c>
      <c r="D39" s="21">
        <v>363.97952500000002</v>
      </c>
      <c r="E39" s="21">
        <f t="shared" si="0"/>
        <v>1.453858519364744</v>
      </c>
      <c r="F39" s="21" t="s">
        <v>101</v>
      </c>
      <c r="G39" s="16"/>
      <c r="H39" s="16"/>
    </row>
    <row r="40" spans="1:8" s="22" customFormat="1" x14ac:dyDescent="0.2">
      <c r="A40" s="18" t="s">
        <v>102</v>
      </c>
      <c r="B40" s="19" t="s">
        <v>13</v>
      </c>
      <c r="C40" s="20">
        <v>190000</v>
      </c>
      <c r="D40" s="21">
        <v>342.76</v>
      </c>
      <c r="E40" s="21">
        <f t="shared" si="0"/>
        <v>1.3691004901922974</v>
      </c>
      <c r="F40" s="21" t="s">
        <v>103</v>
      </c>
      <c r="G40" s="16"/>
      <c r="H40" s="16"/>
    </row>
    <row r="41" spans="1:8" s="22" customFormat="1" x14ac:dyDescent="0.2">
      <c r="A41" s="18" t="s">
        <v>104</v>
      </c>
      <c r="B41" s="19" t="s">
        <v>105</v>
      </c>
      <c r="C41" s="20">
        <v>333000</v>
      </c>
      <c r="D41" s="21">
        <v>332.66699999999997</v>
      </c>
      <c r="E41" s="21">
        <f t="shared" si="0"/>
        <v>1.3287856015019284</v>
      </c>
      <c r="F41" s="21" t="s">
        <v>106</v>
      </c>
      <c r="G41" s="16"/>
      <c r="H41" s="16"/>
    </row>
    <row r="42" spans="1:8" s="22" customFormat="1" x14ac:dyDescent="0.2">
      <c r="A42" s="18" t="s">
        <v>107</v>
      </c>
      <c r="B42" s="19" t="s">
        <v>47</v>
      </c>
      <c r="C42" s="20">
        <v>24951</v>
      </c>
      <c r="D42" s="21">
        <v>329.98945050000003</v>
      </c>
      <c r="E42" s="21">
        <f t="shared" si="0"/>
        <v>1.3180905544341139</v>
      </c>
      <c r="F42" s="21" t="s">
        <v>108</v>
      </c>
      <c r="G42" s="16"/>
      <c r="H42" s="15"/>
    </row>
    <row r="43" spans="1:8" s="22" customFormat="1" x14ac:dyDescent="0.2">
      <c r="A43" s="18" t="s">
        <v>109</v>
      </c>
      <c r="B43" s="19" t="s">
        <v>110</v>
      </c>
      <c r="C43" s="20">
        <v>93560</v>
      </c>
      <c r="D43" s="21">
        <v>308.88834000000003</v>
      </c>
      <c r="E43" s="21">
        <f t="shared" si="0"/>
        <v>1.2338055132124084</v>
      </c>
      <c r="F43" s="21" t="s">
        <v>111</v>
      </c>
      <c r="G43" s="16"/>
      <c r="H43" s="15"/>
    </row>
    <row r="44" spans="1:8" s="22" customFormat="1" x14ac:dyDescent="0.2">
      <c r="A44" s="18" t="s">
        <v>112</v>
      </c>
      <c r="B44" s="19" t="s">
        <v>28</v>
      </c>
      <c r="C44" s="20">
        <v>330000</v>
      </c>
      <c r="D44" s="21">
        <v>252.45</v>
      </c>
      <c r="E44" s="21">
        <f t="shared" si="0"/>
        <v>1.0083715099458672</v>
      </c>
      <c r="F44" s="21" t="s">
        <v>113</v>
      </c>
      <c r="G44" s="16"/>
      <c r="H44" s="23"/>
    </row>
    <row r="45" spans="1:8" s="22" customFormat="1" x14ac:dyDescent="0.2">
      <c r="A45" s="18" t="s">
        <v>114</v>
      </c>
      <c r="B45" s="19" t="s">
        <v>78</v>
      </c>
      <c r="C45" s="20">
        <v>10600</v>
      </c>
      <c r="D45" s="21">
        <v>242.77709999999999</v>
      </c>
      <c r="E45" s="21">
        <f t="shared" si="0"/>
        <v>0.96973464411677091</v>
      </c>
      <c r="F45" s="21" t="s">
        <v>115</v>
      </c>
      <c r="G45" s="16"/>
      <c r="H45" s="15"/>
    </row>
    <row r="46" spans="1:8" s="22" customFormat="1" x14ac:dyDescent="0.2">
      <c r="A46" s="18" t="s">
        <v>116</v>
      </c>
      <c r="B46" s="19" t="s">
        <v>117</v>
      </c>
      <c r="C46" s="20">
        <v>58000</v>
      </c>
      <c r="D46" s="21">
        <v>240.09100000000001</v>
      </c>
      <c r="E46" s="21">
        <f t="shared" si="0"/>
        <v>0.95900544343201921</v>
      </c>
      <c r="F46" s="21" t="s">
        <v>118</v>
      </c>
      <c r="G46" s="16"/>
      <c r="H46" s="23"/>
    </row>
    <row r="47" spans="1:8" s="22" customFormat="1" x14ac:dyDescent="0.2">
      <c r="A47" s="18" t="s">
        <v>119</v>
      </c>
      <c r="B47" s="19" t="s">
        <v>20</v>
      </c>
      <c r="C47" s="20">
        <v>9700</v>
      </c>
      <c r="D47" s="21">
        <v>236.83519999999999</v>
      </c>
      <c r="E47" s="21">
        <f t="shared" si="0"/>
        <v>0.94600066639861946</v>
      </c>
      <c r="F47" s="21" t="s">
        <v>120</v>
      </c>
      <c r="G47" s="16"/>
      <c r="H47" s="16"/>
    </row>
    <row r="48" spans="1:8" s="22" customFormat="1" x14ac:dyDescent="0.2">
      <c r="A48" s="18" t="s">
        <v>121</v>
      </c>
      <c r="B48" s="19" t="s">
        <v>122</v>
      </c>
      <c r="C48" s="20">
        <v>135000</v>
      </c>
      <c r="D48" s="21">
        <v>224.70750000000001</v>
      </c>
      <c r="E48" s="21">
        <f t="shared" si="0"/>
        <v>0.89755849107213703</v>
      </c>
      <c r="F48" s="21" t="s">
        <v>123</v>
      </c>
      <c r="G48" s="16"/>
      <c r="H48" s="15"/>
    </row>
    <row r="49" spans="1:8" s="22" customFormat="1" x14ac:dyDescent="0.2">
      <c r="A49" s="18" t="s">
        <v>124</v>
      </c>
      <c r="B49" s="19" t="s">
        <v>97</v>
      </c>
      <c r="C49" s="20">
        <v>4430</v>
      </c>
      <c r="D49" s="21">
        <v>19.208480000000002</v>
      </c>
      <c r="E49" s="21">
        <f t="shared" si="0"/>
        <v>7.672522868435333E-2</v>
      </c>
      <c r="F49" s="21" t="s">
        <v>125</v>
      </c>
      <c r="G49" s="16"/>
      <c r="H49" s="16"/>
    </row>
    <row r="50" spans="1:8" s="22" customFormat="1" x14ac:dyDescent="0.2">
      <c r="A50" s="18" t="s">
        <v>152</v>
      </c>
      <c r="B50" s="19" t="s">
        <v>87</v>
      </c>
      <c r="C50" s="20">
        <v>6812</v>
      </c>
      <c r="D50" s="21">
        <v>16.772506399999997</v>
      </c>
      <c r="E50" s="21">
        <f t="shared" si="0"/>
        <v>6.6995118257653877E-2</v>
      </c>
      <c r="F50" s="21" t="s">
        <v>126</v>
      </c>
      <c r="G50" s="16"/>
      <c r="H50" s="16"/>
    </row>
    <row r="51" spans="1:8" s="22" customFormat="1" x14ac:dyDescent="0.2">
      <c r="A51" s="17" t="s">
        <v>127</v>
      </c>
      <c r="B51" s="19"/>
      <c r="C51" s="20"/>
      <c r="D51" s="24">
        <f>IF(ISERROR(SUM(D6:D50)),0,SUM(D6:D50))</f>
        <v>23937.934712400005</v>
      </c>
      <c r="E51" s="24">
        <f>IF(ISERROR(SUM(E6:E50)),0,SUM(E6:E50))</f>
        <v>95.616285882069207</v>
      </c>
      <c r="F51" s="24"/>
      <c r="G51" s="16"/>
      <c r="H51" s="15"/>
    </row>
    <row r="52" spans="1:8" s="22" customFormat="1" x14ac:dyDescent="0.2">
      <c r="A52" s="17"/>
      <c r="B52" s="17"/>
      <c r="C52" s="25"/>
      <c r="D52" s="26"/>
      <c r="E52" s="26"/>
      <c r="F52" s="26"/>
      <c r="G52" s="16"/>
      <c r="H52" s="15"/>
    </row>
    <row r="53" spans="1:8" s="22" customFormat="1" x14ac:dyDescent="0.2">
      <c r="A53" s="17" t="s">
        <v>128</v>
      </c>
      <c r="B53" s="17"/>
      <c r="C53" s="25"/>
      <c r="D53" s="27" t="s">
        <v>129</v>
      </c>
      <c r="E53" s="27" t="s">
        <v>129</v>
      </c>
      <c r="F53" s="27"/>
      <c r="G53" s="16"/>
      <c r="H53" s="15"/>
    </row>
    <row r="54" spans="1:8" s="22" customFormat="1" x14ac:dyDescent="0.2">
      <c r="A54" s="17"/>
      <c r="B54" s="10"/>
      <c r="C54" s="25"/>
      <c r="D54" s="27"/>
      <c r="E54" s="27"/>
      <c r="F54" s="28"/>
      <c r="G54" s="16"/>
      <c r="H54" s="15"/>
    </row>
    <row r="55" spans="1:8" s="22" customFormat="1" x14ac:dyDescent="0.2">
      <c r="A55" s="17" t="s">
        <v>130</v>
      </c>
      <c r="B55" s="17"/>
      <c r="C55" s="25"/>
      <c r="D55" s="24">
        <f>IF(ISERROR(+D51),0,D51)+IF(ISERROR(+#REF!),0,#REF!)</f>
        <v>23937.934712400005</v>
      </c>
      <c r="E55" s="24">
        <f>IF(ISERROR(+E51),0,E51)+IF(ISERROR(+#REF!),0,#REF!)</f>
        <v>95.616285882069207</v>
      </c>
      <c r="F55" s="29"/>
      <c r="G55" s="16"/>
      <c r="H55" s="15"/>
    </row>
    <row r="56" spans="1:8" s="22" customFormat="1" x14ac:dyDescent="0.2">
      <c r="A56" s="17"/>
      <c r="B56" s="10"/>
      <c r="C56" s="25"/>
      <c r="D56" s="27"/>
      <c r="E56" s="27"/>
      <c r="F56" s="28"/>
      <c r="G56" s="16"/>
      <c r="H56" s="15"/>
    </row>
    <row r="57" spans="1:8" s="22" customFormat="1" x14ac:dyDescent="0.2">
      <c r="A57" s="17" t="s">
        <v>131</v>
      </c>
      <c r="B57" s="10"/>
      <c r="C57" s="25"/>
      <c r="D57" s="27"/>
      <c r="E57" s="27"/>
      <c r="F57" s="28"/>
      <c r="G57" s="16"/>
      <c r="H57" s="15"/>
    </row>
    <row r="58" spans="1:8" s="22" customFormat="1" x14ac:dyDescent="0.2">
      <c r="A58" s="17" t="s">
        <v>11</v>
      </c>
      <c r="B58" s="10"/>
      <c r="C58" s="25"/>
      <c r="D58" s="27" t="s">
        <v>129</v>
      </c>
      <c r="E58" s="27" t="s">
        <v>129</v>
      </c>
      <c r="F58" s="30"/>
      <c r="G58" s="16"/>
      <c r="H58" s="15"/>
    </row>
    <row r="59" spans="1:8" s="22" customFormat="1" x14ac:dyDescent="0.2">
      <c r="A59" s="17"/>
      <c r="B59" s="10"/>
      <c r="C59" s="31"/>
      <c r="D59" s="30"/>
      <c r="E59" s="30"/>
      <c r="F59" s="30"/>
      <c r="G59" s="16"/>
      <c r="H59" s="15"/>
    </row>
    <row r="60" spans="1:8" s="22" customFormat="1" x14ac:dyDescent="0.2">
      <c r="A60" s="17" t="s">
        <v>132</v>
      </c>
      <c r="B60" s="10"/>
      <c r="C60" s="31"/>
      <c r="D60" s="27" t="s">
        <v>129</v>
      </c>
      <c r="E60" s="27" t="s">
        <v>129</v>
      </c>
      <c r="F60" s="28"/>
      <c r="G60" s="16"/>
      <c r="H60" s="15"/>
    </row>
    <row r="61" spans="1:8" s="22" customFormat="1" x14ac:dyDescent="0.2">
      <c r="A61" s="17"/>
      <c r="B61" s="10"/>
      <c r="C61" s="31"/>
      <c r="D61" s="27"/>
      <c r="E61" s="27"/>
      <c r="F61" s="27"/>
      <c r="G61" s="16"/>
      <c r="H61" s="15"/>
    </row>
    <row r="62" spans="1:8" s="22" customFormat="1" x14ac:dyDescent="0.2">
      <c r="A62" s="17" t="s">
        <v>133</v>
      </c>
      <c r="B62" s="10"/>
      <c r="C62" s="31"/>
      <c r="D62" s="27"/>
      <c r="E62" s="27"/>
      <c r="F62" s="27"/>
      <c r="G62" s="16"/>
      <c r="H62" s="15"/>
    </row>
    <row r="63" spans="1:8" s="22" customFormat="1" x14ac:dyDescent="0.2">
      <c r="A63" s="17"/>
      <c r="B63" s="10"/>
      <c r="C63" s="31"/>
      <c r="D63" s="21"/>
      <c r="E63" s="21"/>
      <c r="F63" s="32"/>
      <c r="G63" s="16"/>
      <c r="H63" s="15"/>
    </row>
    <row r="64" spans="1:8" s="22" customFormat="1" x14ac:dyDescent="0.2">
      <c r="A64" s="17" t="s">
        <v>134</v>
      </c>
      <c r="B64" s="10"/>
      <c r="C64" s="31"/>
      <c r="D64" s="27" t="s">
        <v>129</v>
      </c>
      <c r="E64" s="27" t="s">
        <v>129</v>
      </c>
      <c r="F64" s="27"/>
      <c r="G64" s="16"/>
      <c r="H64" s="15"/>
    </row>
    <row r="65" spans="1:8" s="22" customFormat="1" x14ac:dyDescent="0.2">
      <c r="A65" s="17"/>
      <c r="B65" s="10"/>
      <c r="C65" s="31"/>
      <c r="D65" s="27"/>
      <c r="E65" s="27"/>
      <c r="F65" s="27"/>
      <c r="G65" s="16"/>
      <c r="H65" s="15"/>
    </row>
    <row r="66" spans="1:8" s="22" customFormat="1" x14ac:dyDescent="0.2">
      <c r="A66" s="17" t="s">
        <v>135</v>
      </c>
      <c r="B66" s="10"/>
      <c r="C66" s="31"/>
      <c r="D66" s="27" t="s">
        <v>129</v>
      </c>
      <c r="E66" s="27" t="s">
        <v>129</v>
      </c>
      <c r="F66" s="27"/>
      <c r="G66" s="16"/>
      <c r="H66" s="15"/>
    </row>
    <row r="67" spans="1:8" s="22" customFormat="1" x14ac:dyDescent="0.2">
      <c r="A67" s="17"/>
      <c r="B67" s="10"/>
      <c r="C67" s="31"/>
      <c r="D67" s="27"/>
      <c r="E67" s="27"/>
      <c r="F67" s="27"/>
      <c r="G67" s="16"/>
      <c r="H67" s="15"/>
    </row>
    <row r="68" spans="1:8" s="22" customFormat="1" x14ac:dyDescent="0.2">
      <c r="A68" s="17" t="s">
        <v>136</v>
      </c>
      <c r="B68" s="10"/>
      <c r="C68" s="31"/>
      <c r="D68" s="27"/>
      <c r="E68" s="27"/>
      <c r="F68" s="28"/>
      <c r="G68" s="16"/>
      <c r="H68" s="15"/>
    </row>
    <row r="69" spans="1:8" s="22" customFormat="1" x14ac:dyDescent="0.2">
      <c r="A69" s="18" t="s">
        <v>137</v>
      </c>
      <c r="B69" s="19"/>
      <c r="C69" s="20">
        <v>0</v>
      </c>
      <c r="D69" s="21">
        <v>876.8491477</v>
      </c>
      <c r="E69" s="21">
        <f>(+D69/$D$77*100)</f>
        <v>3.502434933891843</v>
      </c>
      <c r="F69" s="21" t="s">
        <v>138</v>
      </c>
      <c r="G69" s="16">
        <v>6.4866999999999999</v>
      </c>
      <c r="H69" s="15"/>
    </row>
    <row r="70" spans="1:8" s="22" customFormat="1" x14ac:dyDescent="0.2">
      <c r="A70" s="17" t="s">
        <v>127</v>
      </c>
      <c r="B70" s="10"/>
      <c r="C70" s="31"/>
      <c r="D70" s="27">
        <f>IF(ISERROR(SUM(D69:D69)),0,SUM(D69:D69))</f>
        <v>876.8491477</v>
      </c>
      <c r="E70" s="27">
        <f>IF(ISERROR(SUM(E69:E69)),0,SUM(E69:E69))</f>
        <v>3.502434933891843</v>
      </c>
      <c r="F70" s="21"/>
      <c r="G70" s="16"/>
      <c r="H70" s="15"/>
    </row>
    <row r="71" spans="1:8" s="22" customFormat="1" x14ac:dyDescent="0.2">
      <c r="A71" s="17"/>
      <c r="B71" s="10"/>
      <c r="C71" s="31"/>
      <c r="D71" s="27"/>
      <c r="E71" s="27"/>
      <c r="F71" s="27"/>
      <c r="G71" s="16"/>
      <c r="H71" s="15"/>
    </row>
    <row r="72" spans="1:8" s="22" customFormat="1" x14ac:dyDescent="0.2">
      <c r="A72" s="17"/>
      <c r="B72" s="10"/>
      <c r="C72" s="31"/>
      <c r="D72" s="27"/>
      <c r="E72" s="27"/>
      <c r="F72" s="28"/>
      <c r="G72" s="16"/>
      <c r="H72" s="15"/>
    </row>
    <row r="73" spans="1:8" s="22" customFormat="1" x14ac:dyDescent="0.2">
      <c r="A73" s="17" t="s">
        <v>130</v>
      </c>
      <c r="B73" s="10"/>
      <c r="C73" s="31" t="s">
        <v>139</v>
      </c>
      <c r="D73" s="27">
        <f>+IF(ISERROR(#REF!),0,#REF!)+IF(ISERROR(D70),0,D70)+IF(ISERROR(D55),0,D55)+IF(ISERROR(#REF!),0,#REF!)+IF(ISERROR(#REF!),0,#REF!)+IF(ISERROR(#REF!),0,#REF!)+IF(ISERROR(#REF!),0,#REF!)+IF(ISERROR(#REF!),0,#REF!)+IF(ISERROR(#REF!),0,#REF!)</f>
        <v>24814.783860100004</v>
      </c>
      <c r="E73" s="27">
        <f>+IF(ISERROR(#REF!),0,#REF!)+IF(ISERROR(E70),0,E70)+IF(ISERROR(E55),0,E55)+IF(ISERROR(#REF!),0,#REF!)+IF(ISERROR(#REF!),0,#REF!)+IF(ISERROR(#REF!),0,#REF!)+IF(ISERROR(#REF!),0,#REF!)+IF(ISERROR(#REF!),0,#REF!)+IF(ISERROR(#REF!),0,#REF!)</f>
        <v>99.118720815961055</v>
      </c>
      <c r="F73" s="27">
        <f>+IF(ISERROR(#REF!),0,#REF!)+IF(ISERROR(F70),0,F70)+IF(ISERROR(F55),0,F55)+IF(ISERROR(#REF!),0,#REF!)+IF(ISERROR(#REF!),0,#REF!)+IF(ISERROR(#REF!),0,#REF!)+IF(ISERROR(#REF!),0,#REF!)</f>
        <v>0</v>
      </c>
      <c r="G73" s="16"/>
      <c r="H73" s="15"/>
    </row>
    <row r="74" spans="1:8" s="22" customFormat="1" x14ac:dyDescent="0.2">
      <c r="A74" s="17"/>
      <c r="B74" s="10"/>
      <c r="C74" s="31"/>
      <c r="D74" s="27"/>
      <c r="E74" s="27"/>
      <c r="F74" s="28"/>
      <c r="G74" s="23"/>
      <c r="H74" s="15"/>
    </row>
    <row r="75" spans="1:8" s="22" customFormat="1" x14ac:dyDescent="0.2">
      <c r="A75" s="17" t="s">
        <v>140</v>
      </c>
      <c r="B75" s="10"/>
      <c r="C75" s="31"/>
      <c r="D75" s="27">
        <f>+D77-D73</f>
        <v>220.63190780009609</v>
      </c>
      <c r="E75" s="27">
        <f>D75/$D$77*100</f>
        <v>0.88127918403889982</v>
      </c>
      <c r="F75" s="28"/>
      <c r="G75" s="23"/>
      <c r="H75" s="15"/>
    </row>
    <row r="76" spans="1:8" s="22" customFormat="1" x14ac:dyDescent="0.2">
      <c r="A76" s="17"/>
      <c r="B76" s="10"/>
      <c r="C76" s="31"/>
      <c r="D76" s="30"/>
      <c r="E76" s="30"/>
      <c r="F76" s="28"/>
      <c r="G76" s="23"/>
      <c r="H76" s="15"/>
    </row>
    <row r="77" spans="1:8" s="22" customFormat="1" x14ac:dyDescent="0.2">
      <c r="A77" s="17" t="s">
        <v>141</v>
      </c>
      <c r="B77" s="10"/>
      <c r="C77" s="31"/>
      <c r="D77" s="27">
        <v>25035.4157679001</v>
      </c>
      <c r="E77" s="27">
        <f>+E73+E75</f>
        <v>99.999999999999957</v>
      </c>
      <c r="F77" s="28"/>
      <c r="G77" s="23"/>
      <c r="H77" s="15"/>
    </row>
    <row r="78" spans="1:8" s="22" customFormat="1" x14ac:dyDescent="0.2">
      <c r="A78" s="34"/>
      <c r="B78" s="35"/>
      <c r="C78" s="36"/>
      <c r="D78" s="37"/>
      <c r="E78" s="37"/>
      <c r="F78" s="33"/>
      <c r="H78" s="1"/>
    </row>
    <row r="79" spans="1:8" s="22" customFormat="1" x14ac:dyDescent="0.2">
      <c r="A79" s="38"/>
      <c r="B79" s="35"/>
      <c r="C79" s="36"/>
      <c r="D79" s="37"/>
      <c r="E79" s="37"/>
      <c r="F79" s="39"/>
      <c r="H79" s="1"/>
    </row>
    <row r="80" spans="1:8" ht="15" x14ac:dyDescent="0.25">
      <c r="A80" s="57" t="s">
        <v>142</v>
      </c>
      <c r="B80" s="57"/>
      <c r="C80" s="57"/>
      <c r="D80" s="57"/>
      <c r="E80" s="57"/>
      <c r="F80" s="57"/>
      <c r="G80" s="40"/>
      <c r="H80" s="40"/>
    </row>
    <row r="81" spans="1:8" ht="15" x14ac:dyDescent="0.25">
      <c r="A81" s="54"/>
      <c r="B81" s="54"/>
      <c r="C81" s="54"/>
      <c r="D81" s="54"/>
      <c r="E81" s="54"/>
      <c r="F81" s="54"/>
      <c r="G81" s="40"/>
      <c r="H81" s="40"/>
    </row>
    <row r="82" spans="1:8" ht="33" customHeight="1" x14ac:dyDescent="0.2">
      <c r="A82" s="58" t="s">
        <v>143</v>
      </c>
      <c r="B82" s="58"/>
      <c r="C82" s="58"/>
      <c r="D82" s="58"/>
      <c r="E82" s="58"/>
      <c r="F82" s="58"/>
      <c r="G82" s="40"/>
      <c r="H82" s="40"/>
    </row>
    <row r="83" spans="1:8" ht="15" x14ac:dyDescent="0.2">
      <c r="A83" s="41"/>
      <c r="B83" s="42"/>
      <c r="C83" s="42"/>
      <c r="D83" s="42"/>
      <c r="E83" s="42"/>
      <c r="F83" s="42"/>
      <c r="G83" s="40"/>
      <c r="H83" s="40"/>
    </row>
    <row r="84" spans="1:8" ht="15" x14ac:dyDescent="0.2">
      <c r="A84" s="59" t="s">
        <v>144</v>
      </c>
      <c r="B84" s="59"/>
      <c r="C84" s="59"/>
      <c r="D84" s="59"/>
      <c r="E84" s="59"/>
      <c r="F84" s="59"/>
      <c r="G84" s="40"/>
      <c r="H84" s="40"/>
    </row>
    <row r="85" spans="1:8" ht="15" x14ac:dyDescent="0.2">
      <c r="A85" s="55"/>
      <c r="B85" s="55"/>
      <c r="C85" s="55"/>
      <c r="D85" s="55"/>
      <c r="E85" s="55"/>
      <c r="F85" s="55"/>
      <c r="G85" s="40"/>
      <c r="H85" s="40"/>
    </row>
    <row r="86" spans="1:8" ht="79.5" customHeight="1" x14ac:dyDescent="0.2">
      <c r="A86" s="60" t="s">
        <v>145</v>
      </c>
      <c r="B86" s="60"/>
      <c r="C86" s="60"/>
      <c r="D86" s="60"/>
      <c r="E86" s="60"/>
      <c r="F86" s="60"/>
      <c r="G86" s="40"/>
      <c r="H86" s="40"/>
    </row>
    <row r="87" spans="1:8" x14ac:dyDescent="0.2">
      <c r="A87" s="38"/>
      <c r="B87" s="43"/>
      <c r="C87" s="44"/>
      <c r="D87" s="45"/>
      <c r="E87" s="33"/>
      <c r="G87" s="22"/>
    </row>
    <row r="88" spans="1:8" ht="15" x14ac:dyDescent="0.25">
      <c r="A88" s="46" t="s">
        <v>146</v>
      </c>
      <c r="B88" s="47"/>
      <c r="C88" s="47"/>
    </row>
    <row r="89" spans="1:8" ht="15" x14ac:dyDescent="0.25">
      <c r="A89" s="48" t="s">
        <v>147</v>
      </c>
      <c r="B89" s="47"/>
      <c r="C89" s="47"/>
      <c r="D89" s="47"/>
    </row>
    <row r="90" spans="1:8" ht="15" x14ac:dyDescent="0.25">
      <c r="A90" s="48" t="s">
        <v>148</v>
      </c>
      <c r="B90" s="47"/>
      <c r="C90" s="47"/>
      <c r="D90" s="47"/>
    </row>
    <row r="91" spans="1:8" ht="15" x14ac:dyDescent="0.25">
      <c r="A91" s="48" t="s">
        <v>149</v>
      </c>
      <c r="B91" s="47"/>
      <c r="C91" s="47"/>
      <c r="D91" s="47"/>
    </row>
    <row r="92" spans="1:8" ht="15" x14ac:dyDescent="0.25">
      <c r="A92" s="48"/>
      <c r="B92" s="47"/>
      <c r="C92" s="47"/>
      <c r="D92" s="47"/>
    </row>
    <row r="93" spans="1:8" ht="14.25" x14ac:dyDescent="0.2">
      <c r="A93" s="49" t="s">
        <v>150</v>
      </c>
      <c r="B93" s="47"/>
      <c r="C93" s="47"/>
      <c r="D93" s="50" t="s">
        <v>151</v>
      </c>
    </row>
    <row r="94" spans="1:8" x14ac:dyDescent="0.2">
      <c r="A94" s="47"/>
      <c r="B94" s="47"/>
      <c r="C94" s="47"/>
      <c r="D94" s="47"/>
    </row>
    <row r="95" spans="1:8" x14ac:dyDescent="0.2">
      <c r="A95" s="47"/>
      <c r="B95" s="47"/>
      <c r="C95" s="47"/>
      <c r="D95" s="47"/>
    </row>
    <row r="96" spans="1:8" x14ac:dyDescent="0.2">
      <c r="A96" s="47"/>
      <c r="B96" s="47"/>
      <c r="C96" s="47"/>
      <c r="D96" s="47"/>
    </row>
    <row r="97" spans="1:4" x14ac:dyDescent="0.2">
      <c r="A97" s="47"/>
      <c r="B97" s="47"/>
      <c r="C97" s="47"/>
      <c r="D97" s="47"/>
    </row>
    <row r="98" spans="1:4" x14ac:dyDescent="0.2">
      <c r="A98" s="47"/>
      <c r="B98" s="47"/>
      <c r="C98" s="47"/>
      <c r="D98" s="47"/>
    </row>
    <row r="99" spans="1:4" x14ac:dyDescent="0.2">
      <c r="A99" s="47"/>
      <c r="B99" s="47"/>
      <c r="C99" s="47"/>
      <c r="D99" s="47"/>
    </row>
    <row r="100" spans="1:4" x14ac:dyDescent="0.2">
      <c r="A100" s="47"/>
      <c r="B100" s="47"/>
      <c r="C100" s="47"/>
      <c r="D100" s="47"/>
    </row>
    <row r="101" spans="1:4" x14ac:dyDescent="0.2">
      <c r="A101" s="47"/>
      <c r="B101" s="47"/>
      <c r="C101" s="47"/>
      <c r="D101" s="47"/>
    </row>
    <row r="102" spans="1:4" x14ac:dyDescent="0.2">
      <c r="A102" s="47"/>
      <c r="B102" s="47"/>
      <c r="C102" s="47"/>
      <c r="D102" s="47"/>
    </row>
    <row r="103" spans="1:4" x14ac:dyDescent="0.2">
      <c r="A103" s="47"/>
      <c r="B103" s="47"/>
      <c r="C103" s="47"/>
      <c r="D103" s="47"/>
    </row>
    <row r="104" spans="1:4" x14ac:dyDescent="0.2">
      <c r="A104" s="47"/>
      <c r="B104" s="47"/>
      <c r="C104" s="47"/>
      <c r="D104" s="47"/>
    </row>
    <row r="105" spans="1:4" x14ac:dyDescent="0.2">
      <c r="A105" s="47"/>
      <c r="B105" s="47"/>
      <c r="C105" s="47"/>
      <c r="D105" s="47"/>
    </row>
    <row r="106" spans="1:4" x14ac:dyDescent="0.2">
      <c r="A106" s="47"/>
      <c r="B106" s="47"/>
      <c r="C106" s="47"/>
      <c r="D106" s="47"/>
    </row>
  </sheetData>
  <mergeCells count="5">
    <mergeCell ref="A1:H1"/>
    <mergeCell ref="A80:F80"/>
    <mergeCell ref="A82:F82"/>
    <mergeCell ref="A84:F84"/>
    <mergeCell ref="A86:F86"/>
  </mergeCells>
  <pageMargins left="0.75" right="0.25" top="1" bottom="1" header="0.5" footer="0.5"/>
  <pageSetup paperSize="9" scale="6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2023-01-05T07:00:57Z</dcterms:created>
  <dcterms:modified xsi:type="dcterms:W3CDTF">2023-01-05T11:02:38Z</dcterms:modified>
</cp:coreProperties>
</file>