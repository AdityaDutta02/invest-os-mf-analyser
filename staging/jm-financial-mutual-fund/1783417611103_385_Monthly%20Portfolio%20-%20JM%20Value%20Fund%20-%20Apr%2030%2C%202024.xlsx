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Value Fund" sheetId="1" r:id="rId1"/>
  </sheets>
  <definedNames>
    <definedName name="_xlnm._FilterDatabase" localSheetId="0" hidden="1">'JM Value Fund'!$A$1:$I$92</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5" i="1" l="1"/>
  <c r="E84" i="1"/>
  <c r="E85" i="1" s="1"/>
  <c r="D66" i="1"/>
  <c r="D70" i="1" s="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6" i="1" l="1"/>
  <c r="E70" i="1" s="1"/>
  <c r="E87" i="1" s="1"/>
  <c r="D87" i="1"/>
  <c r="D89" i="1" s="1"/>
  <c r="E89" i="1" s="1"/>
  <c r="E91" i="1" l="1"/>
</calcChain>
</file>

<file path=xl/sharedStrings.xml><?xml version="1.0" encoding="utf-8"?>
<sst xmlns="http://schemas.openxmlformats.org/spreadsheetml/2006/main" count="227" uniqueCount="184">
  <si>
    <t>JM Financial Mutual Fund</t>
  </si>
  <si>
    <t>JM Value Fund (An open ended equity scheme following a value investment strategy)</t>
  </si>
  <si>
    <t>Monthly Portfolio Statement for the period ended 30.04.2024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</si>
  <si>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</si>
  <si>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</si>
  <si>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</si>
  <si>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</si>
  <si>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</si>
  <si>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</si>
  <si>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</si>
  <si>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</si>
  <si>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</si>
  <si>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</si>
  <si>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</si>
  <si>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</si>
  <si>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</si>
  <si>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HDFC Bank Ltd.</t>
  </si>
  <si>
    <t>INE040A01034</t>
  </si>
  <si>
    <t>Larsen &amp; Toubro Ltd.</t>
  </si>
  <si>
    <t>Construction</t>
  </si>
  <si>
    <t>INE018A01030</t>
  </si>
  <si>
    <t>Mahindra &amp; Mahindra Ltd.</t>
  </si>
  <si>
    <t>Automobiles</t>
  </si>
  <si>
    <t>INE101A01026</t>
  </si>
  <si>
    <t>Voltas Ltd.</t>
  </si>
  <si>
    <t>Consumer Durables</t>
  </si>
  <si>
    <t>INE226A01021</t>
  </si>
  <si>
    <t>Kalpataru Projects International Ltd.</t>
  </si>
  <si>
    <t>INE220B01022</t>
  </si>
  <si>
    <t>REC Ltd.</t>
  </si>
  <si>
    <t>Finance</t>
  </si>
  <si>
    <t>INE020B01018</t>
  </si>
  <si>
    <t>ITC Ltd.</t>
  </si>
  <si>
    <t>Diversified FMCG</t>
  </si>
  <si>
    <t>INE154A01025</t>
  </si>
  <si>
    <t>Infosys Ltd.</t>
  </si>
  <si>
    <t>IT - Software</t>
  </si>
  <si>
    <t>INE009A01021</t>
  </si>
  <si>
    <t>State Bank of India</t>
  </si>
  <si>
    <t>INE062A01020</t>
  </si>
  <si>
    <t>Sterling and Wilson Renewable Energy Ltd.</t>
  </si>
  <si>
    <t>INE00M201021</t>
  </si>
  <si>
    <t>Biocon Ltd.</t>
  </si>
  <si>
    <t>Pharmaceuticals &amp; Biotechnology</t>
  </si>
  <si>
    <t>INE376G01013</t>
  </si>
  <si>
    <t>Bank of Baroda</t>
  </si>
  <si>
    <t>INE028A01039</t>
  </si>
  <si>
    <t>Sobha Ltd.</t>
  </si>
  <si>
    <t>Realty</t>
  </si>
  <si>
    <t>INE671H01015</t>
  </si>
  <si>
    <t>Kalyani Steels Ltd.</t>
  </si>
  <si>
    <t>Industrial Products</t>
  </si>
  <si>
    <t>INE907A01026</t>
  </si>
  <si>
    <t>Spandana Sphoorty Financial Ltd.</t>
  </si>
  <si>
    <t>INE572J01011</t>
  </si>
  <si>
    <t>Hindalco Industries Ltd.</t>
  </si>
  <si>
    <t>Non - Ferrous Metals</t>
  </si>
  <si>
    <t>INE038A01020</t>
  </si>
  <si>
    <t>Aurobindo Pharma Ltd.</t>
  </si>
  <si>
    <t>INE406A01037</t>
  </si>
  <si>
    <t>Bharat Forge Ltd.</t>
  </si>
  <si>
    <t>Auto Components</t>
  </si>
  <si>
    <t>INE465A01025</t>
  </si>
  <si>
    <t>Tata Motors Ltd.-DVR</t>
  </si>
  <si>
    <t>IN9155A01020</t>
  </si>
  <si>
    <t>Arvind Ltd.</t>
  </si>
  <si>
    <t>Textiles &amp; Apparels</t>
  </si>
  <si>
    <t>INE034A01011</t>
  </si>
  <si>
    <t>Dhanuka Agritech Ltd.</t>
  </si>
  <si>
    <t>Fertilizers &amp; Agrochemicals</t>
  </si>
  <si>
    <t>INE435G01025</t>
  </si>
  <si>
    <t>Amber Enterprises India Ltd.</t>
  </si>
  <si>
    <t>INE371P01015</t>
  </si>
  <si>
    <t>Housing &amp; Urban Development Corporation Ltd.</t>
  </si>
  <si>
    <t>INE031A01017</t>
  </si>
  <si>
    <t>Tech Mahindra Ltd.</t>
  </si>
  <si>
    <t>INE669C01036</t>
  </si>
  <si>
    <t>Signatureglobal (India) Ltd.</t>
  </si>
  <si>
    <t>INE903U01023</t>
  </si>
  <si>
    <t>Thomas Cook  (India)  Ltd.</t>
  </si>
  <si>
    <t>Leisure Services</t>
  </si>
  <si>
    <t>INE332A01027</t>
  </si>
  <si>
    <t>Jyothy Labs Ltd.</t>
  </si>
  <si>
    <t>Household Products</t>
  </si>
  <si>
    <t>INE668F01031</t>
  </si>
  <si>
    <t>Samhi Hotels Ltd.</t>
  </si>
  <si>
    <t>INE08U801020</t>
  </si>
  <si>
    <t>Suzlon Energy Ltd.</t>
  </si>
  <si>
    <t>Electrical Equipment</t>
  </si>
  <si>
    <t>INE040H01021</t>
  </si>
  <si>
    <t>Chemicals &amp; Petrochemicals</t>
  </si>
  <si>
    <t>INE501A01019</t>
  </si>
  <si>
    <t>Crompton Greaves Consumer Electricals Ltd.</t>
  </si>
  <si>
    <t>INE299U01018</t>
  </si>
  <si>
    <t>VIP Industries Ltd.</t>
  </si>
  <si>
    <t>INE054A01027</t>
  </si>
  <si>
    <t>Timken India Ltd.</t>
  </si>
  <si>
    <t>INE325A01013</t>
  </si>
  <si>
    <t>Oil India Ltd.</t>
  </si>
  <si>
    <t>Oil</t>
  </si>
  <si>
    <t>INE274J01014</t>
  </si>
  <si>
    <t>Hero MotoCorp Ltd.</t>
  </si>
  <si>
    <t>INE158A01026</t>
  </si>
  <si>
    <t>NTPC Ltd.</t>
  </si>
  <si>
    <t>Power</t>
  </si>
  <si>
    <t>INE733E01010</t>
  </si>
  <si>
    <t>Exicom Tele-Systems Ltd.</t>
  </si>
  <si>
    <t>INE777F01014</t>
  </si>
  <si>
    <t>Kirloskar Oil Engines Ltd.</t>
  </si>
  <si>
    <t>INE146L01010</t>
  </si>
  <si>
    <t>HEG Ltd.</t>
  </si>
  <si>
    <t>INE545A01016</t>
  </si>
  <si>
    <t>UTI Asset Management Company Ltd.</t>
  </si>
  <si>
    <t>Capital Markets</t>
  </si>
  <si>
    <t>INE094J01016</t>
  </si>
  <si>
    <t>Gokaldas Exports Ltd.</t>
  </si>
  <si>
    <t>INE887G01027</t>
  </si>
  <si>
    <t>Titagarh Rail Systems Ltd</t>
  </si>
  <si>
    <t>Industrial Manufacturing</t>
  </si>
  <si>
    <t>INE615H01020</t>
  </si>
  <si>
    <t>CESC Ltd.</t>
  </si>
  <si>
    <t>INE486A01021</t>
  </si>
  <si>
    <t>SKF India Ltd.</t>
  </si>
  <si>
    <t>INE640A01023</t>
  </si>
  <si>
    <t>Kirloskar Ferrous Industries Ltd</t>
  </si>
  <si>
    <t>Ferrous Metals</t>
  </si>
  <si>
    <t>INE884B01025</t>
  </si>
  <si>
    <t>Suven Pharmaceuticals Ltd.</t>
  </si>
  <si>
    <t>INE03QK01018</t>
  </si>
  <si>
    <t>Exide Industries Ltd.</t>
  </si>
  <si>
    <t>INE302A01020</t>
  </si>
  <si>
    <t>Gulf Oil Lubricants India Ltd.</t>
  </si>
  <si>
    <t>Petroleum Products</t>
  </si>
  <si>
    <t>INE635Q01029</t>
  </si>
  <si>
    <t>Restaurant Brands Asia Ltd.</t>
  </si>
  <si>
    <t>INE07T201019</t>
  </si>
  <si>
    <t>R K Swamy Ltd.</t>
  </si>
  <si>
    <t>Media</t>
  </si>
  <si>
    <t>INE0NQ801033</t>
  </si>
  <si>
    <t>Orchid Pharma Ltd.</t>
  </si>
  <si>
    <t>INE191A01027</t>
  </si>
  <si>
    <t>Zomato Ltd.</t>
  </si>
  <si>
    <t>Retailing</t>
  </si>
  <si>
    <t>INE758T01015</t>
  </si>
  <si>
    <t>Welspun Living Ltd.</t>
  </si>
  <si>
    <t>INE192B01031</t>
  </si>
  <si>
    <t>Patel Engineering Ltd.</t>
  </si>
  <si>
    <t>INE244B01030</t>
  </si>
  <si>
    <t>Jagran Prakashan Ltd.</t>
  </si>
  <si>
    <t>INE199G01027</t>
  </si>
  <si>
    <t>Firstsource Solutions Ltd.</t>
  </si>
  <si>
    <t>Commercial Services &amp; Supplies</t>
  </si>
  <si>
    <t>INE684F01012</t>
  </si>
  <si>
    <t>Cosmo First Ltd.</t>
  </si>
  <si>
    <t>INE757A01017</t>
  </si>
  <si>
    <t>Vodafone Idea Ltd.</t>
  </si>
  <si>
    <t>Telecom - Services</t>
  </si>
  <si>
    <t>INE669E01016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</si>
  <si>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</si>
  <si>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</si>
  <si>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</si>
  <si>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</si>
  <si>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</si>
  <si>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</si>
  <si>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</si>
  <si>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</si>
  <si>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</si>
  <si>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</si>
  <si>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</si>
  <si>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</si>
  <si>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</si>
  <si>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</si>
  <si>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</si>
  <si>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</si>
  <si>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</si>
  <si>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</si>
  <si>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</si>
  <si>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</si>
  <si>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</si>
  <si>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</si>
  <si>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</si>
  <si>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</si>
  <si>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</si>
  <si>
    <t>Deepak Fertilizers&amp; Petrochemicals Corporation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</si>
</sst>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2" applyFont="1"/>
    <xf numFmtId="0" fontId="4" fillId="0" borderId="2" xfId="2"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165" fontId="3" fillId="0" borderId="0" xfId="2" applyNumberFormat="1" applyFont="1" applyFill="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0" xfId="2" applyFont="1" applyFill="1" applyBorder="1" applyAlignment="1">
      <alignment horizontal="center" vertical="center"/>
    </xf>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400050</xdr:colOff>
      <xdr:row>103</xdr:row>
      <xdr:rowOff>47625</xdr:rowOff>
    </xdr:from>
    <xdr:to>
      <xdr:col>0</xdr:col>
      <xdr:colOff>2419350</xdr:colOff>
      <xdr:row>109</xdr:row>
      <xdr:rowOff>28575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19411950"/>
          <a:ext cx="20193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152400</xdr:colOff>
      <xdr:row>103</xdr:row>
      <xdr:rowOff>57150</xdr:rowOff>
    </xdr:from>
    <xdr:to>
      <xdr:col>1</xdr:col>
      <xdr:colOff>2171700</xdr:colOff>
      <xdr:row>109</xdr:row>
      <xdr:rowOff>9525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19425" y="19421475"/>
          <a:ext cx="20193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238125</xdr:colOff>
      <xdr:row>108</xdr:row>
      <xdr:rowOff>161925</xdr:rowOff>
    </xdr:from>
    <xdr:to>
      <xdr:col>0</xdr:col>
      <xdr:colOff>2505076</xdr:colOff>
      <xdr:row>111</xdr:row>
      <xdr:rowOff>123825</xdr:rowOff>
    </xdr:to>
    <xdr:sp macro="" textlink="">
      <xdr:nvSpPr>
        <xdr:cNvPr id="4" name="TextBox 3"/>
        <xdr:cNvSpPr txBox="1"/>
      </xdr:nvSpPr>
      <xdr:spPr>
        <a:xfrm>
          <a:off x="238125" y="204311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28575</xdr:colOff>
      <xdr:row>108</xdr:row>
      <xdr:rowOff>142875</xdr:rowOff>
    </xdr:from>
    <xdr:to>
      <xdr:col>1</xdr:col>
      <xdr:colOff>2295526</xdr:colOff>
      <xdr:row>111</xdr:row>
      <xdr:rowOff>104775</xdr:rowOff>
    </xdr:to>
    <xdr:sp macro="" textlink="">
      <xdr:nvSpPr>
        <xdr:cNvPr id="5" name="TextBox 4"/>
        <xdr:cNvSpPr txBox="1"/>
      </xdr:nvSpPr>
      <xdr:spPr>
        <a:xfrm>
          <a:off x="2895600" y="204120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1"/>
    <pageSetUpPr fitToPage="1"/>
  </sheetPr>
  <dimension ref="A1:J110"/>
  <sheetViews>
    <sheetView tabSelected="1" zoomScaleNormal="100" workbookViewId="0">
      <selection sqref="A1:H1"/>
    </sheetView>
  </sheetViews>
  <sheetFormatPr defaultRowHeight="12.75" x14ac:dyDescent="0.2"/>
  <cols>
    <col min="1" max="1" width="43" style="50" customWidth="1"/>
    <col min="2" max="2" width="34.7109375" style="51" bestFit="1" customWidth="1"/>
    <col min="3" max="3" width="13.42578125" style="52"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10" x14ac:dyDescent="0.2">
      <c r="A1" s="56" t="s">
        <v>0</v>
      </c>
      <c r="B1" s="56"/>
      <c r="C1" s="56"/>
      <c r="D1" s="56"/>
      <c r="E1" s="56"/>
      <c r="F1" s="56"/>
      <c r="G1" s="56"/>
      <c r="H1" s="56"/>
    </row>
    <row r="2" spans="1:10" x14ac:dyDescent="0.2">
      <c r="A2" s="57" t="s">
        <v>1</v>
      </c>
      <c r="B2" s="57"/>
      <c r="C2" s="57"/>
      <c r="D2" s="57"/>
      <c r="E2" s="57"/>
      <c r="F2" s="57"/>
      <c r="G2" s="57"/>
      <c r="H2" s="57"/>
    </row>
    <row r="3" spans="1:10" x14ac:dyDescent="0.2">
      <c r="A3" s="58" t="s">
        <v>2</v>
      </c>
      <c r="B3" s="58"/>
      <c r="C3" s="58"/>
      <c r="D3" s="58"/>
      <c r="E3" s="58"/>
      <c r="F3" s="58"/>
      <c r="G3" s="58"/>
      <c r="H3" s="58"/>
    </row>
    <row r="4" spans="1:10" s="4" customFormat="1" ht="25.5" x14ac:dyDescent="0.2">
      <c r="A4" s="2" t="s">
        <v>3</v>
      </c>
      <c r="B4" s="2" t="s">
        <v>4</v>
      </c>
      <c r="C4" s="3" t="s">
        <v>5</v>
      </c>
      <c r="D4" s="2" t="s">
        <v>6</v>
      </c>
      <c r="E4" s="2" t="s">
        <v>7</v>
      </c>
      <c r="F4" s="2" t="s">
        <v>8</v>
      </c>
      <c r="G4" s="2" t="s">
        <v>9</v>
      </c>
      <c r="H4" s="2" t="s">
        <v>10</v>
      </c>
    </row>
    <row r="5" spans="1:10" ht="14.25" x14ac:dyDescent="0.3">
      <c r="A5" s="5" t="s">
        <v>11</v>
      </c>
      <c r="B5" s="6"/>
      <c r="C5" s="7"/>
      <c r="D5" s="8"/>
      <c r="E5" s="8"/>
      <c r="F5" s="9"/>
      <c r="G5" s="10"/>
      <c r="H5" s="11"/>
    </row>
    <row r="6" spans="1:10" ht="14.25" x14ac:dyDescent="0.3">
      <c r="A6" s="12" t="s">
        <v>12</v>
      </c>
      <c r="B6" s="6"/>
      <c r="C6" s="7"/>
      <c r="D6" s="8"/>
      <c r="E6" s="8"/>
      <c r="F6" s="9"/>
      <c r="G6" s="10"/>
      <c r="H6" s="11"/>
    </row>
    <row r="7" spans="1:10" s="17" customFormat="1" ht="14.25" x14ac:dyDescent="0.3">
      <c r="A7" s="13" t="s">
        <v>13</v>
      </c>
      <c r="B7" s="14" t="s">
        <v>14</v>
      </c>
      <c r="C7" s="15">
        <v>210000</v>
      </c>
      <c r="D7" s="16">
        <v>2415.84</v>
      </c>
      <c r="E7" s="16">
        <f t="shared" ref="E7:E65" si="0">(+D7/$D$91*100)</f>
        <v>3.6300682118660275</v>
      </c>
      <c r="F7" s="16" t="s">
        <v>15</v>
      </c>
      <c r="G7" s="11"/>
      <c r="H7" s="11"/>
      <c r="J7" s="53"/>
    </row>
    <row r="8" spans="1:10" s="17" customFormat="1" ht="14.25" x14ac:dyDescent="0.3">
      <c r="A8" s="13" t="s">
        <v>16</v>
      </c>
      <c r="B8" s="14" t="s">
        <v>14</v>
      </c>
      <c r="C8" s="15">
        <v>140605</v>
      </c>
      <c r="D8" s="16">
        <v>2137.336605</v>
      </c>
      <c r="E8" s="16">
        <f t="shared" si="0"/>
        <v>3.2115858947066673</v>
      </c>
      <c r="F8" s="16" t="s">
        <v>17</v>
      </c>
      <c r="G8" s="11"/>
      <c r="H8" s="11"/>
      <c r="J8" s="53"/>
    </row>
    <row r="9" spans="1:10" s="17" customFormat="1" ht="14.25" x14ac:dyDescent="0.3">
      <c r="A9" s="13" t="s">
        <v>18</v>
      </c>
      <c r="B9" s="14" t="s">
        <v>19</v>
      </c>
      <c r="C9" s="15">
        <v>57500</v>
      </c>
      <c r="D9" s="16">
        <v>2066.7224999999999</v>
      </c>
      <c r="E9" s="16">
        <f t="shared" si="0"/>
        <v>3.1054803505191924</v>
      </c>
      <c r="F9" s="16" t="s">
        <v>20</v>
      </c>
      <c r="G9" s="11"/>
      <c r="H9" s="11"/>
      <c r="J9" s="53"/>
    </row>
    <row r="10" spans="1:10" s="17" customFormat="1" ht="14.25" x14ac:dyDescent="0.3">
      <c r="A10" s="13" t="s">
        <v>21</v>
      </c>
      <c r="B10" s="14" t="s">
        <v>22</v>
      </c>
      <c r="C10" s="15">
        <v>90000</v>
      </c>
      <c r="D10" s="16">
        <v>1940.7149999999999</v>
      </c>
      <c r="E10" s="16">
        <f t="shared" si="0"/>
        <v>2.9161400712760686</v>
      </c>
      <c r="F10" s="16" t="s">
        <v>23</v>
      </c>
      <c r="G10" s="11"/>
      <c r="H10" s="11"/>
      <c r="J10" s="53"/>
    </row>
    <row r="11" spans="1:10" s="17" customFormat="1" ht="14.25" x14ac:dyDescent="0.3">
      <c r="A11" s="13" t="s">
        <v>24</v>
      </c>
      <c r="B11" s="14" t="s">
        <v>25</v>
      </c>
      <c r="C11" s="15">
        <v>123668</v>
      </c>
      <c r="D11" s="16">
        <v>1823.7938300000001</v>
      </c>
      <c r="E11" s="16">
        <f t="shared" si="0"/>
        <v>2.7404530131467291</v>
      </c>
      <c r="F11" s="16" t="s">
        <v>26</v>
      </c>
      <c r="G11" s="11"/>
      <c r="H11" s="10"/>
      <c r="J11" s="53"/>
    </row>
    <row r="12" spans="1:10" s="17" customFormat="1" ht="14.25" x14ac:dyDescent="0.3">
      <c r="A12" s="13" t="s">
        <v>27</v>
      </c>
      <c r="B12" s="14" t="s">
        <v>19</v>
      </c>
      <c r="C12" s="15">
        <v>146010</v>
      </c>
      <c r="D12" s="16">
        <v>1789.571565</v>
      </c>
      <c r="E12" s="16">
        <f t="shared" si="0"/>
        <v>2.6890302548868461</v>
      </c>
      <c r="F12" s="16" t="s">
        <v>28</v>
      </c>
      <c r="G12" s="11"/>
      <c r="H12" s="11"/>
      <c r="J12" s="53"/>
    </row>
    <row r="13" spans="1:10" s="17" customFormat="1" ht="14.25" x14ac:dyDescent="0.3">
      <c r="A13" s="13" t="s">
        <v>29</v>
      </c>
      <c r="B13" s="14" t="s">
        <v>30</v>
      </c>
      <c r="C13" s="15">
        <v>348800</v>
      </c>
      <c r="D13" s="16">
        <v>1768.9392</v>
      </c>
      <c r="E13" s="16">
        <f t="shared" si="0"/>
        <v>2.6580278324076598</v>
      </c>
      <c r="F13" s="16" t="s">
        <v>31</v>
      </c>
      <c r="G13" s="11"/>
      <c r="H13" s="10"/>
      <c r="J13" s="53"/>
    </row>
    <row r="14" spans="1:10" s="17" customFormat="1" ht="14.25" x14ac:dyDescent="0.3">
      <c r="A14" s="13" t="s">
        <v>32</v>
      </c>
      <c r="B14" s="14" t="s">
        <v>33</v>
      </c>
      <c r="C14" s="15">
        <v>405000</v>
      </c>
      <c r="D14" s="16">
        <v>1764.3824999999999</v>
      </c>
      <c r="E14" s="16">
        <f t="shared" si="0"/>
        <v>2.6511808840083408</v>
      </c>
      <c r="F14" s="16" t="s">
        <v>34</v>
      </c>
      <c r="G14" s="11"/>
      <c r="H14" s="11"/>
      <c r="J14" s="53"/>
    </row>
    <row r="15" spans="1:10" s="17" customFormat="1" ht="14.25" x14ac:dyDescent="0.3">
      <c r="A15" s="13" t="s">
        <v>35</v>
      </c>
      <c r="B15" s="14" t="s">
        <v>36</v>
      </c>
      <c r="C15" s="15">
        <v>122105</v>
      </c>
      <c r="D15" s="16">
        <v>1734.5625775000001</v>
      </c>
      <c r="E15" s="16">
        <f t="shared" si="0"/>
        <v>2.6063731348413608</v>
      </c>
      <c r="F15" s="16" t="s">
        <v>37</v>
      </c>
      <c r="G15" s="11"/>
      <c r="H15" s="11"/>
      <c r="J15" s="53"/>
    </row>
    <row r="16" spans="1:10" s="17" customFormat="1" ht="14.25" x14ac:dyDescent="0.3">
      <c r="A16" s="13" t="s">
        <v>38</v>
      </c>
      <c r="B16" s="14" t="s">
        <v>14</v>
      </c>
      <c r="C16" s="15">
        <v>205000</v>
      </c>
      <c r="D16" s="16">
        <v>1693.8125</v>
      </c>
      <c r="E16" s="16">
        <f t="shared" si="0"/>
        <v>2.5451416124873028</v>
      </c>
      <c r="F16" s="16" t="s">
        <v>39</v>
      </c>
      <c r="G16" s="11"/>
      <c r="H16" s="10"/>
      <c r="J16" s="53"/>
    </row>
    <row r="17" spans="1:10" s="17" customFormat="1" ht="14.25" x14ac:dyDescent="0.3">
      <c r="A17" s="13" t="s">
        <v>40</v>
      </c>
      <c r="B17" s="14" t="s">
        <v>19</v>
      </c>
      <c r="C17" s="15">
        <v>247000</v>
      </c>
      <c r="D17" s="16">
        <v>1620.4435000000001</v>
      </c>
      <c r="E17" s="16">
        <f t="shared" si="0"/>
        <v>2.4348965322516918</v>
      </c>
      <c r="F17" s="16" t="s">
        <v>41</v>
      </c>
      <c r="G17" s="11"/>
      <c r="H17" s="10"/>
      <c r="J17" s="53"/>
    </row>
    <row r="18" spans="1:10" s="17" customFormat="1" ht="14.25" x14ac:dyDescent="0.3">
      <c r="A18" s="13" t="s">
        <v>42</v>
      </c>
      <c r="B18" s="14" t="s">
        <v>43</v>
      </c>
      <c r="C18" s="15">
        <v>480000</v>
      </c>
      <c r="D18" s="16">
        <v>1433.04</v>
      </c>
      <c r="E18" s="16">
        <f t="shared" si="0"/>
        <v>2.1533019365241457</v>
      </c>
      <c r="F18" s="16" t="s">
        <v>44</v>
      </c>
      <c r="G18" s="11"/>
      <c r="H18" s="11"/>
      <c r="J18" s="53"/>
    </row>
    <row r="19" spans="1:10" s="17" customFormat="1" ht="14.25" x14ac:dyDescent="0.3">
      <c r="A19" s="13" t="s">
        <v>45</v>
      </c>
      <c r="B19" s="14" t="s">
        <v>14</v>
      </c>
      <c r="C19" s="15">
        <v>483500</v>
      </c>
      <c r="D19" s="16">
        <v>1361.0525</v>
      </c>
      <c r="E19" s="16">
        <f t="shared" si="0"/>
        <v>2.045132713644441</v>
      </c>
      <c r="F19" s="16" t="s">
        <v>46</v>
      </c>
      <c r="G19" s="11"/>
      <c r="H19" s="11"/>
      <c r="J19" s="53"/>
    </row>
    <row r="20" spans="1:10" s="17" customFormat="1" ht="14.25" x14ac:dyDescent="0.3">
      <c r="A20" s="13" t="s">
        <v>47</v>
      </c>
      <c r="B20" s="14" t="s">
        <v>48</v>
      </c>
      <c r="C20" s="15">
        <v>75931</v>
      </c>
      <c r="D20" s="16">
        <v>1349.1040425000001</v>
      </c>
      <c r="E20" s="16">
        <f t="shared" si="0"/>
        <v>2.0271788277283282</v>
      </c>
      <c r="F20" s="16" t="s">
        <v>49</v>
      </c>
      <c r="G20" s="11"/>
      <c r="H20" s="10"/>
      <c r="J20" s="53"/>
    </row>
    <row r="21" spans="1:10" s="17" customFormat="1" ht="14.25" x14ac:dyDescent="0.3">
      <c r="A21" s="13" t="s">
        <v>50</v>
      </c>
      <c r="B21" s="14" t="s">
        <v>51</v>
      </c>
      <c r="C21" s="15">
        <v>150979</v>
      </c>
      <c r="D21" s="16">
        <v>1333.4465279999999</v>
      </c>
      <c r="E21" s="16">
        <f t="shared" si="0"/>
        <v>2.0036516712679324</v>
      </c>
      <c r="F21" s="16" t="s">
        <v>52</v>
      </c>
      <c r="G21" s="11"/>
      <c r="H21" s="11"/>
      <c r="J21" s="53"/>
    </row>
    <row r="22" spans="1:10" s="17" customFormat="1" ht="14.25" x14ac:dyDescent="0.3">
      <c r="A22" s="13" t="s">
        <v>53</v>
      </c>
      <c r="B22" s="14" t="s">
        <v>30</v>
      </c>
      <c r="C22" s="15">
        <v>151746</v>
      </c>
      <c r="D22" s="16">
        <v>1325.2736909999999</v>
      </c>
      <c r="E22" s="16">
        <f t="shared" si="0"/>
        <v>1.9913710749558993</v>
      </c>
      <c r="F22" s="16" t="s">
        <v>54</v>
      </c>
      <c r="G22" s="11"/>
      <c r="H22" s="10"/>
      <c r="J22" s="53"/>
    </row>
    <row r="23" spans="1:10" s="17" customFormat="1" ht="14.25" x14ac:dyDescent="0.3">
      <c r="A23" s="13" t="s">
        <v>55</v>
      </c>
      <c r="B23" s="14" t="s">
        <v>56</v>
      </c>
      <c r="C23" s="15">
        <v>205000</v>
      </c>
      <c r="D23" s="16">
        <v>1321.02</v>
      </c>
      <c r="E23" s="16">
        <f t="shared" si="0"/>
        <v>1.9849794312699762</v>
      </c>
      <c r="F23" s="16" t="s">
        <v>57</v>
      </c>
      <c r="G23" s="11"/>
      <c r="H23" s="11"/>
      <c r="J23" s="53"/>
    </row>
    <row r="24" spans="1:10" s="17" customFormat="1" ht="14.25" x14ac:dyDescent="0.3">
      <c r="A24" s="13" t="s">
        <v>58</v>
      </c>
      <c r="B24" s="14" t="s">
        <v>43</v>
      </c>
      <c r="C24" s="15">
        <v>114101</v>
      </c>
      <c r="D24" s="16">
        <v>1316.155035</v>
      </c>
      <c r="E24" s="16">
        <f t="shared" si="0"/>
        <v>1.9776692804328593</v>
      </c>
      <c r="F24" s="16" t="s">
        <v>59</v>
      </c>
      <c r="G24" s="11"/>
      <c r="H24" s="11"/>
      <c r="J24" s="53"/>
    </row>
    <row r="25" spans="1:10" s="17" customFormat="1" ht="14.25" x14ac:dyDescent="0.3">
      <c r="A25" s="13" t="s">
        <v>60</v>
      </c>
      <c r="B25" s="14" t="s">
        <v>61</v>
      </c>
      <c r="C25" s="15">
        <v>100000</v>
      </c>
      <c r="D25" s="16">
        <v>1271.2</v>
      </c>
      <c r="E25" s="16">
        <f t="shared" si="0"/>
        <v>1.9101193418951976</v>
      </c>
      <c r="F25" s="16" t="s">
        <v>62</v>
      </c>
      <c r="G25" s="11"/>
      <c r="H25" s="11"/>
      <c r="J25" s="53"/>
    </row>
    <row r="26" spans="1:10" s="17" customFormat="1" ht="14.25" x14ac:dyDescent="0.3">
      <c r="A26" s="13" t="s">
        <v>63</v>
      </c>
      <c r="B26" s="14" t="s">
        <v>22</v>
      </c>
      <c r="C26" s="15">
        <v>180000</v>
      </c>
      <c r="D26" s="16">
        <v>1228.05</v>
      </c>
      <c r="E26" s="16">
        <f t="shared" si="0"/>
        <v>1.8452816691428551</v>
      </c>
      <c r="F26" s="16" t="s">
        <v>64</v>
      </c>
      <c r="G26" s="11"/>
      <c r="H26" s="10"/>
      <c r="J26" s="53"/>
    </row>
    <row r="27" spans="1:10" s="17" customFormat="1" ht="14.25" x14ac:dyDescent="0.3">
      <c r="A27" s="13" t="s">
        <v>65</v>
      </c>
      <c r="B27" s="14" t="s">
        <v>66</v>
      </c>
      <c r="C27" s="15">
        <v>385105</v>
      </c>
      <c r="D27" s="16">
        <v>1213.2733025</v>
      </c>
      <c r="E27" s="16">
        <f t="shared" si="0"/>
        <v>1.8230780381610392</v>
      </c>
      <c r="F27" s="16" t="s">
        <v>67</v>
      </c>
      <c r="G27" s="11"/>
      <c r="H27" s="11"/>
      <c r="J27" s="53"/>
    </row>
    <row r="28" spans="1:10" s="17" customFormat="1" ht="14.25" x14ac:dyDescent="0.3">
      <c r="A28" s="13" t="s">
        <v>68</v>
      </c>
      <c r="B28" s="14" t="s">
        <v>69</v>
      </c>
      <c r="C28" s="15">
        <v>86766</v>
      </c>
      <c r="D28" s="16">
        <v>1212.2077859999999</v>
      </c>
      <c r="E28" s="16">
        <f t="shared" si="0"/>
        <v>1.8214769811473839</v>
      </c>
      <c r="F28" s="16" t="s">
        <v>70</v>
      </c>
      <c r="G28" s="11"/>
      <c r="H28" s="11"/>
      <c r="J28" s="53"/>
    </row>
    <row r="29" spans="1:10" s="17" customFormat="1" ht="14.25" x14ac:dyDescent="0.3">
      <c r="A29" s="13" t="s">
        <v>71</v>
      </c>
      <c r="B29" s="14" t="s">
        <v>25</v>
      </c>
      <c r="C29" s="15">
        <v>31502</v>
      </c>
      <c r="D29" s="16">
        <v>1211.7716829999999</v>
      </c>
      <c r="E29" s="16">
        <f t="shared" si="0"/>
        <v>1.8208216879005632</v>
      </c>
      <c r="F29" s="16" t="s">
        <v>72</v>
      </c>
      <c r="G29" s="11"/>
      <c r="H29" s="11"/>
      <c r="J29" s="53"/>
    </row>
    <row r="30" spans="1:10" s="17" customFormat="1" ht="14.25" x14ac:dyDescent="0.3">
      <c r="A30" s="13" t="s">
        <v>73</v>
      </c>
      <c r="B30" s="14" t="s">
        <v>30</v>
      </c>
      <c r="C30" s="15">
        <v>520000</v>
      </c>
      <c r="D30" s="16">
        <v>1167.4000000000001</v>
      </c>
      <c r="E30" s="16">
        <f t="shared" si="0"/>
        <v>1.7541483006045104</v>
      </c>
      <c r="F30" s="16" t="s">
        <v>74</v>
      </c>
      <c r="G30" s="11"/>
      <c r="H30" s="11"/>
      <c r="J30" s="53"/>
    </row>
    <row r="31" spans="1:10" s="17" customFormat="1" ht="14.25" x14ac:dyDescent="0.3">
      <c r="A31" s="13" t="s">
        <v>75</v>
      </c>
      <c r="B31" s="14" t="s">
        <v>36</v>
      </c>
      <c r="C31" s="15">
        <v>89965</v>
      </c>
      <c r="D31" s="16">
        <v>1136.7077750000001</v>
      </c>
      <c r="E31" s="16">
        <f t="shared" si="0"/>
        <v>1.7080298199419086</v>
      </c>
      <c r="F31" s="16" t="s">
        <v>76</v>
      </c>
      <c r="G31" s="11"/>
      <c r="H31" s="10"/>
      <c r="J31" s="53"/>
    </row>
    <row r="32" spans="1:10" s="17" customFormat="1" ht="14.25" x14ac:dyDescent="0.3">
      <c r="A32" s="13" t="s">
        <v>77</v>
      </c>
      <c r="B32" s="14" t="s">
        <v>48</v>
      </c>
      <c r="C32" s="15">
        <v>90000</v>
      </c>
      <c r="D32" s="16">
        <v>1134</v>
      </c>
      <c r="E32" s="16">
        <f t="shared" si="0"/>
        <v>1.7039610869329405</v>
      </c>
      <c r="F32" s="16" t="s">
        <v>78</v>
      </c>
      <c r="G32" s="11"/>
      <c r="H32" s="10"/>
      <c r="J32" s="53"/>
    </row>
    <row r="33" spans="1:10" s="17" customFormat="1" ht="14.25" x14ac:dyDescent="0.3">
      <c r="A33" s="13" t="s">
        <v>79</v>
      </c>
      <c r="B33" s="14" t="s">
        <v>80</v>
      </c>
      <c r="C33" s="15">
        <v>545427</v>
      </c>
      <c r="D33" s="16">
        <v>1111.3075125</v>
      </c>
      <c r="E33" s="16">
        <f t="shared" si="0"/>
        <v>1.6698631013370744</v>
      </c>
      <c r="F33" s="16" t="s">
        <v>81</v>
      </c>
      <c r="G33" s="11"/>
      <c r="H33" s="10"/>
      <c r="J33" s="53"/>
    </row>
    <row r="34" spans="1:10" s="17" customFormat="1" ht="14.25" x14ac:dyDescent="0.3">
      <c r="A34" s="13" t="s">
        <v>82</v>
      </c>
      <c r="B34" s="14" t="s">
        <v>83</v>
      </c>
      <c r="C34" s="15">
        <v>250000</v>
      </c>
      <c r="D34" s="16">
        <v>1085.875</v>
      </c>
      <c r="E34" s="16">
        <f t="shared" si="0"/>
        <v>1.6316479235214347</v>
      </c>
      <c r="F34" s="16" t="s">
        <v>84</v>
      </c>
      <c r="G34" s="11"/>
      <c r="H34" s="11"/>
      <c r="J34" s="53"/>
    </row>
    <row r="35" spans="1:10" s="17" customFormat="1" ht="14.25" x14ac:dyDescent="0.3">
      <c r="A35" s="13" t="s">
        <v>85</v>
      </c>
      <c r="B35" s="14" t="s">
        <v>80</v>
      </c>
      <c r="C35" s="15">
        <v>553677</v>
      </c>
      <c r="D35" s="16">
        <v>1079.9469884999999</v>
      </c>
      <c r="E35" s="16">
        <f t="shared" si="0"/>
        <v>1.6227404271202961</v>
      </c>
      <c r="F35" s="16" t="s">
        <v>86</v>
      </c>
      <c r="G35" s="11"/>
      <c r="H35" s="10"/>
      <c r="J35" s="53"/>
    </row>
    <row r="36" spans="1:10" s="17" customFormat="1" ht="14.25" x14ac:dyDescent="0.3">
      <c r="A36" s="13" t="s">
        <v>87</v>
      </c>
      <c r="B36" s="14" t="s">
        <v>88</v>
      </c>
      <c r="C36" s="15">
        <v>2500000</v>
      </c>
      <c r="D36" s="16">
        <v>1040</v>
      </c>
      <c r="E36" s="16">
        <f t="shared" si="0"/>
        <v>1.5627156352824145</v>
      </c>
      <c r="F36" s="16" t="s">
        <v>89</v>
      </c>
      <c r="G36" s="11"/>
      <c r="H36" s="10"/>
      <c r="J36" s="53"/>
    </row>
    <row r="37" spans="1:10" s="17" customFormat="1" ht="14.25" x14ac:dyDescent="0.3">
      <c r="A37" s="13" t="s">
        <v>183</v>
      </c>
      <c r="B37" s="14" t="s">
        <v>90</v>
      </c>
      <c r="C37" s="15">
        <v>164086</v>
      </c>
      <c r="D37" s="16">
        <v>992.88438599999995</v>
      </c>
      <c r="E37" s="16">
        <f t="shared" si="0"/>
        <v>1.4919191865672885</v>
      </c>
      <c r="F37" s="16" t="s">
        <v>91</v>
      </c>
      <c r="G37" s="11"/>
      <c r="H37" s="11"/>
      <c r="J37" s="53"/>
    </row>
    <row r="38" spans="1:10" s="17" customFormat="1" ht="14.25" x14ac:dyDescent="0.3">
      <c r="A38" s="13" t="s">
        <v>92</v>
      </c>
      <c r="B38" s="14" t="s">
        <v>25</v>
      </c>
      <c r="C38" s="15">
        <v>300000</v>
      </c>
      <c r="D38" s="16">
        <v>955.2</v>
      </c>
      <c r="E38" s="16">
        <f t="shared" si="0"/>
        <v>1.435294206559387</v>
      </c>
      <c r="F38" s="16" t="s">
        <v>93</v>
      </c>
      <c r="G38" s="11"/>
      <c r="H38" s="11"/>
      <c r="J38" s="53"/>
    </row>
    <row r="39" spans="1:10" s="17" customFormat="1" ht="14.25" x14ac:dyDescent="0.3">
      <c r="A39" s="13" t="s">
        <v>94</v>
      </c>
      <c r="B39" s="14" t="s">
        <v>25</v>
      </c>
      <c r="C39" s="15">
        <v>172000</v>
      </c>
      <c r="D39" s="16">
        <v>945.31200000000001</v>
      </c>
      <c r="E39" s="16">
        <f t="shared" si="0"/>
        <v>1.4204363871347019</v>
      </c>
      <c r="F39" s="16" t="s">
        <v>95</v>
      </c>
      <c r="G39" s="11"/>
      <c r="H39" s="10"/>
      <c r="J39" s="53"/>
    </row>
    <row r="40" spans="1:10" s="17" customFormat="1" ht="14.25" x14ac:dyDescent="0.3">
      <c r="A40" s="13" t="s">
        <v>96</v>
      </c>
      <c r="B40" s="14" t="s">
        <v>51</v>
      </c>
      <c r="C40" s="15">
        <v>28011</v>
      </c>
      <c r="D40" s="16">
        <v>935.69344950000004</v>
      </c>
      <c r="E40" s="16">
        <f t="shared" si="0"/>
        <v>1.4059834455432563</v>
      </c>
      <c r="F40" s="16" t="s">
        <v>97</v>
      </c>
      <c r="G40" s="11"/>
      <c r="H40" s="10"/>
      <c r="J40" s="53"/>
    </row>
    <row r="41" spans="1:10" s="17" customFormat="1" ht="14.25" x14ac:dyDescent="0.3">
      <c r="A41" s="13" t="s">
        <v>98</v>
      </c>
      <c r="B41" s="14" t="s">
        <v>99</v>
      </c>
      <c r="C41" s="15">
        <v>150000</v>
      </c>
      <c r="D41" s="16">
        <v>930.22500000000002</v>
      </c>
      <c r="E41" s="16">
        <f t="shared" si="0"/>
        <v>1.3977664921447923</v>
      </c>
      <c r="F41" s="16" t="s">
        <v>100</v>
      </c>
      <c r="G41" s="11"/>
      <c r="H41" s="10"/>
      <c r="J41" s="53"/>
    </row>
    <row r="42" spans="1:10" s="17" customFormat="1" ht="14.25" x14ac:dyDescent="0.3">
      <c r="A42" s="13" t="s">
        <v>101</v>
      </c>
      <c r="B42" s="14" t="s">
        <v>22</v>
      </c>
      <c r="C42" s="15">
        <v>20000</v>
      </c>
      <c r="D42" s="16">
        <v>908.61</v>
      </c>
      <c r="E42" s="16">
        <f t="shared" si="0"/>
        <v>1.3652875513211105</v>
      </c>
      <c r="F42" s="16" t="s">
        <v>102</v>
      </c>
      <c r="G42" s="11"/>
      <c r="H42" s="11"/>
      <c r="J42" s="53"/>
    </row>
    <row r="43" spans="1:10" s="17" customFormat="1" ht="14.25" x14ac:dyDescent="0.3">
      <c r="A43" s="13" t="s">
        <v>103</v>
      </c>
      <c r="B43" s="14" t="s">
        <v>104</v>
      </c>
      <c r="C43" s="15">
        <v>250000</v>
      </c>
      <c r="D43" s="16">
        <v>908</v>
      </c>
      <c r="E43" s="16">
        <f t="shared" si="0"/>
        <v>1.3643709584965695</v>
      </c>
      <c r="F43" s="16" t="s">
        <v>105</v>
      </c>
      <c r="G43" s="11"/>
      <c r="H43" s="10"/>
      <c r="J43" s="53"/>
    </row>
    <row r="44" spans="1:10" s="17" customFormat="1" ht="14.25" x14ac:dyDescent="0.3">
      <c r="A44" s="13" t="s">
        <v>106</v>
      </c>
      <c r="B44" s="14" t="s">
        <v>88</v>
      </c>
      <c r="C44" s="15">
        <v>296700</v>
      </c>
      <c r="D44" s="16">
        <v>888.46815000000004</v>
      </c>
      <c r="E44" s="16">
        <f t="shared" si="0"/>
        <v>1.3350221821686941</v>
      </c>
      <c r="F44" s="16" t="s">
        <v>107</v>
      </c>
      <c r="G44" s="11"/>
      <c r="H44" s="11"/>
      <c r="J44" s="53"/>
    </row>
    <row r="45" spans="1:10" s="17" customFormat="1" ht="14.25" x14ac:dyDescent="0.3">
      <c r="A45" s="13" t="s">
        <v>108</v>
      </c>
      <c r="B45" s="14" t="s">
        <v>51</v>
      </c>
      <c r="C45" s="15">
        <v>86044</v>
      </c>
      <c r="D45" s="16">
        <v>879.67083400000001</v>
      </c>
      <c r="E45" s="16">
        <f t="shared" si="0"/>
        <v>1.3218032367247323</v>
      </c>
      <c r="F45" s="16" t="s">
        <v>109</v>
      </c>
      <c r="G45" s="11"/>
      <c r="H45" s="11"/>
      <c r="J45" s="53"/>
    </row>
    <row r="46" spans="1:10" s="17" customFormat="1" ht="14.25" x14ac:dyDescent="0.3">
      <c r="A46" s="13" t="s">
        <v>110</v>
      </c>
      <c r="B46" s="14" t="s">
        <v>51</v>
      </c>
      <c r="C46" s="15">
        <v>37182</v>
      </c>
      <c r="D46" s="16">
        <v>878.20165799999995</v>
      </c>
      <c r="E46" s="16">
        <f t="shared" si="0"/>
        <v>1.3195956364303267</v>
      </c>
      <c r="F46" s="16" t="s">
        <v>111</v>
      </c>
      <c r="G46" s="11"/>
      <c r="H46" s="11"/>
      <c r="J46" s="53"/>
    </row>
    <row r="47" spans="1:10" s="17" customFormat="1" ht="14.25" x14ac:dyDescent="0.3">
      <c r="A47" s="13" t="s">
        <v>112</v>
      </c>
      <c r="B47" s="14" t="s">
        <v>113</v>
      </c>
      <c r="C47" s="15">
        <v>91004</v>
      </c>
      <c r="D47" s="16">
        <v>864.94751799999995</v>
      </c>
      <c r="E47" s="16">
        <f t="shared" si="0"/>
        <v>1.2996798173820361</v>
      </c>
      <c r="F47" s="16" t="s">
        <v>114</v>
      </c>
      <c r="G47" s="11"/>
      <c r="H47" s="10"/>
      <c r="J47" s="53"/>
    </row>
    <row r="48" spans="1:10" s="17" customFormat="1" ht="14.25" x14ac:dyDescent="0.3">
      <c r="A48" s="13" t="s">
        <v>115</v>
      </c>
      <c r="B48" s="14" t="s">
        <v>66</v>
      </c>
      <c r="C48" s="15">
        <v>92864</v>
      </c>
      <c r="D48" s="16">
        <v>816.59958400000005</v>
      </c>
      <c r="E48" s="16">
        <f t="shared" si="0"/>
        <v>1.2270316708479956</v>
      </c>
      <c r="F48" s="16" t="s">
        <v>116</v>
      </c>
      <c r="G48" s="11"/>
      <c r="H48" s="11"/>
      <c r="J48" s="53"/>
    </row>
    <row r="49" spans="1:10" s="17" customFormat="1" ht="14.25" x14ac:dyDescent="0.3">
      <c r="A49" s="13" t="s">
        <v>117</v>
      </c>
      <c r="B49" s="14" t="s">
        <v>118</v>
      </c>
      <c r="C49" s="15">
        <v>77117</v>
      </c>
      <c r="D49" s="16">
        <v>815.78218450000008</v>
      </c>
      <c r="E49" s="16">
        <f t="shared" si="0"/>
        <v>1.2258034372144169</v>
      </c>
      <c r="F49" s="16" t="s">
        <v>119</v>
      </c>
      <c r="G49" s="11"/>
      <c r="H49" s="10"/>
      <c r="J49" s="53"/>
    </row>
    <row r="50" spans="1:10" s="17" customFormat="1" ht="14.25" x14ac:dyDescent="0.3">
      <c r="A50" s="13" t="s">
        <v>120</v>
      </c>
      <c r="B50" s="14" t="s">
        <v>104</v>
      </c>
      <c r="C50" s="15">
        <v>540000</v>
      </c>
      <c r="D50" s="16">
        <v>795.69</v>
      </c>
      <c r="E50" s="16">
        <f t="shared" si="0"/>
        <v>1.1956126959979467</v>
      </c>
      <c r="F50" s="16" t="s">
        <v>121</v>
      </c>
      <c r="G50" s="11"/>
      <c r="H50" s="11"/>
      <c r="J50" s="53"/>
    </row>
    <row r="51" spans="1:10" s="17" customFormat="1" ht="14.25" x14ac:dyDescent="0.3">
      <c r="A51" s="13" t="s">
        <v>122</v>
      </c>
      <c r="B51" s="14" t="s">
        <v>51</v>
      </c>
      <c r="C51" s="15">
        <v>16812</v>
      </c>
      <c r="D51" s="16">
        <v>777.81558599999994</v>
      </c>
      <c r="E51" s="16">
        <f t="shared" si="0"/>
        <v>1.168754401546686</v>
      </c>
      <c r="F51" s="16" t="s">
        <v>123</v>
      </c>
      <c r="G51" s="11"/>
      <c r="H51" s="10"/>
      <c r="J51" s="53"/>
    </row>
    <row r="52" spans="1:10" s="17" customFormat="1" ht="14.25" x14ac:dyDescent="0.3">
      <c r="A52" s="13" t="s">
        <v>124</v>
      </c>
      <c r="B52" s="14" t="s">
        <v>125</v>
      </c>
      <c r="C52" s="15">
        <v>126205</v>
      </c>
      <c r="D52" s="16">
        <v>776.03454499999998</v>
      </c>
      <c r="E52" s="16">
        <f t="shared" si="0"/>
        <v>1.1660781894142063</v>
      </c>
      <c r="F52" s="16" t="s">
        <v>126</v>
      </c>
      <c r="G52" s="11"/>
      <c r="H52" s="11"/>
      <c r="J52" s="53"/>
    </row>
    <row r="53" spans="1:10" s="17" customFormat="1" ht="14.25" x14ac:dyDescent="0.3">
      <c r="A53" s="13" t="s">
        <v>127</v>
      </c>
      <c r="B53" s="14" t="s">
        <v>43</v>
      </c>
      <c r="C53" s="15">
        <v>116356</v>
      </c>
      <c r="D53" s="16">
        <v>768.47320200000001</v>
      </c>
      <c r="E53" s="16">
        <f t="shared" si="0"/>
        <v>1.1547164308278282</v>
      </c>
      <c r="F53" s="16" t="s">
        <v>128</v>
      </c>
      <c r="G53" s="11"/>
      <c r="H53" s="10"/>
      <c r="J53" s="53"/>
    </row>
    <row r="54" spans="1:10" s="17" customFormat="1" ht="14.25" x14ac:dyDescent="0.3">
      <c r="A54" s="13" t="s">
        <v>129</v>
      </c>
      <c r="B54" s="14" t="s">
        <v>61</v>
      </c>
      <c r="C54" s="15">
        <v>158000</v>
      </c>
      <c r="D54" s="16">
        <v>746.39200000000005</v>
      </c>
      <c r="E54" s="16">
        <f t="shared" si="0"/>
        <v>1.1215369696631847</v>
      </c>
      <c r="F54" s="16" t="s">
        <v>130</v>
      </c>
      <c r="G54" s="11"/>
      <c r="H54" s="11"/>
      <c r="J54" s="53"/>
    </row>
    <row r="55" spans="1:10" s="17" customFormat="1" ht="14.25" x14ac:dyDescent="0.3">
      <c r="A55" s="13" t="s">
        <v>131</v>
      </c>
      <c r="B55" s="14" t="s">
        <v>132</v>
      </c>
      <c r="C55" s="15">
        <v>68804</v>
      </c>
      <c r="D55" s="16">
        <v>707.92435599999999</v>
      </c>
      <c r="E55" s="16">
        <f t="shared" si="0"/>
        <v>1.0637350574215714</v>
      </c>
      <c r="F55" s="16" t="s">
        <v>133</v>
      </c>
      <c r="G55" s="11"/>
      <c r="H55" s="11"/>
      <c r="J55" s="53"/>
    </row>
    <row r="56" spans="1:10" s="17" customFormat="1" ht="14.25" x14ac:dyDescent="0.3">
      <c r="A56" s="13" t="s">
        <v>134</v>
      </c>
      <c r="B56" s="14" t="s">
        <v>80</v>
      </c>
      <c r="C56" s="15">
        <v>697000</v>
      </c>
      <c r="D56" s="16">
        <v>696.303</v>
      </c>
      <c r="E56" s="16">
        <f t="shared" si="0"/>
        <v>1.0462726778788953</v>
      </c>
      <c r="F56" s="16" t="s">
        <v>135</v>
      </c>
      <c r="G56" s="11"/>
      <c r="H56" s="10"/>
      <c r="J56" s="53"/>
    </row>
    <row r="57" spans="1:10" s="17" customFormat="1" ht="14.25" x14ac:dyDescent="0.3">
      <c r="A57" s="13" t="s">
        <v>136</v>
      </c>
      <c r="B57" s="14" t="s">
        <v>137</v>
      </c>
      <c r="C57" s="15">
        <v>243050</v>
      </c>
      <c r="D57" s="16">
        <v>677.62339999999995</v>
      </c>
      <c r="E57" s="16">
        <f t="shared" si="0"/>
        <v>1.0182045019357977</v>
      </c>
      <c r="F57" s="16" t="s">
        <v>138</v>
      </c>
      <c r="G57" s="11"/>
      <c r="H57" s="10"/>
      <c r="J57" s="53"/>
    </row>
    <row r="58" spans="1:10" s="17" customFormat="1" ht="14.25" x14ac:dyDescent="0.3">
      <c r="A58" s="13" t="s">
        <v>139</v>
      </c>
      <c r="B58" s="14" t="s">
        <v>43</v>
      </c>
      <c r="C58" s="15">
        <v>62400</v>
      </c>
      <c r="D58" s="16">
        <v>673.07759999999996</v>
      </c>
      <c r="E58" s="16">
        <f t="shared" si="0"/>
        <v>1.0113739319984258</v>
      </c>
      <c r="F58" s="16" t="s">
        <v>140</v>
      </c>
      <c r="G58" s="11"/>
      <c r="H58" s="10"/>
      <c r="J58" s="53"/>
    </row>
    <row r="59" spans="1:10" s="17" customFormat="1" ht="14.25" x14ac:dyDescent="0.3">
      <c r="A59" s="13" t="s">
        <v>141</v>
      </c>
      <c r="B59" s="14" t="s">
        <v>142</v>
      </c>
      <c r="C59" s="15">
        <v>340000</v>
      </c>
      <c r="D59" s="16">
        <v>656.71</v>
      </c>
      <c r="E59" s="16">
        <f t="shared" si="0"/>
        <v>0.98677979312145636</v>
      </c>
      <c r="F59" s="16" t="s">
        <v>143</v>
      </c>
      <c r="G59" s="11"/>
      <c r="H59" s="10"/>
      <c r="J59" s="53"/>
    </row>
    <row r="60" spans="1:10" s="17" customFormat="1" ht="14.25" x14ac:dyDescent="0.3">
      <c r="A60" s="13" t="s">
        <v>144</v>
      </c>
      <c r="B60" s="14" t="s">
        <v>66</v>
      </c>
      <c r="C60" s="15">
        <v>415765</v>
      </c>
      <c r="D60" s="16">
        <v>623.23173499999996</v>
      </c>
      <c r="E60" s="16">
        <f t="shared" si="0"/>
        <v>0.93647497758527543</v>
      </c>
      <c r="F60" s="16" t="s">
        <v>145</v>
      </c>
      <c r="G60" s="11"/>
      <c r="H60" s="10"/>
      <c r="J60" s="53"/>
    </row>
    <row r="61" spans="1:10" s="17" customFormat="1" ht="14.25" x14ac:dyDescent="0.3">
      <c r="A61" s="13" t="s">
        <v>146</v>
      </c>
      <c r="B61" s="14" t="s">
        <v>19</v>
      </c>
      <c r="C61" s="15">
        <v>972934</v>
      </c>
      <c r="D61" s="16">
        <v>560.40998400000001</v>
      </c>
      <c r="E61" s="16">
        <f t="shared" si="0"/>
        <v>0.84207831169727676</v>
      </c>
      <c r="F61" s="16" t="s">
        <v>147</v>
      </c>
      <c r="G61" s="11"/>
      <c r="H61" s="10"/>
      <c r="J61" s="53"/>
    </row>
    <row r="62" spans="1:10" s="17" customFormat="1" ht="14.25" x14ac:dyDescent="0.3">
      <c r="A62" s="13" t="s">
        <v>148</v>
      </c>
      <c r="B62" s="14" t="s">
        <v>137</v>
      </c>
      <c r="C62" s="15">
        <v>504676</v>
      </c>
      <c r="D62" s="16">
        <v>524.35836399999994</v>
      </c>
      <c r="E62" s="16">
        <f t="shared" si="0"/>
        <v>0.787906744147988</v>
      </c>
      <c r="F62" s="16" t="s">
        <v>149</v>
      </c>
      <c r="G62" s="11"/>
      <c r="H62" s="11"/>
      <c r="J62" s="53"/>
    </row>
    <row r="63" spans="1:10" s="17" customFormat="1" ht="14.25" x14ac:dyDescent="0.3">
      <c r="A63" s="13" t="s">
        <v>150</v>
      </c>
      <c r="B63" s="14" t="s">
        <v>151</v>
      </c>
      <c r="C63" s="15">
        <v>200000</v>
      </c>
      <c r="D63" s="16">
        <v>422.9</v>
      </c>
      <c r="E63" s="16">
        <f t="shared" si="0"/>
        <v>0.63545427130858956</v>
      </c>
      <c r="F63" s="16" t="s">
        <v>152</v>
      </c>
      <c r="G63" s="11"/>
      <c r="H63" s="11"/>
      <c r="J63" s="53"/>
    </row>
    <row r="64" spans="1:10" s="17" customFormat="1" ht="14.25" x14ac:dyDescent="0.3">
      <c r="A64" s="13" t="s">
        <v>153</v>
      </c>
      <c r="B64" s="14" t="s">
        <v>51</v>
      </c>
      <c r="C64" s="15">
        <v>53757</v>
      </c>
      <c r="D64" s="16">
        <v>325.068579</v>
      </c>
      <c r="E64" s="16">
        <f t="shared" si="0"/>
        <v>0.48845168359840069</v>
      </c>
      <c r="F64" s="16" t="s">
        <v>154</v>
      </c>
      <c r="G64" s="11"/>
      <c r="H64" s="11"/>
      <c r="J64" s="53"/>
    </row>
    <row r="65" spans="1:10" s="17" customFormat="1" ht="14.25" x14ac:dyDescent="0.3">
      <c r="A65" s="13" t="s">
        <v>155</v>
      </c>
      <c r="B65" s="14" t="s">
        <v>156</v>
      </c>
      <c r="C65" s="15">
        <v>801456</v>
      </c>
      <c r="D65" s="16">
        <v>105.79219199999999</v>
      </c>
      <c r="E65" s="16">
        <f t="shared" si="0"/>
        <v>0.15896453127807611</v>
      </c>
      <c r="F65" s="16" t="s">
        <v>157</v>
      </c>
      <c r="G65" s="11"/>
      <c r="H65" s="11"/>
      <c r="J65" s="53"/>
    </row>
    <row r="66" spans="1:10" s="17" customFormat="1" ht="14.25" x14ac:dyDescent="0.3">
      <c r="A66" s="12" t="s">
        <v>158</v>
      </c>
      <c r="B66" s="14"/>
      <c r="C66" s="15"/>
      <c r="D66" s="18">
        <f>IF(ISERROR(SUM(D7:D65)),0,SUM(D7:D65))</f>
        <v>65644.350928500004</v>
      </c>
      <c r="E66" s="18">
        <f>IF(ISERROR(SUM(E7:E65)),0,SUM(E7:E65))</f>
        <v>98.637936119166014</v>
      </c>
      <c r="F66" s="18"/>
      <c r="G66" s="11"/>
      <c r="H66" s="10"/>
      <c r="J66" s="53"/>
    </row>
    <row r="67" spans="1:10" s="17" customFormat="1" ht="14.25" x14ac:dyDescent="0.3">
      <c r="A67" s="12"/>
      <c r="B67" s="12"/>
      <c r="C67" s="19"/>
      <c r="D67" s="20"/>
      <c r="E67" s="20"/>
      <c r="F67" s="20"/>
      <c r="G67" s="11"/>
      <c r="H67" s="10"/>
    </row>
    <row r="68" spans="1:10" s="17" customFormat="1" ht="14.25" x14ac:dyDescent="0.3">
      <c r="A68" s="12" t="s">
        <v>159</v>
      </c>
      <c r="B68" s="12"/>
      <c r="C68" s="19"/>
      <c r="D68" s="21" t="s">
        <v>160</v>
      </c>
      <c r="E68" s="21" t="s">
        <v>160</v>
      </c>
      <c r="F68" s="21"/>
      <c r="G68" s="11"/>
      <c r="H68" s="10"/>
    </row>
    <row r="69" spans="1:10" s="17" customFormat="1" ht="14.25" x14ac:dyDescent="0.3">
      <c r="A69" s="12"/>
      <c r="B69" s="5"/>
      <c r="C69" s="19"/>
      <c r="D69" s="21"/>
      <c r="E69" s="21"/>
      <c r="F69" s="22"/>
      <c r="G69" s="11"/>
      <c r="H69" s="10"/>
    </row>
    <row r="70" spans="1:10" s="17" customFormat="1" ht="14.25" x14ac:dyDescent="0.3">
      <c r="A70" s="12" t="s">
        <v>161</v>
      </c>
      <c r="B70" s="12"/>
      <c r="C70" s="19"/>
      <c r="D70" s="18">
        <f>IF(ISERROR(+D66),0,D66)+IF(ISERROR(+#REF!),0,#REF!)</f>
        <v>65644.350928500004</v>
      </c>
      <c r="E70" s="18">
        <f>IF(ISERROR(+E66),0,E66)+IF(ISERROR(+#REF!),0,#REF!)</f>
        <v>98.637936119166014</v>
      </c>
      <c r="F70" s="23"/>
      <c r="G70" s="11"/>
      <c r="H70" s="10"/>
    </row>
    <row r="71" spans="1:10" s="17" customFormat="1" ht="14.25" x14ac:dyDescent="0.3">
      <c r="A71" s="12"/>
      <c r="B71" s="5"/>
      <c r="C71" s="19"/>
      <c r="D71" s="21"/>
      <c r="E71" s="21"/>
      <c r="F71" s="22"/>
      <c r="G71" s="11"/>
      <c r="H71" s="10"/>
    </row>
    <row r="72" spans="1:10" s="17" customFormat="1" ht="14.25" x14ac:dyDescent="0.3">
      <c r="A72" s="12" t="s">
        <v>162</v>
      </c>
      <c r="B72" s="5"/>
      <c r="C72" s="19"/>
      <c r="D72" s="21"/>
      <c r="E72" s="21"/>
      <c r="F72" s="22"/>
      <c r="G72" s="11"/>
      <c r="H72" s="10"/>
    </row>
    <row r="73" spans="1:10" s="17" customFormat="1" ht="14.25" x14ac:dyDescent="0.3">
      <c r="A73" s="12" t="s">
        <v>12</v>
      </c>
      <c r="B73" s="5"/>
      <c r="C73" s="19"/>
      <c r="D73" s="21" t="s">
        <v>160</v>
      </c>
      <c r="E73" s="21" t="s">
        <v>160</v>
      </c>
      <c r="F73" s="24"/>
      <c r="G73" s="11"/>
      <c r="H73" s="10"/>
    </row>
    <row r="74" spans="1:10" s="17" customFormat="1" ht="14.25" x14ac:dyDescent="0.3">
      <c r="A74" s="12"/>
      <c r="B74" s="5"/>
      <c r="C74" s="25"/>
      <c r="D74" s="24"/>
      <c r="E74" s="24"/>
      <c r="F74" s="24"/>
      <c r="G74" s="11"/>
      <c r="H74" s="10"/>
    </row>
    <row r="75" spans="1:10" s="17" customFormat="1" ht="14.25" x14ac:dyDescent="0.3">
      <c r="A75" s="12" t="s">
        <v>163</v>
      </c>
      <c r="B75" s="5"/>
      <c r="C75" s="25"/>
      <c r="D75" s="21" t="s">
        <v>160</v>
      </c>
      <c r="E75" s="21" t="s">
        <v>160</v>
      </c>
      <c r="F75" s="22"/>
      <c r="G75" s="11"/>
      <c r="H75" s="10"/>
    </row>
    <row r="76" spans="1:10" s="17" customFormat="1" ht="14.25" x14ac:dyDescent="0.3">
      <c r="A76" s="12"/>
      <c r="B76" s="5"/>
      <c r="C76" s="25"/>
      <c r="D76" s="21"/>
      <c r="E76" s="21"/>
      <c r="F76" s="21"/>
      <c r="G76" s="11"/>
      <c r="H76" s="10"/>
    </row>
    <row r="77" spans="1:10" s="17" customFormat="1" ht="14.25" x14ac:dyDescent="0.3">
      <c r="A77" s="12" t="s">
        <v>164</v>
      </c>
      <c r="B77" s="5"/>
      <c r="C77" s="25"/>
      <c r="D77" s="21"/>
      <c r="E77" s="21"/>
      <c r="F77" s="21"/>
      <c r="G77" s="11"/>
      <c r="H77" s="10"/>
    </row>
    <row r="78" spans="1:10" s="17" customFormat="1" ht="14.25" x14ac:dyDescent="0.3">
      <c r="A78" s="12"/>
      <c r="B78" s="5"/>
      <c r="C78" s="25"/>
      <c r="D78" s="16"/>
      <c r="E78" s="16"/>
      <c r="F78" s="26"/>
      <c r="G78" s="11"/>
      <c r="H78" s="10"/>
    </row>
    <row r="79" spans="1:10" s="17" customFormat="1" ht="14.25" x14ac:dyDescent="0.3">
      <c r="A79" s="12" t="s">
        <v>165</v>
      </c>
      <c r="B79" s="5"/>
      <c r="C79" s="25"/>
      <c r="D79" s="21" t="s">
        <v>160</v>
      </c>
      <c r="E79" s="21" t="s">
        <v>160</v>
      </c>
      <c r="F79" s="21"/>
      <c r="G79" s="11"/>
      <c r="H79" s="10"/>
    </row>
    <row r="80" spans="1:10" s="17" customFormat="1" ht="14.25" x14ac:dyDescent="0.3">
      <c r="A80" s="12"/>
      <c r="B80" s="5"/>
      <c r="C80" s="25"/>
      <c r="D80" s="21"/>
      <c r="E80" s="21"/>
      <c r="F80" s="21"/>
      <c r="G80" s="11"/>
      <c r="H80" s="10"/>
    </row>
    <row r="81" spans="1:8" s="17" customFormat="1" ht="14.25" x14ac:dyDescent="0.3">
      <c r="A81" s="12" t="s">
        <v>166</v>
      </c>
      <c r="B81" s="5"/>
      <c r="C81" s="25"/>
      <c r="D81" s="21" t="s">
        <v>160</v>
      </c>
      <c r="E81" s="21" t="s">
        <v>160</v>
      </c>
      <c r="F81" s="21"/>
      <c r="G81" s="11"/>
      <c r="H81" s="10"/>
    </row>
    <row r="82" spans="1:8" s="17" customFormat="1" ht="14.25" x14ac:dyDescent="0.3">
      <c r="A82" s="12"/>
      <c r="B82" s="5"/>
      <c r="C82" s="25"/>
      <c r="D82" s="21"/>
      <c r="E82" s="21"/>
      <c r="F82" s="21"/>
      <c r="G82" s="11"/>
      <c r="H82" s="10"/>
    </row>
    <row r="83" spans="1:8" s="17" customFormat="1" ht="14.25" x14ac:dyDescent="0.3">
      <c r="A83" s="12" t="s">
        <v>167</v>
      </c>
      <c r="B83" s="5"/>
      <c r="C83" s="25"/>
      <c r="D83" s="21"/>
      <c r="E83" s="21"/>
      <c r="F83" s="22"/>
      <c r="G83" s="11"/>
      <c r="H83" s="10"/>
    </row>
    <row r="84" spans="1:8" s="17" customFormat="1" ht="14.25" x14ac:dyDescent="0.3">
      <c r="A84" s="13" t="s">
        <v>168</v>
      </c>
      <c r="B84" s="14"/>
      <c r="C84" s="15">
        <v>0</v>
      </c>
      <c r="D84" s="16">
        <v>1741.9825366</v>
      </c>
      <c r="E84" s="16">
        <f>(+D84/$D$91*100)</f>
        <v>2.6175224483978279</v>
      </c>
      <c r="F84" s="16" t="s">
        <v>169</v>
      </c>
      <c r="G84" s="11">
        <v>6.6520999999999999</v>
      </c>
      <c r="H84" s="10"/>
    </row>
    <row r="85" spans="1:8" s="17" customFormat="1" ht="14.25" x14ac:dyDescent="0.3">
      <c r="A85" s="12" t="s">
        <v>158</v>
      </c>
      <c r="B85" s="5"/>
      <c r="C85" s="25"/>
      <c r="D85" s="21">
        <f>IF(ISERROR(SUM(D84:D84)),0,SUM(D84:D84))</f>
        <v>1741.9825366</v>
      </c>
      <c r="E85" s="21">
        <f>IF(ISERROR(SUM(E84:E84)),0,SUM(E84:E84))</f>
        <v>2.6175224483978279</v>
      </c>
      <c r="F85" s="16"/>
      <c r="G85" s="11"/>
      <c r="H85" s="10"/>
    </row>
    <row r="86" spans="1:8" s="17" customFormat="1" ht="14.25" x14ac:dyDescent="0.3">
      <c r="A86" s="12"/>
      <c r="B86" s="5"/>
      <c r="C86" s="25"/>
      <c r="D86" s="21"/>
      <c r="E86" s="21"/>
      <c r="F86" s="22"/>
      <c r="G86" s="11"/>
      <c r="H86" s="10"/>
    </row>
    <row r="87" spans="1:8" s="17" customFormat="1" ht="14.25" x14ac:dyDescent="0.3">
      <c r="A87" s="12" t="s">
        <v>161</v>
      </c>
      <c r="B87" s="5"/>
      <c r="C87" s="25" t="s">
        <v>170</v>
      </c>
      <c r="D87" s="21">
        <f>+IF(ISERROR(#REF!),0,#REF!)+IF(ISERROR(D85),0,D85)+IF(ISERROR(D70),0,D70)+IF(ISERROR(#REF!),0,#REF!)+IF(ISERROR(#REF!),0,#REF!)+IF(ISERROR(#REF!),0,#REF!)+IF(ISERROR(#REF!),0,#REF!)+IF(ISERROR(#REF!),0,#REF!)+IF(ISERROR(#REF!),0,#REF!)+IF(ISERROR(#REF!),0,#REF!)</f>
        <v>67386.333465100004</v>
      </c>
      <c r="E87" s="21">
        <f>+IF(ISERROR(#REF!),0,#REF!)+IF(ISERROR(E85),0,E85)+IF(ISERROR(E70),0,E70)+IF(ISERROR(#REF!),0,#REF!)+IF(ISERROR(#REF!),0,#REF!)+IF(ISERROR(#REF!),0,#REF!)+IF(ISERROR(#REF!),0,#REF!)+IF(ISERROR(#REF!),0,#REF!)+IF(ISERROR(#REF!),0,#REF!)+IF(ISERROR(#REF!),0,#REF!)</f>
        <v>101.25545856756384</v>
      </c>
      <c r="F87" s="21"/>
      <c r="G87" s="11"/>
      <c r="H87" s="10"/>
    </row>
    <row r="88" spans="1:8" s="17" customFormat="1" ht="14.25" x14ac:dyDescent="0.3">
      <c r="A88" s="12"/>
      <c r="B88" s="5"/>
      <c r="C88" s="25"/>
      <c r="D88" s="21"/>
      <c r="E88" s="21"/>
      <c r="F88" s="27"/>
      <c r="G88" s="28"/>
      <c r="H88" s="29"/>
    </row>
    <row r="89" spans="1:8" s="17" customFormat="1" ht="14.25" x14ac:dyDescent="0.3">
      <c r="A89" s="12" t="s">
        <v>171</v>
      </c>
      <c r="B89" s="5"/>
      <c r="C89" s="25"/>
      <c r="D89" s="21">
        <f>+D91-D87</f>
        <v>-835.51791559980484</v>
      </c>
      <c r="E89" s="21">
        <f>D89/$D$91*100</f>
        <v>-1.2554585675638346</v>
      </c>
      <c r="F89" s="27"/>
      <c r="G89" s="28"/>
      <c r="H89" s="29"/>
    </row>
    <row r="90" spans="1:8" s="17" customFormat="1" ht="14.25" x14ac:dyDescent="0.3">
      <c r="A90" s="12"/>
      <c r="B90" s="5"/>
      <c r="C90" s="25"/>
      <c r="D90" s="24"/>
      <c r="E90" s="24"/>
      <c r="F90" s="27"/>
      <c r="G90" s="28"/>
      <c r="H90" s="29"/>
    </row>
    <row r="91" spans="1:8" s="17" customFormat="1" ht="14.25" x14ac:dyDescent="0.3">
      <c r="A91" s="12" t="s">
        <v>172</v>
      </c>
      <c r="B91" s="5"/>
      <c r="C91" s="25"/>
      <c r="D91" s="21">
        <v>66550.815549500199</v>
      </c>
      <c r="E91" s="21">
        <f>+E87+E89</f>
        <v>100</v>
      </c>
      <c r="F91" s="27"/>
      <c r="G91" s="28"/>
      <c r="H91" s="29"/>
    </row>
    <row r="92" spans="1:8" s="17" customFormat="1" ht="14.25" x14ac:dyDescent="0.3">
      <c r="A92" s="30"/>
      <c r="B92" s="31"/>
      <c r="C92" s="32"/>
      <c r="D92" s="33"/>
      <c r="E92" s="33"/>
      <c r="F92" s="27"/>
      <c r="G92" s="28"/>
      <c r="H92" s="29"/>
    </row>
    <row r="93" spans="1:8" ht="13.5" x14ac:dyDescent="0.2">
      <c r="A93" s="59" t="s">
        <v>173</v>
      </c>
      <c r="B93" s="59"/>
      <c r="C93" s="59"/>
      <c r="D93" s="59"/>
      <c r="E93" s="59"/>
      <c r="F93" s="55"/>
      <c r="G93" s="55"/>
      <c r="H93" s="55"/>
    </row>
    <row r="94" spans="1:8" ht="26.25" customHeight="1" x14ac:dyDescent="0.2">
      <c r="A94" s="59" t="s">
        <v>174</v>
      </c>
      <c r="B94" s="59"/>
      <c r="C94" s="59"/>
      <c r="D94" s="59"/>
      <c r="E94" s="59"/>
      <c r="F94" s="59"/>
      <c r="G94" s="59"/>
      <c r="H94" s="59"/>
    </row>
    <row r="95" spans="1:8" ht="13.5" x14ac:dyDescent="0.2">
      <c r="A95" s="60" t="s">
        <v>175</v>
      </c>
      <c r="B95" s="60"/>
      <c r="C95" s="60"/>
      <c r="D95" s="60"/>
      <c r="E95" s="60"/>
      <c r="F95" s="55"/>
      <c r="G95" s="55"/>
      <c r="H95" s="55"/>
    </row>
    <row r="96" spans="1:8" ht="54" customHeight="1" x14ac:dyDescent="0.2">
      <c r="A96" s="54" t="s">
        <v>176</v>
      </c>
      <c r="B96" s="54"/>
      <c r="C96" s="54"/>
      <c r="D96" s="54"/>
      <c r="E96" s="54"/>
      <c r="F96" s="55"/>
      <c r="G96" s="55"/>
      <c r="H96" s="55"/>
    </row>
    <row r="97" spans="1:8" ht="14.25" x14ac:dyDescent="0.3">
      <c r="A97" s="34"/>
      <c r="B97" s="35"/>
      <c r="C97" s="36"/>
      <c r="D97" s="37"/>
      <c r="E97" s="38"/>
      <c r="F97" s="29"/>
      <c r="G97" s="39"/>
      <c r="H97" s="39"/>
    </row>
    <row r="98" spans="1:8" ht="14.25" x14ac:dyDescent="0.3">
      <c r="A98" s="40" t="s">
        <v>177</v>
      </c>
      <c r="B98" s="41"/>
      <c r="C98" s="41"/>
      <c r="D98" s="41"/>
      <c r="E98" s="29"/>
      <c r="F98" s="29"/>
      <c r="G98" s="39"/>
      <c r="H98" s="39"/>
    </row>
    <row r="99" spans="1:8" ht="14.25" x14ac:dyDescent="0.3">
      <c r="A99" s="42" t="s">
        <v>178</v>
      </c>
      <c r="B99" s="41"/>
      <c r="C99" s="41"/>
      <c r="D99" s="41"/>
      <c r="E99" s="29"/>
      <c r="F99" s="29"/>
      <c r="G99" s="39"/>
      <c r="H99" s="39"/>
    </row>
    <row r="100" spans="1:8" ht="14.25" x14ac:dyDescent="0.3">
      <c r="A100" s="42" t="s">
        <v>179</v>
      </c>
      <c r="B100" s="41"/>
      <c r="C100" s="41"/>
      <c r="D100" s="41"/>
      <c r="E100" s="29"/>
      <c r="F100" s="29"/>
      <c r="G100" s="39"/>
      <c r="H100" s="39"/>
    </row>
    <row r="101" spans="1:8" ht="14.25" x14ac:dyDescent="0.3">
      <c r="A101" s="42" t="s">
        <v>180</v>
      </c>
      <c r="B101" s="41"/>
      <c r="C101" s="41"/>
      <c r="D101" s="41"/>
      <c r="E101" s="29"/>
      <c r="F101" s="29"/>
      <c r="G101" s="29"/>
      <c r="H101" s="29"/>
    </row>
    <row r="102" spans="1:8" ht="14.25" x14ac:dyDescent="0.3">
      <c r="A102" s="43"/>
      <c r="B102" s="44"/>
      <c r="C102" s="45"/>
      <c r="D102" s="45"/>
      <c r="E102" s="45"/>
      <c r="F102" s="45"/>
      <c r="G102" s="29"/>
      <c r="H102" s="29"/>
    </row>
    <row r="103" spans="1:8" ht="14.25" x14ac:dyDescent="0.3">
      <c r="A103" s="43" t="s">
        <v>181</v>
      </c>
      <c r="B103" s="45" t="s">
        <v>182</v>
      </c>
      <c r="C103" s="46"/>
      <c r="E103" s="45"/>
      <c r="F103" s="29"/>
      <c r="G103" s="29"/>
      <c r="H103" s="29"/>
    </row>
    <row r="104" spans="1:8" ht="14.25" x14ac:dyDescent="0.3">
      <c r="A104" s="41"/>
      <c r="B104" s="44"/>
      <c r="C104" s="47"/>
      <c r="D104" s="41"/>
      <c r="E104" s="41"/>
      <c r="F104" s="29"/>
      <c r="G104" s="29"/>
      <c r="H104" s="29"/>
    </row>
    <row r="105" spans="1:8" ht="14.25" x14ac:dyDescent="0.3">
      <c r="A105" s="41"/>
      <c r="B105" s="44"/>
      <c r="C105" s="47"/>
      <c r="D105" s="41"/>
      <c r="E105" s="41"/>
      <c r="F105" s="29"/>
      <c r="G105" s="29"/>
      <c r="H105" s="29"/>
    </row>
    <row r="106" spans="1:8" ht="14.25" x14ac:dyDescent="0.3">
      <c r="A106" s="41"/>
      <c r="B106" s="44"/>
      <c r="C106" s="47"/>
      <c r="D106" s="41"/>
      <c r="E106" s="41"/>
      <c r="F106" s="29"/>
      <c r="G106" s="29"/>
      <c r="H106" s="29"/>
    </row>
    <row r="107" spans="1:8" ht="14.25" x14ac:dyDescent="0.3">
      <c r="A107" s="41"/>
      <c r="B107" s="44"/>
      <c r="C107" s="47"/>
      <c r="D107" s="41"/>
      <c r="E107" s="41"/>
      <c r="F107" s="29"/>
      <c r="G107" s="29"/>
      <c r="H107" s="29"/>
    </row>
    <row r="108" spans="1:8" ht="14.25" x14ac:dyDescent="0.3">
      <c r="A108" s="41"/>
      <c r="B108" s="44"/>
      <c r="C108" s="47"/>
      <c r="D108" s="41"/>
      <c r="E108" s="41"/>
      <c r="F108" s="29"/>
      <c r="G108" s="29"/>
      <c r="H108" s="29"/>
    </row>
    <row r="109" spans="1:8" ht="14.25" x14ac:dyDescent="0.3">
      <c r="A109" s="41"/>
      <c r="B109" s="44"/>
      <c r="C109" s="47"/>
      <c r="D109" s="41"/>
      <c r="E109" s="41"/>
      <c r="F109" s="29"/>
      <c r="G109" s="29"/>
      <c r="H109" s="29"/>
    </row>
    <row r="110" spans="1:8" ht="14.25" x14ac:dyDescent="0.3">
      <c r="A110" s="48"/>
      <c r="B110" s="44"/>
      <c r="C110" s="47"/>
      <c r="D110" s="29"/>
      <c r="E110" s="49"/>
      <c r="F110" s="29"/>
      <c r="G110" s="29"/>
      <c r="H110" s="29"/>
    </row>
  </sheetData>
  <mergeCells count="7">
    <mergeCell ref="A96:H96"/>
    <mergeCell ref="A1:H1"/>
    <mergeCell ref="A2:H2"/>
    <mergeCell ref="A3:H3"/>
    <mergeCell ref="A93:H93"/>
    <mergeCell ref="A94:H94"/>
    <mergeCell ref="A95:H9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2024-05-02T12:29:51Z</dcterms:created>
  <dcterms:modified xsi:type="dcterms:W3CDTF">2024-05-06T07:17:55Z</dcterms:modified>
</cp:coreProperties>
</file>