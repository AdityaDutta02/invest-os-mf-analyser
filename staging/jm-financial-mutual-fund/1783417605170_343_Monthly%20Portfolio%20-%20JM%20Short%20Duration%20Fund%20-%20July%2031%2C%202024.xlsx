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Short Duration Fund" sheetId="1" r:id="rId1"/>
  </sheets>
  <definedNames>
    <definedName name="_xlnm._FilterDatabase" localSheetId="0" hidden="1">'JM Short Duration Fund'!$A$1:$H$59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0" i="1" l="1"/>
  <c r="E49" i="1"/>
  <c r="E50" i="1" s="1"/>
  <c r="D47" i="1"/>
  <c r="E46" i="1"/>
  <c r="E47" i="1" s="1"/>
  <c r="D45" i="1"/>
  <c r="E44" i="1"/>
  <c r="E45" i="1" s="1"/>
  <c r="D40" i="1"/>
  <c r="E39" i="1"/>
  <c r="E38" i="1"/>
  <c r="E37" i="1"/>
  <c r="E36" i="1"/>
  <c r="E35" i="1"/>
  <c r="E34" i="1"/>
  <c r="F25" i="1"/>
  <c r="F52" i="1" s="1"/>
  <c r="D21" i="1"/>
  <c r="D25" i="1" s="1"/>
  <c r="E20" i="1"/>
  <c r="E19" i="1"/>
  <c r="E18" i="1"/>
  <c r="E17" i="1"/>
  <c r="E16" i="1"/>
  <c r="E15" i="1"/>
  <c r="E14" i="1"/>
  <c r="E13" i="1"/>
  <c r="E12" i="1"/>
  <c r="E11" i="1"/>
  <c r="E10" i="1"/>
  <c r="E9" i="1"/>
  <c r="E8" i="1"/>
  <c r="E7" i="1"/>
  <c r="D52" i="1" l="1"/>
  <c r="D54" i="1" s="1"/>
  <c r="E40" i="1"/>
  <c r="E21" i="1"/>
  <c r="E25" i="1" s="1"/>
  <c r="E52" i="1" s="1"/>
  <c r="E54" i="1" s="1"/>
</calcChain>
</file>

<file path=xl/sharedStrings.xml><?xml version="1.0" encoding="utf-8"?>
<sst xmlns="http://schemas.openxmlformats.org/spreadsheetml/2006/main" count="139" uniqueCount="107">
  <si>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</si>
  <si>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</si>
  <si>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</si>
  <si>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</si>
  <si>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</si>
  <si>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</si>
  <si>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</si>
  <si>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</si>
  <si>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</si>
  <si>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</si>
  <si>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</si>
  <si>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</si>
  <si>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HDFC Bank Ltd.**</t>
  </si>
  <si>
    <t>CARE AAA</t>
  </si>
  <si>
    <t>INE040A08922</t>
  </si>
  <si>
    <t>LIC Housing Finance Ltd.**</t>
  </si>
  <si>
    <t>INE115A07QC7</t>
  </si>
  <si>
    <t>SIDBI Ltd.</t>
  </si>
  <si>
    <t>INE556F08KO7</t>
  </si>
  <si>
    <t>Sikka Ports &amp; Terminals Ltd.**</t>
  </si>
  <si>
    <t>INE941D07208</t>
  </si>
  <si>
    <t>REC Ltd.</t>
  </si>
  <si>
    <t>INE020B08FD6</t>
  </si>
  <si>
    <t>NABARD**</t>
  </si>
  <si>
    <t>CRISIL AAA</t>
  </si>
  <si>
    <t>INE261F08EF5</t>
  </si>
  <si>
    <t>ICICI Home Finance Ltd.**</t>
  </si>
  <si>
    <t>INE071G07637</t>
  </si>
  <si>
    <t>Bajaj Finance Ltd.**</t>
  </si>
  <si>
    <t>INE296A07SJ6</t>
  </si>
  <si>
    <t>Bajaj Housing Finance Ltd.**</t>
  </si>
  <si>
    <t>INE377Y07433</t>
  </si>
  <si>
    <t>REC Ltd.**</t>
  </si>
  <si>
    <t>INE020B08EL2</t>
  </si>
  <si>
    <t>INE261F08DO9</t>
  </si>
  <si>
    <t>Jamnagar Utilities &amp; Power Ltd.</t>
  </si>
  <si>
    <t>INE936D07174</t>
  </si>
  <si>
    <t>Power Finance Corporation Ltd.**</t>
  </si>
  <si>
    <t>INE134E08JP5</t>
  </si>
  <si>
    <t>Indian Railway Finance Corporation Ltd**</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</si>
  <si>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</si>
  <si>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</si>
  <si>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</si>
  <si>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</si>
  <si>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</si>
  <si>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</si>
  <si>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</si>
  <si>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</si>
  <si>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</si>
  <si>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</si>
  <si>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</si>
  <si>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</si>
  <si>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7.04% Government of India Securities 2029 03/06/2029</t>
  </si>
  <si>
    <t>IN0020240050</t>
  </si>
  <si>
    <t>7.17% Government of India Securities 2030 17/04/2030</t>
  </si>
  <si>
    <t>IN0020230036</t>
  </si>
  <si>
    <t>7.10% Government of India Securities 2029 18/04/2029</t>
  </si>
  <si>
    <t>IN0020220011</t>
  </si>
  <si>
    <t>7.06% Government of India Securities 2028 10/04/2028</t>
  </si>
  <si>
    <t>IN0020230010</t>
  </si>
  <si>
    <t>7.38% Government of India Securities 2027 20/06/2027</t>
  </si>
  <si>
    <t>IN0020220037</t>
  </si>
  <si>
    <t>MONEY MARKET INSTRUMENTS</t>
  </si>
  <si>
    <t>Certificate of Deposit (CD) / Commercial Paper (CP)</t>
  </si>
  <si>
    <t>ICICI Bank Ltd.CD**</t>
  </si>
  <si>
    <t>CARE A1+</t>
  </si>
  <si>
    <t>INE090AD6170</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</si>
  <si>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</si>
  <si>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</si>
  <si>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</si>
  <si>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</si>
  <si>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</si>
  <si>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</si>
  <si>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</si>
  <si>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</si>
  <si>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</si>
  <si>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</si>
  <si>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</si>
  <si>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</si>
  <si>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</si>
  <si>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</si>
  <si>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</si>
  <si>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</si>
  <si>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</si>
  <si>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</si>
  <si>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</si>
  <si>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</si>
  <si>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</si>
  <si>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</si>
  <si>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</si>
  <si>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</si>
  <si>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</si>
  <si>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</si>
  <si>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</si>
  <si>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</si>
  <si>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</si>
  <si>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</si>
  <si>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</si>
  <si>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</si>
  <si>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</si>
  <si>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</si>
  <si>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</si>
  <si>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</si>
  <si>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</si>
  <si>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31.07.2024</t>
  </si>
  <si>
    <t xml:space="preserve">* in case of semi annual YTM,  it will be annualised </t>
  </si>
  <si>
    <t>Monthly Portfolio Statement for the period ended 31.07.2024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</si>
</sst>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5">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7" fillId="0" borderId="0" xfId="5" applyFont="1" applyBorder="1"/>
    <xf numFmtId="0" fontId="8" fillId="0" borderId="0" xfId="7" applyFont="1" applyBorder="1" applyAlignment="1">
      <alignment horizontal="left" vertical="top" wrapText="1"/>
    </xf>
    <xf numFmtId="0" fontId="5" fillId="0" borderId="0" xfId="3" applyFont="1" applyAlignment="1">
      <alignment horizontal="left" vertical="top" wrapText="1"/>
    </xf>
    <xf numFmtId="0" fontId="9" fillId="0" borderId="0" xfId="7" applyFont="1" applyBorder="1"/>
    <xf numFmtId="0" fontId="5" fillId="0" borderId="0" xfId="3" applyFont="1" applyFill="1" applyAlignment="1">
      <alignment horizontal="left" wrapText="1"/>
    </xf>
    <xf numFmtId="165" fontId="5" fillId="0" borderId="0" xfId="8" applyNumberFormat="1" applyFont="1" applyFill="1"/>
    <xf numFmtId="0" fontId="7" fillId="0" borderId="0" xfId="7"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9" fillId="0" borderId="0" xfId="5" applyFont="1" applyAlignment="1">
      <alignment horizontal="center"/>
    </xf>
    <xf numFmtId="0" fontId="4" fillId="0" borderId="0" xfId="3" applyFont="1" applyFill="1"/>
    <xf numFmtId="0" fontId="9" fillId="0" borderId="0" xfId="5" applyFont="1"/>
    <xf numFmtId="0" fontId="5" fillId="0" borderId="0" xfId="3" applyFont="1" applyAlignment="1">
      <alignment horizontal="left" wrapText="1"/>
    </xf>
    <xf numFmtId="0" fontId="4" fillId="0" borderId="0" xfId="3"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7"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7"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6" applyFont="1" applyAlignment="1">
      <alignment horizontal="left" vertical="top" wrapText="1"/>
    </xf>
  </cellXfs>
  <cellStyles count="12">
    <cellStyle name="Comma" xfId="1" builtinId="3"/>
    <cellStyle name="Comma 3" xfId="11"/>
    <cellStyle name="Comma 4 2" xfId="8"/>
    <cellStyle name="Comma 5" xfId="10"/>
    <cellStyle name="Normal" xfId="0" builtinId="0"/>
    <cellStyle name="Normal 2 2 2" xfId="3"/>
    <cellStyle name="Normal 2 2_Template Portfolio Disclosure -31.07 2024" xfId="4"/>
    <cellStyle name="Normal 2 3 2" xfId="6"/>
    <cellStyle name="Normal 4_IF" xfId="5"/>
    <cellStyle name="Normal 4_LD" xfId="7"/>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695325</xdr:colOff>
      <xdr:row>77</xdr:row>
      <xdr:rowOff>19051</xdr:rowOff>
    </xdr:from>
    <xdr:to>
      <xdr:col>0</xdr:col>
      <xdr:colOff>2895600</xdr:colOff>
      <xdr:row>79</xdr:row>
      <xdr:rowOff>0</xdr:rowOff>
    </xdr:to>
    <xdr:sp macro="" textlink="">
      <xdr:nvSpPr>
        <xdr:cNvPr id="2" name="TextBox 1"/>
        <xdr:cNvSpPr txBox="1"/>
      </xdr:nvSpPr>
      <xdr:spPr>
        <a:xfrm>
          <a:off x="695325" y="14801851"/>
          <a:ext cx="22002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333375</xdr:colOff>
      <xdr:row>77</xdr:row>
      <xdr:rowOff>0</xdr:rowOff>
    </xdr:from>
    <xdr:to>
      <xdr:col>3</xdr:col>
      <xdr:colOff>571501</xdr:colOff>
      <xdr:row>79</xdr:row>
      <xdr:rowOff>0</xdr:rowOff>
    </xdr:to>
    <xdr:sp macro="" textlink="">
      <xdr:nvSpPr>
        <xdr:cNvPr id="3" name="TextBox 2"/>
        <xdr:cNvSpPr txBox="1"/>
      </xdr:nvSpPr>
      <xdr:spPr>
        <a:xfrm>
          <a:off x="3609975" y="14782800"/>
          <a:ext cx="22383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723900</xdr:colOff>
      <xdr:row>70</xdr:row>
      <xdr:rowOff>47625</xdr:rowOff>
    </xdr:from>
    <xdr:to>
      <xdr:col>0</xdr:col>
      <xdr:colOff>2914650</xdr:colOff>
      <xdr:row>76</xdr:row>
      <xdr:rowOff>161925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13563600"/>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352425</xdr:colOff>
      <xdr:row>70</xdr:row>
      <xdr:rowOff>76200</xdr:rowOff>
    </xdr:from>
    <xdr:to>
      <xdr:col>3</xdr:col>
      <xdr:colOff>504825</xdr:colOff>
      <xdr:row>77</xdr:row>
      <xdr:rowOff>0</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29025" y="13592175"/>
          <a:ext cx="21526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11"/>
    <pageSetUpPr fitToPage="1"/>
  </sheetPr>
  <dimension ref="A1:H98"/>
  <sheetViews>
    <sheetView tabSelected="1" zoomScaleNormal="100" workbookViewId="0">
      <selection sqref="A1:H1"/>
    </sheetView>
  </sheetViews>
  <sheetFormatPr defaultRowHeight="12.75" x14ac:dyDescent="0.2"/>
  <cols>
    <col min="1" max="1" width="49.140625" style="74" customWidth="1"/>
    <col min="2" max="2" width="16.5703125" style="75" customWidth="1"/>
    <col min="3" max="3" width="13.42578125" style="76" customWidth="1"/>
    <col min="4" max="4" width="13.28515625" style="1" customWidth="1"/>
    <col min="5" max="5" width="10.85546875" style="1" customWidth="1"/>
    <col min="6" max="6" width="13.5703125" style="1" bestFit="1" customWidth="1"/>
    <col min="7" max="7" width="9.5703125" style="1" bestFit="1" customWidth="1"/>
    <col min="8" max="8" width="13.140625" style="1" customWidth="1"/>
    <col min="9" max="16384" width="9.140625" style="1"/>
  </cols>
  <sheetData>
    <row r="1" spans="1:8" x14ac:dyDescent="0.2">
      <c r="A1" s="91" t="s">
        <v>0</v>
      </c>
      <c r="B1" s="91"/>
      <c r="C1" s="91"/>
      <c r="D1" s="91"/>
      <c r="E1" s="91"/>
      <c r="F1" s="91"/>
      <c r="G1" s="91"/>
      <c r="H1" s="91"/>
    </row>
    <row r="2" spans="1:8" ht="25.5" customHeight="1" x14ac:dyDescent="0.2">
      <c r="A2" s="92" t="s">
        <v>1</v>
      </c>
      <c r="B2" s="92"/>
      <c r="C2" s="92"/>
      <c r="D2" s="92"/>
      <c r="E2" s="92"/>
      <c r="F2" s="92"/>
      <c r="G2" s="92"/>
      <c r="H2" s="92"/>
    </row>
    <row r="3" spans="1:8" ht="12.75" customHeight="1" x14ac:dyDescent="0.2">
      <c r="A3" s="93" t="s">
        <v>106</v>
      </c>
      <c r="B3" s="93"/>
      <c r="C3" s="93"/>
      <c r="D3" s="93"/>
      <c r="E3" s="93"/>
      <c r="F3" s="93"/>
      <c r="G3" s="93"/>
      <c r="H3" s="93"/>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12</v>
      </c>
      <c r="B7" s="15" t="s">
        <v>13</v>
      </c>
      <c r="C7" s="16">
        <v>900</v>
      </c>
      <c r="D7" s="17">
        <v>898.72</v>
      </c>
      <c r="E7" s="17">
        <f t="shared" ref="E7:E20" si="0">ROUND((+D7/$D$56*100),2)</f>
        <v>6.69</v>
      </c>
      <c r="F7" s="17" t="s">
        <v>14</v>
      </c>
      <c r="G7" s="10">
        <v>7.88</v>
      </c>
      <c r="H7" s="11"/>
    </row>
    <row r="8" spans="1:8" s="12" customFormat="1" ht="14.25" x14ac:dyDescent="0.3">
      <c r="A8" s="14" t="s">
        <v>15</v>
      </c>
      <c r="B8" s="15" t="s">
        <v>13</v>
      </c>
      <c r="C8" s="16">
        <v>80</v>
      </c>
      <c r="D8" s="17">
        <v>799.33</v>
      </c>
      <c r="E8" s="17">
        <f t="shared" si="0"/>
        <v>5.95</v>
      </c>
      <c r="F8" s="17" t="s">
        <v>16</v>
      </c>
      <c r="G8" s="10">
        <v>7.8049999999999997</v>
      </c>
      <c r="H8" s="11"/>
    </row>
    <row r="9" spans="1:8" s="12" customFormat="1" ht="14.25" x14ac:dyDescent="0.3">
      <c r="A9" s="14" t="s">
        <v>17</v>
      </c>
      <c r="B9" s="15" t="s">
        <v>13</v>
      </c>
      <c r="C9" s="16">
        <v>750</v>
      </c>
      <c r="D9" s="17">
        <v>751.12</v>
      </c>
      <c r="E9" s="17">
        <f t="shared" si="0"/>
        <v>5.59</v>
      </c>
      <c r="F9" s="17" t="s">
        <v>18</v>
      </c>
      <c r="G9" s="10">
        <v>7.6150000000000002</v>
      </c>
      <c r="H9" s="11"/>
    </row>
    <row r="10" spans="1:8" s="12" customFormat="1" ht="14.25" x14ac:dyDescent="0.3">
      <c r="A10" s="14" t="s">
        <v>19</v>
      </c>
      <c r="B10" s="15" t="s">
        <v>13</v>
      </c>
      <c r="C10" s="16">
        <v>60</v>
      </c>
      <c r="D10" s="17">
        <v>590.03</v>
      </c>
      <c r="E10" s="17">
        <f t="shared" si="0"/>
        <v>4.3899999999999997</v>
      </c>
      <c r="F10" s="17" t="s">
        <v>20</v>
      </c>
      <c r="G10" s="10">
        <v>7.7850000000000001</v>
      </c>
      <c r="H10" s="11"/>
    </row>
    <row r="11" spans="1:8" s="12" customFormat="1" ht="14.25" x14ac:dyDescent="0.3">
      <c r="A11" s="14" t="s">
        <v>21</v>
      </c>
      <c r="B11" s="15" t="s">
        <v>13</v>
      </c>
      <c r="C11" s="16">
        <v>500</v>
      </c>
      <c r="D11" s="17">
        <v>502.02</v>
      </c>
      <c r="E11" s="17">
        <f t="shared" si="0"/>
        <v>3.74</v>
      </c>
      <c r="F11" s="17" t="s">
        <v>22</v>
      </c>
      <c r="G11" s="10">
        <v>7.4672000000000001</v>
      </c>
      <c r="H11" s="11"/>
    </row>
    <row r="12" spans="1:8" s="12" customFormat="1" ht="14.25" x14ac:dyDescent="0.3">
      <c r="A12" s="14" t="s">
        <v>23</v>
      </c>
      <c r="B12" s="15" t="s">
        <v>24</v>
      </c>
      <c r="C12" s="16">
        <v>500</v>
      </c>
      <c r="D12" s="17">
        <v>501.96</v>
      </c>
      <c r="E12" s="17">
        <f t="shared" si="0"/>
        <v>3.73</v>
      </c>
      <c r="F12" s="17" t="s">
        <v>25</v>
      </c>
      <c r="G12" s="10">
        <v>7.6</v>
      </c>
      <c r="H12" s="11"/>
    </row>
    <row r="13" spans="1:8" s="12" customFormat="1" ht="14.25" x14ac:dyDescent="0.3">
      <c r="A13" s="14" t="s">
        <v>26</v>
      </c>
      <c r="B13" s="15" t="s">
        <v>13</v>
      </c>
      <c r="C13" s="16">
        <v>500</v>
      </c>
      <c r="D13" s="17">
        <v>500.41</v>
      </c>
      <c r="E13" s="17">
        <f t="shared" si="0"/>
        <v>3.72</v>
      </c>
      <c r="F13" s="17" t="s">
        <v>27</v>
      </c>
      <c r="G13" s="10">
        <v>7.9588000000000001</v>
      </c>
      <c r="H13" s="11"/>
    </row>
    <row r="14" spans="1:8" s="12" customFormat="1" ht="14.25" x14ac:dyDescent="0.3">
      <c r="A14" s="14" t="s">
        <v>28</v>
      </c>
      <c r="B14" s="15" t="s">
        <v>13</v>
      </c>
      <c r="C14" s="16">
        <v>50</v>
      </c>
      <c r="D14" s="17">
        <v>499.37</v>
      </c>
      <c r="E14" s="17">
        <f t="shared" si="0"/>
        <v>3.72</v>
      </c>
      <c r="F14" s="17" t="s">
        <v>29</v>
      </c>
      <c r="G14" s="10">
        <v>8.0350000000000001</v>
      </c>
      <c r="H14" s="11"/>
    </row>
    <row r="15" spans="1:8" s="12" customFormat="1" ht="14.25" x14ac:dyDescent="0.3">
      <c r="A15" s="14" t="s">
        <v>30</v>
      </c>
      <c r="B15" s="15" t="s">
        <v>24</v>
      </c>
      <c r="C15" s="16">
        <v>50</v>
      </c>
      <c r="D15" s="17">
        <v>498.91</v>
      </c>
      <c r="E15" s="17">
        <f t="shared" si="0"/>
        <v>3.71</v>
      </c>
      <c r="F15" s="17" t="s">
        <v>31</v>
      </c>
      <c r="G15" s="10">
        <v>7.9074999999999998</v>
      </c>
      <c r="H15" s="11"/>
    </row>
    <row r="16" spans="1:8" s="12" customFormat="1" ht="14.25" x14ac:dyDescent="0.3">
      <c r="A16" s="14" t="s">
        <v>32</v>
      </c>
      <c r="B16" s="15" t="s">
        <v>13</v>
      </c>
      <c r="C16" s="16">
        <v>500</v>
      </c>
      <c r="D16" s="17">
        <v>498.56</v>
      </c>
      <c r="E16" s="17">
        <f t="shared" si="0"/>
        <v>3.71</v>
      </c>
      <c r="F16" s="17" t="s">
        <v>33</v>
      </c>
      <c r="G16" s="10">
        <v>7.63</v>
      </c>
      <c r="H16" s="11"/>
    </row>
    <row r="17" spans="1:8" s="12" customFormat="1" ht="14.25" x14ac:dyDescent="0.3">
      <c r="A17" s="14" t="s">
        <v>23</v>
      </c>
      <c r="B17" s="15" t="s">
        <v>24</v>
      </c>
      <c r="C17" s="16">
        <v>50</v>
      </c>
      <c r="D17" s="17">
        <v>497.92</v>
      </c>
      <c r="E17" s="17">
        <f t="shared" si="0"/>
        <v>3.7</v>
      </c>
      <c r="F17" s="17" t="s">
        <v>34</v>
      </c>
      <c r="G17" s="10">
        <v>7.6550000000000002</v>
      </c>
      <c r="H17" s="11"/>
    </row>
    <row r="18" spans="1:8" s="12" customFormat="1" ht="14.25" x14ac:dyDescent="0.3">
      <c r="A18" s="14" t="s">
        <v>35</v>
      </c>
      <c r="B18" s="15" t="s">
        <v>13</v>
      </c>
      <c r="C18" s="16">
        <v>50</v>
      </c>
      <c r="D18" s="17">
        <v>486.31</v>
      </c>
      <c r="E18" s="17">
        <f t="shared" si="0"/>
        <v>3.62</v>
      </c>
      <c r="F18" s="17" t="s">
        <v>36</v>
      </c>
      <c r="G18" s="10">
        <v>7.8087</v>
      </c>
      <c r="H18" s="11"/>
    </row>
    <row r="19" spans="1:8" s="12" customFormat="1" ht="14.25" x14ac:dyDescent="0.3">
      <c r="A19" s="14" t="s">
        <v>37</v>
      </c>
      <c r="B19" s="15" t="s">
        <v>13</v>
      </c>
      <c r="C19" s="16">
        <v>35</v>
      </c>
      <c r="D19" s="17">
        <v>355.12</v>
      </c>
      <c r="E19" s="17">
        <f t="shared" si="0"/>
        <v>2.64</v>
      </c>
      <c r="F19" s="17" t="s">
        <v>38</v>
      </c>
      <c r="G19" s="10">
        <v>7.5163000000000002</v>
      </c>
      <c r="H19" s="11"/>
    </row>
    <row r="20" spans="1:8" s="12" customFormat="1" ht="14.25" x14ac:dyDescent="0.3">
      <c r="A20" s="14" t="s">
        <v>39</v>
      </c>
      <c r="B20" s="15" t="s">
        <v>13</v>
      </c>
      <c r="C20" s="16">
        <v>25</v>
      </c>
      <c r="D20" s="17">
        <v>248.62</v>
      </c>
      <c r="E20" s="17">
        <f t="shared" si="0"/>
        <v>1.85</v>
      </c>
      <c r="F20" s="17" t="s">
        <v>40</v>
      </c>
      <c r="G20" s="10">
        <v>7.48</v>
      </c>
      <c r="H20" s="11"/>
    </row>
    <row r="21" spans="1:8" s="12" customFormat="1" ht="14.25" x14ac:dyDescent="0.3">
      <c r="A21" s="5" t="s">
        <v>41</v>
      </c>
      <c r="B21" s="6"/>
      <c r="C21" s="18"/>
      <c r="D21" s="8">
        <f>IF(ISERROR(SUM(D7:D20)),0,SUM(D7:D20))</f>
        <v>7628.4000000000005</v>
      </c>
      <c r="E21" s="8">
        <f>IF(ISERROR(SUM(E7:E20)),0,SUM(E7:E20))</f>
        <v>56.760000000000005</v>
      </c>
      <c r="F21" s="8"/>
      <c r="G21" s="10"/>
      <c r="H21" s="11"/>
    </row>
    <row r="22" spans="1:8" s="12" customFormat="1" ht="14.25" x14ac:dyDescent="0.3">
      <c r="A22" s="5"/>
      <c r="B22" s="6"/>
      <c r="C22" s="18"/>
      <c r="D22" s="13"/>
      <c r="E22" s="13"/>
      <c r="F22" s="13"/>
      <c r="G22" s="10"/>
      <c r="H22" s="11"/>
    </row>
    <row r="23" spans="1:8" s="12" customFormat="1" ht="14.25" x14ac:dyDescent="0.3">
      <c r="A23" s="5" t="s">
        <v>42</v>
      </c>
      <c r="B23" s="6"/>
      <c r="C23" s="18"/>
      <c r="D23" s="8" t="s">
        <v>43</v>
      </c>
      <c r="E23" s="8" t="s">
        <v>43</v>
      </c>
      <c r="F23" s="9"/>
      <c r="G23" s="10"/>
      <c r="H23" s="11"/>
    </row>
    <row r="24" spans="1:8" s="12" customFormat="1" ht="14.25" x14ac:dyDescent="0.3">
      <c r="A24" s="5"/>
      <c r="B24" s="6"/>
      <c r="C24" s="18"/>
      <c r="D24" s="13"/>
      <c r="E24" s="13"/>
      <c r="F24" s="13"/>
      <c r="G24" s="10"/>
      <c r="H24" s="11"/>
    </row>
    <row r="25" spans="1:8" s="12" customFormat="1" ht="14.25" x14ac:dyDescent="0.3">
      <c r="A25" s="5" t="s">
        <v>44</v>
      </c>
      <c r="B25" s="6"/>
      <c r="C25" s="18"/>
      <c r="D25" s="8">
        <f>IF(ISERROR(+D21),0,D21)+IF(ISERROR(+#REF!),0,#REF!)+IF(ISERROR(+#REF!),0,#REF!)</f>
        <v>7628.4000000000005</v>
      </c>
      <c r="E25" s="8">
        <f>IF(ISERROR(+E21),0,E21)+IF(ISERROR(+#REF!),0,#REF!)+IF(ISERROR(+#REF!),0,#REF!)</f>
        <v>56.760000000000005</v>
      </c>
      <c r="F25" s="8">
        <f>IF(ISERROR(+F21),0,F21)+IF(ISERROR(+#REF!),0,#REF!)+IF(ISERROR(+#REF!),0,#REF!)</f>
        <v>0</v>
      </c>
      <c r="G25" s="10"/>
      <c r="H25" s="11"/>
    </row>
    <row r="26" spans="1:8" s="12" customFormat="1" ht="14.25" x14ac:dyDescent="0.3">
      <c r="A26" s="5"/>
      <c r="B26" s="6"/>
      <c r="C26" s="18"/>
      <c r="D26" s="8"/>
      <c r="E26" s="8"/>
      <c r="F26" s="8"/>
      <c r="G26" s="10"/>
      <c r="H26" s="11"/>
    </row>
    <row r="27" spans="1:8" s="12" customFormat="1" ht="14.25" x14ac:dyDescent="0.3">
      <c r="A27" s="5" t="s">
        <v>45</v>
      </c>
      <c r="B27" s="6"/>
      <c r="C27" s="18"/>
      <c r="D27" s="8"/>
      <c r="E27" s="8"/>
      <c r="F27" s="8"/>
      <c r="G27" s="10"/>
      <c r="H27" s="11"/>
    </row>
    <row r="28" spans="1:8" s="12" customFormat="1" ht="14.25" x14ac:dyDescent="0.3">
      <c r="A28" s="5"/>
      <c r="B28" s="6"/>
      <c r="C28" s="18"/>
      <c r="D28" s="17"/>
      <c r="E28" s="17"/>
      <c r="F28" s="19"/>
      <c r="G28" s="10"/>
      <c r="H28" s="11"/>
    </row>
    <row r="29" spans="1:8" s="12" customFormat="1" ht="14.25" x14ac:dyDescent="0.3">
      <c r="A29" s="5" t="s">
        <v>46</v>
      </c>
      <c r="B29" s="6"/>
      <c r="C29" s="18"/>
      <c r="D29" s="8" t="s">
        <v>43</v>
      </c>
      <c r="E29" s="8" t="s">
        <v>43</v>
      </c>
      <c r="F29" s="8"/>
      <c r="G29" s="10"/>
      <c r="H29" s="11"/>
    </row>
    <row r="30" spans="1:8" s="12" customFormat="1" ht="14.25" x14ac:dyDescent="0.3">
      <c r="A30" s="5"/>
      <c r="B30" s="6"/>
      <c r="C30" s="18"/>
      <c r="D30" s="8"/>
      <c r="E30" s="8"/>
      <c r="F30" s="8"/>
      <c r="G30" s="10"/>
      <c r="H30" s="11"/>
    </row>
    <row r="31" spans="1:8" s="12" customFormat="1" ht="14.25" x14ac:dyDescent="0.3">
      <c r="A31" s="5" t="s">
        <v>47</v>
      </c>
      <c r="B31" s="6"/>
      <c r="C31" s="18"/>
      <c r="D31" s="8" t="s">
        <v>43</v>
      </c>
      <c r="E31" s="8" t="s">
        <v>43</v>
      </c>
      <c r="F31" s="8"/>
      <c r="G31" s="10"/>
      <c r="H31" s="11"/>
    </row>
    <row r="32" spans="1:8" s="12" customFormat="1" ht="14.25" x14ac:dyDescent="0.3">
      <c r="A32" s="5"/>
      <c r="B32" s="6"/>
      <c r="C32" s="18"/>
      <c r="D32" s="8"/>
      <c r="E32" s="8"/>
      <c r="F32" s="8"/>
      <c r="G32" s="10"/>
      <c r="H32" s="11"/>
    </row>
    <row r="33" spans="1:8" s="12" customFormat="1" ht="14.25" x14ac:dyDescent="0.3">
      <c r="A33" s="5" t="s">
        <v>48</v>
      </c>
      <c r="B33" s="6"/>
      <c r="C33" s="18"/>
      <c r="D33" s="8"/>
      <c r="E33" s="8"/>
      <c r="F33" s="8"/>
      <c r="G33" s="10"/>
      <c r="H33" s="11"/>
    </row>
    <row r="34" spans="1:8" s="12" customFormat="1" ht="14.25" x14ac:dyDescent="0.3">
      <c r="A34" s="14" t="s">
        <v>49</v>
      </c>
      <c r="B34" s="15" t="s">
        <v>50</v>
      </c>
      <c r="C34" s="16">
        <v>1550000</v>
      </c>
      <c r="D34" s="17">
        <v>1579.47</v>
      </c>
      <c r="E34" s="17">
        <f t="shared" ref="E34:E39" si="1">ROUND((+D34/$D$56*100),2)</f>
        <v>11.75</v>
      </c>
      <c r="F34" s="17" t="s">
        <v>51</v>
      </c>
      <c r="G34" s="10">
        <v>6.8403</v>
      </c>
      <c r="H34" s="11"/>
    </row>
    <row r="35" spans="1:8" s="12" customFormat="1" ht="14.25" x14ac:dyDescent="0.3">
      <c r="A35" s="14" t="s">
        <v>52</v>
      </c>
      <c r="B35" s="15" t="s">
        <v>50</v>
      </c>
      <c r="C35" s="16">
        <v>1000000</v>
      </c>
      <c r="D35" s="17">
        <v>1008.5</v>
      </c>
      <c r="E35" s="17">
        <f t="shared" si="1"/>
        <v>7.5</v>
      </c>
      <c r="F35" s="17" t="s">
        <v>53</v>
      </c>
      <c r="G35" s="10">
        <v>6.8274999999999997</v>
      </c>
      <c r="H35" s="11"/>
    </row>
    <row r="36" spans="1:8" s="12" customFormat="1" ht="14.25" x14ac:dyDescent="0.3">
      <c r="A36" s="14" t="s">
        <v>54</v>
      </c>
      <c r="B36" s="15" t="s">
        <v>50</v>
      </c>
      <c r="C36" s="16">
        <v>700000</v>
      </c>
      <c r="D36" s="17">
        <v>708.72</v>
      </c>
      <c r="E36" s="17">
        <f t="shared" si="1"/>
        <v>5.27</v>
      </c>
      <c r="F36" s="17" t="s">
        <v>55</v>
      </c>
      <c r="G36" s="10">
        <v>6.9016999999999999</v>
      </c>
      <c r="H36" s="11"/>
    </row>
    <row r="37" spans="1:8" s="12" customFormat="1" ht="14.25" x14ac:dyDescent="0.3">
      <c r="A37" s="14" t="s">
        <v>56</v>
      </c>
      <c r="B37" s="15" t="s">
        <v>50</v>
      </c>
      <c r="C37" s="16">
        <v>500000</v>
      </c>
      <c r="D37" s="17">
        <v>504.96</v>
      </c>
      <c r="E37" s="17">
        <f t="shared" si="1"/>
        <v>3.76</v>
      </c>
      <c r="F37" s="17" t="s">
        <v>57</v>
      </c>
      <c r="G37" s="10">
        <v>6.8464999999999998</v>
      </c>
      <c r="H37" s="11"/>
    </row>
    <row r="38" spans="1:8" s="12" customFormat="1" ht="14.25" x14ac:dyDescent="0.3">
      <c r="A38" s="14" t="s">
        <v>58</v>
      </c>
      <c r="B38" s="15" t="s">
        <v>50</v>
      </c>
      <c r="C38" s="16">
        <v>500000</v>
      </c>
      <c r="D38" s="17">
        <v>503.49</v>
      </c>
      <c r="E38" s="17">
        <f t="shared" si="1"/>
        <v>3.75</v>
      </c>
      <c r="F38" s="17" t="s">
        <v>59</v>
      </c>
      <c r="G38" s="10">
        <v>6.8387000000000002</v>
      </c>
      <c r="H38" s="11"/>
    </row>
    <row r="39" spans="1:8" s="12" customFormat="1" ht="14.25" x14ac:dyDescent="0.3">
      <c r="A39" s="14" t="s">
        <v>60</v>
      </c>
      <c r="B39" s="15" t="s">
        <v>50</v>
      </c>
      <c r="C39" s="16">
        <v>400000</v>
      </c>
      <c r="D39" s="17">
        <v>405.66</v>
      </c>
      <c r="E39" s="17">
        <f t="shared" si="1"/>
        <v>3.02</v>
      </c>
      <c r="F39" s="17" t="s">
        <v>61</v>
      </c>
      <c r="G39" s="10">
        <v>6.8277999999999999</v>
      </c>
      <c r="H39" s="11"/>
    </row>
    <row r="40" spans="1:8" s="12" customFormat="1" ht="14.25" x14ac:dyDescent="0.3">
      <c r="A40" s="5" t="s">
        <v>41</v>
      </c>
      <c r="B40" s="6"/>
      <c r="C40" s="18"/>
      <c r="D40" s="8">
        <f>IF(ISERROR(SUM(D34:D39)),0,SUM(D34:D39))</f>
        <v>4710.8</v>
      </c>
      <c r="E40" s="8">
        <f>IF(ISERROR(SUM(E34:E39)),0,SUM(E34:E39))</f>
        <v>35.050000000000004</v>
      </c>
      <c r="F40" s="20"/>
      <c r="G40" s="10"/>
      <c r="H40" s="11"/>
    </row>
    <row r="41" spans="1:8" s="12" customFormat="1" ht="14.25" x14ac:dyDescent="0.3">
      <c r="A41" s="5"/>
      <c r="B41" s="6"/>
      <c r="C41" s="18"/>
      <c r="D41" s="8"/>
      <c r="E41" s="8"/>
      <c r="F41" s="8"/>
      <c r="G41" s="10"/>
      <c r="H41" s="11"/>
    </row>
    <row r="42" spans="1:8" s="12" customFormat="1" ht="14.25" x14ac:dyDescent="0.3">
      <c r="A42" s="5" t="s">
        <v>62</v>
      </c>
      <c r="B42" s="6"/>
      <c r="C42" s="18"/>
      <c r="D42" s="8"/>
      <c r="E42" s="8"/>
      <c r="F42" s="9"/>
      <c r="G42" s="10"/>
      <c r="H42" s="11"/>
    </row>
    <row r="43" spans="1:8" s="12" customFormat="1" ht="14.25" x14ac:dyDescent="0.3">
      <c r="A43" s="5" t="s">
        <v>63</v>
      </c>
      <c r="B43" s="6"/>
      <c r="C43" s="18"/>
      <c r="D43" s="8"/>
      <c r="E43" s="8"/>
      <c r="F43" s="9"/>
      <c r="G43" s="10"/>
      <c r="H43" s="11"/>
    </row>
    <row r="44" spans="1:8" s="12" customFormat="1" ht="14.25" x14ac:dyDescent="0.3">
      <c r="A44" s="14" t="s">
        <v>64</v>
      </c>
      <c r="B44" s="15" t="s">
        <v>65</v>
      </c>
      <c r="C44" s="16">
        <v>100</v>
      </c>
      <c r="D44" s="17">
        <v>465.44</v>
      </c>
      <c r="E44" s="17">
        <f>ROUND((+D44/$D$56*100),2)</f>
        <v>3.46</v>
      </c>
      <c r="F44" s="17" t="s">
        <v>66</v>
      </c>
      <c r="G44" s="10">
        <v>7.5698999999999996</v>
      </c>
      <c r="H44" s="11"/>
    </row>
    <row r="45" spans="1:8" s="12" customFormat="1" ht="14.25" x14ac:dyDescent="0.3">
      <c r="A45" s="5" t="s">
        <v>41</v>
      </c>
      <c r="B45" s="21"/>
      <c r="C45" s="22"/>
      <c r="D45" s="8">
        <f>IF(ISERROR(SUM(D44:D44)),0,SUM(D44:D44))</f>
        <v>465.44</v>
      </c>
      <c r="E45" s="8">
        <f>IF(ISERROR(SUM(E44:E44)),0,SUM(E44:E44))</f>
        <v>3.46</v>
      </c>
      <c r="F45" s="23"/>
      <c r="G45" s="10"/>
      <c r="H45" s="11"/>
    </row>
    <row r="46" spans="1:8" s="12" customFormat="1" ht="14.25" x14ac:dyDescent="0.3">
      <c r="A46" s="14" t="s">
        <v>67</v>
      </c>
      <c r="B46" s="15"/>
      <c r="C46" s="16">
        <v>0</v>
      </c>
      <c r="D46" s="17">
        <v>289.82</v>
      </c>
      <c r="E46" s="17">
        <f>ROUND((+D46/$D$56*100),2)</f>
        <v>2.16</v>
      </c>
      <c r="F46" s="17" t="s">
        <v>68</v>
      </c>
      <c r="G46" s="10">
        <v>6.3921000000000001</v>
      </c>
      <c r="H46" s="11"/>
    </row>
    <row r="47" spans="1:8" s="12" customFormat="1" ht="14.25" x14ac:dyDescent="0.3">
      <c r="A47" s="5" t="s">
        <v>41</v>
      </c>
      <c r="B47" s="6"/>
      <c r="C47" s="18"/>
      <c r="D47" s="8">
        <f>IF(ISERROR(SUM(D46:D46)),0,SUM(D46:D46))</f>
        <v>289.82</v>
      </c>
      <c r="E47" s="8">
        <f>IF(ISERROR(SUM(E46:E46)),0,SUM(E46:E46))</f>
        <v>2.16</v>
      </c>
      <c r="F47" s="17"/>
      <c r="G47" s="10"/>
      <c r="H47" s="11"/>
    </row>
    <row r="48" spans="1:8" s="12" customFormat="1" ht="14.25" x14ac:dyDescent="0.3">
      <c r="A48" s="24" t="s">
        <v>69</v>
      </c>
      <c r="B48" s="6"/>
      <c r="C48" s="18"/>
      <c r="D48" s="8"/>
      <c r="E48" s="8"/>
      <c r="F48" s="8"/>
      <c r="G48" s="10"/>
      <c r="H48" s="11"/>
    </row>
    <row r="49" spans="1:8" s="12" customFormat="1" ht="14.25" x14ac:dyDescent="0.3">
      <c r="A49" s="25" t="s">
        <v>70</v>
      </c>
      <c r="B49" s="15"/>
      <c r="C49" s="16">
        <v>325.18</v>
      </c>
      <c r="D49" s="17">
        <v>33.590000000000003</v>
      </c>
      <c r="E49" s="17">
        <f>ROUND((+D49/$D$56*100),2)</f>
        <v>0.25</v>
      </c>
      <c r="F49" s="17" t="s">
        <v>71</v>
      </c>
      <c r="G49" s="10">
        <v>6.85</v>
      </c>
      <c r="H49" s="11"/>
    </row>
    <row r="50" spans="1:8" s="12" customFormat="1" ht="14.25" x14ac:dyDescent="0.3">
      <c r="A50" s="5" t="s">
        <v>41</v>
      </c>
      <c r="B50" s="6"/>
      <c r="C50" s="18"/>
      <c r="D50" s="8">
        <f>IF(ISERROR(SUM(D49:D49)),0,SUM(D49:D49))</f>
        <v>33.590000000000003</v>
      </c>
      <c r="E50" s="8">
        <f>IF(ISERROR(SUM(E49:E49)),0,SUM(E49:E49))</f>
        <v>0.25</v>
      </c>
      <c r="F50" s="17"/>
      <c r="G50" s="10"/>
      <c r="H50" s="11"/>
    </row>
    <row r="51" spans="1:8" s="12" customFormat="1" ht="14.25" x14ac:dyDescent="0.3">
      <c r="A51" s="5"/>
      <c r="B51" s="6"/>
      <c r="C51" s="18"/>
      <c r="D51" s="8"/>
      <c r="E51" s="8"/>
      <c r="F51" s="9"/>
      <c r="G51" s="10"/>
      <c r="H51" s="11"/>
    </row>
    <row r="52" spans="1:8" s="12" customFormat="1" ht="14.25" x14ac:dyDescent="0.3">
      <c r="A52" s="5" t="s">
        <v>44</v>
      </c>
      <c r="B52" s="6"/>
      <c r="C52" s="18" t="s">
        <v>72</v>
      </c>
      <c r="D52" s="8">
        <f>+IF(ISERROR(D25),0,D25)+IF(ISERROR(D47),0,D47)+IF(ISERROR(#REF!),0,#REF!)+IF(ISERROR(#REF!),0,#REF!)+IF(ISERROR(D40),0,D40)+IF(ISERROR(#REF!),0,#REF!)+IF(ISERROR(#REF!),0,#REF!)+IF(ISERROR(#REF!),0,#REF!)+IF(ISERROR(D45),0,D45)+IF(ISERROR(D50),0,D50)</f>
        <v>13128.050000000001</v>
      </c>
      <c r="E52" s="8">
        <f>+IF(ISERROR(E25),0,E25)+IF(ISERROR(E47),0,E47)+IF(ISERROR(#REF!),0,#REF!)+IF(ISERROR(#REF!),0,#REF!)+IF(ISERROR(E40),0,E40)+IF(ISERROR(#REF!),0,#REF!)+IF(ISERROR(#REF!),0,#REF!)+IF(ISERROR(#REF!),0,#REF!)+IF(ISERROR(E45),0,E45)+IF(ISERROR(E50),0,E50)</f>
        <v>97.679999999999993</v>
      </c>
      <c r="F52" s="8">
        <f>+IF(ISERROR(F25),0,F25)+IF(ISERROR(F47),0,F47)+IF(ISERROR(#REF!),0,#REF!)+IF(ISERROR(#REF!),0,#REF!)+IF(ISERROR(F40),0,F40)+IF(ISERROR(#REF!),0,#REF!)+IF(ISERROR(#REF!),0,#REF!)+IF(ISERROR(#REF!),0,#REF!)+IF(ISERROR(#REF!),0,#REF!)+F45</f>
        <v>0</v>
      </c>
      <c r="G52" s="10"/>
      <c r="H52" s="11"/>
    </row>
    <row r="53" spans="1:8" s="12" customFormat="1" ht="14.25" x14ac:dyDescent="0.3">
      <c r="A53" s="5"/>
      <c r="B53" s="6"/>
      <c r="C53" s="18"/>
      <c r="D53" s="8"/>
      <c r="E53" s="8"/>
      <c r="F53" s="26"/>
      <c r="G53" s="27"/>
      <c r="H53" s="28"/>
    </row>
    <row r="54" spans="1:8" s="12" customFormat="1" ht="14.25" x14ac:dyDescent="0.3">
      <c r="A54" s="5" t="s">
        <v>73</v>
      </c>
      <c r="B54" s="6"/>
      <c r="C54" s="18"/>
      <c r="D54" s="8">
        <f>+D56-D52</f>
        <v>312.69999999999891</v>
      </c>
      <c r="E54" s="8">
        <f>+E56-E52</f>
        <v>2.3200000000000074</v>
      </c>
      <c r="F54" s="26"/>
      <c r="G54" s="27"/>
      <c r="H54" s="28"/>
    </row>
    <row r="55" spans="1:8" s="12" customFormat="1" ht="14.25" x14ac:dyDescent="0.3">
      <c r="A55" s="5"/>
      <c r="B55" s="6"/>
      <c r="C55" s="18"/>
      <c r="D55" s="13"/>
      <c r="E55" s="13"/>
      <c r="F55" s="26"/>
      <c r="G55" s="27"/>
      <c r="H55" s="28"/>
    </row>
    <row r="56" spans="1:8" s="12" customFormat="1" ht="14.25" x14ac:dyDescent="0.3">
      <c r="A56" s="5" t="s">
        <v>74</v>
      </c>
      <c r="B56" s="6"/>
      <c r="C56" s="18"/>
      <c r="D56" s="8">
        <v>13440.75</v>
      </c>
      <c r="E56" s="8">
        <v>100</v>
      </c>
      <c r="F56" s="26"/>
      <c r="G56" s="27"/>
      <c r="H56" s="28"/>
    </row>
    <row r="57" spans="1:8" s="12" customFormat="1" ht="14.25" x14ac:dyDescent="0.3">
      <c r="A57" s="29"/>
      <c r="B57" s="30"/>
      <c r="C57" s="31"/>
      <c r="D57" s="32"/>
      <c r="E57" s="32"/>
      <c r="F57" s="26"/>
      <c r="G57" s="27"/>
      <c r="H57" s="28"/>
    </row>
    <row r="58" spans="1:8" s="12" customFormat="1" ht="13.5" x14ac:dyDescent="0.2">
      <c r="A58" s="33" t="s">
        <v>75</v>
      </c>
      <c r="B58" s="34"/>
      <c r="C58" s="35"/>
      <c r="D58" s="36"/>
      <c r="E58" s="36"/>
      <c r="F58" s="37"/>
      <c r="G58" s="37"/>
      <c r="H58" s="38"/>
    </row>
    <row r="59" spans="1:8" ht="14.25" x14ac:dyDescent="0.3">
      <c r="A59" s="39"/>
      <c r="B59" s="34"/>
      <c r="C59" s="35"/>
      <c r="D59" s="36"/>
      <c r="E59" s="36"/>
      <c r="F59" s="37"/>
      <c r="G59" s="37"/>
      <c r="H59" s="38"/>
    </row>
    <row r="60" spans="1:8" ht="13.5" x14ac:dyDescent="0.2">
      <c r="A60" s="94" t="s">
        <v>76</v>
      </c>
      <c r="B60" s="94"/>
      <c r="C60" s="94"/>
      <c r="D60" s="94"/>
      <c r="E60" s="94"/>
      <c r="F60" s="94"/>
      <c r="G60" s="94"/>
      <c r="H60" s="94"/>
    </row>
    <row r="61" spans="1:8" ht="26.25" customHeight="1" x14ac:dyDescent="0.2">
      <c r="A61" s="94" t="s">
        <v>77</v>
      </c>
      <c r="B61" s="94"/>
      <c r="C61" s="94"/>
      <c r="D61" s="94"/>
      <c r="E61" s="94"/>
      <c r="F61" s="94"/>
      <c r="G61" s="80"/>
      <c r="H61" s="80"/>
    </row>
    <row r="62" spans="1:8" ht="13.5" x14ac:dyDescent="0.2">
      <c r="A62" s="90" t="s">
        <v>78</v>
      </c>
      <c r="B62" s="90"/>
      <c r="C62" s="90"/>
      <c r="D62" s="90"/>
      <c r="E62" s="90"/>
      <c r="F62" s="90"/>
      <c r="G62" s="90"/>
      <c r="H62" s="90"/>
    </row>
    <row r="63" spans="1:8" ht="52.5" customHeight="1" x14ac:dyDescent="0.2">
      <c r="A63" s="79" t="s">
        <v>79</v>
      </c>
      <c r="B63" s="79"/>
      <c r="C63" s="79"/>
      <c r="D63" s="79"/>
      <c r="E63" s="79"/>
      <c r="F63" s="79"/>
      <c r="G63" s="80"/>
      <c r="H63" s="80"/>
    </row>
    <row r="64" spans="1:8" ht="13.5" x14ac:dyDescent="0.2">
      <c r="A64" s="40"/>
      <c r="B64" s="40"/>
      <c r="C64" s="40"/>
      <c r="D64" s="40"/>
      <c r="E64" s="40"/>
      <c r="F64" s="40"/>
      <c r="G64" s="41"/>
      <c r="H64" s="41"/>
    </row>
    <row r="65" spans="1:8" ht="14.25" x14ac:dyDescent="0.3">
      <c r="A65" s="42" t="s">
        <v>80</v>
      </c>
      <c r="B65" s="43"/>
      <c r="C65" s="44"/>
      <c r="D65" s="28"/>
      <c r="E65" s="27"/>
      <c r="F65" s="27"/>
      <c r="G65" s="28"/>
      <c r="H65" s="28"/>
    </row>
    <row r="66" spans="1:8" ht="14.25" x14ac:dyDescent="0.3">
      <c r="A66" s="45" t="s">
        <v>81</v>
      </c>
      <c r="B66" s="46"/>
      <c r="C66" s="46"/>
      <c r="D66" s="28"/>
      <c r="E66" s="27"/>
      <c r="F66" s="27"/>
      <c r="G66" s="28"/>
      <c r="H66" s="28"/>
    </row>
    <row r="67" spans="1:8" ht="14.25" x14ac:dyDescent="0.3">
      <c r="A67" s="45" t="s">
        <v>82</v>
      </c>
      <c r="B67" s="45"/>
      <c r="C67" s="45"/>
      <c r="D67" s="28"/>
      <c r="E67" s="27"/>
      <c r="F67" s="27"/>
      <c r="G67" s="28"/>
      <c r="H67" s="28"/>
    </row>
    <row r="68" spans="1:8" ht="14.25" x14ac:dyDescent="0.3">
      <c r="A68" s="39" t="s">
        <v>83</v>
      </c>
      <c r="B68" s="46"/>
      <c r="C68" s="46"/>
      <c r="D68" s="28"/>
      <c r="E68" s="27"/>
      <c r="F68" s="27"/>
      <c r="G68" s="28"/>
      <c r="H68" s="28"/>
    </row>
    <row r="69" spans="1:8" ht="14.25" x14ac:dyDescent="0.3">
      <c r="A69" s="47"/>
      <c r="B69" s="47"/>
      <c r="C69" s="47"/>
      <c r="D69" s="47"/>
      <c r="E69" s="27"/>
      <c r="F69" s="27"/>
      <c r="G69" s="28"/>
      <c r="H69" s="28"/>
    </row>
    <row r="70" spans="1:8" ht="14.25" x14ac:dyDescent="0.3">
      <c r="A70" s="48" t="s">
        <v>84</v>
      </c>
      <c r="B70" s="81" t="s">
        <v>85</v>
      </c>
      <c r="C70" s="82"/>
      <c r="D70" s="82"/>
      <c r="E70" s="49"/>
      <c r="F70" s="27"/>
      <c r="G70" s="28"/>
      <c r="H70" s="28"/>
    </row>
    <row r="71" spans="1:8" ht="14.25" x14ac:dyDescent="0.3">
      <c r="A71" s="50"/>
      <c r="B71" s="51"/>
      <c r="C71" s="52"/>
      <c r="D71" s="28"/>
      <c r="E71" s="27"/>
      <c r="F71" s="27"/>
      <c r="G71" s="28"/>
      <c r="H71" s="28"/>
    </row>
    <row r="72" spans="1:8" ht="14.25" x14ac:dyDescent="0.3">
      <c r="A72" s="50"/>
      <c r="B72" s="51"/>
      <c r="C72" s="52"/>
      <c r="D72" s="28"/>
      <c r="E72" s="27"/>
      <c r="F72" s="27"/>
      <c r="G72" s="28"/>
      <c r="H72" s="28"/>
    </row>
    <row r="73" spans="1:8" ht="14.25" x14ac:dyDescent="0.3">
      <c r="A73" s="50"/>
      <c r="B73" s="51"/>
      <c r="C73" s="52"/>
      <c r="D73" s="28"/>
      <c r="E73" s="27"/>
      <c r="F73" s="27"/>
      <c r="G73" s="28"/>
      <c r="H73" s="28"/>
    </row>
    <row r="74" spans="1:8" ht="14.25" x14ac:dyDescent="0.3">
      <c r="A74" s="50"/>
      <c r="B74" s="51"/>
      <c r="C74" s="52"/>
      <c r="D74" s="28"/>
      <c r="E74" s="27"/>
      <c r="F74" s="27"/>
      <c r="G74" s="28"/>
      <c r="H74" s="28"/>
    </row>
    <row r="75" spans="1:8" ht="14.25" x14ac:dyDescent="0.3">
      <c r="A75" s="50"/>
      <c r="B75" s="51"/>
      <c r="C75" s="52"/>
      <c r="D75" s="28"/>
      <c r="E75" s="27"/>
      <c r="F75" s="27"/>
      <c r="G75" s="28"/>
      <c r="H75" s="28"/>
    </row>
    <row r="76" spans="1:8" ht="14.25" x14ac:dyDescent="0.3">
      <c r="A76" s="50"/>
      <c r="B76" s="51"/>
      <c r="C76" s="52"/>
      <c r="D76" s="28"/>
      <c r="E76" s="27"/>
      <c r="F76" s="27"/>
      <c r="G76" s="28"/>
      <c r="H76" s="28"/>
    </row>
    <row r="77" spans="1:8" ht="14.25" x14ac:dyDescent="0.3">
      <c r="A77" s="50"/>
      <c r="B77" s="51"/>
      <c r="C77" s="52"/>
      <c r="D77" s="28"/>
      <c r="E77" s="27"/>
      <c r="F77" s="27"/>
      <c r="G77" s="28"/>
      <c r="H77" s="28"/>
    </row>
    <row r="78" spans="1:8" ht="14.25" x14ac:dyDescent="0.3">
      <c r="A78" s="39"/>
      <c r="B78" s="51"/>
      <c r="C78" s="52"/>
      <c r="D78" s="28"/>
      <c r="E78" s="27"/>
      <c r="F78" s="27"/>
      <c r="G78" s="28"/>
      <c r="H78" s="28"/>
    </row>
    <row r="79" spans="1:8" ht="14.25" x14ac:dyDescent="0.3">
      <c r="A79" s="39"/>
      <c r="B79" s="51"/>
      <c r="C79" s="52"/>
      <c r="D79" s="28"/>
      <c r="E79" s="27"/>
      <c r="F79" s="27"/>
      <c r="G79" s="28"/>
      <c r="H79" s="28"/>
    </row>
    <row r="80" spans="1:8" ht="15" thickBot="1" x14ac:dyDescent="0.35">
      <c r="A80" s="53"/>
      <c r="B80" s="54"/>
      <c r="C80" s="55"/>
      <c r="D80" s="56"/>
      <c r="E80" s="27"/>
      <c r="F80" s="27"/>
      <c r="G80" s="28"/>
      <c r="H80" s="28"/>
    </row>
    <row r="81" spans="1:8" ht="15" thickBot="1" x14ac:dyDescent="0.35">
      <c r="A81" s="83" t="s">
        <v>86</v>
      </c>
      <c r="B81" s="84"/>
      <c r="C81" s="84"/>
      <c r="D81" s="85"/>
      <c r="E81" s="27"/>
      <c r="F81" s="27"/>
      <c r="G81" s="28"/>
      <c r="H81" s="28"/>
    </row>
    <row r="82" spans="1:8" ht="15" thickBot="1" x14ac:dyDescent="0.35">
      <c r="A82" s="57" t="s">
        <v>87</v>
      </c>
      <c r="B82" s="86" t="s">
        <v>88</v>
      </c>
      <c r="C82" s="88" t="s">
        <v>89</v>
      </c>
      <c r="D82" s="86" t="s">
        <v>90</v>
      </c>
      <c r="E82" s="27"/>
      <c r="F82" s="27"/>
      <c r="G82" s="28"/>
      <c r="H82" s="28"/>
    </row>
    <row r="83" spans="1:8" ht="15" thickBot="1" x14ac:dyDescent="0.35">
      <c r="A83" s="57" t="s">
        <v>91</v>
      </c>
      <c r="B83" s="87"/>
      <c r="C83" s="89"/>
      <c r="D83" s="87"/>
      <c r="E83" s="27"/>
      <c r="F83" s="27"/>
      <c r="G83" s="28"/>
      <c r="H83" s="28"/>
    </row>
    <row r="84" spans="1:8" ht="15" thickBot="1" x14ac:dyDescent="0.35">
      <c r="A84" s="58" t="s">
        <v>92</v>
      </c>
      <c r="B84" s="59"/>
      <c r="C84" s="59"/>
      <c r="D84" s="59"/>
      <c r="E84" s="27"/>
      <c r="F84" s="27"/>
      <c r="G84" s="28"/>
      <c r="H84" s="28"/>
    </row>
    <row r="85" spans="1:8" ht="15" thickBot="1" x14ac:dyDescent="0.35">
      <c r="A85" s="58" t="s">
        <v>93</v>
      </c>
      <c r="B85" s="59"/>
      <c r="C85" s="60" t="s">
        <v>94</v>
      </c>
      <c r="D85" s="59"/>
      <c r="E85" s="27"/>
      <c r="F85" s="27"/>
      <c r="G85" s="28"/>
      <c r="H85" s="28"/>
    </row>
    <row r="86" spans="1:8" ht="15" thickBot="1" x14ac:dyDescent="0.35">
      <c r="A86" s="58" t="s">
        <v>95</v>
      </c>
      <c r="B86" s="59"/>
      <c r="C86" s="60"/>
      <c r="D86" s="59"/>
      <c r="E86" s="27"/>
      <c r="F86" s="27"/>
      <c r="G86" s="28"/>
      <c r="H86" s="28"/>
    </row>
    <row r="87" spans="1:8" ht="14.25" x14ac:dyDescent="0.3">
      <c r="A87" s="39"/>
      <c r="B87" s="61"/>
      <c r="C87" s="62"/>
      <c r="D87" s="61"/>
      <c r="E87" s="27"/>
      <c r="F87" s="27"/>
      <c r="G87" s="28"/>
      <c r="H87" s="28"/>
    </row>
    <row r="88" spans="1:8" ht="14.25" x14ac:dyDescent="0.3">
      <c r="A88" s="77" t="s">
        <v>96</v>
      </c>
      <c r="B88" s="78"/>
      <c r="C88" s="28"/>
      <c r="D88" s="28"/>
      <c r="E88" s="28"/>
      <c r="F88" s="28"/>
      <c r="G88" s="28"/>
      <c r="H88" s="28"/>
    </row>
    <row r="89" spans="1:8" ht="27" x14ac:dyDescent="0.3">
      <c r="A89" s="63" t="s">
        <v>97</v>
      </c>
      <c r="B89" s="64" t="s">
        <v>98</v>
      </c>
      <c r="C89" s="28"/>
      <c r="D89" s="28"/>
      <c r="E89" s="28"/>
      <c r="F89" s="28"/>
      <c r="G89" s="28"/>
      <c r="H89" s="28"/>
    </row>
    <row r="90" spans="1:8" ht="14.25" x14ac:dyDescent="0.3">
      <c r="A90" s="65" t="s">
        <v>99</v>
      </c>
      <c r="B90" s="66"/>
      <c r="C90" s="28"/>
      <c r="D90" s="28"/>
      <c r="E90" s="28"/>
      <c r="F90" s="28"/>
      <c r="G90" s="28"/>
      <c r="H90" s="28"/>
    </row>
    <row r="91" spans="1:8" ht="14.25" x14ac:dyDescent="0.3">
      <c r="A91" s="65"/>
      <c r="B91" s="66" t="s">
        <v>72</v>
      </c>
      <c r="C91" s="28"/>
      <c r="D91" s="28"/>
      <c r="E91" s="28"/>
      <c r="F91" s="28"/>
      <c r="G91" s="28"/>
      <c r="H91" s="28"/>
    </row>
    <row r="92" spans="1:8" ht="14.25" x14ac:dyDescent="0.3">
      <c r="A92" s="65" t="s">
        <v>100</v>
      </c>
      <c r="B92" s="67">
        <v>7.4300000000000005E-2</v>
      </c>
      <c r="C92" s="28"/>
      <c r="D92" s="28"/>
      <c r="E92" s="28"/>
      <c r="F92" s="28"/>
      <c r="G92" s="28"/>
      <c r="H92" s="28"/>
    </row>
    <row r="93" spans="1:8" ht="14.25" x14ac:dyDescent="0.3">
      <c r="A93" s="65" t="s">
        <v>72</v>
      </c>
      <c r="B93" s="68"/>
      <c r="C93" s="28"/>
      <c r="D93" s="28"/>
      <c r="E93" s="28"/>
      <c r="F93" s="28"/>
      <c r="G93" s="28"/>
      <c r="H93" s="28"/>
    </row>
    <row r="94" spans="1:8" ht="14.25" x14ac:dyDescent="0.3">
      <c r="A94" s="65" t="s">
        <v>101</v>
      </c>
      <c r="B94" s="69">
        <v>2.7092000000000001</v>
      </c>
      <c r="C94" s="70"/>
      <c r="D94" s="28"/>
      <c r="E94" s="28"/>
      <c r="F94" s="28"/>
      <c r="G94" s="28"/>
      <c r="H94" s="28"/>
    </row>
    <row r="95" spans="1:8" ht="14.25" x14ac:dyDescent="0.3">
      <c r="A95" s="65" t="s">
        <v>102</v>
      </c>
      <c r="B95" s="69">
        <v>3.0796999999999999</v>
      </c>
      <c r="C95" s="70"/>
      <c r="D95" s="28"/>
      <c r="E95" s="28"/>
      <c r="F95" s="28"/>
      <c r="G95" s="28"/>
      <c r="H95" s="28"/>
    </row>
    <row r="96" spans="1:8" ht="14.25" x14ac:dyDescent="0.3">
      <c r="A96" s="65" t="s">
        <v>72</v>
      </c>
      <c r="B96" s="21" t="s">
        <v>72</v>
      </c>
      <c r="C96" s="70"/>
      <c r="D96" s="28"/>
      <c r="E96" s="28"/>
      <c r="F96" s="28"/>
      <c r="G96" s="28"/>
      <c r="H96" s="28"/>
    </row>
    <row r="97" spans="1:8" ht="14.25" x14ac:dyDescent="0.3">
      <c r="A97" s="65" t="s">
        <v>103</v>
      </c>
      <c r="B97" s="71" t="s">
        <v>104</v>
      </c>
      <c r="C97" s="70"/>
      <c r="D97" s="28"/>
      <c r="E97" s="28"/>
      <c r="F97" s="28"/>
      <c r="G97" s="28"/>
      <c r="H97" s="28"/>
    </row>
    <row r="98" spans="1:8" ht="14.25" x14ac:dyDescent="0.3">
      <c r="A98" s="72" t="s">
        <v>105</v>
      </c>
      <c r="B98" s="73"/>
      <c r="C98" s="70"/>
      <c r="D98" s="28"/>
      <c r="E98" s="28"/>
      <c r="F98" s="28"/>
      <c r="G98" s="28"/>
      <c r="H98" s="28"/>
    </row>
  </sheetData>
  <mergeCells count="13">
    <mergeCell ref="A62:H62"/>
    <mergeCell ref="A1:H1"/>
    <mergeCell ref="A2:H2"/>
    <mergeCell ref="A3:H3"/>
    <mergeCell ref="A60:H60"/>
    <mergeCell ref="A61:H61"/>
    <mergeCell ref="A88:B88"/>
    <mergeCell ref="A63:H63"/>
    <mergeCell ref="B70:D70"/>
    <mergeCell ref="A81:D81"/>
    <mergeCell ref="B82:B83"/>
    <mergeCell ref="C82:C83"/>
    <mergeCell ref="D82:D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2024-08-01T13:16:40Z</dcterms:created>
  <dcterms:modified xsi:type="dcterms:W3CDTF">2024-08-05T13:25:18Z</dcterms:modified>
</cp:coreProperties>
</file>