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Liquid Fund" sheetId="1" r:id="rId1"/>
  </sheets>
  <definedNames>
    <definedName name="_xlnm._FilterDatabase" localSheetId="0" hidden="1">'JM Liquid Fund'!$A$1:$J$127</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9" i="1" l="1"/>
  <c r="E68" i="1"/>
  <c r="E69" i="1" s="1"/>
  <c r="E66" i="1"/>
  <c r="D66" i="1"/>
  <c r="E65" i="1"/>
  <c r="D64" i="1"/>
  <c r="E63" i="1"/>
  <c r="E62" i="1"/>
  <c r="E61" i="1"/>
  <c r="E60" i="1"/>
  <c r="E59" i="1"/>
  <c r="E58" i="1"/>
  <c r="E57" i="1"/>
  <c r="E64" i="1" s="1"/>
  <c r="E56" i="1"/>
  <c r="D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54" i="1" s="1"/>
  <c r="F71" i="1"/>
  <c r="D14" i="1"/>
  <c r="D71" i="1" s="1"/>
  <c r="D73" i="1" s="1"/>
  <c r="E73" i="1" s="1"/>
  <c r="D10" i="1"/>
  <c r="E9" i="1"/>
  <c r="E8" i="1"/>
  <c r="E7" i="1"/>
  <c r="E10" i="1" s="1"/>
  <c r="E14" i="1" s="1"/>
  <c r="E71" i="1" s="1"/>
  <c r="E75" i="1" s="1"/>
</calcChain>
</file>

<file path=xl/sharedStrings.xml><?xml version="1.0" encoding="utf-8"?>
<sst xmlns="http://schemas.openxmlformats.org/spreadsheetml/2006/main" count="198" uniqueCount="147">
  <si>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</si>
  <si>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</si>
  <si>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</si>
  <si>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</si>
  <si>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</si>
  <si>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</si>
  <si>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</si>
  <si>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</si>
  <si>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</si>
  <si>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</si>
  <si>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</si>
  <si>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</si>
  <si>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Shriram Finance Ltd.**</t>
  </si>
  <si>
    <t>CARE AA+</t>
  </si>
  <si>
    <t>INE721A07RJ5</t>
  </si>
  <si>
    <t>REC Ltd.</t>
  </si>
  <si>
    <t>CARE AAA</t>
  </si>
  <si>
    <t>INE020B08BV7</t>
  </si>
  <si>
    <t>Axis Finance Ltd.**</t>
  </si>
  <si>
    <t>INE891K07663</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</si>
  <si>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</si>
  <si>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</si>
  <si>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</si>
  <si>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</si>
  <si>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</si>
  <si>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</si>
  <si>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</si>
  <si>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</si>
  <si>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</si>
  <si>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ICICI Bank Ltd.CD**</t>
  </si>
  <si>
    <t>CARE A1+</t>
  </si>
  <si>
    <t>INE090A169Z3</t>
  </si>
  <si>
    <t>AXIS Bank Ltd.CD**</t>
  </si>
  <si>
    <t>CRISIL A1+</t>
  </si>
  <si>
    <t>INE238AD6728</t>
  </si>
  <si>
    <t>Union Bank of India CD</t>
  </si>
  <si>
    <t>ICRA A1+</t>
  </si>
  <si>
    <t>INE692A16HB7</t>
  </si>
  <si>
    <t>Tata Motors Finance Ltd.CP**</t>
  </si>
  <si>
    <t>INE477S14CB1</t>
  </si>
  <si>
    <t>Muthoot Finance Ltd.CP</t>
  </si>
  <si>
    <t>INE414G14SY7</t>
  </si>
  <si>
    <t>SIDBI Ltd.CD</t>
  </si>
  <si>
    <t>INE556F16AK9</t>
  </si>
  <si>
    <t>ICICI Securities Ltd.CP</t>
  </si>
  <si>
    <t>INE763G14TL2</t>
  </si>
  <si>
    <t>Canara Bank CD</t>
  </si>
  <si>
    <t>INE476A16XW8</t>
  </si>
  <si>
    <t>IDFC First Bank Ltd.CD**</t>
  </si>
  <si>
    <t>INE092T16WH6</t>
  </si>
  <si>
    <t>Bajaj Finance Ltd.CP**</t>
  </si>
  <si>
    <t>INE296A14XQ7</t>
  </si>
  <si>
    <t>INE238AD6447</t>
  </si>
  <si>
    <t>Export-Import Bank of India CP**</t>
  </si>
  <si>
    <t>INE514E14RO2</t>
  </si>
  <si>
    <t>Bank of Baroda CD**</t>
  </si>
  <si>
    <t>IND A1+</t>
  </si>
  <si>
    <t>INE028A16FG7</t>
  </si>
  <si>
    <t>Kotak Mahindra Bank CD**</t>
  </si>
  <si>
    <t>INE237A164U9</t>
  </si>
  <si>
    <t>Tata Power Renewable Energy Ltd.CP**</t>
  </si>
  <si>
    <t>INE607M14BE2</t>
  </si>
  <si>
    <t>Canara Bank CD**</t>
  </si>
  <si>
    <t>INE476A16YE4</t>
  </si>
  <si>
    <t>INE238AD6777</t>
  </si>
  <si>
    <t>Kotak Securities Ltd.CP**</t>
  </si>
  <si>
    <t>INE028E14NV7</t>
  </si>
  <si>
    <t>HDFC Bank Ltd.CD</t>
  </si>
  <si>
    <t>INE040A16EV4</t>
  </si>
  <si>
    <t>INE028A16FM5</t>
  </si>
  <si>
    <t>Reliance Retail Ventures Ltd.CP**</t>
  </si>
  <si>
    <t>INE929O14BS6</t>
  </si>
  <si>
    <t>Indian Bank CD</t>
  </si>
  <si>
    <t>INE562A16MX6</t>
  </si>
  <si>
    <t>INE476A16YI5</t>
  </si>
  <si>
    <t>NABARD CP**</t>
  </si>
  <si>
    <t>INE261F14LQ5</t>
  </si>
  <si>
    <t>Union Bank of India CD**</t>
  </si>
  <si>
    <t>INE692A16HJ0</t>
  </si>
  <si>
    <t>HDFC Bank Ltd.CD**</t>
  </si>
  <si>
    <t>INE040A16DZ7</t>
  </si>
  <si>
    <t>Piramal Capital &amp; Housing Finance Ltd. CP**</t>
  </si>
  <si>
    <t>INE516Y14FM4</t>
  </si>
  <si>
    <t>HDFC Securities Ltd.CP**</t>
  </si>
  <si>
    <t>INE700G14JP6</t>
  </si>
  <si>
    <t>INE516Y14FP7</t>
  </si>
  <si>
    <t>Standard Chartered Capital Ltd.CP**</t>
  </si>
  <si>
    <t>INE403G14RK1</t>
  </si>
  <si>
    <t>Treasury Bills</t>
  </si>
  <si>
    <t>91 Days Treasury-Bill 08/08/2024</t>
  </si>
  <si>
    <t>Sovereign</t>
  </si>
  <si>
    <t>IN002024X078</t>
  </si>
  <si>
    <t>91 Days Treasury-Bill 27/06/2024</t>
  </si>
  <si>
    <t>IN002023X559</t>
  </si>
  <si>
    <t>91 Days Treasury-Bill 15/08/2024</t>
  </si>
  <si>
    <t>IN002024X086</t>
  </si>
  <si>
    <t>182 Days Treasury-Bill 01/08/2024</t>
  </si>
  <si>
    <t>IN002023Y458</t>
  </si>
  <si>
    <t>182 Days Treasury-Bill 15/08/2024</t>
  </si>
  <si>
    <t>IN002023Y474</t>
  </si>
  <si>
    <t>91 Days Treasury-Bill 12/07/2024</t>
  </si>
  <si>
    <t>IN002024X029</t>
  </si>
  <si>
    <t>182 Days Treasury-Bill 18/07/2024</t>
  </si>
  <si>
    <t>IN002023Y433</t>
  </si>
  <si>
    <t>182 Days Treasury-Bill 22/08/2024</t>
  </si>
  <si>
    <t>IN002023Y490</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</si>
  <si>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</si>
  <si>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</si>
  <si>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</si>
  <si>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</si>
  <si>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</si>
  <si>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</si>
  <si>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</si>
  <si>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</si>
  <si>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</si>
  <si>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</si>
  <si>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</si>
  <si>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</si>
  <si>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</si>
  <si>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</si>
  <si>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</si>
  <si>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</si>
  <si>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</si>
  <si>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</si>
  <si>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</si>
  <si>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</si>
  <si>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</si>
  <si>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</si>
  <si>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</si>
  <si>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</si>
  <si>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</si>
  <si>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</si>
  <si>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</si>
  <si>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</si>
  <si>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</si>
  <si>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</si>
  <si>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</si>
  <si>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</si>
  <si>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</si>
  <si>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</si>
  <si>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 ( Years )</t>
  </si>
  <si>
    <t>Residual Maturity  ( Years )</t>
  </si>
  <si>
    <t xml:space="preserve">As on (Date) </t>
  </si>
  <si>
    <t>31.05.2024</t>
  </si>
  <si>
    <t xml:space="preserve">* in case of semi annual YTM,  it will be annualised </t>
  </si>
  <si>
    <t>Note - Aggregate investments by other scheme (s) of JM Financial Mutual Fund at the end of the period is Rs.1,278.93 Lakhs.</t>
  </si>
  <si>
    <t>Monthly Portfolio Statement for the period ended 31.05.2024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</si>
</sst>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0" fontId="6" fillId="0" borderId="0"/>
    <xf numFmtId="0" fontId="6" fillId="0" borderId="0"/>
  </cellStyleXfs>
  <cellXfs count="95">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6" fontId="3" fillId="0" borderId="0" xfId="3" applyNumberFormat="1" applyFont="1" applyFill="1"/>
    <xf numFmtId="165"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applyBorder="1" applyAlignment="1">
      <alignment horizontal="right"/>
    </xf>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4" fontId="5" fillId="0" borderId="0" xfId="3" applyNumberFormat="1" applyFont="1" applyFill="1" applyAlignment="1">
      <alignment horizontal="right"/>
    </xf>
    <xf numFmtId="4" fontId="5" fillId="0" borderId="0" xfId="3" applyNumberFormat="1" applyFont="1" applyFill="1"/>
    <xf numFmtId="0" fontId="5" fillId="0" borderId="0" xfId="5" applyFont="1" applyAlignment="1">
      <alignment horizontal="left" vertical="top" wrapText="1"/>
    </xf>
    <xf numFmtId="4" fontId="3" fillId="0" borderId="0" xfId="3" applyNumberFormat="1" applyFont="1" applyFill="1"/>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7" fillId="0" borderId="0" xfId="6" applyFont="1" applyBorder="1" applyAlignment="1">
      <alignment horizontal="left" vertical="center" wrapText="1"/>
    </xf>
    <xf numFmtId="0" fontId="9" fillId="0" borderId="0" xfId="7"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7" applyFont="1" applyBorder="1"/>
    <xf numFmtId="4" fontId="5" fillId="0" borderId="0" xfId="3" applyNumberFormat="1" applyFont="1"/>
    <xf numFmtId="0" fontId="7" fillId="0" borderId="0" xfId="8" applyFont="1" applyBorder="1"/>
    <xf numFmtId="0" fontId="9" fillId="0" borderId="0" xfId="9"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7" fillId="0" borderId="8" xfId="3" applyFont="1" applyBorder="1" applyAlignment="1">
      <alignment vertical="center" wrapText="1"/>
    </xf>
    <xf numFmtId="0" fontId="7" fillId="0" borderId="0" xfId="9" applyFont="1" applyBorder="1"/>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cellXfs>
  <cellStyles count="10">
    <cellStyle name="Comma" xfId="1" builtinId="3"/>
    <cellStyle name="Normal" xfId="0" builtinId="0"/>
    <cellStyle name="Normal 2 2 2" xfId="3"/>
    <cellStyle name="Normal 2 2_Template Portfolio Disclosure -31.05 2024" xfId="4"/>
    <cellStyle name="Normal 2 3 2" xfId="5"/>
    <cellStyle name="Normal 4_IF" xfId="9"/>
    <cellStyle name="Normal 4_LD" xfId="6"/>
    <cellStyle name="Normal 4_LF" xfId="7"/>
    <cellStyle name="Normal 4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600075</xdr:colOff>
      <xdr:row>97</xdr:row>
      <xdr:rowOff>85725</xdr:rowOff>
    </xdr:from>
    <xdr:to>
      <xdr:col>0</xdr:col>
      <xdr:colOff>3105150</xdr:colOff>
      <xdr:row>100</xdr:row>
      <xdr:rowOff>47626</xdr:rowOff>
    </xdr:to>
    <xdr:sp macro="" textlink="">
      <xdr:nvSpPr>
        <xdr:cNvPr id="2" name="TextBox 1"/>
        <xdr:cNvSpPr txBox="1"/>
      </xdr:nvSpPr>
      <xdr:spPr>
        <a:xfrm>
          <a:off x="600075" y="18335625"/>
          <a:ext cx="2505075"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419100</xdr:colOff>
      <xdr:row>97</xdr:row>
      <xdr:rowOff>85725</xdr:rowOff>
    </xdr:from>
    <xdr:to>
      <xdr:col>3</xdr:col>
      <xdr:colOff>628651</xdr:colOff>
      <xdr:row>99</xdr:row>
      <xdr:rowOff>171450</xdr:rowOff>
    </xdr:to>
    <xdr:sp macro="" textlink="">
      <xdr:nvSpPr>
        <xdr:cNvPr id="3" name="TextBox 2"/>
        <xdr:cNvSpPr txBox="1"/>
      </xdr:nvSpPr>
      <xdr:spPr>
        <a:xfrm>
          <a:off x="3810000" y="18335625"/>
          <a:ext cx="22098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838200</xdr:colOff>
      <xdr:row>91</xdr:row>
      <xdr:rowOff>47625</xdr:rowOff>
    </xdr:from>
    <xdr:to>
      <xdr:col>0</xdr:col>
      <xdr:colOff>2828925</xdr:colOff>
      <xdr:row>97</xdr:row>
      <xdr:rowOff>28575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17211675"/>
          <a:ext cx="19907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457201</xdr:colOff>
      <xdr:row>91</xdr:row>
      <xdr:rowOff>47625</xdr:rowOff>
    </xdr:from>
    <xdr:to>
      <xdr:col>3</xdr:col>
      <xdr:colOff>552451</xdr:colOff>
      <xdr:row>97</xdr:row>
      <xdr:rowOff>47625</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8101" y="17211675"/>
          <a:ext cx="20955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pageSetUpPr fitToPage="1"/>
  </sheetPr>
  <dimension ref="A1:J127"/>
  <sheetViews>
    <sheetView tabSelected="1" zoomScaleNormal="100" workbookViewId="0">
      <selection activeCell="A4" sqref="A4"/>
    </sheetView>
  </sheetViews>
  <sheetFormatPr defaultRowHeight="12.75" x14ac:dyDescent="0.2"/>
  <cols>
    <col min="1" max="1" width="50.85546875" style="77" customWidth="1"/>
    <col min="2" max="2" width="17.140625" style="78" customWidth="1"/>
    <col min="3" max="3" width="12.85546875" style="79" customWidth="1"/>
    <col min="4" max="4" width="14.28515625" style="1" customWidth="1"/>
    <col min="5" max="5" width="12.5703125" style="1" customWidth="1"/>
    <col min="6" max="6" width="14.85546875" style="1" customWidth="1"/>
    <col min="7" max="7" width="11.28515625" style="1" customWidth="1"/>
    <col min="8" max="8" width="15.28515625" style="1" customWidth="1"/>
    <col min="9" max="16384" width="9.140625" style="1"/>
  </cols>
  <sheetData>
    <row r="1" spans="1:10" x14ac:dyDescent="0.2">
      <c r="A1" s="91" t="s">
        <v>0</v>
      </c>
      <c r="B1" s="91"/>
      <c r="C1" s="91"/>
      <c r="D1" s="91"/>
      <c r="E1" s="91"/>
      <c r="F1" s="91"/>
      <c r="G1" s="91"/>
      <c r="H1" s="91"/>
    </row>
    <row r="2" spans="1:10" x14ac:dyDescent="0.2">
      <c r="A2" s="92" t="s">
        <v>1</v>
      </c>
      <c r="B2" s="92"/>
      <c r="C2" s="92"/>
      <c r="D2" s="92"/>
      <c r="E2" s="92"/>
      <c r="F2" s="92"/>
      <c r="G2" s="92"/>
      <c r="H2" s="92"/>
    </row>
    <row r="3" spans="1:10" x14ac:dyDescent="0.2">
      <c r="A3" s="93" t="s">
        <v>146</v>
      </c>
      <c r="B3" s="93"/>
      <c r="C3" s="93"/>
      <c r="D3" s="93"/>
      <c r="E3" s="93"/>
      <c r="F3" s="93"/>
      <c r="G3" s="93"/>
      <c r="H3" s="93"/>
    </row>
    <row r="4" spans="1:10" s="4" customFormat="1" ht="25.5" x14ac:dyDescent="0.2">
      <c r="A4" s="2" t="s">
        <v>2</v>
      </c>
      <c r="B4" s="2" t="s">
        <v>3</v>
      </c>
      <c r="C4" s="3" t="s">
        <v>4</v>
      </c>
      <c r="D4" s="2" t="s">
        <v>5</v>
      </c>
      <c r="E4" s="2" t="s">
        <v>6</v>
      </c>
      <c r="F4" s="2" t="s">
        <v>7</v>
      </c>
      <c r="G4" s="2" t="s">
        <v>8</v>
      </c>
      <c r="H4" s="2" t="s">
        <v>9</v>
      </c>
    </row>
    <row r="5" spans="1:10" s="12" customFormat="1" ht="14.25" x14ac:dyDescent="0.3">
      <c r="A5" s="5" t="s">
        <v>10</v>
      </c>
      <c r="B5" s="6"/>
      <c r="C5" s="7"/>
      <c r="D5" s="8"/>
      <c r="E5" s="8"/>
      <c r="F5" s="9"/>
      <c r="G5" s="10"/>
      <c r="H5" s="11"/>
    </row>
    <row r="6" spans="1:10" s="12" customFormat="1" ht="14.25" x14ac:dyDescent="0.3">
      <c r="A6" s="5" t="s">
        <v>11</v>
      </c>
      <c r="B6" s="6"/>
      <c r="C6" s="7"/>
      <c r="D6" s="13"/>
      <c r="E6" s="13"/>
      <c r="F6" s="13"/>
      <c r="G6" s="10"/>
      <c r="H6" s="11"/>
    </row>
    <row r="7" spans="1:10" s="12" customFormat="1" ht="14.25" x14ac:dyDescent="0.3">
      <c r="A7" s="14" t="s">
        <v>12</v>
      </c>
      <c r="B7" s="15" t="s">
        <v>13</v>
      </c>
      <c r="C7" s="16">
        <v>2500</v>
      </c>
      <c r="D7" s="17">
        <v>2501.6125000000002</v>
      </c>
      <c r="E7" s="17">
        <f>(+D7/$D$75*100)</f>
        <v>1.2717099351888901</v>
      </c>
      <c r="F7" s="17" t="s">
        <v>14</v>
      </c>
      <c r="G7" s="10">
        <v>7.8388</v>
      </c>
      <c r="H7" s="11"/>
      <c r="I7" s="18"/>
      <c r="J7" s="18"/>
    </row>
    <row r="8" spans="1:10" s="12" customFormat="1" ht="14.25" x14ac:dyDescent="0.3">
      <c r="A8" s="14" t="s">
        <v>15</v>
      </c>
      <c r="B8" s="15" t="s">
        <v>16</v>
      </c>
      <c r="C8" s="16">
        <v>250</v>
      </c>
      <c r="D8" s="17">
        <v>2500.5549999999998</v>
      </c>
      <c r="E8" s="17">
        <f>(+D8/$D$75*100)</f>
        <v>1.2711723486296358</v>
      </c>
      <c r="F8" s="17" t="s">
        <v>17</v>
      </c>
      <c r="G8" s="10">
        <v>7.2138</v>
      </c>
      <c r="H8" s="11"/>
      <c r="I8" s="18"/>
      <c r="J8" s="18"/>
    </row>
    <row r="9" spans="1:10" s="12" customFormat="1" ht="14.25" x14ac:dyDescent="0.3">
      <c r="A9" s="14" t="s">
        <v>18</v>
      </c>
      <c r="B9" s="15" t="s">
        <v>16</v>
      </c>
      <c r="C9" s="16">
        <v>250</v>
      </c>
      <c r="D9" s="17">
        <v>2496.8249999999998</v>
      </c>
      <c r="E9" s="17">
        <f>(+D9/$D$75*100)</f>
        <v>1.2692761804348196</v>
      </c>
      <c r="F9" s="17" t="s">
        <v>19</v>
      </c>
      <c r="G9" s="10">
        <v>7.6406000000000001</v>
      </c>
      <c r="H9" s="11"/>
      <c r="I9" s="18"/>
      <c r="J9" s="18"/>
    </row>
    <row r="10" spans="1:10" s="12" customFormat="1" ht="14.25" x14ac:dyDescent="0.3">
      <c r="A10" s="5" t="s">
        <v>20</v>
      </c>
      <c r="B10" s="6"/>
      <c r="C10" s="19"/>
      <c r="D10" s="8">
        <f>IF(ISERROR(SUM(D7:D9)),0,SUM(D7:D9))</f>
        <v>7498.9924999999994</v>
      </c>
      <c r="E10" s="8">
        <f>IF(ISERROR(SUM(E7:E9)),0,SUM(E7:E9))</f>
        <v>3.8121584642533453</v>
      </c>
      <c r="F10" s="8"/>
      <c r="G10" s="10"/>
      <c r="H10" s="11"/>
    </row>
    <row r="11" spans="1:10" s="12" customFormat="1" ht="14.25" x14ac:dyDescent="0.3">
      <c r="A11" s="5"/>
      <c r="B11" s="6"/>
      <c r="C11" s="19"/>
      <c r="D11" s="13"/>
      <c r="E11" s="13"/>
      <c r="F11" s="13"/>
      <c r="G11" s="10"/>
      <c r="H11" s="11"/>
    </row>
    <row r="12" spans="1:10" s="12" customFormat="1" ht="14.25" x14ac:dyDescent="0.3">
      <c r="A12" s="5" t="s">
        <v>21</v>
      </c>
      <c r="B12" s="6"/>
      <c r="C12" s="19"/>
      <c r="D12" s="8" t="s">
        <v>22</v>
      </c>
      <c r="E12" s="8" t="s">
        <v>22</v>
      </c>
      <c r="F12" s="9"/>
      <c r="G12" s="10"/>
      <c r="H12" s="11"/>
    </row>
    <row r="13" spans="1:10" s="12" customFormat="1" ht="14.25" x14ac:dyDescent="0.3">
      <c r="A13" s="5"/>
      <c r="B13" s="6"/>
      <c r="C13" s="19"/>
      <c r="D13" s="13"/>
      <c r="E13" s="13"/>
      <c r="F13" s="13"/>
      <c r="G13" s="10"/>
      <c r="H13" s="11"/>
    </row>
    <row r="14" spans="1:10" s="12" customFormat="1" ht="14.25" x14ac:dyDescent="0.3">
      <c r="A14" s="5" t="s">
        <v>23</v>
      </c>
      <c r="B14" s="6"/>
      <c r="C14" s="19"/>
      <c r="D14" s="8">
        <f>IF(ISERROR(+D10),0,D10)+IF(ISERROR(+#REF!),0,#REF!)+IF(ISERROR(+#REF!),0,#REF!)</f>
        <v>7498.9924999999994</v>
      </c>
      <c r="E14" s="8">
        <f>IF(ISERROR(+E10),0,E10)+IF(ISERROR(+#REF!),0,#REF!)+IF(ISERROR(+#REF!),0,#REF!)</f>
        <v>3.8121584642533453</v>
      </c>
      <c r="F14" s="8"/>
      <c r="G14" s="10"/>
      <c r="H14" s="11"/>
    </row>
    <row r="15" spans="1:10" s="12" customFormat="1" ht="14.25" x14ac:dyDescent="0.3">
      <c r="A15" s="5"/>
      <c r="B15" s="6"/>
      <c r="C15" s="19"/>
      <c r="D15" s="8"/>
      <c r="E15" s="8"/>
      <c r="F15" s="8"/>
      <c r="G15" s="10"/>
      <c r="H15" s="11"/>
    </row>
    <row r="16" spans="1:10" s="12" customFormat="1" ht="14.25" x14ac:dyDescent="0.3">
      <c r="A16" s="5" t="s">
        <v>24</v>
      </c>
      <c r="B16" s="6"/>
      <c r="C16" s="19"/>
      <c r="D16" s="8"/>
      <c r="E16" s="8"/>
      <c r="F16" s="8"/>
      <c r="G16" s="10"/>
      <c r="H16" s="11"/>
    </row>
    <row r="17" spans="1:10" s="12" customFormat="1" ht="14.25" x14ac:dyDescent="0.3">
      <c r="A17" s="5"/>
      <c r="B17" s="6"/>
      <c r="C17" s="19"/>
      <c r="D17" s="17"/>
      <c r="E17" s="17"/>
      <c r="F17" s="20"/>
      <c r="G17" s="10"/>
      <c r="H17" s="11"/>
    </row>
    <row r="18" spans="1:10" s="12" customFormat="1" ht="14.25" x14ac:dyDescent="0.3">
      <c r="A18" s="5" t="s">
        <v>25</v>
      </c>
      <c r="B18" s="6"/>
      <c r="C18" s="19"/>
      <c r="D18" s="8" t="s">
        <v>22</v>
      </c>
      <c r="E18" s="8" t="s">
        <v>22</v>
      </c>
      <c r="F18" s="8"/>
      <c r="G18" s="10"/>
      <c r="H18" s="11"/>
    </row>
    <row r="19" spans="1:10" s="12" customFormat="1" ht="14.25" x14ac:dyDescent="0.3">
      <c r="A19" s="5"/>
      <c r="B19" s="6"/>
      <c r="C19" s="19"/>
      <c r="D19" s="8"/>
      <c r="E19" s="8"/>
      <c r="F19" s="8"/>
      <c r="G19" s="10"/>
      <c r="H19" s="11"/>
    </row>
    <row r="20" spans="1:10" s="12" customFormat="1" ht="14.25" x14ac:dyDescent="0.3">
      <c r="A20" s="5" t="s">
        <v>26</v>
      </c>
      <c r="B20" s="6"/>
      <c r="C20" s="19"/>
      <c r="D20" s="8" t="s">
        <v>22</v>
      </c>
      <c r="E20" s="8" t="s">
        <v>22</v>
      </c>
      <c r="F20" s="8"/>
      <c r="G20" s="10"/>
      <c r="H20" s="11"/>
    </row>
    <row r="21" spans="1:10" s="12" customFormat="1" ht="14.25" x14ac:dyDescent="0.3">
      <c r="A21" s="5"/>
      <c r="B21" s="6"/>
      <c r="C21" s="19"/>
      <c r="D21" s="8"/>
      <c r="E21" s="8"/>
      <c r="F21" s="8"/>
      <c r="G21" s="10"/>
      <c r="H21" s="11"/>
    </row>
    <row r="22" spans="1:10" s="12" customFormat="1" ht="14.25" x14ac:dyDescent="0.3">
      <c r="A22" s="5" t="s">
        <v>27</v>
      </c>
      <c r="B22" s="6"/>
      <c r="C22" s="19"/>
      <c r="D22" s="8"/>
      <c r="E22" s="8"/>
      <c r="F22" s="9"/>
      <c r="G22" s="10"/>
      <c r="H22" s="11"/>
    </row>
    <row r="23" spans="1:10" s="12" customFormat="1" ht="14.25" x14ac:dyDescent="0.3">
      <c r="A23" s="5" t="s">
        <v>28</v>
      </c>
      <c r="B23" s="6"/>
      <c r="C23" s="19"/>
      <c r="D23" s="8"/>
      <c r="E23" s="8"/>
      <c r="F23" s="9"/>
      <c r="G23" s="10"/>
      <c r="H23" s="11"/>
    </row>
    <row r="24" spans="1:10" s="12" customFormat="1" ht="14.25" x14ac:dyDescent="0.3">
      <c r="A24" s="14" t="s">
        <v>29</v>
      </c>
      <c r="B24" s="15" t="s">
        <v>30</v>
      </c>
      <c r="C24" s="16">
        <v>1500</v>
      </c>
      <c r="D24" s="17">
        <v>7482.78</v>
      </c>
      <c r="E24" s="17">
        <f t="shared" ref="E24:E53" si="0">(+D24/$D$75*100)</f>
        <v>3.8039167412349926</v>
      </c>
      <c r="F24" s="17" t="s">
        <v>31</v>
      </c>
      <c r="G24" s="10">
        <v>6.9996999999999998</v>
      </c>
      <c r="H24" s="11"/>
      <c r="I24" s="18"/>
      <c r="J24" s="18"/>
    </row>
    <row r="25" spans="1:10" s="12" customFormat="1" ht="14.25" x14ac:dyDescent="0.3">
      <c r="A25" s="14" t="s">
        <v>32</v>
      </c>
      <c r="B25" s="15" t="s">
        <v>33</v>
      </c>
      <c r="C25" s="16">
        <v>1100</v>
      </c>
      <c r="D25" s="17">
        <v>5474.8374999999996</v>
      </c>
      <c r="E25" s="17">
        <f t="shared" si="0"/>
        <v>2.783166954232402</v>
      </c>
      <c r="F25" s="17" t="s">
        <v>34</v>
      </c>
      <c r="G25" s="10">
        <v>6.9905999999999997</v>
      </c>
      <c r="H25" s="11"/>
      <c r="I25" s="18"/>
      <c r="J25" s="18"/>
    </row>
    <row r="26" spans="1:10" s="12" customFormat="1" ht="14.25" x14ac:dyDescent="0.3">
      <c r="A26" s="14" t="s">
        <v>35</v>
      </c>
      <c r="B26" s="15" t="s">
        <v>36</v>
      </c>
      <c r="C26" s="16">
        <v>1000</v>
      </c>
      <c r="D26" s="17">
        <v>4998.1350000000002</v>
      </c>
      <c r="E26" s="17">
        <f t="shared" si="0"/>
        <v>2.5408323379081788</v>
      </c>
      <c r="F26" s="17" t="s">
        <v>37</v>
      </c>
      <c r="G26" s="10">
        <v>6.8098000000000001</v>
      </c>
      <c r="H26" s="11"/>
      <c r="I26" s="18"/>
      <c r="J26" s="18"/>
    </row>
    <row r="27" spans="1:10" s="12" customFormat="1" ht="14.25" x14ac:dyDescent="0.3">
      <c r="A27" s="14" t="s">
        <v>38</v>
      </c>
      <c r="B27" s="15" t="s">
        <v>30</v>
      </c>
      <c r="C27" s="16">
        <v>1000</v>
      </c>
      <c r="D27" s="17">
        <v>4998.07</v>
      </c>
      <c r="E27" s="17">
        <f t="shared" si="0"/>
        <v>2.5407992947626923</v>
      </c>
      <c r="F27" s="17" t="s">
        <v>39</v>
      </c>
      <c r="G27" s="10">
        <v>7.0564</v>
      </c>
      <c r="H27" s="11"/>
      <c r="I27" s="18"/>
      <c r="J27" s="18"/>
    </row>
    <row r="28" spans="1:10" s="12" customFormat="1" ht="14.25" x14ac:dyDescent="0.3">
      <c r="A28" s="14" t="s">
        <v>40</v>
      </c>
      <c r="B28" s="15" t="s">
        <v>33</v>
      </c>
      <c r="C28" s="16">
        <v>1000</v>
      </c>
      <c r="D28" s="17">
        <v>4996.9549999999999</v>
      </c>
      <c r="E28" s="17">
        <f t="shared" si="0"/>
        <v>2.5402324777285852</v>
      </c>
      <c r="F28" s="17" t="s">
        <v>41</v>
      </c>
      <c r="G28" s="10">
        <v>7.4139999999999997</v>
      </c>
      <c r="H28" s="11"/>
      <c r="I28" s="18"/>
      <c r="J28" s="18"/>
    </row>
    <row r="29" spans="1:10" s="12" customFormat="1" ht="14.25" x14ac:dyDescent="0.3">
      <c r="A29" s="14" t="s">
        <v>42</v>
      </c>
      <c r="B29" s="15" t="s">
        <v>30</v>
      </c>
      <c r="C29" s="16">
        <v>1000</v>
      </c>
      <c r="D29" s="17">
        <v>4995.2449999999999</v>
      </c>
      <c r="E29" s="17">
        <f t="shared" si="0"/>
        <v>2.5393631888242592</v>
      </c>
      <c r="F29" s="17" t="s">
        <v>43</v>
      </c>
      <c r="G29" s="10">
        <v>6.9489000000000001</v>
      </c>
      <c r="H29" s="11"/>
      <c r="I29" s="18"/>
      <c r="J29" s="18"/>
    </row>
    <row r="30" spans="1:10" s="12" customFormat="1" ht="14.25" x14ac:dyDescent="0.3">
      <c r="A30" s="14" t="s">
        <v>44</v>
      </c>
      <c r="B30" s="15" t="s">
        <v>33</v>
      </c>
      <c r="C30" s="16">
        <v>1000</v>
      </c>
      <c r="D30" s="17">
        <v>4994.9049999999997</v>
      </c>
      <c r="E30" s="17">
        <f t="shared" si="0"/>
        <v>2.5391903477555626</v>
      </c>
      <c r="F30" s="17" t="s">
        <v>45</v>
      </c>
      <c r="G30" s="10">
        <v>7.4462999999999999</v>
      </c>
      <c r="H30" s="11"/>
      <c r="I30" s="18"/>
      <c r="J30" s="18"/>
    </row>
    <row r="31" spans="1:10" s="12" customFormat="1" ht="14.25" x14ac:dyDescent="0.3">
      <c r="A31" s="14" t="s">
        <v>46</v>
      </c>
      <c r="B31" s="15" t="s">
        <v>33</v>
      </c>
      <c r="C31" s="16">
        <v>1000</v>
      </c>
      <c r="D31" s="17">
        <v>4990.43</v>
      </c>
      <c r="E31" s="17">
        <f t="shared" si="0"/>
        <v>2.5369154542778682</v>
      </c>
      <c r="F31" s="17" t="s">
        <v>47</v>
      </c>
      <c r="G31" s="10">
        <v>6.9995000000000003</v>
      </c>
      <c r="H31" s="11"/>
      <c r="I31" s="18"/>
      <c r="J31" s="18"/>
    </row>
    <row r="32" spans="1:10" s="12" customFormat="1" ht="14.25" x14ac:dyDescent="0.3">
      <c r="A32" s="14" t="s">
        <v>48</v>
      </c>
      <c r="B32" s="15" t="s">
        <v>33</v>
      </c>
      <c r="C32" s="16">
        <v>1000</v>
      </c>
      <c r="D32" s="17">
        <v>4990.3549999999996</v>
      </c>
      <c r="E32" s="17">
        <f t="shared" si="0"/>
        <v>2.5368773275715375</v>
      </c>
      <c r="F32" s="17" t="s">
        <v>49</v>
      </c>
      <c r="G32" s="10">
        <v>7.0545</v>
      </c>
      <c r="H32" s="11"/>
      <c r="I32" s="18"/>
      <c r="J32" s="18"/>
    </row>
    <row r="33" spans="1:10" s="12" customFormat="1" ht="14.25" x14ac:dyDescent="0.3">
      <c r="A33" s="14" t="s">
        <v>50</v>
      </c>
      <c r="B33" s="15" t="s">
        <v>33</v>
      </c>
      <c r="C33" s="16">
        <v>1000</v>
      </c>
      <c r="D33" s="17">
        <v>4988.03</v>
      </c>
      <c r="E33" s="17">
        <f t="shared" si="0"/>
        <v>2.5356953996753049</v>
      </c>
      <c r="F33" s="17" t="s">
        <v>51</v>
      </c>
      <c r="G33" s="10">
        <v>7.3007999999999997</v>
      </c>
      <c r="H33" s="11"/>
      <c r="I33" s="18"/>
      <c r="J33" s="18"/>
    </row>
    <row r="34" spans="1:10" s="12" customFormat="1" ht="14.25" x14ac:dyDescent="0.3">
      <c r="A34" s="14" t="s">
        <v>32</v>
      </c>
      <c r="B34" s="15" t="s">
        <v>33</v>
      </c>
      <c r="C34" s="16">
        <v>1000</v>
      </c>
      <c r="D34" s="17">
        <v>4981.875</v>
      </c>
      <c r="E34" s="17">
        <f t="shared" si="0"/>
        <v>2.5325664679758164</v>
      </c>
      <c r="F34" s="17" t="s">
        <v>52</v>
      </c>
      <c r="G34" s="10">
        <v>6.9901</v>
      </c>
      <c r="H34" s="11"/>
      <c r="I34" s="18"/>
      <c r="J34" s="18"/>
    </row>
    <row r="35" spans="1:10" s="12" customFormat="1" ht="14.25" x14ac:dyDescent="0.3">
      <c r="A35" s="14" t="s">
        <v>53</v>
      </c>
      <c r="B35" s="15" t="s">
        <v>33</v>
      </c>
      <c r="C35" s="16">
        <v>1000</v>
      </c>
      <c r="D35" s="17">
        <v>4981.8450000000003</v>
      </c>
      <c r="E35" s="17">
        <f t="shared" si="0"/>
        <v>2.5325512172932845</v>
      </c>
      <c r="F35" s="17" t="s">
        <v>54</v>
      </c>
      <c r="G35" s="10">
        <v>7.0007999999999999</v>
      </c>
      <c r="H35" s="11"/>
      <c r="I35" s="18"/>
      <c r="J35" s="18"/>
    </row>
    <row r="36" spans="1:10" s="12" customFormat="1" ht="14.25" x14ac:dyDescent="0.3">
      <c r="A36" s="14" t="s">
        <v>55</v>
      </c>
      <c r="B36" s="15" t="s">
        <v>56</v>
      </c>
      <c r="C36" s="16">
        <v>1000</v>
      </c>
      <c r="D36" s="17">
        <v>4978.08</v>
      </c>
      <c r="E36" s="17">
        <f t="shared" si="0"/>
        <v>2.5306372566355142</v>
      </c>
      <c r="F36" s="17" t="s">
        <v>57</v>
      </c>
      <c r="G36" s="10">
        <v>6.9886999999999997</v>
      </c>
      <c r="H36" s="11"/>
      <c r="I36" s="18"/>
      <c r="J36" s="18"/>
    </row>
    <row r="37" spans="1:10" s="12" customFormat="1" ht="14.25" x14ac:dyDescent="0.3">
      <c r="A37" s="14" t="s">
        <v>58</v>
      </c>
      <c r="B37" s="15" t="s">
        <v>33</v>
      </c>
      <c r="C37" s="16">
        <v>1000</v>
      </c>
      <c r="D37" s="17">
        <v>4976.2749999999996</v>
      </c>
      <c r="E37" s="17">
        <f t="shared" si="0"/>
        <v>2.5297196739031698</v>
      </c>
      <c r="F37" s="17" t="s">
        <v>59</v>
      </c>
      <c r="G37" s="10">
        <v>6.9615</v>
      </c>
      <c r="H37" s="11"/>
      <c r="I37" s="18"/>
      <c r="J37" s="18"/>
    </row>
    <row r="38" spans="1:10" s="12" customFormat="1" ht="14.25" x14ac:dyDescent="0.3">
      <c r="A38" s="14" t="s">
        <v>60</v>
      </c>
      <c r="B38" s="15" t="s">
        <v>30</v>
      </c>
      <c r="C38" s="16">
        <v>1000</v>
      </c>
      <c r="D38" s="17">
        <v>4972.96</v>
      </c>
      <c r="E38" s="17">
        <f t="shared" si="0"/>
        <v>2.5280344734833804</v>
      </c>
      <c r="F38" s="17" t="s">
        <v>61</v>
      </c>
      <c r="G38" s="10">
        <v>7.3506</v>
      </c>
      <c r="H38" s="11"/>
      <c r="I38" s="18"/>
      <c r="J38" s="18"/>
    </row>
    <row r="39" spans="1:10" s="12" customFormat="1" ht="14.25" x14ac:dyDescent="0.3">
      <c r="A39" s="14" t="s">
        <v>62</v>
      </c>
      <c r="B39" s="15" t="s">
        <v>33</v>
      </c>
      <c r="C39" s="16">
        <v>1000</v>
      </c>
      <c r="D39" s="17">
        <v>4962.1949999999997</v>
      </c>
      <c r="E39" s="17">
        <f t="shared" si="0"/>
        <v>2.522562020234802</v>
      </c>
      <c r="F39" s="17" t="s">
        <v>63</v>
      </c>
      <c r="G39" s="10">
        <v>7.1302000000000003</v>
      </c>
      <c r="H39" s="11"/>
      <c r="I39" s="18"/>
      <c r="J39" s="18"/>
    </row>
    <row r="40" spans="1:10" s="12" customFormat="1" ht="14.25" x14ac:dyDescent="0.3">
      <c r="A40" s="14" t="s">
        <v>32</v>
      </c>
      <c r="B40" s="15" t="s">
        <v>33</v>
      </c>
      <c r="C40" s="16">
        <v>1000</v>
      </c>
      <c r="D40" s="17">
        <v>4934.18</v>
      </c>
      <c r="E40" s="17">
        <f t="shared" si="0"/>
        <v>2.508320424530305</v>
      </c>
      <c r="F40" s="17" t="s">
        <v>64</v>
      </c>
      <c r="G40" s="10">
        <v>7.1601999999999997</v>
      </c>
      <c r="H40" s="11"/>
      <c r="I40" s="18"/>
      <c r="J40" s="18"/>
    </row>
    <row r="41" spans="1:10" s="12" customFormat="1" ht="14.25" x14ac:dyDescent="0.3">
      <c r="A41" s="14" t="s">
        <v>65</v>
      </c>
      <c r="B41" s="15" t="s">
        <v>33</v>
      </c>
      <c r="C41" s="16">
        <v>1000</v>
      </c>
      <c r="D41" s="17">
        <v>4929.9350000000004</v>
      </c>
      <c r="E41" s="17">
        <f t="shared" si="0"/>
        <v>2.5061624529520223</v>
      </c>
      <c r="F41" s="17" t="s">
        <v>66</v>
      </c>
      <c r="G41" s="10">
        <v>7.8597999999999999</v>
      </c>
      <c r="H41" s="11"/>
      <c r="I41" s="18"/>
      <c r="J41" s="18"/>
    </row>
    <row r="42" spans="1:10" s="12" customFormat="1" ht="14.25" x14ac:dyDescent="0.3">
      <c r="A42" s="14" t="s">
        <v>67</v>
      </c>
      <c r="B42" s="15" t="s">
        <v>30</v>
      </c>
      <c r="C42" s="16">
        <v>1000</v>
      </c>
      <c r="D42" s="17">
        <v>4928.6549999999997</v>
      </c>
      <c r="E42" s="17">
        <f t="shared" si="0"/>
        <v>2.5055117571639887</v>
      </c>
      <c r="F42" s="17" t="s">
        <v>68</v>
      </c>
      <c r="G42" s="10">
        <v>7.14</v>
      </c>
      <c r="H42" s="11"/>
      <c r="I42" s="18"/>
      <c r="J42" s="18"/>
    </row>
    <row r="43" spans="1:10" s="12" customFormat="1" ht="14.25" x14ac:dyDescent="0.3">
      <c r="A43" s="14" t="s">
        <v>55</v>
      </c>
      <c r="B43" s="15" t="s">
        <v>56</v>
      </c>
      <c r="C43" s="16">
        <v>1000</v>
      </c>
      <c r="D43" s="17">
        <v>4927.0600000000004</v>
      </c>
      <c r="E43" s="17">
        <f t="shared" si="0"/>
        <v>2.5047009292093692</v>
      </c>
      <c r="F43" s="17" t="s">
        <v>69</v>
      </c>
      <c r="G43" s="10">
        <v>7.1097999999999999</v>
      </c>
      <c r="H43" s="11"/>
      <c r="I43" s="18"/>
      <c r="J43" s="18"/>
    </row>
    <row r="44" spans="1:10" s="12" customFormat="1" ht="14.25" x14ac:dyDescent="0.3">
      <c r="A44" s="14" t="s">
        <v>70</v>
      </c>
      <c r="B44" s="15" t="s">
        <v>30</v>
      </c>
      <c r="C44" s="16">
        <v>1000</v>
      </c>
      <c r="D44" s="17">
        <v>4926.3500000000004</v>
      </c>
      <c r="E44" s="17">
        <f t="shared" si="0"/>
        <v>2.5043399963894446</v>
      </c>
      <c r="F44" s="17" t="s">
        <v>71</v>
      </c>
      <c r="G44" s="10">
        <v>7.18</v>
      </c>
      <c r="H44" s="11"/>
      <c r="I44" s="18"/>
      <c r="J44" s="18"/>
    </row>
    <row r="45" spans="1:10" s="12" customFormat="1" ht="14.25" x14ac:dyDescent="0.3">
      <c r="A45" s="14" t="s">
        <v>72</v>
      </c>
      <c r="B45" s="15" t="s">
        <v>33</v>
      </c>
      <c r="C45" s="16">
        <v>1000</v>
      </c>
      <c r="D45" s="17">
        <v>4922.96</v>
      </c>
      <c r="E45" s="17">
        <f t="shared" si="0"/>
        <v>2.5026166692633245</v>
      </c>
      <c r="F45" s="17" t="s">
        <v>73</v>
      </c>
      <c r="G45" s="10">
        <v>7.1398999999999999</v>
      </c>
      <c r="H45" s="11"/>
      <c r="I45" s="18"/>
      <c r="J45" s="18"/>
    </row>
    <row r="46" spans="1:10" s="12" customFormat="1" ht="14.25" x14ac:dyDescent="0.3">
      <c r="A46" s="14" t="s">
        <v>62</v>
      </c>
      <c r="B46" s="15" t="s">
        <v>33</v>
      </c>
      <c r="C46" s="16">
        <v>1000</v>
      </c>
      <c r="D46" s="17">
        <v>4920.17</v>
      </c>
      <c r="E46" s="17">
        <f t="shared" si="0"/>
        <v>2.5011983557878454</v>
      </c>
      <c r="F46" s="17" t="s">
        <v>74</v>
      </c>
      <c r="G46" s="10">
        <v>7.1351000000000004</v>
      </c>
      <c r="H46" s="11"/>
      <c r="I46" s="18"/>
      <c r="J46" s="18"/>
    </row>
    <row r="47" spans="1:10" s="12" customFormat="1" ht="14.25" x14ac:dyDescent="0.3">
      <c r="A47" s="14" t="s">
        <v>75</v>
      </c>
      <c r="B47" s="15" t="s">
        <v>33</v>
      </c>
      <c r="C47" s="16">
        <v>1000</v>
      </c>
      <c r="D47" s="17">
        <v>4919.7299999999996</v>
      </c>
      <c r="E47" s="17">
        <f t="shared" si="0"/>
        <v>2.5009746791107084</v>
      </c>
      <c r="F47" s="17" t="s">
        <v>76</v>
      </c>
      <c r="G47" s="10">
        <v>7.1750999999999996</v>
      </c>
      <c r="H47" s="11"/>
      <c r="I47" s="18"/>
      <c r="J47" s="18"/>
    </row>
    <row r="48" spans="1:10" s="12" customFormat="1" ht="14.25" x14ac:dyDescent="0.3">
      <c r="A48" s="14" t="s">
        <v>77</v>
      </c>
      <c r="B48" s="15" t="s">
        <v>36</v>
      </c>
      <c r="C48" s="16">
        <v>1000</v>
      </c>
      <c r="D48" s="17">
        <v>4915.4449999999997</v>
      </c>
      <c r="E48" s="17">
        <f t="shared" si="0"/>
        <v>2.4987963732890499</v>
      </c>
      <c r="F48" s="17" t="s">
        <v>78</v>
      </c>
      <c r="G48" s="10">
        <v>7.1351000000000004</v>
      </c>
      <c r="H48" s="11"/>
      <c r="I48" s="18"/>
      <c r="J48" s="18"/>
    </row>
    <row r="49" spans="1:10" s="12" customFormat="1" ht="14.25" x14ac:dyDescent="0.3">
      <c r="A49" s="14" t="s">
        <v>79</v>
      </c>
      <c r="B49" s="15" t="s">
        <v>30</v>
      </c>
      <c r="C49" s="16">
        <v>900</v>
      </c>
      <c r="D49" s="17">
        <v>4488.777</v>
      </c>
      <c r="E49" s="17">
        <f t="shared" si="0"/>
        <v>2.2818970994697945</v>
      </c>
      <c r="F49" s="17" t="s">
        <v>80</v>
      </c>
      <c r="G49" s="10">
        <v>7.0198999999999998</v>
      </c>
      <c r="H49" s="11"/>
      <c r="I49" s="18"/>
      <c r="J49" s="18"/>
    </row>
    <row r="50" spans="1:10" s="12" customFormat="1" ht="14.25" x14ac:dyDescent="0.3">
      <c r="A50" s="14" t="s">
        <v>81</v>
      </c>
      <c r="B50" s="15" t="s">
        <v>30</v>
      </c>
      <c r="C50" s="16">
        <v>800</v>
      </c>
      <c r="D50" s="17">
        <v>3983.2919999999999</v>
      </c>
      <c r="E50" s="17">
        <f t="shared" si="0"/>
        <v>2.0249307241462953</v>
      </c>
      <c r="F50" s="17" t="s">
        <v>82</v>
      </c>
      <c r="G50" s="10">
        <v>8.5055999999999994</v>
      </c>
      <c r="H50" s="11"/>
      <c r="I50" s="18"/>
      <c r="J50" s="18"/>
    </row>
    <row r="51" spans="1:10" s="12" customFormat="1" ht="14.25" x14ac:dyDescent="0.3">
      <c r="A51" s="14" t="s">
        <v>83</v>
      </c>
      <c r="B51" s="15" t="s">
        <v>30</v>
      </c>
      <c r="C51" s="16">
        <v>500</v>
      </c>
      <c r="D51" s="17">
        <v>2470.9575</v>
      </c>
      <c r="E51" s="17">
        <f t="shared" si="0"/>
        <v>1.256126279421574</v>
      </c>
      <c r="F51" s="17" t="s">
        <v>84</v>
      </c>
      <c r="G51" s="10">
        <v>7.8000999999999996</v>
      </c>
      <c r="H51" s="11"/>
      <c r="I51" s="18"/>
      <c r="J51" s="18"/>
    </row>
    <row r="52" spans="1:10" s="12" customFormat="1" ht="14.25" x14ac:dyDescent="0.3">
      <c r="A52" s="14" t="s">
        <v>81</v>
      </c>
      <c r="B52" s="15" t="s">
        <v>30</v>
      </c>
      <c r="C52" s="16">
        <v>500</v>
      </c>
      <c r="D52" s="17">
        <v>2456.9124999999999</v>
      </c>
      <c r="E52" s="17">
        <f t="shared" si="0"/>
        <v>1.2489864182161601</v>
      </c>
      <c r="F52" s="17" t="s">
        <v>85</v>
      </c>
      <c r="G52" s="10">
        <v>8.6501000000000001</v>
      </c>
      <c r="H52" s="11"/>
      <c r="I52" s="18"/>
      <c r="J52" s="18"/>
    </row>
    <row r="53" spans="1:10" s="12" customFormat="1" ht="14.25" x14ac:dyDescent="0.3">
      <c r="A53" s="14" t="s">
        <v>86</v>
      </c>
      <c r="B53" s="15" t="s">
        <v>33</v>
      </c>
      <c r="C53" s="16">
        <v>400</v>
      </c>
      <c r="D53" s="17">
        <v>1964.942</v>
      </c>
      <c r="E53" s="17">
        <f t="shared" si="0"/>
        <v>0.99889022119530024</v>
      </c>
      <c r="F53" s="17" t="s">
        <v>87</v>
      </c>
      <c r="G53" s="10">
        <v>8.0397999999999996</v>
      </c>
      <c r="H53" s="11"/>
      <c r="I53" s="18"/>
      <c r="J53" s="18"/>
    </row>
    <row r="54" spans="1:10" s="12" customFormat="1" ht="14.25" x14ac:dyDescent="0.3">
      <c r="A54" s="5" t="s">
        <v>20</v>
      </c>
      <c r="B54" s="21"/>
      <c r="C54" s="22"/>
      <c r="D54" s="8">
        <f>IF(ISERROR(SUM(D24:D53)),0,SUM(D24:D53))</f>
        <v>142452.33849999998</v>
      </c>
      <c r="E54" s="8">
        <f>IF(ISERROR(SUM(E24:E53)),0,SUM(E24:E53))</f>
        <v>72.416513013642543</v>
      </c>
      <c r="F54" s="23"/>
      <c r="G54" s="10"/>
      <c r="H54" s="11"/>
    </row>
    <row r="55" spans="1:10" s="12" customFormat="1" ht="14.25" x14ac:dyDescent="0.3">
      <c r="A55" s="5" t="s">
        <v>88</v>
      </c>
      <c r="B55" s="15"/>
      <c r="C55" s="16"/>
      <c r="D55" s="17"/>
      <c r="E55" s="13"/>
      <c r="F55" s="24"/>
      <c r="G55" s="10"/>
      <c r="H55" s="11"/>
    </row>
    <row r="56" spans="1:10" s="12" customFormat="1" ht="14.25" x14ac:dyDescent="0.3">
      <c r="A56" s="14" t="s">
        <v>89</v>
      </c>
      <c r="B56" s="15" t="s">
        <v>90</v>
      </c>
      <c r="C56" s="16">
        <v>7000000</v>
      </c>
      <c r="D56" s="17">
        <v>6911.1559999999999</v>
      </c>
      <c r="E56" s="17">
        <f t="shared" ref="E56:E63" si="1">(+D56/$D$75*100)</f>
        <v>3.5133282028452881</v>
      </c>
      <c r="F56" s="17" t="s">
        <v>91</v>
      </c>
      <c r="G56" s="10">
        <v>6.9001999999999999</v>
      </c>
      <c r="H56" s="11"/>
      <c r="I56" s="18"/>
      <c r="J56" s="18"/>
    </row>
    <row r="57" spans="1:10" s="12" customFormat="1" ht="14.25" x14ac:dyDescent="0.3">
      <c r="A57" s="14" t="s">
        <v>92</v>
      </c>
      <c r="B57" s="15" t="s">
        <v>90</v>
      </c>
      <c r="C57" s="16">
        <v>6000000</v>
      </c>
      <c r="D57" s="17">
        <v>5971.6080000000002</v>
      </c>
      <c r="E57" s="17">
        <f t="shared" si="1"/>
        <v>3.0357032604583876</v>
      </c>
      <c r="F57" s="17" t="s">
        <v>93</v>
      </c>
      <c r="G57" s="10">
        <v>6.6753</v>
      </c>
      <c r="H57" s="11"/>
      <c r="I57" s="18"/>
      <c r="J57" s="18"/>
    </row>
    <row r="58" spans="1:10" s="12" customFormat="1" ht="14.25" x14ac:dyDescent="0.3">
      <c r="A58" s="14" t="s">
        <v>94</v>
      </c>
      <c r="B58" s="15" t="s">
        <v>90</v>
      </c>
      <c r="C58" s="16">
        <v>5200000</v>
      </c>
      <c r="D58" s="17">
        <v>5128.1360000000004</v>
      </c>
      <c r="E58" s="17">
        <f t="shared" si="1"/>
        <v>2.6069191372364084</v>
      </c>
      <c r="F58" s="17" t="s">
        <v>95</v>
      </c>
      <c r="G58" s="10">
        <v>6.82</v>
      </c>
      <c r="H58" s="11"/>
      <c r="I58" s="18"/>
      <c r="J58" s="18"/>
    </row>
    <row r="59" spans="1:10" s="12" customFormat="1" ht="14.25" x14ac:dyDescent="0.3">
      <c r="A59" s="14" t="s">
        <v>96</v>
      </c>
      <c r="B59" s="15" t="s">
        <v>90</v>
      </c>
      <c r="C59" s="16">
        <v>5000000</v>
      </c>
      <c r="D59" s="17">
        <v>4943</v>
      </c>
      <c r="E59" s="17">
        <f t="shared" si="1"/>
        <v>2.5128041251947226</v>
      </c>
      <c r="F59" s="17" t="s">
        <v>97</v>
      </c>
      <c r="G59" s="10">
        <v>6.9</v>
      </c>
      <c r="H59" s="11"/>
      <c r="I59" s="18"/>
      <c r="J59" s="18"/>
    </row>
    <row r="60" spans="1:10" s="12" customFormat="1" ht="14.25" x14ac:dyDescent="0.3">
      <c r="A60" s="14" t="s">
        <v>98</v>
      </c>
      <c r="B60" s="15" t="s">
        <v>90</v>
      </c>
      <c r="C60" s="16">
        <v>2500000</v>
      </c>
      <c r="D60" s="17">
        <v>2465.4499999999998</v>
      </c>
      <c r="E60" s="17">
        <f t="shared" si="1"/>
        <v>1.2533265082867344</v>
      </c>
      <c r="F60" s="17" t="s">
        <v>99</v>
      </c>
      <c r="G60" s="10">
        <v>6.82</v>
      </c>
      <c r="H60" s="11"/>
      <c r="I60" s="18"/>
      <c r="J60" s="18"/>
    </row>
    <row r="61" spans="1:10" s="12" customFormat="1" ht="14.25" x14ac:dyDescent="0.3">
      <c r="A61" s="14" t="s">
        <v>100</v>
      </c>
      <c r="B61" s="15" t="s">
        <v>90</v>
      </c>
      <c r="C61" s="16">
        <v>300000</v>
      </c>
      <c r="D61" s="17">
        <v>297.7056</v>
      </c>
      <c r="E61" s="17">
        <f t="shared" si="1"/>
        <v>0.15134045312028527</v>
      </c>
      <c r="F61" s="17" t="s">
        <v>101</v>
      </c>
      <c r="G61" s="10">
        <v>6.8615000000000004</v>
      </c>
      <c r="H61" s="11"/>
      <c r="I61" s="18"/>
      <c r="J61" s="18"/>
    </row>
    <row r="62" spans="1:10" s="12" customFormat="1" ht="14.25" x14ac:dyDescent="0.3">
      <c r="A62" s="14" t="s">
        <v>102</v>
      </c>
      <c r="B62" s="15" t="s">
        <v>90</v>
      </c>
      <c r="C62" s="16">
        <v>300000</v>
      </c>
      <c r="D62" s="17">
        <v>297.38639999999998</v>
      </c>
      <c r="E62" s="17">
        <f t="shared" si="1"/>
        <v>0.15117818585814444</v>
      </c>
      <c r="F62" s="17" t="s">
        <v>103</v>
      </c>
      <c r="G62" s="10">
        <v>6.8251999999999997</v>
      </c>
      <c r="H62" s="11"/>
      <c r="I62" s="18"/>
      <c r="J62" s="18"/>
    </row>
    <row r="63" spans="1:10" s="12" customFormat="1" ht="14.25" x14ac:dyDescent="0.3">
      <c r="A63" s="14" t="s">
        <v>104</v>
      </c>
      <c r="B63" s="15" t="s">
        <v>90</v>
      </c>
      <c r="C63" s="16">
        <v>300000</v>
      </c>
      <c r="D63" s="17">
        <v>295.4391</v>
      </c>
      <c r="E63" s="17">
        <f t="shared" si="1"/>
        <v>0.15018826405499014</v>
      </c>
      <c r="F63" s="17" t="s">
        <v>105</v>
      </c>
      <c r="G63" s="10">
        <v>6.8716999999999997</v>
      </c>
      <c r="H63" s="11"/>
      <c r="I63" s="18"/>
      <c r="J63" s="18"/>
    </row>
    <row r="64" spans="1:10" s="12" customFormat="1" ht="14.25" x14ac:dyDescent="0.3">
      <c r="A64" s="5" t="s">
        <v>20</v>
      </c>
      <c r="B64" s="21"/>
      <c r="C64" s="22"/>
      <c r="D64" s="8">
        <f>IF(ISERROR(SUM(D56:D63)),0,SUM(D56:D63))</f>
        <v>26309.881100000002</v>
      </c>
      <c r="E64" s="8">
        <f>IF(ISERROR(SUM(E56:E63)),0,SUM(E56:E63))</f>
        <v>13.374788137054962</v>
      </c>
      <c r="F64" s="23"/>
      <c r="G64" s="10"/>
      <c r="H64" s="11"/>
    </row>
    <row r="65" spans="1:10" s="12" customFormat="1" ht="14.25" x14ac:dyDescent="0.3">
      <c r="A65" s="14" t="s">
        <v>106</v>
      </c>
      <c r="B65" s="15"/>
      <c r="C65" s="16">
        <v>0</v>
      </c>
      <c r="D65" s="17">
        <v>19475.558110599999</v>
      </c>
      <c r="E65" s="17">
        <f>(+D65/$D$75*100)</f>
        <v>9.9005184626310374</v>
      </c>
      <c r="F65" s="17" t="s">
        <v>107</v>
      </c>
      <c r="G65" s="10">
        <v>6.6516999999999999</v>
      </c>
      <c r="H65" s="11"/>
    </row>
    <row r="66" spans="1:10" s="12" customFormat="1" ht="14.25" x14ac:dyDescent="0.3">
      <c r="A66" s="5" t="s">
        <v>20</v>
      </c>
      <c r="B66" s="6"/>
      <c r="C66" s="19"/>
      <c r="D66" s="8">
        <f>IF(ISERROR(SUM(D65:D65)),0,SUM(D65:D65))</f>
        <v>19475.558110599999</v>
      </c>
      <c r="E66" s="8">
        <f>IF(ISERROR(SUM(E65:E65)),0,SUM(E65:E65))</f>
        <v>9.9005184626310374</v>
      </c>
      <c r="F66" s="17"/>
      <c r="G66" s="10"/>
      <c r="H66" s="11"/>
    </row>
    <row r="67" spans="1:10" s="12" customFormat="1" ht="14.25" x14ac:dyDescent="0.3">
      <c r="A67" s="25" t="s">
        <v>108</v>
      </c>
      <c r="B67" s="6"/>
      <c r="C67" s="19"/>
      <c r="D67" s="8"/>
      <c r="E67" s="8"/>
      <c r="F67" s="8"/>
      <c r="G67" s="10"/>
      <c r="H67" s="11"/>
    </row>
    <row r="68" spans="1:10" s="12" customFormat="1" ht="14.25" x14ac:dyDescent="0.3">
      <c r="A68" s="26" t="s">
        <v>109</v>
      </c>
      <c r="B68" s="15"/>
      <c r="C68" s="16">
        <v>4806.76</v>
      </c>
      <c r="D68" s="17">
        <v>492.72764326127998</v>
      </c>
      <c r="E68" s="17">
        <f>(+D68/$D$75*100)</f>
        <v>0.25048109540449487</v>
      </c>
      <c r="F68" s="17" t="s">
        <v>110</v>
      </c>
      <c r="G68" s="10">
        <v>7.03</v>
      </c>
      <c r="H68" s="11"/>
    </row>
    <row r="69" spans="1:10" s="12" customFormat="1" ht="14.25" x14ac:dyDescent="0.3">
      <c r="A69" s="5" t="s">
        <v>20</v>
      </c>
      <c r="B69" s="6"/>
      <c r="C69" s="19"/>
      <c r="D69" s="8">
        <f>IF(ISERROR(SUM(D68:D68)),0,SUM(D68:D68))</f>
        <v>492.72764326127998</v>
      </c>
      <c r="E69" s="8">
        <f>IF(ISERROR(SUM(E68:E68)),0,SUM(E68:E68))</f>
        <v>0.25048109540449487</v>
      </c>
      <c r="F69" s="17"/>
      <c r="G69" s="10"/>
      <c r="H69" s="11"/>
    </row>
    <row r="70" spans="1:10" s="12" customFormat="1" ht="14.25" x14ac:dyDescent="0.3">
      <c r="A70" s="5"/>
      <c r="B70" s="6"/>
      <c r="C70" s="19"/>
      <c r="D70" s="8"/>
      <c r="E70" s="8"/>
      <c r="F70" s="9"/>
      <c r="G70" s="10"/>
      <c r="H70" s="11"/>
    </row>
    <row r="71" spans="1:10" s="12" customFormat="1" ht="14.25" x14ac:dyDescent="0.3">
      <c r="A71" s="5" t="s">
        <v>23</v>
      </c>
      <c r="B71" s="6"/>
      <c r="C71" s="19" t="s">
        <v>111</v>
      </c>
      <c r="D71" s="8">
        <f>+IF(ISERROR(D14),0,D14)+IF(ISERROR(D66),0,D66)+IF(ISERROR(#REF!),0,#REF!)+IF(ISERROR(#REF!),0,#REF!)+IF(ISERROR(#REF!),0,#REF!)+IF(ISERROR(D64),0,D64)+IF(ISERROR(#REF!),0,#REF!)+IF(ISERROR(#REF!),0,#REF!)+IF(ISERROR(D54),0,D54)+IF(ISERROR(D69),0,D69)</f>
        <v>196229.49785386128</v>
      </c>
      <c r="E71" s="8">
        <f>+IF(ISERROR(E14),0,E14)+IF(ISERROR(E66),0,E66)+IF(ISERROR(#REF!),0,#REF!)+IF(ISERROR(#REF!),0,#REF!)+IF(ISERROR(#REF!),0,#REF!)+IF(ISERROR(E64),0,E64)+IF(ISERROR(#REF!),0,#REF!)+IF(ISERROR(#REF!),0,#REF!)+IF(ISERROR(E54),0,E54)+IF(ISERROR(E69),0,E69)</f>
        <v>99.754459172986387</v>
      </c>
      <c r="F71" s="8">
        <f>+IF(ISERROR(F14),0,F14)+IF(ISERROR(F66),0,F66)+IF(ISERROR(#REF!),0,#REF!)+IF(ISERROR(#REF!),0,#REF!)+IF(ISERROR(#REF!),0,#REF!)+IF(ISERROR(F64),0,F64)+IF(ISERROR(#REF!),0,#REF!)+IF(ISERROR(#REF!),0,#REF!)+IF(ISERROR(#REF!),0,#REF!)+F54</f>
        <v>0</v>
      </c>
      <c r="G71" s="10"/>
      <c r="H71" s="11"/>
    </row>
    <row r="72" spans="1:10" s="12" customFormat="1" ht="14.25" x14ac:dyDescent="0.3">
      <c r="A72" s="5"/>
      <c r="B72" s="6"/>
      <c r="C72" s="19"/>
      <c r="D72" s="8"/>
      <c r="E72" s="8"/>
      <c r="F72" s="27"/>
      <c r="G72" s="28"/>
      <c r="H72" s="29"/>
    </row>
    <row r="73" spans="1:10" s="12" customFormat="1" ht="14.25" x14ac:dyDescent="0.3">
      <c r="A73" s="5" t="s">
        <v>112</v>
      </c>
      <c r="B73" s="6"/>
      <c r="C73" s="19"/>
      <c r="D73" s="8">
        <f>+D75-D71</f>
        <v>483.00951743873884</v>
      </c>
      <c r="E73" s="8">
        <f>D73/$D$75*100</f>
        <v>0.24554082701363045</v>
      </c>
      <c r="F73" s="30"/>
      <c r="G73" s="28"/>
      <c r="H73" s="29"/>
    </row>
    <row r="74" spans="1:10" s="12" customFormat="1" ht="14.25" x14ac:dyDescent="0.3">
      <c r="A74" s="5"/>
      <c r="B74" s="6"/>
      <c r="C74" s="19"/>
      <c r="D74" s="13"/>
      <c r="E74" s="13"/>
      <c r="F74" s="27"/>
      <c r="G74" s="28"/>
      <c r="H74" s="29"/>
    </row>
    <row r="75" spans="1:10" s="12" customFormat="1" ht="14.25" x14ac:dyDescent="0.3">
      <c r="A75" s="5" t="s">
        <v>113</v>
      </c>
      <c r="B75" s="6"/>
      <c r="C75" s="19"/>
      <c r="D75" s="8">
        <v>196712.50737130002</v>
      </c>
      <c r="E75" s="8">
        <f>+E71+E73</f>
        <v>100.00000000000001</v>
      </c>
      <c r="F75" s="27"/>
      <c r="G75" s="28"/>
      <c r="H75" s="29"/>
    </row>
    <row r="76" spans="1:10" s="12" customFormat="1" ht="14.25" x14ac:dyDescent="0.3">
      <c r="A76" s="31"/>
      <c r="B76" s="32"/>
      <c r="C76" s="33"/>
      <c r="D76" s="34"/>
      <c r="E76" s="34"/>
      <c r="F76" s="27"/>
      <c r="G76" s="28"/>
      <c r="H76" s="29"/>
    </row>
    <row r="77" spans="1:10" s="12" customFormat="1" ht="14.25" x14ac:dyDescent="0.3">
      <c r="A77" s="35" t="s">
        <v>114</v>
      </c>
      <c r="B77" s="32"/>
      <c r="C77" s="33"/>
      <c r="D77" s="34"/>
      <c r="E77" s="34"/>
      <c r="F77" s="36"/>
      <c r="G77" s="37"/>
      <c r="H77" s="29"/>
    </row>
    <row r="78" spans="1:10" s="12" customFormat="1" ht="13.5" x14ac:dyDescent="0.2">
      <c r="A78" s="38"/>
      <c r="B78" s="38"/>
      <c r="C78" s="38"/>
      <c r="D78" s="38"/>
      <c r="E78" s="38"/>
      <c r="F78" s="38"/>
      <c r="G78" s="38"/>
      <c r="H78" s="38"/>
    </row>
    <row r="79" spans="1:10" s="12" customFormat="1" ht="13.5" x14ac:dyDescent="0.2">
      <c r="A79" s="94" t="s">
        <v>145</v>
      </c>
      <c r="B79" s="94"/>
      <c r="C79" s="94"/>
      <c r="D79" s="94"/>
      <c r="E79" s="94"/>
      <c r="F79" s="94"/>
      <c r="G79" s="94"/>
      <c r="H79" s="94"/>
      <c r="J79" s="39"/>
    </row>
    <row r="80" spans="1:10" s="12" customFormat="1" ht="14.25" x14ac:dyDescent="0.3">
      <c r="A80" s="40"/>
      <c r="B80" s="41"/>
      <c r="C80" s="42"/>
      <c r="D80" s="43"/>
      <c r="E80" s="43"/>
      <c r="F80" s="44"/>
      <c r="G80" s="28"/>
      <c r="H80" s="29"/>
    </row>
    <row r="81" spans="1:8" s="12" customFormat="1" ht="13.5" x14ac:dyDescent="0.2">
      <c r="A81" s="94" t="s">
        <v>115</v>
      </c>
      <c r="B81" s="94"/>
      <c r="C81" s="94"/>
      <c r="D81" s="94"/>
      <c r="E81" s="94"/>
      <c r="F81" s="94"/>
      <c r="G81" s="94"/>
      <c r="H81" s="94"/>
    </row>
    <row r="82" spans="1:8" s="12" customFormat="1" ht="27" customHeight="1" x14ac:dyDescent="0.2">
      <c r="A82" s="94" t="s">
        <v>116</v>
      </c>
      <c r="B82" s="94"/>
      <c r="C82" s="94"/>
      <c r="D82" s="94"/>
      <c r="E82" s="94"/>
      <c r="F82" s="94"/>
      <c r="G82" s="94"/>
      <c r="H82" s="94"/>
    </row>
    <row r="83" spans="1:8" ht="13.5" x14ac:dyDescent="0.2">
      <c r="A83" s="82" t="s">
        <v>117</v>
      </c>
      <c r="B83" s="82"/>
      <c r="C83" s="82"/>
      <c r="D83" s="82"/>
      <c r="E83" s="82"/>
      <c r="F83" s="82"/>
      <c r="G83" s="83"/>
      <c r="H83" s="83"/>
    </row>
    <row r="84" spans="1:8" ht="52.5" customHeight="1" x14ac:dyDescent="0.2">
      <c r="A84" s="84" t="s">
        <v>118</v>
      </c>
      <c r="B84" s="84"/>
      <c r="C84" s="84"/>
      <c r="D84" s="84"/>
      <c r="E84" s="84"/>
      <c r="F84" s="84"/>
      <c r="G84" s="84"/>
      <c r="H84" s="83"/>
    </row>
    <row r="85" spans="1:8" ht="14.25" x14ac:dyDescent="0.3">
      <c r="A85" s="45"/>
      <c r="B85" s="45"/>
      <c r="C85" s="45"/>
      <c r="D85" s="45"/>
      <c r="E85" s="45"/>
      <c r="F85" s="45"/>
      <c r="G85" s="43"/>
      <c r="H85" s="43"/>
    </row>
    <row r="86" spans="1:8" ht="14.25" x14ac:dyDescent="0.3">
      <c r="A86" s="46" t="s">
        <v>119</v>
      </c>
      <c r="B86" s="47"/>
      <c r="C86" s="47"/>
      <c r="D86" s="29"/>
      <c r="E86" s="29"/>
      <c r="F86" s="48"/>
      <c r="G86" s="29"/>
      <c r="H86" s="29"/>
    </row>
    <row r="87" spans="1:8" ht="14.25" x14ac:dyDescent="0.3">
      <c r="A87" s="49" t="s">
        <v>120</v>
      </c>
      <c r="B87" s="47"/>
      <c r="C87" s="47"/>
      <c r="D87" s="29"/>
      <c r="E87" s="29"/>
      <c r="F87" s="29"/>
      <c r="G87" s="29"/>
      <c r="H87" s="50"/>
    </row>
    <row r="88" spans="1:8" ht="14.25" x14ac:dyDescent="0.3">
      <c r="A88" s="49" t="s">
        <v>121</v>
      </c>
      <c r="B88" s="47"/>
      <c r="C88" s="47"/>
      <c r="D88" s="29"/>
      <c r="E88" s="29"/>
      <c r="F88" s="29"/>
      <c r="G88" s="29"/>
      <c r="H88" s="50"/>
    </row>
    <row r="89" spans="1:8" ht="14.25" x14ac:dyDescent="0.3">
      <c r="A89" s="49" t="s">
        <v>122</v>
      </c>
      <c r="B89" s="47"/>
      <c r="C89" s="47"/>
      <c r="D89" s="29"/>
      <c r="E89" s="29"/>
      <c r="F89" s="29"/>
      <c r="G89" s="29"/>
      <c r="H89" s="29"/>
    </row>
    <row r="90" spans="1:8" ht="14.25" x14ac:dyDescent="0.3">
      <c r="A90" s="51"/>
      <c r="B90" s="47"/>
      <c r="C90" s="47"/>
      <c r="D90" s="29"/>
      <c r="E90" s="29"/>
      <c r="F90" s="29"/>
      <c r="G90" s="29"/>
      <c r="H90" s="29"/>
    </row>
    <row r="91" spans="1:8" ht="14.25" x14ac:dyDescent="0.3">
      <c r="A91" s="52" t="s">
        <v>123</v>
      </c>
      <c r="B91" s="85" t="s">
        <v>124</v>
      </c>
      <c r="C91" s="85"/>
      <c r="D91" s="85"/>
      <c r="E91" s="53"/>
      <c r="F91" s="29"/>
      <c r="G91" s="29"/>
      <c r="H91" s="29"/>
    </row>
    <row r="92" spans="1:8" ht="14.25" x14ac:dyDescent="0.3">
      <c r="A92" s="52"/>
      <c r="B92" s="54"/>
      <c r="C92" s="54"/>
      <c r="D92" s="54"/>
      <c r="E92" s="53"/>
      <c r="F92" s="29"/>
      <c r="G92" s="29"/>
      <c r="H92" s="29"/>
    </row>
    <row r="93" spans="1:8" ht="14.25" x14ac:dyDescent="0.3">
      <c r="A93" s="55"/>
      <c r="B93" s="47"/>
      <c r="C93" s="47"/>
      <c r="D93" s="29"/>
      <c r="E93" s="29"/>
      <c r="F93" s="29"/>
      <c r="G93" s="29"/>
      <c r="H93" s="29"/>
    </row>
    <row r="94" spans="1:8" ht="14.25" x14ac:dyDescent="0.3">
      <c r="A94" s="47"/>
      <c r="B94" s="47"/>
      <c r="C94" s="47"/>
      <c r="D94" s="29"/>
      <c r="E94" s="29"/>
      <c r="F94" s="29"/>
      <c r="G94" s="29"/>
      <c r="H94" s="29"/>
    </row>
    <row r="95" spans="1:8" ht="14.25" x14ac:dyDescent="0.3">
      <c r="A95" s="56"/>
      <c r="B95" s="57"/>
      <c r="C95" s="58"/>
      <c r="D95" s="29"/>
      <c r="E95" s="29"/>
      <c r="F95" s="29"/>
      <c r="G95" s="29"/>
      <c r="H95" s="29"/>
    </row>
    <row r="96" spans="1:8" ht="14.25" x14ac:dyDescent="0.3">
      <c r="A96" s="56"/>
      <c r="B96" s="57"/>
      <c r="C96" s="58"/>
      <c r="D96" s="29"/>
      <c r="E96" s="29"/>
      <c r="F96" s="29"/>
      <c r="G96" s="29"/>
      <c r="H96" s="29"/>
    </row>
    <row r="97" spans="1:8" ht="14.25" x14ac:dyDescent="0.3">
      <c r="A97" s="56"/>
      <c r="B97" s="57"/>
      <c r="C97" s="58"/>
      <c r="D97" s="29"/>
      <c r="E97" s="29"/>
      <c r="F97" s="29"/>
      <c r="G97" s="29"/>
      <c r="H97" s="29"/>
    </row>
    <row r="98" spans="1:8" ht="14.25" x14ac:dyDescent="0.3">
      <c r="A98" s="56"/>
      <c r="B98" s="57"/>
      <c r="C98" s="58"/>
      <c r="D98" s="29"/>
      <c r="E98" s="29"/>
      <c r="F98" s="29"/>
      <c r="G98" s="29"/>
      <c r="H98" s="29"/>
    </row>
    <row r="99" spans="1:8" ht="14.25" x14ac:dyDescent="0.3">
      <c r="A99" s="56"/>
      <c r="B99" s="57"/>
      <c r="C99" s="58"/>
      <c r="D99" s="29"/>
      <c r="E99" s="29"/>
      <c r="F99" s="29"/>
      <c r="G99" s="29"/>
      <c r="H99" s="29"/>
    </row>
    <row r="100" spans="1:8" ht="14.25" x14ac:dyDescent="0.3">
      <c r="A100" s="56"/>
      <c r="B100" s="57"/>
      <c r="C100" s="58"/>
      <c r="D100" s="29"/>
      <c r="E100" s="29"/>
      <c r="F100" s="29"/>
      <c r="G100" s="29"/>
      <c r="H100" s="29"/>
    </row>
    <row r="101" spans="1:8" ht="15" thickBot="1" x14ac:dyDescent="0.35">
      <c r="A101" s="56"/>
      <c r="B101" s="57"/>
      <c r="C101" s="58"/>
      <c r="D101" s="29"/>
      <c r="E101" s="59"/>
      <c r="F101" s="29"/>
      <c r="G101" s="29"/>
      <c r="H101" s="29"/>
    </row>
    <row r="102" spans="1:8" ht="15" thickBot="1" x14ac:dyDescent="0.35">
      <c r="A102" s="86" t="s">
        <v>125</v>
      </c>
      <c r="B102" s="87"/>
      <c r="C102" s="87"/>
      <c r="D102" s="88"/>
      <c r="E102" s="59"/>
      <c r="F102" s="29"/>
      <c r="G102" s="29"/>
      <c r="H102" s="29"/>
    </row>
    <row r="103" spans="1:8" ht="15" thickBot="1" x14ac:dyDescent="0.35">
      <c r="A103" s="60" t="s">
        <v>126</v>
      </c>
      <c r="B103" s="89" t="s">
        <v>127</v>
      </c>
      <c r="C103" s="89" t="s">
        <v>128</v>
      </c>
      <c r="D103" s="89" t="s">
        <v>129</v>
      </c>
      <c r="E103" s="59"/>
      <c r="F103" s="29"/>
      <c r="G103" s="29"/>
      <c r="H103" s="29"/>
    </row>
    <row r="104" spans="1:8" ht="15" thickBot="1" x14ac:dyDescent="0.35">
      <c r="A104" s="60" t="s">
        <v>130</v>
      </c>
      <c r="B104" s="90"/>
      <c r="C104" s="90"/>
      <c r="D104" s="90"/>
      <c r="E104" s="59"/>
      <c r="F104" s="29"/>
      <c r="G104" s="29"/>
      <c r="H104" s="29"/>
    </row>
    <row r="105" spans="1:8" ht="15" thickBot="1" x14ac:dyDescent="0.35">
      <c r="A105" s="61" t="s">
        <v>131</v>
      </c>
      <c r="B105" s="62"/>
      <c r="C105" s="62" t="s">
        <v>132</v>
      </c>
      <c r="D105" s="63"/>
      <c r="E105" s="59"/>
      <c r="F105" s="29"/>
      <c r="G105" s="29"/>
      <c r="H105" s="29"/>
    </row>
    <row r="106" spans="1:8" ht="15" thickBot="1" x14ac:dyDescent="0.35">
      <c r="A106" s="64" t="s">
        <v>133</v>
      </c>
      <c r="B106" s="63"/>
      <c r="C106" s="63"/>
      <c r="D106" s="63"/>
      <c r="E106" s="59"/>
      <c r="F106" s="29"/>
      <c r="G106" s="29"/>
      <c r="H106" s="29"/>
    </row>
    <row r="107" spans="1:8" ht="15" thickBot="1" x14ac:dyDescent="0.35">
      <c r="A107" s="64" t="s">
        <v>134</v>
      </c>
      <c r="B107" s="63"/>
      <c r="C107" s="63"/>
      <c r="D107" s="63"/>
      <c r="E107" s="59"/>
      <c r="F107" s="29"/>
      <c r="G107" s="29"/>
      <c r="H107" s="29"/>
    </row>
    <row r="108" spans="1:8" ht="14.25" x14ac:dyDescent="0.3">
      <c r="A108" s="65"/>
      <c r="B108" s="66"/>
      <c r="C108" s="66"/>
      <c r="D108" s="66"/>
      <c r="E108" s="59"/>
      <c r="F108" s="29"/>
      <c r="G108" s="29"/>
      <c r="H108" s="29"/>
    </row>
    <row r="109" spans="1:8" ht="14.25" x14ac:dyDescent="0.3">
      <c r="A109" s="80" t="s">
        <v>135</v>
      </c>
      <c r="B109" s="81"/>
      <c r="C109" s="58"/>
      <c r="D109" s="29"/>
      <c r="E109" s="59"/>
      <c r="F109" s="29"/>
      <c r="G109" s="29"/>
      <c r="H109" s="29"/>
    </row>
    <row r="110" spans="1:8" ht="14.25" x14ac:dyDescent="0.3">
      <c r="A110" s="67" t="s">
        <v>136</v>
      </c>
      <c r="B110" s="68" t="s">
        <v>137</v>
      </c>
      <c r="C110" s="58"/>
      <c r="D110" s="29"/>
      <c r="E110" s="59"/>
      <c r="F110" s="29"/>
      <c r="G110" s="29"/>
      <c r="H110" s="29"/>
    </row>
    <row r="111" spans="1:8" ht="14.25" x14ac:dyDescent="0.3">
      <c r="A111" s="67" t="s">
        <v>138</v>
      </c>
      <c r="B111" s="69"/>
      <c r="C111" s="58"/>
      <c r="D111" s="29"/>
      <c r="E111" s="59"/>
      <c r="F111" s="29"/>
      <c r="G111" s="29"/>
      <c r="H111" s="29"/>
    </row>
    <row r="112" spans="1:8" ht="14.25" x14ac:dyDescent="0.3">
      <c r="A112" s="67"/>
      <c r="B112" s="69"/>
      <c r="C112" s="58"/>
      <c r="D112" s="29"/>
      <c r="E112" s="59"/>
      <c r="F112" s="29"/>
      <c r="G112" s="29"/>
      <c r="H112" s="29"/>
    </row>
    <row r="113" spans="1:8" ht="14.25" x14ac:dyDescent="0.3">
      <c r="A113" s="67" t="s">
        <v>139</v>
      </c>
      <c r="B113" s="70">
        <v>7.1199999999999999E-2</v>
      </c>
      <c r="C113" s="58"/>
      <c r="D113" s="29"/>
      <c r="E113" s="59"/>
      <c r="F113" s="29"/>
      <c r="G113" s="29"/>
      <c r="H113" s="29"/>
    </row>
    <row r="114" spans="1:8" ht="14.25" x14ac:dyDescent="0.3">
      <c r="A114" s="67" t="s">
        <v>111</v>
      </c>
      <c r="B114" s="71"/>
      <c r="C114" s="58"/>
      <c r="D114" s="29"/>
      <c r="E114" s="59"/>
      <c r="F114" s="29"/>
      <c r="G114" s="29"/>
      <c r="H114" s="29"/>
    </row>
    <row r="115" spans="1:8" ht="14.25" x14ac:dyDescent="0.3">
      <c r="A115" s="67" t="s">
        <v>140</v>
      </c>
      <c r="B115" s="72">
        <v>0.10009999999999999</v>
      </c>
      <c r="C115" s="73"/>
      <c r="D115" s="29"/>
      <c r="E115" s="59"/>
      <c r="F115" s="29"/>
      <c r="G115" s="29"/>
      <c r="H115" s="29"/>
    </row>
    <row r="116" spans="1:8" ht="14.25" x14ac:dyDescent="0.3">
      <c r="A116" s="67" t="s">
        <v>141</v>
      </c>
      <c r="B116" s="72">
        <v>0.10059999999999999</v>
      </c>
      <c r="C116" s="58"/>
      <c r="D116" s="29"/>
      <c r="E116" s="59"/>
      <c r="F116" s="29"/>
      <c r="G116" s="29"/>
      <c r="H116" s="29"/>
    </row>
    <row r="117" spans="1:8" ht="14.25" x14ac:dyDescent="0.3">
      <c r="A117" s="67" t="s">
        <v>111</v>
      </c>
      <c r="B117" s="21"/>
      <c r="C117" s="58"/>
      <c r="D117" s="29"/>
      <c r="E117" s="59"/>
      <c r="F117" s="29"/>
      <c r="G117" s="29"/>
      <c r="H117" s="29"/>
    </row>
    <row r="118" spans="1:8" ht="14.25" x14ac:dyDescent="0.3">
      <c r="A118" s="67" t="s">
        <v>142</v>
      </c>
      <c r="B118" s="74" t="s">
        <v>143</v>
      </c>
      <c r="C118" s="58"/>
      <c r="D118" s="29"/>
      <c r="E118" s="59"/>
      <c r="F118" s="29"/>
      <c r="G118" s="29"/>
      <c r="H118" s="29"/>
    </row>
    <row r="119" spans="1:8" ht="14.25" x14ac:dyDescent="0.3">
      <c r="A119" s="75" t="s">
        <v>144</v>
      </c>
      <c r="B119" s="76"/>
      <c r="C119" s="58"/>
      <c r="D119" s="29"/>
      <c r="E119" s="59"/>
      <c r="F119" s="29"/>
      <c r="G119" s="29"/>
      <c r="H119" s="29"/>
    </row>
    <row r="120" spans="1:8" ht="14.25" x14ac:dyDescent="0.3">
      <c r="A120" s="56"/>
      <c r="B120" s="57"/>
      <c r="C120" s="58"/>
      <c r="D120" s="29"/>
      <c r="E120" s="29"/>
      <c r="F120" s="29"/>
      <c r="G120" s="29"/>
      <c r="H120" s="29"/>
    </row>
    <row r="121" spans="1:8" ht="14.25" x14ac:dyDescent="0.3">
      <c r="A121" s="56"/>
      <c r="B121" s="57"/>
      <c r="C121" s="58"/>
      <c r="D121" s="29"/>
      <c r="E121" s="29"/>
      <c r="F121" s="29"/>
      <c r="G121" s="29"/>
      <c r="H121" s="29"/>
    </row>
    <row r="122" spans="1:8" ht="14.25" x14ac:dyDescent="0.3">
      <c r="A122" s="56"/>
      <c r="B122" s="57"/>
      <c r="C122" s="58"/>
      <c r="D122" s="29"/>
      <c r="E122" s="29"/>
      <c r="F122" s="29"/>
      <c r="G122" s="29"/>
      <c r="H122" s="29"/>
    </row>
    <row r="123" spans="1:8" ht="14.25" x14ac:dyDescent="0.3">
      <c r="A123" s="56"/>
      <c r="B123" s="57"/>
      <c r="C123" s="58"/>
      <c r="D123" s="29"/>
      <c r="E123" s="29"/>
      <c r="F123" s="29"/>
      <c r="G123" s="29"/>
      <c r="H123" s="29"/>
    </row>
    <row r="124" spans="1:8" ht="14.25" x14ac:dyDescent="0.3">
      <c r="A124" s="56"/>
      <c r="B124" s="57"/>
      <c r="C124" s="58"/>
      <c r="D124" s="29"/>
      <c r="E124" s="29"/>
      <c r="F124" s="29"/>
      <c r="G124" s="29"/>
      <c r="H124" s="29"/>
    </row>
    <row r="125" spans="1:8" ht="14.25" x14ac:dyDescent="0.3">
      <c r="A125" s="56"/>
      <c r="B125" s="57"/>
      <c r="C125" s="58"/>
      <c r="D125" s="29"/>
      <c r="E125" s="29"/>
      <c r="F125" s="29"/>
      <c r="G125" s="29"/>
      <c r="H125" s="29"/>
    </row>
    <row r="126" spans="1:8" ht="14.25" x14ac:dyDescent="0.3">
      <c r="A126" s="56"/>
      <c r="B126" s="57"/>
      <c r="C126" s="58"/>
      <c r="D126" s="29"/>
      <c r="E126" s="29"/>
      <c r="F126" s="29"/>
      <c r="G126" s="29"/>
      <c r="H126" s="29"/>
    </row>
    <row r="127" spans="1:8" ht="14.25" x14ac:dyDescent="0.3">
      <c r="A127" s="56"/>
      <c r="B127" s="57"/>
      <c r="C127" s="58"/>
      <c r="D127" s="29"/>
      <c r="E127" s="29"/>
      <c r="F127" s="29"/>
      <c r="G127" s="29"/>
      <c r="H127" s="29"/>
    </row>
  </sheetData>
  <mergeCells count="14">
    <mergeCell ref="A82:H82"/>
    <mergeCell ref="A1:H1"/>
    <mergeCell ref="A2:H2"/>
    <mergeCell ref="A3:H3"/>
    <mergeCell ref="A79:H79"/>
    <mergeCell ref="A81:H81"/>
    <mergeCell ref="A109:B109"/>
    <mergeCell ref="A83:H83"/>
    <mergeCell ref="A84:H84"/>
    <mergeCell ref="B91:D91"/>
    <mergeCell ref="A102:D102"/>
    <mergeCell ref="B103:B104"/>
    <mergeCell ref="C103:C104"/>
    <mergeCell ref="D103:D10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2024-06-03T07:59:06Z</dcterms:created>
  <dcterms:modified xsi:type="dcterms:W3CDTF">2024-06-05T16:30:02Z</dcterms:modified>
</cp:coreProperties>
</file>