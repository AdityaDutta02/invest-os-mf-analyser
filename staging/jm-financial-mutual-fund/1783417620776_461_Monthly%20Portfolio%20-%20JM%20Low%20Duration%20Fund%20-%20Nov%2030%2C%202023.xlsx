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Low Duration Fund" sheetId="1" r:id="rId1"/>
  </sheets>
  <definedNames>
    <definedName name="_xlnm._FilterDatabase" localSheetId="0" hidden="1">'JM Low Duration Fund'!$A$1:$H$137</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Fund'!$A$1:$E$43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4" i="1" l="1"/>
  <c r="E53" i="1"/>
  <c r="E54" i="1" s="1"/>
  <c r="D51" i="1"/>
  <c r="E50" i="1"/>
  <c r="E51" i="1" s="1"/>
  <c r="D49" i="1"/>
  <c r="E48" i="1"/>
  <c r="E47" i="1"/>
  <c r="E46" i="1"/>
  <c r="E49" i="1" s="1"/>
  <c r="D44" i="1"/>
  <c r="E43" i="1"/>
  <c r="E42" i="1"/>
  <c r="E41" i="1"/>
  <c r="E40" i="1"/>
  <c r="E44" i="1" s="1"/>
  <c r="D36" i="1"/>
  <c r="E35" i="1"/>
  <c r="E34" i="1"/>
  <c r="E36" i="1" s="1"/>
  <c r="D21" i="1"/>
  <c r="D25" i="1" s="1"/>
  <c r="D56" i="1" s="1"/>
  <c r="E20" i="1"/>
  <c r="E19" i="1"/>
  <c r="E18" i="1"/>
  <c r="E17" i="1"/>
  <c r="E16" i="1"/>
  <c r="E15" i="1"/>
  <c r="E14" i="1"/>
  <c r="E13" i="1"/>
  <c r="E12" i="1"/>
  <c r="E11" i="1"/>
  <c r="E10" i="1"/>
  <c r="E9" i="1"/>
  <c r="E8" i="1"/>
  <c r="E7" i="1"/>
  <c r="E21" i="1" s="1"/>
  <c r="E25" i="1" s="1"/>
  <c r="E56" i="1" s="1"/>
  <c r="D58" i="1" l="1"/>
  <c r="E58" i="1" s="1"/>
  <c r="E60" i="1" s="1"/>
</calcChain>
</file>

<file path=xl/sharedStrings.xml><?xml version="1.0" encoding="utf-8"?>
<sst xmlns="http://schemas.openxmlformats.org/spreadsheetml/2006/main" count="145" uniqueCount="113">
  <si>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</si>
  <si>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</si>
  <si>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</si>
  <si>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</si>
  <si>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</si>
  <si>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</si>
  <si>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</si>
  <si>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</si>
  <si>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</si>
  <si>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</si>
  <si>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</si>
  <si>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</si>
  <si>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</si>
  <si>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</si>
  <si>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INE018A08BA7</t>
  </si>
  <si>
    <t>NABARD</t>
  </si>
  <si>
    <t>INE261F08CU8</t>
  </si>
  <si>
    <t>Power Finance Corporation Ltd.**</t>
  </si>
  <si>
    <t>INE134E08GU1</t>
  </si>
  <si>
    <t>LIC Housing Finance Ltd.**</t>
  </si>
  <si>
    <t>CARE AAA</t>
  </si>
  <si>
    <t>INE115A07NY8</t>
  </si>
  <si>
    <t>Bharat Petroleum Corporation Ltd**</t>
  </si>
  <si>
    <t>INE029A08057</t>
  </si>
  <si>
    <t>Cholamandalam Investment &amp; Finance Company Ltd.**</t>
  </si>
  <si>
    <t>CARE AA+</t>
  </si>
  <si>
    <t>INE121A07OI7</t>
  </si>
  <si>
    <t>SIDBI Ltd**</t>
  </si>
  <si>
    <t>INE556F08KD0</t>
  </si>
  <si>
    <t>Bajaj Finance Ltd.**</t>
  </si>
  <si>
    <t>INE296A07RX9</t>
  </si>
  <si>
    <t>REC Ltd.**</t>
  </si>
  <si>
    <t>INE020B08DR1</t>
  </si>
  <si>
    <t>Export-Import Bank of India**</t>
  </si>
  <si>
    <t>INE514E08CH0</t>
  </si>
  <si>
    <t>Sikka Ports &amp; Terminals Ltd.**</t>
  </si>
  <si>
    <t>INE941D07208</t>
  </si>
  <si>
    <t>INE020B08898</t>
  </si>
  <si>
    <t>INE134E08GY3</t>
  </si>
  <si>
    <t>Britannia Industries Ltd.**</t>
  </si>
  <si>
    <t>INE216A08027</t>
  </si>
  <si>
    <t>Sub Total:</t>
  </si>
  <si>
    <t>b) Privately Placed / Unlisted</t>
  </si>
  <si>
    <t>NIL</t>
  </si>
  <si>
    <t>Total:</t>
  </si>
  <si>
    <t>TERM DEPOSITS</t>
  </si>
  <si>
    <t>Deposits (Maturity not exceeding 91 days)</t>
  </si>
  <si>
    <t>Deposits (Placed as F &amp; O margin)</t>
  </si>
  <si>
    <t>GOVERNMENT SECURITIES</t>
  </si>
  <si>
    <t>8.06% Maharashtra SDL 2025 11/02/25</t>
  </si>
  <si>
    <t>Sovereign</t>
  </si>
  <si>
    <t>IN2220140205</t>
  </si>
  <si>
    <t>6.69% Government of India Securities 2024 27/06/2024</t>
  </si>
  <si>
    <t>IN0020220052</t>
  </si>
  <si>
    <t>MONEY MARKET INSTRUMENTS</t>
  </si>
  <si>
    <t>Certificate of Deposit (CD) / Commercial Paper (CP)</t>
  </si>
  <si>
    <t>Shriram Finance Ltd.CP**</t>
  </si>
  <si>
    <t>CARE A1+</t>
  </si>
  <si>
    <t>INE721A14DJ1</t>
  </si>
  <si>
    <t>Reliance Retail Ventures Ltd.CP</t>
  </si>
  <si>
    <t>INE929O14AW0</t>
  </si>
  <si>
    <t>Kotak Mahindra Investments Ltd.CP**</t>
  </si>
  <si>
    <t>CRISIL A1+</t>
  </si>
  <si>
    <t>INE975F14ZE6</t>
  </si>
  <si>
    <t>ICICI Bank Ltd.CD</t>
  </si>
  <si>
    <t>INE090A161Z0</t>
  </si>
  <si>
    <t>Treasury Bills</t>
  </si>
  <si>
    <t>182 Days Treasury-Bill 07/03/2024</t>
  </si>
  <si>
    <t>IN002023Y243</t>
  </si>
  <si>
    <t>182 Days Treasury-Bill 14/12/2023</t>
  </si>
  <si>
    <t>IN002023Y110</t>
  </si>
  <si>
    <t>182 Days Treasury-Bill 07/12/2023</t>
  </si>
  <si>
    <t>IN002023Y102</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</si>
  <si>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</si>
  <si>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</si>
  <si>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</si>
  <si>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</si>
  <si>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</si>
  <si>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</si>
  <si>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</si>
  <si>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</si>
  <si>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</si>
  <si>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</si>
  <si>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</si>
  <si>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</si>
  <si>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</si>
  <si>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</si>
  <si>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</si>
  <si>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</si>
  <si>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</si>
  <si>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</si>
  <si>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</si>
  <si>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</si>
  <si>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</si>
  <si>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</si>
  <si>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</si>
  <si>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</si>
  <si>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</si>
  <si>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</si>
  <si>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</si>
  <si>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</si>
  <si>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</si>
  <si>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</si>
  <si>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</si>
  <si>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</si>
  <si>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</si>
  <si>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</si>
  <si>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</si>
  <si>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</si>
  <si>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</si>
  <si>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30.11.2023</t>
  </si>
  <si>
    <t xml:space="preserve">* in case of semi annual YTM,  it will be annualised </t>
  </si>
  <si>
    <t>Monthly Portfolio Statement for the period ended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</si>
</sst>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8">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3" applyFont="1" applyBorder="1" applyAlignment="1">
      <alignment horizontal="center"/>
    </xf>
    <xf numFmtId="0" fontId="4" fillId="0" borderId="3" xfId="3" applyFont="1" applyBorder="1" applyAlignment="1">
      <alignment horizontal="center" wrapText="1"/>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6" applyFont="1" applyBorder="1"/>
    <xf numFmtId="0" fontId="8" fillId="0" borderId="0" xfId="7" applyFont="1" applyBorder="1" applyAlignment="1">
      <alignment horizontal="left" vertical="top" wrapText="1"/>
    </xf>
    <xf numFmtId="0" fontId="9" fillId="0" borderId="0" xfId="7" applyFont="1" applyBorder="1"/>
    <xf numFmtId="0" fontId="10" fillId="0" borderId="0" xfId="3" applyFont="1" applyFill="1" applyBorder="1" applyAlignment="1">
      <alignment horizontal="left" wrapText="1"/>
    </xf>
    <xf numFmtId="0" fontId="7" fillId="0" borderId="0" xfId="7"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6"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8"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7" fillId="0" borderId="0" xfId="7" applyFont="1" applyBorder="1" applyAlignment="1">
      <alignment horizontal="left" vertical="top"/>
    </xf>
    <xf numFmtId="0" fontId="7" fillId="0" borderId="0" xfId="7" applyFont="1" applyBorder="1" applyAlignment="1">
      <alignment horizontal="left" vertical="top" wrapText="1"/>
    </xf>
  </cellXfs>
  <cellStyles count="9">
    <cellStyle name="Comma" xfId="1" builtinId="3"/>
    <cellStyle name="Comma 3" xfId="8"/>
    <cellStyle name="Normal" xfId="0" builtinId="0"/>
    <cellStyle name="Normal 2 2" xfId="3"/>
    <cellStyle name="Normal 2 2 2" xfId="4"/>
    <cellStyle name="Normal 2 2_Template Portfolio Disclosure -30.11 2023" xfId="5"/>
    <cellStyle name="Normal 4_IF" xfId="6"/>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704850</xdr:colOff>
      <xdr:row>74</xdr:row>
      <xdr:rowOff>104775</xdr:rowOff>
    </xdr:from>
    <xdr:to>
      <xdr:col>0</xdr:col>
      <xdr:colOff>2600325</xdr:colOff>
      <xdr:row>80</xdr:row>
      <xdr:rowOff>66675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44303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285750</xdr:colOff>
      <xdr:row>74</xdr:row>
      <xdr:rowOff>85725</xdr:rowOff>
    </xdr:from>
    <xdr:to>
      <xdr:col>3</xdr:col>
      <xdr:colOff>561975</xdr:colOff>
      <xdr:row>80</xdr:row>
      <xdr:rowOff>19050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14725" y="14411325"/>
          <a:ext cx="18764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7"/>
  <sheetViews>
    <sheetView tabSelected="1" zoomScaleNormal="100" workbookViewId="0">
      <selection activeCell="A4" sqref="A4"/>
    </sheetView>
  </sheetViews>
  <sheetFormatPr defaultRowHeight="12.75" x14ac:dyDescent="0.2"/>
  <cols>
    <col min="1" max="1" width="48.42578125" style="61" customWidth="1"/>
    <col min="2" max="2" width="12.85546875" style="62" customWidth="1"/>
    <col min="3" max="3" width="11.140625" style="63" customWidth="1"/>
    <col min="4" max="4" width="12" style="1" customWidth="1"/>
    <col min="5" max="5" width="9.7109375" style="1" customWidth="1"/>
    <col min="6" max="6" width="12.7109375" style="1" customWidth="1"/>
    <col min="7" max="7" width="9.5703125" style="1" bestFit="1" customWidth="1"/>
    <col min="8" max="8" width="12.42578125" style="1" customWidth="1"/>
    <col min="9" max="16384" width="9.140625" style="1"/>
  </cols>
  <sheetData>
    <row r="1" spans="1:8" x14ac:dyDescent="0.2">
      <c r="A1" s="73" t="s">
        <v>0</v>
      </c>
      <c r="B1" s="73"/>
      <c r="C1" s="73"/>
      <c r="D1" s="73"/>
      <c r="E1" s="73"/>
      <c r="F1" s="73"/>
      <c r="G1" s="73"/>
      <c r="H1" s="73"/>
    </row>
    <row r="2" spans="1:8" ht="27" customHeight="1" x14ac:dyDescent="0.2">
      <c r="A2" s="74" t="s">
        <v>1</v>
      </c>
      <c r="B2" s="74"/>
      <c r="C2" s="74"/>
      <c r="D2" s="74"/>
      <c r="E2" s="74"/>
      <c r="F2" s="74"/>
      <c r="G2" s="74"/>
      <c r="H2" s="74"/>
    </row>
    <row r="3" spans="1:8" ht="15" customHeight="1" x14ac:dyDescent="0.2">
      <c r="A3" s="75" t="s">
        <v>112</v>
      </c>
      <c r="B3" s="75"/>
      <c r="C3" s="75"/>
      <c r="D3" s="75"/>
      <c r="E3" s="75"/>
      <c r="F3" s="75"/>
      <c r="G3" s="75"/>
      <c r="H3" s="75"/>
    </row>
    <row r="4" spans="1:8" s="7" customFormat="1" ht="25.5" x14ac:dyDescent="0.25">
      <c r="A4" s="2" t="s">
        <v>2</v>
      </c>
      <c r="B4" s="3" t="s">
        <v>3</v>
      </c>
      <c r="C4" s="4" t="s">
        <v>4</v>
      </c>
      <c r="D4" s="2" t="s">
        <v>5</v>
      </c>
      <c r="E4" s="2" t="s">
        <v>6</v>
      </c>
      <c r="F4" s="2" t="s">
        <v>7</v>
      </c>
      <c r="G4" s="5" t="s">
        <v>8</v>
      </c>
      <c r="H4" s="6" t="s">
        <v>9</v>
      </c>
    </row>
    <row r="5" spans="1:8" s="15" customFormat="1" ht="14.25" x14ac:dyDescent="0.3">
      <c r="A5" s="8" t="s">
        <v>10</v>
      </c>
      <c r="B5" s="9"/>
      <c r="C5" s="10"/>
      <c r="D5" s="11"/>
      <c r="E5" s="11"/>
      <c r="F5" s="12"/>
      <c r="G5" s="13"/>
      <c r="H5" s="14"/>
    </row>
    <row r="6" spans="1:8" s="15" customFormat="1" ht="14.25" x14ac:dyDescent="0.3">
      <c r="A6" s="8" t="s">
        <v>11</v>
      </c>
      <c r="B6" s="9"/>
      <c r="C6" s="10"/>
      <c r="D6" s="16"/>
      <c r="E6" s="16"/>
      <c r="F6" s="16"/>
      <c r="G6" s="13"/>
      <c r="H6" s="14"/>
    </row>
    <row r="7" spans="1:8" s="15" customFormat="1" ht="14.25" x14ac:dyDescent="0.3">
      <c r="A7" s="17" t="s">
        <v>12</v>
      </c>
      <c r="B7" s="18" t="s">
        <v>13</v>
      </c>
      <c r="C7" s="19">
        <v>150</v>
      </c>
      <c r="D7" s="20">
        <v>1497.7995000000001</v>
      </c>
      <c r="E7" s="20">
        <f t="shared" ref="E7:E20" si="0">(+D7/$D$60*100)</f>
        <v>8.2961439904461045</v>
      </c>
      <c r="F7" s="20" t="s">
        <v>14</v>
      </c>
      <c r="G7" s="13">
        <v>7.76</v>
      </c>
      <c r="H7" s="14"/>
    </row>
    <row r="8" spans="1:8" s="15" customFormat="1" ht="14.25" x14ac:dyDescent="0.3">
      <c r="A8" s="17" t="s">
        <v>15</v>
      </c>
      <c r="B8" s="18" t="s">
        <v>13</v>
      </c>
      <c r="C8" s="19">
        <v>150</v>
      </c>
      <c r="D8" s="20">
        <v>1493.7315000000001</v>
      </c>
      <c r="E8" s="20">
        <f t="shared" si="0"/>
        <v>8.2736117932106712</v>
      </c>
      <c r="F8" s="20" t="s">
        <v>16</v>
      </c>
      <c r="G8" s="13">
        <v>7.4501999999999997</v>
      </c>
      <c r="H8" s="14"/>
    </row>
    <row r="9" spans="1:8" s="15" customFormat="1" ht="14.25" x14ac:dyDescent="0.3">
      <c r="A9" s="17" t="s">
        <v>17</v>
      </c>
      <c r="B9" s="18" t="s">
        <v>13</v>
      </c>
      <c r="C9" s="19">
        <v>100</v>
      </c>
      <c r="D9" s="20">
        <v>1006.754</v>
      </c>
      <c r="E9" s="20">
        <f t="shared" si="0"/>
        <v>5.5762978602660622</v>
      </c>
      <c r="F9" s="20" t="s">
        <v>18</v>
      </c>
      <c r="G9" s="13">
        <v>7.76</v>
      </c>
      <c r="H9" s="14"/>
    </row>
    <row r="10" spans="1:8" s="15" customFormat="1" ht="14.25" x14ac:dyDescent="0.3">
      <c r="A10" s="17" t="s">
        <v>19</v>
      </c>
      <c r="B10" s="18" t="s">
        <v>20</v>
      </c>
      <c r="C10" s="19">
        <v>100</v>
      </c>
      <c r="D10" s="20">
        <v>1001.9880000000001</v>
      </c>
      <c r="E10" s="20">
        <f t="shared" si="0"/>
        <v>5.5498995190605358</v>
      </c>
      <c r="F10" s="20" t="s">
        <v>21</v>
      </c>
      <c r="G10" s="13">
        <v>7.5198999999999998</v>
      </c>
      <c r="H10" s="14"/>
    </row>
    <row r="11" spans="1:8" s="15" customFormat="1" ht="14.25" x14ac:dyDescent="0.3">
      <c r="A11" s="17" t="s">
        <v>22</v>
      </c>
      <c r="B11" s="18" t="s">
        <v>20</v>
      </c>
      <c r="C11" s="19">
        <v>100</v>
      </c>
      <c r="D11" s="20">
        <v>1000.486</v>
      </c>
      <c r="E11" s="20">
        <f t="shared" si="0"/>
        <v>5.541580108970166</v>
      </c>
      <c r="F11" s="20" t="s">
        <v>23</v>
      </c>
      <c r="G11" s="13">
        <v>7.41</v>
      </c>
      <c r="H11" s="14"/>
    </row>
    <row r="12" spans="1:8" s="15" customFormat="1" ht="14.25" x14ac:dyDescent="0.3">
      <c r="A12" s="17" t="s">
        <v>24</v>
      </c>
      <c r="B12" s="18" t="s">
        <v>25</v>
      </c>
      <c r="C12" s="19">
        <v>100</v>
      </c>
      <c r="D12" s="20">
        <v>999.39</v>
      </c>
      <c r="E12" s="20">
        <f t="shared" si="0"/>
        <v>5.5355094874927726</v>
      </c>
      <c r="F12" s="20" t="s">
        <v>26</v>
      </c>
      <c r="G12" s="13">
        <v>8.3350000000000009</v>
      </c>
      <c r="H12" s="14"/>
    </row>
    <row r="13" spans="1:8" s="15" customFormat="1" ht="14.25" x14ac:dyDescent="0.3">
      <c r="A13" s="17" t="s">
        <v>27</v>
      </c>
      <c r="B13" s="18" t="s">
        <v>20</v>
      </c>
      <c r="C13" s="19">
        <v>100</v>
      </c>
      <c r="D13" s="20">
        <v>997.70699999999999</v>
      </c>
      <c r="E13" s="20">
        <f t="shared" si="0"/>
        <v>5.5261875386365205</v>
      </c>
      <c r="F13" s="20" t="s">
        <v>28</v>
      </c>
      <c r="G13" s="13">
        <v>7.87</v>
      </c>
      <c r="H13" s="14"/>
    </row>
    <row r="14" spans="1:8" s="15" customFormat="1" ht="14.25" x14ac:dyDescent="0.3">
      <c r="A14" s="17" t="s">
        <v>29</v>
      </c>
      <c r="B14" s="18" t="s">
        <v>20</v>
      </c>
      <c r="C14" s="19">
        <v>100</v>
      </c>
      <c r="D14" s="20">
        <v>994.97299999999996</v>
      </c>
      <c r="E14" s="20">
        <f t="shared" si="0"/>
        <v>5.5110442182722927</v>
      </c>
      <c r="F14" s="20" t="s">
        <v>30</v>
      </c>
      <c r="G14" s="13">
        <v>7.8198999999999996</v>
      </c>
      <c r="H14" s="14"/>
    </row>
    <row r="15" spans="1:8" s="15" customFormat="1" ht="14.25" x14ac:dyDescent="0.3">
      <c r="A15" s="17" t="s">
        <v>31</v>
      </c>
      <c r="B15" s="18" t="s">
        <v>20</v>
      </c>
      <c r="C15" s="19">
        <v>100</v>
      </c>
      <c r="D15" s="20">
        <v>988.92499999999995</v>
      </c>
      <c r="E15" s="20">
        <f t="shared" si="0"/>
        <v>5.4775450223824436</v>
      </c>
      <c r="F15" s="20" t="s">
        <v>32</v>
      </c>
      <c r="G15" s="13">
        <v>7.6349</v>
      </c>
      <c r="H15" s="14"/>
    </row>
    <row r="16" spans="1:8" s="15" customFormat="1" ht="14.25" x14ac:dyDescent="0.3">
      <c r="A16" s="17" t="s">
        <v>33</v>
      </c>
      <c r="B16" s="18" t="s">
        <v>13</v>
      </c>
      <c r="C16" s="19">
        <v>80</v>
      </c>
      <c r="D16" s="20">
        <v>810.72799999999995</v>
      </c>
      <c r="E16" s="20">
        <f t="shared" si="0"/>
        <v>4.4905317601497314</v>
      </c>
      <c r="F16" s="20" t="s">
        <v>34</v>
      </c>
      <c r="G16" s="13">
        <v>7.6749999999999998</v>
      </c>
      <c r="H16" s="14"/>
    </row>
    <row r="17" spans="1:8" s="15" customFormat="1" ht="14.25" x14ac:dyDescent="0.3">
      <c r="A17" s="17" t="s">
        <v>35</v>
      </c>
      <c r="B17" s="18" t="s">
        <v>20</v>
      </c>
      <c r="C17" s="19">
        <v>70</v>
      </c>
      <c r="D17" s="20">
        <v>680.67859999999996</v>
      </c>
      <c r="E17" s="20">
        <f t="shared" si="0"/>
        <v>3.7702026718631347</v>
      </c>
      <c r="F17" s="20" t="s">
        <v>36</v>
      </c>
      <c r="G17" s="13">
        <v>8.0350000000000001</v>
      </c>
      <c r="H17" s="14"/>
    </row>
    <row r="18" spans="1:8" s="15" customFormat="1" ht="14.25" x14ac:dyDescent="0.3">
      <c r="A18" s="17" t="s">
        <v>31</v>
      </c>
      <c r="B18" s="18" t="s">
        <v>20</v>
      </c>
      <c r="C18" s="19">
        <v>50</v>
      </c>
      <c r="D18" s="20">
        <v>502.2475</v>
      </c>
      <c r="E18" s="20">
        <f t="shared" si="0"/>
        <v>2.7818927559006257</v>
      </c>
      <c r="F18" s="20" t="s">
        <v>37</v>
      </c>
      <c r="G18" s="13">
        <v>7.79</v>
      </c>
      <c r="H18" s="14"/>
    </row>
    <row r="19" spans="1:8" s="15" customFormat="1" ht="14.25" x14ac:dyDescent="0.3">
      <c r="A19" s="17" t="s">
        <v>17</v>
      </c>
      <c r="B19" s="18" t="s">
        <v>20</v>
      </c>
      <c r="C19" s="19">
        <v>50</v>
      </c>
      <c r="D19" s="20">
        <v>502.149</v>
      </c>
      <c r="E19" s="20">
        <f t="shared" si="0"/>
        <v>2.78134717541201</v>
      </c>
      <c r="F19" s="20" t="s">
        <v>38</v>
      </c>
      <c r="G19" s="13">
        <v>7.78</v>
      </c>
      <c r="H19" s="14"/>
    </row>
    <row r="20" spans="1:8" s="15" customFormat="1" ht="14.25" x14ac:dyDescent="0.3">
      <c r="A20" s="17" t="s">
        <v>39</v>
      </c>
      <c r="B20" s="18" t="s">
        <v>13</v>
      </c>
      <c r="C20" s="19">
        <v>725000</v>
      </c>
      <c r="D20" s="20">
        <v>207.759625</v>
      </c>
      <c r="E20" s="20">
        <f t="shared" si="0"/>
        <v>1.1507573372811823</v>
      </c>
      <c r="F20" s="20" t="s">
        <v>40</v>
      </c>
      <c r="G20" s="13">
        <v>7.7249999999999996</v>
      </c>
      <c r="H20" s="14"/>
    </row>
    <row r="21" spans="1:8" s="15" customFormat="1" ht="14.25" x14ac:dyDescent="0.3">
      <c r="A21" s="8" t="s">
        <v>41</v>
      </c>
      <c r="B21" s="9"/>
      <c r="C21" s="21"/>
      <c r="D21" s="11">
        <f>IF(ISERROR(SUM(D7:D20)),0,SUM(D7:D20))</f>
        <v>12685.316724999999</v>
      </c>
      <c r="E21" s="11">
        <f>IF(ISERROR(SUM(E7:E20)),0,SUM(E7:E20))</f>
        <v>70.262551239344234</v>
      </c>
      <c r="F21" s="11"/>
      <c r="G21" s="13"/>
      <c r="H21" s="14"/>
    </row>
    <row r="22" spans="1:8" s="15" customFormat="1" ht="14.25" x14ac:dyDescent="0.3">
      <c r="A22" s="8"/>
      <c r="B22" s="9"/>
      <c r="C22" s="21"/>
      <c r="D22" s="16"/>
      <c r="E22" s="16"/>
      <c r="F22" s="16"/>
      <c r="G22" s="13"/>
      <c r="H22" s="14"/>
    </row>
    <row r="23" spans="1:8" s="15" customFormat="1" ht="14.25" x14ac:dyDescent="0.3">
      <c r="A23" s="8" t="s">
        <v>42</v>
      </c>
      <c r="B23" s="9"/>
      <c r="C23" s="21"/>
      <c r="D23" s="11" t="s">
        <v>43</v>
      </c>
      <c r="E23" s="11" t="s">
        <v>43</v>
      </c>
      <c r="F23" s="12"/>
      <c r="G23" s="13"/>
      <c r="H23" s="14"/>
    </row>
    <row r="24" spans="1:8" s="15" customFormat="1" ht="14.25" x14ac:dyDescent="0.3">
      <c r="A24" s="8"/>
      <c r="B24" s="9"/>
      <c r="C24" s="21"/>
      <c r="D24" s="16"/>
      <c r="E24" s="16"/>
      <c r="F24" s="16"/>
      <c r="G24" s="13"/>
      <c r="H24" s="14"/>
    </row>
    <row r="25" spans="1:8" s="15" customFormat="1" ht="14.25" x14ac:dyDescent="0.3">
      <c r="A25" s="8" t="s">
        <v>44</v>
      </c>
      <c r="B25" s="9"/>
      <c r="C25" s="21"/>
      <c r="D25" s="11">
        <f>IF(ISERROR(+D21),0,D21)+IF(ISERROR(+#REF!),0,#REF!)+IF(ISERROR(+#REF!),0,#REF!)</f>
        <v>12685.316724999999</v>
      </c>
      <c r="E25" s="11">
        <f>IF(ISERROR(+E21),0,E21)+IF(ISERROR(+#REF!),0,#REF!)+IF(ISERROR(+#REF!),0,#REF!)</f>
        <v>70.262551239344234</v>
      </c>
      <c r="F25" s="11"/>
      <c r="G25" s="13"/>
      <c r="H25" s="14"/>
    </row>
    <row r="26" spans="1:8" s="15" customFormat="1" ht="14.25" x14ac:dyDescent="0.3">
      <c r="A26" s="8"/>
      <c r="B26" s="9"/>
      <c r="C26" s="21"/>
      <c r="D26" s="11"/>
      <c r="E26" s="11"/>
      <c r="F26" s="11"/>
      <c r="G26" s="13"/>
      <c r="H26" s="14"/>
    </row>
    <row r="27" spans="1:8" s="15" customFormat="1" ht="14.25" x14ac:dyDescent="0.3">
      <c r="A27" s="8" t="s">
        <v>45</v>
      </c>
      <c r="B27" s="9"/>
      <c r="C27" s="21"/>
      <c r="D27" s="11"/>
      <c r="E27" s="11"/>
      <c r="F27" s="11"/>
      <c r="G27" s="13"/>
      <c r="H27" s="14"/>
    </row>
    <row r="28" spans="1:8" s="15" customFormat="1" ht="14.25" x14ac:dyDescent="0.3">
      <c r="A28" s="8"/>
      <c r="B28" s="9"/>
      <c r="C28" s="21"/>
      <c r="D28" s="20"/>
      <c r="E28" s="20"/>
      <c r="F28" s="22"/>
      <c r="G28" s="13"/>
      <c r="H28" s="14"/>
    </row>
    <row r="29" spans="1:8" s="15" customFormat="1" ht="14.25" x14ac:dyDescent="0.3">
      <c r="A29" s="8" t="s">
        <v>46</v>
      </c>
      <c r="B29" s="9"/>
      <c r="C29" s="21"/>
      <c r="D29" s="11" t="s">
        <v>43</v>
      </c>
      <c r="E29" s="11" t="s">
        <v>43</v>
      </c>
      <c r="F29" s="11"/>
      <c r="G29" s="13"/>
      <c r="H29" s="14"/>
    </row>
    <row r="30" spans="1:8" s="15" customFormat="1" ht="14.25" x14ac:dyDescent="0.3">
      <c r="A30" s="8"/>
      <c r="B30" s="9"/>
      <c r="C30" s="21"/>
      <c r="D30" s="11"/>
      <c r="E30" s="11"/>
      <c r="F30" s="11"/>
      <c r="G30" s="13"/>
      <c r="H30" s="14"/>
    </row>
    <row r="31" spans="1:8" s="15" customFormat="1" ht="14.25" x14ac:dyDescent="0.3">
      <c r="A31" s="8" t="s">
        <v>47</v>
      </c>
      <c r="B31" s="9"/>
      <c r="C31" s="21"/>
      <c r="D31" s="11" t="s">
        <v>43</v>
      </c>
      <c r="E31" s="11" t="s">
        <v>43</v>
      </c>
      <c r="F31" s="11"/>
      <c r="G31" s="13"/>
      <c r="H31" s="14"/>
    </row>
    <row r="32" spans="1:8" s="15" customFormat="1" ht="14.25" x14ac:dyDescent="0.3">
      <c r="A32" s="8"/>
      <c r="B32" s="9"/>
      <c r="C32" s="21"/>
      <c r="D32" s="11"/>
      <c r="E32" s="11"/>
      <c r="F32" s="11"/>
      <c r="G32" s="13"/>
      <c r="H32" s="14"/>
    </row>
    <row r="33" spans="1:8" s="15" customFormat="1" ht="14.25" x14ac:dyDescent="0.3">
      <c r="A33" s="8" t="s">
        <v>48</v>
      </c>
      <c r="B33" s="9"/>
      <c r="C33" s="21"/>
      <c r="D33" s="11"/>
      <c r="E33" s="11"/>
      <c r="F33" s="11"/>
      <c r="G33" s="13"/>
      <c r="H33" s="14"/>
    </row>
    <row r="34" spans="1:8" s="15" customFormat="1" ht="14.25" x14ac:dyDescent="0.3">
      <c r="A34" s="17" t="s">
        <v>49</v>
      </c>
      <c r="B34" s="18" t="s">
        <v>50</v>
      </c>
      <c r="C34" s="19">
        <v>500000</v>
      </c>
      <c r="D34" s="20">
        <v>503.459</v>
      </c>
      <c r="E34" s="20">
        <f>(+D34/$D$60*100)</f>
        <v>2.7886031189661935</v>
      </c>
      <c r="F34" s="20" t="s">
        <v>51</v>
      </c>
      <c r="G34" s="13">
        <v>7.4284999999999997</v>
      </c>
      <c r="H34" s="14"/>
    </row>
    <row r="35" spans="1:8" s="15" customFormat="1" ht="14.25" x14ac:dyDescent="0.3">
      <c r="A35" s="17" t="s">
        <v>52</v>
      </c>
      <c r="B35" s="18" t="s">
        <v>50</v>
      </c>
      <c r="C35" s="19">
        <v>500000</v>
      </c>
      <c r="D35" s="20">
        <v>498.83100000000002</v>
      </c>
      <c r="E35" s="20">
        <f>(+D35/$D$60*100)</f>
        <v>2.7629691443335513</v>
      </c>
      <c r="F35" s="20" t="s">
        <v>53</v>
      </c>
      <c r="G35" s="13">
        <v>7.101</v>
      </c>
      <c r="H35" s="14"/>
    </row>
    <row r="36" spans="1:8" s="15" customFormat="1" ht="14.25" x14ac:dyDescent="0.3">
      <c r="A36" s="8" t="s">
        <v>41</v>
      </c>
      <c r="B36" s="9"/>
      <c r="C36" s="21"/>
      <c r="D36" s="11">
        <f>IF(ISERROR(SUM(D34:D35)),0,SUM(D34:D35))</f>
        <v>1002.29</v>
      </c>
      <c r="E36" s="11">
        <f>IF(ISERROR(SUM(E34:E35)),0,SUM(E34:E35))</f>
        <v>5.5515722632997448</v>
      </c>
      <c r="F36" s="23"/>
      <c r="G36" s="13"/>
      <c r="H36" s="14"/>
    </row>
    <row r="37" spans="1:8" s="15" customFormat="1" ht="14.25" x14ac:dyDescent="0.3">
      <c r="A37" s="8"/>
      <c r="B37" s="9"/>
      <c r="C37" s="21"/>
      <c r="D37" s="11"/>
      <c r="E37" s="11"/>
      <c r="F37" s="11"/>
      <c r="G37" s="13"/>
      <c r="H37" s="14"/>
    </row>
    <row r="38" spans="1:8" s="15" customFormat="1" ht="14.25" x14ac:dyDescent="0.3">
      <c r="A38" s="8" t="s">
        <v>54</v>
      </c>
      <c r="B38" s="9"/>
      <c r="C38" s="21"/>
      <c r="D38" s="11"/>
      <c r="E38" s="11"/>
      <c r="F38" s="12"/>
      <c r="G38" s="13"/>
      <c r="H38" s="14"/>
    </row>
    <row r="39" spans="1:8" s="15" customFormat="1" ht="14.25" x14ac:dyDescent="0.3">
      <c r="A39" s="8" t="s">
        <v>55</v>
      </c>
      <c r="B39" s="9"/>
      <c r="C39" s="21"/>
      <c r="D39" s="11"/>
      <c r="E39" s="11"/>
      <c r="F39" s="12"/>
      <c r="G39" s="13"/>
      <c r="H39" s="14"/>
    </row>
    <row r="40" spans="1:8" s="15" customFormat="1" ht="14.25" x14ac:dyDescent="0.3">
      <c r="A40" s="17" t="s">
        <v>56</v>
      </c>
      <c r="B40" s="18" t="s">
        <v>57</v>
      </c>
      <c r="C40" s="19">
        <v>200</v>
      </c>
      <c r="D40" s="20">
        <v>976.62599999999998</v>
      </c>
      <c r="E40" s="20">
        <f>(+D40/$D$60*100)</f>
        <v>5.4094222362962574</v>
      </c>
      <c r="F40" s="20" t="s">
        <v>58</v>
      </c>
      <c r="G40" s="13">
        <v>8.3199000000000005</v>
      </c>
      <c r="H40" s="14"/>
    </row>
    <row r="41" spans="1:8" s="15" customFormat="1" ht="14.25" x14ac:dyDescent="0.3">
      <c r="A41" s="17" t="s">
        <v>59</v>
      </c>
      <c r="B41" s="18" t="s">
        <v>57</v>
      </c>
      <c r="C41" s="19">
        <v>100</v>
      </c>
      <c r="D41" s="20">
        <v>500</v>
      </c>
      <c r="E41" s="20">
        <f>(+D41/$D$60*100)</f>
        <v>2.7694441046502232</v>
      </c>
      <c r="F41" s="20" t="s">
        <v>60</v>
      </c>
      <c r="G41" s="13">
        <v>6.8632999999999997</v>
      </c>
      <c r="H41" s="14"/>
    </row>
    <row r="42" spans="1:8" s="15" customFormat="1" ht="14.25" x14ac:dyDescent="0.3">
      <c r="A42" s="17" t="s">
        <v>61</v>
      </c>
      <c r="B42" s="18" t="s">
        <v>62</v>
      </c>
      <c r="C42" s="19">
        <v>100</v>
      </c>
      <c r="D42" s="20">
        <v>499.66300000000001</v>
      </c>
      <c r="E42" s="20">
        <f>(+D42/$D$60*100)</f>
        <v>2.7675774993236888</v>
      </c>
      <c r="F42" s="20" t="s">
        <v>63</v>
      </c>
      <c r="G42" s="13">
        <v>8.2119999999999997</v>
      </c>
      <c r="H42" s="14"/>
    </row>
    <row r="43" spans="1:8" s="15" customFormat="1" ht="14.25" x14ac:dyDescent="0.3">
      <c r="A43" s="17" t="s">
        <v>64</v>
      </c>
      <c r="B43" s="18" t="s">
        <v>57</v>
      </c>
      <c r="C43" s="19">
        <v>100</v>
      </c>
      <c r="D43" s="20">
        <v>498.94</v>
      </c>
      <c r="E43" s="20">
        <f>(+D43/$D$60*100)</f>
        <v>2.7635728831483646</v>
      </c>
      <c r="F43" s="20" t="s">
        <v>65</v>
      </c>
      <c r="G43" s="13">
        <v>7.0495000000000001</v>
      </c>
      <c r="H43" s="14"/>
    </row>
    <row r="44" spans="1:8" s="15" customFormat="1" ht="14.25" x14ac:dyDescent="0.3">
      <c r="A44" s="8" t="s">
        <v>41</v>
      </c>
      <c r="B44" s="24"/>
      <c r="C44" s="25"/>
      <c r="D44" s="11">
        <f>IF(ISERROR(SUM(D40:D43)),0,SUM(D40:D43))</f>
        <v>2475.2289999999998</v>
      </c>
      <c r="E44" s="11">
        <f>IF(ISERROR(SUM(E40:E43)),0,SUM(E40:E43))</f>
        <v>13.710016723418535</v>
      </c>
      <c r="F44" s="26"/>
      <c r="G44" s="13"/>
      <c r="H44" s="14"/>
    </row>
    <row r="45" spans="1:8" s="15" customFormat="1" ht="14.25" x14ac:dyDescent="0.3">
      <c r="A45" s="8" t="s">
        <v>66</v>
      </c>
      <c r="B45" s="18"/>
      <c r="C45" s="19"/>
      <c r="D45" s="20"/>
      <c r="E45" s="16"/>
      <c r="F45" s="27"/>
      <c r="G45" s="13"/>
      <c r="H45" s="14"/>
    </row>
    <row r="46" spans="1:8" s="15" customFormat="1" ht="14.25" x14ac:dyDescent="0.3">
      <c r="A46" s="17" t="s">
        <v>67</v>
      </c>
      <c r="B46" s="18" t="s">
        <v>50</v>
      </c>
      <c r="C46" s="19">
        <v>500000</v>
      </c>
      <c r="D46" s="20">
        <v>490.77249999999998</v>
      </c>
      <c r="E46" s="20">
        <f>(+D46/$D$60*100)</f>
        <v>2.7183340136989029</v>
      </c>
      <c r="F46" s="20" t="s">
        <v>68</v>
      </c>
      <c r="G46" s="13">
        <v>7.0750000000000002</v>
      </c>
      <c r="H46" s="14"/>
    </row>
    <row r="47" spans="1:8" s="15" customFormat="1" ht="14.25" x14ac:dyDescent="0.3">
      <c r="A47" s="17" t="s">
        <v>69</v>
      </c>
      <c r="B47" s="18" t="s">
        <v>50</v>
      </c>
      <c r="C47" s="19">
        <v>250000</v>
      </c>
      <c r="D47" s="20">
        <v>249.39324999999999</v>
      </c>
      <c r="E47" s="20">
        <f>(+D47/$D$60*100)</f>
        <v>1.3813613319041185</v>
      </c>
      <c r="F47" s="20" t="s">
        <v>70</v>
      </c>
      <c r="G47" s="13">
        <v>6.8308</v>
      </c>
      <c r="H47" s="14"/>
    </row>
    <row r="48" spans="1:8" s="15" customFormat="1" ht="14.25" x14ac:dyDescent="0.3">
      <c r="A48" s="17" t="s">
        <v>71</v>
      </c>
      <c r="B48" s="18" t="s">
        <v>50</v>
      </c>
      <c r="C48" s="19">
        <v>100000</v>
      </c>
      <c r="D48" s="20">
        <v>99.887500000000003</v>
      </c>
      <c r="E48" s="20">
        <f>(+D48/$D$60*100)</f>
        <v>0.55326569600649833</v>
      </c>
      <c r="F48" s="20" t="s">
        <v>72</v>
      </c>
      <c r="G48" s="13">
        <v>6.8514999999999997</v>
      </c>
      <c r="H48" s="14"/>
    </row>
    <row r="49" spans="1:8" s="15" customFormat="1" ht="14.25" x14ac:dyDescent="0.3">
      <c r="A49" s="8" t="s">
        <v>41</v>
      </c>
      <c r="B49" s="24"/>
      <c r="C49" s="25"/>
      <c r="D49" s="11">
        <f>IF(ISERROR(SUM(D46:D48)),0,SUM(D46:D48))</f>
        <v>840.05325000000005</v>
      </c>
      <c r="E49" s="11">
        <f>IF(ISERROR(SUM(E46:E48)),0,SUM(E46:E48))</f>
        <v>4.6529610416095197</v>
      </c>
      <c r="F49" s="26"/>
      <c r="G49" s="13"/>
      <c r="H49" s="14"/>
    </row>
    <row r="50" spans="1:8" s="15" customFormat="1" ht="14.25" x14ac:dyDescent="0.3">
      <c r="A50" s="17" t="s">
        <v>73</v>
      </c>
      <c r="B50" s="18"/>
      <c r="C50" s="19">
        <v>0</v>
      </c>
      <c r="D50" s="20">
        <v>683.33695620000003</v>
      </c>
      <c r="E50" s="20">
        <f>(+D50/$D$60*100)</f>
        <v>3.7849270096754357</v>
      </c>
      <c r="F50" s="20" t="s">
        <v>74</v>
      </c>
      <c r="G50" s="13">
        <v>6.7565999999999997</v>
      </c>
      <c r="H50" s="14"/>
    </row>
    <row r="51" spans="1:8" s="15" customFormat="1" ht="14.25" x14ac:dyDescent="0.3">
      <c r="A51" s="8" t="s">
        <v>41</v>
      </c>
      <c r="B51" s="9"/>
      <c r="C51" s="21"/>
      <c r="D51" s="11">
        <f>IF(ISERROR(SUM(D50:D50)),0,SUM(D50:D50))</f>
        <v>683.33695620000003</v>
      </c>
      <c r="E51" s="11">
        <f>IF(ISERROR(SUM(E50:E50)),0,SUM(E50:E50))</f>
        <v>3.7849270096754357</v>
      </c>
      <c r="F51" s="20"/>
      <c r="G51" s="13"/>
      <c r="H51" s="14"/>
    </row>
    <row r="52" spans="1:8" s="15" customFormat="1" ht="14.25" x14ac:dyDescent="0.3">
      <c r="A52" s="28" t="s">
        <v>75</v>
      </c>
      <c r="B52" s="9"/>
      <c r="C52" s="21"/>
      <c r="D52" s="11"/>
      <c r="E52" s="11"/>
      <c r="F52" s="11"/>
      <c r="G52" s="13"/>
      <c r="H52" s="14"/>
    </row>
    <row r="53" spans="1:8" s="15" customFormat="1" ht="14.25" x14ac:dyDescent="0.3">
      <c r="A53" s="29" t="s">
        <v>76</v>
      </c>
      <c r="B53" s="18"/>
      <c r="C53" s="19">
        <v>369.68200000000002</v>
      </c>
      <c r="D53" s="20">
        <v>37.122583269701998</v>
      </c>
      <c r="E53" s="20">
        <f>(+D53/$D$60*100)</f>
        <v>0.20561783877132639</v>
      </c>
      <c r="F53" s="20" t="s">
        <v>77</v>
      </c>
      <c r="G53" s="13">
        <v>7.26</v>
      </c>
      <c r="H53" s="14"/>
    </row>
    <row r="54" spans="1:8" s="15" customFormat="1" ht="14.25" x14ac:dyDescent="0.3">
      <c r="A54" s="8" t="s">
        <v>41</v>
      </c>
      <c r="B54" s="9"/>
      <c r="C54" s="21"/>
      <c r="D54" s="11">
        <f>IF(ISERROR(SUM(D53:D53)),0,SUM(D53:D53))</f>
        <v>37.122583269701998</v>
      </c>
      <c r="E54" s="11">
        <f>IF(ISERROR(SUM(E53:E53)),0,SUM(E53:E53))</f>
        <v>0.20561783877132639</v>
      </c>
      <c r="F54" s="20"/>
      <c r="G54" s="13"/>
      <c r="H54" s="14"/>
    </row>
    <row r="55" spans="1:8" s="15" customFormat="1" ht="14.25" x14ac:dyDescent="0.3">
      <c r="A55" s="8"/>
      <c r="B55" s="9"/>
      <c r="C55" s="21"/>
      <c r="D55" s="11"/>
      <c r="E55" s="11"/>
      <c r="F55" s="12"/>
      <c r="G55" s="13"/>
      <c r="H55" s="14"/>
    </row>
    <row r="56" spans="1:8" s="15" customFormat="1" ht="14.25" x14ac:dyDescent="0.3">
      <c r="A56" s="8" t="s">
        <v>44</v>
      </c>
      <c r="B56" s="9"/>
      <c r="C56" s="21" t="s">
        <v>78</v>
      </c>
      <c r="D56" s="11">
        <f>+IF(ISERROR(D25),0,D25)+IF(ISERROR(D51),0,D51)+IF(ISERROR(#REF!),0,#REF!)+IF(ISERROR(#REF!),0,#REF!)+IF(ISERROR(D36),0,D36)+IF(ISERROR(D49),0,D49)+IF(ISERROR(#REF!),0,#REF!)+IF(ISERROR(#REF!),0,#REF!)+IF(ISERROR(D44),0,D44)+D54</f>
        <v>17723.348514469701</v>
      </c>
      <c r="E56" s="11">
        <f>+IF(ISERROR(E25),0,E25)+IF(ISERROR(E51),0,E51)+IF(ISERROR(#REF!),0,#REF!)+IF(ISERROR(#REF!),0,#REF!)+IF(ISERROR(E36),0,E36)+IF(ISERROR(E49),0,E49)+IF(ISERROR(#REF!),0,#REF!)+IF(ISERROR(#REF!),0,#REF!)+IF(ISERROR(E44),0,E44)+E54</f>
        <v>98.167646116118803</v>
      </c>
      <c r="F56" s="11"/>
      <c r="G56" s="13"/>
      <c r="H56" s="14"/>
    </row>
    <row r="57" spans="1:8" s="15" customFormat="1" ht="14.25" x14ac:dyDescent="0.3">
      <c r="A57" s="8"/>
      <c r="B57" s="9"/>
      <c r="C57" s="21"/>
      <c r="D57" s="11"/>
      <c r="E57" s="11"/>
      <c r="F57" s="30"/>
      <c r="G57" s="31"/>
      <c r="H57" s="32"/>
    </row>
    <row r="58" spans="1:8" s="15" customFormat="1" ht="14.25" x14ac:dyDescent="0.3">
      <c r="A58" s="8" t="s">
        <v>79</v>
      </c>
      <c r="B58" s="9"/>
      <c r="C58" s="21"/>
      <c r="D58" s="11">
        <f>+D60-D56</f>
        <v>330.81618813040041</v>
      </c>
      <c r="E58" s="11">
        <f>D58/$D$60*100</f>
        <v>1.832353883881193</v>
      </c>
      <c r="F58" s="33"/>
      <c r="G58" s="31"/>
      <c r="H58" s="32"/>
    </row>
    <row r="59" spans="1:8" s="15" customFormat="1" ht="14.25" x14ac:dyDescent="0.3">
      <c r="A59" s="8"/>
      <c r="B59" s="9"/>
      <c r="C59" s="21"/>
      <c r="D59" s="16"/>
      <c r="E59" s="16"/>
      <c r="F59" s="30"/>
      <c r="G59" s="31"/>
      <c r="H59" s="32"/>
    </row>
    <row r="60" spans="1:8" s="15" customFormat="1" ht="14.25" x14ac:dyDescent="0.3">
      <c r="A60" s="8" t="s">
        <v>80</v>
      </c>
      <c r="B60" s="9"/>
      <c r="C60" s="21"/>
      <c r="D60" s="11">
        <v>18054.164702600101</v>
      </c>
      <c r="E60" s="11">
        <f>+E56+E58</f>
        <v>100</v>
      </c>
      <c r="F60" s="30"/>
      <c r="G60" s="31"/>
      <c r="H60" s="32"/>
    </row>
    <row r="61" spans="1:8" s="15" customFormat="1" ht="14.25" x14ac:dyDescent="0.3">
      <c r="A61" s="34"/>
      <c r="B61" s="35"/>
      <c r="C61" s="36"/>
      <c r="D61" s="37"/>
      <c r="E61" s="37"/>
      <c r="F61" s="30"/>
      <c r="G61" s="31"/>
      <c r="H61" s="32"/>
    </row>
    <row r="62" spans="1:8" s="15" customFormat="1" ht="14.25" x14ac:dyDescent="0.3">
      <c r="A62" s="38" t="s">
        <v>81</v>
      </c>
      <c r="B62" s="35"/>
      <c r="C62" s="36"/>
      <c r="D62" s="37"/>
      <c r="E62" s="37"/>
      <c r="F62" s="39"/>
      <c r="G62" s="31"/>
      <c r="H62" s="32"/>
    </row>
    <row r="63" spans="1:8" s="15" customFormat="1" ht="14.25" x14ac:dyDescent="0.3">
      <c r="A63" s="40"/>
      <c r="B63" s="35"/>
      <c r="C63" s="36"/>
      <c r="D63" s="37"/>
      <c r="E63" s="37"/>
      <c r="F63" s="39"/>
      <c r="G63" s="31"/>
      <c r="H63" s="32"/>
    </row>
    <row r="64" spans="1:8" s="15" customFormat="1" ht="13.5" x14ac:dyDescent="0.2">
      <c r="A64" s="76" t="s">
        <v>82</v>
      </c>
      <c r="B64" s="76"/>
      <c r="C64" s="76"/>
      <c r="D64" s="76"/>
      <c r="E64" s="76"/>
      <c r="F64" s="76"/>
      <c r="G64" s="76"/>
      <c r="H64" s="76"/>
    </row>
    <row r="65" spans="1:8" s="15" customFormat="1" ht="27" customHeight="1" x14ac:dyDescent="0.2">
      <c r="A65" s="77" t="s">
        <v>83</v>
      </c>
      <c r="B65" s="77"/>
      <c r="C65" s="77"/>
      <c r="D65" s="77"/>
      <c r="E65" s="77"/>
      <c r="F65" s="77"/>
      <c r="G65" s="77"/>
      <c r="H65" s="77"/>
    </row>
    <row r="66" spans="1:8" s="15" customFormat="1" ht="13.5" x14ac:dyDescent="0.2">
      <c r="A66" s="76" t="s">
        <v>84</v>
      </c>
      <c r="B66" s="76"/>
      <c r="C66" s="76"/>
      <c r="D66" s="76"/>
      <c r="E66" s="76"/>
      <c r="F66" s="76"/>
      <c r="G66" s="76"/>
      <c r="H66" s="76"/>
    </row>
    <row r="67" spans="1:8" s="15" customFormat="1" ht="54.75" customHeight="1" x14ac:dyDescent="0.2">
      <c r="A67" s="66" t="s">
        <v>85</v>
      </c>
      <c r="B67" s="66"/>
      <c r="C67" s="66"/>
      <c r="D67" s="66"/>
      <c r="E67" s="66"/>
      <c r="F67" s="66"/>
      <c r="G67" s="66"/>
      <c r="H67" s="66"/>
    </row>
    <row r="68" spans="1:8" x14ac:dyDescent="0.2">
      <c r="A68" s="41"/>
      <c r="B68" s="41"/>
      <c r="C68" s="41"/>
      <c r="D68" s="41"/>
      <c r="E68" s="41"/>
      <c r="F68" s="41"/>
      <c r="G68" s="41"/>
      <c r="H68" s="41"/>
    </row>
    <row r="69" spans="1:8" ht="14.25" x14ac:dyDescent="0.3">
      <c r="A69" s="42" t="s">
        <v>86</v>
      </c>
      <c r="B69" s="43"/>
      <c r="C69" s="43"/>
      <c r="D69" s="43"/>
      <c r="E69" s="32"/>
      <c r="F69" s="32"/>
      <c r="G69" s="32"/>
      <c r="H69" s="32"/>
    </row>
    <row r="70" spans="1:8" ht="14.25" x14ac:dyDescent="0.3">
      <c r="A70" s="44" t="s">
        <v>87</v>
      </c>
      <c r="B70" s="43"/>
      <c r="C70" s="43"/>
      <c r="D70" s="43"/>
      <c r="E70" s="32"/>
      <c r="F70" s="32"/>
      <c r="G70" s="32"/>
      <c r="H70" s="32"/>
    </row>
    <row r="71" spans="1:8" ht="14.25" x14ac:dyDescent="0.3">
      <c r="A71" s="44" t="s">
        <v>88</v>
      </c>
      <c r="B71" s="43"/>
      <c r="C71" s="43"/>
      <c r="D71" s="43"/>
      <c r="E71" s="32"/>
      <c r="F71" s="32"/>
      <c r="G71" s="32"/>
      <c r="H71" s="32"/>
    </row>
    <row r="72" spans="1:8" ht="14.25" x14ac:dyDescent="0.3">
      <c r="A72" s="44" t="s">
        <v>89</v>
      </c>
      <c r="B72" s="43"/>
      <c r="C72" s="43"/>
      <c r="D72" s="43"/>
      <c r="E72" s="32"/>
      <c r="F72" s="32"/>
      <c r="G72" s="32"/>
      <c r="H72" s="32"/>
    </row>
    <row r="73" spans="1:8" ht="14.25" x14ac:dyDescent="0.3">
      <c r="A73" s="45"/>
      <c r="B73" s="46"/>
      <c r="C73" s="47"/>
      <c r="D73" s="32"/>
      <c r="E73" s="32"/>
      <c r="F73" s="32"/>
      <c r="G73" s="32"/>
      <c r="H73" s="32"/>
    </row>
    <row r="74" spans="1:8" ht="14.25" x14ac:dyDescent="0.3">
      <c r="A74" s="48" t="s">
        <v>90</v>
      </c>
      <c r="B74" s="67" t="s">
        <v>91</v>
      </c>
      <c r="C74" s="67"/>
      <c r="D74" s="67"/>
      <c r="E74" s="32"/>
      <c r="F74" s="32"/>
      <c r="G74" s="32"/>
      <c r="H74" s="32"/>
    </row>
    <row r="75" spans="1:8" ht="14.25" x14ac:dyDescent="0.3">
      <c r="A75" s="45"/>
      <c r="B75" s="46"/>
      <c r="C75" s="47"/>
      <c r="D75" s="32"/>
      <c r="E75" s="32"/>
      <c r="F75" s="32"/>
      <c r="G75" s="32"/>
      <c r="H75" s="32"/>
    </row>
    <row r="76" spans="1:8" ht="14.25" x14ac:dyDescent="0.3">
      <c r="A76" s="45"/>
      <c r="B76" s="46"/>
      <c r="C76" s="47"/>
      <c r="D76" s="32"/>
      <c r="E76" s="32"/>
      <c r="F76" s="32"/>
      <c r="G76" s="32"/>
      <c r="H76" s="32"/>
    </row>
    <row r="77" spans="1:8" ht="14.25" x14ac:dyDescent="0.3">
      <c r="A77" s="45"/>
      <c r="B77" s="46"/>
      <c r="C77" s="47"/>
      <c r="D77" s="32"/>
      <c r="E77" s="32"/>
      <c r="F77" s="32"/>
      <c r="G77" s="32"/>
      <c r="H77" s="32"/>
    </row>
    <row r="78" spans="1:8" ht="14.25" x14ac:dyDescent="0.3">
      <c r="A78" s="45"/>
      <c r="B78" s="46"/>
      <c r="C78" s="47"/>
      <c r="D78" s="32"/>
      <c r="E78" s="32"/>
      <c r="F78" s="32"/>
      <c r="G78" s="32"/>
      <c r="H78" s="32"/>
    </row>
    <row r="79" spans="1:8" ht="14.25" x14ac:dyDescent="0.3">
      <c r="A79" s="45"/>
      <c r="B79" s="46"/>
      <c r="C79" s="47"/>
      <c r="D79" s="32"/>
      <c r="E79" s="32"/>
      <c r="F79" s="32"/>
      <c r="G79" s="32"/>
      <c r="H79" s="32"/>
    </row>
    <row r="80" spans="1:8" ht="14.25" x14ac:dyDescent="0.3">
      <c r="A80" s="45"/>
      <c r="B80" s="46"/>
      <c r="C80" s="47"/>
      <c r="D80" s="32"/>
      <c r="E80" s="32"/>
      <c r="F80" s="32"/>
      <c r="G80" s="32"/>
      <c r="H80" s="32"/>
    </row>
    <row r="81" spans="1:8" ht="15" thickBot="1" x14ac:dyDescent="0.35">
      <c r="A81" s="45"/>
      <c r="B81" s="46"/>
      <c r="C81" s="47"/>
      <c r="D81" s="32"/>
      <c r="E81" s="32"/>
      <c r="F81" s="32"/>
      <c r="G81" s="32"/>
      <c r="H81" s="32"/>
    </row>
    <row r="82" spans="1:8" ht="15" thickBot="1" x14ac:dyDescent="0.35">
      <c r="A82" s="68" t="s">
        <v>92</v>
      </c>
      <c r="B82" s="69"/>
      <c r="C82" s="69"/>
      <c r="D82" s="70"/>
      <c r="E82" s="32"/>
      <c r="F82" s="32"/>
      <c r="G82" s="32"/>
      <c r="H82" s="32"/>
    </row>
    <row r="83" spans="1:8" ht="15" thickBot="1" x14ac:dyDescent="0.35">
      <c r="A83" s="49" t="s">
        <v>93</v>
      </c>
      <c r="B83" s="71" t="s">
        <v>94</v>
      </c>
      <c r="C83" s="71" t="s">
        <v>95</v>
      </c>
      <c r="D83" s="71" t="s">
        <v>96</v>
      </c>
      <c r="E83" s="32"/>
      <c r="F83" s="32"/>
      <c r="G83" s="32"/>
      <c r="H83" s="32"/>
    </row>
    <row r="84" spans="1:8" ht="15" thickBot="1" x14ac:dyDescent="0.35">
      <c r="A84" s="49" t="s">
        <v>97</v>
      </c>
      <c r="B84" s="72"/>
      <c r="C84" s="72"/>
      <c r="D84" s="72"/>
      <c r="E84" s="32"/>
      <c r="F84" s="32"/>
      <c r="G84" s="32"/>
      <c r="H84" s="32"/>
    </row>
    <row r="85" spans="1:8" ht="15" thickBot="1" x14ac:dyDescent="0.35">
      <c r="A85" s="50" t="s">
        <v>98</v>
      </c>
      <c r="B85" s="51"/>
      <c r="C85" s="52" t="s">
        <v>99</v>
      </c>
      <c r="D85" s="51"/>
      <c r="E85" s="32"/>
      <c r="F85" s="32"/>
      <c r="G85" s="32"/>
      <c r="H85" s="32"/>
    </row>
    <row r="86" spans="1:8" ht="15" thickBot="1" x14ac:dyDescent="0.35">
      <c r="A86" s="50" t="s">
        <v>100</v>
      </c>
      <c r="B86" s="51"/>
      <c r="C86" s="51"/>
      <c r="D86" s="51"/>
      <c r="E86" s="32"/>
      <c r="F86" s="32"/>
      <c r="G86" s="32"/>
      <c r="H86" s="32"/>
    </row>
    <row r="87" spans="1:8" ht="15" thickBot="1" x14ac:dyDescent="0.35">
      <c r="A87" s="50" t="s">
        <v>101</v>
      </c>
      <c r="B87" s="51"/>
      <c r="C87" s="51"/>
      <c r="D87" s="51"/>
      <c r="E87" s="32"/>
      <c r="F87" s="32"/>
      <c r="G87" s="32"/>
      <c r="H87" s="32"/>
    </row>
    <row r="88" spans="1:8" ht="14.25" x14ac:dyDescent="0.3">
      <c r="A88" s="40"/>
      <c r="B88" s="46"/>
      <c r="C88" s="47"/>
      <c r="D88" s="32"/>
      <c r="E88" s="32"/>
      <c r="F88" s="32"/>
      <c r="G88" s="32"/>
      <c r="H88" s="32"/>
    </row>
    <row r="89" spans="1:8" ht="14.25" x14ac:dyDescent="0.3">
      <c r="A89" s="45"/>
      <c r="B89" s="46"/>
      <c r="C89" s="47"/>
      <c r="D89" s="32"/>
      <c r="E89" s="32"/>
      <c r="F89" s="32"/>
      <c r="G89" s="32"/>
      <c r="H89" s="32"/>
    </row>
    <row r="90" spans="1:8" ht="14.25" x14ac:dyDescent="0.3">
      <c r="A90" s="64" t="s">
        <v>102</v>
      </c>
      <c r="B90" s="65"/>
      <c r="C90" s="32"/>
      <c r="D90" s="32"/>
      <c r="E90" s="32"/>
      <c r="F90" s="32"/>
      <c r="G90" s="32"/>
      <c r="H90" s="32"/>
    </row>
    <row r="91" spans="1:8" ht="27" x14ac:dyDescent="0.3">
      <c r="A91" s="53" t="s">
        <v>103</v>
      </c>
      <c r="B91" s="54" t="s">
        <v>104</v>
      </c>
      <c r="C91" s="32"/>
      <c r="D91" s="32"/>
      <c r="E91" s="32"/>
      <c r="F91" s="32"/>
      <c r="G91" s="32"/>
      <c r="H91" s="32"/>
    </row>
    <row r="92" spans="1:8" ht="14.25" x14ac:dyDescent="0.3">
      <c r="A92" s="55" t="s">
        <v>105</v>
      </c>
      <c r="B92" s="56"/>
      <c r="C92" s="57"/>
      <c r="D92" s="32"/>
      <c r="E92" s="32"/>
      <c r="F92" s="32"/>
      <c r="G92" s="32"/>
      <c r="H92" s="32"/>
    </row>
    <row r="93" spans="1:8" ht="14.25" x14ac:dyDescent="0.3">
      <c r="A93" s="55"/>
      <c r="B93" s="56"/>
      <c r="C93" s="57"/>
      <c r="D93" s="32"/>
      <c r="E93" s="32"/>
      <c r="F93" s="32"/>
      <c r="G93" s="32"/>
      <c r="H93" s="32"/>
    </row>
    <row r="94" spans="1:8" ht="14.25" x14ac:dyDescent="0.3">
      <c r="A94" s="55" t="s">
        <v>106</v>
      </c>
      <c r="B94" s="58">
        <v>7.6600000000000001E-2</v>
      </c>
      <c r="C94" s="57"/>
      <c r="D94" s="32"/>
      <c r="E94" s="32"/>
      <c r="F94" s="32"/>
      <c r="G94" s="32"/>
      <c r="H94" s="32"/>
    </row>
    <row r="95" spans="1:8" ht="14.25" x14ac:dyDescent="0.3">
      <c r="A95" s="55" t="s">
        <v>78</v>
      </c>
      <c r="B95" s="56"/>
      <c r="C95" s="57"/>
      <c r="D95" s="32"/>
      <c r="E95" s="32"/>
      <c r="F95" s="32"/>
      <c r="G95" s="32"/>
      <c r="H95" s="32"/>
    </row>
    <row r="96" spans="1:8" ht="14.25" x14ac:dyDescent="0.3">
      <c r="A96" s="55" t="s">
        <v>107</v>
      </c>
      <c r="B96" s="59">
        <v>0.67800000000000005</v>
      </c>
      <c r="C96" s="57"/>
      <c r="D96" s="32"/>
      <c r="E96" s="32"/>
      <c r="F96" s="32"/>
      <c r="G96" s="32"/>
      <c r="H96" s="32"/>
    </row>
    <row r="97" spans="1:8" ht="14.25" x14ac:dyDescent="0.3">
      <c r="A97" s="55" t="s">
        <v>108</v>
      </c>
      <c r="B97" s="59">
        <v>0.71330000000000005</v>
      </c>
      <c r="C97" s="57"/>
      <c r="D97" s="32"/>
      <c r="E97" s="32"/>
      <c r="F97" s="32"/>
      <c r="G97" s="32"/>
      <c r="H97" s="32"/>
    </row>
    <row r="98" spans="1:8" ht="14.25" x14ac:dyDescent="0.3">
      <c r="A98" s="55" t="s">
        <v>78</v>
      </c>
      <c r="B98" s="56"/>
      <c r="C98" s="57"/>
      <c r="D98" s="32"/>
      <c r="E98" s="32"/>
      <c r="F98" s="32"/>
      <c r="G98" s="32"/>
      <c r="H98" s="32"/>
    </row>
    <row r="99" spans="1:8" ht="14.25" x14ac:dyDescent="0.3">
      <c r="A99" s="55" t="s">
        <v>109</v>
      </c>
      <c r="B99" s="60" t="s">
        <v>110</v>
      </c>
      <c r="C99" s="57"/>
      <c r="D99" s="32"/>
      <c r="E99" s="32"/>
      <c r="F99" s="32"/>
      <c r="G99" s="32"/>
      <c r="H99" s="32"/>
    </row>
    <row r="100" spans="1:8" ht="14.25" x14ac:dyDescent="0.3">
      <c r="A100" s="55" t="s">
        <v>111</v>
      </c>
      <c r="B100" s="56"/>
      <c r="C100" s="57"/>
      <c r="D100" s="32"/>
      <c r="E100" s="32"/>
      <c r="F100" s="32"/>
      <c r="G100" s="32"/>
      <c r="H100" s="32"/>
    </row>
    <row r="101" spans="1:8" ht="14.25" x14ac:dyDescent="0.3">
      <c r="A101" s="45"/>
      <c r="B101" s="46"/>
      <c r="C101" s="47"/>
      <c r="D101" s="32"/>
      <c r="E101" s="32"/>
      <c r="F101" s="32"/>
      <c r="G101" s="32"/>
      <c r="H101" s="32"/>
    </row>
    <row r="102" spans="1:8" ht="14.25" x14ac:dyDescent="0.3">
      <c r="A102" s="45"/>
      <c r="B102" s="46"/>
      <c r="C102" s="47"/>
      <c r="D102" s="32"/>
      <c r="E102" s="32"/>
      <c r="F102" s="32"/>
      <c r="G102" s="32"/>
      <c r="H102" s="32"/>
    </row>
    <row r="103" spans="1:8" ht="14.25" x14ac:dyDescent="0.3">
      <c r="A103" s="45"/>
      <c r="B103" s="46"/>
      <c r="C103" s="47"/>
      <c r="D103" s="32"/>
      <c r="E103" s="32"/>
      <c r="F103" s="32"/>
      <c r="G103" s="32"/>
      <c r="H103" s="32"/>
    </row>
    <row r="104" spans="1:8" ht="14.25" x14ac:dyDescent="0.3">
      <c r="A104" s="45"/>
      <c r="B104" s="46"/>
      <c r="C104" s="47"/>
      <c r="D104" s="32"/>
      <c r="E104" s="32"/>
      <c r="F104" s="32"/>
      <c r="G104" s="32"/>
      <c r="H104" s="32"/>
    </row>
    <row r="105" spans="1:8" ht="14.25" x14ac:dyDescent="0.3">
      <c r="A105" s="45"/>
      <c r="B105" s="46"/>
      <c r="C105" s="47"/>
      <c r="D105" s="32"/>
      <c r="E105" s="32"/>
      <c r="F105" s="32"/>
      <c r="G105" s="32"/>
      <c r="H105" s="32"/>
    </row>
    <row r="106" spans="1:8" ht="14.25" x14ac:dyDescent="0.3">
      <c r="A106" s="45"/>
      <c r="B106" s="46"/>
      <c r="C106" s="47"/>
      <c r="D106" s="32"/>
      <c r="E106" s="32"/>
      <c r="F106" s="32"/>
      <c r="G106" s="32"/>
      <c r="H106" s="32"/>
    </row>
    <row r="107" spans="1:8" ht="14.25" x14ac:dyDescent="0.3">
      <c r="A107" s="45"/>
      <c r="B107" s="46"/>
      <c r="C107" s="47"/>
      <c r="D107" s="32"/>
      <c r="E107" s="32"/>
      <c r="F107" s="32"/>
      <c r="G107" s="32"/>
      <c r="H107" s="32"/>
    </row>
    <row r="108" spans="1:8" ht="14.25" x14ac:dyDescent="0.3">
      <c r="A108" s="45"/>
      <c r="B108" s="46"/>
      <c r="C108" s="47"/>
      <c r="D108" s="32"/>
      <c r="E108" s="32"/>
      <c r="F108" s="32"/>
      <c r="G108" s="32"/>
      <c r="H108" s="32"/>
    </row>
    <row r="109" spans="1:8" ht="14.25" x14ac:dyDescent="0.3">
      <c r="A109" s="45"/>
      <c r="B109" s="46"/>
      <c r="C109" s="47"/>
      <c r="D109" s="32"/>
      <c r="E109" s="32"/>
      <c r="F109" s="32"/>
      <c r="G109" s="32"/>
      <c r="H109" s="32"/>
    </row>
    <row r="110" spans="1:8" ht="14.25" x14ac:dyDescent="0.3">
      <c r="A110" s="45"/>
      <c r="B110" s="46"/>
      <c r="C110" s="47"/>
      <c r="D110" s="32"/>
      <c r="E110" s="32"/>
      <c r="F110" s="32"/>
      <c r="G110" s="32"/>
      <c r="H110" s="32"/>
    </row>
    <row r="111" spans="1:8" ht="14.25" x14ac:dyDescent="0.3">
      <c r="A111" s="45"/>
      <c r="B111" s="46"/>
      <c r="C111" s="47"/>
      <c r="D111" s="32"/>
      <c r="E111" s="32"/>
      <c r="F111" s="32"/>
      <c r="G111" s="32"/>
      <c r="H111" s="32"/>
    </row>
    <row r="112" spans="1:8" ht="14.25" x14ac:dyDescent="0.3">
      <c r="A112" s="45"/>
      <c r="B112" s="46"/>
      <c r="C112" s="47"/>
      <c r="D112" s="32"/>
      <c r="E112" s="32"/>
      <c r="F112" s="32"/>
      <c r="G112" s="32"/>
      <c r="H112" s="32"/>
    </row>
    <row r="113" spans="1:8" ht="14.25" x14ac:dyDescent="0.3">
      <c r="A113" s="45"/>
      <c r="B113" s="46"/>
      <c r="C113" s="47"/>
      <c r="D113" s="32"/>
      <c r="E113" s="32"/>
      <c r="F113" s="32"/>
      <c r="G113" s="32"/>
      <c r="H113" s="32"/>
    </row>
    <row r="114" spans="1:8" ht="14.25" x14ac:dyDescent="0.3">
      <c r="A114" s="45"/>
      <c r="B114" s="46"/>
      <c r="C114" s="47"/>
      <c r="D114" s="32"/>
      <c r="E114" s="32"/>
      <c r="F114" s="32"/>
      <c r="G114" s="32"/>
      <c r="H114" s="32"/>
    </row>
    <row r="115" spans="1:8" ht="14.25" x14ac:dyDescent="0.3">
      <c r="A115" s="45"/>
      <c r="B115" s="46"/>
      <c r="C115" s="47"/>
      <c r="D115" s="32"/>
      <c r="E115" s="32"/>
      <c r="F115" s="32"/>
      <c r="G115" s="32"/>
      <c r="H115" s="32"/>
    </row>
    <row r="116" spans="1:8" ht="14.25" x14ac:dyDescent="0.3">
      <c r="A116" s="45"/>
      <c r="B116" s="46"/>
      <c r="C116" s="47"/>
      <c r="D116" s="32"/>
      <c r="E116" s="32"/>
      <c r="F116" s="32"/>
      <c r="G116" s="32"/>
      <c r="H116" s="32"/>
    </row>
    <row r="117" spans="1:8" ht="14.25" x14ac:dyDescent="0.3">
      <c r="A117" s="45"/>
      <c r="B117" s="46"/>
      <c r="C117" s="47"/>
      <c r="D117" s="32"/>
      <c r="E117" s="32"/>
      <c r="F117" s="32"/>
      <c r="G117" s="32"/>
      <c r="H117" s="32"/>
    </row>
    <row r="118" spans="1:8" ht="14.25" x14ac:dyDescent="0.3">
      <c r="A118" s="45"/>
      <c r="B118" s="46"/>
      <c r="C118" s="47"/>
      <c r="D118" s="32"/>
      <c r="E118" s="32"/>
      <c r="F118" s="32"/>
      <c r="G118" s="32"/>
      <c r="H118" s="32"/>
    </row>
    <row r="119" spans="1:8" ht="14.25" x14ac:dyDescent="0.3">
      <c r="A119" s="45"/>
      <c r="B119" s="46"/>
      <c r="C119" s="47"/>
      <c r="D119" s="32"/>
      <c r="E119" s="32"/>
      <c r="F119" s="32"/>
      <c r="G119" s="32"/>
      <c r="H119" s="32"/>
    </row>
    <row r="120" spans="1:8" ht="14.25" x14ac:dyDescent="0.3">
      <c r="A120" s="45"/>
      <c r="B120" s="46"/>
      <c r="C120" s="47"/>
      <c r="D120" s="32"/>
      <c r="E120" s="32"/>
      <c r="F120" s="32"/>
      <c r="G120" s="32"/>
      <c r="H120" s="32"/>
    </row>
    <row r="121" spans="1:8" ht="14.25" x14ac:dyDescent="0.3">
      <c r="A121" s="45"/>
      <c r="B121" s="46"/>
      <c r="C121" s="47"/>
      <c r="D121" s="32"/>
      <c r="E121" s="32"/>
      <c r="F121" s="32"/>
      <c r="G121" s="32"/>
      <c r="H121" s="32"/>
    </row>
    <row r="122" spans="1:8" ht="14.25" x14ac:dyDescent="0.3">
      <c r="A122" s="45"/>
      <c r="B122" s="46"/>
      <c r="C122" s="47"/>
      <c r="D122" s="32"/>
      <c r="E122" s="32"/>
      <c r="F122" s="32"/>
      <c r="G122" s="32"/>
      <c r="H122" s="32"/>
    </row>
    <row r="123" spans="1:8" ht="14.25" x14ac:dyDescent="0.3">
      <c r="A123" s="45"/>
      <c r="B123" s="46"/>
      <c r="C123" s="47"/>
      <c r="D123" s="32"/>
      <c r="E123" s="32"/>
      <c r="F123" s="32"/>
      <c r="G123" s="32"/>
      <c r="H123" s="32"/>
    </row>
    <row r="124" spans="1:8" ht="14.25" x14ac:dyDescent="0.3">
      <c r="A124" s="45"/>
      <c r="B124" s="46"/>
      <c r="C124" s="47"/>
      <c r="D124" s="32"/>
      <c r="E124" s="32"/>
      <c r="F124" s="32"/>
      <c r="G124" s="32"/>
      <c r="H124" s="32"/>
    </row>
    <row r="125" spans="1:8" ht="14.25" x14ac:dyDescent="0.3">
      <c r="A125" s="45"/>
      <c r="B125" s="46"/>
      <c r="C125" s="47"/>
      <c r="D125" s="32"/>
      <c r="E125" s="32"/>
      <c r="F125" s="32"/>
      <c r="G125" s="32"/>
      <c r="H125" s="32"/>
    </row>
    <row r="126" spans="1:8" ht="14.25" x14ac:dyDescent="0.3">
      <c r="A126" s="45"/>
      <c r="B126" s="46"/>
      <c r="C126" s="47"/>
      <c r="D126" s="32"/>
      <c r="E126" s="32"/>
      <c r="F126" s="32"/>
      <c r="G126" s="32"/>
      <c r="H126" s="32"/>
    </row>
    <row r="127" spans="1:8" ht="14.25" x14ac:dyDescent="0.3">
      <c r="A127" s="45"/>
      <c r="B127" s="46"/>
      <c r="C127" s="47"/>
      <c r="D127" s="32"/>
      <c r="E127" s="32"/>
      <c r="F127" s="32"/>
      <c r="G127" s="32"/>
      <c r="H127" s="32"/>
    </row>
    <row r="128" spans="1:8" ht="14.25" x14ac:dyDescent="0.3">
      <c r="A128" s="45"/>
      <c r="B128" s="46"/>
      <c r="C128" s="47"/>
      <c r="D128" s="32"/>
      <c r="E128" s="32"/>
      <c r="F128" s="32"/>
      <c r="G128" s="32"/>
      <c r="H128" s="32"/>
    </row>
    <row r="129" spans="1:8" ht="14.25" x14ac:dyDescent="0.3">
      <c r="A129" s="45"/>
      <c r="B129" s="46"/>
      <c r="C129" s="47"/>
      <c r="D129" s="32"/>
      <c r="E129" s="32"/>
      <c r="F129" s="32"/>
      <c r="G129" s="32"/>
      <c r="H129" s="32"/>
    </row>
    <row r="130" spans="1:8" ht="14.25" x14ac:dyDescent="0.3">
      <c r="A130" s="45"/>
      <c r="B130" s="46"/>
      <c r="C130" s="47"/>
      <c r="D130" s="32"/>
      <c r="E130" s="32"/>
      <c r="F130" s="32"/>
      <c r="G130" s="32"/>
      <c r="H130" s="32"/>
    </row>
    <row r="131" spans="1:8" ht="14.25" x14ac:dyDescent="0.3">
      <c r="A131" s="45"/>
      <c r="B131" s="46"/>
      <c r="C131" s="47"/>
      <c r="D131" s="32"/>
      <c r="E131" s="32"/>
      <c r="F131" s="32"/>
      <c r="G131" s="32"/>
      <c r="H131" s="32"/>
    </row>
    <row r="132" spans="1:8" ht="14.25" x14ac:dyDescent="0.3">
      <c r="A132" s="45"/>
      <c r="B132" s="46"/>
      <c r="C132" s="47"/>
      <c r="D132" s="32"/>
      <c r="E132" s="32"/>
      <c r="F132" s="32"/>
      <c r="G132" s="32"/>
      <c r="H132" s="32"/>
    </row>
    <row r="133" spans="1:8" ht="14.25" x14ac:dyDescent="0.3">
      <c r="A133" s="45"/>
      <c r="B133" s="46"/>
      <c r="C133" s="47"/>
      <c r="D133" s="32"/>
      <c r="E133" s="32"/>
      <c r="F133" s="32"/>
      <c r="G133" s="32"/>
      <c r="H133" s="32"/>
    </row>
    <row r="134" spans="1:8" ht="14.25" x14ac:dyDescent="0.3">
      <c r="A134" s="45"/>
      <c r="B134" s="46"/>
      <c r="C134" s="47"/>
      <c r="D134" s="32"/>
      <c r="E134" s="32"/>
      <c r="F134" s="32"/>
      <c r="G134" s="32"/>
      <c r="H134" s="32"/>
    </row>
    <row r="135" spans="1:8" ht="14.25" x14ac:dyDescent="0.3">
      <c r="A135" s="45"/>
      <c r="B135" s="46"/>
      <c r="C135" s="47"/>
      <c r="D135" s="32"/>
      <c r="E135" s="32"/>
      <c r="F135" s="32"/>
      <c r="G135" s="32"/>
      <c r="H135" s="32"/>
    </row>
    <row r="136" spans="1:8" ht="14.25" x14ac:dyDescent="0.3">
      <c r="A136" s="45"/>
      <c r="B136" s="46"/>
      <c r="C136" s="47"/>
      <c r="D136" s="32"/>
      <c r="E136" s="32"/>
      <c r="F136" s="32"/>
      <c r="G136" s="32"/>
      <c r="H136" s="32"/>
    </row>
    <row r="137" spans="1:8" ht="14.25" x14ac:dyDescent="0.3">
      <c r="A137" s="45"/>
      <c r="B137" s="46"/>
      <c r="C137" s="47"/>
      <c r="D137" s="32"/>
      <c r="E137" s="32"/>
      <c r="F137" s="32"/>
      <c r="G137" s="32"/>
      <c r="H137" s="32"/>
    </row>
  </sheetData>
  <mergeCells count="13">
    <mergeCell ref="A66:H66"/>
    <mergeCell ref="A1:H1"/>
    <mergeCell ref="A2:H2"/>
    <mergeCell ref="A3:H3"/>
    <mergeCell ref="A64:H64"/>
    <mergeCell ref="A65:H65"/>
    <mergeCell ref="A90:B90"/>
    <mergeCell ref="A67:H67"/>
    <mergeCell ref="B74:D74"/>
    <mergeCell ref="A82:D82"/>
    <mergeCell ref="B83:B84"/>
    <mergeCell ref="C83:C84"/>
    <mergeCell ref="D83:D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2023-12-04T07:14:27Z</dcterms:created>
  <dcterms:modified xsi:type="dcterms:W3CDTF">2023-12-04T12:21:55Z</dcterms:modified>
</cp:coreProperties>
</file>