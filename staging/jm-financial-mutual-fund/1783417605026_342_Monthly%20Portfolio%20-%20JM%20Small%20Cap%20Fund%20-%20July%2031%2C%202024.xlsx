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4\Monthly portfolio\Monthly sent 31.07.24\"/>
    </mc:Choice>
  </mc:AlternateContent>
  <bookViews>
    <workbookView xWindow="0" yWindow="0" windowWidth="20490" windowHeight="7770"/>
  </bookViews>
  <sheets>
    <sheet name="JM Small Cap Fund" sheetId="1" r:id="rId1"/>
  </sheets>
  <externalReferences>
    <externalReference r:id="rId2"/>
  </externalReferences>
  <definedNames>
    <definedName name="_xlnm._FilterDatabase" localSheetId="0" hidden="1">'JM Small Cap Fund'!$A$1:$I$107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Fund'!$A$1:$E$94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00" i="1" l="1"/>
  <c r="D96" i="1"/>
  <c r="E95" i="1"/>
  <c r="E96" i="1" s="1"/>
  <c r="D77" i="1"/>
  <c r="D81" i="1" s="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77" i="1" l="1"/>
  <c r="E81" i="1" s="1"/>
  <c r="D98" i="1"/>
  <c r="D100" i="1" s="1"/>
  <c r="E98" i="1"/>
</calcChain>
</file>

<file path=xl/sharedStrings.xml><?xml version="1.0" encoding="utf-8"?>
<sst xmlns="http://schemas.openxmlformats.org/spreadsheetml/2006/main" count="260" uniqueCount="209">
  <si>
    <t>JM Financial Mutual Fund</t>
  </si>
  <si>
    <t>Monthly Portfolio Statement for the period ended 31.07.2024</t>
  </si>
  <si>
    <t>Name of the Instruments</t>
  </si>
  <si>
    <t>Industry/Rating</t>
  </si>
  <si>
    <t>Quantity</t>
  </si>
  <si>
    <t>Market Value (Rs. In Lakhs)</t>
  </si>
  <si>
    <t>% age to NAV</t>
  </si>
  <si>
    <t>ISIN</t>
  </si>
  <si>
    <t>Yield %</t>
  </si>
  <si>
    <t>^YTC (AT1/Tier 2 bonds)</t>
  </si>
  <si>
    <t>EQUITY &amp; EQUITY RELATED</t>
  </si>
  <si>
    <t>a) Listed/Awaiting Listing On  Stock Exchange</t>
  </si>
  <si>
    <t>Crompton Greaves Consumer Electricals Ltd.</t>
  </si>
  <si>
    <t>Consumer Durables</t>
  </si>
  <si>
    <t>INE299U01018</t>
  </si>
  <si>
    <t>Central Depository Services (India) Ltd.</t>
  </si>
  <si>
    <t>Capital Markets</t>
  </si>
  <si>
    <t>INE736A01011</t>
  </si>
  <si>
    <t>Bharat Bijlee Ltd.</t>
  </si>
  <si>
    <t>Electrical Equipment</t>
  </si>
  <si>
    <t>INE464A01036</t>
  </si>
  <si>
    <t>Restaurant Brands Asia Ltd.</t>
  </si>
  <si>
    <t>Leisure Services</t>
  </si>
  <si>
    <t>INE07T201019</t>
  </si>
  <si>
    <t>Samhi Hotels Ltd.</t>
  </si>
  <si>
    <t>INE08U801020</t>
  </si>
  <si>
    <t>Deepak Fertilizers&amp; Petrochemicals Corporation Ltd</t>
  </si>
  <si>
    <t>Chemicals &amp; Petrochemicals</t>
  </si>
  <si>
    <t>INE501A01019</t>
  </si>
  <si>
    <t>Computer Age Management Services Ltd.</t>
  </si>
  <si>
    <t>INE596I01012</t>
  </si>
  <si>
    <t>PCBL Ltd.</t>
  </si>
  <si>
    <t>INE602A01031</t>
  </si>
  <si>
    <t>Mrs. Bectors Food Specialities Ltd.</t>
  </si>
  <si>
    <t>Food Products</t>
  </si>
  <si>
    <t>INE495P01012</t>
  </si>
  <si>
    <t>JK Lakshmi Cement Ltd.</t>
  </si>
  <si>
    <t>Cement &amp; Cement Products</t>
  </si>
  <si>
    <t>INE786A01032</t>
  </si>
  <si>
    <t>Kalpataru Projects International Ltd.</t>
  </si>
  <si>
    <t>Construction</t>
  </si>
  <si>
    <t>INE220B01022</t>
  </si>
  <si>
    <t>Kirloskar Brothers Ltd.</t>
  </si>
  <si>
    <t>Industrial Products</t>
  </si>
  <si>
    <t>INE732A01036</t>
  </si>
  <si>
    <t>Five-Star Business Finance Ltd,</t>
  </si>
  <si>
    <t>Finance</t>
  </si>
  <si>
    <t>INE128S01021</t>
  </si>
  <si>
    <t>Power Mech Projects Ltd.</t>
  </si>
  <si>
    <t>INE211R01019</t>
  </si>
  <si>
    <t>Navin Fluorine International Ltd.</t>
  </si>
  <si>
    <t>INE048G01026</t>
  </si>
  <si>
    <t>Allied Blenders and Distillers Ltd.</t>
  </si>
  <si>
    <t>Beverages</t>
  </si>
  <si>
    <t>INE552Z01027</t>
  </si>
  <si>
    <t>MOIL Limited</t>
  </si>
  <si>
    <t>Minerals &amp; Mining</t>
  </si>
  <si>
    <t>INE490G01020</t>
  </si>
  <si>
    <t>Sansera Engineering Ltd.</t>
  </si>
  <si>
    <t>Auto Components</t>
  </si>
  <si>
    <t>INE953O01021</t>
  </si>
  <si>
    <t>PG Electroplast Ltd.</t>
  </si>
  <si>
    <t>INE457L01029</t>
  </si>
  <si>
    <t>Jana Small Finance Bank Ltd.</t>
  </si>
  <si>
    <t>Banks</t>
  </si>
  <si>
    <t>INE953L01027</t>
  </si>
  <si>
    <t>Thomas Cook  (India)  Ltd.</t>
  </si>
  <si>
    <t>INE332A01027</t>
  </si>
  <si>
    <t>Firstsource Solutions Ltd.</t>
  </si>
  <si>
    <t>Commercial Services &amp; Supplies</t>
  </si>
  <si>
    <t>INE684F01012</t>
  </si>
  <si>
    <t>Timken India Ltd.</t>
  </si>
  <si>
    <t>INE325A01013</t>
  </si>
  <si>
    <t>Dhanuka Agritech Ltd.</t>
  </si>
  <si>
    <t>Fertilizers &amp; Agrochemicals</t>
  </si>
  <si>
    <t>INE435G01025</t>
  </si>
  <si>
    <t>Venus Pipes &amp; Tubes Ltd.</t>
  </si>
  <si>
    <t>INE0JA001018</t>
  </si>
  <si>
    <t>India Glycols Ltd.</t>
  </si>
  <si>
    <t>INE560A01015</t>
  </si>
  <si>
    <t>Rolex Rings Ltd</t>
  </si>
  <si>
    <t>INE645S01016</t>
  </si>
  <si>
    <t>Exide Industries Ltd.</t>
  </si>
  <si>
    <t>INE302A01020</t>
  </si>
  <si>
    <t>Aadhar Housing Finance Ltd.</t>
  </si>
  <si>
    <t>INE883F01010</t>
  </si>
  <si>
    <t>Pitti Engineering Ltd.</t>
  </si>
  <si>
    <t>Industrial Manufacturing</t>
  </si>
  <si>
    <t>INE450D01021</t>
  </si>
  <si>
    <t>Blue Star Ltd.</t>
  </si>
  <si>
    <t>INE472A01039</t>
  </si>
  <si>
    <t>Mahanagar Gas Ltd.</t>
  </si>
  <si>
    <t>Gas</t>
  </si>
  <si>
    <t>INE002S01010</t>
  </si>
  <si>
    <t>Birlasoft Ltd.</t>
  </si>
  <si>
    <t>IT - Software</t>
  </si>
  <si>
    <t>INE836A01035</t>
  </si>
  <si>
    <t>DEE Development Engineers Ltd.</t>
  </si>
  <si>
    <t>INE841L01016</t>
  </si>
  <si>
    <t>Triveni Turbine Ltd.</t>
  </si>
  <si>
    <t>INE152M01016</t>
  </si>
  <si>
    <t>Jyothy Labs Ltd.</t>
  </si>
  <si>
    <t>Household Products</t>
  </si>
  <si>
    <t>INE668F01031</t>
  </si>
  <si>
    <t>Newgen Software Technologies Ltd.</t>
  </si>
  <si>
    <t>INE619B01017</t>
  </si>
  <si>
    <t>Housing &amp; Urban Development Corporation Ltd.</t>
  </si>
  <si>
    <t>INE031A01017</t>
  </si>
  <si>
    <t>Godfrey Phillips India Ltd.</t>
  </si>
  <si>
    <t>Cigarettes &amp; Tobacco Products</t>
  </si>
  <si>
    <t>INE260B01028</t>
  </si>
  <si>
    <t>Chambal Fertilizers &amp; Chemicals Ltd.</t>
  </si>
  <si>
    <t>INE085A01013</t>
  </si>
  <si>
    <t>Indo Count Industries Ltd.</t>
  </si>
  <si>
    <t>Textiles &amp; Apparels</t>
  </si>
  <si>
    <t>INE483B01026</t>
  </si>
  <si>
    <t>Kirloskar Oil Engines Ltd.</t>
  </si>
  <si>
    <t>INE146L01010</t>
  </si>
  <si>
    <t>ICRA Ltd.</t>
  </si>
  <si>
    <t>INE725G01011</t>
  </si>
  <si>
    <t>Orchid Pharma Ltd.</t>
  </si>
  <si>
    <t>Pharmaceuticals &amp; Biotechnology</t>
  </si>
  <si>
    <t>INE191A01027</t>
  </si>
  <si>
    <t>NLC India Ltd.</t>
  </si>
  <si>
    <t>Power</t>
  </si>
  <si>
    <t>INE589A01014</t>
  </si>
  <si>
    <t>Kirloskar Ferrous Industries Ltd</t>
  </si>
  <si>
    <t>Ferrous Metals</t>
  </si>
  <si>
    <t>INE884B01025</t>
  </si>
  <si>
    <t>TVS Holdings Ltd.</t>
  </si>
  <si>
    <t>INE105A01035</t>
  </si>
  <si>
    <t>Tejas Networks Ltd.</t>
  </si>
  <si>
    <t>Telecom - Equipment &amp; Accessories</t>
  </si>
  <si>
    <t>INE010J01012</t>
  </si>
  <si>
    <t>Gulf Oil Lubricants India Ltd.</t>
  </si>
  <si>
    <t>Petroleum Products</t>
  </si>
  <si>
    <t>INE635Q01029</t>
  </si>
  <si>
    <t>Suzlon Energy Ltd.</t>
  </si>
  <si>
    <t>INE040H01021</t>
  </si>
  <si>
    <t>Sumitomo Chemical India Ltd.</t>
  </si>
  <si>
    <t>INE258G01013</t>
  </si>
  <si>
    <t>Vardhman Special Steels Ltd.</t>
  </si>
  <si>
    <t>INE050M01012</t>
  </si>
  <si>
    <t>Jubilant Pharmova Ltd.</t>
  </si>
  <si>
    <t>INE700A01033</t>
  </si>
  <si>
    <t>Finolex Industries Ltd.</t>
  </si>
  <si>
    <t>INE183A01024</t>
  </si>
  <si>
    <t>Bayer Cropscience Ltd.</t>
  </si>
  <si>
    <t>INE462A01022</t>
  </si>
  <si>
    <t>BSE Ltd.</t>
  </si>
  <si>
    <t>INE118H01025</t>
  </si>
  <si>
    <t>Patel Engineering Ltd.</t>
  </si>
  <si>
    <t>INE244B01030</t>
  </si>
  <si>
    <t>Arvind Fashions Ltd.</t>
  </si>
  <si>
    <t>Retailing</t>
  </si>
  <si>
    <t>INE955V01021</t>
  </si>
  <si>
    <t>Amber Enterprises India Ltd.</t>
  </si>
  <si>
    <t>INE371P01015</t>
  </si>
  <si>
    <t>Zuari Industries Ltd.</t>
  </si>
  <si>
    <t>Agricultural Food &amp; other Products</t>
  </si>
  <si>
    <t>INE217A01012</t>
  </si>
  <si>
    <t>Engineers India Ltd.</t>
  </si>
  <si>
    <t>INE510A01028</t>
  </si>
  <si>
    <t>Cosmo First Ltd.</t>
  </si>
  <si>
    <t>INE757A01017</t>
  </si>
  <si>
    <t>Akums Drugs and Pharmaceuticals Ltd.</t>
  </si>
  <si>
    <t>INE09XN01023</t>
  </si>
  <si>
    <t>Senco Gold Ltd.</t>
  </si>
  <si>
    <t>INE602W01019</t>
  </si>
  <si>
    <t>NCC Ltd.</t>
  </si>
  <si>
    <t>INE868B01028</t>
  </si>
  <si>
    <t>Fiem Industries Ltd.</t>
  </si>
  <si>
    <t>INE737H01014</t>
  </si>
  <si>
    <t>JK Paper Ltd.</t>
  </si>
  <si>
    <t>Paper, Forest &amp; Jute Products</t>
  </si>
  <si>
    <t>INE789E01012</t>
  </si>
  <si>
    <t>TVS Supply Chain Solutions Ltd.</t>
  </si>
  <si>
    <t>Transport Services</t>
  </si>
  <si>
    <t>INE395N01027</t>
  </si>
  <si>
    <t>Johnson Controls - Hitachi Air Conditioning India Ltd.</t>
  </si>
  <si>
    <t>INE782A01015</t>
  </si>
  <si>
    <t>Latent View Analytics Ltd.</t>
  </si>
  <si>
    <t>INE0I7C01011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</si>
  <si>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</si>
  <si>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</si>
  <si>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</si>
  <si>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</si>
  <si>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</si>
  <si>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</si>
  <si>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</si>
  <si>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</si>
  <si>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</si>
  <si>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</si>
  <si>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</si>
  <si>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</si>
  <si>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</si>
  <si>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</si>
  <si>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</si>
  <si>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</si>
  <si>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</si>
  <si>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</si>
  <si>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</si>
  <si>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</si>
  <si>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•Long term wealth creation</t>
  </si>
  <si>
    <t>•An open ended equity scheme that aims for capital appreciation by investing predominantly in equity &amp; equity related securities of small cap stocks.</t>
  </si>
  <si>
    <t>*Investors should consult their financial advisers if in doubt about whether the product is suitable for them.</t>
  </si>
  <si>
    <t xml:space="preserve">         Riskometer of the scheme </t>
  </si>
  <si>
    <t xml:space="preserve">                      Benchmark of the Scheme - Nifty Smallcap 250 TRI</t>
  </si>
  <si>
    <t>JM Small Cap Fund (An open ended equity scheme predominantly investing in small cap stocks.)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</si>
</sst>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6">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0" xfId="2" applyFont="1" applyFill="1" applyBorder="1" applyAlignment="1">
      <alignment horizontal="center" vertical="center" wrapText="1"/>
    </xf>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9" fillId="0" borderId="0" xfId="7" applyFont="1" applyAlignment="1">
      <alignment horizontal="center"/>
    </xf>
    <xf numFmtId="0" fontId="4" fillId="0" borderId="0" xfId="2" applyFont="1" applyFill="1" applyBorder="1" applyAlignment="1">
      <alignment horizontal="center"/>
    </xf>
    <xf numFmtId="165" fontId="3" fillId="0" borderId="0" xfId="1" applyNumberFormat="1" applyFont="1"/>
    <xf numFmtId="0" fontId="4" fillId="0" borderId="0" xfId="2" applyFont="1" applyFill="1" applyBorder="1" applyAlignment="1"/>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cellXfs>
  <cellStyles count="8">
    <cellStyle name="Comma" xfId="1" builtinId="3"/>
    <cellStyle name="Comma 4" xfId="5"/>
    <cellStyle name="Normal" xfId="0" builtinId="0"/>
    <cellStyle name="Normal 2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333374</xdr:colOff>
      <xdr:row>120</xdr:row>
      <xdr:rowOff>66675</xdr:rowOff>
    </xdr:from>
    <xdr:to>
      <xdr:col>0</xdr:col>
      <xdr:colOff>2905125</xdr:colOff>
      <xdr:row>123</xdr:row>
      <xdr:rowOff>133350</xdr:rowOff>
    </xdr:to>
    <xdr:sp macro="" textlink="">
      <xdr:nvSpPr>
        <xdr:cNvPr id="2" name="TextBox 1"/>
        <xdr:cNvSpPr txBox="1"/>
      </xdr:nvSpPr>
      <xdr:spPr>
        <a:xfrm>
          <a:off x="333374" y="22488525"/>
          <a:ext cx="2571751"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152400</xdr:colOff>
      <xdr:row>120</xdr:row>
      <xdr:rowOff>57151</xdr:rowOff>
    </xdr:from>
    <xdr:to>
      <xdr:col>2</xdr:col>
      <xdr:colOff>619125</xdr:colOff>
      <xdr:row>123</xdr:row>
      <xdr:rowOff>9526</xdr:rowOff>
    </xdr:to>
    <xdr:sp macro="" textlink="">
      <xdr:nvSpPr>
        <xdr:cNvPr id="3" name="TextBox 2"/>
        <xdr:cNvSpPr txBox="1"/>
      </xdr:nvSpPr>
      <xdr:spPr>
        <a:xfrm>
          <a:off x="3228975" y="22479001"/>
          <a:ext cx="25527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581025</xdr:colOff>
      <xdr:row>114</xdr:row>
      <xdr:rowOff>66675</xdr:rowOff>
    </xdr:from>
    <xdr:to>
      <xdr:col>0</xdr:col>
      <xdr:colOff>2705100</xdr:colOff>
      <xdr:row>120</xdr:row>
      <xdr:rowOff>85725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 y="21402675"/>
          <a:ext cx="212407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342900</xdr:colOff>
      <xdr:row>114</xdr:row>
      <xdr:rowOff>38100</xdr:rowOff>
    </xdr:from>
    <xdr:to>
      <xdr:col>2</xdr:col>
      <xdr:colOff>390525</xdr:colOff>
      <xdr:row>120</xdr:row>
      <xdr:rowOff>76200</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19475" y="21374100"/>
          <a:ext cx="213360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ly%202024/Monthly%20portfolio/Template%20Portfolio%20Disclosure%20-31.07%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7.2024"/>
      <sheetName val="GHS 3107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indexed="11"/>
    <pageSetUpPr fitToPage="1"/>
  </sheetPr>
  <dimension ref="A1:H120"/>
  <sheetViews>
    <sheetView tabSelected="1" zoomScaleNormal="100" workbookViewId="0">
      <selection sqref="A1:H1"/>
    </sheetView>
  </sheetViews>
  <sheetFormatPr defaultRowHeight="12.75" x14ac:dyDescent="0.2"/>
  <cols>
    <col min="1" max="1" width="46.140625" style="54" customWidth="1"/>
    <col min="2" max="2" width="31.28515625" style="55" customWidth="1"/>
    <col min="3" max="3" width="13.42578125" style="51" customWidth="1"/>
    <col min="4" max="4" width="13.28515625" style="2" customWidth="1"/>
    <col min="5" max="5" width="10" style="2" customWidth="1"/>
    <col min="6" max="6" width="13.140625" style="2" bestFit="1"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208</v>
      </c>
      <c r="B2" s="3"/>
      <c r="C2" s="3"/>
      <c r="D2" s="3"/>
      <c r="E2" s="3"/>
      <c r="F2" s="3"/>
      <c r="G2" s="3"/>
      <c r="H2" s="3"/>
    </row>
    <row r="3" spans="1:8" x14ac:dyDescent="0.2">
      <c r="A3" s="4" t="s">
        <v>1</v>
      </c>
      <c r="B3" s="4"/>
      <c r="C3" s="4"/>
      <c r="D3" s="4"/>
      <c r="E3" s="4"/>
      <c r="F3" s="4"/>
      <c r="G3" s="4"/>
      <c r="H3" s="4"/>
    </row>
    <row r="4" spans="1:8" s="7" customFormat="1" ht="25.5" x14ac:dyDescent="0.2">
      <c r="A4" s="5" t="s">
        <v>2</v>
      </c>
      <c r="B4" s="5" t="s">
        <v>3</v>
      </c>
      <c r="C4" s="6" t="s">
        <v>4</v>
      </c>
      <c r="D4" s="5" t="s">
        <v>5</v>
      </c>
      <c r="E4" s="5" t="s">
        <v>6</v>
      </c>
      <c r="F4" s="5" t="s">
        <v>7</v>
      </c>
      <c r="G4" s="5" t="s">
        <v>8</v>
      </c>
      <c r="H4" s="5" t="s">
        <v>9</v>
      </c>
    </row>
    <row r="5" spans="1:8" ht="14.25" x14ac:dyDescent="0.3">
      <c r="A5" s="8" t="s">
        <v>10</v>
      </c>
      <c r="B5" s="9"/>
      <c r="C5" s="10"/>
      <c r="D5" s="11"/>
      <c r="E5" s="11"/>
      <c r="F5" s="12"/>
      <c r="G5" s="13"/>
      <c r="H5" s="14"/>
    </row>
    <row r="6" spans="1:8" ht="14.25" x14ac:dyDescent="0.3">
      <c r="A6" s="15" t="s">
        <v>11</v>
      </c>
      <c r="B6" s="9"/>
      <c r="C6" s="10"/>
      <c r="D6" s="11"/>
      <c r="E6" s="11"/>
      <c r="F6" s="12"/>
      <c r="G6" s="13"/>
      <c r="H6" s="14"/>
    </row>
    <row r="7" spans="1:8" s="20" customFormat="1" ht="14.25" x14ac:dyDescent="0.3">
      <c r="A7" s="16" t="s">
        <v>12</v>
      </c>
      <c r="B7" s="17" t="s">
        <v>13</v>
      </c>
      <c r="C7" s="18">
        <v>270000</v>
      </c>
      <c r="D7" s="19">
        <v>1218.78</v>
      </c>
      <c r="E7" s="19">
        <f t="shared" ref="E7:E70" si="0">ROUND((+D7/$D$102*100),2)</f>
        <v>2.69</v>
      </c>
      <c r="F7" s="19" t="s">
        <v>14</v>
      </c>
      <c r="G7" s="14"/>
      <c r="H7" s="14"/>
    </row>
    <row r="8" spans="1:8" s="20" customFormat="1" ht="14.25" x14ac:dyDescent="0.3">
      <c r="A8" s="16" t="s">
        <v>15</v>
      </c>
      <c r="B8" s="17" t="s">
        <v>16</v>
      </c>
      <c r="C8" s="18">
        <v>39500</v>
      </c>
      <c r="D8" s="19">
        <v>988.09</v>
      </c>
      <c r="E8" s="19">
        <f t="shared" si="0"/>
        <v>2.1800000000000002</v>
      </c>
      <c r="F8" s="19" t="s">
        <v>17</v>
      </c>
      <c r="G8" s="14"/>
      <c r="H8" s="14"/>
    </row>
    <row r="9" spans="1:8" s="20" customFormat="1" ht="14.25" x14ac:dyDescent="0.3">
      <c r="A9" s="16" t="s">
        <v>18</v>
      </c>
      <c r="B9" s="17" t="s">
        <v>19</v>
      </c>
      <c r="C9" s="18">
        <v>19384</v>
      </c>
      <c r="D9" s="19">
        <v>975.38</v>
      </c>
      <c r="E9" s="19">
        <f t="shared" si="0"/>
        <v>2.15</v>
      </c>
      <c r="F9" s="19" t="s">
        <v>20</v>
      </c>
      <c r="G9" s="14"/>
      <c r="H9" s="14"/>
    </row>
    <row r="10" spans="1:8" s="20" customFormat="1" ht="14.25" x14ac:dyDescent="0.3">
      <c r="A10" s="16" t="s">
        <v>21</v>
      </c>
      <c r="B10" s="17" t="s">
        <v>22</v>
      </c>
      <c r="C10" s="18">
        <v>900000</v>
      </c>
      <c r="D10" s="19">
        <v>972</v>
      </c>
      <c r="E10" s="19">
        <f t="shared" si="0"/>
        <v>2.14</v>
      </c>
      <c r="F10" s="19" t="s">
        <v>23</v>
      </c>
      <c r="G10" s="14"/>
      <c r="H10" s="13"/>
    </row>
    <row r="11" spans="1:8" s="20" customFormat="1" ht="14.25" x14ac:dyDescent="0.3">
      <c r="A11" s="16" t="s">
        <v>24</v>
      </c>
      <c r="B11" s="17" t="s">
        <v>22</v>
      </c>
      <c r="C11" s="18">
        <v>504453</v>
      </c>
      <c r="D11" s="19">
        <v>921.89</v>
      </c>
      <c r="E11" s="19">
        <f t="shared" si="0"/>
        <v>2.0299999999999998</v>
      </c>
      <c r="F11" s="19" t="s">
        <v>25</v>
      </c>
      <c r="G11" s="14"/>
      <c r="H11" s="13"/>
    </row>
    <row r="12" spans="1:8" s="20" customFormat="1" ht="14.25" x14ac:dyDescent="0.3">
      <c r="A12" s="16" t="s">
        <v>26</v>
      </c>
      <c r="B12" s="17" t="s">
        <v>27</v>
      </c>
      <c r="C12" s="18">
        <v>97704</v>
      </c>
      <c r="D12" s="19">
        <v>908.65</v>
      </c>
      <c r="E12" s="19">
        <f t="shared" si="0"/>
        <v>2</v>
      </c>
      <c r="F12" s="19" t="s">
        <v>28</v>
      </c>
      <c r="G12" s="14"/>
      <c r="H12" s="14"/>
    </row>
    <row r="13" spans="1:8" s="20" customFormat="1" ht="14.25" x14ac:dyDescent="0.3">
      <c r="A13" s="16" t="s">
        <v>29</v>
      </c>
      <c r="B13" s="17" t="s">
        <v>16</v>
      </c>
      <c r="C13" s="18">
        <v>19900</v>
      </c>
      <c r="D13" s="19">
        <v>902.31</v>
      </c>
      <c r="E13" s="19">
        <f t="shared" si="0"/>
        <v>1.99</v>
      </c>
      <c r="F13" s="19" t="s">
        <v>30</v>
      </c>
      <c r="G13" s="14"/>
      <c r="H13" s="14"/>
    </row>
    <row r="14" spans="1:8" s="20" customFormat="1" ht="14.25" x14ac:dyDescent="0.3">
      <c r="A14" s="16" t="s">
        <v>31</v>
      </c>
      <c r="B14" s="17" t="s">
        <v>27</v>
      </c>
      <c r="C14" s="18">
        <v>271545</v>
      </c>
      <c r="D14" s="19">
        <v>883.2</v>
      </c>
      <c r="E14" s="19">
        <f t="shared" si="0"/>
        <v>1.95</v>
      </c>
      <c r="F14" s="19" t="s">
        <v>32</v>
      </c>
      <c r="G14" s="14"/>
      <c r="H14" s="13"/>
    </row>
    <row r="15" spans="1:8" s="20" customFormat="1" ht="14.25" x14ac:dyDescent="0.3">
      <c r="A15" s="16" t="s">
        <v>33</v>
      </c>
      <c r="B15" s="17" t="s">
        <v>34</v>
      </c>
      <c r="C15" s="18">
        <v>62500</v>
      </c>
      <c r="D15" s="19">
        <v>876.47</v>
      </c>
      <c r="E15" s="19">
        <f t="shared" si="0"/>
        <v>1.93</v>
      </c>
      <c r="F15" s="19" t="s">
        <v>35</v>
      </c>
      <c r="G15" s="14"/>
      <c r="H15" s="14"/>
    </row>
    <row r="16" spans="1:8" s="20" customFormat="1" ht="14.25" x14ac:dyDescent="0.3">
      <c r="A16" s="16" t="s">
        <v>36</v>
      </c>
      <c r="B16" s="17" t="s">
        <v>37</v>
      </c>
      <c r="C16" s="18">
        <v>92863</v>
      </c>
      <c r="D16" s="19">
        <v>823.69</v>
      </c>
      <c r="E16" s="19">
        <f t="shared" si="0"/>
        <v>1.82</v>
      </c>
      <c r="F16" s="19" t="s">
        <v>38</v>
      </c>
      <c r="G16" s="14"/>
      <c r="H16" s="13"/>
    </row>
    <row r="17" spans="1:8" s="20" customFormat="1" ht="14.25" x14ac:dyDescent="0.3">
      <c r="A17" s="16" t="s">
        <v>39</v>
      </c>
      <c r="B17" s="17" t="s">
        <v>40</v>
      </c>
      <c r="C17" s="18">
        <v>60000</v>
      </c>
      <c r="D17" s="19">
        <v>822.57</v>
      </c>
      <c r="E17" s="19">
        <f t="shared" si="0"/>
        <v>1.81</v>
      </c>
      <c r="F17" s="19" t="s">
        <v>41</v>
      </c>
      <c r="G17" s="14"/>
      <c r="H17" s="13"/>
    </row>
    <row r="18" spans="1:8" s="20" customFormat="1" ht="14.25" x14ac:dyDescent="0.3">
      <c r="A18" s="16" t="s">
        <v>42</v>
      </c>
      <c r="B18" s="17" t="s">
        <v>43</v>
      </c>
      <c r="C18" s="18">
        <v>33015</v>
      </c>
      <c r="D18" s="19">
        <v>804.58</v>
      </c>
      <c r="E18" s="19">
        <f t="shared" si="0"/>
        <v>1.77</v>
      </c>
      <c r="F18" s="19" t="s">
        <v>44</v>
      </c>
      <c r="G18" s="14"/>
      <c r="H18" s="13"/>
    </row>
    <row r="19" spans="1:8" s="20" customFormat="1" ht="14.25" x14ac:dyDescent="0.3">
      <c r="A19" s="16" t="s">
        <v>45</v>
      </c>
      <c r="B19" s="17" t="s">
        <v>46</v>
      </c>
      <c r="C19" s="18">
        <v>104000</v>
      </c>
      <c r="D19" s="19">
        <v>787.33</v>
      </c>
      <c r="E19" s="19">
        <f t="shared" si="0"/>
        <v>1.74</v>
      </c>
      <c r="F19" s="19" t="s">
        <v>47</v>
      </c>
      <c r="G19" s="14"/>
      <c r="H19" s="14"/>
    </row>
    <row r="20" spans="1:8" s="20" customFormat="1" ht="14.25" x14ac:dyDescent="0.3">
      <c r="A20" s="16" t="s">
        <v>48</v>
      </c>
      <c r="B20" s="17" t="s">
        <v>40</v>
      </c>
      <c r="C20" s="18">
        <v>12649</v>
      </c>
      <c r="D20" s="19">
        <v>783.86</v>
      </c>
      <c r="E20" s="19">
        <f t="shared" si="0"/>
        <v>1.73</v>
      </c>
      <c r="F20" s="19" t="s">
        <v>49</v>
      </c>
      <c r="G20" s="14"/>
      <c r="H20" s="13"/>
    </row>
    <row r="21" spans="1:8" s="20" customFormat="1" ht="14.25" x14ac:dyDescent="0.3">
      <c r="A21" s="16" t="s">
        <v>50</v>
      </c>
      <c r="B21" s="17" t="s">
        <v>27</v>
      </c>
      <c r="C21" s="18">
        <v>20590</v>
      </c>
      <c r="D21" s="19">
        <v>782.62</v>
      </c>
      <c r="E21" s="19">
        <f t="shared" si="0"/>
        <v>1.72</v>
      </c>
      <c r="F21" s="19" t="s">
        <v>51</v>
      </c>
      <c r="G21" s="14"/>
      <c r="H21" s="13"/>
    </row>
    <row r="22" spans="1:8" s="20" customFormat="1" ht="14.25" x14ac:dyDescent="0.3">
      <c r="A22" s="16" t="s">
        <v>52</v>
      </c>
      <c r="B22" s="17" t="s">
        <v>53</v>
      </c>
      <c r="C22" s="18">
        <v>250975</v>
      </c>
      <c r="D22" s="19">
        <v>773.5</v>
      </c>
      <c r="E22" s="19">
        <f t="shared" si="0"/>
        <v>1.7</v>
      </c>
      <c r="F22" s="19" t="s">
        <v>54</v>
      </c>
      <c r="G22" s="14"/>
      <c r="H22" s="14"/>
    </row>
    <row r="23" spans="1:8" s="20" customFormat="1" ht="14.25" x14ac:dyDescent="0.3">
      <c r="A23" s="16" t="s">
        <v>55</v>
      </c>
      <c r="B23" s="17" t="s">
        <v>56</v>
      </c>
      <c r="C23" s="18">
        <v>155500</v>
      </c>
      <c r="D23" s="19">
        <v>764.59</v>
      </c>
      <c r="E23" s="19">
        <f t="shared" si="0"/>
        <v>1.68</v>
      </c>
      <c r="F23" s="19" t="s">
        <v>57</v>
      </c>
      <c r="G23" s="14"/>
      <c r="H23" s="13"/>
    </row>
    <row r="24" spans="1:8" s="20" customFormat="1" ht="14.25" x14ac:dyDescent="0.3">
      <c r="A24" s="16" t="s">
        <v>58</v>
      </c>
      <c r="B24" s="17" t="s">
        <v>59</v>
      </c>
      <c r="C24" s="18">
        <v>53750</v>
      </c>
      <c r="D24" s="19">
        <v>762.31</v>
      </c>
      <c r="E24" s="19">
        <f t="shared" si="0"/>
        <v>1.68</v>
      </c>
      <c r="F24" s="19" t="s">
        <v>60</v>
      </c>
      <c r="G24" s="14"/>
      <c r="H24" s="13"/>
    </row>
    <row r="25" spans="1:8" s="20" customFormat="1" ht="14.25" x14ac:dyDescent="0.3">
      <c r="A25" s="16" t="s">
        <v>61</v>
      </c>
      <c r="B25" s="17" t="s">
        <v>13</v>
      </c>
      <c r="C25" s="18">
        <v>171330</v>
      </c>
      <c r="D25" s="19">
        <v>761.56</v>
      </c>
      <c r="E25" s="19">
        <f t="shared" si="0"/>
        <v>1.68</v>
      </c>
      <c r="F25" s="19" t="s">
        <v>62</v>
      </c>
      <c r="G25" s="14"/>
      <c r="H25" s="13"/>
    </row>
    <row r="26" spans="1:8" s="20" customFormat="1" ht="14.25" x14ac:dyDescent="0.3">
      <c r="A26" s="16" t="s">
        <v>63</v>
      </c>
      <c r="B26" s="17" t="s">
        <v>64</v>
      </c>
      <c r="C26" s="18">
        <v>116267</v>
      </c>
      <c r="D26" s="19">
        <v>758.82</v>
      </c>
      <c r="E26" s="19">
        <f t="shared" si="0"/>
        <v>1.67</v>
      </c>
      <c r="F26" s="19" t="s">
        <v>65</v>
      </c>
      <c r="G26" s="14"/>
      <c r="H26" s="13"/>
    </row>
    <row r="27" spans="1:8" s="20" customFormat="1" ht="14.25" x14ac:dyDescent="0.3">
      <c r="A27" s="16" t="s">
        <v>66</v>
      </c>
      <c r="B27" s="17" t="s">
        <v>22</v>
      </c>
      <c r="C27" s="18">
        <v>290000</v>
      </c>
      <c r="D27" s="19">
        <v>755.97</v>
      </c>
      <c r="E27" s="19">
        <f t="shared" si="0"/>
        <v>1.67</v>
      </c>
      <c r="F27" s="19" t="s">
        <v>67</v>
      </c>
      <c r="G27" s="14"/>
      <c r="H27" s="13"/>
    </row>
    <row r="28" spans="1:8" s="20" customFormat="1" ht="14.25" x14ac:dyDescent="0.3">
      <c r="A28" s="16" t="s">
        <v>68</v>
      </c>
      <c r="B28" s="17" t="s">
        <v>69</v>
      </c>
      <c r="C28" s="18">
        <v>270500</v>
      </c>
      <c r="D28" s="19">
        <v>739.66</v>
      </c>
      <c r="E28" s="19">
        <f t="shared" si="0"/>
        <v>1.63</v>
      </c>
      <c r="F28" s="19" t="s">
        <v>70</v>
      </c>
      <c r="G28" s="14"/>
      <c r="H28" s="14"/>
    </row>
    <row r="29" spans="1:8" s="20" customFormat="1" ht="14.25" x14ac:dyDescent="0.3">
      <c r="A29" s="16" t="s">
        <v>71</v>
      </c>
      <c r="B29" s="17" t="s">
        <v>43</v>
      </c>
      <c r="C29" s="18">
        <v>17300</v>
      </c>
      <c r="D29" s="19">
        <v>738.36</v>
      </c>
      <c r="E29" s="19">
        <f t="shared" si="0"/>
        <v>1.63</v>
      </c>
      <c r="F29" s="19" t="s">
        <v>72</v>
      </c>
      <c r="G29" s="14"/>
      <c r="H29" s="13"/>
    </row>
    <row r="30" spans="1:8" s="20" customFormat="1" ht="14.25" x14ac:dyDescent="0.3">
      <c r="A30" s="16" t="s">
        <v>73</v>
      </c>
      <c r="B30" s="17" t="s">
        <v>74</v>
      </c>
      <c r="C30" s="18">
        <v>42335</v>
      </c>
      <c r="D30" s="19">
        <v>732.97</v>
      </c>
      <c r="E30" s="19">
        <f t="shared" si="0"/>
        <v>1.62</v>
      </c>
      <c r="F30" s="19" t="s">
        <v>75</v>
      </c>
      <c r="G30" s="14"/>
      <c r="H30" s="14"/>
    </row>
    <row r="31" spans="1:8" s="20" customFormat="1" ht="14.25" x14ac:dyDescent="0.3">
      <c r="A31" s="16" t="s">
        <v>76</v>
      </c>
      <c r="B31" s="17" t="s">
        <v>43</v>
      </c>
      <c r="C31" s="18">
        <v>33000</v>
      </c>
      <c r="D31" s="19">
        <v>726.12</v>
      </c>
      <c r="E31" s="19">
        <f t="shared" si="0"/>
        <v>1.6</v>
      </c>
      <c r="F31" s="19" t="s">
        <v>77</v>
      </c>
      <c r="G31" s="14"/>
      <c r="H31" s="13"/>
    </row>
    <row r="32" spans="1:8" s="20" customFormat="1" ht="14.25" x14ac:dyDescent="0.3">
      <c r="A32" s="16" t="s">
        <v>78</v>
      </c>
      <c r="B32" s="17" t="s">
        <v>27</v>
      </c>
      <c r="C32" s="18">
        <v>60000</v>
      </c>
      <c r="D32" s="19">
        <v>726</v>
      </c>
      <c r="E32" s="19">
        <f t="shared" si="0"/>
        <v>1.6</v>
      </c>
      <c r="F32" s="19" t="s">
        <v>79</v>
      </c>
      <c r="G32" s="14"/>
      <c r="H32" s="21"/>
    </row>
    <row r="33" spans="1:8" s="20" customFormat="1" ht="14.25" x14ac:dyDescent="0.3">
      <c r="A33" s="16" t="s">
        <v>80</v>
      </c>
      <c r="B33" s="17" t="s">
        <v>59</v>
      </c>
      <c r="C33" s="18">
        <v>28911</v>
      </c>
      <c r="D33" s="19">
        <v>725.38</v>
      </c>
      <c r="E33" s="19">
        <f t="shared" si="0"/>
        <v>1.6</v>
      </c>
      <c r="F33" s="19" t="s">
        <v>81</v>
      </c>
      <c r="G33" s="14"/>
      <c r="H33" s="13"/>
    </row>
    <row r="34" spans="1:8" s="20" customFormat="1" ht="14.25" x14ac:dyDescent="0.3">
      <c r="A34" s="16" t="s">
        <v>82</v>
      </c>
      <c r="B34" s="17" t="s">
        <v>59</v>
      </c>
      <c r="C34" s="18">
        <v>136000</v>
      </c>
      <c r="D34" s="19">
        <v>711.69</v>
      </c>
      <c r="E34" s="19">
        <f t="shared" si="0"/>
        <v>1.57</v>
      </c>
      <c r="F34" s="19" t="s">
        <v>83</v>
      </c>
      <c r="G34" s="14"/>
      <c r="H34" s="14"/>
    </row>
    <row r="35" spans="1:8" s="20" customFormat="1" ht="14.25" x14ac:dyDescent="0.3">
      <c r="A35" s="16" t="s">
        <v>84</v>
      </c>
      <c r="B35" s="17" t="s">
        <v>46</v>
      </c>
      <c r="C35" s="18">
        <v>155912</v>
      </c>
      <c r="D35" s="19">
        <v>696.07</v>
      </c>
      <c r="E35" s="19">
        <f t="shared" si="0"/>
        <v>1.53</v>
      </c>
      <c r="F35" s="19" t="s">
        <v>85</v>
      </c>
      <c r="G35" s="14"/>
      <c r="H35" s="14"/>
    </row>
    <row r="36" spans="1:8" s="20" customFormat="1" ht="14.25" x14ac:dyDescent="0.3">
      <c r="A36" s="16" t="s">
        <v>86</v>
      </c>
      <c r="B36" s="17" t="s">
        <v>87</v>
      </c>
      <c r="C36" s="18">
        <v>57427</v>
      </c>
      <c r="D36" s="19">
        <v>689.99</v>
      </c>
      <c r="E36" s="19">
        <f t="shared" si="0"/>
        <v>1.52</v>
      </c>
      <c r="F36" s="19" t="s">
        <v>88</v>
      </c>
      <c r="G36" s="14"/>
      <c r="H36" s="13"/>
    </row>
    <row r="37" spans="1:8" s="20" customFormat="1" ht="14.25" x14ac:dyDescent="0.3">
      <c r="A37" s="16" t="s">
        <v>89</v>
      </c>
      <c r="B37" s="17" t="s">
        <v>13</v>
      </c>
      <c r="C37" s="18">
        <v>40000</v>
      </c>
      <c r="D37" s="19">
        <v>689.48</v>
      </c>
      <c r="E37" s="19">
        <f t="shared" si="0"/>
        <v>1.52</v>
      </c>
      <c r="F37" s="19" t="s">
        <v>90</v>
      </c>
      <c r="G37" s="14"/>
      <c r="H37" s="14"/>
    </row>
    <row r="38" spans="1:8" s="20" customFormat="1" ht="14.25" x14ac:dyDescent="0.3">
      <c r="A38" s="16" t="s">
        <v>91</v>
      </c>
      <c r="B38" s="17" t="s">
        <v>92</v>
      </c>
      <c r="C38" s="18">
        <v>36000</v>
      </c>
      <c r="D38" s="19">
        <v>673.04</v>
      </c>
      <c r="E38" s="19">
        <f t="shared" si="0"/>
        <v>1.48</v>
      </c>
      <c r="F38" s="19" t="s">
        <v>93</v>
      </c>
      <c r="G38" s="14"/>
      <c r="H38" s="13"/>
    </row>
    <row r="39" spans="1:8" s="20" customFormat="1" ht="14.25" x14ac:dyDescent="0.3">
      <c r="A39" s="16" t="s">
        <v>94</v>
      </c>
      <c r="B39" s="17" t="s">
        <v>95</v>
      </c>
      <c r="C39" s="18">
        <v>99602</v>
      </c>
      <c r="D39" s="19">
        <v>672.96</v>
      </c>
      <c r="E39" s="19">
        <f t="shared" si="0"/>
        <v>1.48</v>
      </c>
      <c r="F39" s="19" t="s">
        <v>96</v>
      </c>
      <c r="G39" s="14"/>
      <c r="H39" s="14"/>
    </row>
    <row r="40" spans="1:8" s="20" customFormat="1" ht="14.25" x14ac:dyDescent="0.3">
      <c r="A40" s="16" t="s">
        <v>97</v>
      </c>
      <c r="B40" s="17" t="s">
        <v>87</v>
      </c>
      <c r="C40" s="18">
        <v>179720</v>
      </c>
      <c r="D40" s="19">
        <v>662.18</v>
      </c>
      <c r="E40" s="19">
        <f t="shared" si="0"/>
        <v>1.46</v>
      </c>
      <c r="F40" s="19" t="s">
        <v>98</v>
      </c>
      <c r="G40" s="14"/>
      <c r="H40" s="14"/>
    </row>
    <row r="41" spans="1:8" s="20" customFormat="1" ht="14.25" x14ac:dyDescent="0.3">
      <c r="A41" s="16" t="s">
        <v>99</v>
      </c>
      <c r="B41" s="17" t="s">
        <v>19</v>
      </c>
      <c r="C41" s="18">
        <v>110000</v>
      </c>
      <c r="D41" s="19">
        <v>654.05999999999995</v>
      </c>
      <c r="E41" s="19">
        <f t="shared" si="0"/>
        <v>1.44</v>
      </c>
      <c r="F41" s="19" t="s">
        <v>100</v>
      </c>
      <c r="G41" s="14"/>
      <c r="H41" s="13"/>
    </row>
    <row r="42" spans="1:8" s="20" customFormat="1" ht="14.25" x14ac:dyDescent="0.3">
      <c r="A42" s="16" t="s">
        <v>101</v>
      </c>
      <c r="B42" s="17" t="s">
        <v>102</v>
      </c>
      <c r="C42" s="18">
        <v>123500</v>
      </c>
      <c r="D42" s="19">
        <v>650.6</v>
      </c>
      <c r="E42" s="19">
        <f t="shared" si="0"/>
        <v>1.43</v>
      </c>
      <c r="F42" s="19" t="s">
        <v>103</v>
      </c>
      <c r="G42" s="14"/>
      <c r="H42" s="13"/>
    </row>
    <row r="43" spans="1:8" s="20" customFormat="1" ht="14.25" x14ac:dyDescent="0.3">
      <c r="A43" s="16" t="s">
        <v>104</v>
      </c>
      <c r="B43" s="17" t="s">
        <v>95</v>
      </c>
      <c r="C43" s="18">
        <v>62000</v>
      </c>
      <c r="D43" s="19">
        <v>638.1</v>
      </c>
      <c r="E43" s="19">
        <f t="shared" si="0"/>
        <v>1.41</v>
      </c>
      <c r="F43" s="19" t="s">
        <v>105</v>
      </c>
      <c r="G43" s="14"/>
      <c r="H43" s="13"/>
    </row>
    <row r="44" spans="1:8" s="20" customFormat="1" ht="14.25" x14ac:dyDescent="0.3">
      <c r="A44" s="16" t="s">
        <v>106</v>
      </c>
      <c r="B44" s="17" t="s">
        <v>46</v>
      </c>
      <c r="C44" s="18">
        <v>203500</v>
      </c>
      <c r="D44" s="19">
        <v>635.42999999999995</v>
      </c>
      <c r="E44" s="19">
        <f t="shared" si="0"/>
        <v>1.4</v>
      </c>
      <c r="F44" s="19" t="s">
        <v>107</v>
      </c>
      <c r="G44" s="14"/>
      <c r="H44" s="14"/>
    </row>
    <row r="45" spans="1:8" s="20" customFormat="1" ht="14.25" x14ac:dyDescent="0.3">
      <c r="A45" s="16" t="s">
        <v>108</v>
      </c>
      <c r="B45" s="17" t="s">
        <v>109</v>
      </c>
      <c r="C45" s="18">
        <v>15000</v>
      </c>
      <c r="D45" s="19">
        <v>634.27</v>
      </c>
      <c r="E45" s="19">
        <f t="shared" si="0"/>
        <v>1.4</v>
      </c>
      <c r="F45" s="19" t="s">
        <v>110</v>
      </c>
      <c r="G45" s="14"/>
      <c r="H45" s="14"/>
    </row>
    <row r="46" spans="1:8" s="20" customFormat="1" ht="14.25" x14ac:dyDescent="0.3">
      <c r="A46" s="16" t="s">
        <v>111</v>
      </c>
      <c r="B46" s="17" t="s">
        <v>74</v>
      </c>
      <c r="C46" s="18">
        <v>120000</v>
      </c>
      <c r="D46" s="19">
        <v>621.6</v>
      </c>
      <c r="E46" s="19">
        <f t="shared" si="0"/>
        <v>1.37</v>
      </c>
      <c r="F46" s="19" t="s">
        <v>112</v>
      </c>
      <c r="G46" s="14"/>
      <c r="H46" s="14"/>
    </row>
    <row r="47" spans="1:8" s="20" customFormat="1" ht="14.25" x14ac:dyDescent="0.3">
      <c r="A47" s="16" t="s">
        <v>113</v>
      </c>
      <c r="B47" s="17" t="s">
        <v>114</v>
      </c>
      <c r="C47" s="18">
        <v>153900</v>
      </c>
      <c r="D47" s="19">
        <v>612.29</v>
      </c>
      <c r="E47" s="19">
        <f t="shared" si="0"/>
        <v>1.35</v>
      </c>
      <c r="F47" s="19" t="s">
        <v>115</v>
      </c>
      <c r="G47" s="14"/>
      <c r="H47" s="21"/>
    </row>
    <row r="48" spans="1:8" s="20" customFormat="1" ht="14.25" x14ac:dyDescent="0.3">
      <c r="A48" s="16" t="s">
        <v>116</v>
      </c>
      <c r="B48" s="17" t="s">
        <v>43</v>
      </c>
      <c r="C48" s="18">
        <v>48500</v>
      </c>
      <c r="D48" s="19">
        <v>598.59</v>
      </c>
      <c r="E48" s="19">
        <f t="shared" si="0"/>
        <v>1.32</v>
      </c>
      <c r="F48" s="19" t="s">
        <v>117</v>
      </c>
      <c r="G48" s="14"/>
      <c r="H48" s="13"/>
    </row>
    <row r="49" spans="1:8" s="20" customFormat="1" ht="14.25" x14ac:dyDescent="0.3">
      <c r="A49" s="16" t="s">
        <v>118</v>
      </c>
      <c r="B49" s="17" t="s">
        <v>16</v>
      </c>
      <c r="C49" s="18">
        <v>10650</v>
      </c>
      <c r="D49" s="19">
        <v>597.91</v>
      </c>
      <c r="E49" s="19">
        <f t="shared" si="0"/>
        <v>1.32</v>
      </c>
      <c r="F49" s="19" t="s">
        <v>119</v>
      </c>
      <c r="G49" s="14"/>
      <c r="H49" s="21"/>
    </row>
    <row r="50" spans="1:8" s="20" customFormat="1" ht="14.25" x14ac:dyDescent="0.3">
      <c r="A50" s="16" t="s">
        <v>120</v>
      </c>
      <c r="B50" s="17" t="s">
        <v>121</v>
      </c>
      <c r="C50" s="18">
        <v>41472</v>
      </c>
      <c r="D50" s="19">
        <v>580.13</v>
      </c>
      <c r="E50" s="19">
        <f t="shared" si="0"/>
        <v>1.28</v>
      </c>
      <c r="F50" s="19" t="s">
        <v>122</v>
      </c>
      <c r="G50" s="14"/>
      <c r="H50" s="13"/>
    </row>
    <row r="51" spans="1:8" s="20" customFormat="1" ht="14.25" x14ac:dyDescent="0.3">
      <c r="A51" s="16" t="s">
        <v>123</v>
      </c>
      <c r="B51" s="17" t="s">
        <v>124</v>
      </c>
      <c r="C51" s="18">
        <v>200000</v>
      </c>
      <c r="D51" s="19">
        <v>575.72</v>
      </c>
      <c r="E51" s="19">
        <f t="shared" si="0"/>
        <v>1.27</v>
      </c>
      <c r="F51" s="19" t="s">
        <v>125</v>
      </c>
      <c r="G51" s="14"/>
      <c r="H51" s="13"/>
    </row>
    <row r="52" spans="1:8" s="20" customFormat="1" ht="14.25" x14ac:dyDescent="0.3">
      <c r="A52" s="16" t="s">
        <v>126</v>
      </c>
      <c r="B52" s="17" t="s">
        <v>127</v>
      </c>
      <c r="C52" s="18">
        <v>72537</v>
      </c>
      <c r="D52" s="19">
        <v>546.57000000000005</v>
      </c>
      <c r="E52" s="19">
        <f t="shared" si="0"/>
        <v>1.2</v>
      </c>
      <c r="F52" s="19" t="s">
        <v>128</v>
      </c>
      <c r="G52" s="14"/>
      <c r="H52" s="13"/>
    </row>
    <row r="53" spans="1:8" s="20" customFormat="1" ht="14.25" x14ac:dyDescent="0.3">
      <c r="A53" s="16" t="s">
        <v>129</v>
      </c>
      <c r="B53" s="17" t="s">
        <v>46</v>
      </c>
      <c r="C53" s="18">
        <v>3950</v>
      </c>
      <c r="D53" s="19">
        <v>544.72</v>
      </c>
      <c r="E53" s="19">
        <f t="shared" si="0"/>
        <v>1.2</v>
      </c>
      <c r="F53" s="19" t="s">
        <v>130</v>
      </c>
      <c r="G53" s="14"/>
      <c r="H53" s="13"/>
    </row>
    <row r="54" spans="1:8" s="20" customFormat="1" ht="14.25" x14ac:dyDescent="0.3">
      <c r="A54" s="16" t="s">
        <v>131</v>
      </c>
      <c r="B54" s="17" t="s">
        <v>132</v>
      </c>
      <c r="C54" s="18">
        <v>43100</v>
      </c>
      <c r="D54" s="19">
        <v>534.63</v>
      </c>
      <c r="E54" s="19">
        <f t="shared" si="0"/>
        <v>1.18</v>
      </c>
      <c r="F54" s="19" t="s">
        <v>133</v>
      </c>
      <c r="G54" s="14"/>
      <c r="H54" s="13"/>
    </row>
    <row r="55" spans="1:8" s="20" customFormat="1" ht="14.25" x14ac:dyDescent="0.3">
      <c r="A55" s="16" t="s">
        <v>134</v>
      </c>
      <c r="B55" s="17" t="s">
        <v>135</v>
      </c>
      <c r="C55" s="18">
        <v>44000</v>
      </c>
      <c r="D55" s="19">
        <v>531.08000000000004</v>
      </c>
      <c r="E55" s="19">
        <f t="shared" si="0"/>
        <v>1.17</v>
      </c>
      <c r="F55" s="19" t="s">
        <v>136</v>
      </c>
      <c r="G55" s="14"/>
      <c r="H55" s="14"/>
    </row>
    <row r="56" spans="1:8" s="20" customFormat="1" ht="14.25" x14ac:dyDescent="0.3">
      <c r="A56" s="16" t="s">
        <v>137</v>
      </c>
      <c r="B56" s="17" t="s">
        <v>19</v>
      </c>
      <c r="C56" s="18">
        <v>750000</v>
      </c>
      <c r="D56" s="19">
        <v>520.35</v>
      </c>
      <c r="E56" s="19">
        <f t="shared" si="0"/>
        <v>1.1499999999999999</v>
      </c>
      <c r="F56" s="19" t="s">
        <v>138</v>
      </c>
      <c r="G56" s="14"/>
      <c r="H56" s="13"/>
    </row>
    <row r="57" spans="1:8" s="20" customFormat="1" ht="14.25" x14ac:dyDescent="0.3">
      <c r="A57" s="16" t="s">
        <v>139</v>
      </c>
      <c r="B57" s="17" t="s">
        <v>74</v>
      </c>
      <c r="C57" s="18">
        <v>100000</v>
      </c>
      <c r="D57" s="19">
        <v>518.75</v>
      </c>
      <c r="E57" s="19">
        <f t="shared" si="0"/>
        <v>1.1399999999999999</v>
      </c>
      <c r="F57" s="19" t="s">
        <v>140</v>
      </c>
      <c r="G57" s="14"/>
      <c r="H57" s="13"/>
    </row>
    <row r="58" spans="1:8" s="20" customFormat="1" ht="14.25" x14ac:dyDescent="0.3">
      <c r="A58" s="16" t="s">
        <v>141</v>
      </c>
      <c r="B58" s="17" t="s">
        <v>43</v>
      </c>
      <c r="C58" s="18">
        <v>174813</v>
      </c>
      <c r="D58" s="19">
        <v>498.22</v>
      </c>
      <c r="E58" s="19">
        <f t="shared" si="0"/>
        <v>1.1000000000000001</v>
      </c>
      <c r="F58" s="19" t="s">
        <v>142</v>
      </c>
      <c r="G58" s="14"/>
      <c r="H58" s="13"/>
    </row>
    <row r="59" spans="1:8" s="20" customFormat="1" ht="14.25" x14ac:dyDescent="0.3">
      <c r="A59" s="16" t="s">
        <v>143</v>
      </c>
      <c r="B59" s="17" t="s">
        <v>121</v>
      </c>
      <c r="C59" s="18">
        <v>64000</v>
      </c>
      <c r="D59" s="19">
        <v>494.88</v>
      </c>
      <c r="E59" s="19">
        <f t="shared" si="0"/>
        <v>1.0900000000000001</v>
      </c>
      <c r="F59" s="19" t="s">
        <v>144</v>
      </c>
      <c r="G59" s="14"/>
      <c r="H59" s="13"/>
    </row>
    <row r="60" spans="1:8" s="20" customFormat="1" ht="14.25" x14ac:dyDescent="0.3">
      <c r="A60" s="16" t="s">
        <v>145</v>
      </c>
      <c r="B60" s="17" t="s">
        <v>43</v>
      </c>
      <c r="C60" s="18">
        <v>154208</v>
      </c>
      <c r="D60" s="19">
        <v>490.84</v>
      </c>
      <c r="E60" s="19">
        <f t="shared" si="0"/>
        <v>1.08</v>
      </c>
      <c r="F60" s="19" t="s">
        <v>146</v>
      </c>
      <c r="G60" s="14"/>
      <c r="H60" s="14"/>
    </row>
    <row r="61" spans="1:8" s="20" customFormat="1" ht="14.25" x14ac:dyDescent="0.3">
      <c r="A61" s="16" t="s">
        <v>147</v>
      </c>
      <c r="B61" s="17" t="s">
        <v>74</v>
      </c>
      <c r="C61" s="18">
        <v>7000</v>
      </c>
      <c r="D61" s="19">
        <v>486.96</v>
      </c>
      <c r="E61" s="19">
        <f t="shared" si="0"/>
        <v>1.07</v>
      </c>
      <c r="F61" s="19" t="s">
        <v>148</v>
      </c>
      <c r="G61" s="14"/>
      <c r="H61" s="14"/>
    </row>
    <row r="62" spans="1:8" s="20" customFormat="1" ht="14.25" x14ac:dyDescent="0.3">
      <c r="A62" s="16" t="s">
        <v>149</v>
      </c>
      <c r="B62" s="17" t="s">
        <v>16</v>
      </c>
      <c r="C62" s="18">
        <v>19000</v>
      </c>
      <c r="D62" s="19">
        <v>485.73</v>
      </c>
      <c r="E62" s="19">
        <f t="shared" si="0"/>
        <v>1.07</v>
      </c>
      <c r="F62" s="19" t="s">
        <v>150</v>
      </c>
      <c r="G62" s="14"/>
      <c r="H62" s="14"/>
    </row>
    <row r="63" spans="1:8" s="20" customFormat="1" ht="14.25" x14ac:dyDescent="0.3">
      <c r="A63" s="16" t="s">
        <v>151</v>
      </c>
      <c r="B63" s="17" t="s">
        <v>40</v>
      </c>
      <c r="C63" s="18">
        <v>785000</v>
      </c>
      <c r="D63" s="19">
        <v>468.17</v>
      </c>
      <c r="E63" s="19">
        <f t="shared" si="0"/>
        <v>1.03</v>
      </c>
      <c r="F63" s="19" t="s">
        <v>152</v>
      </c>
      <c r="G63" s="14"/>
      <c r="H63" s="13"/>
    </row>
    <row r="64" spans="1:8" s="20" customFormat="1" ht="14.25" x14ac:dyDescent="0.3">
      <c r="A64" s="16" t="s">
        <v>153</v>
      </c>
      <c r="B64" s="17" t="s">
        <v>154</v>
      </c>
      <c r="C64" s="18">
        <v>88500</v>
      </c>
      <c r="D64" s="19">
        <v>452.94</v>
      </c>
      <c r="E64" s="19">
        <f t="shared" si="0"/>
        <v>1</v>
      </c>
      <c r="F64" s="19" t="s">
        <v>155</v>
      </c>
      <c r="G64" s="14"/>
      <c r="H64" s="14"/>
    </row>
    <row r="65" spans="1:8" s="20" customFormat="1" ht="14.25" x14ac:dyDescent="0.3">
      <c r="A65" s="16" t="s">
        <v>156</v>
      </c>
      <c r="B65" s="17" t="s">
        <v>13</v>
      </c>
      <c r="C65" s="18">
        <v>10000</v>
      </c>
      <c r="D65" s="19">
        <v>433.45</v>
      </c>
      <c r="E65" s="19">
        <f t="shared" si="0"/>
        <v>0.96</v>
      </c>
      <c r="F65" s="19" t="s">
        <v>157</v>
      </c>
      <c r="G65" s="14"/>
      <c r="H65" s="14"/>
    </row>
    <row r="66" spans="1:8" s="20" customFormat="1" ht="14.25" x14ac:dyDescent="0.3">
      <c r="A66" s="16" t="s">
        <v>158</v>
      </c>
      <c r="B66" s="17" t="s">
        <v>159</v>
      </c>
      <c r="C66" s="18">
        <v>110000</v>
      </c>
      <c r="D66" s="19">
        <v>428.62</v>
      </c>
      <c r="E66" s="19">
        <f t="shared" si="0"/>
        <v>0.94</v>
      </c>
      <c r="F66" s="19" t="s">
        <v>160</v>
      </c>
      <c r="G66" s="14"/>
      <c r="H66" s="13"/>
    </row>
    <row r="67" spans="1:8" s="20" customFormat="1" ht="14.25" x14ac:dyDescent="0.3">
      <c r="A67" s="16" t="s">
        <v>161</v>
      </c>
      <c r="B67" s="17" t="s">
        <v>40</v>
      </c>
      <c r="C67" s="18">
        <v>162500</v>
      </c>
      <c r="D67" s="19">
        <v>425.83</v>
      </c>
      <c r="E67" s="19">
        <f t="shared" si="0"/>
        <v>0.94</v>
      </c>
      <c r="F67" s="19" t="s">
        <v>162</v>
      </c>
      <c r="G67" s="14"/>
      <c r="H67" s="14"/>
    </row>
    <row r="68" spans="1:8" s="20" customFormat="1" ht="14.25" x14ac:dyDescent="0.3">
      <c r="A68" s="16" t="s">
        <v>163</v>
      </c>
      <c r="B68" s="17" t="s">
        <v>43</v>
      </c>
      <c r="C68" s="18">
        <v>44000</v>
      </c>
      <c r="D68" s="19">
        <v>412.43</v>
      </c>
      <c r="E68" s="19">
        <f t="shared" si="0"/>
        <v>0.91</v>
      </c>
      <c r="F68" s="19" t="s">
        <v>164</v>
      </c>
      <c r="G68" s="14"/>
      <c r="H68" s="14"/>
    </row>
    <row r="69" spans="1:8" s="20" customFormat="1" ht="14.25" x14ac:dyDescent="0.3">
      <c r="A69" s="16" t="s">
        <v>165</v>
      </c>
      <c r="B69" s="17" t="s">
        <v>121</v>
      </c>
      <c r="C69" s="18">
        <v>60114</v>
      </c>
      <c r="D69" s="19">
        <v>408.17</v>
      </c>
      <c r="E69" s="19">
        <f t="shared" si="0"/>
        <v>0.9</v>
      </c>
      <c r="F69" s="19" t="s">
        <v>166</v>
      </c>
      <c r="G69" s="14"/>
      <c r="H69" s="14"/>
    </row>
    <row r="70" spans="1:8" s="20" customFormat="1" ht="14.25" x14ac:dyDescent="0.3">
      <c r="A70" s="16" t="s">
        <v>167</v>
      </c>
      <c r="B70" s="17" t="s">
        <v>13</v>
      </c>
      <c r="C70" s="18">
        <v>41000</v>
      </c>
      <c r="D70" s="19">
        <v>397.88</v>
      </c>
      <c r="E70" s="19">
        <f t="shared" si="0"/>
        <v>0.88</v>
      </c>
      <c r="F70" s="19" t="s">
        <v>168</v>
      </c>
      <c r="G70" s="14"/>
      <c r="H70" s="13"/>
    </row>
    <row r="71" spans="1:8" s="20" customFormat="1" ht="14.25" x14ac:dyDescent="0.3">
      <c r="A71" s="16" t="s">
        <v>169</v>
      </c>
      <c r="B71" s="17" t="s">
        <v>40</v>
      </c>
      <c r="C71" s="18">
        <v>105000</v>
      </c>
      <c r="D71" s="19">
        <v>375.85</v>
      </c>
      <c r="E71" s="19">
        <f t="shared" ref="E71:E76" si="1">ROUND((+D71/$D$102*100),2)</f>
        <v>0.83</v>
      </c>
      <c r="F71" s="19" t="s">
        <v>170</v>
      </c>
      <c r="G71" s="14"/>
      <c r="H71" s="13"/>
    </row>
    <row r="72" spans="1:8" s="20" customFormat="1" ht="14.25" x14ac:dyDescent="0.3">
      <c r="A72" s="16" t="s">
        <v>171</v>
      </c>
      <c r="B72" s="17" t="s">
        <v>59</v>
      </c>
      <c r="C72" s="18">
        <v>26905</v>
      </c>
      <c r="D72" s="19">
        <v>364.97</v>
      </c>
      <c r="E72" s="19">
        <f t="shared" si="1"/>
        <v>0.8</v>
      </c>
      <c r="F72" s="19" t="s">
        <v>172</v>
      </c>
      <c r="G72" s="14"/>
      <c r="H72" s="14"/>
    </row>
    <row r="73" spans="1:8" s="20" customFormat="1" ht="14.25" x14ac:dyDescent="0.3">
      <c r="A73" s="16" t="s">
        <v>173</v>
      </c>
      <c r="B73" s="17" t="s">
        <v>174</v>
      </c>
      <c r="C73" s="18">
        <v>66000</v>
      </c>
      <c r="D73" s="19">
        <v>333.89</v>
      </c>
      <c r="E73" s="19">
        <f t="shared" si="1"/>
        <v>0.74</v>
      </c>
      <c r="F73" s="19" t="s">
        <v>175</v>
      </c>
      <c r="G73" s="14"/>
      <c r="H73" s="13"/>
    </row>
    <row r="74" spans="1:8" s="20" customFormat="1" ht="14.25" x14ac:dyDescent="0.3">
      <c r="A74" s="16" t="s">
        <v>176</v>
      </c>
      <c r="B74" s="17" t="s">
        <v>177</v>
      </c>
      <c r="C74" s="18">
        <v>135000</v>
      </c>
      <c r="D74" s="19">
        <v>263.57</v>
      </c>
      <c r="E74" s="19">
        <f t="shared" si="1"/>
        <v>0.57999999999999996</v>
      </c>
      <c r="F74" s="19" t="s">
        <v>178</v>
      </c>
      <c r="G74" s="14"/>
      <c r="H74" s="13"/>
    </row>
    <row r="75" spans="1:8" s="20" customFormat="1" ht="14.25" x14ac:dyDescent="0.3">
      <c r="A75" s="16" t="s">
        <v>179</v>
      </c>
      <c r="B75" s="17" t="s">
        <v>13</v>
      </c>
      <c r="C75" s="18">
        <v>12650</v>
      </c>
      <c r="D75" s="19">
        <v>256.88</v>
      </c>
      <c r="E75" s="19">
        <f t="shared" si="1"/>
        <v>0.56999999999999995</v>
      </c>
      <c r="F75" s="19" t="s">
        <v>180</v>
      </c>
      <c r="G75" s="14"/>
      <c r="H75" s="13"/>
    </row>
    <row r="76" spans="1:8" s="20" customFormat="1" ht="14.25" x14ac:dyDescent="0.3">
      <c r="A76" s="16" t="s">
        <v>181</v>
      </c>
      <c r="B76" s="17" t="s">
        <v>95</v>
      </c>
      <c r="C76" s="18">
        <v>25349</v>
      </c>
      <c r="D76" s="19">
        <v>130.37</v>
      </c>
      <c r="E76" s="19">
        <f t="shared" si="1"/>
        <v>0.28999999999999998</v>
      </c>
      <c r="F76" s="19" t="s">
        <v>182</v>
      </c>
      <c r="G76" s="14"/>
      <c r="H76" s="13"/>
    </row>
    <row r="77" spans="1:8" s="20" customFormat="1" ht="14.25" x14ac:dyDescent="0.3">
      <c r="A77" s="15" t="s">
        <v>183</v>
      </c>
      <c r="B77" s="17"/>
      <c r="C77" s="18"/>
      <c r="D77" s="22">
        <f>IF(ISERROR(SUM(D7:D76)),0,SUM(D7:D76))</f>
        <v>44816.52</v>
      </c>
      <c r="E77" s="22">
        <f>IF(ISERROR(SUM(E7:E76)),0,SUM(E7:E76))</f>
        <v>98.779999999999973</v>
      </c>
      <c r="F77" s="22"/>
      <c r="G77" s="14"/>
      <c r="H77" s="13"/>
    </row>
    <row r="78" spans="1:8" s="20" customFormat="1" ht="14.25" x14ac:dyDescent="0.3">
      <c r="A78" s="15"/>
      <c r="B78" s="15"/>
      <c r="C78" s="23"/>
      <c r="D78" s="24"/>
      <c r="E78" s="24"/>
      <c r="F78" s="24"/>
      <c r="G78" s="14"/>
      <c r="H78" s="13"/>
    </row>
    <row r="79" spans="1:8" s="20" customFormat="1" ht="14.25" x14ac:dyDescent="0.3">
      <c r="A79" s="15" t="s">
        <v>184</v>
      </c>
      <c r="B79" s="15"/>
      <c r="C79" s="23"/>
      <c r="D79" s="25" t="s">
        <v>185</v>
      </c>
      <c r="E79" s="25" t="s">
        <v>185</v>
      </c>
      <c r="F79" s="25"/>
      <c r="G79" s="14"/>
      <c r="H79" s="13"/>
    </row>
    <row r="80" spans="1:8" s="20" customFormat="1" ht="14.25" x14ac:dyDescent="0.3">
      <c r="A80" s="15"/>
      <c r="B80" s="8"/>
      <c r="C80" s="23"/>
      <c r="D80" s="25"/>
      <c r="E80" s="25"/>
      <c r="F80" s="26"/>
      <c r="G80" s="14"/>
      <c r="H80" s="13"/>
    </row>
    <row r="81" spans="1:8" s="20" customFormat="1" ht="14.25" x14ac:dyDescent="0.3">
      <c r="A81" s="15" t="s">
        <v>186</v>
      </c>
      <c r="B81" s="15"/>
      <c r="C81" s="23"/>
      <c r="D81" s="22">
        <f>IF(ISERROR(+D77),0,D77)+IF(ISERROR(+#REF!),0,#REF!)</f>
        <v>44816.52</v>
      </c>
      <c r="E81" s="22">
        <f>IF(ISERROR(+E77),0,E77)+IF(ISERROR(+#REF!),0,#REF!)</f>
        <v>98.779999999999973</v>
      </c>
      <c r="F81" s="27"/>
      <c r="G81" s="14"/>
      <c r="H81" s="13"/>
    </row>
    <row r="82" spans="1:8" s="20" customFormat="1" ht="14.25" x14ac:dyDescent="0.3">
      <c r="A82" s="15"/>
      <c r="B82" s="8"/>
      <c r="C82" s="23"/>
      <c r="D82" s="25"/>
      <c r="E82" s="25"/>
      <c r="F82" s="26"/>
      <c r="G82" s="14"/>
      <c r="H82" s="13"/>
    </row>
    <row r="83" spans="1:8" s="20" customFormat="1" ht="14.25" x14ac:dyDescent="0.3">
      <c r="A83" s="15" t="s">
        <v>187</v>
      </c>
      <c r="B83" s="8"/>
      <c r="C83" s="23"/>
      <c r="D83" s="25"/>
      <c r="E83" s="25"/>
      <c r="F83" s="26"/>
      <c r="G83" s="14"/>
      <c r="H83" s="13"/>
    </row>
    <row r="84" spans="1:8" s="20" customFormat="1" ht="14.25" x14ac:dyDescent="0.3">
      <c r="A84" s="15" t="s">
        <v>11</v>
      </c>
      <c r="B84" s="8"/>
      <c r="C84" s="23"/>
      <c r="D84" s="25" t="s">
        <v>185</v>
      </c>
      <c r="E84" s="25" t="s">
        <v>185</v>
      </c>
      <c r="F84" s="28"/>
      <c r="G84" s="14"/>
      <c r="H84" s="13"/>
    </row>
    <row r="85" spans="1:8" s="20" customFormat="1" ht="14.25" x14ac:dyDescent="0.3">
      <c r="A85" s="15"/>
      <c r="B85" s="8"/>
      <c r="C85" s="29"/>
      <c r="D85" s="28"/>
      <c r="E85" s="28"/>
      <c r="F85" s="28"/>
      <c r="G85" s="14"/>
      <c r="H85" s="13"/>
    </row>
    <row r="86" spans="1:8" s="20" customFormat="1" ht="14.25" x14ac:dyDescent="0.3">
      <c r="A86" s="15" t="s">
        <v>188</v>
      </c>
      <c r="B86" s="8"/>
      <c r="C86" s="29"/>
      <c r="D86" s="25" t="s">
        <v>185</v>
      </c>
      <c r="E86" s="25" t="s">
        <v>185</v>
      </c>
      <c r="F86" s="26"/>
      <c r="G86" s="14"/>
      <c r="H86" s="13"/>
    </row>
    <row r="87" spans="1:8" s="20" customFormat="1" ht="14.25" x14ac:dyDescent="0.3">
      <c r="A87" s="15"/>
      <c r="B87" s="8"/>
      <c r="C87" s="29"/>
      <c r="D87" s="25"/>
      <c r="E87" s="25"/>
      <c r="F87" s="25"/>
      <c r="G87" s="14"/>
      <c r="H87" s="13"/>
    </row>
    <row r="88" spans="1:8" s="20" customFormat="1" ht="14.25" x14ac:dyDescent="0.3">
      <c r="A88" s="15" t="s">
        <v>189</v>
      </c>
      <c r="B88" s="8"/>
      <c r="C88" s="29"/>
      <c r="D88" s="25"/>
      <c r="E88" s="25"/>
      <c r="F88" s="25"/>
      <c r="G88" s="14"/>
      <c r="H88" s="13"/>
    </row>
    <row r="89" spans="1:8" s="20" customFormat="1" ht="14.25" x14ac:dyDescent="0.3">
      <c r="A89" s="15"/>
      <c r="B89" s="8"/>
      <c r="C89" s="29"/>
      <c r="D89" s="19"/>
      <c r="E89" s="19"/>
      <c r="F89" s="30"/>
      <c r="G89" s="14"/>
      <c r="H89" s="13"/>
    </row>
    <row r="90" spans="1:8" s="20" customFormat="1" ht="14.25" x14ac:dyDescent="0.3">
      <c r="A90" s="15" t="s">
        <v>190</v>
      </c>
      <c r="B90" s="8"/>
      <c r="C90" s="29"/>
      <c r="D90" s="25" t="s">
        <v>185</v>
      </c>
      <c r="E90" s="25" t="s">
        <v>185</v>
      </c>
      <c r="F90" s="25"/>
      <c r="G90" s="14"/>
      <c r="H90" s="13"/>
    </row>
    <row r="91" spans="1:8" s="20" customFormat="1" ht="14.25" x14ac:dyDescent="0.3">
      <c r="A91" s="15"/>
      <c r="B91" s="8"/>
      <c r="C91" s="29"/>
      <c r="D91" s="25"/>
      <c r="E91" s="25"/>
      <c r="F91" s="25"/>
      <c r="G91" s="14"/>
      <c r="H91" s="13"/>
    </row>
    <row r="92" spans="1:8" s="20" customFormat="1" ht="14.25" x14ac:dyDescent="0.3">
      <c r="A92" s="15" t="s">
        <v>191</v>
      </c>
      <c r="B92" s="8"/>
      <c r="C92" s="29"/>
      <c r="D92" s="25" t="s">
        <v>185</v>
      </c>
      <c r="E92" s="25" t="s">
        <v>185</v>
      </c>
      <c r="F92" s="25"/>
      <c r="G92" s="14"/>
      <c r="H92" s="13"/>
    </row>
    <row r="93" spans="1:8" s="20" customFormat="1" ht="14.25" x14ac:dyDescent="0.3">
      <c r="A93" s="15"/>
      <c r="B93" s="8"/>
      <c r="C93" s="29"/>
      <c r="D93" s="25"/>
      <c r="E93" s="25"/>
      <c r="F93" s="25"/>
      <c r="G93" s="14"/>
      <c r="H93" s="13"/>
    </row>
    <row r="94" spans="1:8" s="20" customFormat="1" ht="14.25" x14ac:dyDescent="0.3">
      <c r="A94" s="15" t="s">
        <v>192</v>
      </c>
      <c r="B94" s="8"/>
      <c r="C94" s="29"/>
      <c r="D94" s="25"/>
      <c r="E94" s="25"/>
      <c r="F94" s="26"/>
      <c r="G94" s="14"/>
      <c r="H94" s="13"/>
    </row>
    <row r="95" spans="1:8" s="20" customFormat="1" ht="14.25" x14ac:dyDescent="0.3">
      <c r="A95" s="16" t="s">
        <v>193</v>
      </c>
      <c r="B95" s="17"/>
      <c r="C95" s="18">
        <v>0</v>
      </c>
      <c r="D95" s="19">
        <v>474.15</v>
      </c>
      <c r="E95" s="19">
        <f>ROUND((+D95/$D$102*100),2)</f>
        <v>1.04</v>
      </c>
      <c r="F95" s="19" t="s">
        <v>194</v>
      </c>
      <c r="G95" s="14">
        <v>6.3921000000000001</v>
      </c>
      <c r="H95" s="13"/>
    </row>
    <row r="96" spans="1:8" s="20" customFormat="1" ht="14.25" x14ac:dyDescent="0.3">
      <c r="A96" s="15" t="s">
        <v>183</v>
      </c>
      <c r="B96" s="8"/>
      <c r="C96" s="29"/>
      <c r="D96" s="25">
        <f>IF(ISERROR(SUM(D95:D95)),0,SUM(D95:D95))</f>
        <v>474.15</v>
      </c>
      <c r="E96" s="25">
        <f>IF(ISERROR(SUM(E95:E95)),0,SUM(E95:E95))</f>
        <v>1.04</v>
      </c>
      <c r="F96" s="19"/>
      <c r="G96" s="14"/>
      <c r="H96" s="13"/>
    </row>
    <row r="97" spans="1:8" s="20" customFormat="1" ht="14.25" x14ac:dyDescent="0.3">
      <c r="A97" s="15"/>
      <c r="B97" s="8"/>
      <c r="C97" s="29"/>
      <c r="D97" s="25"/>
      <c r="E97" s="25"/>
      <c r="F97" s="26"/>
      <c r="G97" s="14"/>
      <c r="H97" s="13"/>
    </row>
    <row r="98" spans="1:8" s="20" customFormat="1" ht="14.25" x14ac:dyDescent="0.3">
      <c r="A98" s="15" t="s">
        <v>186</v>
      </c>
      <c r="B98" s="8"/>
      <c r="C98" s="29" t="s">
        <v>195</v>
      </c>
      <c r="D98" s="25">
        <f>+IF(ISERROR(#REF!),0,#REF!)+IF(ISERROR(D96),0,D96)+IF(ISERROR(#REF!),0,#REF!)+IF(ISERROR(#REF!),0,#REF!)+IF(ISERROR(#REF!),0,#REF!)+IF(ISERROR(#REF!),0,#REF!)+IF(ISERROR(#REF!),0,#REF!)+IF(ISERROR(#REF!),0,#REF!)+IF(ISERROR(#REF!),0,#REF!)+IF(ISERROR(#REF!),0,#REF!)+D81</f>
        <v>45290.67</v>
      </c>
      <c r="E98" s="25">
        <f>+IF(ISERROR(#REF!),0,#REF!)+IF(ISERROR(E96),0,E96)+IF(ISERROR(#REF!),0,#REF!)+IF(ISERROR(#REF!),0,#REF!)+IF(ISERROR(#REF!),0,#REF!)+IF(ISERROR(#REF!),0,#REF!)+IF(ISERROR(#REF!),0,#REF!)+IF(ISERROR(#REF!),0,#REF!)+IF(ISERROR(#REF!),0,#REF!)+IF(ISERROR(#REF!),0,#REF!)+E81</f>
        <v>99.819999999999979</v>
      </c>
      <c r="F98" s="25"/>
      <c r="G98" s="14"/>
      <c r="H98" s="13"/>
    </row>
    <row r="99" spans="1:8" s="20" customFormat="1" ht="14.25" x14ac:dyDescent="0.3">
      <c r="A99" s="15"/>
      <c r="B99" s="8"/>
      <c r="C99" s="29"/>
      <c r="D99" s="25"/>
      <c r="E99" s="25"/>
      <c r="F99" s="31"/>
      <c r="G99" s="32"/>
      <c r="H99" s="33"/>
    </row>
    <row r="100" spans="1:8" s="20" customFormat="1" ht="14.25" x14ac:dyDescent="0.3">
      <c r="A100" s="15" t="s">
        <v>196</v>
      </c>
      <c r="B100" s="8"/>
      <c r="C100" s="29"/>
      <c r="D100" s="25">
        <f>+D102-D98</f>
        <v>88.25</v>
      </c>
      <c r="E100" s="25">
        <f>+E102-E98</f>
        <v>0.18000000000002103</v>
      </c>
      <c r="F100" s="31"/>
      <c r="G100" s="32"/>
      <c r="H100" s="33"/>
    </row>
    <row r="101" spans="1:8" s="20" customFormat="1" ht="14.25" x14ac:dyDescent="0.3">
      <c r="A101" s="15"/>
      <c r="B101" s="8"/>
      <c r="C101" s="29"/>
      <c r="D101" s="28"/>
      <c r="E101" s="28"/>
      <c r="F101" s="31"/>
      <c r="G101" s="32"/>
      <c r="H101" s="33"/>
    </row>
    <row r="102" spans="1:8" s="20" customFormat="1" ht="14.25" x14ac:dyDescent="0.3">
      <c r="A102" s="15" t="s">
        <v>197</v>
      </c>
      <c r="B102" s="8"/>
      <c r="C102" s="29"/>
      <c r="D102" s="25">
        <v>45378.92</v>
      </c>
      <c r="E102" s="25">
        <v>100</v>
      </c>
      <c r="F102" s="31"/>
      <c r="G102" s="32"/>
      <c r="H102" s="33"/>
    </row>
    <row r="103" spans="1:8" s="20" customFormat="1" ht="14.25" x14ac:dyDescent="0.3">
      <c r="A103" s="34"/>
      <c r="B103" s="35"/>
      <c r="C103" s="36"/>
      <c r="D103" s="37"/>
      <c r="E103" s="37"/>
      <c r="F103" s="31"/>
      <c r="G103" s="32"/>
      <c r="H103" s="33"/>
    </row>
    <row r="104" spans="1:8" s="20" customFormat="1" ht="13.5" x14ac:dyDescent="0.2">
      <c r="A104" s="38" t="s">
        <v>198</v>
      </c>
      <c r="B104" s="38"/>
      <c r="C104" s="38"/>
      <c r="D104" s="38"/>
      <c r="E104" s="38"/>
      <c r="F104" s="38"/>
      <c r="G104" s="38"/>
      <c r="H104" s="38"/>
    </row>
    <row r="105" spans="1:8" s="20" customFormat="1" ht="24.75" customHeight="1" x14ac:dyDescent="0.2">
      <c r="A105" s="39" t="s">
        <v>199</v>
      </c>
      <c r="B105" s="39"/>
      <c r="C105" s="39"/>
      <c r="D105" s="39"/>
      <c r="E105" s="39"/>
      <c r="F105" s="39"/>
      <c r="G105" s="39"/>
      <c r="H105" s="39"/>
    </row>
    <row r="106" spans="1:8" s="20" customFormat="1" ht="13.5" x14ac:dyDescent="0.2">
      <c r="A106" s="40" t="s">
        <v>200</v>
      </c>
      <c r="B106" s="40"/>
      <c r="C106" s="40"/>
      <c r="D106" s="40"/>
      <c r="E106" s="40"/>
      <c r="F106" s="40"/>
      <c r="G106" s="40"/>
      <c r="H106" s="40"/>
    </row>
    <row r="107" spans="1:8" ht="54" customHeight="1" x14ac:dyDescent="0.2">
      <c r="A107" s="41" t="s">
        <v>201</v>
      </c>
      <c r="B107" s="41"/>
      <c r="C107" s="41"/>
      <c r="D107" s="41"/>
      <c r="E107" s="41"/>
      <c r="F107" s="41"/>
      <c r="G107" s="41"/>
      <c r="H107" s="41"/>
    </row>
    <row r="108" spans="1:8" ht="14.25" x14ac:dyDescent="0.3">
      <c r="A108" s="42"/>
      <c r="B108" s="43"/>
      <c r="C108" s="44"/>
      <c r="D108" s="31"/>
      <c r="E108" s="33"/>
      <c r="F108" s="33"/>
      <c r="G108" s="31"/>
      <c r="H108" s="31"/>
    </row>
    <row r="109" spans="1:8" ht="14.25" x14ac:dyDescent="0.3">
      <c r="A109" s="45" t="s">
        <v>202</v>
      </c>
      <c r="B109" s="46"/>
      <c r="C109" s="46"/>
      <c r="D109" s="33"/>
      <c r="E109" s="33"/>
      <c r="F109" s="33"/>
      <c r="G109" s="31"/>
      <c r="H109" s="31"/>
    </row>
    <row r="110" spans="1:8" ht="14.25" x14ac:dyDescent="0.3">
      <c r="A110" s="47" t="s">
        <v>203</v>
      </c>
      <c r="B110" s="47"/>
      <c r="C110" s="47"/>
      <c r="D110" s="47"/>
      <c r="E110" s="33"/>
      <c r="F110" s="33"/>
      <c r="G110" s="33"/>
      <c r="H110" s="33"/>
    </row>
    <row r="111" spans="1:8" ht="14.25" x14ac:dyDescent="0.3">
      <c r="A111" s="48" t="s">
        <v>204</v>
      </c>
      <c r="B111" s="48"/>
      <c r="C111" s="48"/>
      <c r="D111" s="48"/>
      <c r="E111" s="33"/>
      <c r="F111" s="33"/>
      <c r="G111" s="33"/>
      <c r="H111" s="33"/>
    </row>
    <row r="112" spans="1:8" ht="14.25" x14ac:dyDescent="0.3">
      <c r="A112" s="48" t="s">
        <v>205</v>
      </c>
      <c r="B112" s="48"/>
      <c r="C112" s="48"/>
      <c r="D112" s="48"/>
      <c r="E112" s="33"/>
      <c r="F112" s="33"/>
      <c r="G112" s="33"/>
      <c r="H112" s="33"/>
    </row>
    <row r="113" spans="1:8" ht="14.25" x14ac:dyDescent="0.3">
      <c r="A113" s="48"/>
      <c r="B113" s="46"/>
      <c r="C113" s="46"/>
      <c r="D113" s="33"/>
      <c r="E113" s="33"/>
      <c r="F113" s="33"/>
      <c r="G113" s="33"/>
      <c r="H113" s="33"/>
    </row>
    <row r="114" spans="1:8" ht="14.25" x14ac:dyDescent="0.3">
      <c r="A114" s="49" t="s">
        <v>206</v>
      </c>
      <c r="B114" s="50" t="s">
        <v>207</v>
      </c>
      <c r="D114" s="52"/>
      <c r="E114" s="33"/>
      <c r="F114" s="53"/>
      <c r="G114" s="46"/>
      <c r="H114" s="33"/>
    </row>
    <row r="115" spans="1:8" ht="14.25" x14ac:dyDescent="0.3">
      <c r="A115" s="48"/>
      <c r="B115" s="46"/>
      <c r="C115" s="46"/>
      <c r="D115" s="33"/>
      <c r="E115" s="33"/>
      <c r="F115" s="46"/>
      <c r="G115" s="46"/>
      <c r="H115" s="33"/>
    </row>
    <row r="116" spans="1:8" ht="14.25" x14ac:dyDescent="0.3">
      <c r="A116" s="48"/>
      <c r="B116" s="46"/>
      <c r="C116" s="46"/>
      <c r="D116" s="33"/>
      <c r="E116" s="33"/>
      <c r="F116" s="46"/>
      <c r="G116" s="46"/>
      <c r="H116" s="33"/>
    </row>
    <row r="117" spans="1:8" ht="14.25" x14ac:dyDescent="0.3">
      <c r="A117" s="46"/>
      <c r="B117" s="46"/>
      <c r="C117" s="46"/>
      <c r="D117" s="33"/>
      <c r="E117" s="33"/>
      <c r="F117" s="46"/>
      <c r="G117" s="46"/>
      <c r="H117" s="33"/>
    </row>
    <row r="118" spans="1:8" ht="14.25" x14ac:dyDescent="0.3">
      <c r="A118" s="46"/>
      <c r="B118" s="46"/>
      <c r="C118" s="46"/>
      <c r="D118" s="33"/>
      <c r="E118" s="33"/>
      <c r="F118" s="46"/>
      <c r="G118" s="46"/>
      <c r="H118" s="33"/>
    </row>
    <row r="119" spans="1:8" ht="14.25" x14ac:dyDescent="0.3">
      <c r="A119" s="46"/>
      <c r="B119" s="46"/>
      <c r="C119" s="46"/>
      <c r="D119" s="33"/>
      <c r="E119" s="33"/>
      <c r="F119" s="46"/>
      <c r="G119" s="46"/>
      <c r="H119" s="33"/>
    </row>
    <row r="120" spans="1:8" ht="14.25" x14ac:dyDescent="0.3">
      <c r="A120" s="46"/>
      <c r="B120" s="46"/>
      <c r="C120" s="46"/>
      <c r="D120" s="33"/>
      <c r="E120" s="33"/>
      <c r="F120" s="46"/>
      <c r="G120" s="46"/>
      <c r="H120" s="33"/>
    </row>
  </sheetData>
  <mergeCells count="7">
    <mergeCell ref="A107:H107"/>
    <mergeCell ref="A1:H1"/>
    <mergeCell ref="A2:H2"/>
    <mergeCell ref="A3:H3"/>
    <mergeCell ref="A104:H104"/>
    <mergeCell ref="A105:H105"/>
    <mergeCell ref="A106:H10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2024-08-05T08:11:21Z</dcterms:created>
  <dcterms:modified xsi:type="dcterms:W3CDTF">2024-08-05T08:17:27Z</dcterms:modified>
</cp:coreProperties>
</file>