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TG" sheetId="1" r:id="rId1"/>
  </sheets>
  <definedNames>
    <definedName name="_xlnm._FilterDatabase" localSheetId="0" hidden="1">TG!$A$1:$I$76</definedName>
    <definedName name="Afs">#REF!</definedName>
    <definedName name="_xlnm.Database">#REF!</definedName>
    <definedName name="EBLDB">#REF!</definedName>
    <definedName name="fl">#REF!</definedName>
    <definedName name="_xlnm.Print_Area" localSheetId="0">TG!$A$1:$E$60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5" i="1" l="1"/>
  <c r="D63" i="1"/>
  <c r="E62" i="1"/>
  <c r="E63"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3" i="1" l="1"/>
  <c r="E47" i="1" s="1"/>
  <c r="E65" i="1" s="1"/>
  <c r="D65" i="1"/>
  <c r="D67" i="1" s="1"/>
  <c r="E67" i="1" s="1"/>
  <c r="E69" i="1" l="1"/>
</calcChain>
</file>

<file path=xl/sharedStrings.xml><?xml version="1.0" encoding="utf-8"?>
<sst xmlns="http://schemas.openxmlformats.org/spreadsheetml/2006/main" count="159" uniqueCount="133">
  <si>
    <t>JM Tax Gain Fund (An open ended equity linked saving scheme with a statutory lock in of 3 years and tax benefit).</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</si>
  <si>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</si>
  <si>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</si>
  <si>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</si>
  <si>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</si>
  <si>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</si>
  <si>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</si>
  <si>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</si>
  <si>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</si>
  <si>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</si>
  <si>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</si>
  <si>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</si>
  <si>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</si>
  <si>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</si>
  <si>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</si>
  <si>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</si>
  <si>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</si>
  <si>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</si>
  <si>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ICICI Bank Ltd.</t>
  </si>
  <si>
    <t>INE090A01021</t>
  </si>
  <si>
    <t>Larsen &amp; Toubro Ltd.</t>
  </si>
  <si>
    <t>Construction</t>
  </si>
  <si>
    <t>INE018A01030</t>
  </si>
  <si>
    <t>Axis Bank Ltd.</t>
  </si>
  <si>
    <t>INE238A01034</t>
  </si>
  <si>
    <t>Ultratech Cement Ltd.</t>
  </si>
  <si>
    <t>Cement &amp; Cement Products</t>
  </si>
  <si>
    <t>INE481G01011</t>
  </si>
  <si>
    <t>State Bank of India</t>
  </si>
  <si>
    <t>INE062A01020</t>
  </si>
  <si>
    <t>Reliance Industries Ltd.</t>
  </si>
  <si>
    <t>Petroleum Products</t>
  </si>
  <si>
    <t>INE002A01018</t>
  </si>
  <si>
    <t>Gujarat Gas Ltd.</t>
  </si>
  <si>
    <t>Gas</t>
  </si>
  <si>
    <t>INE844O01030</t>
  </si>
  <si>
    <t>Bank of Baroda</t>
  </si>
  <si>
    <t>INE028A01039</t>
  </si>
  <si>
    <t>Cummins India Ltd.</t>
  </si>
  <si>
    <t>Industrial Products</t>
  </si>
  <si>
    <t>INE298A01020</t>
  </si>
  <si>
    <t>Trent Ltd.</t>
  </si>
  <si>
    <t>Retailing</t>
  </si>
  <si>
    <t>INE849A01020</t>
  </si>
  <si>
    <t>SRF Ltd.</t>
  </si>
  <si>
    <t>Chemicals &amp; Petrochemicals</t>
  </si>
  <si>
    <t>INE647A01010</t>
  </si>
  <si>
    <t>Titan Company Ltd.</t>
  </si>
  <si>
    <t>Consumer Durables</t>
  </si>
  <si>
    <t>INE280A01028</t>
  </si>
  <si>
    <t>SKF India Ltd.</t>
  </si>
  <si>
    <t>INE640A01023</t>
  </si>
  <si>
    <t>Kalpataru Power Transmission Ltd.</t>
  </si>
  <si>
    <t>INE220B01022</t>
  </si>
  <si>
    <t>Maruti Suzuki India Ltd.</t>
  </si>
  <si>
    <t>Automobiles</t>
  </si>
  <si>
    <t>INE585B01010</t>
  </si>
  <si>
    <t>United Spirits Ltd.</t>
  </si>
  <si>
    <t>Beverages</t>
  </si>
  <si>
    <t>INE854D01024</t>
  </si>
  <si>
    <t>Ashok Leyland Ltd.</t>
  </si>
  <si>
    <t>Agricultural, Commercial &amp; Construction Vehicles</t>
  </si>
  <si>
    <t>INE208A01029</t>
  </si>
  <si>
    <t>Power Finance Corporation Ltd.</t>
  </si>
  <si>
    <t>Finance</t>
  </si>
  <si>
    <t>INE134E01011</t>
  </si>
  <si>
    <t>Hindustan Aeronautics Ltd.</t>
  </si>
  <si>
    <t>Aerospace &amp; Defense</t>
  </si>
  <si>
    <t>INE066F01012</t>
  </si>
  <si>
    <t>Pidilite Industries Ltd.</t>
  </si>
  <si>
    <t>INE318A01026</t>
  </si>
  <si>
    <t>Mahindra &amp; Mahindra Financial Services Ltd.</t>
  </si>
  <si>
    <t>INE774D01024</t>
  </si>
  <si>
    <t>Navin Fluorine International Ltd.</t>
  </si>
  <si>
    <t>INE048G01026</t>
  </si>
  <si>
    <t>Cipla Ltd.</t>
  </si>
  <si>
    <t>Pharmaceuticals &amp; Biotechnology</t>
  </si>
  <si>
    <t>INE059A01026</t>
  </si>
  <si>
    <t>ABB India Ltd.</t>
  </si>
  <si>
    <t>Electrical Equipment</t>
  </si>
  <si>
    <t>INE117A01022</t>
  </si>
  <si>
    <t>L&amp;T Technology Services Ltd.</t>
  </si>
  <si>
    <t>IT - Services</t>
  </si>
  <si>
    <t>INE010V01017</t>
  </si>
  <si>
    <t>Hindustan Unilever Ltd.</t>
  </si>
  <si>
    <t>Diversified FMCG</t>
  </si>
  <si>
    <t>INE030A01027</t>
  </si>
  <si>
    <t>Jubilant Foodworks Ltd.</t>
  </si>
  <si>
    <t>Leisure Services</t>
  </si>
  <si>
    <t>INE797F01020</t>
  </si>
  <si>
    <t>JK Cement Ltd.</t>
  </si>
  <si>
    <t>INE823G01014</t>
  </si>
  <si>
    <t>Fortis Healthcare Ltd.</t>
  </si>
  <si>
    <t>Healthcare Services</t>
  </si>
  <si>
    <t>INE061F01013</t>
  </si>
  <si>
    <t>Vardhman Textiles Ltd.</t>
  </si>
  <si>
    <t>Textiles &amp; Apparels</t>
  </si>
  <si>
    <t>INE825A01020</t>
  </si>
  <si>
    <t>Dr. Reddy's Laboratories Ltd.</t>
  </si>
  <si>
    <t>INE089A01023</t>
  </si>
  <si>
    <t>Varun Beverages Ltd.</t>
  </si>
  <si>
    <t>INE200M01013</t>
  </si>
  <si>
    <t>Bharti Airtel Ltd.</t>
  </si>
  <si>
    <t>Telecom - Services</t>
  </si>
  <si>
    <t>INE397D01024</t>
  </si>
  <si>
    <t>Indian Oil Corporation Ltd.</t>
  </si>
  <si>
    <t>INE242A01010</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</si>
  <si>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</si>
  <si>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</si>
  <si>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</si>
  <si>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</si>
  <si>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</si>
  <si>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</si>
  <si>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</si>
  <si>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</si>
  <si>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</si>
  <si>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</si>
  <si>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</si>
  <si>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</si>
  <si>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</si>
  <si>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</si>
  <si>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</si>
  <si>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</si>
  <si>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</si>
  <si>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</si>
  <si>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</si>
  <si>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</si>
  <si>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</si>
  <si>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</si>
  <si>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Benchmark of the Scheme - S&amp;P BSE 500 TRI</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</si>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</sst>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4">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6"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6" fillId="0" borderId="0" xfId="5" applyBorder="1" applyAlignment="1">
      <alignment horizontal="left"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1</xdr:col>
      <xdr:colOff>485775</xdr:colOff>
      <xdr:row>99</xdr:row>
      <xdr:rowOff>104774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392525"/>
          <a:ext cx="3943350" cy="2209800"/>
        </a:xfrm>
        <a:prstGeom prst="rect">
          <a:avLst/>
        </a:prstGeom>
        <a:noFill/>
        <a:ln w="9525">
          <a:noFill/>
          <a:miter lim="800000"/>
          <a:headEnd/>
          <a:tailEnd/>
        </a:ln>
      </xdr:spPr>
    </xdr:pic>
    <xdr:clientData/>
  </xdr:twoCellAnchor>
  <xdr:twoCellAnchor editAs="oneCell">
    <xdr:from>
      <xdr:col>2</xdr:col>
      <xdr:colOff>114300</xdr:colOff>
      <xdr:row>86</xdr:row>
      <xdr:rowOff>9525</xdr:rowOff>
    </xdr:from>
    <xdr:to>
      <xdr:col>5</xdr:col>
      <xdr:colOff>609600</xdr:colOff>
      <xdr:row>99</xdr:row>
      <xdr:rowOff>104774</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200775" y="16402050"/>
          <a:ext cx="3829050"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
  <sheetViews>
    <sheetView tabSelected="1" zoomScaleNormal="100" workbookViewId="0">
      <pane xSplit="1" ySplit="3" topLeftCell="B43" activePane="bottomRight" state="frozen"/>
      <selection activeCell="A2" sqref="A2"/>
      <selection pane="topRight" activeCell="A2" sqref="A2"/>
      <selection pane="bottomLeft" activeCell="A2" sqref="A2"/>
      <selection pane="bottomRight" activeCell="B8" sqref="B8"/>
    </sheetView>
  </sheetViews>
  <sheetFormatPr defaultRowHeight="12.75" x14ac:dyDescent="0.2"/>
  <cols>
    <col min="1" max="1" width="51.85546875" style="55" customWidth="1"/>
    <col min="2" max="2" width="39.42578125" style="56" customWidth="1"/>
    <col min="3" max="3" width="13.42578125" style="57"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6" customFormat="1" x14ac:dyDescent="0.2">
      <c r="A6" s="21" t="s">
        <v>12</v>
      </c>
      <c r="B6" s="22" t="s">
        <v>13</v>
      </c>
      <c r="C6" s="23">
        <v>32465</v>
      </c>
      <c r="D6" s="24">
        <v>530.78651749999995</v>
      </c>
      <c r="E6" s="24">
        <f t="shared" ref="E6:E42" si="0">(+D6/$D$69*100)</f>
        <v>7.2176278516677241</v>
      </c>
      <c r="F6" s="24" t="s">
        <v>14</v>
      </c>
      <c r="G6" s="19"/>
      <c r="H6" s="25"/>
    </row>
    <row r="7" spans="1:8" s="26" customFormat="1" x14ac:dyDescent="0.2">
      <c r="A7" s="21" t="s">
        <v>15</v>
      </c>
      <c r="B7" s="22" t="s">
        <v>16</v>
      </c>
      <c r="C7" s="23">
        <v>29281</v>
      </c>
      <c r="D7" s="24">
        <v>470.97024450000004</v>
      </c>
      <c r="E7" s="24">
        <f t="shared" si="0"/>
        <v>6.4042469843065648</v>
      </c>
      <c r="F7" s="24" t="s">
        <v>17</v>
      </c>
      <c r="G7" s="19"/>
      <c r="H7" s="19"/>
    </row>
    <row r="8" spans="1:8" s="26" customFormat="1" x14ac:dyDescent="0.2">
      <c r="A8" s="21" t="s">
        <v>18</v>
      </c>
      <c r="B8" s="22" t="s">
        <v>16</v>
      </c>
      <c r="C8" s="23">
        <v>41825</v>
      </c>
      <c r="D8" s="24">
        <v>398.55042500000002</v>
      </c>
      <c r="E8" s="24">
        <f t="shared" si="0"/>
        <v>5.4194832629184271</v>
      </c>
      <c r="F8" s="24" t="s">
        <v>19</v>
      </c>
      <c r="G8" s="19"/>
      <c r="H8" s="25"/>
    </row>
    <row r="9" spans="1:8" s="26" customFormat="1" x14ac:dyDescent="0.2">
      <c r="A9" s="21" t="s">
        <v>20</v>
      </c>
      <c r="B9" s="22" t="s">
        <v>21</v>
      </c>
      <c r="C9" s="23">
        <v>17250</v>
      </c>
      <c r="D9" s="24">
        <v>357.91162500000002</v>
      </c>
      <c r="E9" s="24">
        <f t="shared" si="0"/>
        <v>4.8668774127927144</v>
      </c>
      <c r="F9" s="24" t="s">
        <v>22</v>
      </c>
      <c r="G9" s="19"/>
      <c r="H9" s="18"/>
    </row>
    <row r="10" spans="1:8" s="26" customFormat="1" x14ac:dyDescent="0.2">
      <c r="A10" s="21" t="s">
        <v>23</v>
      </c>
      <c r="B10" s="22" t="s">
        <v>16</v>
      </c>
      <c r="C10" s="23">
        <v>37800</v>
      </c>
      <c r="D10" s="24">
        <v>340.67250000000001</v>
      </c>
      <c r="E10" s="24">
        <f t="shared" si="0"/>
        <v>4.6324600253194506</v>
      </c>
      <c r="F10" s="24" t="s">
        <v>24</v>
      </c>
      <c r="G10" s="19"/>
      <c r="H10" s="19"/>
    </row>
    <row r="11" spans="1:8" s="26" customFormat="1" x14ac:dyDescent="0.2">
      <c r="A11" s="21" t="s">
        <v>25</v>
      </c>
      <c r="B11" s="22" t="s">
        <v>26</v>
      </c>
      <c r="C11" s="23">
        <v>4050</v>
      </c>
      <c r="D11" s="24">
        <v>286.61849999999998</v>
      </c>
      <c r="E11" s="24">
        <f t="shared" si="0"/>
        <v>3.8974344679039929</v>
      </c>
      <c r="F11" s="24" t="s">
        <v>27</v>
      </c>
      <c r="G11" s="19"/>
      <c r="H11" s="18"/>
    </row>
    <row r="12" spans="1:8" s="26" customFormat="1" x14ac:dyDescent="0.2">
      <c r="A12" s="21" t="s">
        <v>28</v>
      </c>
      <c r="B12" s="22" t="s">
        <v>16</v>
      </c>
      <c r="C12" s="23">
        <v>40650</v>
      </c>
      <c r="D12" s="24">
        <v>244.89592500000001</v>
      </c>
      <c r="E12" s="24">
        <f t="shared" si="0"/>
        <v>3.3300914600565954</v>
      </c>
      <c r="F12" s="24" t="s">
        <v>29</v>
      </c>
      <c r="G12" s="19"/>
      <c r="H12" s="18"/>
    </row>
    <row r="13" spans="1:8" s="26" customFormat="1" x14ac:dyDescent="0.2">
      <c r="A13" s="21" t="s">
        <v>30</v>
      </c>
      <c r="B13" s="22" t="s">
        <v>31</v>
      </c>
      <c r="C13" s="23">
        <v>8450</v>
      </c>
      <c r="D13" s="24">
        <v>230.79907499999999</v>
      </c>
      <c r="E13" s="24">
        <f t="shared" si="0"/>
        <v>3.1384026853303562</v>
      </c>
      <c r="F13" s="24" t="s">
        <v>32</v>
      </c>
      <c r="G13" s="19"/>
      <c r="H13" s="18"/>
    </row>
    <row r="14" spans="1:8" s="26" customFormat="1" x14ac:dyDescent="0.2">
      <c r="A14" s="21" t="s">
        <v>33</v>
      </c>
      <c r="B14" s="22" t="s">
        <v>34</v>
      </c>
      <c r="C14" s="23">
        <v>43100</v>
      </c>
      <c r="D14" s="24">
        <v>215.00434999999999</v>
      </c>
      <c r="E14" s="24">
        <f t="shared" si="0"/>
        <v>2.923626229427946</v>
      </c>
      <c r="F14" s="24" t="s">
        <v>35</v>
      </c>
      <c r="G14" s="19"/>
      <c r="H14" s="19"/>
    </row>
    <row r="15" spans="1:8" s="26" customFormat="1" x14ac:dyDescent="0.2">
      <c r="A15" s="21" t="s">
        <v>36</v>
      </c>
      <c r="B15" s="22" t="s">
        <v>16</v>
      </c>
      <c r="C15" s="23">
        <v>128500</v>
      </c>
      <c r="D15" s="24">
        <v>213.63124999999999</v>
      </c>
      <c r="E15" s="24">
        <f t="shared" si="0"/>
        <v>2.9049548342881386</v>
      </c>
      <c r="F15" s="24" t="s">
        <v>37</v>
      </c>
      <c r="G15" s="19"/>
      <c r="H15" s="19"/>
    </row>
    <row r="16" spans="1:8" s="26" customFormat="1" x14ac:dyDescent="0.2">
      <c r="A16" s="21" t="s">
        <v>38</v>
      </c>
      <c r="B16" s="22" t="s">
        <v>39</v>
      </c>
      <c r="C16" s="23">
        <v>14750</v>
      </c>
      <c r="D16" s="24">
        <v>208.49125000000001</v>
      </c>
      <c r="E16" s="24">
        <f t="shared" si="0"/>
        <v>2.8350611841398528</v>
      </c>
      <c r="F16" s="24" t="s">
        <v>40</v>
      </c>
      <c r="G16" s="19"/>
      <c r="H16" s="19"/>
    </row>
    <row r="17" spans="1:8" s="26" customFormat="1" x14ac:dyDescent="0.2">
      <c r="A17" s="21" t="s">
        <v>41</v>
      </c>
      <c r="B17" s="22" t="s">
        <v>42</v>
      </c>
      <c r="C17" s="23">
        <v>14146</v>
      </c>
      <c r="D17" s="24">
        <v>208.179609</v>
      </c>
      <c r="E17" s="24">
        <f t="shared" si="0"/>
        <v>2.8308234940570003</v>
      </c>
      <c r="F17" s="24" t="s">
        <v>43</v>
      </c>
      <c r="G17" s="19"/>
      <c r="H17" s="18"/>
    </row>
    <row r="18" spans="1:8" s="26" customFormat="1" x14ac:dyDescent="0.2">
      <c r="A18" s="21" t="s">
        <v>44</v>
      </c>
      <c r="B18" s="22" t="s">
        <v>45</v>
      </c>
      <c r="C18" s="23">
        <v>8000</v>
      </c>
      <c r="D18" s="24">
        <v>189.256</v>
      </c>
      <c r="E18" s="24">
        <f t="shared" si="0"/>
        <v>2.5735005160435844</v>
      </c>
      <c r="F18" s="24" t="s">
        <v>46</v>
      </c>
      <c r="G18" s="19"/>
      <c r="H18" s="18"/>
    </row>
    <row r="19" spans="1:8" s="26" customFormat="1" x14ac:dyDescent="0.2">
      <c r="A19" s="21" t="s">
        <v>47</v>
      </c>
      <c r="B19" s="22" t="s">
        <v>48</v>
      </c>
      <c r="C19" s="23">
        <v>7030</v>
      </c>
      <c r="D19" s="24">
        <v>186.5059</v>
      </c>
      <c r="E19" s="24">
        <f t="shared" si="0"/>
        <v>2.5361046936169691</v>
      </c>
      <c r="F19" s="24" t="s">
        <v>49</v>
      </c>
      <c r="G19" s="19"/>
      <c r="H19" s="18"/>
    </row>
    <row r="20" spans="1:8" s="26" customFormat="1" x14ac:dyDescent="0.2">
      <c r="A20" s="21" t="s">
        <v>50</v>
      </c>
      <c r="B20" s="22" t="s">
        <v>39</v>
      </c>
      <c r="C20" s="23">
        <v>3908</v>
      </c>
      <c r="D20" s="24">
        <v>184.07461600000002</v>
      </c>
      <c r="E20" s="24">
        <f t="shared" si="0"/>
        <v>2.5030441268257002</v>
      </c>
      <c r="F20" s="24" t="s">
        <v>51</v>
      </c>
      <c r="G20" s="19"/>
      <c r="H20" s="18"/>
    </row>
    <row r="21" spans="1:8" s="26" customFormat="1" x14ac:dyDescent="0.2">
      <c r="A21" s="21" t="s">
        <v>52</v>
      </c>
      <c r="B21" s="22" t="s">
        <v>21</v>
      </c>
      <c r="C21" s="23">
        <v>35000</v>
      </c>
      <c r="D21" s="24">
        <v>177.5025</v>
      </c>
      <c r="E21" s="24">
        <f t="shared" si="0"/>
        <v>2.4136765827716236</v>
      </c>
      <c r="F21" s="24" t="s">
        <v>53</v>
      </c>
      <c r="G21" s="19"/>
      <c r="H21" s="25"/>
    </row>
    <row r="22" spans="1:8" s="26" customFormat="1" x14ac:dyDescent="0.2">
      <c r="A22" s="21" t="s">
        <v>54</v>
      </c>
      <c r="B22" s="22" t="s">
        <v>55</v>
      </c>
      <c r="C22" s="23">
        <v>1974</v>
      </c>
      <c r="D22" s="24">
        <v>177.14972100000003</v>
      </c>
      <c r="E22" s="24">
        <f t="shared" si="0"/>
        <v>2.4088794987238296</v>
      </c>
      <c r="F22" s="24" t="s">
        <v>56</v>
      </c>
      <c r="G22" s="19"/>
      <c r="H22" s="18"/>
    </row>
    <row r="23" spans="1:8" s="26" customFormat="1" x14ac:dyDescent="0.2">
      <c r="A23" s="21" t="s">
        <v>57</v>
      </c>
      <c r="B23" s="22" t="s">
        <v>58</v>
      </c>
      <c r="C23" s="23">
        <v>18600</v>
      </c>
      <c r="D23" s="24">
        <v>173.40780000000001</v>
      </c>
      <c r="E23" s="24">
        <f t="shared" si="0"/>
        <v>2.3579969078178902</v>
      </c>
      <c r="F23" s="24" t="s">
        <v>59</v>
      </c>
      <c r="G23" s="19"/>
      <c r="H23" s="18"/>
    </row>
    <row r="24" spans="1:8" s="26" customFormat="1" ht="25.5" x14ac:dyDescent="0.2">
      <c r="A24" s="21" t="s">
        <v>60</v>
      </c>
      <c r="B24" s="22" t="s">
        <v>61</v>
      </c>
      <c r="C24" s="23">
        <v>100750</v>
      </c>
      <c r="D24" s="24">
        <v>149.916</v>
      </c>
      <c r="E24" s="24">
        <f t="shared" si="0"/>
        <v>2.0385557306674027</v>
      </c>
      <c r="F24" s="24" t="s">
        <v>62</v>
      </c>
      <c r="G24" s="19"/>
      <c r="H24" s="19"/>
    </row>
    <row r="25" spans="1:8" s="26" customFormat="1" x14ac:dyDescent="0.2">
      <c r="A25" s="21" t="s">
        <v>63</v>
      </c>
      <c r="B25" s="22" t="s">
        <v>64</v>
      </c>
      <c r="C25" s="23">
        <v>110000</v>
      </c>
      <c r="D25" s="24">
        <v>149.49</v>
      </c>
      <c r="E25" s="24">
        <f t="shared" si="0"/>
        <v>2.0327629884566694</v>
      </c>
      <c r="F25" s="24" t="s">
        <v>65</v>
      </c>
      <c r="G25" s="19"/>
      <c r="H25" s="18"/>
    </row>
    <row r="26" spans="1:8" s="26" customFormat="1" x14ac:dyDescent="0.2">
      <c r="A26" s="21" t="s">
        <v>66</v>
      </c>
      <c r="B26" s="22" t="s">
        <v>67</v>
      </c>
      <c r="C26" s="23">
        <v>5350</v>
      </c>
      <c r="D26" s="24">
        <v>147.34167500000001</v>
      </c>
      <c r="E26" s="24">
        <f t="shared" si="0"/>
        <v>2.0035500943020361</v>
      </c>
      <c r="F26" s="24" t="s">
        <v>68</v>
      </c>
      <c r="G26" s="19"/>
      <c r="H26" s="19"/>
    </row>
    <row r="27" spans="1:8" s="26" customFormat="1" x14ac:dyDescent="0.2">
      <c r="A27" s="21" t="s">
        <v>69</v>
      </c>
      <c r="B27" s="22" t="s">
        <v>45</v>
      </c>
      <c r="C27" s="23">
        <v>5281</v>
      </c>
      <c r="D27" s="24">
        <v>145.15884699999998</v>
      </c>
      <c r="E27" s="24">
        <f t="shared" si="0"/>
        <v>1.9738680288222918</v>
      </c>
      <c r="F27" s="24" t="s">
        <v>70</v>
      </c>
      <c r="G27" s="19"/>
      <c r="H27" s="18"/>
    </row>
    <row r="28" spans="1:8" s="26" customFormat="1" x14ac:dyDescent="0.2">
      <c r="A28" s="21" t="s">
        <v>71</v>
      </c>
      <c r="B28" s="22" t="s">
        <v>64</v>
      </c>
      <c r="C28" s="23">
        <v>66650</v>
      </c>
      <c r="D28" s="24">
        <v>143.29750000000001</v>
      </c>
      <c r="E28" s="24">
        <f t="shared" si="0"/>
        <v>1.9485574576116771</v>
      </c>
      <c r="F28" s="24" t="s">
        <v>72</v>
      </c>
      <c r="G28" s="19"/>
      <c r="H28" s="18"/>
    </row>
    <row r="29" spans="1:8" s="26" customFormat="1" x14ac:dyDescent="0.2">
      <c r="A29" s="21" t="s">
        <v>73</v>
      </c>
      <c r="B29" s="22" t="s">
        <v>45</v>
      </c>
      <c r="C29" s="23">
        <v>3150</v>
      </c>
      <c r="D29" s="24">
        <v>136.78717499999999</v>
      </c>
      <c r="E29" s="24">
        <f t="shared" si="0"/>
        <v>1.8600301467358713</v>
      </c>
      <c r="F29" s="24" t="s">
        <v>74</v>
      </c>
      <c r="G29" s="19"/>
      <c r="H29" s="18"/>
    </row>
    <row r="30" spans="1:8" s="26" customFormat="1" x14ac:dyDescent="0.2">
      <c r="A30" s="21" t="s">
        <v>75</v>
      </c>
      <c r="B30" s="22" t="s">
        <v>76</v>
      </c>
      <c r="C30" s="23">
        <v>11850</v>
      </c>
      <c r="D30" s="24">
        <v>135.04852500000001</v>
      </c>
      <c r="E30" s="24">
        <f t="shared" si="0"/>
        <v>1.8363880076638255</v>
      </c>
      <c r="F30" s="24" t="s">
        <v>77</v>
      </c>
      <c r="G30" s="19"/>
      <c r="H30" s="19"/>
    </row>
    <row r="31" spans="1:8" s="26" customFormat="1" x14ac:dyDescent="0.2">
      <c r="A31" s="21" t="s">
        <v>78</v>
      </c>
      <c r="B31" s="22" t="s">
        <v>79</v>
      </c>
      <c r="C31" s="23">
        <v>4500</v>
      </c>
      <c r="D31" s="24">
        <v>135.03149999999999</v>
      </c>
      <c r="E31" s="24">
        <f t="shared" si="0"/>
        <v>1.836156501945192</v>
      </c>
      <c r="F31" s="24" t="s">
        <v>80</v>
      </c>
      <c r="G31" s="19"/>
      <c r="H31" s="19"/>
    </row>
    <row r="32" spans="1:8" s="26" customFormat="1" x14ac:dyDescent="0.2">
      <c r="A32" s="21" t="s">
        <v>81</v>
      </c>
      <c r="B32" s="22" t="s">
        <v>82</v>
      </c>
      <c r="C32" s="23">
        <v>3500</v>
      </c>
      <c r="D32" s="24">
        <v>133.51974999999999</v>
      </c>
      <c r="E32" s="24">
        <f t="shared" si="0"/>
        <v>1.8155997459896138</v>
      </c>
      <c r="F32" s="24" t="s">
        <v>83</v>
      </c>
      <c r="G32" s="19"/>
      <c r="H32" s="18"/>
    </row>
    <row r="33" spans="1:8" s="26" customFormat="1" x14ac:dyDescent="0.2">
      <c r="A33" s="21" t="s">
        <v>84</v>
      </c>
      <c r="B33" s="22" t="s">
        <v>85</v>
      </c>
      <c r="C33" s="23">
        <v>4500</v>
      </c>
      <c r="D33" s="24">
        <v>120.79575</v>
      </c>
      <c r="E33" s="24">
        <f t="shared" si="0"/>
        <v>1.6425789669065807</v>
      </c>
      <c r="F33" s="24" t="s">
        <v>86</v>
      </c>
      <c r="G33" s="19"/>
      <c r="H33" s="19"/>
    </row>
    <row r="34" spans="1:8" s="26" customFormat="1" x14ac:dyDescent="0.2">
      <c r="A34" s="21" t="s">
        <v>87</v>
      </c>
      <c r="B34" s="22" t="s">
        <v>88</v>
      </c>
      <c r="C34" s="23">
        <v>21500</v>
      </c>
      <c r="D34" s="24">
        <v>117.57275</v>
      </c>
      <c r="E34" s="24">
        <f t="shared" si="0"/>
        <v>1.5987526567065948</v>
      </c>
      <c r="F34" s="24" t="s">
        <v>89</v>
      </c>
      <c r="G34" s="19"/>
      <c r="H34" s="25"/>
    </row>
    <row r="35" spans="1:8" s="26" customFormat="1" x14ac:dyDescent="0.2">
      <c r="A35" s="21" t="s">
        <v>90</v>
      </c>
      <c r="B35" s="22" t="s">
        <v>26</v>
      </c>
      <c r="C35" s="23">
        <v>3778</v>
      </c>
      <c r="D35" s="24">
        <v>116.351066</v>
      </c>
      <c r="E35" s="24">
        <f t="shared" si="0"/>
        <v>1.58214021427707</v>
      </c>
      <c r="F35" s="24" t="s">
        <v>91</v>
      </c>
      <c r="G35" s="19"/>
      <c r="H35" s="25"/>
    </row>
    <row r="36" spans="1:8" s="26" customFormat="1" x14ac:dyDescent="0.2">
      <c r="A36" s="21" t="s">
        <v>92</v>
      </c>
      <c r="B36" s="22" t="s">
        <v>93</v>
      </c>
      <c r="C36" s="23">
        <v>40000</v>
      </c>
      <c r="D36" s="24">
        <v>116.04</v>
      </c>
      <c r="E36" s="24">
        <f t="shared" si="0"/>
        <v>1.5779103430364032</v>
      </c>
      <c r="F36" s="24" t="s">
        <v>94</v>
      </c>
      <c r="G36" s="19"/>
      <c r="H36" s="19"/>
    </row>
    <row r="37" spans="1:8" s="26" customFormat="1" x14ac:dyDescent="0.2">
      <c r="A37" s="21" t="s">
        <v>95</v>
      </c>
      <c r="B37" s="22" t="s">
        <v>96</v>
      </c>
      <c r="C37" s="23">
        <v>30500</v>
      </c>
      <c r="D37" s="24">
        <v>106.24675000000001</v>
      </c>
      <c r="E37" s="24">
        <f t="shared" si="0"/>
        <v>1.4447418626249826</v>
      </c>
      <c r="F37" s="24" t="s">
        <v>97</v>
      </c>
      <c r="G37" s="19"/>
      <c r="H37" s="18"/>
    </row>
    <row r="38" spans="1:8" s="26" customFormat="1" x14ac:dyDescent="0.2">
      <c r="A38" s="21" t="s">
        <v>98</v>
      </c>
      <c r="B38" s="22" t="s">
        <v>76</v>
      </c>
      <c r="C38" s="23">
        <v>2100</v>
      </c>
      <c r="D38" s="24">
        <v>94.230149999999995</v>
      </c>
      <c r="E38" s="24">
        <f t="shared" si="0"/>
        <v>1.281340299128505</v>
      </c>
      <c r="F38" s="24" t="s">
        <v>99</v>
      </c>
      <c r="G38" s="19"/>
      <c r="H38" s="19"/>
    </row>
    <row r="39" spans="1:8" s="26" customFormat="1" x14ac:dyDescent="0.2">
      <c r="A39" s="21" t="s">
        <v>100</v>
      </c>
      <c r="B39" s="22" t="s">
        <v>58</v>
      </c>
      <c r="C39" s="23">
        <v>6838</v>
      </c>
      <c r="D39" s="24">
        <v>85.457904999999997</v>
      </c>
      <c r="E39" s="24">
        <f t="shared" si="0"/>
        <v>1.1620554308318023</v>
      </c>
      <c r="F39" s="24" t="s">
        <v>101</v>
      </c>
      <c r="G39" s="19"/>
      <c r="H39" s="18"/>
    </row>
    <row r="40" spans="1:8" s="26" customFormat="1" x14ac:dyDescent="0.2">
      <c r="A40" s="21" t="s">
        <v>102</v>
      </c>
      <c r="B40" s="22" t="s">
        <v>103</v>
      </c>
      <c r="C40" s="23">
        <v>9705</v>
      </c>
      <c r="D40" s="24">
        <v>82.371187500000005</v>
      </c>
      <c r="E40" s="24">
        <f t="shared" si="0"/>
        <v>1.1200822882147612</v>
      </c>
      <c r="F40" s="24" t="s">
        <v>104</v>
      </c>
      <c r="G40" s="19"/>
      <c r="H40" s="19"/>
    </row>
    <row r="41" spans="1:8" s="26" customFormat="1" x14ac:dyDescent="0.2">
      <c r="A41" s="21" t="s">
        <v>105</v>
      </c>
      <c r="B41" s="22" t="s">
        <v>31</v>
      </c>
      <c r="C41" s="23">
        <v>100000</v>
      </c>
      <c r="D41" s="24">
        <v>76.650000000000006</v>
      </c>
      <c r="E41" s="24">
        <f t="shared" si="0"/>
        <v>1.0422856583397133</v>
      </c>
      <c r="F41" s="24" t="s">
        <v>106</v>
      </c>
      <c r="G41" s="19"/>
      <c r="H41" s="25"/>
    </row>
    <row r="42" spans="1:8" s="26" customFormat="1" x14ac:dyDescent="0.2">
      <c r="A42" s="21" t="s">
        <v>107</v>
      </c>
      <c r="B42" s="22" t="s">
        <v>103</v>
      </c>
      <c r="C42" s="23">
        <v>1400</v>
      </c>
      <c r="D42" s="24">
        <v>6.5050999999999997</v>
      </c>
      <c r="E42" s="24">
        <f t="shared" si="0"/>
        <v>8.8456261396812355E-2</v>
      </c>
      <c r="F42" s="24" t="s">
        <v>108</v>
      </c>
      <c r="G42" s="19"/>
      <c r="H42" s="19"/>
    </row>
    <row r="43" spans="1:8" s="26" customFormat="1" x14ac:dyDescent="0.2">
      <c r="A43" s="20" t="s">
        <v>109</v>
      </c>
      <c r="B43" s="22"/>
      <c r="C43" s="23"/>
      <c r="D43" s="27">
        <f>IF(ISERROR(SUM(D6:D42)),0,SUM(D6:D42))</f>
        <v>6992.2194385000003</v>
      </c>
      <c r="E43" s="27">
        <f>IF(ISERROR(SUM(E6:E42)),0,SUM(E6:E42))</f>
        <v>95.080104901666161</v>
      </c>
      <c r="F43" s="27"/>
      <c r="G43" s="19"/>
      <c r="H43" s="18"/>
    </row>
    <row r="44" spans="1:8" s="26" customFormat="1" x14ac:dyDescent="0.2">
      <c r="A44" s="20"/>
      <c r="B44" s="20"/>
      <c r="C44" s="28"/>
      <c r="D44" s="29"/>
      <c r="E44" s="29"/>
      <c r="F44" s="29"/>
      <c r="G44" s="19"/>
      <c r="H44" s="18"/>
    </row>
    <row r="45" spans="1:8" s="26" customFormat="1" x14ac:dyDescent="0.2">
      <c r="A45" s="20" t="s">
        <v>110</v>
      </c>
      <c r="B45" s="20"/>
      <c r="C45" s="28"/>
      <c r="D45" s="30" t="s">
        <v>111</v>
      </c>
      <c r="E45" s="30" t="s">
        <v>111</v>
      </c>
      <c r="F45" s="30"/>
      <c r="G45" s="19"/>
      <c r="H45" s="18"/>
    </row>
    <row r="46" spans="1:8" s="26" customFormat="1" x14ac:dyDescent="0.2">
      <c r="A46" s="20"/>
      <c r="B46" s="13"/>
      <c r="C46" s="28"/>
      <c r="D46" s="30"/>
      <c r="E46" s="30"/>
      <c r="F46" s="31"/>
      <c r="G46" s="19"/>
      <c r="H46" s="18"/>
    </row>
    <row r="47" spans="1:8" s="26" customFormat="1" x14ac:dyDescent="0.2">
      <c r="A47" s="20" t="s">
        <v>112</v>
      </c>
      <c r="B47" s="20"/>
      <c r="C47" s="28"/>
      <c r="D47" s="27">
        <f>IF(ISERROR(+D43),0,D43)+IF(ISERROR(+#REF!),0,#REF!)</f>
        <v>6992.2194385000003</v>
      </c>
      <c r="E47" s="27">
        <f>IF(ISERROR(+E43),0,E43)+IF(ISERROR(+#REF!),0,#REF!)</f>
        <v>95.080104901666161</v>
      </c>
      <c r="F47" s="32"/>
      <c r="G47" s="19"/>
      <c r="H47" s="18"/>
    </row>
    <row r="48" spans="1:8" s="26" customFormat="1" x14ac:dyDescent="0.2">
      <c r="A48" s="20"/>
      <c r="B48" s="13"/>
      <c r="C48" s="28"/>
      <c r="D48" s="30"/>
      <c r="E48" s="30"/>
      <c r="F48" s="31"/>
      <c r="G48" s="19"/>
      <c r="H48" s="18"/>
    </row>
    <row r="49" spans="1:8" s="26" customFormat="1" x14ac:dyDescent="0.2">
      <c r="A49" s="20" t="s">
        <v>113</v>
      </c>
      <c r="B49" s="13"/>
      <c r="C49" s="28"/>
      <c r="D49" s="30"/>
      <c r="E49" s="30"/>
      <c r="F49" s="31"/>
      <c r="G49" s="19"/>
      <c r="H49" s="18"/>
    </row>
    <row r="50" spans="1:8" s="26" customFormat="1" x14ac:dyDescent="0.2">
      <c r="A50" s="20" t="s">
        <v>11</v>
      </c>
      <c r="B50" s="13"/>
      <c r="C50" s="28"/>
      <c r="D50" s="30" t="s">
        <v>111</v>
      </c>
      <c r="E50" s="30" t="s">
        <v>111</v>
      </c>
      <c r="F50" s="33"/>
      <c r="G50" s="19"/>
      <c r="H50" s="18"/>
    </row>
    <row r="51" spans="1:8" s="26" customFormat="1" x14ac:dyDescent="0.2">
      <c r="A51" s="20"/>
      <c r="B51" s="13"/>
      <c r="C51" s="34"/>
      <c r="D51" s="33"/>
      <c r="E51" s="33"/>
      <c r="F51" s="33"/>
      <c r="G51" s="19"/>
      <c r="H51" s="18"/>
    </row>
    <row r="52" spans="1:8" s="26" customFormat="1" x14ac:dyDescent="0.2">
      <c r="A52" s="20" t="s">
        <v>114</v>
      </c>
      <c r="B52" s="13"/>
      <c r="C52" s="34"/>
      <c r="D52" s="30" t="s">
        <v>111</v>
      </c>
      <c r="E52" s="30" t="s">
        <v>111</v>
      </c>
      <c r="F52" s="31"/>
      <c r="G52" s="19"/>
      <c r="H52" s="18"/>
    </row>
    <row r="53" spans="1:8" s="26" customFormat="1" x14ac:dyDescent="0.2">
      <c r="A53" s="20"/>
      <c r="B53" s="13"/>
      <c r="C53" s="34"/>
      <c r="D53" s="30"/>
      <c r="E53" s="30"/>
      <c r="F53" s="30"/>
      <c r="G53" s="19"/>
      <c r="H53" s="18"/>
    </row>
    <row r="54" spans="1:8" s="26" customFormat="1" x14ac:dyDescent="0.2">
      <c r="A54" s="20" t="s">
        <v>115</v>
      </c>
      <c r="B54" s="13"/>
      <c r="C54" s="34"/>
      <c r="D54" s="30"/>
      <c r="E54" s="30"/>
      <c r="F54" s="30"/>
      <c r="G54" s="19"/>
      <c r="H54" s="18"/>
    </row>
    <row r="55" spans="1:8" s="26" customFormat="1" x14ac:dyDescent="0.2">
      <c r="A55" s="20"/>
      <c r="B55" s="13"/>
      <c r="C55" s="34"/>
      <c r="D55" s="24"/>
      <c r="E55" s="24"/>
      <c r="F55" s="35"/>
      <c r="G55" s="19"/>
      <c r="H55" s="18"/>
    </row>
    <row r="56" spans="1:8" s="26" customFormat="1" x14ac:dyDescent="0.2">
      <c r="A56" s="20" t="s">
        <v>116</v>
      </c>
      <c r="B56" s="13"/>
      <c r="C56" s="34"/>
      <c r="D56" s="30" t="s">
        <v>111</v>
      </c>
      <c r="E56" s="30" t="s">
        <v>111</v>
      </c>
      <c r="F56" s="30"/>
      <c r="G56" s="19"/>
      <c r="H56" s="18"/>
    </row>
    <row r="57" spans="1:8" s="26" customFormat="1" x14ac:dyDescent="0.2">
      <c r="A57" s="20"/>
      <c r="B57" s="13"/>
      <c r="C57" s="34"/>
      <c r="D57" s="30"/>
      <c r="E57" s="30"/>
      <c r="F57" s="30"/>
      <c r="G57" s="19"/>
      <c r="H57" s="18"/>
    </row>
    <row r="58" spans="1:8" s="26" customFormat="1" x14ac:dyDescent="0.2">
      <c r="A58" s="20" t="s">
        <v>117</v>
      </c>
      <c r="B58" s="13"/>
      <c r="C58" s="34"/>
      <c r="D58" s="30" t="s">
        <v>111</v>
      </c>
      <c r="E58" s="30" t="s">
        <v>111</v>
      </c>
      <c r="F58" s="30"/>
      <c r="G58" s="19"/>
      <c r="H58" s="18"/>
    </row>
    <row r="59" spans="1:8" s="26" customFormat="1" x14ac:dyDescent="0.2">
      <c r="A59" s="20"/>
      <c r="B59" s="13"/>
      <c r="C59" s="34"/>
      <c r="D59" s="30"/>
      <c r="E59" s="30"/>
      <c r="F59" s="30"/>
      <c r="G59" s="19"/>
      <c r="H59" s="18"/>
    </row>
    <row r="60" spans="1:8" s="26" customFormat="1" x14ac:dyDescent="0.2">
      <c r="A60" s="20" t="s">
        <v>118</v>
      </c>
      <c r="B60" s="13"/>
      <c r="C60" s="34"/>
      <c r="D60" s="30"/>
      <c r="E60" s="30"/>
      <c r="F60" s="31"/>
      <c r="G60" s="19"/>
      <c r="H60" s="18"/>
    </row>
    <row r="61" spans="1:8" s="26" customFormat="1" x14ac:dyDescent="0.2">
      <c r="A61" s="20"/>
      <c r="B61" s="36"/>
      <c r="C61" s="37"/>
      <c r="D61" s="33"/>
      <c r="E61" s="33"/>
      <c r="F61" s="38"/>
      <c r="G61" s="19"/>
      <c r="H61" s="18"/>
    </row>
    <row r="62" spans="1:8" s="26" customFormat="1" x14ac:dyDescent="0.2">
      <c r="A62" s="21" t="s">
        <v>119</v>
      </c>
      <c r="B62" s="22"/>
      <c r="C62" s="23">
        <v>0</v>
      </c>
      <c r="D62" s="24">
        <v>382.36470630000002</v>
      </c>
      <c r="E62" s="24">
        <f>(+D62/$D$69*100)</f>
        <v>5.1993900799969541</v>
      </c>
      <c r="F62" s="24">
        <v>0</v>
      </c>
      <c r="G62" s="19">
        <v>5.6050000000000004</v>
      </c>
      <c r="H62" s="18"/>
    </row>
    <row r="63" spans="1:8" s="26" customFormat="1" x14ac:dyDescent="0.2">
      <c r="A63" s="20" t="s">
        <v>109</v>
      </c>
      <c r="B63" s="13"/>
      <c r="C63" s="34"/>
      <c r="D63" s="30">
        <f>IF(ISERROR(SUM(D62:D62)),0,SUM(D62:D62))</f>
        <v>382.36470630000002</v>
      </c>
      <c r="E63" s="30">
        <f>IF(ISERROR(SUM(E62:E62)),0,SUM(E62:E62))</f>
        <v>5.1993900799969541</v>
      </c>
      <c r="F63" s="24"/>
      <c r="G63" s="19"/>
      <c r="H63" s="18"/>
    </row>
    <row r="64" spans="1:8" s="26" customFormat="1" x14ac:dyDescent="0.2">
      <c r="A64" s="20"/>
      <c r="B64" s="13"/>
      <c r="C64" s="34"/>
      <c r="D64" s="30"/>
      <c r="E64" s="30"/>
      <c r="F64" s="30"/>
      <c r="G64" s="19"/>
      <c r="H64" s="18"/>
    </row>
    <row r="65" spans="1:8" s="26" customFormat="1" x14ac:dyDescent="0.2">
      <c r="A65" s="20" t="s">
        <v>112</v>
      </c>
      <c r="B65" s="13"/>
      <c r="C65" s="34" t="s">
        <v>120</v>
      </c>
      <c r="D65" s="30">
        <f>+IF(ISERROR(#REF!),0,#REF!)+IF(ISERROR(D63),0,D63)+IF(ISERROR(D47),0,D47)+IF(ISERROR(#REF!),0,#REF!)+IF(ISERROR(#REF!),0,#REF!)+IF(ISERROR(#REF!),0,#REF!)+IF(ISERROR(#REF!),0,#REF!)+IF(ISERROR(#REF!),0,#REF!)+IF(ISERROR(#REF!),0,#REF!)</f>
        <v>7374.5841448000001</v>
      </c>
      <c r="E65" s="30">
        <f>+IF(ISERROR(#REF!),0,#REF!)+IF(ISERROR(E63),0,E63)+IF(ISERROR(E47),0,E47)+IF(ISERROR(#REF!),0,#REF!)+IF(ISERROR(#REF!),0,#REF!)+IF(ISERROR(#REF!),0,#REF!)+IF(ISERROR(#REF!),0,#REF!)+IF(ISERROR(#REF!),0,#REF!)+IF(ISERROR(#REF!),0,#REF!)</f>
        <v>100.27949498166312</v>
      </c>
      <c r="F65" s="30">
        <f>+IF(ISERROR(#REF!),0,#REF!)+IF(ISERROR(F63),0,F63)+IF(ISERROR(F47),0,F47)+IF(ISERROR(#REF!),0,#REF!)+IF(ISERROR(#REF!),0,#REF!)+IF(ISERROR(#REF!),0,#REF!)+IF(ISERROR(#REF!),0,#REF!)</f>
        <v>0</v>
      </c>
      <c r="G65" s="19"/>
      <c r="H65" s="18"/>
    </row>
    <row r="66" spans="1:8" s="26" customFormat="1" x14ac:dyDescent="0.2">
      <c r="A66" s="20"/>
      <c r="B66" s="13"/>
      <c r="C66" s="34"/>
      <c r="D66" s="30"/>
      <c r="E66" s="30"/>
      <c r="F66" s="39"/>
      <c r="H66" s="5"/>
    </row>
    <row r="67" spans="1:8" s="26" customFormat="1" x14ac:dyDescent="0.2">
      <c r="A67" s="20" t="s">
        <v>121</v>
      </c>
      <c r="B67" s="13"/>
      <c r="C67" s="34"/>
      <c r="D67" s="30">
        <f>+D69-D65</f>
        <v>-20.554144800000358</v>
      </c>
      <c r="E67" s="30">
        <f>D67/$D$69*100</f>
        <v>-0.2794949816631202</v>
      </c>
      <c r="F67" s="39"/>
      <c r="H67" s="5"/>
    </row>
    <row r="68" spans="1:8" s="26" customFormat="1" x14ac:dyDescent="0.2">
      <c r="A68" s="20"/>
      <c r="B68" s="13"/>
      <c r="C68" s="34"/>
      <c r="D68" s="33"/>
      <c r="E68" s="33"/>
      <c r="F68" s="39"/>
      <c r="H68" s="5"/>
    </row>
    <row r="69" spans="1:8" s="26" customFormat="1" x14ac:dyDescent="0.2">
      <c r="A69" s="20" t="s">
        <v>122</v>
      </c>
      <c r="B69" s="13"/>
      <c r="C69" s="34"/>
      <c r="D69" s="30">
        <v>7354.03</v>
      </c>
      <c r="E69" s="30">
        <f>+E65+E67</f>
        <v>100</v>
      </c>
      <c r="F69" s="39"/>
      <c r="H69" s="5"/>
    </row>
    <row r="70" spans="1:8" s="26" customFormat="1" x14ac:dyDescent="0.2">
      <c r="A70" s="40"/>
      <c r="B70" s="41"/>
      <c r="C70" s="42"/>
      <c r="D70" s="43"/>
      <c r="E70" s="43"/>
      <c r="F70" s="39"/>
      <c r="H70" s="5"/>
    </row>
    <row r="71" spans="1:8" s="26" customFormat="1" x14ac:dyDescent="0.2">
      <c r="A71" s="44"/>
      <c r="B71" s="41"/>
      <c r="C71" s="42"/>
      <c r="D71" s="43"/>
      <c r="E71" s="43"/>
      <c r="F71" s="45"/>
      <c r="H71" s="5"/>
    </row>
    <row r="72" spans="1:8" s="26" customFormat="1" ht="15" x14ac:dyDescent="0.25">
      <c r="A72" s="59" t="s">
        <v>123</v>
      </c>
      <c r="B72" s="59"/>
      <c r="C72" s="59"/>
      <c r="D72" s="59"/>
      <c r="E72" s="59"/>
      <c r="F72" s="5"/>
      <c r="G72" s="45"/>
      <c r="H72" s="45"/>
    </row>
    <row r="73" spans="1:8" s="26" customFormat="1" ht="15" x14ac:dyDescent="0.25">
      <c r="A73" s="59"/>
      <c r="B73" s="59"/>
      <c r="C73" s="59"/>
      <c r="D73" s="59"/>
      <c r="E73" s="59"/>
      <c r="F73" s="59"/>
      <c r="G73" s="45"/>
      <c r="H73" s="45"/>
    </row>
    <row r="74" spans="1:8" s="26" customFormat="1" ht="15" x14ac:dyDescent="0.2">
      <c r="A74" s="60" t="s">
        <v>124</v>
      </c>
      <c r="B74" s="60"/>
      <c r="C74" s="60"/>
      <c r="D74" s="60"/>
      <c r="E74" s="60"/>
      <c r="F74" s="60"/>
      <c r="G74" s="45"/>
      <c r="H74" s="45"/>
    </row>
    <row r="75" spans="1:8" s="26" customFormat="1" ht="15" x14ac:dyDescent="0.2">
      <c r="A75" s="61"/>
      <c r="B75" s="61"/>
      <c r="C75" s="61"/>
      <c r="D75" s="61"/>
      <c r="E75" s="61"/>
      <c r="F75" s="61"/>
      <c r="G75" s="45"/>
      <c r="H75" s="45"/>
    </row>
    <row r="76" spans="1:8" s="26" customFormat="1" ht="15" x14ac:dyDescent="0.2">
      <c r="A76" s="46" t="s">
        <v>125</v>
      </c>
      <c r="B76" s="46"/>
      <c r="C76" s="46"/>
      <c r="D76" s="46"/>
      <c r="E76" s="46"/>
      <c r="F76" s="47"/>
      <c r="G76" s="45"/>
      <c r="H76" s="45"/>
    </row>
    <row r="77" spans="1:8" ht="15" x14ac:dyDescent="0.2">
      <c r="A77" s="47"/>
      <c r="B77" s="47"/>
      <c r="C77" s="47"/>
      <c r="D77" s="47"/>
      <c r="E77" s="47"/>
      <c r="F77" s="47"/>
      <c r="G77" s="45"/>
      <c r="H77" s="45"/>
    </row>
    <row r="78" spans="1:8" ht="78.75" customHeight="1" x14ac:dyDescent="0.2">
      <c r="A78" s="62" t="s">
        <v>126</v>
      </c>
      <c r="B78" s="62"/>
      <c r="C78" s="62"/>
      <c r="D78" s="62"/>
      <c r="E78" s="62"/>
      <c r="F78" s="47"/>
      <c r="G78" s="45"/>
      <c r="H78" s="45"/>
    </row>
    <row r="79" spans="1:8" x14ac:dyDescent="0.2">
      <c r="A79" s="44"/>
      <c r="B79" s="48"/>
      <c r="C79" s="49"/>
      <c r="D79" s="50"/>
      <c r="E79" s="39"/>
      <c r="G79" s="45"/>
      <c r="H79" s="45"/>
    </row>
    <row r="80" spans="1:8" ht="15" x14ac:dyDescent="0.25">
      <c r="A80" s="51" t="s">
        <v>127</v>
      </c>
      <c r="B80" s="52"/>
      <c r="C80" s="52"/>
      <c r="D80" s="52"/>
      <c r="G80" s="45"/>
      <c r="H80" s="45"/>
    </row>
    <row r="81" spans="1:8" ht="15" x14ac:dyDescent="0.25">
      <c r="A81" s="53" t="s">
        <v>128</v>
      </c>
      <c r="B81" s="52"/>
      <c r="C81" s="5"/>
      <c r="G81" s="45"/>
      <c r="H81" s="45"/>
    </row>
    <row r="82" spans="1:8" ht="15" x14ac:dyDescent="0.25">
      <c r="A82" s="63" t="s">
        <v>130</v>
      </c>
      <c r="B82" s="63"/>
      <c r="C82" s="63"/>
      <c r="D82" s="52"/>
      <c r="G82" s="45"/>
      <c r="H82" s="45"/>
    </row>
    <row r="83" spans="1:8" ht="15" x14ac:dyDescent="0.25">
      <c r="A83" s="53" t="s">
        <v>131</v>
      </c>
      <c r="B83" s="52"/>
      <c r="C83" s="52"/>
      <c r="D83" s="52"/>
    </row>
    <row r="84" spans="1:8" ht="15" x14ac:dyDescent="0.25">
      <c r="A84" s="53"/>
      <c r="B84" s="52"/>
      <c r="C84" s="5"/>
      <c r="D84" s="52"/>
    </row>
    <row r="85" spans="1:8" ht="15" x14ac:dyDescent="0.25">
      <c r="A85" s="58" t="s">
        <v>132</v>
      </c>
      <c r="B85" s="52"/>
      <c r="C85" s="54" t="s">
        <v>129</v>
      </c>
      <c r="D85" s="52"/>
    </row>
    <row r="86" spans="1:8" x14ac:dyDescent="0.2">
      <c r="A86" s="52"/>
      <c r="B86" s="52"/>
      <c r="C86" s="52"/>
      <c r="D86" s="52"/>
    </row>
    <row r="87" spans="1:8" x14ac:dyDescent="0.2">
      <c r="A87" s="52"/>
      <c r="B87" s="52"/>
      <c r="C87" s="52"/>
      <c r="D87" s="52"/>
    </row>
    <row r="88" spans="1:8" x14ac:dyDescent="0.2">
      <c r="A88" s="52"/>
      <c r="B88" s="52"/>
      <c r="C88" s="52"/>
      <c r="D88" s="52"/>
    </row>
    <row r="89" spans="1:8" x14ac:dyDescent="0.2">
      <c r="A89" s="52"/>
      <c r="B89" s="52"/>
      <c r="C89" s="52"/>
      <c r="D89" s="52"/>
    </row>
    <row r="90" spans="1:8" x14ac:dyDescent="0.2">
      <c r="A90" s="52"/>
      <c r="B90" s="52"/>
      <c r="C90" s="52"/>
      <c r="D90" s="52"/>
    </row>
    <row r="91" spans="1:8" x14ac:dyDescent="0.2">
      <c r="A91" s="52"/>
      <c r="B91" s="52"/>
      <c r="C91" s="52"/>
      <c r="D91" s="52"/>
    </row>
    <row r="92" spans="1:8" x14ac:dyDescent="0.2">
      <c r="A92" s="52"/>
      <c r="B92" s="52"/>
      <c r="C92" s="52"/>
      <c r="D92" s="52"/>
    </row>
    <row r="93" spans="1:8" x14ac:dyDescent="0.2">
      <c r="A93" s="52"/>
      <c r="B93" s="52"/>
      <c r="C93" s="52"/>
      <c r="D93" s="52"/>
    </row>
    <row r="94" spans="1:8" x14ac:dyDescent="0.2">
      <c r="A94" s="52"/>
      <c r="B94" s="52"/>
      <c r="C94" s="52"/>
      <c r="D94" s="52"/>
    </row>
    <row r="95" spans="1:8" x14ac:dyDescent="0.2">
      <c r="A95" s="52"/>
      <c r="B95" s="52"/>
      <c r="C95" s="52"/>
      <c r="D95" s="52"/>
    </row>
    <row r="96" spans="1:8" x14ac:dyDescent="0.2">
      <c r="A96" s="52"/>
      <c r="B96" s="52"/>
      <c r="C96" s="52"/>
      <c r="D96" s="52"/>
    </row>
    <row r="97" spans="1:4" x14ac:dyDescent="0.2">
      <c r="A97" s="52"/>
      <c r="B97" s="52"/>
      <c r="C97" s="52"/>
      <c r="D97" s="52"/>
    </row>
    <row r="98" spans="1:4" x14ac:dyDescent="0.2">
      <c r="A98" s="52"/>
      <c r="B98" s="52"/>
      <c r="C98" s="52"/>
      <c r="D98" s="52"/>
    </row>
    <row r="99" spans="1:4" x14ac:dyDescent="0.2">
      <c r="A99" s="52"/>
      <c r="B99" s="52"/>
      <c r="C99" s="52"/>
      <c r="D99" s="52"/>
    </row>
  </sheetData>
  <mergeCells count="6">
    <mergeCell ref="A82:C82"/>
    <mergeCell ref="A72:E72"/>
    <mergeCell ref="A73:F73"/>
    <mergeCell ref="A74:F74"/>
    <mergeCell ref="A75:F75"/>
    <mergeCell ref="A78:E7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2022-12-05T08:12:31Z</dcterms:created>
  <dcterms:modified xsi:type="dcterms:W3CDTF">2022-12-05T08:37:33Z</dcterms:modified>
</cp:coreProperties>
</file>