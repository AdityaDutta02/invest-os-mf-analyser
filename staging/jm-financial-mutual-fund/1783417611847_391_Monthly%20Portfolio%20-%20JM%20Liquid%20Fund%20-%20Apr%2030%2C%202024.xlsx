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4\Monthly\Monthly Apr 2024\"/>
    </mc:Choice>
  </mc:AlternateContent>
  <bookViews>
    <workbookView xWindow="0" yWindow="0" windowWidth="20490" windowHeight="7770"/>
  </bookViews>
  <sheets>
    <sheet name="JM Liquid Fund" sheetId="1" r:id="rId1"/>
  </sheets>
  <definedNames>
    <definedName name="_xlnm._FilterDatabase" localSheetId="0" hidden="1">'JM Liquid Fund'!$A$1:$H$81</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Liquid Fund'!$A$1:$E$60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4" i="1" l="1"/>
  <c r="E73" i="1"/>
  <c r="E74" i="1" s="1"/>
  <c r="D71" i="1"/>
  <c r="E70" i="1"/>
  <c r="E71" i="1" s="1"/>
  <c r="D69" i="1"/>
  <c r="E68" i="1"/>
  <c r="E67" i="1"/>
  <c r="E66" i="1"/>
  <c r="E65" i="1"/>
  <c r="E64" i="1"/>
  <c r="E63" i="1"/>
  <c r="D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F20" i="1"/>
  <c r="F76" i="1" s="1"/>
  <c r="D16" i="1"/>
  <c r="E15" i="1"/>
  <c r="E16" i="1" s="1"/>
  <c r="D12" i="1"/>
  <c r="D20" i="1" s="1"/>
  <c r="E11" i="1"/>
  <c r="E10" i="1"/>
  <c r="E9" i="1"/>
  <c r="E8" i="1"/>
  <c r="E7" i="1"/>
  <c r="E12" i="1" l="1"/>
  <c r="E20" i="1" s="1"/>
  <c r="E69" i="1"/>
  <c r="D76" i="1"/>
  <c r="D78" i="1" s="1"/>
  <c r="E78" i="1" s="1"/>
  <c r="E61" i="1"/>
  <c r="E76" i="1" l="1"/>
  <c r="E80" i="1" s="1"/>
</calcChain>
</file>

<file path=xl/sharedStrings.xml><?xml version="1.0" encoding="utf-8"?>
<sst xmlns="http://schemas.openxmlformats.org/spreadsheetml/2006/main" count="206" uniqueCount="149">
  <si>
    <t>JM Financial Mutual Fund</t>
  </si>
  <si>
    <t>JM Liquid Fund (An Open-Ended Liquid Scheme) A relatively low interest rate risk and moderate credit risk.</t>
  </si>
  <si>
    <t>Name of the Instruments</t>
  </si>
  <si>
    <t>Industry/Rating</t>
  </si>
  <si>
    <t>Quantity</t>
  </si>
  <si>
    <t>Market Value (Rs. In Lakhs)</t>
  </si>
  <si>
    <t>% age to NAV</t>
  </si>
  <si>
    <t>ISIN</t>
  </si>
  <si>
    <t>Yield %</t>
  </si>
  <si>
    <t>^YTC (AT1/Tier 2 bonds)</t>
  </si>
  <si>
    <t>DEBT INSTRUMENTS</t>
  </si>
  <si>
    <t>REC Ltd.**</t>
  </si>
  <si>
    <t>CARE AAA</t>
  </si>
  <si>
    <t>INE020B08DR1</t>
  </si>
  <si>
    <t>Shriram Finance Ltd.**</t>
  </si>
  <si>
    <t>CARE AA+</t>
  </si>
  <si>
    <t>INE721A07RJ5</t>
  </si>
  <si>
    <t>Tata Motors Finance Ltd.**</t>
  </si>
  <si>
    <t>CRISIL AA</t>
  </si>
  <si>
    <t>INE601U08234</t>
  </si>
  <si>
    <t>INE020B08BV7</t>
  </si>
  <si>
    <t>Axis Finance Ltd.**</t>
  </si>
  <si>
    <t>INE891K07663</t>
  </si>
  <si>
    <t>Sub Total:</t>
  </si>
  <si>
    <t>Bajaj Housing Finance Ltd.**</t>
  </si>
  <si>
    <t>CRISIL AAA</t>
  </si>
  <si>
    <t>INE377Y07219</t>
  </si>
  <si>
    <t>b) Privately Placed / Unlisted</t>
  </si>
  <si>
    <t>NIL</t>
  </si>
  <si>
    <t>Total:</t>
  </si>
  <si>
    <t>TERM DEPOSITS</t>
  </si>
  <si>
    <t>Deposits (Maturity not exceeding 91 days)</t>
  </si>
  <si>
    <t>Deposits (Placed as F &amp; O margin)</t>
  </si>
  <si>
    <t>MONEY MARKET INSTRUMENTS</t>
  </si>
  <si>
    <t>Certificate of Deposit (CD) / Commercial Paper (CP)</t>
  </si>
  <si>
    <t>Union Bank of India CD**</t>
  </si>
  <si>
    <t>ICRA A1+</t>
  </si>
  <si>
    <t>INE692A16GT1</t>
  </si>
  <si>
    <t>SIDBI Ltd.CP</t>
  </si>
  <si>
    <t>CARE A1+</t>
  </si>
  <si>
    <t>INE556F14JZ3</t>
  </si>
  <si>
    <t>State Bank of India CD**</t>
  </si>
  <si>
    <t>INE062A16499</t>
  </si>
  <si>
    <t>INE090A169Z3</t>
  </si>
  <si>
    <t>AXIS Bank Ltd.CD**</t>
  </si>
  <si>
    <t>CRISIL A1+</t>
  </si>
  <si>
    <t>INE238AD6728</t>
  </si>
  <si>
    <t>Canara Bank CD**</t>
  </si>
  <si>
    <t>INE476A16XL1</t>
  </si>
  <si>
    <t>Export-Import Bank of India CP</t>
  </si>
  <si>
    <t>INE514E14RI4</t>
  </si>
  <si>
    <t>INE476A16XM9</t>
  </si>
  <si>
    <t>Bank of Baroda CD**</t>
  </si>
  <si>
    <t>IND A1+</t>
  </si>
  <si>
    <t>INE028A16ET3</t>
  </si>
  <si>
    <t>HDFC Securities Ltd.CP**</t>
  </si>
  <si>
    <t>INE700G14IU8</t>
  </si>
  <si>
    <t>INE238AD6421</t>
  </si>
  <si>
    <t>INE028A16EJ4</t>
  </si>
  <si>
    <t>INE562A16MN7</t>
  </si>
  <si>
    <t>HDFC Bank Ltd.CD</t>
  </si>
  <si>
    <t>INE040A16EO9</t>
  </si>
  <si>
    <t>Kotak Mahindra Bank CD**</t>
  </si>
  <si>
    <t>INE237A169T0</t>
  </si>
  <si>
    <t>SIDBI Ltd.CD**</t>
  </si>
  <si>
    <t>INE556F16AK9</t>
  </si>
  <si>
    <t>ICICI Securities Ltd.CP**</t>
  </si>
  <si>
    <t>INE763G14TL2</t>
  </si>
  <si>
    <t>INE476A16XW8</t>
  </si>
  <si>
    <t>INE238AD6447</t>
  </si>
  <si>
    <t>Export-Import Bank of India CP**</t>
  </si>
  <si>
    <t>INE514E14RO2</t>
  </si>
  <si>
    <t>INE028A16FG7</t>
  </si>
  <si>
    <t>INE040A16DZ7</t>
  </si>
  <si>
    <t>ICICI Securities Ltd.CP</t>
  </si>
  <si>
    <t>INE763G14TB3</t>
  </si>
  <si>
    <t>Piramal Capital &amp; Housing Finance Ltd. CP**</t>
  </si>
  <si>
    <t>INE516Y14FM4</t>
  </si>
  <si>
    <t>NABARD CP</t>
  </si>
  <si>
    <t>INE261F14KU9</t>
  </si>
  <si>
    <t>Sikka Ports &amp; Terminals Ltd.CP</t>
  </si>
  <si>
    <t>INE941D14527</t>
  </si>
  <si>
    <t>Muthoot Finance Ltd.CP**</t>
  </si>
  <si>
    <t>INE414G14SW1</t>
  </si>
  <si>
    <t>INE238AD6413</t>
  </si>
  <si>
    <t>INE516Y14FE1</t>
  </si>
  <si>
    <t>INE556F16AJ1</t>
  </si>
  <si>
    <t>INE237A166T6</t>
  </si>
  <si>
    <t>Treasury Bills</t>
  </si>
  <si>
    <t>91 Days Treasury-Bill 09/05/2024</t>
  </si>
  <si>
    <t>Sovereign</t>
  </si>
  <si>
    <t>IN002023X468</t>
  </si>
  <si>
    <t>91 Days Treasury-Bill 27/06/2024</t>
  </si>
  <si>
    <t>IN002023X559</t>
  </si>
  <si>
    <t>91 Days Treasury-Bill 16/05/2024</t>
  </si>
  <si>
    <t>IN002023X476</t>
  </si>
  <si>
    <t>182 Days Treasury-Bill 23/05/2024</t>
  </si>
  <si>
    <t>IN002023Y359</t>
  </si>
  <si>
    <t>364 Days Treasury-Bill 23/05/2024</t>
  </si>
  <si>
    <t>IN002023Z091</t>
  </si>
  <si>
    <t>91 Days Treasury-Bill 12/07/2024</t>
  </si>
  <si>
    <t>IN002024X029</t>
  </si>
  <si>
    <t>TREPS-Triparty Repo</t>
  </si>
  <si>
    <t/>
  </si>
  <si>
    <t>Others (AIF Investment)</t>
  </si>
  <si>
    <t>Corporate Debt Market Development Fund - Class A2 Units</t>
  </si>
  <si>
    <t>INF0RQ622028</t>
  </si>
  <si>
    <t xml:space="preserve"> </t>
  </si>
  <si>
    <t>Net Current Assets</t>
  </si>
  <si>
    <t>Net Assets</t>
  </si>
  <si>
    <t>** Non Traded.</t>
  </si>
  <si>
    <t>Note II - Aggregate investments by other scheme (s) of JM Financial Mutual Fund at the end of the period is Rs.1,121.52 Lakhs.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</si>
  <si>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</si>
  <si>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</si>
  <si>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</si>
  <si>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</si>
  <si>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</si>
  <si>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</si>
  <si>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</si>
  <si>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</si>
  <si>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</si>
  <si>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A-I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</si>
  <si>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</si>
  <si>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</si>
  <si>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</si>
  <si>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</si>
  <si>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</si>
  <si>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</si>
  <si>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</si>
  <si>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</si>
  <si>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</si>
  <si>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</si>
  <si>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</si>
  <si>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</si>
  <si>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</si>
  <si>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</si>
  <si>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t>
  </si>
  <si>
    <t>Macaulay Duration ( Years )</t>
  </si>
  <si>
    <t>Residual Maturity  ( Years )</t>
  </si>
  <si>
    <t xml:space="preserve">As on (Date) </t>
  </si>
  <si>
    <t>30.04.2024</t>
  </si>
  <si>
    <t xml:space="preserve">* in case of semi annual YTM,  it will be annualised </t>
  </si>
  <si>
    <t>a) i ) Listed/Awaiting Listing On  Stock Exchange</t>
  </si>
  <si>
    <t xml:space="preserve">a) ii )Zero Coupon Bond </t>
  </si>
  <si>
    <t>Canara Bank CD</t>
  </si>
  <si>
    <t>ICICI Bank Ltd.CD</t>
  </si>
  <si>
    <t>AXIS Bank Ltd.CD</t>
  </si>
  <si>
    <t>Indian Bank CD</t>
  </si>
  <si>
    <t>Monthly Portfolio Statement for the period ended 30.04.2024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</si>
</sst>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0" fontId="6" fillId="0" borderId="0"/>
    <xf numFmtId="0" fontId="6" fillId="0" borderId="0"/>
  </cellStyleXfs>
  <cellXfs count="93">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4" fontId="4" fillId="0" borderId="3" xfId="1" applyNumberFormat="1" applyFont="1" applyFill="1" applyBorder="1" applyAlignment="1">
      <alignment horizontal="right"/>
    </xf>
    <xf numFmtId="164" fontId="5" fillId="0" borderId="4" xfId="1" applyFont="1" applyFill="1" applyBorder="1"/>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2" fontId="5" fillId="0" borderId="3" xfId="3"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4" fontId="5" fillId="0" borderId="0" xfId="3" applyNumberFormat="1" applyFont="1" applyFill="1" applyAlignment="1">
      <alignment horizontal="right"/>
    </xf>
    <xf numFmtId="4" fontId="5" fillId="0" borderId="0" xfId="3" applyNumberFormat="1" applyFont="1" applyFill="1"/>
    <xf numFmtId="0" fontId="5" fillId="0" borderId="0" xfId="5" applyFont="1" applyAlignment="1">
      <alignment horizontal="left" vertical="top" wrapText="1"/>
    </xf>
    <xf numFmtId="0" fontId="5" fillId="0" borderId="0" xfId="3" applyFont="1" applyFill="1" applyAlignment="1">
      <alignment wrapText="1"/>
    </xf>
    <xf numFmtId="0" fontId="5" fillId="0" borderId="0" xfId="3"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3" applyFont="1" applyFill="1" applyAlignment="1">
      <alignment horizontal="right"/>
    </xf>
    <xf numFmtId="0" fontId="7" fillId="0" borderId="0" xfId="6" applyFont="1" applyBorder="1" applyAlignment="1">
      <alignment horizontal="left" vertical="center" wrapText="1"/>
    </xf>
    <xf numFmtId="0" fontId="9" fillId="0" borderId="0" xfId="7" applyFont="1" applyBorder="1"/>
    <xf numFmtId="0" fontId="10" fillId="0" borderId="0" xfId="3" applyFont="1" applyFill="1" applyBorder="1" applyAlignment="1">
      <alignment horizontal="left" wrapText="1"/>
    </xf>
    <xf numFmtId="164" fontId="5" fillId="0" borderId="0" xfId="1" applyFont="1" applyFill="1" applyBorder="1" applyAlignment="1">
      <alignment horizontal="right"/>
    </xf>
    <xf numFmtId="0" fontId="7" fillId="0" borderId="0" xfId="7" applyFont="1" applyBorder="1"/>
    <xf numFmtId="4" fontId="5" fillId="0" borderId="0" xfId="3" applyNumberFormat="1" applyFont="1"/>
    <xf numFmtId="0" fontId="7" fillId="0" borderId="0" xfId="8" applyFont="1" applyBorder="1"/>
    <xf numFmtId="0" fontId="9" fillId="0" borderId="0" xfId="9" applyFont="1" applyAlignment="1">
      <alignment horizontal="center"/>
    </xf>
    <xf numFmtId="0" fontId="4" fillId="0" borderId="0" xfId="3" applyFont="1" applyFill="1" applyBorder="1" applyAlignment="1">
      <alignment horizontal="left"/>
    </xf>
    <xf numFmtId="0" fontId="4" fillId="0" borderId="0" xfId="3" applyFont="1" applyFill="1" applyBorder="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164" fontId="5" fillId="0" borderId="0" xfId="1" applyFont="1" applyFill="1" applyBorder="1"/>
    <xf numFmtId="0" fontId="9" fillId="0" borderId="8" xfId="3" applyFont="1" applyBorder="1" applyAlignment="1">
      <alignment vertical="center" wrapText="1"/>
    </xf>
    <xf numFmtId="0" fontId="5"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7" fillId="0" borderId="8" xfId="3" applyFont="1" applyBorder="1" applyAlignment="1">
      <alignment vertical="center" wrapText="1"/>
    </xf>
    <xf numFmtId="0" fontId="7" fillId="0" borderId="0" xfId="9" applyFont="1" applyBorder="1"/>
    <xf numFmtId="0" fontId="7" fillId="0" borderId="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164" fontId="3" fillId="0" borderId="0" xfId="3" applyNumberFormat="1" applyFont="1" applyFill="1"/>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6" applyFont="1" applyBorder="1" applyAlignment="1">
      <alignment horizontal="left" vertical="top" wrapText="1"/>
    </xf>
    <xf numFmtId="0" fontId="5" fillId="0" borderId="0" xfId="3" applyFont="1" applyAlignment="1">
      <alignment horizontal="left" vertical="top" wrapText="1"/>
    </xf>
    <xf numFmtId="0" fontId="8" fillId="0" borderId="0" xfId="6"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5" fillId="0" borderId="0" xfId="5"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cellXfs>
  <cellStyles count="10">
    <cellStyle name="Comma" xfId="1" builtinId="3"/>
    <cellStyle name="Normal" xfId="0" builtinId="0"/>
    <cellStyle name="Normal 2 2 2" xfId="3"/>
    <cellStyle name="Normal 2 2_Template Portfolio Disclosure -30.04 2024" xfId="4"/>
    <cellStyle name="Normal 2 3 2" xfId="5"/>
    <cellStyle name="Normal 4_IF" xfId="9"/>
    <cellStyle name="Normal 4_LD" xfId="6"/>
    <cellStyle name="Normal 4_LF" xfId="7"/>
    <cellStyle name="Normal 4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723900</xdr:colOff>
      <xdr:row>96</xdr:row>
      <xdr:rowOff>76200</xdr:rowOff>
    </xdr:from>
    <xdr:to>
      <xdr:col>0</xdr:col>
      <xdr:colOff>2714625</xdr:colOff>
      <xdr:row>102</xdr:row>
      <xdr:rowOff>57150</xdr:rowOff>
    </xdr:to>
    <xdr:pic>
      <xdr:nvPicPr>
        <xdr:cNvPr id="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 y="18164175"/>
          <a:ext cx="19907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457200</xdr:colOff>
      <xdr:row>96</xdr:row>
      <xdr:rowOff>76200</xdr:rowOff>
    </xdr:from>
    <xdr:to>
      <xdr:col>3</xdr:col>
      <xdr:colOff>466725</xdr:colOff>
      <xdr:row>102</xdr:row>
      <xdr:rowOff>47625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24275" y="18164175"/>
          <a:ext cx="20669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457200</xdr:colOff>
      <xdr:row>102</xdr:row>
      <xdr:rowOff>95250</xdr:rowOff>
    </xdr:from>
    <xdr:to>
      <xdr:col>0</xdr:col>
      <xdr:colOff>2962275</xdr:colOff>
      <xdr:row>105</xdr:row>
      <xdr:rowOff>57151</xdr:rowOff>
    </xdr:to>
    <xdr:sp macro="" textlink="">
      <xdr:nvSpPr>
        <xdr:cNvPr id="4" name="TextBox 3"/>
        <xdr:cNvSpPr txBox="1"/>
      </xdr:nvSpPr>
      <xdr:spPr>
        <a:xfrm>
          <a:off x="457200" y="19269075"/>
          <a:ext cx="2505075" cy="504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to moderate risk</a:t>
          </a:r>
          <a:endParaRPr lang="en-IN" sz="1100">
            <a:solidFill>
              <a:sysClr val="windowText" lastClr="000000"/>
            </a:solidFill>
          </a:endParaRPr>
        </a:p>
      </xdr:txBody>
    </xdr:sp>
    <xdr:clientData/>
  </xdr:twoCellAnchor>
  <xdr:twoCellAnchor>
    <xdr:from>
      <xdr:col>1</xdr:col>
      <xdr:colOff>333375</xdr:colOff>
      <xdr:row>102</xdr:row>
      <xdr:rowOff>95250</xdr:rowOff>
    </xdr:from>
    <xdr:to>
      <xdr:col>3</xdr:col>
      <xdr:colOff>542926</xdr:colOff>
      <xdr:row>105</xdr:row>
      <xdr:rowOff>0</xdr:rowOff>
    </xdr:to>
    <xdr:sp macro="" textlink="">
      <xdr:nvSpPr>
        <xdr:cNvPr id="5" name="TextBox 4"/>
        <xdr:cNvSpPr txBox="1"/>
      </xdr:nvSpPr>
      <xdr:spPr>
        <a:xfrm>
          <a:off x="3600450" y="1926907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11"/>
    <pageSetUpPr fitToPage="1"/>
  </sheetPr>
  <dimension ref="A1:K124"/>
  <sheetViews>
    <sheetView tabSelected="1" zoomScaleNormal="100" workbookViewId="0">
      <selection activeCell="A3" sqref="A3:H3"/>
    </sheetView>
  </sheetViews>
  <sheetFormatPr defaultRowHeight="12.75" x14ac:dyDescent="0.2"/>
  <cols>
    <col min="1" max="1" width="49" style="74" customWidth="1"/>
    <col min="2" max="2" width="17.42578125" style="75" customWidth="1"/>
    <col min="3" max="3" width="13.42578125" style="76" customWidth="1"/>
    <col min="4" max="4" width="13" style="1" customWidth="1"/>
    <col min="5" max="5" width="10.7109375" style="1" customWidth="1"/>
    <col min="6" max="6" width="14.140625" style="1" customWidth="1"/>
    <col min="7" max="7" width="9.5703125" style="1" bestFit="1" customWidth="1"/>
    <col min="8" max="8" width="14.42578125" style="1" customWidth="1"/>
    <col min="9" max="16384" width="9.140625" style="1"/>
  </cols>
  <sheetData>
    <row r="1" spans="1:8" x14ac:dyDescent="0.2">
      <c r="A1" s="90" t="s">
        <v>0</v>
      </c>
      <c r="B1" s="90"/>
      <c r="C1" s="90"/>
      <c r="D1" s="90"/>
      <c r="E1" s="90"/>
      <c r="F1" s="90"/>
      <c r="G1" s="90"/>
      <c r="H1" s="90"/>
    </row>
    <row r="2" spans="1:8" x14ac:dyDescent="0.2">
      <c r="A2" s="91" t="s">
        <v>1</v>
      </c>
      <c r="B2" s="91"/>
      <c r="C2" s="91"/>
      <c r="D2" s="91"/>
      <c r="E2" s="91"/>
      <c r="F2" s="91"/>
      <c r="G2" s="91"/>
      <c r="H2" s="91"/>
    </row>
    <row r="3" spans="1:8" ht="12.75" customHeight="1" x14ac:dyDescent="0.2">
      <c r="A3" s="92" t="s">
        <v>148</v>
      </c>
      <c r="B3" s="92"/>
      <c r="C3" s="92"/>
      <c r="D3" s="92"/>
      <c r="E3" s="92"/>
      <c r="F3" s="92"/>
      <c r="G3" s="92"/>
      <c r="H3" s="92"/>
    </row>
    <row r="4" spans="1:8" s="4" customFormat="1" ht="25.5" x14ac:dyDescent="0.2">
      <c r="A4" s="2" t="s">
        <v>2</v>
      </c>
      <c r="B4" s="2" t="s">
        <v>3</v>
      </c>
      <c r="C4" s="3" t="s">
        <v>4</v>
      </c>
      <c r="D4" s="2" t="s">
        <v>5</v>
      </c>
      <c r="E4" s="2" t="s">
        <v>6</v>
      </c>
      <c r="F4" s="2" t="s">
        <v>7</v>
      </c>
      <c r="G4" s="2" t="s">
        <v>8</v>
      </c>
      <c r="H4" s="2" t="s">
        <v>9</v>
      </c>
    </row>
    <row r="5" spans="1:8" s="12" customFormat="1" ht="14.25" x14ac:dyDescent="0.3">
      <c r="A5" s="5" t="s">
        <v>10</v>
      </c>
      <c r="B5" s="6"/>
      <c r="C5" s="7"/>
      <c r="D5" s="8"/>
      <c r="E5" s="8"/>
      <c r="F5" s="9"/>
      <c r="G5" s="10"/>
      <c r="H5" s="11"/>
    </row>
    <row r="6" spans="1:8" s="12" customFormat="1" ht="14.25" x14ac:dyDescent="0.3">
      <c r="A6" s="5" t="s">
        <v>142</v>
      </c>
      <c r="B6" s="6"/>
      <c r="C6" s="7"/>
      <c r="D6" s="13"/>
      <c r="E6" s="13"/>
      <c r="F6" s="13"/>
      <c r="G6" s="10"/>
      <c r="H6" s="11"/>
    </row>
    <row r="7" spans="1:8" s="12" customFormat="1" ht="14.25" x14ac:dyDescent="0.3">
      <c r="A7" s="14" t="s">
        <v>11</v>
      </c>
      <c r="B7" s="15" t="s">
        <v>12</v>
      </c>
      <c r="C7" s="16">
        <v>350</v>
      </c>
      <c r="D7" s="17">
        <v>3490.9769999999999</v>
      </c>
      <c r="E7" s="17">
        <f>(+D7/$D$80*100)</f>
        <v>1.6568027268556256</v>
      </c>
      <c r="F7" s="17" t="s">
        <v>13</v>
      </c>
      <c r="G7" s="10">
        <v>7.2849000000000004</v>
      </c>
      <c r="H7" s="11"/>
    </row>
    <row r="8" spans="1:8" s="12" customFormat="1" ht="14.25" x14ac:dyDescent="0.3">
      <c r="A8" s="14" t="s">
        <v>14</v>
      </c>
      <c r="B8" s="15" t="s">
        <v>15</v>
      </c>
      <c r="C8" s="16">
        <v>2500</v>
      </c>
      <c r="D8" s="17">
        <v>2503.1424999999999</v>
      </c>
      <c r="E8" s="17">
        <f>(+D8/$D$80*100)</f>
        <v>1.1879807056042502</v>
      </c>
      <c r="F8" s="17" t="s">
        <v>16</v>
      </c>
      <c r="G8" s="10">
        <v>8.0649999999999995</v>
      </c>
      <c r="H8" s="11"/>
    </row>
    <row r="9" spans="1:8" s="12" customFormat="1" ht="14.25" x14ac:dyDescent="0.3">
      <c r="A9" s="14" t="s">
        <v>17</v>
      </c>
      <c r="B9" s="15" t="s">
        <v>18</v>
      </c>
      <c r="C9" s="16">
        <v>250</v>
      </c>
      <c r="D9" s="17">
        <v>2502.5725000000002</v>
      </c>
      <c r="E9" s="17">
        <f>(+D9/$D$80*100)</f>
        <v>1.1877101860464565</v>
      </c>
      <c r="F9" s="17" t="s">
        <v>19</v>
      </c>
      <c r="G9" s="10">
        <v>7.8407</v>
      </c>
      <c r="H9" s="11"/>
    </row>
    <row r="10" spans="1:8" s="12" customFormat="1" ht="14.25" x14ac:dyDescent="0.3">
      <c r="A10" s="14" t="s">
        <v>11</v>
      </c>
      <c r="B10" s="15" t="s">
        <v>12</v>
      </c>
      <c r="C10" s="16">
        <v>250</v>
      </c>
      <c r="D10" s="17">
        <v>2501.165</v>
      </c>
      <c r="E10" s="17">
        <f>(+D10/$D$80*100)</f>
        <v>1.1870421925769923</v>
      </c>
      <c r="F10" s="17" t="s">
        <v>20</v>
      </c>
      <c r="G10" s="10">
        <v>7.2850999999999999</v>
      </c>
      <c r="H10" s="11"/>
    </row>
    <row r="11" spans="1:8" s="12" customFormat="1" ht="14.25" x14ac:dyDescent="0.3">
      <c r="A11" s="14" t="s">
        <v>21</v>
      </c>
      <c r="B11" s="15" t="s">
        <v>12</v>
      </c>
      <c r="C11" s="16">
        <v>250</v>
      </c>
      <c r="D11" s="17">
        <v>2492.3200000000002</v>
      </c>
      <c r="E11" s="17">
        <f>(+D11/$D$80*100)</f>
        <v>1.1828443934740371</v>
      </c>
      <c r="F11" s="17" t="s">
        <v>22</v>
      </c>
      <c r="G11" s="10">
        <v>7.5750000000000002</v>
      </c>
      <c r="H11" s="11"/>
    </row>
    <row r="12" spans="1:8" s="12" customFormat="1" ht="14.25" x14ac:dyDescent="0.3">
      <c r="A12" s="5" t="s">
        <v>23</v>
      </c>
      <c r="B12" s="6"/>
      <c r="C12" s="18"/>
      <c r="D12" s="8">
        <f>IF(ISERROR(SUM(D7:D11)),0,SUM(D7:D11))</f>
        <v>13490.177</v>
      </c>
      <c r="E12" s="8">
        <f>IF(ISERROR(SUM(E7:E11)),0,SUM(E7:E11))</f>
        <v>6.4023802045573621</v>
      </c>
      <c r="F12" s="8"/>
      <c r="G12" s="10"/>
      <c r="H12" s="11"/>
    </row>
    <row r="13" spans="1:8" s="12" customFormat="1" ht="14.25" x14ac:dyDescent="0.3">
      <c r="A13" s="5"/>
      <c r="B13" s="6"/>
      <c r="C13" s="18"/>
      <c r="D13" s="13"/>
      <c r="E13" s="13"/>
      <c r="F13" s="13"/>
      <c r="G13" s="10"/>
      <c r="H13" s="11"/>
    </row>
    <row r="14" spans="1:8" s="12" customFormat="1" ht="14.25" x14ac:dyDescent="0.3">
      <c r="A14" s="5" t="s">
        <v>143</v>
      </c>
      <c r="B14" s="6"/>
      <c r="C14" s="18"/>
      <c r="D14" s="13"/>
      <c r="E14" s="13"/>
      <c r="F14" s="13"/>
      <c r="G14" s="10"/>
      <c r="H14" s="11"/>
    </row>
    <row r="15" spans="1:8" s="12" customFormat="1" ht="14.25" x14ac:dyDescent="0.3">
      <c r="A15" s="14" t="s">
        <v>24</v>
      </c>
      <c r="B15" s="15" t="s">
        <v>25</v>
      </c>
      <c r="C15" s="16">
        <v>180</v>
      </c>
      <c r="D15" s="17">
        <v>1796.7978000000001</v>
      </c>
      <c r="E15" s="17">
        <f>(+D15/$D$80*100)</f>
        <v>0.85275253736939238</v>
      </c>
      <c r="F15" s="17" t="s">
        <v>26</v>
      </c>
      <c r="G15" s="10">
        <v>7.2297000000000002</v>
      </c>
      <c r="H15" s="11"/>
    </row>
    <row r="16" spans="1:8" s="12" customFormat="1" ht="14.25" x14ac:dyDescent="0.3">
      <c r="A16" s="5" t="s">
        <v>23</v>
      </c>
      <c r="B16" s="6"/>
      <c r="C16" s="18"/>
      <c r="D16" s="8">
        <f>IF(ISERROR(SUM(D15:D15)),0,SUM(D15:D15))</f>
        <v>1796.7978000000001</v>
      </c>
      <c r="E16" s="8">
        <f>IF(ISERROR(SUM(E15:E15)),0,SUM(E15:E15))</f>
        <v>0.85275253736939238</v>
      </c>
      <c r="F16" s="19"/>
      <c r="G16" s="10"/>
      <c r="H16" s="11"/>
    </row>
    <row r="17" spans="1:11" s="12" customFormat="1" ht="14.25" x14ac:dyDescent="0.3">
      <c r="A17" s="5"/>
      <c r="B17" s="6"/>
      <c r="C17" s="18"/>
      <c r="D17" s="13"/>
      <c r="E17" s="13"/>
      <c r="F17" s="13"/>
      <c r="G17" s="10"/>
      <c r="H17" s="11"/>
    </row>
    <row r="18" spans="1:11" s="12" customFormat="1" ht="14.25" x14ac:dyDescent="0.3">
      <c r="A18" s="5" t="s">
        <v>27</v>
      </c>
      <c r="B18" s="6"/>
      <c r="C18" s="18"/>
      <c r="D18" s="8" t="s">
        <v>28</v>
      </c>
      <c r="E18" s="8" t="s">
        <v>28</v>
      </c>
      <c r="F18" s="9"/>
      <c r="G18" s="10"/>
      <c r="H18" s="11"/>
    </row>
    <row r="19" spans="1:11" s="12" customFormat="1" ht="14.25" x14ac:dyDescent="0.3">
      <c r="A19" s="5"/>
      <c r="B19" s="6"/>
      <c r="C19" s="18"/>
      <c r="D19" s="13"/>
      <c r="E19" s="13"/>
      <c r="F19" s="13"/>
      <c r="G19" s="10"/>
      <c r="H19" s="11"/>
    </row>
    <row r="20" spans="1:11" s="12" customFormat="1" ht="14.25" x14ac:dyDescent="0.3">
      <c r="A20" s="5" t="s">
        <v>29</v>
      </c>
      <c r="B20" s="6"/>
      <c r="C20" s="18"/>
      <c r="D20" s="8">
        <f>IF(ISERROR(+D12),0,D12)+IF(ISERROR(+#REF!),0,#REF!)+IF(ISERROR(+D16),0,D16)</f>
        <v>15286.9748</v>
      </c>
      <c r="E20" s="8">
        <f>IF(ISERROR(+E12),0,E12)+IF(ISERROR(+#REF!),0,#REF!)+IF(ISERROR(+E16),0,E16)</f>
        <v>7.2551327419267544</v>
      </c>
      <c r="F20" s="8">
        <f>IF(ISERROR(+F12),0,F12)+IF(ISERROR(+#REF!),0,#REF!)+IF(ISERROR(+#REF!),0,#REF!)</f>
        <v>0</v>
      </c>
      <c r="G20" s="10"/>
      <c r="H20" s="11"/>
    </row>
    <row r="21" spans="1:11" s="12" customFormat="1" ht="14.25" x14ac:dyDescent="0.3">
      <c r="A21" s="5"/>
      <c r="B21" s="6"/>
      <c r="C21" s="18"/>
      <c r="D21" s="8"/>
      <c r="E21" s="8"/>
      <c r="F21" s="8"/>
      <c r="G21" s="10"/>
      <c r="H21" s="11"/>
    </row>
    <row r="22" spans="1:11" s="12" customFormat="1" ht="14.25" x14ac:dyDescent="0.3">
      <c r="A22" s="5" t="s">
        <v>30</v>
      </c>
      <c r="B22" s="6"/>
      <c r="C22" s="18"/>
      <c r="D22" s="8"/>
      <c r="E22" s="8"/>
      <c r="F22" s="8"/>
      <c r="G22" s="10"/>
      <c r="H22" s="11"/>
    </row>
    <row r="23" spans="1:11" s="12" customFormat="1" ht="14.25" x14ac:dyDescent="0.3">
      <c r="A23" s="5"/>
      <c r="B23" s="6"/>
      <c r="C23" s="18"/>
      <c r="D23" s="17"/>
      <c r="E23" s="17"/>
      <c r="F23" s="20"/>
      <c r="G23" s="10"/>
      <c r="H23" s="11"/>
    </row>
    <row r="24" spans="1:11" s="12" customFormat="1" ht="14.25" x14ac:dyDescent="0.3">
      <c r="A24" s="5" t="s">
        <v>31</v>
      </c>
      <c r="B24" s="6"/>
      <c r="C24" s="18"/>
      <c r="D24" s="8" t="s">
        <v>28</v>
      </c>
      <c r="E24" s="8" t="s">
        <v>28</v>
      </c>
      <c r="F24" s="8"/>
      <c r="G24" s="10"/>
      <c r="H24" s="11"/>
    </row>
    <row r="25" spans="1:11" s="12" customFormat="1" ht="14.25" x14ac:dyDescent="0.3">
      <c r="A25" s="5"/>
      <c r="B25" s="6"/>
      <c r="C25" s="18"/>
      <c r="D25" s="8"/>
      <c r="E25" s="8"/>
      <c r="F25" s="8"/>
      <c r="G25" s="10"/>
      <c r="H25" s="11"/>
    </row>
    <row r="26" spans="1:11" s="12" customFormat="1" ht="14.25" x14ac:dyDescent="0.3">
      <c r="A26" s="5" t="s">
        <v>32</v>
      </c>
      <c r="B26" s="6"/>
      <c r="C26" s="18"/>
      <c r="D26" s="8" t="s">
        <v>28</v>
      </c>
      <c r="E26" s="8" t="s">
        <v>28</v>
      </c>
      <c r="F26" s="8"/>
      <c r="G26" s="10"/>
      <c r="H26" s="11"/>
    </row>
    <row r="27" spans="1:11" s="12" customFormat="1" ht="14.25" x14ac:dyDescent="0.3">
      <c r="A27" s="5"/>
      <c r="B27" s="6"/>
      <c r="C27" s="18"/>
      <c r="D27" s="8"/>
      <c r="E27" s="8"/>
      <c r="F27" s="8"/>
      <c r="G27" s="10"/>
      <c r="H27" s="11"/>
    </row>
    <row r="28" spans="1:11" s="12" customFormat="1" ht="14.25" x14ac:dyDescent="0.3">
      <c r="A28" s="5" t="s">
        <v>33</v>
      </c>
      <c r="B28" s="6"/>
      <c r="C28" s="18"/>
      <c r="D28" s="8"/>
      <c r="E28" s="8"/>
      <c r="F28" s="9"/>
      <c r="G28" s="10"/>
      <c r="H28" s="11"/>
    </row>
    <row r="29" spans="1:11" s="12" customFormat="1" ht="14.25" x14ac:dyDescent="0.3">
      <c r="A29" s="5" t="s">
        <v>34</v>
      </c>
      <c r="B29" s="6"/>
      <c r="C29" s="18"/>
      <c r="D29" s="8"/>
      <c r="E29" s="8"/>
      <c r="F29" s="9"/>
      <c r="G29" s="10"/>
      <c r="H29" s="11"/>
    </row>
    <row r="30" spans="1:11" s="12" customFormat="1" ht="14.25" x14ac:dyDescent="0.3">
      <c r="A30" s="14" t="s">
        <v>35</v>
      </c>
      <c r="B30" s="15" t="s">
        <v>36</v>
      </c>
      <c r="C30" s="16">
        <v>2000</v>
      </c>
      <c r="D30" s="17">
        <v>9990.27</v>
      </c>
      <c r="E30" s="17">
        <f t="shared" ref="E30:E60" si="0">(+D30/$D$80*100)</f>
        <v>4.7413393379629696</v>
      </c>
      <c r="F30" s="17" t="s">
        <v>37</v>
      </c>
      <c r="G30" s="10">
        <v>7.1097999999999999</v>
      </c>
      <c r="H30" s="11"/>
      <c r="K30" s="77"/>
    </row>
    <row r="31" spans="1:11" s="12" customFormat="1" ht="14.25" x14ac:dyDescent="0.3">
      <c r="A31" s="14" t="s">
        <v>38</v>
      </c>
      <c r="B31" s="15" t="s">
        <v>39</v>
      </c>
      <c r="C31" s="16">
        <v>2000</v>
      </c>
      <c r="D31" s="17">
        <v>9984.35</v>
      </c>
      <c r="E31" s="17">
        <f t="shared" si="0"/>
        <v>4.7385297313276391</v>
      </c>
      <c r="F31" s="17" t="s">
        <v>40</v>
      </c>
      <c r="G31" s="10">
        <v>7.1515000000000004</v>
      </c>
      <c r="H31" s="11"/>
      <c r="K31" s="77"/>
    </row>
    <row r="32" spans="1:11" s="12" customFormat="1" ht="14.25" x14ac:dyDescent="0.3">
      <c r="A32" s="14" t="s">
        <v>41</v>
      </c>
      <c r="B32" s="15" t="s">
        <v>39</v>
      </c>
      <c r="C32" s="16">
        <v>1500</v>
      </c>
      <c r="D32" s="17">
        <v>7476.9</v>
      </c>
      <c r="E32" s="17">
        <f t="shared" si="0"/>
        <v>3.5485047046791856</v>
      </c>
      <c r="F32" s="17" t="s">
        <v>42</v>
      </c>
      <c r="G32" s="10">
        <v>7.0491000000000001</v>
      </c>
      <c r="H32" s="11"/>
      <c r="K32" s="77"/>
    </row>
    <row r="33" spans="1:11" s="12" customFormat="1" ht="14.25" x14ac:dyDescent="0.3">
      <c r="A33" s="14" t="s">
        <v>145</v>
      </c>
      <c r="B33" s="15" t="s">
        <v>39</v>
      </c>
      <c r="C33" s="16">
        <v>1500</v>
      </c>
      <c r="D33" s="17">
        <v>7437.7875000000004</v>
      </c>
      <c r="E33" s="17">
        <f t="shared" si="0"/>
        <v>3.5299420797595307</v>
      </c>
      <c r="F33" s="17" t="s">
        <v>43</v>
      </c>
      <c r="G33" s="10">
        <v>7.1</v>
      </c>
      <c r="H33" s="11"/>
      <c r="K33" s="77"/>
    </row>
    <row r="34" spans="1:11" s="12" customFormat="1" ht="14.25" x14ac:dyDescent="0.3">
      <c r="A34" s="14" t="s">
        <v>44</v>
      </c>
      <c r="B34" s="15" t="s">
        <v>45</v>
      </c>
      <c r="C34" s="16">
        <v>1100</v>
      </c>
      <c r="D34" s="17">
        <v>5441.2489999999998</v>
      </c>
      <c r="E34" s="17">
        <f t="shared" si="0"/>
        <v>2.582393461973667</v>
      </c>
      <c r="F34" s="17" t="s">
        <v>46</v>
      </c>
      <c r="G34" s="10">
        <v>7.1654999999999998</v>
      </c>
      <c r="H34" s="11"/>
      <c r="K34" s="77"/>
    </row>
    <row r="35" spans="1:11" s="12" customFormat="1" ht="14.25" x14ac:dyDescent="0.3">
      <c r="A35" s="14" t="s">
        <v>144</v>
      </c>
      <c r="B35" s="15" t="s">
        <v>45</v>
      </c>
      <c r="C35" s="16">
        <v>1000</v>
      </c>
      <c r="D35" s="17">
        <v>4995.12</v>
      </c>
      <c r="E35" s="17">
        <f t="shared" si="0"/>
        <v>2.3706625500457532</v>
      </c>
      <c r="F35" s="17" t="s">
        <v>48</v>
      </c>
      <c r="G35" s="10">
        <v>7.1318000000000001</v>
      </c>
      <c r="H35" s="11"/>
      <c r="K35" s="77"/>
    </row>
    <row r="36" spans="1:11" s="12" customFormat="1" ht="14.25" x14ac:dyDescent="0.3">
      <c r="A36" s="14" t="s">
        <v>49</v>
      </c>
      <c r="B36" s="15" t="s">
        <v>45</v>
      </c>
      <c r="C36" s="16">
        <v>1000</v>
      </c>
      <c r="D36" s="17">
        <v>4994.125</v>
      </c>
      <c r="E36" s="17">
        <f t="shared" si="0"/>
        <v>2.3701903273089031</v>
      </c>
      <c r="F36" s="17" t="s">
        <v>50</v>
      </c>
      <c r="G36" s="10">
        <v>7.1562999999999999</v>
      </c>
      <c r="H36" s="11"/>
      <c r="K36" s="77"/>
    </row>
    <row r="37" spans="1:11" s="12" customFormat="1" ht="14.25" x14ac:dyDescent="0.3">
      <c r="A37" s="14" t="s">
        <v>144</v>
      </c>
      <c r="B37" s="15" t="s">
        <v>45</v>
      </c>
      <c r="C37" s="16">
        <v>1000</v>
      </c>
      <c r="D37" s="17">
        <v>4993.18</v>
      </c>
      <c r="E37" s="17">
        <f t="shared" si="0"/>
        <v>2.369741834357824</v>
      </c>
      <c r="F37" s="17" t="s">
        <v>51</v>
      </c>
      <c r="G37" s="10">
        <v>7.1219999999999999</v>
      </c>
      <c r="H37" s="11"/>
      <c r="K37" s="77"/>
    </row>
    <row r="38" spans="1:11" s="12" customFormat="1" ht="14.25" x14ac:dyDescent="0.3">
      <c r="A38" s="14" t="s">
        <v>52</v>
      </c>
      <c r="B38" s="15" t="s">
        <v>53</v>
      </c>
      <c r="C38" s="16">
        <v>1000</v>
      </c>
      <c r="D38" s="17">
        <v>4992.2049999999999</v>
      </c>
      <c r="E38" s="17">
        <f t="shared" si="0"/>
        <v>2.3692791035352823</v>
      </c>
      <c r="F38" s="17" t="s">
        <v>54</v>
      </c>
      <c r="G38" s="10">
        <v>7.1262999999999996</v>
      </c>
      <c r="H38" s="11"/>
      <c r="K38" s="77"/>
    </row>
    <row r="39" spans="1:11" s="12" customFormat="1" ht="14.25" x14ac:dyDescent="0.3">
      <c r="A39" s="14" t="s">
        <v>55</v>
      </c>
      <c r="B39" s="15" t="s">
        <v>39</v>
      </c>
      <c r="C39" s="16">
        <v>1000</v>
      </c>
      <c r="D39" s="17">
        <v>4987.9549999999999</v>
      </c>
      <c r="E39" s="17">
        <f t="shared" si="0"/>
        <v>2.3672620717447157</v>
      </c>
      <c r="F39" s="17" t="s">
        <v>56</v>
      </c>
      <c r="G39" s="10">
        <v>7.3451000000000004</v>
      </c>
      <c r="H39" s="11"/>
      <c r="K39" s="77"/>
    </row>
    <row r="40" spans="1:11" s="12" customFormat="1" ht="14.25" x14ac:dyDescent="0.3">
      <c r="A40" s="14" t="s">
        <v>146</v>
      </c>
      <c r="B40" s="15" t="s">
        <v>45</v>
      </c>
      <c r="C40" s="16">
        <v>1000</v>
      </c>
      <c r="D40" s="17">
        <v>4986.3249999999998</v>
      </c>
      <c r="E40" s="17">
        <f t="shared" si="0"/>
        <v>2.3664884807285689</v>
      </c>
      <c r="F40" s="17" t="s">
        <v>57</v>
      </c>
      <c r="G40" s="10">
        <v>7.1501000000000001</v>
      </c>
      <c r="H40" s="11"/>
      <c r="K40" s="77"/>
    </row>
    <row r="41" spans="1:11" s="12" customFormat="1" ht="14.25" x14ac:dyDescent="0.3">
      <c r="A41" s="14" t="s">
        <v>52</v>
      </c>
      <c r="B41" s="15" t="s">
        <v>53</v>
      </c>
      <c r="C41" s="16">
        <v>1000</v>
      </c>
      <c r="D41" s="17">
        <v>4984.45</v>
      </c>
      <c r="E41" s="17">
        <f t="shared" si="0"/>
        <v>2.3655986137621423</v>
      </c>
      <c r="F41" s="17" t="s">
        <v>58</v>
      </c>
      <c r="G41" s="10">
        <v>7.1180000000000003</v>
      </c>
      <c r="H41" s="11"/>
      <c r="K41" s="77"/>
    </row>
    <row r="42" spans="1:11" s="12" customFormat="1" ht="14.25" x14ac:dyDescent="0.3">
      <c r="A42" s="14" t="s">
        <v>147</v>
      </c>
      <c r="B42" s="15" t="s">
        <v>45</v>
      </c>
      <c r="C42" s="16">
        <v>1000</v>
      </c>
      <c r="D42" s="17">
        <v>4979.5150000000003</v>
      </c>
      <c r="E42" s="17">
        <f t="shared" si="0"/>
        <v>2.3632564839065084</v>
      </c>
      <c r="F42" s="17" t="s">
        <v>59</v>
      </c>
      <c r="G42" s="10">
        <v>7.1502999999999997</v>
      </c>
      <c r="H42" s="11"/>
      <c r="K42" s="77"/>
    </row>
    <row r="43" spans="1:11" s="12" customFormat="1" ht="14.25" x14ac:dyDescent="0.3">
      <c r="A43" s="14" t="s">
        <v>60</v>
      </c>
      <c r="B43" s="15" t="s">
        <v>39</v>
      </c>
      <c r="C43" s="16">
        <v>1000</v>
      </c>
      <c r="D43" s="17">
        <v>4973.7650000000003</v>
      </c>
      <c r="E43" s="17">
        <f t="shared" si="0"/>
        <v>2.3605275585428012</v>
      </c>
      <c r="F43" s="17" t="s">
        <v>61</v>
      </c>
      <c r="G43" s="10">
        <v>7.1306000000000003</v>
      </c>
      <c r="H43" s="11"/>
      <c r="K43" s="77"/>
    </row>
    <row r="44" spans="1:11" s="12" customFormat="1" ht="14.25" x14ac:dyDescent="0.3">
      <c r="A44" s="14" t="s">
        <v>62</v>
      </c>
      <c r="B44" s="15" t="s">
        <v>45</v>
      </c>
      <c r="C44" s="16">
        <v>1000</v>
      </c>
      <c r="D44" s="17">
        <v>4971.9949999999999</v>
      </c>
      <c r="E44" s="17">
        <f t="shared" si="0"/>
        <v>2.3596875241264943</v>
      </c>
      <c r="F44" s="17" t="s">
        <v>63</v>
      </c>
      <c r="G44" s="10">
        <v>7.0899000000000001</v>
      </c>
      <c r="H44" s="11"/>
      <c r="K44" s="77"/>
    </row>
    <row r="45" spans="1:11" s="12" customFormat="1" ht="14.25" x14ac:dyDescent="0.3">
      <c r="A45" s="14" t="s">
        <v>64</v>
      </c>
      <c r="B45" s="15" t="s">
        <v>39</v>
      </c>
      <c r="C45" s="16">
        <v>1000</v>
      </c>
      <c r="D45" s="17">
        <v>4964.8649999999998</v>
      </c>
      <c r="E45" s="17">
        <f t="shared" si="0"/>
        <v>2.3563036566754967</v>
      </c>
      <c r="F45" s="17" t="s">
        <v>65</v>
      </c>
      <c r="G45" s="10">
        <v>7.1749999999999998</v>
      </c>
      <c r="H45" s="11"/>
      <c r="K45" s="77"/>
    </row>
    <row r="46" spans="1:11" s="12" customFormat="1" ht="14.25" x14ac:dyDescent="0.3">
      <c r="A46" s="14" t="s">
        <v>66</v>
      </c>
      <c r="B46" s="15" t="s">
        <v>45</v>
      </c>
      <c r="C46" s="16">
        <v>1000</v>
      </c>
      <c r="D46" s="17">
        <v>4963.2849999999999</v>
      </c>
      <c r="E46" s="17">
        <f t="shared" si="0"/>
        <v>2.3555537954451218</v>
      </c>
      <c r="F46" s="17" t="s">
        <v>67</v>
      </c>
      <c r="G46" s="10">
        <v>7.5000999999999998</v>
      </c>
      <c r="H46" s="11"/>
      <c r="K46" s="77"/>
    </row>
    <row r="47" spans="1:11" s="12" customFormat="1" ht="14.25" x14ac:dyDescent="0.3">
      <c r="A47" s="14" t="s">
        <v>47</v>
      </c>
      <c r="B47" s="15" t="s">
        <v>45</v>
      </c>
      <c r="C47" s="16">
        <v>1000</v>
      </c>
      <c r="D47" s="17">
        <v>4960.16</v>
      </c>
      <c r="E47" s="17">
        <f t="shared" si="0"/>
        <v>2.354070683834411</v>
      </c>
      <c r="F47" s="17" t="s">
        <v>68</v>
      </c>
      <c r="G47" s="10">
        <v>7.1504000000000003</v>
      </c>
      <c r="H47" s="11"/>
      <c r="K47" s="77"/>
    </row>
    <row r="48" spans="1:11" s="12" customFormat="1" ht="14.25" x14ac:dyDescent="0.3">
      <c r="A48" s="14" t="s">
        <v>44</v>
      </c>
      <c r="B48" s="15" t="s">
        <v>45</v>
      </c>
      <c r="C48" s="16">
        <v>1000</v>
      </c>
      <c r="D48" s="17">
        <v>4951.3999999999996</v>
      </c>
      <c r="E48" s="17">
        <f t="shared" si="0"/>
        <v>2.349913225367267</v>
      </c>
      <c r="F48" s="17" t="s">
        <v>69</v>
      </c>
      <c r="G48" s="10">
        <v>7.1651999999999996</v>
      </c>
      <c r="H48" s="11"/>
      <c r="K48" s="77"/>
    </row>
    <row r="49" spans="1:11" s="12" customFormat="1" ht="14.25" x14ac:dyDescent="0.3">
      <c r="A49" s="14" t="s">
        <v>70</v>
      </c>
      <c r="B49" s="15" t="s">
        <v>45</v>
      </c>
      <c r="C49" s="16">
        <v>1000</v>
      </c>
      <c r="D49" s="17">
        <v>4951.34</v>
      </c>
      <c r="E49" s="17">
        <f t="shared" si="0"/>
        <v>2.3498847496243416</v>
      </c>
      <c r="F49" s="17" t="s">
        <v>71</v>
      </c>
      <c r="G49" s="10">
        <v>7.1745999999999999</v>
      </c>
      <c r="H49" s="11"/>
      <c r="K49" s="77"/>
    </row>
    <row r="50" spans="1:11" s="12" customFormat="1" ht="14.25" x14ac:dyDescent="0.3">
      <c r="A50" s="14" t="s">
        <v>52</v>
      </c>
      <c r="B50" s="15" t="s">
        <v>53</v>
      </c>
      <c r="C50" s="16">
        <v>1000</v>
      </c>
      <c r="D50" s="17">
        <v>4947.5550000000003</v>
      </c>
      <c r="E50" s="17">
        <f t="shared" si="0"/>
        <v>2.348088404841449</v>
      </c>
      <c r="F50" s="17" t="s">
        <v>72</v>
      </c>
      <c r="G50" s="10">
        <v>7.1649000000000003</v>
      </c>
      <c r="H50" s="11"/>
      <c r="K50" s="77"/>
    </row>
    <row r="51" spans="1:11" s="12" customFormat="1" ht="14.25" x14ac:dyDescent="0.3">
      <c r="A51" s="14" t="s">
        <v>60</v>
      </c>
      <c r="B51" s="15" t="s">
        <v>39</v>
      </c>
      <c r="C51" s="16">
        <v>900</v>
      </c>
      <c r="D51" s="17">
        <v>4461.5429999999997</v>
      </c>
      <c r="E51" s="17">
        <f t="shared" si="0"/>
        <v>2.1174291919951433</v>
      </c>
      <c r="F51" s="17" t="s">
        <v>73</v>
      </c>
      <c r="G51" s="10">
        <v>7.1504000000000003</v>
      </c>
      <c r="H51" s="11"/>
      <c r="K51" s="77"/>
    </row>
    <row r="52" spans="1:11" s="12" customFormat="1" ht="14.25" x14ac:dyDescent="0.3">
      <c r="A52" s="14" t="s">
        <v>74</v>
      </c>
      <c r="B52" s="15" t="s">
        <v>45</v>
      </c>
      <c r="C52" s="16">
        <v>800</v>
      </c>
      <c r="D52" s="17">
        <v>3983.7359999999999</v>
      </c>
      <c r="E52" s="17">
        <f t="shared" si="0"/>
        <v>1.8906640369939196</v>
      </c>
      <c r="F52" s="17" t="s">
        <v>75</v>
      </c>
      <c r="G52" s="10">
        <v>7.4507000000000003</v>
      </c>
      <c r="H52" s="11"/>
      <c r="K52" s="77"/>
    </row>
    <row r="53" spans="1:11" s="12" customFormat="1" ht="14.25" x14ac:dyDescent="0.3">
      <c r="A53" s="14" t="s">
        <v>76</v>
      </c>
      <c r="B53" s="15" t="s">
        <v>39</v>
      </c>
      <c r="C53" s="16">
        <v>800</v>
      </c>
      <c r="D53" s="17">
        <v>3953.4279999999999</v>
      </c>
      <c r="E53" s="17">
        <f t="shared" si="0"/>
        <v>1.8762799900507456</v>
      </c>
      <c r="F53" s="17" t="s">
        <v>77</v>
      </c>
      <c r="G53" s="10">
        <v>8.7750000000000004</v>
      </c>
      <c r="H53" s="11"/>
      <c r="K53" s="77"/>
    </row>
    <row r="54" spans="1:11" s="12" customFormat="1" ht="14.25" x14ac:dyDescent="0.3">
      <c r="A54" s="14" t="s">
        <v>78</v>
      </c>
      <c r="B54" s="15" t="s">
        <v>45</v>
      </c>
      <c r="C54" s="16">
        <v>500</v>
      </c>
      <c r="D54" s="17">
        <v>2496.5625</v>
      </c>
      <c r="E54" s="17">
        <f t="shared" si="0"/>
        <v>1.1848578657967377</v>
      </c>
      <c r="F54" s="17" t="s">
        <v>79</v>
      </c>
      <c r="G54" s="10">
        <v>7.1795</v>
      </c>
      <c r="H54" s="11"/>
      <c r="K54" s="77"/>
    </row>
    <row r="55" spans="1:11" s="12" customFormat="1" ht="14.25" x14ac:dyDescent="0.3">
      <c r="A55" s="14" t="s">
        <v>80</v>
      </c>
      <c r="B55" s="15" t="s">
        <v>39</v>
      </c>
      <c r="C55" s="16">
        <v>500</v>
      </c>
      <c r="D55" s="17">
        <v>2496.0349999999999</v>
      </c>
      <c r="E55" s="17">
        <f t="shared" si="0"/>
        <v>1.1846075165568497</v>
      </c>
      <c r="F55" s="17" t="s">
        <v>81</v>
      </c>
      <c r="G55" s="10">
        <v>7.2476000000000003</v>
      </c>
      <c r="H55" s="11"/>
      <c r="K55" s="77"/>
    </row>
    <row r="56" spans="1:11" s="12" customFormat="1" ht="14.25" x14ac:dyDescent="0.3">
      <c r="A56" s="14" t="s">
        <v>82</v>
      </c>
      <c r="B56" s="15" t="s">
        <v>45</v>
      </c>
      <c r="C56" s="16">
        <v>500</v>
      </c>
      <c r="D56" s="17">
        <v>2492.5425</v>
      </c>
      <c r="E56" s="17">
        <f t="shared" si="0"/>
        <v>1.1829499910207197</v>
      </c>
      <c r="F56" s="17" t="s">
        <v>83</v>
      </c>
      <c r="G56" s="10">
        <v>7.8003999999999998</v>
      </c>
      <c r="H56" s="11"/>
      <c r="K56" s="77"/>
    </row>
    <row r="57" spans="1:11" s="12" customFormat="1" ht="14.25" x14ac:dyDescent="0.3">
      <c r="A57" s="14" t="s">
        <v>146</v>
      </c>
      <c r="B57" s="15" t="s">
        <v>45</v>
      </c>
      <c r="C57" s="16">
        <v>500</v>
      </c>
      <c r="D57" s="17">
        <v>2492.2224999999999</v>
      </c>
      <c r="E57" s="17">
        <f t="shared" si="0"/>
        <v>1.1827981203917826</v>
      </c>
      <c r="F57" s="17" t="s">
        <v>84</v>
      </c>
      <c r="G57" s="10">
        <v>7.1191000000000004</v>
      </c>
      <c r="H57" s="11"/>
      <c r="K57" s="77"/>
    </row>
    <row r="58" spans="1:11" s="12" customFormat="1" ht="14.25" x14ac:dyDescent="0.3">
      <c r="A58" s="14" t="s">
        <v>76</v>
      </c>
      <c r="B58" s="15" t="s">
        <v>39</v>
      </c>
      <c r="C58" s="16">
        <v>500</v>
      </c>
      <c r="D58" s="17">
        <v>2487.7950000000001</v>
      </c>
      <c r="E58" s="17">
        <f t="shared" si="0"/>
        <v>1.1806968478617281</v>
      </c>
      <c r="F58" s="17" t="s">
        <v>85</v>
      </c>
      <c r="G58" s="10">
        <v>8.5269999999999992</v>
      </c>
      <c r="H58" s="11"/>
      <c r="K58" s="77"/>
    </row>
    <row r="59" spans="1:11" s="12" customFormat="1" ht="14.25" x14ac:dyDescent="0.3">
      <c r="A59" s="14" t="s">
        <v>64</v>
      </c>
      <c r="B59" s="15" t="s">
        <v>39</v>
      </c>
      <c r="C59" s="16">
        <v>500</v>
      </c>
      <c r="D59" s="17">
        <v>2486.3575000000001</v>
      </c>
      <c r="E59" s="17">
        <f t="shared" si="0"/>
        <v>1.1800146165208012</v>
      </c>
      <c r="F59" s="17" t="s">
        <v>86</v>
      </c>
      <c r="G59" s="10">
        <v>7.1525999999999996</v>
      </c>
      <c r="H59" s="11"/>
      <c r="K59" s="77"/>
    </row>
    <row r="60" spans="1:11" s="12" customFormat="1" ht="14.25" x14ac:dyDescent="0.3">
      <c r="A60" s="14" t="s">
        <v>62</v>
      </c>
      <c r="B60" s="15" t="s">
        <v>45</v>
      </c>
      <c r="C60" s="16">
        <v>100</v>
      </c>
      <c r="D60" s="17">
        <v>499.226</v>
      </c>
      <c r="E60" s="17">
        <f t="shared" si="0"/>
        <v>0.23693052062996309</v>
      </c>
      <c r="F60" s="17" t="s">
        <v>87</v>
      </c>
      <c r="G60" s="10">
        <v>7.0736999999999997</v>
      </c>
      <c r="H60" s="11"/>
      <c r="K60" s="77"/>
    </row>
    <row r="61" spans="1:11" s="12" customFormat="1" ht="14.25" x14ac:dyDescent="0.3">
      <c r="A61" s="5" t="s">
        <v>23</v>
      </c>
      <c r="B61" s="21"/>
      <c r="C61" s="22"/>
      <c r="D61" s="8">
        <f>IF(ISERROR(SUM(D30:D60)),0,SUM(D30:D60))</f>
        <v>147777.24450000003</v>
      </c>
      <c r="E61" s="8">
        <f>IF(ISERROR(SUM(E30:E60)),0,SUM(E30:E60))</f>
        <v>70.134447077368463</v>
      </c>
      <c r="F61" s="23"/>
      <c r="G61" s="10"/>
      <c r="H61" s="11"/>
    </row>
    <row r="62" spans="1:11" s="12" customFormat="1" ht="14.25" x14ac:dyDescent="0.3">
      <c r="A62" s="5" t="s">
        <v>88</v>
      </c>
      <c r="B62" s="15"/>
      <c r="C62" s="16"/>
      <c r="D62" s="17"/>
      <c r="E62" s="13"/>
      <c r="F62" s="24"/>
      <c r="G62" s="10"/>
      <c r="H62" s="11"/>
    </row>
    <row r="63" spans="1:11" s="12" customFormat="1" ht="14.25" x14ac:dyDescent="0.3">
      <c r="A63" s="14" t="s">
        <v>89</v>
      </c>
      <c r="B63" s="15" t="s">
        <v>90</v>
      </c>
      <c r="C63" s="16">
        <v>7000000</v>
      </c>
      <c r="D63" s="17">
        <v>6989.8149999999996</v>
      </c>
      <c r="E63" s="17">
        <f t="shared" ref="E63:E68" si="1">(+D63/$D$80*100)</f>
        <v>3.317336250630226</v>
      </c>
      <c r="F63" s="17" t="s">
        <v>91</v>
      </c>
      <c r="G63" s="10">
        <v>6.6481000000000003</v>
      </c>
      <c r="H63" s="11"/>
    </row>
    <row r="64" spans="1:11" s="12" customFormat="1" ht="14.25" x14ac:dyDescent="0.3">
      <c r="A64" s="14" t="s">
        <v>92</v>
      </c>
      <c r="B64" s="15" t="s">
        <v>90</v>
      </c>
      <c r="C64" s="16">
        <v>6000000</v>
      </c>
      <c r="D64" s="17">
        <v>5935.5780000000004</v>
      </c>
      <c r="E64" s="17">
        <f t="shared" si="1"/>
        <v>2.8169998873851827</v>
      </c>
      <c r="F64" s="17" t="s">
        <v>93</v>
      </c>
      <c r="G64" s="10">
        <v>6.9500999999999999</v>
      </c>
      <c r="H64" s="11"/>
    </row>
    <row r="65" spans="1:8" s="12" customFormat="1" ht="14.25" x14ac:dyDescent="0.3">
      <c r="A65" s="14" t="s">
        <v>94</v>
      </c>
      <c r="B65" s="15" t="s">
        <v>90</v>
      </c>
      <c r="C65" s="16">
        <v>3800000</v>
      </c>
      <c r="D65" s="17">
        <v>3789.4740000000002</v>
      </c>
      <c r="E65" s="17">
        <f t="shared" si="1"/>
        <v>1.7984681241235607</v>
      </c>
      <c r="F65" s="17" t="s">
        <v>95</v>
      </c>
      <c r="G65" s="10">
        <v>6.7591000000000001</v>
      </c>
      <c r="H65" s="11"/>
    </row>
    <row r="66" spans="1:8" s="12" customFormat="1" ht="14.25" x14ac:dyDescent="0.3">
      <c r="A66" s="14" t="s">
        <v>96</v>
      </c>
      <c r="B66" s="15" t="s">
        <v>90</v>
      </c>
      <c r="C66" s="16">
        <v>1700000</v>
      </c>
      <c r="D66" s="17">
        <v>1693.3649</v>
      </c>
      <c r="E66" s="17">
        <f t="shared" si="1"/>
        <v>0.80366372619516091</v>
      </c>
      <c r="F66" s="17" t="s">
        <v>97</v>
      </c>
      <c r="G66" s="10">
        <v>6.5007999999999999</v>
      </c>
      <c r="H66" s="11"/>
    </row>
    <row r="67" spans="1:8" s="12" customFormat="1" ht="14.25" x14ac:dyDescent="0.3">
      <c r="A67" s="14" t="s">
        <v>98</v>
      </c>
      <c r="B67" s="15" t="s">
        <v>90</v>
      </c>
      <c r="C67" s="16">
        <v>500000</v>
      </c>
      <c r="D67" s="17">
        <v>498.04849999999999</v>
      </c>
      <c r="E67" s="17">
        <f t="shared" si="1"/>
        <v>0.23637168417504734</v>
      </c>
      <c r="F67" s="17" t="s">
        <v>99</v>
      </c>
      <c r="G67" s="10">
        <v>6.5007999999999999</v>
      </c>
      <c r="H67" s="11"/>
    </row>
    <row r="68" spans="1:8" s="12" customFormat="1" ht="14.25" x14ac:dyDescent="0.3">
      <c r="A68" s="14" t="s">
        <v>100</v>
      </c>
      <c r="B68" s="15" t="s">
        <v>90</v>
      </c>
      <c r="C68" s="16">
        <v>300000</v>
      </c>
      <c r="D68" s="17">
        <v>295.93110000000001</v>
      </c>
      <c r="E68" s="17">
        <f t="shared" si="1"/>
        <v>0.14044763212171976</v>
      </c>
      <c r="F68" s="17" t="s">
        <v>101</v>
      </c>
      <c r="G68" s="10">
        <v>6.9702000000000002</v>
      </c>
      <c r="H68" s="11"/>
    </row>
    <row r="69" spans="1:8" s="12" customFormat="1" ht="14.25" x14ac:dyDescent="0.3">
      <c r="A69" s="5" t="s">
        <v>23</v>
      </c>
      <c r="B69" s="21"/>
      <c r="C69" s="22"/>
      <c r="D69" s="8">
        <f>IF(ISERROR(SUM(D63:D68)),0,SUM(D63:D68))</f>
        <v>19202.211500000001</v>
      </c>
      <c r="E69" s="8">
        <f>IF(ISERROR(SUM(E63:E68)),0,SUM(E63:E68))</f>
        <v>9.113287304630898</v>
      </c>
      <c r="F69" s="23"/>
      <c r="G69" s="10"/>
      <c r="H69" s="11"/>
    </row>
    <row r="70" spans="1:8" s="12" customFormat="1" ht="14.25" x14ac:dyDescent="0.3">
      <c r="A70" s="14" t="s">
        <v>102</v>
      </c>
      <c r="B70" s="15"/>
      <c r="C70" s="16">
        <v>0</v>
      </c>
      <c r="D70" s="17">
        <v>27085.011645799997</v>
      </c>
      <c r="E70" s="17">
        <f>(+D70/$D$80*100)</f>
        <v>12.854430479398122</v>
      </c>
      <c r="F70" s="17" t="s">
        <v>103</v>
      </c>
      <c r="G70" s="10">
        <v>6.6520999999999999</v>
      </c>
      <c r="H70" s="11"/>
    </row>
    <row r="71" spans="1:8" s="12" customFormat="1" ht="14.25" x14ac:dyDescent="0.3">
      <c r="A71" s="5" t="s">
        <v>23</v>
      </c>
      <c r="B71" s="6"/>
      <c r="C71" s="18"/>
      <c r="D71" s="8">
        <f>IF(ISERROR(SUM(D70:D70)),0,SUM(D70:D70))</f>
        <v>27085.011645799997</v>
      </c>
      <c r="E71" s="8">
        <f>IF(ISERROR(SUM(E70:E70)),0,SUM(E70:E70))</f>
        <v>12.854430479398122</v>
      </c>
      <c r="F71" s="17"/>
      <c r="G71" s="10"/>
      <c r="H71" s="11"/>
    </row>
    <row r="72" spans="1:8" s="12" customFormat="1" ht="14.25" x14ac:dyDescent="0.3">
      <c r="A72" s="25" t="s">
        <v>104</v>
      </c>
      <c r="B72" s="6"/>
      <c r="C72" s="18"/>
      <c r="D72" s="8"/>
      <c r="E72" s="8"/>
      <c r="F72" s="8"/>
      <c r="G72" s="10"/>
      <c r="H72" s="11"/>
    </row>
    <row r="73" spans="1:8" s="12" customFormat="1" ht="14.25" x14ac:dyDescent="0.3">
      <c r="A73" s="26" t="s">
        <v>105</v>
      </c>
      <c r="B73" s="15"/>
      <c r="C73" s="16">
        <v>4806.76</v>
      </c>
      <c r="D73" s="17">
        <v>490.91705213151999</v>
      </c>
      <c r="E73" s="17">
        <f>(+D73/$D$80*100)</f>
        <v>0.23298712957187276</v>
      </c>
      <c r="F73" s="17" t="s">
        <v>106</v>
      </c>
      <c r="G73" s="10">
        <v>6.94</v>
      </c>
      <c r="H73" s="11"/>
    </row>
    <row r="74" spans="1:8" s="12" customFormat="1" ht="14.25" x14ac:dyDescent="0.3">
      <c r="A74" s="5" t="s">
        <v>23</v>
      </c>
      <c r="B74" s="6"/>
      <c r="C74" s="18"/>
      <c r="D74" s="8">
        <f>IF(ISERROR(SUM(D73:D73)),0,SUM(D73:D73))</f>
        <v>490.91705213151999</v>
      </c>
      <c r="E74" s="8">
        <f>IF(ISERROR(SUM(E73:E73)),0,SUM(E73:E73))</f>
        <v>0.23298712957187276</v>
      </c>
      <c r="F74" s="17"/>
      <c r="G74" s="10"/>
      <c r="H74" s="11"/>
    </row>
    <row r="75" spans="1:8" s="12" customFormat="1" ht="14.25" x14ac:dyDescent="0.3">
      <c r="A75" s="5"/>
      <c r="B75" s="6"/>
      <c r="C75" s="18"/>
      <c r="D75" s="8"/>
      <c r="E75" s="8"/>
      <c r="F75" s="9"/>
      <c r="G75" s="10"/>
      <c r="H75" s="11"/>
    </row>
    <row r="76" spans="1:8" s="12" customFormat="1" ht="14.25" x14ac:dyDescent="0.3">
      <c r="A76" s="5" t="s">
        <v>29</v>
      </c>
      <c r="B76" s="6"/>
      <c r="C76" s="18" t="s">
        <v>107</v>
      </c>
      <c r="D76" s="8">
        <f>+IF(ISERROR(D20),0,D20)+IF(ISERROR(D71),0,D71)+IF(ISERROR(#REF!),0,#REF!)+IF(ISERROR(#REF!),0,#REF!)+IF(ISERROR(#REF!),0,#REF!)+IF(ISERROR(D69),0,D69)+IF(ISERROR(#REF!),0,#REF!)+IF(ISERROR(#REF!),0,#REF!)+IF(ISERROR(D61),0,D61)+IF(ISERROR(D74),0,D74)</f>
        <v>209842.35949793155</v>
      </c>
      <c r="E76" s="8">
        <f>+IF(ISERROR(E20),0,E20)+IF(ISERROR(E71),0,E71)+IF(ISERROR(#REF!),0,#REF!)+IF(ISERROR(#REF!),0,#REF!)+IF(ISERROR(#REF!),0,#REF!)+IF(ISERROR(E69),0,E69)+IF(ISERROR(#REF!),0,#REF!)+IF(ISERROR(#REF!),0,#REF!)+IF(ISERROR(E61),0,E61)+IF(ISERROR(E74),0,E74)</f>
        <v>99.590284732896109</v>
      </c>
      <c r="F76" s="8">
        <f>+IF(ISERROR(F20),0,F20)+IF(ISERROR(F71),0,F71)+IF(ISERROR(#REF!),0,#REF!)+IF(ISERROR(#REF!),0,#REF!)+IF(ISERROR(#REF!),0,#REF!)+IF(ISERROR(F69),0,F69)+IF(ISERROR(#REF!),0,#REF!)+IF(ISERROR(#REF!),0,#REF!)+IF(ISERROR(#REF!),0,#REF!)+F61</f>
        <v>0</v>
      </c>
      <c r="G76" s="10"/>
      <c r="H76" s="11"/>
    </row>
    <row r="77" spans="1:8" s="12" customFormat="1" ht="14.25" x14ac:dyDescent="0.3">
      <c r="A77" s="5"/>
      <c r="B77" s="6"/>
      <c r="C77" s="18"/>
      <c r="D77" s="8"/>
      <c r="E77" s="8"/>
      <c r="F77" s="27"/>
      <c r="G77" s="28"/>
      <c r="H77" s="29"/>
    </row>
    <row r="78" spans="1:8" s="12" customFormat="1" ht="14.25" x14ac:dyDescent="0.3">
      <c r="A78" s="5" t="s">
        <v>108</v>
      </c>
      <c r="B78" s="6"/>
      <c r="C78" s="18"/>
      <c r="D78" s="8">
        <f>+D80-D76</f>
        <v>863.29322786847479</v>
      </c>
      <c r="E78" s="8">
        <f>D78/$D$80*100</f>
        <v>0.40971526710387496</v>
      </c>
      <c r="F78" s="27"/>
      <c r="G78" s="28"/>
      <c r="H78" s="29"/>
    </row>
    <row r="79" spans="1:8" s="12" customFormat="1" ht="14.25" x14ac:dyDescent="0.3">
      <c r="A79" s="5"/>
      <c r="B79" s="6"/>
      <c r="C79" s="18"/>
      <c r="D79" s="13"/>
      <c r="E79" s="13"/>
      <c r="F79" s="27"/>
      <c r="G79" s="28"/>
      <c r="H79" s="29"/>
    </row>
    <row r="80" spans="1:8" s="12" customFormat="1" ht="14.25" x14ac:dyDescent="0.3">
      <c r="A80" s="5" t="s">
        <v>109</v>
      </c>
      <c r="B80" s="6"/>
      <c r="C80" s="18"/>
      <c r="D80" s="8">
        <v>210705.65272580003</v>
      </c>
      <c r="E80" s="8">
        <f>+E76+E78</f>
        <v>99.999999999999986</v>
      </c>
      <c r="F80" s="27"/>
      <c r="G80" s="28"/>
      <c r="H80" s="29"/>
    </row>
    <row r="81" spans="1:8" s="12" customFormat="1" ht="14.25" x14ac:dyDescent="0.3">
      <c r="A81" s="30"/>
      <c r="B81" s="31"/>
      <c r="C81" s="32"/>
      <c r="D81" s="33"/>
      <c r="E81" s="33"/>
      <c r="F81" s="27"/>
      <c r="G81" s="28"/>
      <c r="H81" s="29"/>
    </row>
    <row r="82" spans="1:8" ht="14.25" x14ac:dyDescent="0.3">
      <c r="A82" s="34" t="s">
        <v>110</v>
      </c>
      <c r="B82" s="31"/>
      <c r="C82" s="32"/>
      <c r="D82" s="33"/>
      <c r="E82" s="33"/>
      <c r="F82" s="35"/>
      <c r="G82" s="36"/>
      <c r="H82" s="29"/>
    </row>
    <row r="83" spans="1:8" ht="13.5" x14ac:dyDescent="0.2">
      <c r="A83" s="37"/>
      <c r="B83" s="37"/>
      <c r="C83" s="37"/>
      <c r="D83" s="37"/>
      <c r="E83" s="37"/>
      <c r="F83" s="37"/>
      <c r="G83" s="37"/>
      <c r="H83" s="37"/>
    </row>
    <row r="84" spans="1:8" ht="13.5" x14ac:dyDescent="0.2">
      <c r="A84" s="89" t="s">
        <v>111</v>
      </c>
      <c r="B84" s="89"/>
      <c r="C84" s="89"/>
      <c r="D84" s="89"/>
      <c r="E84" s="89"/>
      <c r="F84" s="89"/>
      <c r="G84" s="89"/>
      <c r="H84" s="89"/>
    </row>
    <row r="85" spans="1:8" ht="14.25" x14ac:dyDescent="0.3">
      <c r="A85" s="38"/>
      <c r="B85" s="39"/>
      <c r="C85" s="40"/>
      <c r="D85" s="41"/>
      <c r="E85" s="41"/>
      <c r="F85" s="42"/>
      <c r="G85" s="28"/>
      <c r="H85" s="29"/>
    </row>
    <row r="86" spans="1:8" ht="13.5" x14ac:dyDescent="0.2">
      <c r="A86" s="89" t="s">
        <v>112</v>
      </c>
      <c r="B86" s="89"/>
      <c r="C86" s="89"/>
      <c r="D86" s="89"/>
      <c r="E86" s="89"/>
      <c r="F86" s="89"/>
      <c r="G86" s="89"/>
      <c r="H86" s="89"/>
    </row>
    <row r="87" spans="1:8" ht="26.25" customHeight="1" x14ac:dyDescent="0.2">
      <c r="A87" s="89" t="s">
        <v>113</v>
      </c>
      <c r="B87" s="89"/>
      <c r="C87" s="89"/>
      <c r="D87" s="89"/>
      <c r="E87" s="89"/>
      <c r="F87" s="89"/>
      <c r="G87" s="89"/>
      <c r="H87" s="89"/>
    </row>
    <row r="88" spans="1:8" ht="13.5" x14ac:dyDescent="0.2">
      <c r="A88" s="80" t="s">
        <v>114</v>
      </c>
      <c r="B88" s="80"/>
      <c r="C88" s="80"/>
      <c r="D88" s="80"/>
      <c r="E88" s="80"/>
      <c r="F88" s="80"/>
      <c r="G88" s="81"/>
      <c r="H88" s="81"/>
    </row>
    <row r="89" spans="1:8" ht="54.75" customHeight="1" x14ac:dyDescent="0.2">
      <c r="A89" s="82" t="s">
        <v>115</v>
      </c>
      <c r="B89" s="82"/>
      <c r="C89" s="82"/>
      <c r="D89" s="82"/>
      <c r="E89" s="82"/>
      <c r="F89" s="82"/>
      <c r="G89" s="82"/>
      <c r="H89" s="81"/>
    </row>
    <row r="90" spans="1:8" ht="14.25" x14ac:dyDescent="0.3">
      <c r="A90" s="43"/>
      <c r="B90" s="43"/>
      <c r="C90" s="43"/>
      <c r="D90" s="43"/>
      <c r="E90" s="43"/>
      <c r="F90" s="43"/>
      <c r="G90" s="41"/>
      <c r="H90" s="41"/>
    </row>
    <row r="91" spans="1:8" ht="14.25" x14ac:dyDescent="0.3">
      <c r="A91" s="44" t="s">
        <v>116</v>
      </c>
      <c r="B91" s="45"/>
      <c r="C91" s="45"/>
      <c r="D91" s="29"/>
      <c r="E91" s="29"/>
      <c r="F91" s="46"/>
      <c r="G91" s="29"/>
      <c r="H91" s="29"/>
    </row>
    <row r="92" spans="1:8" ht="14.25" x14ac:dyDescent="0.3">
      <c r="A92" s="47" t="s">
        <v>117</v>
      </c>
      <c r="B92" s="45"/>
      <c r="C92" s="45"/>
      <c r="D92" s="29"/>
      <c r="E92" s="29"/>
      <c r="F92" s="29"/>
      <c r="G92" s="29"/>
      <c r="H92" s="48"/>
    </row>
    <row r="93" spans="1:8" ht="14.25" x14ac:dyDescent="0.3">
      <c r="A93" s="47" t="s">
        <v>118</v>
      </c>
      <c r="B93" s="45"/>
      <c r="C93" s="45"/>
      <c r="D93" s="29"/>
      <c r="E93" s="29"/>
      <c r="F93" s="29"/>
      <c r="G93" s="29"/>
      <c r="H93" s="48"/>
    </row>
    <row r="94" spans="1:8" ht="14.25" x14ac:dyDescent="0.3">
      <c r="A94" s="47" t="s">
        <v>119</v>
      </c>
      <c r="B94" s="45"/>
      <c r="C94" s="45"/>
      <c r="D94" s="29"/>
      <c r="E94" s="29"/>
      <c r="F94" s="29"/>
      <c r="G94" s="29"/>
      <c r="H94" s="29"/>
    </row>
    <row r="95" spans="1:8" ht="14.25" x14ac:dyDescent="0.3">
      <c r="A95" s="49"/>
      <c r="B95" s="45"/>
      <c r="C95" s="45"/>
      <c r="D95" s="29"/>
      <c r="E95" s="29"/>
      <c r="F95" s="29"/>
      <c r="G95" s="29"/>
      <c r="H95" s="29"/>
    </row>
    <row r="96" spans="1:8" ht="14.25" x14ac:dyDescent="0.3">
      <c r="A96" s="50" t="s">
        <v>120</v>
      </c>
      <c r="B96" s="83" t="s">
        <v>121</v>
      </c>
      <c r="C96" s="83"/>
      <c r="D96" s="83"/>
      <c r="E96" s="51"/>
      <c r="F96" s="29"/>
      <c r="G96" s="29"/>
      <c r="H96" s="29"/>
    </row>
    <row r="97" spans="1:8" ht="14.25" x14ac:dyDescent="0.3">
      <c r="A97" s="50"/>
      <c r="B97" s="52"/>
      <c r="C97" s="52"/>
      <c r="D97" s="52"/>
      <c r="E97" s="51"/>
      <c r="F97" s="29"/>
      <c r="G97" s="29"/>
      <c r="H97" s="29"/>
    </row>
    <row r="98" spans="1:8" ht="14.25" x14ac:dyDescent="0.3">
      <c r="A98" s="53"/>
      <c r="B98" s="45"/>
      <c r="C98" s="45"/>
      <c r="D98" s="29"/>
      <c r="E98" s="29"/>
      <c r="F98" s="29"/>
      <c r="G98" s="29"/>
      <c r="H98" s="29"/>
    </row>
    <row r="99" spans="1:8" ht="14.25" x14ac:dyDescent="0.3">
      <c r="A99" s="45"/>
      <c r="B99" s="45"/>
      <c r="C99" s="45"/>
      <c r="D99" s="29"/>
      <c r="E99" s="29"/>
      <c r="F99" s="29"/>
      <c r="G99" s="29"/>
      <c r="H99" s="29"/>
    </row>
    <row r="100" spans="1:8" ht="14.25" x14ac:dyDescent="0.3">
      <c r="A100" s="54"/>
      <c r="B100" s="55"/>
      <c r="C100" s="56"/>
      <c r="D100" s="29"/>
      <c r="E100" s="29"/>
      <c r="F100" s="29"/>
      <c r="G100" s="29"/>
      <c r="H100" s="29"/>
    </row>
    <row r="101" spans="1:8" ht="14.25" x14ac:dyDescent="0.3">
      <c r="A101" s="54"/>
      <c r="B101" s="55"/>
      <c r="C101" s="56"/>
      <c r="D101" s="29"/>
      <c r="E101" s="29"/>
      <c r="F101" s="29"/>
      <c r="G101" s="29"/>
      <c r="H101" s="29"/>
    </row>
    <row r="102" spans="1:8" ht="14.25" x14ac:dyDescent="0.3">
      <c r="A102" s="54"/>
      <c r="B102" s="55"/>
      <c r="C102" s="56"/>
      <c r="D102" s="29"/>
      <c r="E102" s="29"/>
      <c r="F102" s="29"/>
      <c r="G102" s="29"/>
      <c r="H102" s="29"/>
    </row>
    <row r="103" spans="1:8" ht="14.25" x14ac:dyDescent="0.3">
      <c r="A103" s="54"/>
      <c r="B103" s="55"/>
      <c r="C103" s="56"/>
      <c r="D103" s="29"/>
      <c r="E103" s="29"/>
      <c r="F103" s="29"/>
      <c r="G103" s="29"/>
      <c r="H103" s="29"/>
    </row>
    <row r="104" spans="1:8" ht="14.25" x14ac:dyDescent="0.3">
      <c r="A104" s="54"/>
      <c r="B104" s="55"/>
      <c r="C104" s="56"/>
      <c r="D104" s="29"/>
      <c r="E104" s="29"/>
      <c r="F104" s="29"/>
      <c r="G104" s="29"/>
      <c r="H104" s="29"/>
    </row>
    <row r="105" spans="1:8" ht="14.25" x14ac:dyDescent="0.3">
      <c r="A105" s="54"/>
      <c r="B105" s="55"/>
      <c r="C105" s="56"/>
      <c r="D105" s="29"/>
      <c r="E105" s="29"/>
      <c r="F105" s="29"/>
      <c r="G105" s="29"/>
      <c r="H105" s="29"/>
    </row>
    <row r="106" spans="1:8" ht="15" thickBot="1" x14ac:dyDescent="0.35">
      <c r="A106" s="54"/>
      <c r="B106" s="55"/>
      <c r="C106" s="56"/>
      <c r="D106" s="29"/>
      <c r="E106" s="57"/>
      <c r="F106" s="29"/>
      <c r="G106" s="29"/>
      <c r="H106" s="29"/>
    </row>
    <row r="107" spans="1:8" ht="15" thickBot="1" x14ac:dyDescent="0.35">
      <c r="A107" s="84" t="s">
        <v>122</v>
      </c>
      <c r="B107" s="85"/>
      <c r="C107" s="85"/>
      <c r="D107" s="86"/>
      <c r="E107" s="57"/>
      <c r="F107" s="29"/>
      <c r="G107" s="29"/>
      <c r="H107" s="29"/>
    </row>
    <row r="108" spans="1:8" ht="15" thickBot="1" x14ac:dyDescent="0.35">
      <c r="A108" s="58" t="s">
        <v>123</v>
      </c>
      <c r="B108" s="87" t="s">
        <v>124</v>
      </c>
      <c r="C108" s="87" t="s">
        <v>125</v>
      </c>
      <c r="D108" s="87" t="s">
        <v>126</v>
      </c>
      <c r="E108" s="57"/>
      <c r="F108" s="29"/>
      <c r="G108" s="29"/>
      <c r="H108" s="29"/>
    </row>
    <row r="109" spans="1:8" ht="15" thickBot="1" x14ac:dyDescent="0.35">
      <c r="A109" s="58" t="s">
        <v>127</v>
      </c>
      <c r="B109" s="88"/>
      <c r="C109" s="88"/>
      <c r="D109" s="88"/>
      <c r="E109" s="57"/>
      <c r="F109" s="29"/>
      <c r="G109" s="29"/>
      <c r="H109" s="29"/>
    </row>
    <row r="110" spans="1:8" ht="15" thickBot="1" x14ac:dyDescent="0.35">
      <c r="A110" s="59" t="s">
        <v>128</v>
      </c>
      <c r="B110" s="60"/>
      <c r="C110" s="60" t="s">
        <v>129</v>
      </c>
      <c r="D110" s="61"/>
      <c r="E110" s="57"/>
      <c r="F110" s="29"/>
      <c r="G110" s="29"/>
      <c r="H110" s="29"/>
    </row>
    <row r="111" spans="1:8" ht="15" thickBot="1" x14ac:dyDescent="0.35">
      <c r="A111" s="62" t="s">
        <v>130</v>
      </c>
      <c r="B111" s="61"/>
      <c r="C111" s="61"/>
      <c r="D111" s="61"/>
      <c r="E111" s="57"/>
      <c r="F111" s="29"/>
      <c r="G111" s="29"/>
      <c r="H111" s="29"/>
    </row>
    <row r="112" spans="1:8" ht="15" thickBot="1" x14ac:dyDescent="0.35">
      <c r="A112" s="62" t="s">
        <v>131</v>
      </c>
      <c r="B112" s="61"/>
      <c r="C112" s="61"/>
      <c r="D112" s="61"/>
      <c r="E112" s="57"/>
      <c r="F112" s="29"/>
      <c r="G112" s="29"/>
      <c r="H112" s="29"/>
    </row>
    <row r="113" spans="1:8" ht="14.25" x14ac:dyDescent="0.3">
      <c r="A113" s="63"/>
      <c r="B113" s="64"/>
      <c r="C113" s="64"/>
      <c r="D113" s="64"/>
      <c r="E113" s="57"/>
      <c r="F113" s="29"/>
      <c r="G113" s="29"/>
      <c r="H113" s="29"/>
    </row>
    <row r="114" spans="1:8" ht="14.25" x14ac:dyDescent="0.3">
      <c r="A114" s="78" t="s">
        <v>132</v>
      </c>
      <c r="B114" s="79"/>
      <c r="C114" s="56"/>
      <c r="D114" s="29"/>
      <c r="E114" s="57"/>
      <c r="F114" s="29"/>
      <c r="G114" s="29"/>
      <c r="H114" s="29"/>
    </row>
    <row r="115" spans="1:8" ht="14.25" x14ac:dyDescent="0.3">
      <c r="A115" s="65" t="s">
        <v>133</v>
      </c>
      <c r="B115" s="66" t="s">
        <v>134</v>
      </c>
      <c r="C115" s="56"/>
      <c r="D115" s="29"/>
      <c r="E115" s="57"/>
      <c r="F115" s="29"/>
      <c r="G115" s="29"/>
      <c r="H115" s="29"/>
    </row>
    <row r="116" spans="1:8" ht="14.25" x14ac:dyDescent="0.3">
      <c r="A116" s="65" t="s">
        <v>135</v>
      </c>
      <c r="B116" s="67"/>
      <c r="C116" s="56"/>
      <c r="D116" s="29"/>
      <c r="E116" s="57"/>
      <c r="F116" s="29"/>
      <c r="G116" s="29"/>
      <c r="H116" s="29"/>
    </row>
    <row r="117" spans="1:8" ht="14.25" x14ac:dyDescent="0.3">
      <c r="A117" s="65"/>
      <c r="B117" s="67"/>
      <c r="C117" s="56"/>
      <c r="D117" s="29"/>
      <c r="E117" s="57"/>
      <c r="F117" s="29"/>
      <c r="G117" s="29"/>
      <c r="H117" s="29"/>
    </row>
    <row r="118" spans="1:8" ht="14.25" x14ac:dyDescent="0.3">
      <c r="A118" s="65" t="s">
        <v>136</v>
      </c>
      <c r="B118" s="68">
        <v>7.1400000000000005E-2</v>
      </c>
      <c r="C118" s="56"/>
      <c r="D118" s="29"/>
      <c r="E118" s="57"/>
      <c r="F118" s="29"/>
      <c r="G118" s="29"/>
      <c r="H118" s="29"/>
    </row>
    <row r="119" spans="1:8" ht="14.25" x14ac:dyDescent="0.3">
      <c r="A119" s="65" t="s">
        <v>107</v>
      </c>
      <c r="B119" s="69"/>
      <c r="C119" s="56"/>
      <c r="D119" s="29"/>
      <c r="E119" s="57"/>
      <c r="F119" s="29"/>
      <c r="G119" s="29"/>
      <c r="H119" s="29"/>
    </row>
    <row r="120" spans="1:8" ht="14.25" x14ac:dyDescent="0.3">
      <c r="A120" s="65" t="s">
        <v>137</v>
      </c>
      <c r="B120" s="70">
        <v>6.5699999999999995E-2</v>
      </c>
      <c r="C120" s="56"/>
      <c r="D120" s="29"/>
      <c r="E120" s="57"/>
      <c r="F120" s="29"/>
      <c r="G120" s="29"/>
      <c r="H120" s="29"/>
    </row>
    <row r="121" spans="1:8" ht="14.25" x14ac:dyDescent="0.3">
      <c r="A121" s="65" t="s">
        <v>138</v>
      </c>
      <c r="B121" s="70">
        <v>6.6199999999999995E-2</v>
      </c>
      <c r="C121" s="56"/>
      <c r="D121" s="29"/>
      <c r="E121" s="57"/>
      <c r="F121" s="29"/>
      <c r="G121" s="29"/>
      <c r="H121" s="29"/>
    </row>
    <row r="122" spans="1:8" ht="14.25" x14ac:dyDescent="0.3">
      <c r="A122" s="65" t="s">
        <v>107</v>
      </c>
      <c r="B122" s="21"/>
      <c r="C122" s="56"/>
      <c r="D122" s="29"/>
      <c r="E122" s="57"/>
      <c r="F122" s="29"/>
      <c r="G122" s="29"/>
      <c r="H122" s="29"/>
    </row>
    <row r="123" spans="1:8" ht="14.25" x14ac:dyDescent="0.3">
      <c r="A123" s="65" t="s">
        <v>139</v>
      </c>
      <c r="B123" s="71" t="s">
        <v>140</v>
      </c>
      <c r="C123" s="56"/>
      <c r="D123" s="29"/>
      <c r="E123" s="57"/>
      <c r="F123" s="29"/>
      <c r="G123" s="29"/>
      <c r="H123" s="29"/>
    </row>
    <row r="124" spans="1:8" ht="14.25" x14ac:dyDescent="0.3">
      <c r="A124" s="72" t="s">
        <v>141</v>
      </c>
      <c r="B124" s="73"/>
      <c r="C124" s="56"/>
      <c r="D124" s="29"/>
      <c r="E124" s="57"/>
      <c r="F124" s="29"/>
      <c r="G124" s="29"/>
      <c r="H124" s="29"/>
    </row>
  </sheetData>
  <mergeCells count="14">
    <mergeCell ref="A87:H87"/>
    <mergeCell ref="A1:H1"/>
    <mergeCell ref="A2:H2"/>
    <mergeCell ref="A3:H3"/>
    <mergeCell ref="A84:H84"/>
    <mergeCell ref="A86:H86"/>
    <mergeCell ref="A114:B114"/>
    <mergeCell ref="A88:H88"/>
    <mergeCell ref="A89:H89"/>
    <mergeCell ref="B96:D96"/>
    <mergeCell ref="A107:D107"/>
    <mergeCell ref="B108:B109"/>
    <mergeCell ref="C108:C109"/>
    <mergeCell ref="D108:D10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2024-05-02T07:11:07Z</dcterms:created>
  <dcterms:modified xsi:type="dcterms:W3CDTF">2024-05-06T07:13:34Z</dcterms:modified>
</cp:coreProperties>
</file>