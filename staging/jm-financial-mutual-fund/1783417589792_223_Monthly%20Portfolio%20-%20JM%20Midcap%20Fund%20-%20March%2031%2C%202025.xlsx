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Midcap Fund" sheetId="1" r:id="rId1"/>
  </sheets>
  <definedNames>
    <definedName name="_xlnm._FilterDatabase" localSheetId="0" hidden="1">'JM Midcap Fund'!$A$4:$H$76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Fund'!$A$1:$E$68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1" l="1"/>
  <c r="D70" i="1"/>
  <c r="E74" i="1" l="1"/>
  <c r="D74" i="1"/>
  <c r="E52" i="1"/>
  <c r="E57" i="1" s="1"/>
  <c r="D52" i="1"/>
  <c r="D57" i="1" s="1"/>
  <c r="D75" i="1" l="1"/>
  <c r="E75" i="1"/>
</calcChain>
</file>

<file path=xl/sharedStrings.xml><?xml version="1.0" encoding="utf-8"?>
<sst xmlns="http://schemas.openxmlformats.org/spreadsheetml/2006/main" count="192" uniqueCount="154">
  <si>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</si>
  <si>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</si>
  <si>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</si>
  <si>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</si>
  <si>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</si>
  <si>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</si>
  <si>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</si>
  <si>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</si>
  <si>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</si>
  <si>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</si>
  <si>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</si>
  <si>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</si>
  <si>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</si>
  <si>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</si>
  <si>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</si>
  <si>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</si>
  <si>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</si>
  <si>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</si>
  <si>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</si>
  <si>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</si>
  <si>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Midcap Fund (An open ended equity scheme predominantly investing in mid cap stocks.)</t>
  </si>
  <si>
    <t>JM Financial Mutual Fund</t>
  </si>
  <si>
    <t>Equity &amp; Equity related</t>
  </si>
  <si>
    <t>a) Listed / awaiting listing on Stock Exchanges</t>
  </si>
  <si>
    <t>INE376G01013</t>
  </si>
  <si>
    <t>INE142M01025</t>
  </si>
  <si>
    <t>INE171A01029</t>
  </si>
  <si>
    <t>INE647A01010</t>
  </si>
  <si>
    <t>Healthcare Services</t>
  </si>
  <si>
    <t>INE027H01010</t>
  </si>
  <si>
    <t>INE823G01014</t>
  </si>
  <si>
    <t>INE562A01011</t>
  </si>
  <si>
    <t>INE974X01010</t>
  </si>
  <si>
    <t>INE872J01023</t>
  </si>
  <si>
    <t>INE196A01026</t>
  </si>
  <si>
    <t>INE797F01020</t>
  </si>
  <si>
    <t>INE258G01013</t>
  </si>
  <si>
    <t>INE013P01021</t>
  </si>
  <si>
    <t>INE034A01011</t>
  </si>
  <si>
    <t>INE437A01024</t>
  </si>
  <si>
    <t>INE406A01037</t>
  </si>
  <si>
    <t>INE457A01014</t>
  </si>
  <si>
    <t>INE257A01026</t>
  </si>
  <si>
    <t>INE571A01038</t>
  </si>
  <si>
    <t>INE061F01013</t>
  </si>
  <si>
    <t>INE883F01010</t>
  </si>
  <si>
    <t>INE00FF01017</t>
  </si>
  <si>
    <t>INE226A01021</t>
  </si>
  <si>
    <t>INE0LCL01028</t>
  </si>
  <si>
    <t>INE953L01027</t>
  </si>
  <si>
    <t>INE356A01018</t>
  </si>
  <si>
    <t>INE635Q01029</t>
  </si>
  <si>
    <t>INE602W01027</t>
  </si>
  <si>
    <t>INE260B01028</t>
  </si>
  <si>
    <t>INE291A01017</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</si>
  <si>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</si>
  <si>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</si>
  <si>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</si>
  <si>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</si>
  <si>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</si>
  <si>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</si>
  <si>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</si>
  <si>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</si>
  <si>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</si>
  <si>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</si>
  <si>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</si>
  <si>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GRAND TOTAL</t>
  </si>
  <si>
    <t>Consumer Durables</t>
  </si>
  <si>
    <t>Pharmaceuticals &amp; Biotechnology</t>
  </si>
  <si>
    <t>IT - Services</t>
  </si>
  <si>
    <t>Banks</t>
  </si>
  <si>
    <t>Chemicals &amp; Petrochemicals</t>
  </si>
  <si>
    <t>Cement &amp; Cement Products</t>
  </si>
  <si>
    <t>Auto Components</t>
  </si>
  <si>
    <t>Leisure Services</t>
  </si>
  <si>
    <t>Agricultural Food &amp; other Products</t>
  </si>
  <si>
    <t>Finance</t>
  </si>
  <si>
    <t>Fertilizers &amp; Agrochemicals</t>
  </si>
  <si>
    <t>IT - Software</t>
  </si>
  <si>
    <t>Textiles &amp; Apparels</t>
  </si>
  <si>
    <t>Electrical Equipment</t>
  </si>
  <si>
    <t>Capital Markets</t>
  </si>
  <si>
    <t>Industrial Products</t>
  </si>
  <si>
    <t>Petroleum Products</t>
  </si>
  <si>
    <t>Cigarettes &amp; Tobacco Products</t>
  </si>
  <si>
    <t>Cash &amp; Cash Equivalents</t>
  </si>
  <si>
    <t>Net Receivable/Payable</t>
  </si>
  <si>
    <t>INE018E01016</t>
  </si>
  <si>
    <t>INE121E01018</t>
  </si>
  <si>
    <t>INE127D01025</t>
  </si>
  <si>
    <t>INE04I401011</t>
  </si>
  <si>
    <t>INE159A01016</t>
  </si>
  <si>
    <t>INE094A01015</t>
  </si>
  <si>
    <t>INE596I01012</t>
  </si>
  <si>
    <t>Power</t>
  </si>
  <si>
    <t>CCIL</t>
  </si>
  <si>
    <t>Monthly Portfolio Statement for the period ended 31.03.2025</t>
  </si>
  <si>
    <t>Bharat Heavy Electricals Limited</t>
  </si>
  <si>
    <t>The Federal Bank  Limited</t>
  </si>
  <si>
    <t>Indian Bank</t>
  </si>
  <si>
    <t>Godfrey Phillips India Limited</t>
  </si>
  <si>
    <t>Jubilant Foodworks Limited</t>
  </si>
  <si>
    <t>MphasiS Limited</t>
  </si>
  <si>
    <t>Voltas Limited</t>
  </si>
  <si>
    <t>Aurobindo Pharma Limited</t>
  </si>
  <si>
    <t>SBI Cards and Payment Services Limited</t>
  </si>
  <si>
    <t>Apollo Hospitals Enterprise Limited</t>
  </si>
  <si>
    <t>JK Cement Limited</t>
  </si>
  <si>
    <t>HDFC Asset Management Company Limited</t>
  </si>
  <si>
    <t>Tata Technologies Limited</t>
  </si>
  <si>
    <t>Bank of Maharashtra</t>
  </si>
  <si>
    <t>Arvind Limited</t>
  </si>
  <si>
    <t>Marico Limited</t>
  </si>
  <si>
    <t>Hindustan Petroleum Corporation Limited</t>
  </si>
  <si>
    <t>Sumitomo Chemical India Limited</t>
  </si>
  <si>
    <t>Aadhar Housing Finance Limited</t>
  </si>
  <si>
    <t>IPCA Laboratories Limited</t>
  </si>
  <si>
    <t>AVALON TECHNOLOGIES LIMITED</t>
  </si>
  <si>
    <t>SRF Limited</t>
  </si>
  <si>
    <t>Fortis Healthcare Limited</t>
  </si>
  <si>
    <t>Max Healthcare Institute Limited</t>
  </si>
  <si>
    <t>JSW Energy Limited</t>
  </si>
  <si>
    <t>Cummins India Limited</t>
  </si>
  <si>
    <t>Jindal Steel &amp; Power Limited</t>
  </si>
  <si>
    <t>Ferrous Metals</t>
  </si>
  <si>
    <t>One Source Specialty Pharma Ltd</t>
  </si>
  <si>
    <t>Biocon Limited</t>
  </si>
  <si>
    <t>Devyani International Limited</t>
  </si>
  <si>
    <t>Garware Polyester Limited</t>
  </si>
  <si>
    <t>TUBE INVESTMENTS OF INDIA LTD</t>
  </si>
  <si>
    <t>SWIGGY LIMITED</t>
  </si>
  <si>
    <t>Retailing</t>
  </si>
  <si>
    <t>KPIT Technologies Limited</t>
  </si>
  <si>
    <t>Suzlon Energy Limited</t>
  </si>
  <si>
    <t>Suven Pharmaceuticals Ltd</t>
  </si>
  <si>
    <t>Gulf Oil Lubricants India Limited</t>
  </si>
  <si>
    <t>Jana Small Finance Bank Ltd</t>
  </si>
  <si>
    <t>GlaxoSmithKline Pharmaceuticals Ltd</t>
  </si>
  <si>
    <t>Schaeffler India Ltd</t>
  </si>
  <si>
    <t>Computer Age Management Services Limited</t>
  </si>
  <si>
    <t>PB Fintech Limited</t>
  </si>
  <si>
    <t>Financial Technology (Fintech)</t>
  </si>
  <si>
    <t>Steel Authority of India Limited</t>
  </si>
  <si>
    <t>AMI ORGANICS LIMITED</t>
  </si>
  <si>
    <t>Senco Gold Limited</t>
  </si>
  <si>
    <t>INE298A01020</t>
  </si>
  <si>
    <t>INE749A01030</t>
  </si>
  <si>
    <t>INE00H001014</t>
  </si>
  <si>
    <t>INE040H01021</t>
  </si>
  <si>
    <t>INE03QK01018</t>
  </si>
  <si>
    <t>INE513A01022</t>
  </si>
  <si>
    <t>INE417T01026</t>
  </si>
  <si>
    <t>INE114A01011</t>
  </si>
  <si>
    <t>02-APR-2025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</si>
</sst>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cellStyleXfs>
  <cellXfs count="5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0" fontId="5" fillId="0" borderId="0" xfId="2" applyFont="1" applyAlignment="1">
      <alignment horizontal="left" wrapText="1"/>
    </xf>
    <xf numFmtId="0" fontId="7" fillId="0" borderId="0" xfId="3" applyFont="1"/>
    <xf numFmtId="0" fontId="8" fillId="0" borderId="0" xfId="2" applyFont="1" applyAlignment="1">
      <alignment horizontal="left"/>
    </xf>
    <xf numFmtId="0" fontId="8" fillId="0" borderId="0" xfId="2" applyFont="1"/>
    <xf numFmtId="0" fontId="8" fillId="0" borderId="0" xfId="2" applyFont="1" applyAlignment="1">
      <alignment horizontal="center"/>
    </xf>
    <xf numFmtId="0" fontId="9" fillId="0" borderId="0" xfId="4" applyFont="1" applyAlignment="1">
      <alignment horizontal="center"/>
    </xf>
    <xf numFmtId="0" fontId="7" fillId="0" borderId="0" xfId="3" applyFont="1" applyAlignment="1">
      <alignment horizontal="left" wrapText="1"/>
    </xf>
    <xf numFmtId="0" fontId="4" fillId="0" borderId="0" xfId="2" applyFont="1" applyAlignment="1">
      <alignment horizontal="right"/>
    </xf>
    <xf numFmtId="0" fontId="9" fillId="0" borderId="0" xfId="3" applyFont="1"/>
    <xf numFmtId="165" fontId="4" fillId="0" borderId="0" xfId="5" applyNumberFormat="1" applyFont="1" applyFill="1" applyBorder="1"/>
    <xf numFmtId="0" fontId="4" fillId="0" borderId="0" xfId="2" applyFont="1" applyAlignment="1">
      <alignment horizontal="left" wrapText="1"/>
    </xf>
    <xf numFmtId="0" fontId="4" fillId="0" borderId="0" xfId="2" applyFont="1" applyAlignment="1">
      <alignment wrapText="1"/>
    </xf>
    <xf numFmtId="0" fontId="4" fillId="0" borderId="0" xfId="0" applyFont="1"/>
    <xf numFmtId="0" fontId="4" fillId="0" borderId="0" xfId="0" applyFont="1" applyAlignment="1">
      <alignment horizontal="right"/>
    </xf>
    <xf numFmtId="164" fontId="8" fillId="0" borderId="0" xfId="1" applyFont="1" applyFill="1" applyBorder="1" applyAlignment="1">
      <alignment horizontal="right"/>
    </xf>
    <xf numFmtId="165" fontId="8" fillId="0" borderId="0" xfId="1" applyNumberFormat="1" applyFont="1" applyFill="1" applyBorder="1" applyAlignment="1">
      <alignment horizontal="right"/>
    </xf>
    <xf numFmtId="0" fontId="8" fillId="0" borderId="0" xfId="0" applyFont="1" applyAlignment="1">
      <alignment horizontal="left" wrapText="1"/>
    </xf>
    <xf numFmtId="0" fontId="8"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8"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8" fillId="0" borderId="1" xfId="0" applyFont="1" applyBorder="1" applyAlignment="1">
      <alignment horizontal="left" wrapText="1"/>
    </xf>
    <xf numFmtId="0" fontId="1" fillId="0" borderId="0" xfId="0" applyFont="1" applyAlignment="1">
      <alignment horizontal="center"/>
    </xf>
    <xf numFmtId="0" fontId="8" fillId="0" borderId="1" xfId="0" applyFont="1" applyBorder="1" applyAlignment="1">
      <alignment horizontal="center" vertical="center" wrapText="1"/>
    </xf>
    <xf numFmtId="165" fontId="8" fillId="0" borderId="1" xfId="1" applyNumberFormat="1" applyFont="1" applyFill="1" applyBorder="1" applyAlignment="1">
      <alignment horizontal="center" vertical="center"/>
    </xf>
    <xf numFmtId="0" fontId="8" fillId="0" borderId="1" xfId="0" applyFont="1" applyBorder="1" applyAlignment="1">
      <alignment horizontal="left" vertical="center" wrapText="1"/>
    </xf>
    <xf numFmtId="4" fontId="8" fillId="0" borderId="1" xfId="0" applyNumberFormat="1" applyFont="1" applyBorder="1" applyAlignment="1">
      <alignment horizontal="center" wrapText="1"/>
    </xf>
    <xf numFmtId="10" fontId="8"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8" fillId="0" borderId="1" xfId="2" applyFont="1" applyBorder="1" applyAlignment="1">
      <alignment wrapText="1"/>
    </xf>
    <xf numFmtId="0" fontId="4" fillId="0" borderId="1" xfId="2" applyFont="1" applyBorder="1" applyAlignment="1">
      <alignment wrapText="1"/>
    </xf>
    <xf numFmtId="10" fontId="8" fillId="0" borderId="1" xfId="8" applyNumberFormat="1" applyFont="1" applyBorder="1" applyAlignment="1">
      <alignment horizontal="center" wrapText="1"/>
    </xf>
    <xf numFmtId="4" fontId="4" fillId="0" borderId="0" xfId="2" applyNumberFormat="1" applyFont="1"/>
    <xf numFmtId="10" fontId="4" fillId="0" borderId="1" xfId="0" applyNumberFormat="1" applyFont="1" applyBorder="1"/>
    <xf numFmtId="0" fontId="10" fillId="0" borderId="0" xfId="6" applyFont="1" applyAlignment="1">
      <alignment horizontal="left" vertical="top" wrapText="1"/>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0" xfId="2" applyFont="1" applyFill="1" applyAlignment="1">
      <alignment horizontal="center" vertical="center" wrapText="1"/>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4" fillId="0" borderId="0" xfId="7" applyFont="1" applyAlignment="1">
      <alignment vertical="top" wrapText="1"/>
    </xf>
    <xf numFmtId="0" fontId="7" fillId="0" borderId="0" xfId="6" applyFont="1" applyAlignment="1">
      <alignment horizontal="left" vertical="top" wrapText="1"/>
    </xf>
  </cellXfs>
  <cellStyles count="9">
    <cellStyle name="Comma" xfId="1" builtinId="3"/>
    <cellStyle name="Comma 4" xfId="5"/>
    <cellStyle name="Normal" xfId="0" builtinId="0"/>
    <cellStyle name="Normal 2 2 2" xfId="2"/>
    <cellStyle name="Normal 2 3 2" xfId="7"/>
    <cellStyle name="Normal 4_IF" xfId="4"/>
    <cellStyle name="Normal 4_LD" xfId="6"/>
    <cellStyle name="Normal 4_TG" xfId="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419100</xdr:colOff>
      <xdr:row>87</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1171575</xdr:colOff>
      <xdr:row>87</xdr:row>
      <xdr:rowOff>85725</xdr:rowOff>
    </xdr:from>
    <xdr:ext cx="2936875" cy="171767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5960725"/>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0"/>
  <sheetViews>
    <sheetView tabSelected="1" topLeftCell="A85" zoomScaleNormal="100" workbookViewId="0">
      <selection activeCell="A100" sqref="A100"/>
    </sheetView>
  </sheetViews>
  <sheetFormatPr defaultColWidth="9.140625" defaultRowHeight="12.75" x14ac:dyDescent="0.2"/>
  <cols>
    <col min="1" max="1" width="43.5703125" style="4" customWidth="1"/>
    <col min="2" max="2" width="35.85546875" style="3" customWidth="1"/>
    <col min="3" max="3" width="13.42578125" style="2" customWidth="1"/>
    <col min="4" max="4" width="12" style="1" customWidth="1"/>
    <col min="5" max="5" width="10.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21</v>
      </c>
      <c r="B1" s="51"/>
      <c r="C1" s="51"/>
      <c r="D1" s="51"/>
      <c r="E1" s="51"/>
      <c r="F1" s="51"/>
      <c r="G1" s="51"/>
      <c r="H1" s="51"/>
    </row>
    <row r="2" spans="1:8" x14ac:dyDescent="0.2">
      <c r="A2" s="52" t="s">
        <v>20</v>
      </c>
      <c r="B2" s="52"/>
      <c r="C2" s="52"/>
      <c r="D2" s="52"/>
      <c r="E2" s="52"/>
      <c r="F2" s="52"/>
      <c r="G2" s="52"/>
      <c r="H2" s="52"/>
    </row>
    <row r="3" spans="1:8" ht="12.75" customHeight="1" x14ac:dyDescent="0.2">
      <c r="A3" s="53" t="s">
        <v>96</v>
      </c>
      <c r="B3" s="53"/>
      <c r="C3" s="53"/>
      <c r="D3" s="53"/>
      <c r="E3" s="53"/>
      <c r="F3" s="53"/>
      <c r="G3" s="53"/>
      <c r="H3" s="53"/>
    </row>
    <row r="4" spans="1:8" s="35" customFormat="1" ht="35.25" customHeight="1" x14ac:dyDescent="0.2">
      <c r="A4" s="36" t="s">
        <v>19</v>
      </c>
      <c r="B4" s="38" t="s">
        <v>18</v>
      </c>
      <c r="C4" s="37" t="s">
        <v>17</v>
      </c>
      <c r="D4" s="36" t="s">
        <v>16</v>
      </c>
      <c r="E4" s="36" t="s">
        <v>15</v>
      </c>
      <c r="F4" s="36" t="s">
        <v>14</v>
      </c>
      <c r="G4" s="36" t="s">
        <v>13</v>
      </c>
      <c r="H4" s="36" t="s">
        <v>12</v>
      </c>
    </row>
    <row r="5" spans="1:8" ht="14.25" x14ac:dyDescent="0.3">
      <c r="A5" s="34" t="s">
        <v>22</v>
      </c>
      <c r="B5" s="33"/>
      <c r="C5" s="32"/>
      <c r="D5" s="31"/>
      <c r="E5" s="31"/>
      <c r="F5" s="30"/>
      <c r="G5" s="29"/>
      <c r="H5" s="28"/>
    </row>
    <row r="6" spans="1:8" ht="14.25" x14ac:dyDescent="0.3">
      <c r="A6" s="34" t="s">
        <v>23</v>
      </c>
      <c r="B6" s="33"/>
      <c r="C6" s="32"/>
      <c r="D6" s="31"/>
      <c r="E6" s="31"/>
      <c r="F6" s="30"/>
      <c r="G6" s="29"/>
      <c r="H6" s="28"/>
    </row>
    <row r="7" spans="1:8" ht="14.25" x14ac:dyDescent="0.3">
      <c r="A7" s="41" t="s">
        <v>97</v>
      </c>
      <c r="B7" s="41" t="s">
        <v>80</v>
      </c>
      <c r="C7" s="32">
        <v>2601337</v>
      </c>
      <c r="D7" s="42">
        <v>5630.0736691000002</v>
      </c>
      <c r="E7" s="43">
        <v>4.4644013413211239E-2</v>
      </c>
      <c r="F7" s="30" t="s">
        <v>42</v>
      </c>
      <c r="G7" s="29"/>
      <c r="H7" s="28"/>
    </row>
    <row r="8" spans="1:8" ht="14.25" x14ac:dyDescent="0.3">
      <c r="A8" s="41" t="s">
        <v>98</v>
      </c>
      <c r="B8" s="41" t="s">
        <v>70</v>
      </c>
      <c r="C8" s="32">
        <v>2623539</v>
      </c>
      <c r="D8" s="42">
        <v>5056.3467147000001</v>
      </c>
      <c r="E8" s="43">
        <v>4.0094610447432837E-2</v>
      </c>
      <c r="F8" s="30" t="s">
        <v>26</v>
      </c>
      <c r="G8" s="29"/>
      <c r="H8" s="28"/>
    </row>
    <row r="9" spans="1:8" ht="14.25" x14ac:dyDescent="0.3">
      <c r="A9" s="41" t="s">
        <v>99</v>
      </c>
      <c r="B9" s="41" t="s">
        <v>70</v>
      </c>
      <c r="C9" s="32">
        <v>885551</v>
      </c>
      <c r="D9" s="42">
        <v>4793.4875629999997</v>
      </c>
      <c r="E9" s="43">
        <v>3.8010252731354131E-2</v>
      </c>
      <c r="F9" s="30" t="s">
        <v>31</v>
      </c>
      <c r="G9" s="29"/>
      <c r="H9" s="28"/>
    </row>
    <row r="10" spans="1:8" ht="14.25" x14ac:dyDescent="0.3">
      <c r="A10" s="41" t="s">
        <v>100</v>
      </c>
      <c r="B10" s="41" t="s">
        <v>84</v>
      </c>
      <c r="C10" s="32">
        <v>68369</v>
      </c>
      <c r="D10" s="42">
        <v>4628.0343480000001</v>
      </c>
      <c r="E10" s="43">
        <v>3.6698281346279928E-2</v>
      </c>
      <c r="F10" s="30" t="s">
        <v>53</v>
      </c>
      <c r="G10" s="29"/>
      <c r="H10" s="28"/>
    </row>
    <row r="11" spans="1:8" ht="14.25" x14ac:dyDescent="0.3">
      <c r="A11" s="41" t="s">
        <v>101</v>
      </c>
      <c r="B11" s="41" t="s">
        <v>74</v>
      </c>
      <c r="C11" s="32">
        <v>686388</v>
      </c>
      <c r="D11" s="42">
        <v>4560.0186780000004</v>
      </c>
      <c r="E11" s="43">
        <v>3.6158946932157786E-2</v>
      </c>
      <c r="F11" s="30" t="s">
        <v>35</v>
      </c>
      <c r="G11" s="29"/>
      <c r="H11" s="28"/>
    </row>
    <row r="12" spans="1:8" ht="14.25" x14ac:dyDescent="0.3">
      <c r="A12" s="41" t="s">
        <v>102</v>
      </c>
      <c r="B12" s="41" t="s">
        <v>78</v>
      </c>
      <c r="C12" s="32">
        <v>157857</v>
      </c>
      <c r="D12" s="42">
        <v>3946.740714</v>
      </c>
      <c r="E12" s="43">
        <v>3.1295921817387024E-2</v>
      </c>
      <c r="F12" s="30" t="s">
        <v>50</v>
      </c>
      <c r="G12" s="29"/>
      <c r="H12" s="28"/>
    </row>
    <row r="13" spans="1:8" ht="14.25" x14ac:dyDescent="0.3">
      <c r="A13" s="41" t="s">
        <v>103</v>
      </c>
      <c r="B13" s="41" t="s">
        <v>67</v>
      </c>
      <c r="C13" s="32">
        <v>257797</v>
      </c>
      <c r="D13" s="42">
        <v>3760.4848390000002</v>
      </c>
      <c r="E13" s="43">
        <v>2.9818994467852248E-2</v>
      </c>
      <c r="F13" s="30" t="s">
        <v>47</v>
      </c>
      <c r="G13" s="29"/>
      <c r="H13" s="28"/>
    </row>
    <row r="14" spans="1:8" ht="14.25" x14ac:dyDescent="0.3">
      <c r="A14" s="41" t="s">
        <v>104</v>
      </c>
      <c r="B14" s="41" t="s">
        <v>68</v>
      </c>
      <c r="C14" s="32">
        <v>309752</v>
      </c>
      <c r="D14" s="42">
        <v>3594.6719600000001</v>
      </c>
      <c r="E14" s="43">
        <v>2.8504171105098185E-2</v>
      </c>
      <c r="F14" s="30" t="s">
        <v>40</v>
      </c>
      <c r="G14" s="29"/>
      <c r="H14" s="28"/>
    </row>
    <row r="15" spans="1:8" ht="14.25" x14ac:dyDescent="0.3">
      <c r="A15" s="41" t="s">
        <v>105</v>
      </c>
      <c r="B15" s="41" t="s">
        <v>76</v>
      </c>
      <c r="C15" s="32">
        <v>405400</v>
      </c>
      <c r="D15" s="42">
        <v>3571.9794000000002</v>
      </c>
      <c r="E15" s="43">
        <v>2.8324229063028592E-2</v>
      </c>
      <c r="F15" s="30" t="s">
        <v>87</v>
      </c>
      <c r="G15" s="29"/>
      <c r="H15" s="28"/>
    </row>
    <row r="16" spans="1:8" ht="14.25" x14ac:dyDescent="0.3">
      <c r="A16" s="41" t="s">
        <v>106</v>
      </c>
      <c r="B16" s="41" t="s">
        <v>28</v>
      </c>
      <c r="C16" s="32">
        <v>53561</v>
      </c>
      <c r="D16" s="42">
        <v>3543.702882</v>
      </c>
      <c r="E16" s="43">
        <v>2.8100008684563683E-2</v>
      </c>
      <c r="F16" s="30" t="s">
        <v>39</v>
      </c>
      <c r="G16" s="29"/>
      <c r="H16" s="28"/>
    </row>
    <row r="17" spans="1:8" ht="14.25" x14ac:dyDescent="0.3">
      <c r="A17" s="41" t="s">
        <v>107</v>
      </c>
      <c r="B17" s="41" t="s">
        <v>72</v>
      </c>
      <c r="C17" s="32">
        <v>70000</v>
      </c>
      <c r="D17" s="42">
        <v>3452.855</v>
      </c>
      <c r="E17" s="43">
        <v>2.7379624849298848E-2</v>
      </c>
      <c r="F17" s="30" t="s">
        <v>30</v>
      </c>
      <c r="G17" s="29"/>
      <c r="H17" s="28"/>
    </row>
    <row r="18" spans="1:8" ht="14.25" x14ac:dyDescent="0.3">
      <c r="A18" s="41" t="s">
        <v>108</v>
      </c>
      <c r="B18" s="41" t="s">
        <v>81</v>
      </c>
      <c r="C18" s="32">
        <v>85000</v>
      </c>
      <c r="D18" s="42">
        <v>3411.8150000000001</v>
      </c>
      <c r="E18" s="43">
        <v>2.7054195659884515E-2</v>
      </c>
      <c r="F18" s="30" t="s">
        <v>89</v>
      </c>
      <c r="G18" s="29"/>
      <c r="H18" s="28"/>
    </row>
    <row r="19" spans="1:8" ht="14.25" x14ac:dyDescent="0.3">
      <c r="A19" s="41" t="s">
        <v>109</v>
      </c>
      <c r="B19" s="41" t="s">
        <v>69</v>
      </c>
      <c r="C19" s="32">
        <v>500000</v>
      </c>
      <c r="D19" s="42">
        <v>3399.5</v>
      </c>
      <c r="E19" s="43">
        <v>2.6956543114376778E-2</v>
      </c>
      <c r="F19" s="30" t="s">
        <v>25</v>
      </c>
      <c r="G19" s="29"/>
      <c r="H19" s="28"/>
    </row>
    <row r="20" spans="1:8" ht="14.25" x14ac:dyDescent="0.3">
      <c r="A20" s="41" t="s">
        <v>110</v>
      </c>
      <c r="B20" s="41" t="s">
        <v>70</v>
      </c>
      <c r="C20" s="32">
        <v>7315957</v>
      </c>
      <c r="D20" s="42">
        <v>3390.2144738000002</v>
      </c>
      <c r="E20" s="43">
        <v>2.6882912966605055E-2</v>
      </c>
      <c r="F20" s="30" t="s">
        <v>41</v>
      </c>
      <c r="G20" s="29"/>
      <c r="H20" s="28"/>
    </row>
    <row r="21" spans="1:8" ht="14.25" x14ac:dyDescent="0.3">
      <c r="A21" s="41" t="s">
        <v>111</v>
      </c>
      <c r="B21" s="41" t="s">
        <v>79</v>
      </c>
      <c r="C21" s="32">
        <v>1033430</v>
      </c>
      <c r="D21" s="42">
        <v>3256.8546449999999</v>
      </c>
      <c r="E21" s="43">
        <v>2.5825428049772253E-2</v>
      </c>
      <c r="F21" s="30" t="s">
        <v>38</v>
      </c>
      <c r="G21" s="29"/>
      <c r="H21" s="28"/>
    </row>
    <row r="22" spans="1:8" ht="14.25" x14ac:dyDescent="0.3">
      <c r="A22" s="41" t="s">
        <v>112</v>
      </c>
      <c r="B22" s="41" t="s">
        <v>75</v>
      </c>
      <c r="C22" s="32">
        <v>489623</v>
      </c>
      <c r="D22" s="42">
        <v>3190.6282795000002</v>
      </c>
      <c r="E22" s="43">
        <v>2.530028203509091E-2</v>
      </c>
      <c r="F22" s="30" t="s">
        <v>34</v>
      </c>
      <c r="G22" s="29"/>
      <c r="H22" s="28"/>
    </row>
    <row r="23" spans="1:8" ht="14.25" x14ac:dyDescent="0.3">
      <c r="A23" s="41" t="s">
        <v>113</v>
      </c>
      <c r="B23" s="41" t="s">
        <v>83</v>
      </c>
      <c r="C23" s="32">
        <v>834556</v>
      </c>
      <c r="D23" s="42">
        <v>3007.3225459999999</v>
      </c>
      <c r="E23" s="43">
        <v>2.3846748012968478E-2</v>
      </c>
      <c r="F23" s="30" t="s">
        <v>92</v>
      </c>
      <c r="G23" s="29"/>
      <c r="H23" s="28"/>
    </row>
    <row r="24" spans="1:8" ht="14.25" x14ac:dyDescent="0.3">
      <c r="A24" s="41" t="s">
        <v>114</v>
      </c>
      <c r="B24" s="41" t="s">
        <v>77</v>
      </c>
      <c r="C24" s="32">
        <v>481260</v>
      </c>
      <c r="D24" s="42">
        <v>2691.9278100000001</v>
      </c>
      <c r="E24" s="43">
        <v>2.1345806168864497E-2</v>
      </c>
      <c r="F24" s="30" t="s">
        <v>36</v>
      </c>
      <c r="G24" s="29"/>
      <c r="H24" s="28"/>
    </row>
    <row r="25" spans="1:8" ht="14.25" x14ac:dyDescent="0.3">
      <c r="A25" s="41" t="s">
        <v>115</v>
      </c>
      <c r="B25" s="41" t="s">
        <v>76</v>
      </c>
      <c r="C25" s="32">
        <v>628267</v>
      </c>
      <c r="D25" s="42">
        <v>2669.1923495000001</v>
      </c>
      <c r="E25" s="43">
        <v>2.116552394465698E-2</v>
      </c>
      <c r="F25" s="30" t="s">
        <v>45</v>
      </c>
      <c r="G25" s="29"/>
      <c r="H25" s="28"/>
    </row>
    <row r="26" spans="1:8" ht="14.25" x14ac:dyDescent="0.3">
      <c r="A26" s="41" t="s">
        <v>116</v>
      </c>
      <c r="B26" s="41" t="s">
        <v>68</v>
      </c>
      <c r="C26" s="32">
        <v>177500</v>
      </c>
      <c r="D26" s="42">
        <v>2665.8724999999999</v>
      </c>
      <c r="E26" s="43">
        <v>2.1139198995052629E-2</v>
      </c>
      <c r="F26" s="30" t="s">
        <v>43</v>
      </c>
      <c r="G26" s="29"/>
      <c r="H26" s="28"/>
    </row>
    <row r="27" spans="1:8" ht="14.25" x14ac:dyDescent="0.3">
      <c r="A27" s="41" t="s">
        <v>117</v>
      </c>
      <c r="B27" s="41" t="s">
        <v>80</v>
      </c>
      <c r="C27" s="32">
        <v>350145</v>
      </c>
      <c r="D27" s="42">
        <v>2652.5234475000002</v>
      </c>
      <c r="E27" s="43">
        <v>2.103334686701841E-2</v>
      </c>
      <c r="F27" s="30" t="s">
        <v>48</v>
      </c>
      <c r="G27" s="29"/>
      <c r="H27" s="28"/>
    </row>
    <row r="28" spans="1:8" ht="14.25" x14ac:dyDescent="0.3">
      <c r="A28" s="41" t="s">
        <v>118</v>
      </c>
      <c r="B28" s="41" t="s">
        <v>71</v>
      </c>
      <c r="C28" s="32">
        <v>88626</v>
      </c>
      <c r="D28" s="42">
        <v>2604.851079</v>
      </c>
      <c r="E28" s="43">
        <v>2.065532590604335E-2</v>
      </c>
      <c r="F28" s="30" t="s">
        <v>27</v>
      </c>
      <c r="G28" s="29"/>
      <c r="H28" s="28"/>
    </row>
    <row r="29" spans="1:8" ht="14.25" x14ac:dyDescent="0.3">
      <c r="A29" s="41" t="s">
        <v>119</v>
      </c>
      <c r="B29" s="41" t="s">
        <v>28</v>
      </c>
      <c r="C29" s="32">
        <v>372500</v>
      </c>
      <c r="D29" s="42">
        <v>2601.3537500000002</v>
      </c>
      <c r="E29" s="43">
        <v>2.0627593621891663E-2</v>
      </c>
      <c r="F29" s="30" t="s">
        <v>44</v>
      </c>
      <c r="G29" s="29"/>
      <c r="H29" s="28"/>
    </row>
    <row r="30" spans="1:8" ht="14.25" x14ac:dyDescent="0.3">
      <c r="A30" s="41" t="s">
        <v>120</v>
      </c>
      <c r="B30" s="41" t="s">
        <v>28</v>
      </c>
      <c r="C30" s="32">
        <v>225000</v>
      </c>
      <c r="D30" s="42">
        <v>2468.1374999999998</v>
      </c>
      <c r="E30" s="43">
        <v>1.957124722193267E-2</v>
      </c>
      <c r="F30" s="30" t="s">
        <v>29</v>
      </c>
      <c r="G30" s="29"/>
      <c r="H30" s="28"/>
    </row>
    <row r="31" spans="1:8" ht="14.25" x14ac:dyDescent="0.3">
      <c r="A31" s="41" t="s">
        <v>121</v>
      </c>
      <c r="B31" s="41" t="s">
        <v>94</v>
      </c>
      <c r="C31" s="32">
        <v>445000</v>
      </c>
      <c r="D31" s="42">
        <v>2393.6550000000002</v>
      </c>
      <c r="E31" s="43">
        <v>1.89806336839075E-2</v>
      </c>
      <c r="F31" s="30" t="s">
        <v>88</v>
      </c>
      <c r="G31" s="29"/>
      <c r="H31" s="28"/>
    </row>
    <row r="32" spans="1:8" ht="14.25" x14ac:dyDescent="0.3">
      <c r="A32" s="41" t="s">
        <v>122</v>
      </c>
      <c r="B32" s="41" t="s">
        <v>82</v>
      </c>
      <c r="C32" s="32">
        <v>75000</v>
      </c>
      <c r="D32" s="42">
        <v>2288.8874999999998</v>
      </c>
      <c r="E32" s="43">
        <v>1.814987338658864E-2</v>
      </c>
      <c r="F32" s="30" t="s">
        <v>145</v>
      </c>
      <c r="G32" s="29"/>
      <c r="H32" s="28"/>
    </row>
    <row r="33" spans="1:8" ht="14.25" x14ac:dyDescent="0.3">
      <c r="A33" s="41" t="s">
        <v>123</v>
      </c>
      <c r="B33" s="41" t="s">
        <v>124</v>
      </c>
      <c r="C33" s="32">
        <v>235000</v>
      </c>
      <c r="D33" s="42">
        <v>2143.9050000000002</v>
      </c>
      <c r="E33" s="43">
        <v>1.7000225787800544E-2</v>
      </c>
      <c r="F33" s="30" t="s">
        <v>146</v>
      </c>
      <c r="G33" s="29"/>
      <c r="H33" s="28"/>
    </row>
    <row r="34" spans="1:8" ht="14.25" x14ac:dyDescent="0.3">
      <c r="A34" s="41" t="s">
        <v>125</v>
      </c>
      <c r="B34" s="41" t="s">
        <v>68</v>
      </c>
      <c r="C34" s="32">
        <v>119287</v>
      </c>
      <c r="D34" s="42">
        <v>2090.2064574999999</v>
      </c>
      <c r="E34" s="43">
        <v>1.6574419911618621E-2</v>
      </c>
      <c r="F34" s="30" t="s">
        <v>37</v>
      </c>
      <c r="G34" s="29"/>
      <c r="H34" s="28"/>
    </row>
    <row r="35" spans="1:8" ht="14.25" x14ac:dyDescent="0.3">
      <c r="A35" s="41" t="s">
        <v>126</v>
      </c>
      <c r="B35" s="41" t="s">
        <v>68</v>
      </c>
      <c r="C35" s="32">
        <v>609281</v>
      </c>
      <c r="D35" s="42">
        <v>2081.9131769999999</v>
      </c>
      <c r="E35" s="43">
        <v>1.6508657836796479E-2</v>
      </c>
      <c r="F35" s="30" t="s">
        <v>24</v>
      </c>
      <c r="G35" s="29"/>
      <c r="H35" s="28"/>
    </row>
    <row r="36" spans="1:8" ht="14.25" x14ac:dyDescent="0.3">
      <c r="A36" s="41" t="s">
        <v>127</v>
      </c>
      <c r="B36" s="41" t="s">
        <v>74</v>
      </c>
      <c r="C36" s="32">
        <v>1368594</v>
      </c>
      <c r="D36" s="42">
        <v>2041.1210916</v>
      </c>
      <c r="E36" s="43">
        <v>1.6185194501361726E-2</v>
      </c>
      <c r="F36" s="30" t="s">
        <v>33</v>
      </c>
      <c r="G36" s="29"/>
      <c r="H36" s="28"/>
    </row>
    <row r="37" spans="1:8" ht="14.25" x14ac:dyDescent="0.3">
      <c r="A37" s="41" t="s">
        <v>128</v>
      </c>
      <c r="B37" s="41" t="s">
        <v>82</v>
      </c>
      <c r="C37" s="32">
        <v>50617</v>
      </c>
      <c r="D37" s="42">
        <v>1996.7141075</v>
      </c>
      <c r="E37" s="43">
        <v>1.5833066605650273E-2</v>
      </c>
      <c r="F37" s="30" t="s">
        <v>54</v>
      </c>
      <c r="G37" s="29"/>
      <c r="H37" s="28"/>
    </row>
    <row r="38" spans="1:8" ht="14.25" x14ac:dyDescent="0.3">
      <c r="A38" s="41" t="s">
        <v>129</v>
      </c>
      <c r="B38" s="41" t="s">
        <v>73</v>
      </c>
      <c r="C38" s="32">
        <v>72000</v>
      </c>
      <c r="D38" s="42">
        <v>1993.932</v>
      </c>
      <c r="E38" s="43">
        <v>1.5811005714115464E-2</v>
      </c>
      <c r="F38" s="30" t="s">
        <v>32</v>
      </c>
      <c r="G38" s="29"/>
      <c r="H38" s="28"/>
    </row>
    <row r="39" spans="1:8" ht="14.25" x14ac:dyDescent="0.3">
      <c r="A39" s="41" t="s">
        <v>130</v>
      </c>
      <c r="B39" s="41" t="s">
        <v>131</v>
      </c>
      <c r="C39" s="32">
        <v>600000</v>
      </c>
      <c r="D39" s="42">
        <v>1981.2</v>
      </c>
      <c r="E39" s="43">
        <v>1.5710046541610023E-2</v>
      </c>
      <c r="F39" s="30" t="s">
        <v>147</v>
      </c>
      <c r="G39" s="29"/>
      <c r="H39" s="28"/>
    </row>
    <row r="40" spans="1:8" ht="14.25" x14ac:dyDescent="0.3">
      <c r="A40" s="41" t="s">
        <v>132</v>
      </c>
      <c r="B40" s="41" t="s">
        <v>78</v>
      </c>
      <c r="C40" s="32">
        <v>144048</v>
      </c>
      <c r="D40" s="42">
        <v>1883.3555759999999</v>
      </c>
      <c r="E40" s="43">
        <v>1.4934183198748613E-2</v>
      </c>
      <c r="F40" s="30" t="s">
        <v>90</v>
      </c>
      <c r="G40" s="29"/>
      <c r="H40" s="28"/>
    </row>
    <row r="41" spans="1:8" ht="14.25" x14ac:dyDescent="0.3">
      <c r="A41" s="41" t="s">
        <v>133</v>
      </c>
      <c r="B41" s="41" t="s">
        <v>80</v>
      </c>
      <c r="C41" s="32">
        <v>3200000</v>
      </c>
      <c r="D41" s="42">
        <v>1813.12</v>
      </c>
      <c r="E41" s="43">
        <v>1.4377245904262046E-2</v>
      </c>
      <c r="F41" s="30" t="s">
        <v>148</v>
      </c>
      <c r="G41" s="29"/>
      <c r="H41" s="28"/>
    </row>
    <row r="42" spans="1:8" ht="14.25" x14ac:dyDescent="0.3">
      <c r="A42" s="41" t="s">
        <v>134</v>
      </c>
      <c r="B42" s="41" t="s">
        <v>68</v>
      </c>
      <c r="C42" s="32">
        <v>153165</v>
      </c>
      <c r="D42" s="42">
        <v>1762.9291499999999</v>
      </c>
      <c r="E42" s="43">
        <v>1.3979254490238744E-2</v>
      </c>
      <c r="F42" s="30" t="s">
        <v>149</v>
      </c>
      <c r="G42" s="29"/>
      <c r="H42" s="28"/>
    </row>
    <row r="43" spans="1:8" ht="14.25" x14ac:dyDescent="0.3">
      <c r="A43" s="41" t="s">
        <v>135</v>
      </c>
      <c r="B43" s="41" t="s">
        <v>83</v>
      </c>
      <c r="C43" s="32">
        <v>143237</v>
      </c>
      <c r="D43" s="42">
        <v>1641.7108754999999</v>
      </c>
      <c r="E43" s="43">
        <v>1.3018046770630091E-2</v>
      </c>
      <c r="F43" s="30" t="s">
        <v>51</v>
      </c>
      <c r="G43" s="29"/>
      <c r="H43" s="28"/>
    </row>
    <row r="44" spans="1:8" ht="14.25" x14ac:dyDescent="0.3">
      <c r="A44" s="41" t="s">
        <v>136</v>
      </c>
      <c r="B44" s="41" t="s">
        <v>70</v>
      </c>
      <c r="C44" s="32">
        <v>378903</v>
      </c>
      <c r="D44" s="42">
        <v>1542.3246615</v>
      </c>
      <c r="E44" s="43">
        <v>1.2229957709690049E-2</v>
      </c>
      <c r="F44" s="30" t="s">
        <v>49</v>
      </c>
      <c r="G44" s="29"/>
      <c r="H44" s="28"/>
    </row>
    <row r="45" spans="1:8" ht="14.25" x14ac:dyDescent="0.3">
      <c r="A45" s="41" t="s">
        <v>137</v>
      </c>
      <c r="B45" s="41" t="s">
        <v>68</v>
      </c>
      <c r="C45" s="32">
        <v>51716</v>
      </c>
      <c r="D45" s="42">
        <v>1489.6018059999999</v>
      </c>
      <c r="E45" s="43">
        <v>1.1811888603233569E-2</v>
      </c>
      <c r="F45" s="30" t="s">
        <v>91</v>
      </c>
      <c r="G45" s="29"/>
      <c r="H45" s="28"/>
    </row>
    <row r="46" spans="1:8" ht="14.25" x14ac:dyDescent="0.3">
      <c r="A46" s="41" t="s">
        <v>138</v>
      </c>
      <c r="B46" s="41" t="s">
        <v>73</v>
      </c>
      <c r="C46" s="32">
        <v>40000</v>
      </c>
      <c r="D46" s="42">
        <v>1350.56</v>
      </c>
      <c r="E46" s="43">
        <v>1.0709348100765613E-2</v>
      </c>
      <c r="F46" s="30" t="s">
        <v>150</v>
      </c>
      <c r="G46" s="29"/>
      <c r="H46" s="28"/>
    </row>
    <row r="47" spans="1:8" ht="14.25" x14ac:dyDescent="0.3">
      <c r="A47" s="41" t="s">
        <v>139</v>
      </c>
      <c r="B47" s="41" t="s">
        <v>81</v>
      </c>
      <c r="C47" s="32">
        <v>35000</v>
      </c>
      <c r="D47" s="42">
        <v>1303.1724999999999</v>
      </c>
      <c r="E47" s="43">
        <v>1.0333586021979754E-2</v>
      </c>
      <c r="F47" s="30" t="s">
        <v>93</v>
      </c>
      <c r="G47" s="29"/>
      <c r="H47" s="28"/>
    </row>
    <row r="48" spans="1:8" ht="14.25" x14ac:dyDescent="0.3">
      <c r="A48" s="41" t="s">
        <v>140</v>
      </c>
      <c r="B48" s="41" t="s">
        <v>141</v>
      </c>
      <c r="C48" s="32">
        <v>80000</v>
      </c>
      <c r="D48" s="42">
        <v>1271.8</v>
      </c>
      <c r="E48" s="43">
        <v>1.0084815864940252E-2</v>
      </c>
      <c r="F48" s="30" t="s">
        <v>151</v>
      </c>
      <c r="G48" s="29"/>
      <c r="H48" s="28"/>
    </row>
    <row r="49" spans="1:8" ht="14.25" x14ac:dyDescent="0.3">
      <c r="A49" s="41" t="s">
        <v>142</v>
      </c>
      <c r="B49" s="41" t="s">
        <v>124</v>
      </c>
      <c r="C49" s="32">
        <v>1000000</v>
      </c>
      <c r="D49" s="42">
        <v>1151.8</v>
      </c>
      <c r="E49" s="43">
        <v>9.1332685274714432E-3</v>
      </c>
      <c r="F49" s="30" t="s">
        <v>152</v>
      </c>
      <c r="G49" s="29"/>
      <c r="H49" s="28"/>
    </row>
    <row r="50" spans="1:8" ht="14.25" x14ac:dyDescent="0.3">
      <c r="A50" s="41" t="s">
        <v>143</v>
      </c>
      <c r="B50" s="41" t="s">
        <v>68</v>
      </c>
      <c r="C50" s="32">
        <v>40000</v>
      </c>
      <c r="D50" s="42">
        <v>976.32</v>
      </c>
      <c r="E50" s="43">
        <v>7.7417891376462232E-3</v>
      </c>
      <c r="F50" s="30" t="s">
        <v>46</v>
      </c>
      <c r="G50" s="29"/>
      <c r="H50" s="28"/>
    </row>
    <row r="51" spans="1:8" ht="14.25" x14ac:dyDescent="0.3">
      <c r="A51" s="41" t="s">
        <v>144</v>
      </c>
      <c r="B51" s="41" t="s">
        <v>67</v>
      </c>
      <c r="C51" s="32">
        <v>294456</v>
      </c>
      <c r="D51" s="42">
        <v>801.95091600000001</v>
      </c>
      <c r="E51" s="43">
        <v>6.3591188241705985E-3</v>
      </c>
      <c r="F51" s="30" t="s">
        <v>52</v>
      </c>
      <c r="G51" s="29"/>
      <c r="H51" s="28"/>
    </row>
    <row r="52" spans="1:8" ht="14.25" x14ac:dyDescent="0.3">
      <c r="A52" s="34" t="s">
        <v>55</v>
      </c>
      <c r="B52" s="33"/>
      <c r="C52" s="32"/>
      <c r="D52" s="39">
        <f>SUM(D7:D51)</f>
        <v>120548.76896669996</v>
      </c>
      <c r="E52" s="46">
        <f>SUM(E7:E51)</f>
        <v>0.9558988345450492</v>
      </c>
      <c r="F52" s="30"/>
      <c r="G52" s="29"/>
      <c r="H52" s="28"/>
    </row>
    <row r="53" spans="1:8" ht="14.25" x14ac:dyDescent="0.3">
      <c r="A53" s="34" t="s">
        <v>56</v>
      </c>
      <c r="B53" s="33"/>
      <c r="C53" s="32"/>
      <c r="D53" s="39"/>
      <c r="E53" s="40"/>
      <c r="F53" s="30"/>
      <c r="G53" s="29"/>
      <c r="H53" s="28"/>
    </row>
    <row r="54" spans="1:8" ht="14.25" x14ac:dyDescent="0.3">
      <c r="A54" s="34" t="s">
        <v>55</v>
      </c>
      <c r="B54" s="33"/>
      <c r="C54" s="32"/>
      <c r="D54" s="39" t="s">
        <v>57</v>
      </c>
      <c r="E54" s="40" t="s">
        <v>57</v>
      </c>
      <c r="F54" s="30"/>
      <c r="G54" s="29"/>
      <c r="H54" s="28"/>
    </row>
    <row r="55" spans="1:8" ht="14.25" x14ac:dyDescent="0.3">
      <c r="A55" s="34" t="s">
        <v>58</v>
      </c>
      <c r="B55" s="33"/>
      <c r="C55" s="32"/>
      <c r="D55" s="39"/>
      <c r="E55" s="40"/>
      <c r="F55" s="30"/>
      <c r="G55" s="29"/>
      <c r="H55" s="28"/>
    </row>
    <row r="56" spans="1:8" ht="14.25" x14ac:dyDescent="0.3">
      <c r="A56" s="34" t="s">
        <v>55</v>
      </c>
      <c r="B56" s="33"/>
      <c r="C56" s="32"/>
      <c r="D56" s="39" t="s">
        <v>57</v>
      </c>
      <c r="E56" s="40" t="s">
        <v>57</v>
      </c>
      <c r="F56" s="30"/>
      <c r="G56" s="29"/>
      <c r="H56" s="28"/>
    </row>
    <row r="57" spans="1:8" ht="14.25" x14ac:dyDescent="0.3">
      <c r="A57" s="34" t="s">
        <v>59</v>
      </c>
      <c r="B57" s="33"/>
      <c r="C57" s="32"/>
      <c r="D57" s="39">
        <f>+D52</f>
        <v>120548.76896669996</v>
      </c>
      <c r="E57" s="46">
        <f>+E52</f>
        <v>0.9558988345450492</v>
      </c>
      <c r="F57" s="30"/>
      <c r="G57" s="29"/>
      <c r="H57" s="28"/>
    </row>
    <row r="58" spans="1:8" ht="14.25" x14ac:dyDescent="0.3">
      <c r="A58" s="34"/>
      <c r="B58" s="33"/>
      <c r="C58" s="32"/>
      <c r="D58" s="39"/>
      <c r="E58" s="40"/>
      <c r="F58" s="30"/>
      <c r="G58" s="29"/>
      <c r="H58" s="28"/>
    </row>
    <row r="59" spans="1:8" ht="14.25" x14ac:dyDescent="0.3">
      <c r="A59" s="34" t="s">
        <v>60</v>
      </c>
      <c r="B59" s="33"/>
      <c r="C59" s="32"/>
      <c r="D59" s="39"/>
      <c r="E59" s="40"/>
      <c r="F59" s="30"/>
      <c r="G59" s="29"/>
      <c r="H59" s="28"/>
    </row>
    <row r="60" spans="1:8" ht="14.25" x14ac:dyDescent="0.3">
      <c r="A60" s="34" t="s">
        <v>61</v>
      </c>
      <c r="B60" s="33"/>
      <c r="C60" s="32"/>
      <c r="D60" s="39"/>
      <c r="E60" s="40"/>
      <c r="F60" s="30"/>
      <c r="G60" s="29"/>
      <c r="H60" s="28"/>
    </row>
    <row r="61" spans="1:8" ht="14.25" x14ac:dyDescent="0.3">
      <c r="A61" s="34" t="s">
        <v>55</v>
      </c>
      <c r="B61" s="33"/>
      <c r="C61" s="32"/>
      <c r="D61" s="39" t="s">
        <v>57</v>
      </c>
      <c r="E61" s="40" t="s">
        <v>57</v>
      </c>
      <c r="F61" s="30"/>
      <c r="G61" s="29"/>
      <c r="H61" s="28"/>
    </row>
    <row r="62" spans="1:8" ht="14.25" x14ac:dyDescent="0.3">
      <c r="A62" s="34" t="s">
        <v>62</v>
      </c>
      <c r="B62" s="33"/>
      <c r="C62" s="32"/>
      <c r="D62" s="39"/>
      <c r="E62" s="40"/>
      <c r="F62" s="30"/>
      <c r="G62" s="29"/>
      <c r="H62" s="28"/>
    </row>
    <row r="63" spans="1:8" ht="14.25" x14ac:dyDescent="0.3">
      <c r="A63" s="34" t="s">
        <v>55</v>
      </c>
      <c r="B63" s="33"/>
      <c r="C63" s="32"/>
      <c r="D63" s="39" t="s">
        <v>57</v>
      </c>
      <c r="E63" s="40" t="s">
        <v>57</v>
      </c>
      <c r="F63" s="30"/>
      <c r="G63" s="29"/>
      <c r="H63" s="28"/>
    </row>
    <row r="64" spans="1:8" ht="14.25" x14ac:dyDescent="0.3">
      <c r="A64" s="34" t="s">
        <v>63</v>
      </c>
      <c r="B64" s="33"/>
      <c r="C64" s="32"/>
      <c r="D64" s="39"/>
      <c r="E64" s="40"/>
      <c r="F64" s="30"/>
      <c r="G64" s="29"/>
      <c r="H64" s="28"/>
    </row>
    <row r="65" spans="1:8" ht="14.25" x14ac:dyDescent="0.3">
      <c r="A65" s="34" t="s">
        <v>55</v>
      </c>
      <c r="B65" s="33"/>
      <c r="C65" s="32"/>
      <c r="D65" s="39" t="s">
        <v>57</v>
      </c>
      <c r="E65" s="40" t="s">
        <v>57</v>
      </c>
      <c r="F65" s="30"/>
      <c r="G65" s="29"/>
      <c r="H65" s="28"/>
    </row>
    <row r="66" spans="1:8" ht="14.25" x14ac:dyDescent="0.3">
      <c r="A66" s="34"/>
      <c r="B66" s="33"/>
      <c r="C66" s="32"/>
      <c r="D66" s="39"/>
      <c r="E66" s="40"/>
      <c r="F66" s="30"/>
      <c r="G66" s="29"/>
      <c r="H66" s="28"/>
    </row>
    <row r="67" spans="1:8" ht="14.25" x14ac:dyDescent="0.3">
      <c r="A67" s="34" t="s">
        <v>64</v>
      </c>
      <c r="B67" s="33"/>
      <c r="C67" s="32"/>
      <c r="D67" s="39"/>
      <c r="E67" s="40"/>
      <c r="F67" s="30"/>
      <c r="G67" s="29"/>
      <c r="H67" s="28"/>
    </row>
    <row r="68" spans="1:8" ht="14.25" x14ac:dyDescent="0.3">
      <c r="A68" s="34" t="s">
        <v>65</v>
      </c>
      <c r="B68" s="33"/>
      <c r="C68" s="32"/>
      <c r="D68" s="39"/>
      <c r="E68" s="40"/>
      <c r="F68" s="30"/>
      <c r="G68" s="29"/>
      <c r="H68" s="28"/>
    </row>
    <row r="69" spans="1:8" ht="14.25" x14ac:dyDescent="0.3">
      <c r="A69" s="45" t="s">
        <v>95</v>
      </c>
      <c r="B69" s="33"/>
      <c r="C69" s="32">
        <v>20936.153699999999</v>
      </c>
      <c r="D69" s="42">
        <v>2093.2331138999998</v>
      </c>
      <c r="E69" s="43">
        <v>1.6598419968609064E-2</v>
      </c>
      <c r="F69" s="30" t="s">
        <v>153</v>
      </c>
      <c r="G69" s="48">
        <v>6.6703239999999997E-2</v>
      </c>
      <c r="H69" s="28"/>
    </row>
    <row r="70" spans="1:8" ht="14.25" x14ac:dyDescent="0.3">
      <c r="A70" s="34" t="s">
        <v>59</v>
      </c>
      <c r="B70" s="33"/>
      <c r="C70" s="32"/>
      <c r="D70" s="39">
        <f>+D69</f>
        <v>2093.2331138999998</v>
      </c>
      <c r="E70" s="46">
        <f>+E69</f>
        <v>1.6598419968609064E-2</v>
      </c>
      <c r="F70" s="30"/>
      <c r="G70" s="29"/>
      <c r="H70" s="28"/>
    </row>
    <row r="71" spans="1:8" ht="14.25" x14ac:dyDescent="0.3">
      <c r="A71" s="34"/>
      <c r="B71" s="33"/>
      <c r="C71" s="32"/>
      <c r="D71" s="39"/>
      <c r="E71" s="40"/>
      <c r="F71" s="30"/>
      <c r="G71" s="29"/>
      <c r="H71" s="28"/>
    </row>
    <row r="72" spans="1:8" ht="14.25" x14ac:dyDescent="0.3">
      <c r="A72" s="44" t="s">
        <v>85</v>
      </c>
      <c r="B72" s="33"/>
      <c r="C72" s="32"/>
      <c r="D72" s="39"/>
      <c r="E72" s="40"/>
      <c r="F72" s="30"/>
      <c r="G72" s="29"/>
      <c r="H72" s="28"/>
    </row>
    <row r="73" spans="1:8" ht="14.25" x14ac:dyDescent="0.3">
      <c r="A73" s="45" t="s">
        <v>86</v>
      </c>
      <c r="B73" s="33"/>
      <c r="C73" s="32"/>
      <c r="D73" s="42">
        <v>3468.3817908000001</v>
      </c>
      <c r="E73" s="43">
        <v>2.7502745486341972E-2</v>
      </c>
      <c r="F73" s="30"/>
      <c r="G73" s="29"/>
      <c r="H73" s="28"/>
    </row>
    <row r="74" spans="1:8" ht="14.25" x14ac:dyDescent="0.3">
      <c r="A74" s="34" t="s">
        <v>59</v>
      </c>
      <c r="B74" s="33"/>
      <c r="C74" s="32"/>
      <c r="D74" s="39">
        <f>+D73</f>
        <v>3468.3817908000001</v>
      </c>
      <c r="E74" s="46">
        <f>+E73</f>
        <v>2.7502745486341972E-2</v>
      </c>
      <c r="F74" s="30"/>
      <c r="G74" s="29"/>
      <c r="H74" s="28"/>
    </row>
    <row r="75" spans="1:8" ht="14.25" x14ac:dyDescent="0.3">
      <c r="A75" s="34" t="s">
        <v>66</v>
      </c>
      <c r="B75" s="33"/>
      <c r="C75" s="32"/>
      <c r="D75" s="39">
        <f>+D74+D70+D57</f>
        <v>126110.38387139997</v>
      </c>
      <c r="E75" s="46">
        <f>+E74+E70+E57</f>
        <v>1.0000000000000002</v>
      </c>
      <c r="F75" s="30"/>
      <c r="G75" s="29"/>
      <c r="H75" s="28"/>
    </row>
    <row r="76" spans="1:8" ht="14.25" x14ac:dyDescent="0.3">
      <c r="A76" s="27"/>
      <c r="B76" s="26"/>
      <c r="C76" s="25"/>
      <c r="D76" s="24"/>
      <c r="E76" s="24"/>
      <c r="F76" s="23"/>
      <c r="G76" s="22"/>
      <c r="H76" s="22"/>
    </row>
    <row r="77" spans="1:8" ht="13.5" x14ac:dyDescent="0.2">
      <c r="A77" s="54" t="s">
        <v>11</v>
      </c>
      <c r="B77" s="54"/>
      <c r="C77" s="54"/>
      <c r="D77" s="54"/>
      <c r="E77" s="54"/>
      <c r="F77" s="54"/>
      <c r="G77" s="54"/>
      <c r="H77" s="54"/>
    </row>
    <row r="78" spans="1:8" ht="13.5" x14ac:dyDescent="0.2">
      <c r="A78" s="55" t="s">
        <v>10</v>
      </c>
      <c r="B78" s="55"/>
      <c r="C78" s="55"/>
      <c r="D78" s="55"/>
      <c r="E78" s="55"/>
      <c r="F78" s="55"/>
      <c r="G78" s="55"/>
      <c r="H78" s="55"/>
    </row>
    <row r="79" spans="1:8" ht="13.5" x14ac:dyDescent="0.2">
      <c r="A79" s="56" t="s">
        <v>9</v>
      </c>
      <c r="B79" s="56"/>
      <c r="C79" s="56"/>
      <c r="D79" s="56"/>
      <c r="E79" s="56"/>
      <c r="F79" s="56"/>
      <c r="G79" s="56"/>
      <c r="H79" s="56"/>
    </row>
    <row r="80" spans="1:8" ht="57.75" customHeight="1" x14ac:dyDescent="0.2">
      <c r="A80" s="49" t="s">
        <v>8</v>
      </c>
      <c r="B80" s="49"/>
      <c r="C80" s="49"/>
      <c r="D80" s="49"/>
      <c r="E80" s="49"/>
      <c r="F80" s="49"/>
      <c r="G80" s="49"/>
      <c r="H80" s="49"/>
    </row>
    <row r="81" spans="1:8" ht="14.25" x14ac:dyDescent="0.3">
      <c r="A81" s="21"/>
      <c r="B81" s="20"/>
      <c r="C81" s="19"/>
      <c r="D81" s="17"/>
      <c r="E81" s="9"/>
      <c r="F81" s="47"/>
      <c r="G81" s="17"/>
      <c r="H81" s="17"/>
    </row>
    <row r="82" spans="1:8" ht="14.25" x14ac:dyDescent="0.3">
      <c r="A82" s="18" t="s">
        <v>7</v>
      </c>
      <c r="B82" s="10"/>
      <c r="C82" s="10"/>
      <c r="D82" s="9"/>
      <c r="E82" s="9"/>
      <c r="F82" s="9"/>
      <c r="G82" s="17"/>
      <c r="H82" s="17"/>
    </row>
    <row r="83" spans="1:8" ht="14.25" x14ac:dyDescent="0.3">
      <c r="A83" s="11" t="s">
        <v>6</v>
      </c>
      <c r="B83" s="10"/>
      <c r="C83" s="9"/>
      <c r="D83" s="9"/>
      <c r="E83" s="9"/>
      <c r="F83" s="9"/>
      <c r="G83" s="9"/>
      <c r="H83" s="9"/>
    </row>
    <row r="84" spans="1:8" ht="14.25" x14ac:dyDescent="0.3">
      <c r="A84" s="11" t="s">
        <v>5</v>
      </c>
      <c r="B84" s="16"/>
      <c r="C84" s="16"/>
      <c r="D84" s="9"/>
      <c r="E84" s="9"/>
      <c r="F84" s="9"/>
      <c r="G84" s="9"/>
      <c r="H84" s="9"/>
    </row>
    <row r="85" spans="1:8" ht="14.25" x14ac:dyDescent="0.3">
      <c r="A85" s="11" t="s">
        <v>4</v>
      </c>
      <c r="B85" s="10"/>
      <c r="C85" s="10"/>
      <c r="D85" s="9"/>
      <c r="E85" s="9"/>
      <c r="F85" s="9"/>
      <c r="G85" s="9"/>
      <c r="H85" s="9"/>
    </row>
    <row r="86" spans="1:8" ht="14.25" x14ac:dyDescent="0.3">
      <c r="A86" s="11"/>
      <c r="B86" s="10"/>
      <c r="C86" s="10"/>
      <c r="D86" s="9"/>
      <c r="E86" s="9"/>
      <c r="F86" s="9"/>
      <c r="G86" s="9"/>
      <c r="H86" s="9"/>
    </row>
    <row r="87" spans="1:8" ht="14.25" x14ac:dyDescent="0.3">
      <c r="A87" s="15" t="s">
        <v>3</v>
      </c>
      <c r="B87" s="14" t="s">
        <v>2</v>
      </c>
      <c r="D87" s="13"/>
      <c r="E87" s="9"/>
      <c r="F87" s="12"/>
      <c r="G87" s="10"/>
      <c r="H87" s="9"/>
    </row>
    <row r="88" spans="1:8" ht="14.25" x14ac:dyDescent="0.3">
      <c r="A88" s="11"/>
      <c r="B88" s="10"/>
      <c r="C88" s="10"/>
      <c r="D88" s="9"/>
      <c r="E88" s="9"/>
      <c r="F88" s="10"/>
      <c r="G88" s="10"/>
      <c r="H88" s="9"/>
    </row>
    <row r="89" spans="1:8" ht="14.25" x14ac:dyDescent="0.3">
      <c r="A89" s="11"/>
      <c r="B89" s="10"/>
      <c r="C89" s="10"/>
      <c r="D89" s="9"/>
      <c r="E89" s="9"/>
      <c r="F89" s="10"/>
      <c r="G89" s="10"/>
      <c r="H89" s="9"/>
    </row>
    <row r="90" spans="1:8" ht="14.25" x14ac:dyDescent="0.3">
      <c r="A90" s="10"/>
      <c r="B90" s="10"/>
      <c r="C90" s="10"/>
      <c r="D90" s="9"/>
      <c r="E90" s="9"/>
      <c r="F90" s="10"/>
      <c r="G90" s="10"/>
      <c r="H90" s="9"/>
    </row>
    <row r="91" spans="1:8" ht="14.25" x14ac:dyDescent="0.3">
      <c r="A91" s="10"/>
      <c r="B91" s="10"/>
      <c r="C91" s="10"/>
      <c r="D91" s="9"/>
      <c r="E91" s="9"/>
      <c r="F91" s="10"/>
      <c r="G91" s="10"/>
      <c r="H91" s="9"/>
    </row>
    <row r="92" spans="1:8" ht="14.25" x14ac:dyDescent="0.3">
      <c r="A92" s="10"/>
      <c r="B92" s="10"/>
      <c r="C92" s="10"/>
      <c r="D92" s="9"/>
      <c r="E92" s="9"/>
      <c r="F92" s="10"/>
      <c r="G92" s="10"/>
      <c r="H92" s="9"/>
    </row>
    <row r="93" spans="1:8" ht="14.25" x14ac:dyDescent="0.3">
      <c r="A93" s="10"/>
      <c r="B93" s="10"/>
      <c r="C93" s="10"/>
      <c r="D93" s="9"/>
      <c r="E93" s="9"/>
      <c r="F93" s="10"/>
      <c r="G93" s="10"/>
      <c r="H93" s="9"/>
    </row>
    <row r="94" spans="1:8" x14ac:dyDescent="0.2">
      <c r="A94" s="8"/>
      <c r="B94" s="7"/>
      <c r="D94" s="5"/>
      <c r="E94" s="5"/>
      <c r="F94" s="5"/>
      <c r="G94" s="5"/>
      <c r="H94" s="5"/>
    </row>
    <row r="95" spans="1:8" x14ac:dyDescent="0.2">
      <c r="A95" s="8"/>
      <c r="B95" s="7"/>
      <c r="D95" s="5"/>
      <c r="E95" s="5"/>
      <c r="F95" s="5"/>
      <c r="G95" s="5"/>
      <c r="H95" s="5"/>
    </row>
    <row r="96" spans="1:8" x14ac:dyDescent="0.2">
      <c r="A96" s="8"/>
      <c r="B96" s="7"/>
      <c r="D96" s="5"/>
      <c r="E96" s="5"/>
      <c r="F96" s="5"/>
      <c r="G96" s="5"/>
      <c r="H96" s="5"/>
    </row>
    <row r="97" spans="1:8" x14ac:dyDescent="0.2">
      <c r="A97" s="8"/>
      <c r="B97" s="7"/>
      <c r="D97" s="5"/>
      <c r="E97" s="5"/>
      <c r="F97" s="5"/>
      <c r="G97" s="5"/>
      <c r="H97" s="5"/>
    </row>
    <row r="98" spans="1:8" x14ac:dyDescent="0.2">
      <c r="A98" s="8"/>
      <c r="B98" s="7"/>
      <c r="D98" s="5"/>
      <c r="E98" s="5"/>
      <c r="F98" s="5"/>
      <c r="G98" s="5"/>
      <c r="H98" s="5"/>
    </row>
    <row r="99" spans="1:8" x14ac:dyDescent="0.2">
      <c r="A99" s="8"/>
      <c r="B99" s="7"/>
      <c r="D99" s="5"/>
      <c r="E99" s="5"/>
      <c r="F99" s="5"/>
      <c r="G99" s="5"/>
      <c r="H99" s="5"/>
    </row>
    <row r="100" spans="1:8" x14ac:dyDescent="0.2">
      <c r="A100" s="6" t="s">
        <v>1</v>
      </c>
      <c r="B100" s="50" t="s">
        <v>0</v>
      </c>
      <c r="C100" s="50"/>
      <c r="D100" s="50"/>
      <c r="E100" s="50"/>
      <c r="F100" s="5"/>
      <c r="G100" s="5"/>
      <c r="H100" s="5"/>
    </row>
  </sheetData>
  <mergeCells count="8">
    <mergeCell ref="A79:H79"/>
    <mergeCell ref="A1:H1"/>
    <mergeCell ref="A2:H2"/>
    <mergeCell ref="A3:H3"/>
    <mergeCell ref="A77:H77"/>
    <mergeCell ref="A78:H78"/>
    <mergeCell ref="A80:H80"/>
    <mergeCell ref="B100:E10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2025-04-08T08:39:57Z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