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ELSS Tax Saver Fund" sheetId="1" r:id="rId1"/>
  </sheets>
  <definedNames>
    <definedName name="_xlnm._FilterDatabase" localSheetId="0" hidden="1">'JM ELSS Tax Saver Fund'!$A$4:$H$84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Fund'!$A$1:$E$79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4" i="1" l="1"/>
  <c r="D84" i="1"/>
  <c r="E76" i="1"/>
  <c r="D76" i="1"/>
  <c r="D57" i="1"/>
  <c r="E57" i="1"/>
  <c r="E83" i="1" l="1"/>
  <c r="D83" i="1"/>
  <c r="E62" i="1"/>
  <c r="D62" i="1"/>
</calcChain>
</file>

<file path=xl/sharedStrings.xml><?xml version="1.0" encoding="utf-8"?>
<sst xmlns="http://schemas.openxmlformats.org/spreadsheetml/2006/main" count="213" uniqueCount="165">
  <si>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</si>
  <si>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</si>
  <si>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</si>
  <si>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</si>
  <si>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</si>
  <si>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</si>
  <si>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</si>
  <si>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</si>
  <si>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</si>
  <si>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</si>
  <si>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</si>
  <si>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</si>
  <si>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</si>
  <si>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</si>
  <si>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</si>
  <si>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</si>
  <si>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</si>
  <si>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</si>
  <si>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</si>
  <si>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</si>
  <si>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ELSS Tax Saver Fund (An open ended equity linked saving scheme with a statutory lock in of 3 years and tax benefit.)</t>
  </si>
  <si>
    <t>JM Financial Mutual Fund</t>
  </si>
  <si>
    <t>Equity &amp; Equity related</t>
  </si>
  <si>
    <t>a) Listed / awaiting listing on Stock Exchanges</t>
  </si>
  <si>
    <t>INE040A01034</t>
  </si>
  <si>
    <t>INE009A01021</t>
  </si>
  <si>
    <t>INE090A01021</t>
  </si>
  <si>
    <t>INE917I01010</t>
  </si>
  <si>
    <t>INE585B01010</t>
  </si>
  <si>
    <t>INE062A01020</t>
  </si>
  <si>
    <t>Construction</t>
  </si>
  <si>
    <t>INE018A01030</t>
  </si>
  <si>
    <t>INE397D01024</t>
  </si>
  <si>
    <t>INE741K01010</t>
  </si>
  <si>
    <t>INE013P01021</t>
  </si>
  <si>
    <t>INE089A01031</t>
  </si>
  <si>
    <t>INE669C01036</t>
  </si>
  <si>
    <t>INE048G01026</t>
  </si>
  <si>
    <t>INE348B01021</t>
  </si>
  <si>
    <t>INE038A01020</t>
  </si>
  <si>
    <t>INE495P01012</t>
  </si>
  <si>
    <t>INE481G01011</t>
  </si>
  <si>
    <t>INE647A01010</t>
  </si>
  <si>
    <t>INE684F01012</t>
  </si>
  <si>
    <t>INE794A01010</t>
  </si>
  <si>
    <t>INE200M01039</t>
  </si>
  <si>
    <t>INE619B01017</t>
  </si>
  <si>
    <t>INE668F01031</t>
  </si>
  <si>
    <t>INE939A01011</t>
  </si>
  <si>
    <t>INE298A01020</t>
  </si>
  <si>
    <t>INE318A01026</t>
  </si>
  <si>
    <t>INE040H01021</t>
  </si>
  <si>
    <t>INE457L01029</t>
  </si>
  <si>
    <t>INE226A01021</t>
  </si>
  <si>
    <t>INE134E01011</t>
  </si>
  <si>
    <t>INE028A01039</t>
  </si>
  <si>
    <t>INE435G01025</t>
  </si>
  <si>
    <t>INE191A01027</t>
  </si>
  <si>
    <t>INE797F01020</t>
  </si>
  <si>
    <t>INE849A01020</t>
  </si>
  <si>
    <t>INE472A01039</t>
  </si>
  <si>
    <t>INE572J01011</t>
  </si>
  <si>
    <t>Power</t>
  </si>
  <si>
    <t>INE733E01010</t>
  </si>
  <si>
    <t>INE03Q201024</t>
  </si>
  <si>
    <t>INE758T01015</t>
  </si>
  <si>
    <t>INE635Q01029</t>
  </si>
  <si>
    <t>Healthcare Services</t>
  </si>
  <si>
    <t>INE877V01027</t>
  </si>
  <si>
    <t>INE474Q01031</t>
  </si>
  <si>
    <t>INE085J01014</t>
  </si>
  <si>
    <t>INE299U01018</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</si>
  <si>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</si>
  <si>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</si>
  <si>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</si>
  <si>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</si>
  <si>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</si>
  <si>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</si>
  <si>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</si>
  <si>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</si>
  <si>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</si>
  <si>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</si>
  <si>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</si>
  <si>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Others</t>
  </si>
  <si>
    <t>GRAND TOTAL</t>
  </si>
  <si>
    <t>Banks</t>
  </si>
  <si>
    <t>IT - Software</t>
  </si>
  <si>
    <t>Automobiles</t>
  </si>
  <si>
    <t>Finance</t>
  </si>
  <si>
    <t>Telecom - Services</t>
  </si>
  <si>
    <t>Pharmaceuticals &amp; Biotechnology</t>
  </si>
  <si>
    <t>Chemicals &amp; Petrochemicals</t>
  </si>
  <si>
    <t>Consumer Durables</t>
  </si>
  <si>
    <t>Non - Ferrous Metals</t>
  </si>
  <si>
    <t>Food Products</t>
  </si>
  <si>
    <t>Cement &amp; Cement Products</t>
  </si>
  <si>
    <t>Electrical Equipment</t>
  </si>
  <si>
    <t>Commercial Services &amp; Supplies</t>
  </si>
  <si>
    <t>Beverages</t>
  </si>
  <si>
    <t>Household Products</t>
  </si>
  <si>
    <t>Industrial Products</t>
  </si>
  <si>
    <t>Fertilizers &amp; Agrochemicals</t>
  </si>
  <si>
    <t>Leisure Services</t>
  </si>
  <si>
    <t>Retailing</t>
  </si>
  <si>
    <t>Petroleum Products</t>
  </si>
  <si>
    <t>Cash &amp; Cash Equivalents</t>
  </si>
  <si>
    <t>Net Receivable/Payable</t>
  </si>
  <si>
    <t>INE291A01017</t>
  </si>
  <si>
    <t>CCIL</t>
  </si>
  <si>
    <t>Monthly Portfolio Statement for the period ended 31.03.2025</t>
  </si>
  <si>
    <t>ICICI Bank Limited</t>
  </si>
  <si>
    <t>HDFC Bank Limited</t>
  </si>
  <si>
    <t>Infosys Limited</t>
  </si>
  <si>
    <t>Bajaj Auto Limited</t>
  </si>
  <si>
    <t>State Bank of India</t>
  </si>
  <si>
    <t>Bajaj Finance Limited</t>
  </si>
  <si>
    <t>Maruti Suzuki India Limited</t>
  </si>
  <si>
    <t>Bharti Airtel Limited</t>
  </si>
  <si>
    <t>Larsen &amp; Toubro Limited</t>
  </si>
  <si>
    <t>One Source Specialty Pharma Ltd</t>
  </si>
  <si>
    <t>Voltas Limited</t>
  </si>
  <si>
    <t>Creditaccess Grameen Limited</t>
  </si>
  <si>
    <t>Kotak Mahindra Bank Limited</t>
  </si>
  <si>
    <t>Jubilant Foodworks Limited</t>
  </si>
  <si>
    <t>Navin Fluorine International Limited</t>
  </si>
  <si>
    <t>Cummins India Limited</t>
  </si>
  <si>
    <t>Varun Beverages Limited</t>
  </si>
  <si>
    <t>Dr. Reddy's Laboratories Limited</t>
  </si>
  <si>
    <t>Power Finance Corporation Limited</t>
  </si>
  <si>
    <t>Tech Mahindra Limited</t>
  </si>
  <si>
    <t>Godfrey Phillips India Limited</t>
  </si>
  <si>
    <t>Cigarettes &amp; Tobacco Products</t>
  </si>
  <si>
    <t>Hindalco Industries Limited</t>
  </si>
  <si>
    <t>SRF Limited</t>
  </si>
  <si>
    <t>Century Plyboards (India) Limited</t>
  </si>
  <si>
    <t>Mrs Bectors Food Specialities Ltd</t>
  </si>
  <si>
    <t>Trent Limited</t>
  </si>
  <si>
    <t>UltraTech Cement Limited</t>
  </si>
  <si>
    <t>PG Electroplast Limited</t>
  </si>
  <si>
    <t>FIRSTSOURCE SOLUTIONS LTD</t>
  </si>
  <si>
    <t>Pidilite Industries Limited</t>
  </si>
  <si>
    <t>Newgen Software Technologies Limited</t>
  </si>
  <si>
    <t>Zomato Limited</t>
  </si>
  <si>
    <t>Strides Pharma Science Ltd</t>
  </si>
  <si>
    <t>BLUE STAR LTD</t>
  </si>
  <si>
    <t>Neuland Laboratories Ltd</t>
  </si>
  <si>
    <t>Bank of Baroda</t>
  </si>
  <si>
    <t>Gulf Oil Lubricants India Limited</t>
  </si>
  <si>
    <t>NTPC Limited</t>
  </si>
  <si>
    <t>Thangamayil Jewellery Limited</t>
  </si>
  <si>
    <t>Jyothy Labs Limited</t>
  </si>
  <si>
    <t>Crompton Greaves Consumer Electrical Ltd</t>
  </si>
  <si>
    <t>Dhanuka Agritech Limited</t>
  </si>
  <si>
    <t>GLOBAL HEALTH LIMITED</t>
  </si>
  <si>
    <t>SPANDANA SPHOORTY FINANCIAL LIMITED</t>
  </si>
  <si>
    <t>Tata Consultancy Services Limited</t>
  </si>
  <si>
    <t>Alivus Life Sciences</t>
  </si>
  <si>
    <t>Garware Polyester Limited</t>
  </si>
  <si>
    <t>Suzlon Energy Limited</t>
  </si>
  <si>
    <t>Suraksha Diagnostic Limited</t>
  </si>
  <si>
    <t>Orchid Pharma Limited</t>
  </si>
  <si>
    <t>INE296A01024</t>
  </si>
  <si>
    <t>INE237A01028</t>
  </si>
  <si>
    <t>INE260B01028</t>
  </si>
  <si>
    <t>INE467B01029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</si>
</sst>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Times New Roman"/>
      <family val="1"/>
    </font>
    <font>
      <sz val="10"/>
      <name val="Arial"/>
      <family val="2"/>
    </font>
    <font>
      <b/>
      <sz val="8"/>
      <name val="Times New Roman"/>
      <family val="1"/>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8">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2" fillId="0" borderId="0" applyFont="0" applyFill="0" applyBorder="0" applyAlignment="0" applyProtection="0"/>
  </cellStyleXfs>
  <cellXfs count="5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horizontal="center" wrapText="1"/>
    </xf>
    <xf numFmtId="0" fontId="1" fillId="0" borderId="0" xfId="2" applyFont="1" applyAlignment="1">
      <alignment wrapText="1"/>
    </xf>
    <xf numFmtId="0" fontId="1" fillId="0" borderId="0" xfId="2" applyFont="1" applyAlignment="1">
      <alignment horizontal="left" wrapText="1"/>
    </xf>
    <xf numFmtId="0" fontId="4" fillId="0" borderId="0" xfId="2" applyFont="1" applyAlignment="1">
      <alignment horizontal="left" wrapText="1"/>
    </xf>
    <xf numFmtId="0" fontId="7" fillId="0" borderId="0" xfId="3" applyFont="1" applyAlignment="1">
      <alignment horizontal="center"/>
    </xf>
    <xf numFmtId="0" fontId="8" fillId="0" borderId="0" xfId="2" applyFont="1" applyAlignment="1">
      <alignment horizontal="right"/>
    </xf>
    <xf numFmtId="0" fontId="8" fillId="0" borderId="0" xfId="2" applyFont="1"/>
    <xf numFmtId="0" fontId="9" fillId="0" borderId="0" xfId="4" applyFont="1"/>
    <xf numFmtId="0" fontId="7" fillId="0" borderId="0" xfId="4" applyFont="1"/>
    <xf numFmtId="0" fontId="10" fillId="0" borderId="0" xfId="5" applyFont="1" applyAlignment="1">
      <alignment horizontal="left" vertical="top" wrapText="1"/>
    </xf>
    <xf numFmtId="0" fontId="8" fillId="0" borderId="0" xfId="0" applyFont="1"/>
    <xf numFmtId="0" fontId="8"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166" fontId="8" fillId="0" borderId="1" xfId="0" applyNumberFormat="1" applyFont="1" applyBorder="1"/>
    <xf numFmtId="0" fontId="8" fillId="0" borderId="1" xfId="0" applyFont="1" applyBorder="1"/>
    <xf numFmtId="0" fontId="8" fillId="0" borderId="1" xfId="0" applyFont="1" applyBorder="1" applyAlignment="1">
      <alignment horizontal="center"/>
    </xf>
    <xf numFmtId="0" fontId="5" fillId="0" borderId="1" xfId="0" applyFont="1" applyBorder="1" applyAlignment="1">
      <alignment horizontal="center" wrapText="1"/>
    </xf>
    <xf numFmtId="165" fontId="8" fillId="0" borderId="1" xfId="1" applyNumberFormat="1" applyFont="1" applyFill="1" applyBorder="1" applyAlignment="1">
      <alignment horizontal="center"/>
    </xf>
    <xf numFmtId="0" fontId="8" fillId="0" borderId="1" xfId="0" applyFont="1" applyBorder="1" applyAlignment="1">
      <alignment horizontal="center" wrapText="1"/>
    </xf>
    <xf numFmtId="0" fontId="5" fillId="0" borderId="1" xfId="0" applyFont="1" applyBorder="1" applyAlignment="1">
      <alignment horizontal="left" wrapText="1"/>
    </xf>
    <xf numFmtId="0" fontId="1" fillId="0" borderId="0" xfId="0" applyFont="1" applyAlignment="1">
      <alignment horizontal="center"/>
    </xf>
    <xf numFmtId="0" fontId="5" fillId="0" borderId="1" xfId="0" applyFont="1" applyBorder="1" applyAlignment="1">
      <alignment horizontal="center" vertical="center" wrapText="1"/>
    </xf>
    <xf numFmtId="165" fontId="5" fillId="0" borderId="1" xfId="1" applyNumberFormat="1" applyFont="1" applyFill="1" applyBorder="1" applyAlignment="1">
      <alignment horizontal="center" vertical="center"/>
    </xf>
    <xf numFmtId="0" fontId="5" fillId="0" borderId="1" xfId="0" applyFont="1" applyBorder="1" applyAlignment="1">
      <alignment horizontal="left" vertical="center" wrapText="1"/>
    </xf>
    <xf numFmtId="10" fontId="5" fillId="0" borderId="1" xfId="0" applyNumberFormat="1" applyFont="1" applyBorder="1" applyAlignment="1">
      <alignment horizontal="center" wrapText="1"/>
    </xf>
    <xf numFmtId="0" fontId="8" fillId="0" borderId="1" xfId="0" applyFont="1" applyBorder="1" applyAlignment="1">
      <alignment horizontal="left" wrapText="1"/>
    </xf>
    <xf numFmtId="10" fontId="8" fillId="0" borderId="1" xfId="0" applyNumberFormat="1" applyFont="1" applyBorder="1" applyAlignment="1">
      <alignment horizontal="center" wrapText="1"/>
    </xf>
    <xf numFmtId="4" fontId="8" fillId="0" borderId="1" xfId="0" applyNumberFormat="1" applyFont="1" applyBorder="1" applyAlignment="1">
      <alignment horizontal="center" wrapText="1"/>
    </xf>
    <xf numFmtId="4" fontId="5" fillId="0" borderId="1" xfId="0" applyNumberFormat="1" applyFont="1" applyBorder="1" applyAlignment="1">
      <alignment horizontal="center" wrapText="1"/>
    </xf>
    <xf numFmtId="0" fontId="5" fillId="0" borderId="1" xfId="2" applyFont="1" applyBorder="1" applyAlignment="1">
      <alignment wrapText="1"/>
    </xf>
    <xf numFmtId="0" fontId="8" fillId="0" borderId="1" xfId="2" applyFont="1" applyBorder="1" applyAlignment="1">
      <alignment wrapText="1"/>
    </xf>
    <xf numFmtId="10" fontId="5" fillId="0" borderId="1" xfId="7" applyNumberFormat="1" applyFont="1" applyBorder="1" applyAlignment="1">
      <alignment horizontal="center" wrapText="1"/>
    </xf>
    <xf numFmtId="10" fontId="8" fillId="0" borderId="1" xfId="7" applyNumberFormat="1" applyFont="1" applyBorder="1" applyAlignment="1">
      <alignment horizontal="center" wrapText="1"/>
    </xf>
    <xf numFmtId="10" fontId="8" fillId="0" borderId="1" xfId="0" applyNumberFormat="1" applyFont="1" applyBorder="1" applyAlignment="1">
      <alignment horizontal="left"/>
    </xf>
    <xf numFmtId="0" fontId="10" fillId="0" borderId="0" xfId="5" applyFont="1" applyAlignment="1">
      <alignment horizontal="left" vertical="top" wrapText="1"/>
    </xf>
    <xf numFmtId="0" fontId="5" fillId="0" borderId="0" xfId="2" applyFont="1" applyAlignment="1">
      <alignment horizontal="center"/>
    </xf>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wrapText="1"/>
    </xf>
    <xf numFmtId="0" fontId="8" fillId="0" borderId="0" xfId="6" applyFont="1" applyAlignment="1">
      <alignment horizontal="left" vertical="top" wrapText="1"/>
    </xf>
    <xf numFmtId="0" fontId="8" fillId="0" borderId="0" xfId="6" applyFont="1" applyAlignment="1">
      <alignment vertical="top" wrapText="1"/>
    </xf>
    <xf numFmtId="0" fontId="9" fillId="0" borderId="0" xfId="5" applyFont="1" applyAlignment="1">
      <alignment horizontal="left" vertical="top" wrapText="1"/>
    </xf>
  </cellXfs>
  <cellStyles count="8">
    <cellStyle name="Comma" xfId="1" builtinId="3"/>
    <cellStyle name="Normal" xfId="0" builtinId="0"/>
    <cellStyle name="Normal 2 2 2" xfId="2"/>
    <cellStyle name="Normal 2 3 2" xfId="6"/>
    <cellStyle name="Normal 4_IF" xfId="3"/>
    <cellStyle name="Normal 4_LD" xfId="5"/>
    <cellStyle name="Normal 4_TG" xfId="4"/>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495300</xdr:colOff>
      <xdr:row>103</xdr:row>
      <xdr:rowOff>104774</xdr:rowOff>
    </xdr:from>
    <xdr:to>
      <xdr:col>3</xdr:col>
      <xdr:colOff>76200</xdr:colOff>
      <xdr:row>106</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0</xdr:col>
      <xdr:colOff>1123951</xdr:colOff>
      <xdr:row>104</xdr:row>
      <xdr:rowOff>142875</xdr:rowOff>
    </xdr:from>
    <xdr:to>
      <xdr:col>0</xdr:col>
      <xdr:colOff>3400425</xdr:colOff>
      <xdr:row>108</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0</xdr:col>
      <xdr:colOff>476250</xdr:colOff>
      <xdr:row>97</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1085850</xdr:colOff>
      <xdr:row>97</xdr:row>
      <xdr:rowOff>38100</xdr:rowOff>
    </xdr:from>
    <xdr:ext cx="2908300" cy="17081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2700" y="16230600"/>
          <a:ext cx="29083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9"/>
  <sheetViews>
    <sheetView tabSelected="1" topLeftCell="A65" zoomScaleNormal="100" workbookViewId="0">
      <selection activeCell="E84" sqref="E84"/>
    </sheetView>
  </sheetViews>
  <sheetFormatPr defaultColWidth="9.140625" defaultRowHeight="12.75" x14ac:dyDescent="0.2"/>
  <cols>
    <col min="1" max="1" width="46.42578125" style="4" customWidth="1"/>
    <col min="2" max="2" width="38" style="3" customWidth="1"/>
    <col min="3" max="3" width="13.42578125" style="2" customWidth="1"/>
    <col min="4" max="4" width="15.85546875" style="1" customWidth="1"/>
    <col min="5" max="5" width="11.85546875" style="1" customWidth="1"/>
    <col min="6" max="6" width="16.28515625" style="1" customWidth="1"/>
    <col min="7" max="7" width="9.5703125" style="1" bestFit="1" customWidth="1"/>
    <col min="8" max="8" width="12.28515625" style="1" customWidth="1"/>
    <col min="9" max="16384" width="9.140625" style="1"/>
  </cols>
  <sheetData>
    <row r="1" spans="1:8" x14ac:dyDescent="0.2">
      <c r="A1" s="46" t="s">
        <v>21</v>
      </c>
      <c r="B1" s="46"/>
      <c r="C1" s="46"/>
      <c r="D1" s="46"/>
      <c r="E1" s="46"/>
      <c r="F1" s="46"/>
      <c r="G1" s="46"/>
      <c r="H1" s="46"/>
    </row>
    <row r="2" spans="1:8" x14ac:dyDescent="0.2">
      <c r="A2" s="46" t="s">
        <v>20</v>
      </c>
      <c r="B2" s="46"/>
      <c r="C2" s="46"/>
      <c r="D2" s="46"/>
      <c r="E2" s="46"/>
      <c r="F2" s="46"/>
      <c r="G2" s="46"/>
      <c r="H2" s="46"/>
    </row>
    <row r="3" spans="1:8" ht="12.75" customHeight="1" x14ac:dyDescent="0.2">
      <c r="A3" s="47" t="s">
        <v>109</v>
      </c>
      <c r="B3" s="47"/>
      <c r="C3" s="47"/>
      <c r="D3" s="47"/>
      <c r="E3" s="47"/>
      <c r="F3" s="47"/>
      <c r="G3" s="47"/>
      <c r="H3" s="47"/>
    </row>
    <row r="4" spans="1:8" s="29" customFormat="1" ht="25.5" x14ac:dyDescent="0.2">
      <c r="A4" s="30" t="s">
        <v>19</v>
      </c>
      <c r="B4" s="32" t="s">
        <v>18</v>
      </c>
      <c r="C4" s="31" t="s">
        <v>17</v>
      </c>
      <c r="D4" s="30" t="s">
        <v>16</v>
      </c>
      <c r="E4" s="30" t="s">
        <v>15</v>
      </c>
      <c r="F4" s="30" t="s">
        <v>14</v>
      </c>
      <c r="G4" s="30" t="s">
        <v>13</v>
      </c>
      <c r="H4" s="30" t="s">
        <v>12</v>
      </c>
    </row>
    <row r="5" spans="1:8" ht="14.25" x14ac:dyDescent="0.3">
      <c r="A5" s="28" t="s">
        <v>22</v>
      </c>
      <c r="B5" s="27"/>
      <c r="C5" s="26"/>
      <c r="D5" s="25"/>
      <c r="E5" s="33"/>
      <c r="F5" s="24"/>
      <c r="G5" s="23"/>
      <c r="H5" s="22"/>
    </row>
    <row r="6" spans="1:8" ht="14.25" x14ac:dyDescent="0.3">
      <c r="A6" s="28" t="s">
        <v>23</v>
      </c>
      <c r="B6" s="27"/>
      <c r="C6" s="26"/>
      <c r="D6" s="25"/>
      <c r="E6" s="33"/>
      <c r="F6" s="24"/>
      <c r="G6" s="23"/>
      <c r="H6" s="22"/>
    </row>
    <row r="7" spans="1:8" ht="14.25" x14ac:dyDescent="0.3">
      <c r="A7" s="34" t="s">
        <v>110</v>
      </c>
      <c r="B7" s="34" t="s">
        <v>85</v>
      </c>
      <c r="C7" s="26">
        <v>77975</v>
      </c>
      <c r="D7" s="36">
        <v>1051.3759124999999</v>
      </c>
      <c r="E7" s="35">
        <v>5.7254200889552825E-2</v>
      </c>
      <c r="F7" s="24" t="s">
        <v>26</v>
      </c>
      <c r="G7" s="23"/>
      <c r="H7" s="22"/>
    </row>
    <row r="8" spans="1:8" ht="14.25" x14ac:dyDescent="0.3">
      <c r="A8" s="34" t="s">
        <v>111</v>
      </c>
      <c r="B8" s="34" t="s">
        <v>85</v>
      </c>
      <c r="C8" s="26">
        <v>49131</v>
      </c>
      <c r="D8" s="36">
        <v>898.212942</v>
      </c>
      <c r="E8" s="35">
        <v>4.8913489087438325E-2</v>
      </c>
      <c r="F8" s="24" t="s">
        <v>24</v>
      </c>
      <c r="G8" s="23"/>
      <c r="H8" s="22"/>
    </row>
    <row r="9" spans="1:8" ht="14.25" x14ac:dyDescent="0.3">
      <c r="A9" s="34" t="s">
        <v>112</v>
      </c>
      <c r="B9" s="34" t="s">
        <v>86</v>
      </c>
      <c r="C9" s="26">
        <v>45965</v>
      </c>
      <c r="D9" s="36">
        <v>721.94927250000001</v>
      </c>
      <c r="E9" s="35">
        <v>3.9314795201551199E-2</v>
      </c>
      <c r="F9" s="24" t="s">
        <v>25</v>
      </c>
      <c r="G9" s="23"/>
      <c r="H9" s="22"/>
    </row>
    <row r="10" spans="1:8" ht="14.25" x14ac:dyDescent="0.3">
      <c r="A10" s="34" t="s">
        <v>113</v>
      </c>
      <c r="B10" s="34" t="s">
        <v>87</v>
      </c>
      <c r="C10" s="26">
        <v>7300</v>
      </c>
      <c r="D10" s="36">
        <v>575.15605000000005</v>
      </c>
      <c r="E10" s="35">
        <v>3.1320957269450181E-2</v>
      </c>
      <c r="F10" s="24" t="s">
        <v>27</v>
      </c>
      <c r="G10" s="23"/>
      <c r="H10" s="22"/>
    </row>
    <row r="11" spans="1:8" ht="14.25" x14ac:dyDescent="0.3">
      <c r="A11" s="34" t="s">
        <v>114</v>
      </c>
      <c r="B11" s="34" t="s">
        <v>85</v>
      </c>
      <c r="C11" s="26">
        <v>72900</v>
      </c>
      <c r="D11" s="36">
        <v>562.42349999999999</v>
      </c>
      <c r="E11" s="35">
        <v>3.0627587783932052E-2</v>
      </c>
      <c r="F11" s="24" t="s">
        <v>29</v>
      </c>
      <c r="G11" s="23"/>
      <c r="H11" s="22"/>
    </row>
    <row r="12" spans="1:8" ht="14.25" x14ac:dyDescent="0.3">
      <c r="A12" s="34" t="s">
        <v>115</v>
      </c>
      <c r="B12" s="34" t="s">
        <v>88</v>
      </c>
      <c r="C12" s="26">
        <v>6250</v>
      </c>
      <c r="D12" s="36">
        <v>559.1</v>
      </c>
      <c r="E12" s="35">
        <v>3.0446601768945303E-2</v>
      </c>
      <c r="F12" s="24" t="s">
        <v>161</v>
      </c>
      <c r="G12" s="23"/>
      <c r="H12" s="22"/>
    </row>
    <row r="13" spans="1:8" ht="14.25" x14ac:dyDescent="0.3">
      <c r="A13" s="34" t="s">
        <v>116</v>
      </c>
      <c r="B13" s="34" t="s">
        <v>87</v>
      </c>
      <c r="C13" s="26">
        <v>4706</v>
      </c>
      <c r="D13" s="36">
        <v>542.23237900000004</v>
      </c>
      <c r="E13" s="35">
        <v>2.9528050992024362E-2</v>
      </c>
      <c r="F13" s="24" t="s">
        <v>28</v>
      </c>
      <c r="G13" s="23"/>
      <c r="H13" s="22"/>
    </row>
    <row r="14" spans="1:8" ht="14.25" x14ac:dyDescent="0.3">
      <c r="A14" s="34" t="s">
        <v>117</v>
      </c>
      <c r="B14" s="34" t="s">
        <v>89</v>
      </c>
      <c r="C14" s="26">
        <v>30700</v>
      </c>
      <c r="D14" s="36">
        <v>532.15380000000005</v>
      </c>
      <c r="E14" s="35">
        <v>2.8979207348293626E-2</v>
      </c>
      <c r="F14" s="24" t="s">
        <v>32</v>
      </c>
      <c r="G14" s="23"/>
      <c r="H14" s="22"/>
    </row>
    <row r="15" spans="1:8" ht="14.25" x14ac:dyDescent="0.3">
      <c r="A15" s="34" t="s">
        <v>118</v>
      </c>
      <c r="B15" s="34" t="s">
        <v>30</v>
      </c>
      <c r="C15" s="26">
        <v>14447</v>
      </c>
      <c r="D15" s="36">
        <v>504.53258099999999</v>
      </c>
      <c r="E15" s="35">
        <v>2.7475053788526455E-2</v>
      </c>
      <c r="F15" s="24" t="s">
        <v>31</v>
      </c>
      <c r="G15" s="23"/>
      <c r="H15" s="22"/>
    </row>
    <row r="16" spans="1:8" ht="14.25" x14ac:dyDescent="0.3">
      <c r="A16" s="34" t="s">
        <v>119</v>
      </c>
      <c r="B16" s="34" t="s">
        <v>90</v>
      </c>
      <c r="C16" s="26">
        <v>28195</v>
      </c>
      <c r="D16" s="36">
        <v>494.04688750000003</v>
      </c>
      <c r="E16" s="35">
        <v>2.6904040133964267E-2</v>
      </c>
      <c r="F16" s="24" t="s">
        <v>34</v>
      </c>
      <c r="G16" s="23"/>
      <c r="H16" s="22"/>
    </row>
    <row r="17" spans="1:8" ht="14.25" x14ac:dyDescent="0.3">
      <c r="A17" s="34" t="s">
        <v>120</v>
      </c>
      <c r="B17" s="34" t="s">
        <v>92</v>
      </c>
      <c r="C17" s="26">
        <v>31500</v>
      </c>
      <c r="D17" s="36">
        <v>459.4905</v>
      </c>
      <c r="E17" s="35">
        <v>2.5022221910415959E-2</v>
      </c>
      <c r="F17" s="24" t="s">
        <v>53</v>
      </c>
      <c r="G17" s="23"/>
      <c r="H17" s="22"/>
    </row>
    <row r="18" spans="1:8" ht="14.25" x14ac:dyDescent="0.3">
      <c r="A18" s="34" t="s">
        <v>121</v>
      </c>
      <c r="B18" s="34" t="s">
        <v>88</v>
      </c>
      <c r="C18" s="26">
        <v>43600</v>
      </c>
      <c r="D18" s="36">
        <v>415.05020000000002</v>
      </c>
      <c r="E18" s="35">
        <v>2.2602160889860674E-2</v>
      </c>
      <c r="F18" s="24" t="s">
        <v>33</v>
      </c>
      <c r="G18" s="23"/>
      <c r="H18" s="22"/>
    </row>
    <row r="19" spans="1:8" ht="14.25" x14ac:dyDescent="0.3">
      <c r="A19" s="34" t="s">
        <v>122</v>
      </c>
      <c r="B19" s="34" t="s">
        <v>85</v>
      </c>
      <c r="C19" s="26">
        <v>19000</v>
      </c>
      <c r="D19" s="36">
        <v>412.52800000000002</v>
      </c>
      <c r="E19" s="35">
        <v>2.2464810829081503E-2</v>
      </c>
      <c r="F19" s="24" t="s">
        <v>162</v>
      </c>
      <c r="G19" s="23"/>
      <c r="H19" s="22"/>
    </row>
    <row r="20" spans="1:8" ht="14.25" x14ac:dyDescent="0.3">
      <c r="A20" s="34" t="s">
        <v>123</v>
      </c>
      <c r="B20" s="34" t="s">
        <v>102</v>
      </c>
      <c r="C20" s="26">
        <v>61500</v>
      </c>
      <c r="D20" s="36">
        <v>408.57524999999998</v>
      </c>
      <c r="E20" s="35">
        <v>2.2249558092286299E-2</v>
      </c>
      <c r="F20" s="24" t="s">
        <v>58</v>
      </c>
      <c r="G20" s="23"/>
      <c r="H20" s="22"/>
    </row>
    <row r="21" spans="1:8" ht="14.25" x14ac:dyDescent="0.3">
      <c r="A21" s="34" t="s">
        <v>124</v>
      </c>
      <c r="B21" s="34" t="s">
        <v>91</v>
      </c>
      <c r="C21" s="26">
        <v>9510</v>
      </c>
      <c r="D21" s="36">
        <v>400.45183500000002</v>
      </c>
      <c r="E21" s="35">
        <v>2.1807185741170441E-2</v>
      </c>
      <c r="F21" s="24" t="s">
        <v>37</v>
      </c>
      <c r="G21" s="23"/>
      <c r="H21" s="22"/>
    </row>
    <row r="22" spans="1:8" ht="14.25" x14ac:dyDescent="0.3">
      <c r="A22" s="34" t="s">
        <v>125</v>
      </c>
      <c r="B22" s="34" t="s">
        <v>100</v>
      </c>
      <c r="C22" s="26">
        <v>12000</v>
      </c>
      <c r="D22" s="36">
        <v>366.22199999999998</v>
      </c>
      <c r="E22" s="35">
        <v>1.9943150407845979E-2</v>
      </c>
      <c r="F22" s="24" t="s">
        <v>49</v>
      </c>
      <c r="G22" s="23"/>
      <c r="H22" s="22"/>
    </row>
    <row r="23" spans="1:8" ht="14.25" x14ac:dyDescent="0.3">
      <c r="A23" s="34" t="s">
        <v>126</v>
      </c>
      <c r="B23" s="34" t="s">
        <v>98</v>
      </c>
      <c r="C23" s="26">
        <v>65000</v>
      </c>
      <c r="D23" s="36">
        <v>350.77249999999998</v>
      </c>
      <c r="E23" s="35">
        <v>1.9101825467711261E-2</v>
      </c>
      <c r="F23" s="24" t="s">
        <v>45</v>
      </c>
      <c r="G23" s="23"/>
      <c r="H23" s="22"/>
    </row>
    <row r="24" spans="1:8" ht="14.25" x14ac:dyDescent="0.3">
      <c r="A24" s="34" t="s">
        <v>127</v>
      </c>
      <c r="B24" s="34" t="s">
        <v>90</v>
      </c>
      <c r="C24" s="26">
        <v>30365</v>
      </c>
      <c r="D24" s="36">
        <v>347.43633</v>
      </c>
      <c r="E24" s="35">
        <v>1.8920149489490012E-2</v>
      </c>
      <c r="F24" s="24" t="s">
        <v>35</v>
      </c>
      <c r="G24" s="23"/>
      <c r="H24" s="22"/>
    </row>
    <row r="25" spans="1:8" ht="14.25" x14ac:dyDescent="0.3">
      <c r="A25" s="34" t="s">
        <v>128</v>
      </c>
      <c r="B25" s="34" t="s">
        <v>88</v>
      </c>
      <c r="C25" s="26">
        <v>82625</v>
      </c>
      <c r="D25" s="36">
        <v>342.27406250000001</v>
      </c>
      <c r="E25" s="35">
        <v>1.8639030722190298E-2</v>
      </c>
      <c r="F25" s="24" t="s">
        <v>54</v>
      </c>
      <c r="G25" s="23"/>
      <c r="H25" s="22"/>
    </row>
    <row r="26" spans="1:8" ht="14.25" x14ac:dyDescent="0.3">
      <c r="A26" s="34" t="s">
        <v>129</v>
      </c>
      <c r="B26" s="34" t="s">
        <v>86</v>
      </c>
      <c r="C26" s="26">
        <v>23750</v>
      </c>
      <c r="D26" s="36">
        <v>336.83437500000002</v>
      </c>
      <c r="E26" s="35">
        <v>1.83428046462468E-2</v>
      </c>
      <c r="F26" s="24" t="s">
        <v>36</v>
      </c>
      <c r="G26" s="23"/>
      <c r="H26" s="22"/>
    </row>
    <row r="27" spans="1:8" ht="14.25" x14ac:dyDescent="0.3">
      <c r="A27" s="34" t="s">
        <v>130</v>
      </c>
      <c r="B27" s="34" t="s">
        <v>131</v>
      </c>
      <c r="C27" s="26">
        <v>4945</v>
      </c>
      <c r="D27" s="36">
        <v>334.73694</v>
      </c>
      <c r="E27" s="35">
        <v>1.8228585779887924E-2</v>
      </c>
      <c r="F27" s="24" t="s">
        <v>163</v>
      </c>
      <c r="G27" s="23"/>
      <c r="H27" s="22"/>
    </row>
    <row r="28" spans="1:8" ht="14.25" x14ac:dyDescent="0.3">
      <c r="A28" s="34" t="s">
        <v>132</v>
      </c>
      <c r="B28" s="34" t="s">
        <v>93</v>
      </c>
      <c r="C28" s="26">
        <v>49000</v>
      </c>
      <c r="D28" s="36">
        <v>334.40050000000002</v>
      </c>
      <c r="E28" s="35">
        <v>1.8210264451504549E-2</v>
      </c>
      <c r="F28" s="24" t="s">
        <v>39</v>
      </c>
      <c r="G28" s="23"/>
      <c r="H28" s="22"/>
    </row>
    <row r="29" spans="1:8" ht="14.25" x14ac:dyDescent="0.3">
      <c r="A29" s="34" t="s">
        <v>133</v>
      </c>
      <c r="B29" s="34" t="s">
        <v>91</v>
      </c>
      <c r="C29" s="26">
        <v>11000</v>
      </c>
      <c r="D29" s="36">
        <v>323.30650000000003</v>
      </c>
      <c r="E29" s="35">
        <v>1.7606124583815982E-2</v>
      </c>
      <c r="F29" s="24" t="s">
        <v>42</v>
      </c>
      <c r="G29" s="23"/>
      <c r="H29" s="22"/>
    </row>
    <row r="30" spans="1:8" ht="14.25" x14ac:dyDescent="0.3">
      <c r="A30" s="34" t="s">
        <v>134</v>
      </c>
      <c r="B30" s="34" t="s">
        <v>92</v>
      </c>
      <c r="C30" s="26">
        <v>45000</v>
      </c>
      <c r="D30" s="36">
        <v>319.02749999999997</v>
      </c>
      <c r="E30" s="35">
        <v>1.7373105429873366E-2</v>
      </c>
      <c r="F30" s="24" t="s">
        <v>38</v>
      </c>
      <c r="G30" s="23"/>
      <c r="H30" s="22"/>
    </row>
    <row r="31" spans="1:8" ht="14.25" x14ac:dyDescent="0.3">
      <c r="A31" s="34" t="s">
        <v>135</v>
      </c>
      <c r="B31" s="34" t="s">
        <v>94</v>
      </c>
      <c r="C31" s="26">
        <v>21407</v>
      </c>
      <c r="D31" s="36">
        <v>312.84189800000001</v>
      </c>
      <c r="E31" s="35">
        <v>1.7036259497490623E-2</v>
      </c>
      <c r="F31" s="24" t="s">
        <v>40</v>
      </c>
      <c r="G31" s="23"/>
      <c r="H31" s="22"/>
    </row>
    <row r="32" spans="1:8" ht="14.25" x14ac:dyDescent="0.3">
      <c r="A32" s="34" t="s">
        <v>136</v>
      </c>
      <c r="B32" s="34" t="s">
        <v>103</v>
      </c>
      <c r="C32" s="26">
        <v>5846</v>
      </c>
      <c r="D32" s="36">
        <v>311.308269</v>
      </c>
      <c r="E32" s="35">
        <v>1.6952743504959223E-2</v>
      </c>
      <c r="F32" s="24" t="s">
        <v>59</v>
      </c>
      <c r="G32" s="23"/>
      <c r="H32" s="22"/>
    </row>
    <row r="33" spans="1:8" ht="14.25" x14ac:dyDescent="0.3">
      <c r="A33" s="34" t="s">
        <v>137</v>
      </c>
      <c r="B33" s="34" t="s">
        <v>95</v>
      </c>
      <c r="C33" s="26">
        <v>2700</v>
      </c>
      <c r="D33" s="36">
        <v>310.75785000000002</v>
      </c>
      <c r="E33" s="35">
        <v>1.6922769639641639E-2</v>
      </c>
      <c r="F33" s="24" t="s">
        <v>41</v>
      </c>
      <c r="G33" s="23"/>
      <c r="H33" s="22"/>
    </row>
    <row r="34" spans="1:8" ht="14.25" x14ac:dyDescent="0.3">
      <c r="A34" s="34" t="s">
        <v>138</v>
      </c>
      <c r="B34" s="34" t="s">
        <v>92</v>
      </c>
      <c r="C34" s="26">
        <v>33071</v>
      </c>
      <c r="D34" s="36">
        <v>303.12878599999999</v>
      </c>
      <c r="E34" s="35">
        <v>1.6507317889547207E-2</v>
      </c>
      <c r="F34" s="24" t="s">
        <v>52</v>
      </c>
      <c r="G34" s="23"/>
      <c r="H34" s="22"/>
    </row>
    <row r="35" spans="1:8" ht="14.25" x14ac:dyDescent="0.3">
      <c r="A35" s="34" t="s">
        <v>139</v>
      </c>
      <c r="B35" s="34" t="s">
        <v>97</v>
      </c>
      <c r="C35" s="26">
        <v>89000</v>
      </c>
      <c r="D35" s="36">
        <v>302.82249999999999</v>
      </c>
      <c r="E35" s="35">
        <v>1.6490638640988087E-2</v>
      </c>
      <c r="F35" s="24" t="s">
        <v>43</v>
      </c>
      <c r="G35" s="23"/>
      <c r="H35" s="22"/>
    </row>
    <row r="36" spans="1:8" ht="14.25" x14ac:dyDescent="0.3">
      <c r="A36" s="34" t="s">
        <v>140</v>
      </c>
      <c r="B36" s="34" t="s">
        <v>91</v>
      </c>
      <c r="C36" s="26">
        <v>10515</v>
      </c>
      <c r="D36" s="36">
        <v>299.60389500000002</v>
      </c>
      <c r="E36" s="35">
        <v>1.6315364835431771E-2</v>
      </c>
      <c r="F36" s="24" t="s">
        <v>50</v>
      </c>
      <c r="G36" s="23"/>
      <c r="H36" s="22"/>
    </row>
    <row r="37" spans="1:8" ht="14.25" x14ac:dyDescent="0.3">
      <c r="A37" s="34" t="s">
        <v>141</v>
      </c>
      <c r="B37" s="34" t="s">
        <v>86</v>
      </c>
      <c r="C37" s="26">
        <v>29042</v>
      </c>
      <c r="D37" s="36">
        <v>289.34544599999998</v>
      </c>
      <c r="E37" s="35">
        <v>1.5756726109854888E-2</v>
      </c>
      <c r="F37" s="24" t="s">
        <v>46</v>
      </c>
      <c r="G37" s="23"/>
      <c r="H37" s="22"/>
    </row>
    <row r="38" spans="1:8" ht="14.25" x14ac:dyDescent="0.3">
      <c r="A38" s="34" t="s">
        <v>142</v>
      </c>
      <c r="B38" s="34" t="s">
        <v>103</v>
      </c>
      <c r="C38" s="26">
        <v>140000</v>
      </c>
      <c r="D38" s="36">
        <v>282.38</v>
      </c>
      <c r="E38" s="35">
        <v>1.5377412640877795E-2</v>
      </c>
      <c r="F38" s="24" t="s">
        <v>65</v>
      </c>
      <c r="G38" s="23"/>
      <c r="H38" s="22"/>
    </row>
    <row r="39" spans="1:8" ht="14.25" x14ac:dyDescent="0.3">
      <c r="A39" s="34" t="s">
        <v>143</v>
      </c>
      <c r="B39" s="34" t="s">
        <v>90</v>
      </c>
      <c r="C39" s="26">
        <v>38417</v>
      </c>
      <c r="D39" s="36">
        <v>257.08656400000001</v>
      </c>
      <c r="E39" s="35">
        <v>1.4000021882050564E-2</v>
      </c>
      <c r="F39" s="24" t="s">
        <v>48</v>
      </c>
      <c r="G39" s="23"/>
      <c r="H39" s="22"/>
    </row>
    <row r="40" spans="1:8" ht="14.25" x14ac:dyDescent="0.3">
      <c r="A40" s="34" t="s">
        <v>144</v>
      </c>
      <c r="B40" s="34" t="s">
        <v>92</v>
      </c>
      <c r="C40" s="26">
        <v>11900</v>
      </c>
      <c r="D40" s="36">
        <v>254.23159999999999</v>
      </c>
      <c r="E40" s="35">
        <v>1.3844550674801994E-2</v>
      </c>
      <c r="F40" s="24" t="s">
        <v>60</v>
      </c>
      <c r="G40" s="23"/>
      <c r="H40" s="22"/>
    </row>
    <row r="41" spans="1:8" ht="14.25" x14ac:dyDescent="0.3">
      <c r="A41" s="34" t="s">
        <v>145</v>
      </c>
      <c r="B41" s="34" t="s">
        <v>90</v>
      </c>
      <c r="C41" s="26">
        <v>2100</v>
      </c>
      <c r="D41" s="36">
        <v>253.50255000000001</v>
      </c>
      <c r="E41" s="35">
        <v>1.3804849199181088E-2</v>
      </c>
      <c r="F41" s="24" t="s">
        <v>44</v>
      </c>
      <c r="G41" s="23"/>
      <c r="H41" s="22"/>
    </row>
    <row r="42" spans="1:8" ht="14.25" x14ac:dyDescent="0.3">
      <c r="A42" s="34" t="s">
        <v>146</v>
      </c>
      <c r="B42" s="34" t="s">
        <v>85</v>
      </c>
      <c r="C42" s="26">
        <v>108736</v>
      </c>
      <c r="D42" s="36">
        <v>248.49438079999999</v>
      </c>
      <c r="E42" s="35">
        <v>1.35321220784086E-2</v>
      </c>
      <c r="F42" s="24" t="s">
        <v>55</v>
      </c>
      <c r="G42" s="23"/>
      <c r="H42" s="22"/>
    </row>
    <row r="43" spans="1:8" ht="14.25" x14ac:dyDescent="0.3">
      <c r="A43" s="34" t="s">
        <v>147</v>
      </c>
      <c r="B43" s="34" t="s">
        <v>104</v>
      </c>
      <c r="C43" s="26">
        <v>21603</v>
      </c>
      <c r="D43" s="36">
        <v>247.60278450000001</v>
      </c>
      <c r="E43" s="35">
        <v>1.3483568908162194E-2</v>
      </c>
      <c r="F43" s="24" t="s">
        <v>66</v>
      </c>
      <c r="G43" s="23"/>
      <c r="H43" s="22"/>
    </row>
    <row r="44" spans="1:8" ht="14.25" x14ac:dyDescent="0.3">
      <c r="A44" s="34" t="s">
        <v>148</v>
      </c>
      <c r="B44" s="34" t="s">
        <v>62</v>
      </c>
      <c r="C44" s="26">
        <v>65000</v>
      </c>
      <c r="D44" s="36">
        <v>232.44</v>
      </c>
      <c r="E44" s="35">
        <v>1.2657857476611781E-2</v>
      </c>
      <c r="F44" s="24" t="s">
        <v>63</v>
      </c>
      <c r="G44" s="23"/>
      <c r="H44" s="22"/>
    </row>
    <row r="45" spans="1:8" ht="14.25" x14ac:dyDescent="0.3">
      <c r="A45" s="34" t="s">
        <v>149</v>
      </c>
      <c r="B45" s="34" t="s">
        <v>92</v>
      </c>
      <c r="C45" s="26">
        <v>11102</v>
      </c>
      <c r="D45" s="36">
        <v>222.99477200000001</v>
      </c>
      <c r="E45" s="35">
        <v>1.2143503880595161E-2</v>
      </c>
      <c r="F45" s="24" t="s">
        <v>70</v>
      </c>
      <c r="G45" s="23"/>
      <c r="H45" s="22"/>
    </row>
    <row r="46" spans="1:8" ht="14.25" x14ac:dyDescent="0.3">
      <c r="A46" s="34" t="s">
        <v>150</v>
      </c>
      <c r="B46" s="34" t="s">
        <v>99</v>
      </c>
      <c r="C46" s="26">
        <v>67038</v>
      </c>
      <c r="D46" s="36">
        <v>220.35390599999999</v>
      </c>
      <c r="E46" s="35">
        <v>1.1999691690598476E-2</v>
      </c>
      <c r="F46" s="24" t="s">
        <v>47</v>
      </c>
      <c r="G46" s="23"/>
      <c r="H46" s="22"/>
    </row>
    <row r="47" spans="1:8" ht="14.25" x14ac:dyDescent="0.3">
      <c r="A47" s="34" t="s">
        <v>151</v>
      </c>
      <c r="B47" s="34" t="s">
        <v>92</v>
      </c>
      <c r="C47" s="26">
        <v>58475</v>
      </c>
      <c r="D47" s="36">
        <v>206.9722625</v>
      </c>
      <c r="E47" s="35">
        <v>1.1270974876685946E-2</v>
      </c>
      <c r="F47" s="24" t="s">
        <v>71</v>
      </c>
      <c r="G47" s="23"/>
      <c r="H47" s="22"/>
    </row>
    <row r="48" spans="1:8" ht="14.25" x14ac:dyDescent="0.3">
      <c r="A48" s="34" t="s">
        <v>152</v>
      </c>
      <c r="B48" s="34" t="s">
        <v>101</v>
      </c>
      <c r="C48" s="26">
        <v>15895</v>
      </c>
      <c r="D48" s="36">
        <v>205.65745749999999</v>
      </c>
      <c r="E48" s="35">
        <v>1.1199375262593979E-2</v>
      </c>
      <c r="F48" s="24" t="s">
        <v>56</v>
      </c>
      <c r="G48" s="23"/>
      <c r="H48" s="22"/>
    </row>
    <row r="49" spans="1:8" ht="14.25" x14ac:dyDescent="0.3">
      <c r="A49" s="34" t="s">
        <v>153</v>
      </c>
      <c r="B49" s="34" t="s">
        <v>67</v>
      </c>
      <c r="C49" s="26">
        <v>17000</v>
      </c>
      <c r="D49" s="36">
        <v>203.71100000000001</v>
      </c>
      <c r="E49" s="35">
        <v>1.1093378095069965E-2</v>
      </c>
      <c r="F49" s="24" t="s">
        <v>69</v>
      </c>
      <c r="G49" s="23"/>
      <c r="H49" s="22"/>
    </row>
    <row r="50" spans="1:8" ht="14.25" x14ac:dyDescent="0.3">
      <c r="A50" s="34" t="s">
        <v>154</v>
      </c>
      <c r="B50" s="34" t="s">
        <v>88</v>
      </c>
      <c r="C50" s="26">
        <v>85000</v>
      </c>
      <c r="D50" s="36">
        <v>199.75</v>
      </c>
      <c r="E50" s="35">
        <v>1.0877676092553792E-2</v>
      </c>
      <c r="F50" s="24" t="s">
        <v>61</v>
      </c>
      <c r="G50" s="23"/>
      <c r="H50" s="22"/>
    </row>
    <row r="51" spans="1:8" ht="14.25" x14ac:dyDescent="0.3">
      <c r="A51" s="34" t="s">
        <v>155</v>
      </c>
      <c r="B51" s="34" t="s">
        <v>86</v>
      </c>
      <c r="C51" s="26">
        <v>5250</v>
      </c>
      <c r="D51" s="36">
        <v>189.32287500000001</v>
      </c>
      <c r="E51" s="35">
        <v>1.0309851870643554E-2</v>
      </c>
      <c r="F51" s="24" t="s">
        <v>164</v>
      </c>
      <c r="G51" s="23"/>
      <c r="H51" s="22"/>
    </row>
    <row r="52" spans="1:8" ht="14.25" x14ac:dyDescent="0.3">
      <c r="A52" s="34" t="s">
        <v>156</v>
      </c>
      <c r="B52" s="34" t="s">
        <v>90</v>
      </c>
      <c r="C52" s="26">
        <v>17500</v>
      </c>
      <c r="D52" s="36">
        <v>189.20124999999999</v>
      </c>
      <c r="E52" s="35">
        <v>1.0303228604787449E-2</v>
      </c>
      <c r="F52" s="24" t="s">
        <v>64</v>
      </c>
      <c r="G52" s="23"/>
      <c r="H52" s="22"/>
    </row>
    <row r="53" spans="1:8" ht="14.25" x14ac:dyDescent="0.3">
      <c r="A53" s="34" t="s">
        <v>157</v>
      </c>
      <c r="B53" s="34" t="s">
        <v>100</v>
      </c>
      <c r="C53" s="26">
        <v>4735</v>
      </c>
      <c r="D53" s="36">
        <v>186.78391250000001</v>
      </c>
      <c r="E53" s="35">
        <v>1.0171588983604051E-2</v>
      </c>
      <c r="F53" s="24" t="s">
        <v>107</v>
      </c>
      <c r="G53" s="23"/>
      <c r="H53" s="22"/>
    </row>
    <row r="54" spans="1:8" ht="14.25" x14ac:dyDescent="0.3">
      <c r="A54" s="34" t="s">
        <v>158</v>
      </c>
      <c r="B54" s="34" t="s">
        <v>96</v>
      </c>
      <c r="C54" s="26">
        <v>325000</v>
      </c>
      <c r="D54" s="36">
        <v>184.14500000000001</v>
      </c>
      <c r="E54" s="35">
        <v>1.0027883174284446E-2</v>
      </c>
      <c r="F54" s="24" t="s">
        <v>51</v>
      </c>
      <c r="G54" s="23"/>
      <c r="H54" s="22"/>
    </row>
    <row r="55" spans="1:8" ht="14.25" x14ac:dyDescent="0.3">
      <c r="A55" s="34" t="s">
        <v>159</v>
      </c>
      <c r="B55" s="34" t="s">
        <v>67</v>
      </c>
      <c r="C55" s="26">
        <v>57870</v>
      </c>
      <c r="D55" s="36">
        <v>149.99904000000001</v>
      </c>
      <c r="E55" s="35">
        <v>8.1684153757898368E-3</v>
      </c>
      <c r="F55" s="24" t="s">
        <v>68</v>
      </c>
      <c r="G55" s="23"/>
      <c r="H55" s="22"/>
    </row>
    <row r="56" spans="1:8" ht="14.25" x14ac:dyDescent="0.3">
      <c r="A56" s="34" t="s">
        <v>160</v>
      </c>
      <c r="B56" s="34" t="s">
        <v>90</v>
      </c>
      <c r="C56" s="26">
        <v>16027</v>
      </c>
      <c r="D56" s="36">
        <v>124.385547</v>
      </c>
      <c r="E56" s="35">
        <v>6.7735954486164004E-3</v>
      </c>
      <c r="F56" s="24" t="s">
        <v>57</v>
      </c>
      <c r="G56" s="23"/>
      <c r="H56" s="22"/>
    </row>
    <row r="57" spans="1:8" ht="14.25" x14ac:dyDescent="0.3">
      <c r="A57" s="28" t="s">
        <v>72</v>
      </c>
      <c r="B57" s="27"/>
      <c r="C57" s="26"/>
      <c r="D57" s="37">
        <f>SUM(D7:D56)</f>
        <v>17781.113362799999</v>
      </c>
      <c r="E57" s="40">
        <f>SUM(E7:E56)</f>
        <v>0.96829632903889007</v>
      </c>
      <c r="F57" s="24"/>
      <c r="G57" s="23"/>
      <c r="H57" s="22"/>
    </row>
    <row r="58" spans="1:8" ht="14.25" x14ac:dyDescent="0.3">
      <c r="A58" s="28" t="s">
        <v>73</v>
      </c>
      <c r="B58" s="27"/>
      <c r="C58" s="26"/>
      <c r="D58" s="37"/>
      <c r="E58" s="33"/>
      <c r="F58" s="24"/>
      <c r="G58" s="23"/>
      <c r="H58" s="22"/>
    </row>
    <row r="59" spans="1:8" ht="14.25" x14ac:dyDescent="0.3">
      <c r="A59" s="28" t="s">
        <v>72</v>
      </c>
      <c r="B59" s="27"/>
      <c r="C59" s="26"/>
      <c r="D59" s="37" t="s">
        <v>74</v>
      </c>
      <c r="E59" s="33" t="s">
        <v>74</v>
      </c>
      <c r="F59" s="24"/>
      <c r="G59" s="23"/>
      <c r="H59" s="22"/>
    </row>
    <row r="60" spans="1:8" ht="14.25" x14ac:dyDescent="0.3">
      <c r="A60" s="28" t="s">
        <v>75</v>
      </c>
      <c r="B60" s="27"/>
      <c r="C60" s="26"/>
      <c r="D60" s="37"/>
      <c r="E60" s="33"/>
      <c r="F60" s="24"/>
      <c r="G60" s="23"/>
      <c r="H60" s="22"/>
    </row>
    <row r="61" spans="1:8" ht="14.25" x14ac:dyDescent="0.3">
      <c r="A61" s="28" t="s">
        <v>72</v>
      </c>
      <c r="B61" s="27"/>
      <c r="C61" s="26"/>
      <c r="D61" s="37" t="s">
        <v>74</v>
      </c>
      <c r="E61" s="33" t="s">
        <v>74</v>
      </c>
      <c r="F61" s="24"/>
      <c r="G61" s="23"/>
      <c r="H61" s="22"/>
    </row>
    <row r="62" spans="1:8" ht="14.25" x14ac:dyDescent="0.3">
      <c r="A62" s="28" t="s">
        <v>76</v>
      </c>
      <c r="B62" s="27"/>
      <c r="C62" s="26"/>
      <c r="D62" s="37">
        <f>+D57</f>
        <v>17781.113362799999</v>
      </c>
      <c r="E62" s="37">
        <f>+E57</f>
        <v>0.96829632903889007</v>
      </c>
      <c r="F62" s="24"/>
      <c r="G62" s="23"/>
      <c r="H62" s="22"/>
    </row>
    <row r="63" spans="1:8" ht="14.25" x14ac:dyDescent="0.3">
      <c r="A63" s="28"/>
      <c r="B63" s="27"/>
      <c r="C63" s="26"/>
      <c r="D63" s="37"/>
      <c r="E63" s="33"/>
      <c r="F63" s="24"/>
      <c r="G63" s="23"/>
      <c r="H63" s="22"/>
    </row>
    <row r="64" spans="1:8" ht="14.25" x14ac:dyDescent="0.3">
      <c r="A64" s="28" t="s">
        <v>77</v>
      </c>
      <c r="B64" s="27"/>
      <c r="C64" s="26"/>
      <c r="D64" s="37"/>
      <c r="E64" s="33"/>
      <c r="F64" s="24"/>
      <c r="G64" s="23"/>
      <c r="H64" s="22"/>
    </row>
    <row r="65" spans="1:8" ht="14.25" x14ac:dyDescent="0.3">
      <c r="A65" s="28" t="s">
        <v>78</v>
      </c>
      <c r="B65" s="27"/>
      <c r="C65" s="26"/>
      <c r="D65" s="37"/>
      <c r="E65" s="33"/>
      <c r="F65" s="24"/>
      <c r="G65" s="23"/>
      <c r="H65" s="22"/>
    </row>
    <row r="66" spans="1:8" ht="14.25" x14ac:dyDescent="0.3">
      <c r="A66" s="28" t="s">
        <v>72</v>
      </c>
      <c r="B66" s="27"/>
      <c r="C66" s="26"/>
      <c r="D66" s="37" t="s">
        <v>74</v>
      </c>
      <c r="E66" s="33" t="s">
        <v>74</v>
      </c>
      <c r="F66" s="24"/>
      <c r="G66" s="23"/>
      <c r="H66" s="22"/>
    </row>
    <row r="67" spans="1:8" ht="14.25" x14ac:dyDescent="0.3">
      <c r="A67" s="28" t="s">
        <v>79</v>
      </c>
      <c r="B67" s="27"/>
      <c r="C67" s="26"/>
      <c r="D67" s="37"/>
      <c r="E67" s="33"/>
      <c r="F67" s="24"/>
      <c r="G67" s="23"/>
      <c r="H67" s="22"/>
    </row>
    <row r="68" spans="1:8" ht="14.25" x14ac:dyDescent="0.3">
      <c r="A68" s="28" t="s">
        <v>72</v>
      </c>
      <c r="B68" s="27"/>
      <c r="C68" s="26"/>
      <c r="D68" s="37" t="s">
        <v>74</v>
      </c>
      <c r="E68" s="33" t="s">
        <v>74</v>
      </c>
      <c r="F68" s="24"/>
      <c r="G68" s="23"/>
      <c r="H68" s="22"/>
    </row>
    <row r="69" spans="1:8" ht="14.25" x14ac:dyDescent="0.3">
      <c r="A69" s="28" t="s">
        <v>80</v>
      </c>
      <c r="B69" s="27"/>
      <c r="C69" s="26"/>
      <c r="D69" s="37"/>
      <c r="E69" s="33"/>
      <c r="F69" s="24"/>
      <c r="G69" s="23"/>
      <c r="H69" s="22"/>
    </row>
    <row r="70" spans="1:8" ht="14.25" x14ac:dyDescent="0.3">
      <c r="A70" s="28" t="s">
        <v>72</v>
      </c>
      <c r="B70" s="27"/>
      <c r="C70" s="26"/>
      <c r="D70" s="37" t="s">
        <v>74</v>
      </c>
      <c r="E70" s="33" t="s">
        <v>74</v>
      </c>
      <c r="F70" s="24"/>
      <c r="G70" s="23"/>
      <c r="H70" s="22"/>
    </row>
    <row r="71" spans="1:8" ht="14.25" x14ac:dyDescent="0.3">
      <c r="A71" s="28" t="s">
        <v>76</v>
      </c>
      <c r="B71" s="27"/>
      <c r="C71" s="26"/>
      <c r="D71" s="37" t="s">
        <v>74</v>
      </c>
      <c r="E71" s="33" t="s">
        <v>74</v>
      </c>
      <c r="F71" s="24"/>
      <c r="G71" s="23"/>
      <c r="H71" s="22"/>
    </row>
    <row r="72" spans="1:8" ht="14.25" x14ac:dyDescent="0.3">
      <c r="A72" s="28"/>
      <c r="B72" s="27"/>
      <c r="C72" s="26"/>
      <c r="D72" s="37"/>
      <c r="E72" s="33"/>
      <c r="F72" s="24"/>
      <c r="G72" s="23"/>
      <c r="H72" s="22"/>
    </row>
    <row r="73" spans="1:8" ht="14.25" x14ac:dyDescent="0.3">
      <c r="A73" s="28" t="s">
        <v>81</v>
      </c>
      <c r="B73" s="27"/>
      <c r="C73" s="26"/>
      <c r="D73" s="37"/>
      <c r="E73" s="33"/>
      <c r="F73" s="24"/>
      <c r="G73" s="23"/>
      <c r="H73" s="22"/>
    </row>
    <row r="74" spans="1:8" ht="14.25" x14ac:dyDescent="0.3">
      <c r="A74" s="28" t="s">
        <v>82</v>
      </c>
      <c r="B74" s="27"/>
      <c r="C74" s="26"/>
      <c r="D74" s="37"/>
      <c r="E74" s="33"/>
      <c r="F74" s="24"/>
      <c r="G74" s="23"/>
      <c r="H74" s="22"/>
    </row>
    <row r="75" spans="1:8" ht="14.25" x14ac:dyDescent="0.3">
      <c r="A75" s="39" t="s">
        <v>108</v>
      </c>
      <c r="B75" s="27"/>
      <c r="C75" s="26">
        <v>5439.1053000000002</v>
      </c>
      <c r="D75" s="36">
        <v>543.8112218</v>
      </c>
      <c r="E75" s="35">
        <v>2.9614029167641186E-2</v>
      </c>
      <c r="F75" s="24"/>
      <c r="G75" s="42">
        <v>6.6703239999999997E-2</v>
      </c>
      <c r="H75" s="22"/>
    </row>
    <row r="76" spans="1:8" ht="14.25" x14ac:dyDescent="0.3">
      <c r="A76" s="28" t="s">
        <v>76</v>
      </c>
      <c r="B76" s="27"/>
      <c r="C76" s="26"/>
      <c r="D76" s="37">
        <f>+D75</f>
        <v>543.8112218</v>
      </c>
      <c r="E76" s="37">
        <f>+E75</f>
        <v>2.9614029167641186E-2</v>
      </c>
      <c r="F76" s="24"/>
      <c r="G76" s="23"/>
      <c r="H76" s="22"/>
    </row>
    <row r="77" spans="1:8" ht="14.25" x14ac:dyDescent="0.3">
      <c r="A77" s="28"/>
      <c r="B77" s="27"/>
      <c r="C77" s="26"/>
      <c r="D77" s="37"/>
      <c r="E77" s="40"/>
      <c r="F77" s="24"/>
      <c r="G77" s="23"/>
      <c r="H77" s="22"/>
    </row>
    <row r="78" spans="1:8" ht="14.25" x14ac:dyDescent="0.3">
      <c r="A78" s="28" t="s">
        <v>83</v>
      </c>
      <c r="B78" s="27"/>
      <c r="C78" s="26"/>
      <c r="D78" s="25"/>
      <c r="E78" s="33"/>
      <c r="F78" s="24"/>
      <c r="G78" s="23"/>
      <c r="H78" s="22"/>
    </row>
    <row r="79" spans="1:8" ht="14.25" x14ac:dyDescent="0.3">
      <c r="A79" s="28" t="s">
        <v>76</v>
      </c>
      <c r="B79" s="27"/>
      <c r="C79" s="26"/>
      <c r="D79" s="25" t="s">
        <v>74</v>
      </c>
      <c r="E79" s="33" t="s">
        <v>74</v>
      </c>
      <c r="F79" s="24"/>
      <c r="G79" s="23"/>
      <c r="H79" s="22"/>
    </row>
    <row r="80" spans="1:8" ht="14.25" x14ac:dyDescent="0.3">
      <c r="A80" s="28"/>
      <c r="B80" s="27"/>
      <c r="C80" s="26"/>
      <c r="D80" s="25"/>
      <c r="E80" s="33"/>
      <c r="F80" s="24"/>
      <c r="G80" s="23"/>
      <c r="H80" s="22"/>
    </row>
    <row r="81" spans="1:8" ht="14.25" x14ac:dyDescent="0.3">
      <c r="A81" s="38" t="s">
        <v>105</v>
      </c>
      <c r="B81" s="27"/>
      <c r="C81" s="26"/>
      <c r="D81" s="25"/>
      <c r="E81" s="33"/>
      <c r="F81" s="24"/>
      <c r="G81" s="23"/>
      <c r="H81" s="22"/>
    </row>
    <row r="82" spans="1:8" ht="14.25" x14ac:dyDescent="0.3">
      <c r="A82" s="39" t="s">
        <v>106</v>
      </c>
      <c r="B82" s="27"/>
      <c r="C82" s="26"/>
      <c r="D82" s="36">
        <v>38.372713500000003</v>
      </c>
      <c r="E82" s="41">
        <v>2.0896417934686664E-3</v>
      </c>
      <c r="F82" s="24"/>
      <c r="G82" s="23"/>
      <c r="H82" s="22"/>
    </row>
    <row r="83" spans="1:8" ht="14.25" x14ac:dyDescent="0.3">
      <c r="A83" s="38" t="s">
        <v>76</v>
      </c>
      <c r="B83" s="27"/>
      <c r="C83" s="26"/>
      <c r="D83" s="37">
        <f>+D82</f>
        <v>38.372713500000003</v>
      </c>
      <c r="E83" s="40">
        <f>+E82</f>
        <v>2.0896417934686664E-3</v>
      </c>
      <c r="F83" s="24"/>
      <c r="G83" s="23"/>
      <c r="H83" s="22"/>
    </row>
    <row r="84" spans="1:8" ht="14.25" x14ac:dyDescent="0.3">
      <c r="A84" s="28" t="s">
        <v>84</v>
      </c>
      <c r="B84" s="27"/>
      <c r="C84" s="26"/>
      <c r="D84" s="37">
        <f>+D83+D76+D62</f>
        <v>18363.297298099998</v>
      </c>
      <c r="E84" s="40">
        <f>+E83+E76+E62</f>
        <v>0.99999999999999989</v>
      </c>
      <c r="F84" s="24"/>
      <c r="G84" s="23"/>
      <c r="H84" s="22"/>
    </row>
    <row r="85" spans="1:8" ht="14.25" x14ac:dyDescent="0.3">
      <c r="A85" s="21"/>
      <c r="B85" s="20"/>
      <c r="C85" s="19"/>
      <c r="D85" s="18"/>
      <c r="E85" s="18"/>
      <c r="F85" s="17"/>
      <c r="G85" s="16"/>
      <c r="H85" s="16"/>
    </row>
    <row r="86" spans="1:8" ht="13.5" x14ac:dyDescent="0.2">
      <c r="A86" s="48" t="s">
        <v>11</v>
      </c>
      <c r="B86" s="48"/>
      <c r="C86" s="48"/>
      <c r="D86" s="48"/>
      <c r="E86" s="48"/>
      <c r="F86" s="48"/>
      <c r="G86" s="48"/>
      <c r="H86" s="48"/>
    </row>
    <row r="87" spans="1:8" ht="13.5" x14ac:dyDescent="0.2">
      <c r="A87" s="49" t="s">
        <v>10</v>
      </c>
      <c r="B87" s="49"/>
      <c r="C87" s="49"/>
      <c r="D87" s="49"/>
      <c r="E87" s="49"/>
      <c r="F87" s="49"/>
      <c r="G87" s="49"/>
      <c r="H87" s="49"/>
    </row>
    <row r="88" spans="1:8" ht="13.5" x14ac:dyDescent="0.2">
      <c r="A88" s="50" t="s">
        <v>9</v>
      </c>
      <c r="B88" s="50"/>
      <c r="C88" s="50"/>
      <c r="D88" s="50"/>
      <c r="E88" s="50"/>
      <c r="F88" s="50"/>
      <c r="G88" s="50"/>
      <c r="H88" s="50"/>
    </row>
    <row r="89" spans="1:8" ht="56.25" customHeight="1" x14ac:dyDescent="0.2">
      <c r="A89" s="43" t="s">
        <v>8</v>
      </c>
      <c r="B89" s="43"/>
      <c r="C89" s="43"/>
      <c r="D89" s="43"/>
      <c r="E89" s="43"/>
      <c r="F89" s="43"/>
      <c r="G89" s="43"/>
      <c r="H89" s="43"/>
    </row>
    <row r="90" spans="1:8" x14ac:dyDescent="0.2">
      <c r="A90" s="15"/>
      <c r="B90" s="15"/>
      <c r="C90" s="15"/>
      <c r="D90" s="15"/>
      <c r="E90" s="15"/>
      <c r="F90" s="15"/>
      <c r="G90" s="15"/>
      <c r="H90" s="15"/>
    </row>
    <row r="91" spans="1:8" ht="14.25" x14ac:dyDescent="0.3">
      <c r="A91" s="14" t="s">
        <v>7</v>
      </c>
      <c r="B91" s="9"/>
      <c r="C91" s="9"/>
      <c r="D91" s="12"/>
      <c r="E91" s="12"/>
      <c r="F91" s="12"/>
      <c r="G91" s="11"/>
      <c r="H91" s="11"/>
    </row>
    <row r="92" spans="1:8" ht="14.25" x14ac:dyDescent="0.3">
      <c r="A92" s="13" t="s">
        <v>6</v>
      </c>
      <c r="B92" s="9"/>
      <c r="C92" s="12"/>
      <c r="D92" s="12"/>
      <c r="E92" s="12"/>
      <c r="F92" s="12"/>
      <c r="G92" s="11"/>
      <c r="H92" s="11"/>
    </row>
    <row r="93" spans="1:8" ht="14.25" x14ac:dyDescent="0.3">
      <c r="A93" s="13" t="s">
        <v>5</v>
      </c>
      <c r="B93" s="13"/>
      <c r="C93" s="13"/>
      <c r="D93" s="12"/>
      <c r="E93" s="12"/>
      <c r="F93" s="12"/>
      <c r="G93" s="11"/>
      <c r="H93" s="11"/>
    </row>
    <row r="94" spans="1:8" ht="14.25" x14ac:dyDescent="0.3">
      <c r="A94" s="13" t="s">
        <v>4</v>
      </c>
      <c r="B94" s="13"/>
      <c r="C94" s="13"/>
      <c r="D94" s="12"/>
      <c r="E94" s="12"/>
      <c r="F94" s="12"/>
      <c r="G94" s="11"/>
      <c r="H94" s="11"/>
    </row>
    <row r="95" spans="1:8" x14ac:dyDescent="0.2">
      <c r="A95" s="7"/>
      <c r="B95" s="8"/>
      <c r="D95" s="5"/>
      <c r="E95" s="5"/>
      <c r="F95" s="5"/>
      <c r="G95" s="5"/>
      <c r="H95" s="5"/>
    </row>
    <row r="96" spans="1:8" x14ac:dyDescent="0.2">
      <c r="A96" s="7"/>
      <c r="B96" s="8"/>
      <c r="D96" s="5"/>
      <c r="E96" s="5"/>
      <c r="F96" s="5"/>
      <c r="G96" s="5"/>
      <c r="H96" s="5"/>
    </row>
    <row r="97" spans="1:8" ht="13.5" x14ac:dyDescent="0.25">
      <c r="A97" s="10" t="s">
        <v>3</v>
      </c>
      <c r="B97" s="44" t="s">
        <v>2</v>
      </c>
      <c r="C97" s="44"/>
      <c r="D97" s="5"/>
      <c r="E97" s="5"/>
      <c r="F97" s="5"/>
      <c r="G97" s="5"/>
      <c r="H97" s="5"/>
    </row>
    <row r="98" spans="1:8" ht="13.5" x14ac:dyDescent="0.25">
      <c r="A98" s="9"/>
      <c r="B98" s="9"/>
      <c r="C98" s="9"/>
      <c r="D98" s="5"/>
      <c r="E98" s="5"/>
      <c r="F98" s="5"/>
      <c r="G98" s="5"/>
      <c r="H98" s="5"/>
    </row>
    <row r="99" spans="1:8" ht="13.5" x14ac:dyDescent="0.25">
      <c r="A99" s="9"/>
      <c r="B99" s="9"/>
      <c r="C99" s="9"/>
      <c r="D99" s="5"/>
      <c r="E99" s="5"/>
      <c r="F99" s="5"/>
      <c r="G99" s="5"/>
      <c r="H99" s="5"/>
    </row>
    <row r="100" spans="1:8" ht="13.5" x14ac:dyDescent="0.25">
      <c r="A100" s="9"/>
      <c r="B100" s="9"/>
      <c r="C100" s="9"/>
      <c r="D100" s="5"/>
      <c r="E100" s="5"/>
      <c r="F100" s="5"/>
      <c r="G100" s="5"/>
      <c r="H100" s="5"/>
    </row>
    <row r="101" spans="1:8" ht="13.5" x14ac:dyDescent="0.25">
      <c r="A101" s="9"/>
      <c r="B101" s="9"/>
      <c r="C101" s="9"/>
      <c r="D101" s="5"/>
      <c r="E101" s="5"/>
      <c r="F101" s="5"/>
      <c r="G101" s="5"/>
      <c r="H101" s="5"/>
    </row>
    <row r="102" spans="1:8" ht="13.5" x14ac:dyDescent="0.25">
      <c r="A102" s="9"/>
      <c r="B102" s="9"/>
      <c r="C102" s="9"/>
      <c r="D102" s="5"/>
      <c r="E102" s="5"/>
      <c r="F102" s="5"/>
      <c r="G102" s="5"/>
      <c r="H102" s="5"/>
    </row>
    <row r="103" spans="1:8" ht="13.5" x14ac:dyDescent="0.25">
      <c r="A103" s="9"/>
      <c r="B103" s="9"/>
      <c r="C103" s="9"/>
      <c r="D103" s="5"/>
      <c r="E103" s="5"/>
      <c r="F103" s="5"/>
      <c r="G103" s="5"/>
      <c r="H103" s="5"/>
    </row>
    <row r="104" spans="1:8" x14ac:dyDescent="0.2">
      <c r="A104" s="7"/>
      <c r="B104" s="8"/>
      <c r="D104" s="5"/>
      <c r="E104" s="5"/>
      <c r="F104" s="5"/>
      <c r="G104" s="5"/>
      <c r="H104" s="5"/>
    </row>
    <row r="105" spans="1:8" x14ac:dyDescent="0.2">
      <c r="A105" s="7"/>
      <c r="B105" s="8"/>
      <c r="D105" s="5"/>
      <c r="E105" s="5"/>
      <c r="F105" s="5"/>
      <c r="G105" s="5"/>
      <c r="H105" s="5"/>
    </row>
    <row r="106" spans="1:8" x14ac:dyDescent="0.2">
      <c r="A106" s="7"/>
      <c r="B106" s="7"/>
      <c r="D106" s="5"/>
      <c r="E106" s="5"/>
      <c r="F106" s="5"/>
      <c r="G106" s="5"/>
      <c r="H106" s="5"/>
    </row>
    <row r="107" spans="1:8" x14ac:dyDescent="0.2">
      <c r="A107" s="7"/>
      <c r="B107" s="7"/>
      <c r="D107" s="5"/>
      <c r="E107" s="5"/>
      <c r="F107" s="5"/>
      <c r="G107" s="5"/>
      <c r="H107" s="5"/>
    </row>
    <row r="108" spans="1:8" x14ac:dyDescent="0.2">
      <c r="A108" s="7"/>
      <c r="B108" s="7"/>
      <c r="D108" s="5"/>
      <c r="E108" s="5"/>
      <c r="F108" s="5"/>
      <c r="G108" s="5"/>
      <c r="H108" s="5"/>
    </row>
    <row r="109" spans="1:8" x14ac:dyDescent="0.2">
      <c r="A109" s="6" t="s">
        <v>1</v>
      </c>
      <c r="B109" s="45" t="s">
        <v>0</v>
      </c>
      <c r="C109" s="45"/>
      <c r="D109" s="45"/>
      <c r="E109" s="45"/>
      <c r="F109" s="5"/>
      <c r="G109" s="5"/>
      <c r="H109" s="5"/>
    </row>
  </sheetData>
  <mergeCells count="9">
    <mergeCell ref="A89:H89"/>
    <mergeCell ref="B97:C97"/>
    <mergeCell ref="B109:E109"/>
    <mergeCell ref="A1:H1"/>
    <mergeCell ref="A2:H2"/>
    <mergeCell ref="A3:H3"/>
    <mergeCell ref="A86:H86"/>
    <mergeCell ref="A87:H87"/>
    <mergeCell ref="A88:H88"/>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2025-04-04T04:50:47Z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