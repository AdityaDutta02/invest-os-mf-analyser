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800"/>
  </bookViews>
  <sheets>
    <sheet name="LD" sheetId="1" r:id="rId1"/>
  </sheets>
  <definedNames>
    <definedName name="_xlnm._FilterDatabase" localSheetId="0" hidden="1">LD!$A$1:$H$47</definedName>
    <definedName name="Afs">#REF!</definedName>
    <definedName name="_xlnm.Database">#REF!</definedName>
    <definedName name="EBLDB">#REF!</definedName>
    <definedName name="fl">#REF!</definedName>
    <definedName name="_xlnm.Print_Area" localSheetId="0">LD!$A$1:$E$33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9" i="1" l="1"/>
  <c r="E38" i="1"/>
  <c r="E39" i="1" s="1"/>
  <c r="D36" i="1"/>
  <c r="E35" i="1"/>
  <c r="E33" i="1"/>
  <c r="E32" i="1"/>
  <c r="E31" i="1"/>
  <c r="D27" i="1"/>
  <c r="E26" i="1"/>
  <c r="E27" i="1" s="1"/>
  <c r="F17" i="1"/>
  <c r="F41" i="1" s="1"/>
  <c r="D13" i="1"/>
  <c r="D17" i="1" s="1"/>
  <c r="E12" i="1"/>
  <c r="E11" i="1"/>
  <c r="E10" i="1"/>
  <c r="E9" i="1"/>
  <c r="E8" i="1"/>
  <c r="E7" i="1"/>
  <c r="E6" i="1"/>
  <c r="E5" i="1"/>
  <c r="D41" i="1" l="1"/>
  <c r="D43" i="1" s="1"/>
  <c r="E43" i="1" s="1"/>
  <c r="E36" i="1"/>
  <c r="E13" i="1"/>
  <c r="E17" i="1" s="1"/>
  <c r="E41" i="1" s="1"/>
  <c r="E45" i="1" s="1"/>
</calcChain>
</file>

<file path=xl/sharedStrings.xml><?xml version="1.0" encoding="utf-8"?>
<sst xmlns="http://schemas.openxmlformats.org/spreadsheetml/2006/main" count="111" uniqueCount="91">
  <si>
    <t>JM Low Duration Fund (An open ended low duration debt scheme investing in instruments such that the Macaulay duration of the portfolio is between 6 to 12 months) A relatively low interest rate risk and moderate credit risk.</t>
  </si>
  <si>
    <t>Portfolio as on 31.01.2023</t>
  </si>
  <si>
    <t>Name of the Instruments</t>
  </si>
  <si>
    <t>Industry/Rating</t>
  </si>
  <si>
    <t>Quantity</t>
  </si>
  <si>
    <t>Market Value (Rs. In Lakhs)</t>
  </si>
  <si>
    <t>% age to NAV</t>
  </si>
  <si>
    <t>ISIN</t>
  </si>
  <si>
    <t>Yield %</t>
  </si>
  <si>
    <t>^YTC (AT1/Tier 2 bonds)</t>
  </si>
  <si>
    <t>a) Listed/Awaiting Listing On  Stock Exchange</t>
  </si>
  <si>
    <t>Cholamandalam Investment &amp; Finance Company Ltd.**</t>
  </si>
  <si>
    <t>CARE AA+</t>
  </si>
  <si>
    <t>INE121A07OI7</t>
  </si>
  <si>
    <t>Export-Import Bank of India**</t>
  </si>
  <si>
    <t>CRISIL AAA</t>
  </si>
  <si>
    <t>INE514E08CI8</t>
  </si>
  <si>
    <t>Larsen &amp; Toubro Ltd.**</t>
  </si>
  <si>
    <t>INE018A08AY9</t>
  </si>
  <si>
    <t>Power Finance Corporation Ltd.**</t>
  </si>
  <si>
    <t>CARE AAA</t>
  </si>
  <si>
    <t>INE134E08KN8</t>
  </si>
  <si>
    <t>HDB Financial Services Ltd.**</t>
  </si>
  <si>
    <t>INE756I07DC9</t>
  </si>
  <si>
    <t>Jamnagar Utilities &amp; Power Ltd.**</t>
  </si>
  <si>
    <t>INE936D07158</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</si>
  <si>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</si>
  <si>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</si>
  <si>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</si>
  <si>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</si>
  <si>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</si>
  <si>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</si>
  <si>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</si>
  <si>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</si>
  <si>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</si>
  <si>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</si>
  <si>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</si>
  <si>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</si>
  <si>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</si>
  <si>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</si>
  <si>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</si>
  <si>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MONEY MARKET INSTRUMENTS</t>
  </si>
  <si>
    <t>Certificate of Deposit (CD) / Commercial Paper (CP)</t>
  </si>
  <si>
    <t>Bank of Baroda CD**</t>
  </si>
  <si>
    <t>IND A1+</t>
  </si>
  <si>
    <t>INE028A16CZ4</t>
  </si>
  <si>
    <t>SIDBI Ltd.CD**</t>
  </si>
  <si>
    <t>CARE A1+</t>
  </si>
  <si>
    <t>INE556F16945</t>
  </si>
  <si>
    <t>Kotak Mahindra Bank CD**</t>
  </si>
  <si>
    <t>CRISIL A1+</t>
  </si>
  <si>
    <t>INE237A162Q1</t>
  </si>
  <si>
    <t>Treasury Bills</t>
  </si>
  <si>
    <t>364 Days Treasury-Bill 25/05/2023</t>
  </si>
  <si>
    <t>IN002022Z085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</si>
  <si>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</si>
  <si>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</si>
  <si>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</si>
  <si>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</si>
  <si>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</si>
  <si>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</si>
  <si>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</si>
  <si>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</si>
  <si>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</si>
  <si>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</si>
  <si>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</si>
  <si>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</si>
  <si>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</si>
  <si>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</si>
  <si>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</si>
  <si>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Fund BI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</si>
  <si>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</si>
  <si>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</si>
  <si>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</si>
  <si>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</si>
  <si>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</si>
  <si>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</si>
  <si>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</si>
  <si>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</si>
  <si>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</si>
  <si>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</si>
  <si>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 xml:space="preserve"> Portfolio Information</t>
  </si>
  <si>
    <t>Scheme Name :</t>
  </si>
  <si>
    <t>JM Low Duration Fund</t>
  </si>
  <si>
    <t>Description (if any)</t>
  </si>
  <si>
    <t>Macaulay Duration</t>
  </si>
  <si>
    <t>Residual Maturity</t>
  </si>
  <si>
    <t xml:space="preserve">As on (Date) </t>
  </si>
  <si>
    <t>31.01.2023</t>
  </si>
  <si>
    <t>Annualised Portfolio YTM*#:</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</si>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</sst>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xf numFmtId="0" fontId="1" fillId="0" borderId="0"/>
    <xf numFmtId="164" fontId="1" fillId="0" borderId="0" applyFont="0" applyFill="0" applyBorder="0" applyAlignment="0" applyProtection="0"/>
    <xf numFmtId="0" fontId="5" fillId="0" borderId="0"/>
  </cellStyleXfs>
  <cellXfs count="71">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3" fillId="0" borderId="3" xfId="1"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5" fontId="4" fillId="0" borderId="3" xfId="1" applyNumberFormat="1" applyFont="1" applyFill="1" applyBorder="1" applyAlignment="1">
      <alignment horizontal="right"/>
    </xf>
    <xf numFmtId="164" fontId="4" fillId="0" borderId="3" xfId="1" applyFont="1" applyFill="1" applyBorder="1" applyAlignment="1">
      <alignment horizontal="right"/>
    </xf>
    <xf numFmtId="0" fontId="3" fillId="0" borderId="3" xfId="0" applyFont="1" applyFill="1" applyBorder="1" applyAlignment="1">
      <alignment horizontal="right"/>
    </xf>
    <xf numFmtId="164" fontId="3" fillId="0" borderId="4" xfId="1" applyFont="1" applyFill="1" applyBorder="1"/>
    <xf numFmtId="4" fontId="4"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Border="1"/>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3" fillId="0" borderId="0" xfId="3" applyFont="1" applyFill="1" applyAlignment="1">
      <alignment horizontal="right"/>
    </xf>
    <xf numFmtId="0" fontId="7" fillId="0" borderId="0" xfId="2"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8" fillId="0" borderId="0" xfId="5"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8" xfId="0" applyFont="1" applyBorder="1" applyAlignment="1">
      <alignment vertical="center" wrapText="1"/>
    </xf>
    <xf numFmtId="0" fontId="11" fillId="0" borderId="8" xfId="0" applyFont="1" applyBorder="1" applyAlignment="1">
      <alignment vertical="center" wrapText="1"/>
    </xf>
    <xf numFmtId="0" fontId="12" fillId="0" borderId="10" xfId="0" applyFont="1" applyBorder="1" applyAlignment="1">
      <alignment vertical="center" wrapText="1"/>
    </xf>
    <xf numFmtId="0" fontId="11" fillId="3" borderId="10" xfId="0" applyFont="1" applyFill="1" applyBorder="1" applyAlignment="1">
      <alignment horizontal="center" vertical="center" wrapText="1"/>
    </xf>
    <xf numFmtId="0" fontId="3" fillId="0" borderId="3" xfId="0" applyFont="1" applyBorder="1" applyAlignment="1">
      <alignment wrapText="1"/>
    </xf>
    <xf numFmtId="0" fontId="4" fillId="0" borderId="3" xfId="0" applyFont="1" applyBorder="1" applyAlignment="1">
      <alignment horizontal="left" wrapText="1"/>
    </xf>
    <xf numFmtId="0" fontId="3" fillId="0" borderId="3" xfId="0" applyFont="1" applyBorder="1" applyAlignment="1">
      <alignment horizontal="left" wrapText="1"/>
    </xf>
    <xf numFmtId="4" fontId="3" fillId="0" borderId="3" xfId="0" applyNumberFormat="1" applyFont="1" applyFill="1" applyBorder="1" applyAlignment="1">
      <alignment horizontal="left"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vertical="center" wrapText="1"/>
    </xf>
    <xf numFmtId="0" fontId="9" fillId="0" borderId="8" xfId="0" applyFont="1" applyBorder="1" applyAlignment="1">
      <alignment vertical="center" wrapText="1"/>
    </xf>
    <xf numFmtId="0" fontId="3" fillId="0" borderId="4" xfId="0" applyFont="1" applyBorder="1" applyAlignment="1">
      <alignment horizontal="center" wrapText="1"/>
    </xf>
    <xf numFmtId="0" fontId="3" fillId="0" borderId="11" xfId="0" applyFont="1" applyBorder="1" applyAlignment="1">
      <alignment horizontal="center" wrapText="1"/>
    </xf>
    <xf numFmtId="0" fontId="6" fillId="0" borderId="0" xfId="2" applyFont="1" applyBorder="1" applyAlignment="1">
      <alignment horizontal="left" vertical="center"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5" fillId="0" borderId="0" xfId="2" applyBorder="1" applyAlignment="1"/>
    <xf numFmtId="0" fontId="5" fillId="0" borderId="0" xfId="2" applyBorder="1" applyAlignment="1">
      <alignment horizontal="left" vertical="center" wrapText="1"/>
    </xf>
    <xf numFmtId="0" fontId="3" fillId="0" borderId="4" xfId="0" applyFont="1" applyBorder="1" applyAlignment="1">
      <alignment horizontal="left" wrapText="1"/>
    </xf>
    <xf numFmtId="0" fontId="3" fillId="0" borderId="11" xfId="0" applyFont="1" applyBorder="1" applyAlignment="1">
      <alignment horizontal="left" wrapText="1"/>
    </xf>
  </cellXfs>
  <cellStyles count="6">
    <cellStyle name="Comma" xfId="1" builtinId="3"/>
    <cellStyle name="Comma 4 2" xfId="4"/>
    <cellStyle name="Normal" xfId="0" builtinId="0"/>
    <cellStyle name="Normal 2 2" xfId="3"/>
    <cellStyle name="Normal 4_IF" xfId="5"/>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61</xdr:row>
      <xdr:rowOff>47625</xdr:rowOff>
    </xdr:from>
    <xdr:to>
      <xdr:col>0</xdr:col>
      <xdr:colOff>3743325</xdr:colOff>
      <xdr:row>74</xdr:row>
      <xdr:rowOff>133350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2601575"/>
          <a:ext cx="3495675" cy="2190750"/>
        </a:xfrm>
        <a:prstGeom prst="rect">
          <a:avLst/>
        </a:prstGeom>
        <a:noFill/>
        <a:ln w="9525">
          <a:noFill/>
          <a:miter lim="800000"/>
          <a:headEnd/>
          <a:tailEnd/>
        </a:ln>
      </xdr:spPr>
    </xdr:pic>
    <xdr:clientData/>
  </xdr:twoCellAnchor>
  <xdr:twoCellAnchor editAs="oneCell">
    <xdr:from>
      <xdr:col>2</xdr:col>
      <xdr:colOff>647700</xdr:colOff>
      <xdr:row>61</xdr:row>
      <xdr:rowOff>0</xdr:rowOff>
    </xdr:from>
    <xdr:to>
      <xdr:col>6</xdr:col>
      <xdr:colOff>485775</xdr:colOff>
      <xdr:row>75</xdr:row>
      <xdr:rowOff>38100</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6134100" y="12553950"/>
          <a:ext cx="4257675" cy="2305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95"/>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95" sqref="A95:B95"/>
    </sheetView>
  </sheetViews>
  <sheetFormatPr defaultRowHeight="12.75" x14ac:dyDescent="0.2"/>
  <cols>
    <col min="1" max="1" width="60.85546875" style="46" customWidth="1"/>
    <col min="2" max="2" width="21.42578125" style="47" bestFit="1" customWidth="1"/>
    <col min="3" max="3" width="13.42578125" style="4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9.25" customHeight="1" x14ac:dyDescent="0.2">
      <c r="A1" s="65" t="s">
        <v>0</v>
      </c>
      <c r="B1" s="65"/>
      <c r="C1" s="65"/>
      <c r="D1" s="65"/>
      <c r="E1" s="65"/>
      <c r="F1" s="65"/>
      <c r="G1" s="65"/>
      <c r="H1" s="65"/>
    </row>
    <row r="2" spans="1:8" x14ac:dyDescent="0.2">
      <c r="A2" s="66" t="s">
        <v>1</v>
      </c>
      <c r="B2" s="66"/>
      <c r="C2" s="66"/>
      <c r="D2" s="66"/>
      <c r="E2" s="66"/>
      <c r="F2" s="66"/>
      <c r="G2" s="66"/>
      <c r="H2" s="66"/>
    </row>
    <row r="3" spans="1:8" s="7" customFormat="1" ht="38.25" x14ac:dyDescent="0.2">
      <c r="A3" s="2" t="s">
        <v>2</v>
      </c>
      <c r="B3" s="3" t="s">
        <v>3</v>
      </c>
      <c r="C3" s="4" t="s">
        <v>4</v>
      </c>
      <c r="D3" s="2" t="s">
        <v>5</v>
      </c>
      <c r="E3" s="2" t="s">
        <v>6</v>
      </c>
      <c r="F3" s="2" t="s">
        <v>7</v>
      </c>
      <c r="G3" s="5" t="s">
        <v>8</v>
      </c>
      <c r="H3" s="6" t="s">
        <v>9</v>
      </c>
    </row>
    <row r="4" spans="1:8" s="14" customFormat="1" x14ac:dyDescent="0.2">
      <c r="A4" s="8" t="s">
        <v>10</v>
      </c>
      <c r="B4" s="9"/>
      <c r="C4" s="10"/>
      <c r="D4" s="11"/>
      <c r="E4" s="11"/>
      <c r="F4" s="11"/>
      <c r="G4" s="12"/>
      <c r="H4" s="13"/>
    </row>
    <row r="5" spans="1:8" s="14" customFormat="1" x14ac:dyDescent="0.2">
      <c r="A5" s="15" t="s">
        <v>11</v>
      </c>
      <c r="B5" s="16" t="s">
        <v>12</v>
      </c>
      <c r="C5" s="17">
        <v>100</v>
      </c>
      <c r="D5" s="18">
        <v>1004.588</v>
      </c>
      <c r="E5" s="18">
        <f t="shared" ref="E5:E12" si="0">(+D5/$D$45*100)</f>
        <v>6.7683234727733899</v>
      </c>
      <c r="F5" s="18" t="s">
        <v>13</v>
      </c>
      <c r="G5" s="12">
        <v>8.15</v>
      </c>
      <c r="H5" s="13"/>
    </row>
    <row r="6" spans="1:8" s="14" customFormat="1" x14ac:dyDescent="0.2">
      <c r="A6" s="15" t="s">
        <v>14</v>
      </c>
      <c r="B6" s="16" t="s">
        <v>15</v>
      </c>
      <c r="C6" s="17">
        <v>100</v>
      </c>
      <c r="D6" s="18">
        <v>1001.587</v>
      </c>
      <c r="E6" s="18">
        <f t="shared" si="0"/>
        <v>6.7481044986847163</v>
      </c>
      <c r="F6" s="18" t="s">
        <v>16</v>
      </c>
      <c r="G6" s="12">
        <v>6.875</v>
      </c>
      <c r="H6" s="13"/>
    </row>
    <row r="7" spans="1:8" s="14" customFormat="1" x14ac:dyDescent="0.2">
      <c r="A7" s="15" t="s">
        <v>17</v>
      </c>
      <c r="B7" s="16" t="s">
        <v>15</v>
      </c>
      <c r="C7" s="17">
        <v>100</v>
      </c>
      <c r="D7" s="18">
        <v>998.57799999999997</v>
      </c>
      <c r="E7" s="18">
        <f t="shared" si="0"/>
        <v>6.7278316252982373</v>
      </c>
      <c r="F7" s="18" t="s">
        <v>18</v>
      </c>
      <c r="G7" s="12">
        <v>7.4751000000000003</v>
      </c>
      <c r="H7" s="13"/>
    </row>
    <row r="8" spans="1:8" s="14" customFormat="1" x14ac:dyDescent="0.2">
      <c r="A8" s="15" t="s">
        <v>19</v>
      </c>
      <c r="B8" s="16" t="s">
        <v>20</v>
      </c>
      <c r="C8" s="17">
        <v>100</v>
      </c>
      <c r="D8" s="18">
        <v>998.31799999999998</v>
      </c>
      <c r="E8" s="18">
        <f t="shared" si="0"/>
        <v>6.7260798981196119</v>
      </c>
      <c r="F8" s="18" t="s">
        <v>21</v>
      </c>
      <c r="G8" s="12">
        <v>7.375</v>
      </c>
      <c r="H8" s="13"/>
    </row>
    <row r="9" spans="1:8" s="14" customFormat="1" x14ac:dyDescent="0.2">
      <c r="A9" s="15" t="s">
        <v>22</v>
      </c>
      <c r="B9" s="16" t="s">
        <v>15</v>
      </c>
      <c r="C9" s="17">
        <v>100</v>
      </c>
      <c r="D9" s="18">
        <v>996.97</v>
      </c>
      <c r="E9" s="18">
        <f t="shared" si="0"/>
        <v>6.7169978664396623</v>
      </c>
      <c r="F9" s="18" t="s">
        <v>23</v>
      </c>
      <c r="G9" s="12">
        <v>7.7350000000000003</v>
      </c>
      <c r="H9" s="13"/>
    </row>
    <row r="10" spans="1:8" s="14" customFormat="1" x14ac:dyDescent="0.2">
      <c r="A10" s="15" t="s">
        <v>24</v>
      </c>
      <c r="B10" s="16" t="s">
        <v>20</v>
      </c>
      <c r="C10" s="17">
        <v>50</v>
      </c>
      <c r="D10" s="18">
        <v>500.14150000000001</v>
      </c>
      <c r="E10" s="18">
        <f t="shared" si="0"/>
        <v>3.3696594565713429</v>
      </c>
      <c r="F10" s="18" t="s">
        <v>25</v>
      </c>
      <c r="G10" s="12">
        <v>7.0548000000000002</v>
      </c>
      <c r="H10" s="13"/>
    </row>
    <row r="11" spans="1:8" s="14" customFormat="1" x14ac:dyDescent="0.2">
      <c r="A11" s="15" t="s">
        <v>26</v>
      </c>
      <c r="B11" s="16" t="s">
        <v>20</v>
      </c>
      <c r="C11" s="17">
        <v>50</v>
      </c>
      <c r="D11" s="18">
        <v>498.55799999999999</v>
      </c>
      <c r="E11" s="18">
        <f t="shared" si="0"/>
        <v>3.3589907643122912</v>
      </c>
      <c r="F11" s="18" t="s">
        <v>27</v>
      </c>
      <c r="G11" s="12">
        <v>7.335</v>
      </c>
      <c r="H11" s="13"/>
    </row>
    <row r="12" spans="1:8" s="14" customFormat="1" x14ac:dyDescent="0.2">
      <c r="A12" s="15" t="s">
        <v>28</v>
      </c>
      <c r="B12" s="16" t="s">
        <v>15</v>
      </c>
      <c r="C12" s="17">
        <v>50</v>
      </c>
      <c r="D12" s="18">
        <v>493.71100000000001</v>
      </c>
      <c r="E12" s="18">
        <f t="shared" si="0"/>
        <v>3.3263345272553755</v>
      </c>
      <c r="F12" s="18" t="s">
        <v>29</v>
      </c>
      <c r="G12" s="12">
        <v>7.6</v>
      </c>
      <c r="H12" s="13"/>
    </row>
    <row r="13" spans="1:8" s="14" customFormat="1" x14ac:dyDescent="0.2">
      <c r="A13" s="8" t="s">
        <v>30</v>
      </c>
      <c r="B13" s="9"/>
      <c r="C13" s="19"/>
      <c r="D13" s="20">
        <f>IF(ISERROR(SUM(D5:D12)),0,SUM(D5:D12))</f>
        <v>6492.4515000000001</v>
      </c>
      <c r="E13" s="20">
        <f>IF(ISERROR(SUM(E5:E12)),0,SUM(E5:E12))</f>
        <v>43.742322109454619</v>
      </c>
      <c r="F13" s="20"/>
      <c r="G13" s="12"/>
      <c r="H13" s="13"/>
    </row>
    <row r="14" spans="1:8" s="14" customFormat="1" x14ac:dyDescent="0.2">
      <c r="A14" s="8"/>
      <c r="B14" s="9"/>
      <c r="C14" s="19"/>
      <c r="D14" s="11"/>
      <c r="E14" s="11"/>
      <c r="F14" s="11"/>
      <c r="G14" s="12"/>
      <c r="H14" s="13"/>
    </row>
    <row r="15" spans="1:8" s="14" customFormat="1" x14ac:dyDescent="0.2">
      <c r="A15" s="8" t="s">
        <v>31</v>
      </c>
      <c r="B15" s="9"/>
      <c r="C15" s="19"/>
      <c r="D15" s="20" t="s">
        <v>32</v>
      </c>
      <c r="E15" s="20" t="s">
        <v>32</v>
      </c>
      <c r="F15" s="21"/>
      <c r="G15" s="12"/>
      <c r="H15" s="13"/>
    </row>
    <row r="16" spans="1:8" s="14" customFormat="1" x14ac:dyDescent="0.2">
      <c r="A16" s="8"/>
      <c r="B16" s="9"/>
      <c r="C16" s="19"/>
      <c r="D16" s="11"/>
      <c r="E16" s="11"/>
      <c r="F16" s="11"/>
      <c r="G16" s="12"/>
      <c r="H16" s="13"/>
    </row>
    <row r="17" spans="1:8" s="14" customFormat="1" x14ac:dyDescent="0.2">
      <c r="A17" s="8" t="s">
        <v>33</v>
      </c>
      <c r="B17" s="9"/>
      <c r="C17" s="19"/>
      <c r="D17" s="20">
        <f>IF(ISERROR(+D13),0,D13)+IF(ISERROR(+#REF!),0,#REF!)+IF(ISERROR(+#REF!),0,#REF!)</f>
        <v>6492.4515000000001</v>
      </c>
      <c r="E17" s="20">
        <f>IF(ISERROR(+E13),0,E13)+IF(ISERROR(+#REF!),0,#REF!)+IF(ISERROR(+#REF!),0,#REF!)</f>
        <v>43.742322109454619</v>
      </c>
      <c r="F17" s="20">
        <f>IF(ISERROR(+F13),0,F13)+IF(ISERROR(+#REF!),0,#REF!)+IF(ISERROR(+#REF!),0,#REF!)</f>
        <v>0</v>
      </c>
      <c r="G17" s="12"/>
      <c r="H17" s="13"/>
    </row>
    <row r="18" spans="1:8" s="14" customFormat="1" x14ac:dyDescent="0.2">
      <c r="A18" s="8"/>
      <c r="B18" s="9"/>
      <c r="C18" s="19"/>
      <c r="D18" s="20"/>
      <c r="E18" s="20"/>
      <c r="F18" s="20"/>
      <c r="G18" s="12"/>
      <c r="H18" s="13"/>
    </row>
    <row r="19" spans="1:8" s="14" customFormat="1" x14ac:dyDescent="0.2">
      <c r="A19" s="8" t="s">
        <v>34</v>
      </c>
      <c r="B19" s="9"/>
      <c r="C19" s="19"/>
      <c r="D19" s="20"/>
      <c r="E19" s="20"/>
      <c r="F19" s="20"/>
      <c r="G19" s="12"/>
      <c r="H19" s="13"/>
    </row>
    <row r="20" spans="1:8" s="14" customFormat="1" x14ac:dyDescent="0.2">
      <c r="A20" s="8"/>
      <c r="B20" s="9"/>
      <c r="C20" s="19"/>
      <c r="D20" s="18"/>
      <c r="E20" s="18"/>
      <c r="F20" s="22"/>
      <c r="G20" s="12"/>
      <c r="H20" s="13"/>
    </row>
    <row r="21" spans="1:8" s="14" customFormat="1" x14ac:dyDescent="0.2">
      <c r="A21" s="8" t="s">
        <v>35</v>
      </c>
      <c r="B21" s="9"/>
      <c r="C21" s="19"/>
      <c r="D21" s="20" t="s">
        <v>32</v>
      </c>
      <c r="E21" s="20" t="s">
        <v>32</v>
      </c>
      <c r="F21" s="20"/>
      <c r="G21" s="12"/>
      <c r="H21" s="13"/>
    </row>
    <row r="22" spans="1:8" s="14" customFormat="1" x14ac:dyDescent="0.2">
      <c r="A22" s="8"/>
      <c r="B22" s="9"/>
      <c r="C22" s="19"/>
      <c r="D22" s="20"/>
      <c r="E22" s="20"/>
      <c r="F22" s="20"/>
      <c r="G22" s="12"/>
      <c r="H22" s="13"/>
    </row>
    <row r="23" spans="1:8" s="14" customFormat="1" x14ac:dyDescent="0.2">
      <c r="A23" s="8" t="s">
        <v>36</v>
      </c>
      <c r="B23" s="9"/>
      <c r="C23" s="19"/>
      <c r="D23" s="20" t="s">
        <v>32</v>
      </c>
      <c r="E23" s="20" t="s">
        <v>32</v>
      </c>
      <c r="F23" s="20"/>
      <c r="G23" s="12"/>
      <c r="H23" s="13"/>
    </row>
    <row r="24" spans="1:8" s="14" customFormat="1" x14ac:dyDescent="0.2">
      <c r="A24" s="8"/>
      <c r="B24" s="9"/>
      <c r="C24" s="19"/>
      <c r="D24" s="20"/>
      <c r="E24" s="20"/>
      <c r="F24" s="20"/>
      <c r="G24" s="12"/>
      <c r="H24" s="13"/>
    </row>
    <row r="25" spans="1:8" s="14" customFormat="1" x14ac:dyDescent="0.2">
      <c r="A25" s="8" t="s">
        <v>37</v>
      </c>
      <c r="B25" s="9"/>
      <c r="C25" s="19"/>
      <c r="D25" s="20"/>
      <c r="E25" s="20"/>
      <c r="F25" s="20"/>
      <c r="G25" s="12"/>
      <c r="H25" s="13"/>
    </row>
    <row r="26" spans="1:8" s="14" customFormat="1" x14ac:dyDescent="0.2">
      <c r="A26" s="15" t="s">
        <v>38</v>
      </c>
      <c r="B26" s="16" t="s">
        <v>39</v>
      </c>
      <c r="C26" s="17">
        <v>2500000</v>
      </c>
      <c r="D26" s="18">
        <v>2489.9949999999999</v>
      </c>
      <c r="E26" s="18">
        <f>(+D26/$D$45*100)</f>
        <v>16.776122754391231</v>
      </c>
      <c r="F26" s="18" t="s">
        <v>40</v>
      </c>
      <c r="G26" s="12">
        <v>6.9871999999999996</v>
      </c>
      <c r="H26" s="13"/>
    </row>
    <row r="27" spans="1:8" s="14" customFormat="1" x14ac:dyDescent="0.2">
      <c r="A27" s="8" t="s">
        <v>30</v>
      </c>
      <c r="B27" s="9"/>
      <c r="C27" s="19"/>
      <c r="D27" s="20">
        <f>IF(ISERROR(SUM(D26:D26)),0,SUM(D26:D26))</f>
        <v>2489.9949999999999</v>
      </c>
      <c r="E27" s="20">
        <f>IF(ISERROR(SUM(E26:E26)),0,SUM(E26:E26))</f>
        <v>16.776122754391231</v>
      </c>
      <c r="F27" s="23"/>
      <c r="G27" s="12"/>
      <c r="H27" s="13"/>
    </row>
    <row r="28" spans="1:8" s="14" customFormat="1" x14ac:dyDescent="0.2">
      <c r="A28" s="8"/>
      <c r="B28" s="9"/>
      <c r="C28" s="19"/>
      <c r="D28" s="20"/>
      <c r="E28" s="20"/>
      <c r="F28" s="20"/>
      <c r="G28" s="12"/>
      <c r="H28" s="13"/>
    </row>
    <row r="29" spans="1:8" s="14" customFormat="1" x14ac:dyDescent="0.2">
      <c r="A29" s="8" t="s">
        <v>41</v>
      </c>
      <c r="B29" s="9"/>
      <c r="C29" s="19"/>
      <c r="D29" s="20"/>
      <c r="E29" s="20"/>
      <c r="F29" s="21"/>
      <c r="G29" s="12"/>
      <c r="H29" s="13"/>
    </row>
    <row r="30" spans="1:8" s="14" customFormat="1" x14ac:dyDescent="0.2">
      <c r="A30" s="8" t="s">
        <v>42</v>
      </c>
      <c r="B30" s="9"/>
      <c r="C30" s="19"/>
      <c r="D30" s="20"/>
      <c r="E30" s="20"/>
      <c r="F30" s="21"/>
      <c r="G30" s="12"/>
      <c r="H30" s="13"/>
    </row>
    <row r="31" spans="1:8" s="14" customFormat="1" x14ac:dyDescent="0.2">
      <c r="A31" s="15" t="s">
        <v>43</v>
      </c>
      <c r="B31" s="16" t="s">
        <v>44</v>
      </c>
      <c r="C31" s="17">
        <v>260</v>
      </c>
      <c r="D31" s="18">
        <v>1222.3757000000001</v>
      </c>
      <c r="E31" s="18">
        <f>(+D31/$D$45*100)</f>
        <v>8.2356489853131869</v>
      </c>
      <c r="F31" s="18" t="s">
        <v>45</v>
      </c>
      <c r="G31" s="12">
        <v>7.6749999999999998</v>
      </c>
      <c r="H31" s="13"/>
    </row>
    <row r="32" spans="1:8" s="14" customFormat="1" x14ac:dyDescent="0.2">
      <c r="A32" s="15" t="s">
        <v>46</v>
      </c>
      <c r="B32" s="16" t="s">
        <v>47</v>
      </c>
      <c r="C32" s="17">
        <v>200</v>
      </c>
      <c r="D32" s="18">
        <v>994.42200000000003</v>
      </c>
      <c r="E32" s="18">
        <f>(+D32/$D$45*100)</f>
        <v>6.6998309400891314</v>
      </c>
      <c r="F32" s="18" t="s">
        <v>48</v>
      </c>
      <c r="G32" s="12">
        <v>6.8251999999999997</v>
      </c>
      <c r="H32" s="13"/>
    </row>
    <row r="33" spans="1:8" s="14" customFormat="1" x14ac:dyDescent="0.2">
      <c r="A33" s="15" t="s">
        <v>49</v>
      </c>
      <c r="B33" s="16" t="s">
        <v>50</v>
      </c>
      <c r="C33" s="17">
        <v>200</v>
      </c>
      <c r="D33" s="18">
        <v>957.83100000000002</v>
      </c>
      <c r="E33" s="18">
        <f>(+D33/$D$45*100)</f>
        <v>6.453302289346488</v>
      </c>
      <c r="F33" s="18" t="s">
        <v>51</v>
      </c>
      <c r="G33" s="12">
        <v>7.58</v>
      </c>
      <c r="H33" s="13"/>
    </row>
    <row r="34" spans="1:8" s="14" customFormat="1" x14ac:dyDescent="0.2">
      <c r="A34" s="8" t="s">
        <v>52</v>
      </c>
      <c r="B34" s="16"/>
      <c r="C34" s="17"/>
      <c r="D34" s="18"/>
      <c r="E34" s="11"/>
      <c r="F34" s="24"/>
      <c r="G34" s="12"/>
      <c r="H34" s="13"/>
    </row>
    <row r="35" spans="1:8" s="14" customFormat="1" x14ac:dyDescent="0.2">
      <c r="A35" s="15" t="s">
        <v>53</v>
      </c>
      <c r="B35" s="16" t="s">
        <v>39</v>
      </c>
      <c r="C35" s="17">
        <v>500000</v>
      </c>
      <c r="D35" s="18">
        <v>490.07749999999999</v>
      </c>
      <c r="E35" s="18">
        <f>(+D35/$D$45*100)</f>
        <v>3.3018541399340835</v>
      </c>
      <c r="F35" s="18" t="s">
        <v>54</v>
      </c>
      <c r="G35" s="12">
        <v>6.5400999999999998</v>
      </c>
      <c r="H35" s="13"/>
    </row>
    <row r="36" spans="1:8" s="14" customFormat="1" x14ac:dyDescent="0.2">
      <c r="A36" s="8" t="s">
        <v>30</v>
      </c>
      <c r="B36" s="25"/>
      <c r="C36" s="26"/>
      <c r="D36" s="20">
        <f>IF(ISERROR(SUM(D31:D35)),0,SUM(D31:D35))</f>
        <v>3664.7062000000001</v>
      </c>
      <c r="E36" s="20">
        <f>IF(ISERROR(SUM(E31:E35)),0,SUM(E31:E35))</f>
        <v>24.690636354682891</v>
      </c>
      <c r="F36" s="27"/>
      <c r="G36" s="12"/>
      <c r="H36" s="13"/>
    </row>
    <row r="37" spans="1:8" s="14" customFormat="1" x14ac:dyDescent="0.2">
      <c r="A37" s="8"/>
      <c r="B37" s="25"/>
      <c r="C37" s="26"/>
      <c r="D37" s="11"/>
      <c r="E37" s="11"/>
      <c r="F37" s="24"/>
      <c r="G37" s="12"/>
      <c r="H37" s="13"/>
    </row>
    <row r="38" spans="1:8" s="14" customFormat="1" x14ac:dyDescent="0.2">
      <c r="A38" s="15" t="s">
        <v>55</v>
      </c>
      <c r="B38" s="16"/>
      <c r="C38" s="17">
        <v>0</v>
      </c>
      <c r="D38" s="18">
        <v>1824.9051755</v>
      </c>
      <c r="E38" s="18">
        <f>(+D38/$D$45*100)</f>
        <v>12.295138439760672</v>
      </c>
      <c r="F38" s="18" t="s">
        <v>56</v>
      </c>
      <c r="G38" s="12">
        <v>6.4188000000000001</v>
      </c>
      <c r="H38" s="13"/>
    </row>
    <row r="39" spans="1:8" s="14" customFormat="1" x14ac:dyDescent="0.2">
      <c r="A39" s="8" t="s">
        <v>30</v>
      </c>
      <c r="B39" s="9"/>
      <c r="C39" s="19"/>
      <c r="D39" s="20">
        <f>IF(ISERROR(SUM(D38:D38)),0,SUM(D38:D38))</f>
        <v>1824.9051755</v>
      </c>
      <c r="E39" s="20">
        <f>IF(ISERROR(SUM(E38:E38)),0,SUM(E38:E38))</f>
        <v>12.295138439760672</v>
      </c>
      <c r="F39" s="18"/>
      <c r="G39" s="12"/>
      <c r="H39" s="13"/>
    </row>
    <row r="40" spans="1:8" s="14" customFormat="1" x14ac:dyDescent="0.2">
      <c r="A40" s="8"/>
      <c r="B40" s="9"/>
      <c r="C40" s="19"/>
      <c r="D40" s="20"/>
      <c r="E40" s="20"/>
      <c r="F40" s="21"/>
      <c r="G40" s="12"/>
      <c r="H40" s="13"/>
    </row>
    <row r="41" spans="1:8" s="14" customFormat="1" x14ac:dyDescent="0.2">
      <c r="A41" s="8" t="s">
        <v>33</v>
      </c>
      <c r="B41" s="9"/>
      <c r="C41" s="19" t="s">
        <v>57</v>
      </c>
      <c r="D41" s="20">
        <f>+IF(ISERROR(D17),0,D17)+IF(ISERROR(D39),0,D39)+IF(ISERROR(#REF!),0,#REF!)+IF(ISERROR(#REF!),0,#REF!)+IF(ISERROR(D27),0,D27)+IF(ISERROR(D36),0,D36)+IF(ISERROR(#REF!),0,#REF!)+IF(ISERROR(#REF!),0,#REF!)+IF(ISERROR(#REF!),0,#REF!)</f>
        <v>14472.057875499999</v>
      </c>
      <c r="E41" s="20">
        <f>+IF(ISERROR(E17),0,E17)+IF(ISERROR(E39),0,E39)+IF(ISERROR(#REF!),0,#REF!)+IF(ISERROR(#REF!),0,#REF!)+IF(ISERROR(E27),0,E27)+IF(ISERROR(E36),0,E36)+IF(ISERROR(#REF!),0,#REF!)+IF(ISERROR(#REF!),0,#REF!)+IF(ISERROR(#REF!),0,#REF!)</f>
        <v>97.504219658289415</v>
      </c>
      <c r="F41" s="20">
        <f>+IF(ISERROR(F17),0,F17)+IF(ISERROR(F39),0,F39)+IF(ISERROR(#REF!),0,#REF!)+IF(ISERROR(#REF!),0,#REF!)+IF(ISERROR(#REF!),0,#REF!)+IF(ISERROR(F36),0,F36)+IF(ISERROR(#REF!),0,#REF!)</f>
        <v>0</v>
      </c>
      <c r="G41" s="12"/>
      <c r="H41" s="13"/>
    </row>
    <row r="42" spans="1:8" s="14" customFormat="1" x14ac:dyDescent="0.2">
      <c r="A42" s="8"/>
      <c r="B42" s="9"/>
      <c r="C42" s="19"/>
      <c r="D42" s="20"/>
      <c r="E42" s="20"/>
      <c r="F42" s="28"/>
      <c r="H42" s="1"/>
    </row>
    <row r="43" spans="1:8" s="14" customFormat="1" x14ac:dyDescent="0.2">
      <c r="A43" s="8" t="s">
        <v>58</v>
      </c>
      <c r="B43" s="9"/>
      <c r="C43" s="19"/>
      <c r="D43" s="20">
        <f>+D45-D41</f>
        <v>370.43604549990414</v>
      </c>
      <c r="E43" s="20">
        <f>D43/$D$45*100</f>
        <v>2.4957803417105846</v>
      </c>
      <c r="F43" s="28"/>
      <c r="H43" s="1"/>
    </row>
    <row r="44" spans="1:8" s="14" customFormat="1" x14ac:dyDescent="0.2">
      <c r="A44" s="8"/>
      <c r="B44" s="9"/>
      <c r="C44" s="19"/>
      <c r="D44" s="11"/>
      <c r="E44" s="11"/>
      <c r="F44" s="28"/>
      <c r="H44" s="1"/>
    </row>
    <row r="45" spans="1:8" s="14" customFormat="1" x14ac:dyDescent="0.2">
      <c r="A45" s="8" t="s">
        <v>59</v>
      </c>
      <c r="B45" s="9"/>
      <c r="C45" s="19"/>
      <c r="D45" s="20">
        <v>14842.493920999903</v>
      </c>
      <c r="E45" s="20">
        <f>+E41+E43</f>
        <v>100</v>
      </c>
      <c r="F45" s="28"/>
      <c r="H45" s="1"/>
    </row>
    <row r="46" spans="1:8" s="14" customFormat="1" x14ac:dyDescent="0.2">
      <c r="A46" s="29"/>
      <c r="B46" s="30"/>
      <c r="C46" s="31"/>
      <c r="D46" s="32"/>
      <c r="E46" s="32"/>
      <c r="F46" s="28"/>
      <c r="H46" s="1"/>
    </row>
    <row r="47" spans="1:8" s="14" customFormat="1" x14ac:dyDescent="0.2">
      <c r="A47" s="33"/>
      <c r="B47" s="30"/>
      <c r="C47" s="31"/>
      <c r="D47" s="32"/>
      <c r="E47" s="32"/>
      <c r="F47" s="34"/>
      <c r="H47" s="1"/>
    </row>
    <row r="48" spans="1:8" ht="15" x14ac:dyDescent="0.25">
      <c r="A48" s="35" t="s">
        <v>60</v>
      </c>
      <c r="B48" s="35"/>
      <c r="C48" s="35"/>
      <c r="D48" s="35"/>
      <c r="E48" s="35"/>
      <c r="F48" s="35"/>
      <c r="G48" s="36"/>
      <c r="H48" s="36"/>
    </row>
    <row r="49" spans="1:8" ht="15" x14ac:dyDescent="0.25">
      <c r="A49" s="67" t="s">
        <v>61</v>
      </c>
      <c r="B49" s="67"/>
      <c r="C49" s="67"/>
      <c r="D49" s="67"/>
      <c r="E49" s="67"/>
      <c r="F49" s="67"/>
      <c r="G49" s="67"/>
      <c r="H49" s="67"/>
    </row>
    <row r="50" spans="1:8" ht="31.5" customHeight="1" x14ac:dyDescent="0.2">
      <c r="A50" s="68" t="s">
        <v>62</v>
      </c>
      <c r="B50" s="68"/>
      <c r="C50" s="68"/>
      <c r="D50" s="68"/>
      <c r="E50" s="68"/>
      <c r="F50" s="68"/>
      <c r="G50" s="68"/>
      <c r="H50" s="68"/>
    </row>
    <row r="51" spans="1:8" ht="15" x14ac:dyDescent="0.2">
      <c r="A51" s="68" t="s">
        <v>63</v>
      </c>
      <c r="B51" s="68"/>
      <c r="C51" s="68"/>
      <c r="D51" s="68"/>
      <c r="E51" s="68"/>
      <c r="F51" s="68"/>
      <c r="G51" s="68"/>
      <c r="H51" s="68"/>
    </row>
    <row r="52" spans="1:8" ht="69" customHeight="1" x14ac:dyDescent="0.2">
      <c r="A52" s="64" t="s">
        <v>64</v>
      </c>
      <c r="B52" s="64"/>
      <c r="C52" s="64"/>
      <c r="D52" s="64"/>
      <c r="E52" s="64"/>
      <c r="F52" s="64"/>
      <c r="G52" s="64"/>
      <c r="H52" s="64"/>
    </row>
    <row r="53" spans="1:8" x14ac:dyDescent="0.2">
      <c r="A53" s="37"/>
      <c r="B53" s="38"/>
      <c r="C53" s="39"/>
      <c r="D53" s="40"/>
      <c r="E53" s="41"/>
      <c r="G53" s="36"/>
      <c r="H53" s="36"/>
    </row>
    <row r="54" spans="1:8" ht="15" x14ac:dyDescent="0.25">
      <c r="A54" s="42" t="s">
        <v>65</v>
      </c>
      <c r="B54" s="43"/>
      <c r="C54" s="43"/>
      <c r="D54" s="44"/>
    </row>
    <row r="55" spans="1:8" ht="15" x14ac:dyDescent="0.25">
      <c r="A55" s="35" t="s">
        <v>66</v>
      </c>
      <c r="B55" s="43"/>
      <c r="C55" s="43"/>
      <c r="D55" s="43"/>
    </row>
    <row r="56" spans="1:8" ht="15" x14ac:dyDescent="0.25">
      <c r="A56" s="35" t="s">
        <v>67</v>
      </c>
      <c r="B56" s="43"/>
      <c r="C56" s="43"/>
      <c r="D56" s="43"/>
    </row>
    <row r="57" spans="1:8" ht="15" x14ac:dyDescent="0.25">
      <c r="A57" s="35" t="s">
        <v>68</v>
      </c>
      <c r="B57" s="43"/>
      <c r="C57" s="43"/>
      <c r="D57" s="43"/>
    </row>
    <row r="58" spans="1:8" ht="15" x14ac:dyDescent="0.25">
      <c r="A58" s="35"/>
      <c r="B58" s="43"/>
      <c r="C58" s="43"/>
      <c r="D58" s="43"/>
    </row>
    <row r="59" spans="1:8" ht="14.25" x14ac:dyDescent="0.2">
      <c r="A59" s="45" t="s">
        <v>69</v>
      </c>
      <c r="B59" s="43"/>
      <c r="C59" s="43"/>
      <c r="D59" s="44" t="s">
        <v>70</v>
      </c>
    </row>
    <row r="76" spans="1:4" ht="13.5" thickBot="1" x14ac:dyDescent="0.25"/>
    <row r="77" spans="1:4" ht="13.5" thickBot="1" x14ac:dyDescent="0.25">
      <c r="A77" s="57" t="s">
        <v>71</v>
      </c>
      <c r="B77" s="58"/>
      <c r="C77" s="58"/>
      <c r="D77" s="59"/>
    </row>
    <row r="78" spans="1:4" ht="13.5" thickBot="1" x14ac:dyDescent="0.25">
      <c r="A78" s="49" t="s">
        <v>72</v>
      </c>
      <c r="B78" s="60" t="s">
        <v>73</v>
      </c>
      <c r="C78" s="60" t="s">
        <v>74</v>
      </c>
      <c r="D78" s="60" t="s">
        <v>75</v>
      </c>
    </row>
    <row r="79" spans="1:4" ht="13.5" thickBot="1" x14ac:dyDescent="0.25">
      <c r="A79" s="49" t="s">
        <v>76</v>
      </c>
      <c r="B79" s="61"/>
      <c r="C79" s="61"/>
      <c r="D79" s="61"/>
    </row>
    <row r="80" spans="1:4" ht="15.75" thickBot="1" x14ac:dyDescent="0.25">
      <c r="A80" s="50" t="s">
        <v>77</v>
      </c>
      <c r="B80" s="51"/>
      <c r="C80" s="52" t="s">
        <v>78</v>
      </c>
      <c r="D80" s="51"/>
    </row>
    <row r="81" spans="1:10" ht="15.75" thickBot="1" x14ac:dyDescent="0.25">
      <c r="A81" s="50" t="s">
        <v>79</v>
      </c>
      <c r="B81" s="51"/>
      <c r="C81" s="51"/>
      <c r="D81" s="51"/>
    </row>
    <row r="82" spans="1:10" ht="15.75" thickBot="1" x14ac:dyDescent="0.25">
      <c r="A82" s="50" t="s">
        <v>80</v>
      </c>
      <c r="B82" s="51"/>
      <c r="C82" s="51"/>
      <c r="D82" s="51"/>
    </row>
    <row r="85" spans="1:10" x14ac:dyDescent="0.2">
      <c r="A85" s="62" t="s">
        <v>81</v>
      </c>
      <c r="B85" s="63"/>
    </row>
    <row r="86" spans="1:10" x14ac:dyDescent="0.2">
      <c r="A86" s="53" t="s">
        <v>82</v>
      </c>
      <c r="B86" s="54" t="s">
        <v>83</v>
      </c>
    </row>
    <row r="87" spans="1:10" x14ac:dyDescent="0.2">
      <c r="A87" s="53" t="s">
        <v>84</v>
      </c>
      <c r="B87" s="55"/>
    </row>
    <row r="88" spans="1:10" x14ac:dyDescent="0.2">
      <c r="A88" s="53"/>
      <c r="B88" s="25" t="s">
        <v>57</v>
      </c>
    </row>
    <row r="89" spans="1:10" x14ac:dyDescent="0.2">
      <c r="A89" s="53" t="s">
        <v>89</v>
      </c>
      <c r="B89" s="56">
        <v>7.2338390713595633</v>
      </c>
    </row>
    <row r="90" spans="1:10" x14ac:dyDescent="0.2">
      <c r="A90" s="53" t="s">
        <v>57</v>
      </c>
      <c r="B90" s="25" t="s">
        <v>57</v>
      </c>
    </row>
    <row r="91" spans="1:10" x14ac:dyDescent="0.2">
      <c r="A91" s="53" t="s">
        <v>85</v>
      </c>
      <c r="B91" s="25">
        <v>0.53010000000000002</v>
      </c>
    </row>
    <row r="92" spans="1:10" x14ac:dyDescent="0.2">
      <c r="A92" s="53" t="s">
        <v>86</v>
      </c>
      <c r="B92" s="25">
        <v>0.54600000000000004</v>
      </c>
    </row>
    <row r="93" spans="1:10" x14ac:dyDescent="0.2">
      <c r="A93" s="53" t="s">
        <v>57</v>
      </c>
      <c r="B93" s="25" t="s">
        <v>57</v>
      </c>
    </row>
    <row r="94" spans="1:10" x14ac:dyDescent="0.2">
      <c r="A94" s="53" t="s">
        <v>87</v>
      </c>
      <c r="B94" s="25" t="s">
        <v>88</v>
      </c>
    </row>
    <row r="95" spans="1:10" s="48" customFormat="1" ht="27" customHeight="1" x14ac:dyDescent="0.2">
      <c r="A95" s="69" t="s">
        <v>90</v>
      </c>
      <c r="B95" s="70"/>
      <c r="D95" s="1"/>
      <c r="E95" s="1"/>
      <c r="F95" s="1"/>
      <c r="G95" s="1"/>
      <c r="H95" s="1"/>
      <c r="I95" s="1"/>
      <c r="J95" s="1"/>
    </row>
  </sheetData>
  <mergeCells count="12">
    <mergeCell ref="A95:B95"/>
    <mergeCell ref="A52:H52"/>
    <mergeCell ref="A1:H1"/>
    <mergeCell ref="A2:H2"/>
    <mergeCell ref="A49:H49"/>
    <mergeCell ref="A50:H50"/>
    <mergeCell ref="A51:H51"/>
    <mergeCell ref="A77:D77"/>
    <mergeCell ref="B78:B79"/>
    <mergeCell ref="C78:C79"/>
    <mergeCell ref="D78:D79"/>
    <mergeCell ref="A85:B8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2023-02-02T07:44:46Z</dcterms:created>
  <dcterms:modified xsi:type="dcterms:W3CDTF">2023-02-03T07:17:50Z</dcterms:modified>
</cp:coreProperties>
</file>