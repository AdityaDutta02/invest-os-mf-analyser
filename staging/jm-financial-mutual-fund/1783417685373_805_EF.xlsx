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2\Monthly\FOR Compliance Equity\"/>
    </mc:Choice>
  </mc:AlternateContent>
  <bookViews>
    <workbookView xWindow="0" yWindow="0" windowWidth="20490" windowHeight="7800"/>
  </bookViews>
  <sheets>
    <sheet name="EF" sheetId="1" r:id="rId1"/>
  </sheets>
  <definedNames>
    <definedName name="_xlnm._FilterDatabase" localSheetId="0" hidden="1">EF!$A$1:$H$67</definedName>
    <definedName name="Afs">#REF!</definedName>
    <definedName name="_xlnm.Database">#REF!</definedName>
    <definedName name="EBLDB">#REF!</definedName>
    <definedName name="fl">#REF!</definedName>
    <definedName name="_xlnm.Print_Area" localSheetId="0">EF!$A$1:$E$55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1" i="1" l="1"/>
  <c r="D58" i="1"/>
  <c r="E57" i="1"/>
  <c r="E58" i="1" s="1"/>
  <c r="D37" i="1"/>
  <c r="D41" i="1" s="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37" i="1" s="1"/>
  <c r="E41" i="1" s="1"/>
  <c r="E61" i="1" l="1"/>
  <c r="D61" i="1"/>
  <c r="D63" i="1" s="1"/>
  <c r="E63" i="1" s="1"/>
  <c r="E65" i="1" l="1"/>
</calcChain>
</file>

<file path=xl/sharedStrings.xml><?xml version="1.0" encoding="utf-8"?>
<sst xmlns="http://schemas.openxmlformats.org/spreadsheetml/2006/main" count="153" uniqueCount="119">
  <si>
    <t>JM Large Cap Fund (An open ended equity scheme predominantly investing in large cap stocks).</t>
  </si>
  <si>
    <t>Portfolio as on 31.12.2022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</si>
  <si>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</si>
  <si>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</si>
  <si>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</si>
  <si>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</si>
  <si>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</si>
  <si>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</si>
  <si>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</si>
  <si>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</si>
  <si>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</si>
  <si>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</si>
  <si>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</si>
  <si>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</si>
  <si>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</si>
  <si>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Reliance Industries Ltd.</t>
  </si>
  <si>
    <t>Petroleum Products</t>
  </si>
  <si>
    <t>INE002A01018</t>
  </si>
  <si>
    <t>Axis Bank Ltd.</t>
  </si>
  <si>
    <t>INE238A01034</t>
  </si>
  <si>
    <t>Fortis Healthcare Ltd.</t>
  </si>
  <si>
    <t>Healthcare Services</t>
  </si>
  <si>
    <t>INE061F01013</t>
  </si>
  <si>
    <t>Housing Development Finance Corporation Ltd.</t>
  </si>
  <si>
    <t>Finance</t>
  </si>
  <si>
    <t>INE001A01036</t>
  </si>
  <si>
    <t>Britannia Industries Ltd.</t>
  </si>
  <si>
    <t>Food Products</t>
  </si>
  <si>
    <t>INE216A01030</t>
  </si>
  <si>
    <t>Infosys Ltd.</t>
  </si>
  <si>
    <t>IT - Software</t>
  </si>
  <si>
    <t>INE009A01021</t>
  </si>
  <si>
    <t>ICICI Bank Ltd.</t>
  </si>
  <si>
    <t>INE090A01021</t>
  </si>
  <si>
    <t>State Bank of India</t>
  </si>
  <si>
    <t>INE062A01020</t>
  </si>
  <si>
    <t>Larsen &amp; Toubro Ltd.</t>
  </si>
  <si>
    <t>Construction</t>
  </si>
  <si>
    <t>INE018A01030</t>
  </si>
  <si>
    <t>Maruti Suzuki India Ltd.</t>
  </si>
  <si>
    <t>Automobiles</t>
  </si>
  <si>
    <t>INE585B01010</t>
  </si>
  <si>
    <t>HCL Technologies Ltd.</t>
  </si>
  <si>
    <t>INE860A01027</t>
  </si>
  <si>
    <t>ITC Ltd.</t>
  </si>
  <si>
    <t>Diversified FMCG</t>
  </si>
  <si>
    <t>INE154A01025</t>
  </si>
  <si>
    <t>Indian Oil Corporation Ltd.</t>
  </si>
  <si>
    <t>INE242A01010</t>
  </si>
  <si>
    <t>Sun Pharmaceutical Industries Ltd.</t>
  </si>
  <si>
    <t>Pharmaceuticals &amp; Biotechnology</t>
  </si>
  <si>
    <t>INE044A01036</t>
  </si>
  <si>
    <t>Aditya Birla Fashion and Retail Ltd.</t>
  </si>
  <si>
    <t>Retailing</t>
  </si>
  <si>
    <t>INE647O01011</t>
  </si>
  <si>
    <t>Tata Consultancy Services Ltd.</t>
  </si>
  <si>
    <t>INE467B01029</t>
  </si>
  <si>
    <t>ACC Ltd.</t>
  </si>
  <si>
    <t>Cement &amp; Cement Products</t>
  </si>
  <si>
    <t>INE012A01025</t>
  </si>
  <si>
    <t>TVS Motor Company Ltd.</t>
  </si>
  <si>
    <t>INE494B01023</t>
  </si>
  <si>
    <t>Ultratech Cement Ltd.</t>
  </si>
  <si>
    <t>INE481G01011</t>
  </si>
  <si>
    <t>Hindalco Industries Ltd.</t>
  </si>
  <si>
    <t>Non - Ferrous Metals</t>
  </si>
  <si>
    <t>INE038A01020</t>
  </si>
  <si>
    <t>The Federal Bank  Ltd.</t>
  </si>
  <si>
    <t>INE171A01029</t>
  </si>
  <si>
    <t>ICICI Lombard General Insurance Company Ltd.</t>
  </si>
  <si>
    <t>Insurance</t>
  </si>
  <si>
    <t>INE765G01017</t>
  </si>
  <si>
    <t>NTPC Ltd.</t>
  </si>
  <si>
    <t>Power</t>
  </si>
  <si>
    <t>INE733E01010</t>
  </si>
  <si>
    <t>Power Grid Corporation of India Ltd.</t>
  </si>
  <si>
    <t>INE752E01010</t>
  </si>
  <si>
    <t>Mahindra &amp; Mahindra Ltd.</t>
  </si>
  <si>
    <t>INE101A01026</t>
  </si>
  <si>
    <t>Bank of Baroda</t>
  </si>
  <si>
    <t>INE028A01039</t>
  </si>
  <si>
    <t>Bharti Airtel Ltd.</t>
  </si>
  <si>
    <t>Telecom - Services</t>
  </si>
  <si>
    <t>INE397D01024</t>
  </si>
  <si>
    <t>Gujarat Gas Ltd.</t>
  </si>
  <si>
    <t>Gas</t>
  </si>
  <si>
    <t>INE844O01030</t>
  </si>
  <si>
    <t>Bharti Airtel Limited -  Rights Partly Paid</t>
  </si>
  <si>
    <t>IN9397D01014</t>
  </si>
  <si>
    <t>Yes Bank Ltd.</t>
  </si>
  <si>
    <t>INE528G01035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</si>
  <si>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</si>
  <si>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</si>
  <si>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</si>
  <si>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</si>
  <si>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</si>
  <si>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</si>
  <si>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</si>
  <si>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</si>
  <si>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</si>
  <si>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</si>
  <si>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</si>
  <si>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</si>
  <si>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</si>
  <si>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</si>
  <si>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</si>
  <si>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</si>
  <si>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</si>
  <si>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</si>
  <si>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</si>
  <si>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Reconstituted Portfolio</t>
  </si>
  <si>
    <t xml:space="preserve">Pursuant to the Gazette Notification dated 13th March 2020 issued by Ministry of Finance (Department of Financial Services) notifying ‘Yes Bank Limited Reconstruction Scheme, 2020’, 75% of shares held by existing shareholders of Yes Bank as on March 13, 2020 are placed under 3 year lock-in from March 13, 2020.  </t>
  </si>
  <si>
    <t>Shares held by JM Large Cap Fund were valued at “Zero Value” w.e.f.April 9, 2020 and any realization post three-year lock-in shall be distributed to the set of investors existing as on April 8, 2020 as per Unitholders register/BENPOS.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</si>
  <si>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</si>
  <si>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</si>
  <si>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</si>
  <si>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</si>
  <si>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</si>
  <si>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S&amp;P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</si>
</sst>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6" fillId="0" borderId="0"/>
    <xf numFmtId="0" fontId="6" fillId="0" borderId="0"/>
  </cellStyleXfs>
  <cellXfs count="79">
    <xf numFmtId="0" fontId="0" fillId="0" borderId="0" xfId="0"/>
    <xf numFmtId="0" fontId="3"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left"/>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0" xfId="0" applyFont="1" applyFill="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4" fontId="3" fillId="0" borderId="0" xfId="1" applyFont="1" applyFill="1" applyAlignment="1">
      <alignment horizontal="right"/>
    </xf>
    <xf numFmtId="0" fontId="5" fillId="0" borderId="0" xfId="2" applyFont="1" applyAlignment="1">
      <alignment horizontal="left" wrapText="1"/>
    </xf>
    <xf numFmtId="0" fontId="3" fillId="0" borderId="0" xfId="0" applyFont="1" applyAlignment="1">
      <alignment horizontal="left" wrapText="1"/>
    </xf>
    <xf numFmtId="164" fontId="3" fillId="0" borderId="0" xfId="4" applyFont="1" applyFill="1" applyAlignment="1">
      <alignment horizontal="right"/>
    </xf>
    <xf numFmtId="0" fontId="4" fillId="0" borderId="0" xfId="5" applyFont="1" applyFill="1" applyBorder="1" applyAlignment="1"/>
    <xf numFmtId="0" fontId="4" fillId="0" borderId="0" xfId="5" applyFont="1" applyFill="1" applyBorder="1" applyAlignment="1">
      <alignment horizontal="left" wrapText="1"/>
    </xf>
    <xf numFmtId="165" fontId="4" fillId="0" borderId="0" xfId="6" applyNumberFormat="1" applyFont="1" applyFill="1" applyBorder="1" applyAlignment="1">
      <alignment horizontal="right"/>
    </xf>
    <xf numFmtId="0" fontId="4" fillId="0" borderId="2" xfId="5" applyFont="1" applyFill="1" applyBorder="1" applyAlignment="1">
      <alignment horizontal="center" vertical="center" wrapText="1"/>
    </xf>
    <xf numFmtId="0" fontId="4" fillId="0" borderId="2" xfId="5" applyFont="1" applyFill="1" applyBorder="1" applyAlignment="1">
      <alignment horizontal="left" vertical="center" wrapText="1"/>
    </xf>
    <xf numFmtId="165" fontId="4" fillId="0" borderId="2" xfId="6" applyNumberFormat="1" applyFont="1" applyFill="1" applyBorder="1" applyAlignment="1">
      <alignment horizontal="center" vertical="center"/>
    </xf>
    <xf numFmtId="0" fontId="4" fillId="0" borderId="2" xfId="5" applyFont="1" applyFill="1" applyBorder="1" applyAlignment="1">
      <alignment horizontal="left" wrapText="1"/>
    </xf>
    <xf numFmtId="0" fontId="3" fillId="0" borderId="2" xfId="5" applyFont="1" applyFill="1" applyBorder="1" applyAlignment="1">
      <alignment horizontal="center" wrapText="1"/>
    </xf>
    <xf numFmtId="165" fontId="3" fillId="0" borderId="2" xfId="6" applyNumberFormat="1" applyFont="1" applyFill="1" applyBorder="1" applyAlignment="1">
      <alignment horizontal="center"/>
    </xf>
    <xf numFmtId="4" fontId="3" fillId="0" borderId="2" xfId="5" applyNumberFormat="1" applyFont="1" applyFill="1" applyBorder="1" applyAlignment="1">
      <alignment wrapText="1"/>
    </xf>
    <xf numFmtId="0" fontId="3" fillId="0" borderId="2" xfId="5" applyFont="1" applyFill="1" applyBorder="1" applyAlignment="1">
      <alignment wrapText="1"/>
    </xf>
    <xf numFmtId="164" fontId="3" fillId="0" borderId="2" xfId="1" applyFont="1" applyFill="1" applyBorder="1" applyAlignment="1">
      <alignment vertical="top"/>
    </xf>
    <xf numFmtId="165" fontId="3" fillId="0" borderId="2" xfId="6" applyNumberFormat="1" applyFont="1" applyFill="1" applyBorder="1"/>
    <xf numFmtId="0" fontId="3" fillId="0" borderId="0" xfId="5" applyFont="1" applyFill="1" applyBorder="1" applyAlignment="1"/>
    <xf numFmtId="0" fontId="3" fillId="0" borderId="0" xfId="0" applyFont="1" applyBorder="1" applyAlignment="1">
      <alignment wrapText="1"/>
    </xf>
    <xf numFmtId="0" fontId="3" fillId="0" borderId="0" xfId="0" applyFont="1" applyBorder="1" applyAlignment="1">
      <alignment horizontal="left" wrapText="1"/>
    </xf>
    <xf numFmtId="165" fontId="3" fillId="0" borderId="0" xfId="4" applyNumberFormat="1" applyFont="1" applyBorder="1"/>
    <xf numFmtId="0" fontId="3" fillId="0" borderId="0" xfId="0" applyFont="1" applyBorder="1"/>
    <xf numFmtId="0" fontId="8" fillId="0" borderId="0" xfId="7" applyFont="1" applyBorder="1"/>
    <xf numFmtId="0" fontId="2" fillId="0" borderId="0" xfId="0" applyFont="1" applyFill="1" applyBorder="1" applyAlignment="1">
      <alignment horizontal="left" wrapText="1"/>
    </xf>
    <xf numFmtId="165" fontId="3" fillId="0" borderId="0" xfId="1" applyNumberFormat="1" applyFont="1"/>
    <xf numFmtId="0" fontId="6" fillId="0" borderId="0" xfId="7" applyBorder="1"/>
    <xf numFmtId="0" fontId="9" fillId="0" borderId="0" xfId="8" applyFont="1"/>
    <xf numFmtId="0" fontId="4" fillId="0" borderId="0" xfId="0" applyFont="1" applyFill="1" applyBorder="1" applyAlignment="1">
      <alignment horizontal="left"/>
    </xf>
    <xf numFmtId="0" fontId="3" fillId="0" borderId="0" xfId="0" applyFont="1" applyAlignment="1">
      <alignment wrapText="1"/>
    </xf>
    <xf numFmtId="0" fontId="3" fillId="0" borderId="0" xfId="0" applyFont="1" applyFill="1" applyAlignment="1">
      <alignment horizontal="left" wrapText="1"/>
    </xf>
    <xf numFmtId="0" fontId="7" fillId="0" borderId="0" xfId="3" applyFont="1" applyBorder="1" applyAlignment="1">
      <alignment horizontal="left" vertical="center" wrapText="1"/>
    </xf>
    <xf numFmtId="0" fontId="2" fillId="2" borderId="1" xfId="0" applyFont="1" applyFill="1" applyBorder="1" applyAlignment="1">
      <alignment horizontal="lef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3" fillId="0" borderId="0" xfId="5" applyFont="1" applyFill="1" applyAlignment="1">
      <alignment horizontal="left" wrapText="1"/>
    </xf>
  </cellXfs>
  <cellStyles count="9">
    <cellStyle name="Comma" xfId="1" builtinId="3"/>
    <cellStyle name="Comma 3" xfId="6"/>
    <cellStyle name="Comma 4" xfId="4"/>
    <cellStyle name="Normal" xfId="0" builtinId="0"/>
    <cellStyle name="Normal 2 2" xfId="5"/>
    <cellStyle name="Normal 2 3 2" xfId="2"/>
    <cellStyle name="Normal 4_EF" xfId="7"/>
    <cellStyle name="Normal 4_IF" xfId="8"/>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89</xdr:row>
      <xdr:rowOff>0</xdr:rowOff>
    </xdr:from>
    <xdr:to>
      <xdr:col>1</xdr:col>
      <xdr:colOff>1295400</xdr:colOff>
      <xdr:row>102</xdr:row>
      <xdr:rowOff>85725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6840200"/>
          <a:ext cx="3714750" cy="2190750"/>
        </a:xfrm>
        <a:prstGeom prst="rect">
          <a:avLst/>
        </a:prstGeom>
        <a:noFill/>
        <a:ln w="9525">
          <a:noFill/>
          <a:miter lim="800000"/>
          <a:headEnd/>
          <a:tailEnd/>
        </a:ln>
      </xdr:spPr>
    </xdr:pic>
    <xdr:clientData/>
  </xdr:twoCellAnchor>
  <xdr:twoCellAnchor editAs="oneCell">
    <xdr:from>
      <xdr:col>2</xdr:col>
      <xdr:colOff>47625</xdr:colOff>
      <xdr:row>88</xdr:row>
      <xdr:rowOff>9525</xdr:rowOff>
    </xdr:from>
    <xdr:to>
      <xdr:col>5</xdr:col>
      <xdr:colOff>619125</xdr:colOff>
      <xdr:row>101</xdr:row>
      <xdr:rowOff>133350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4895850" y="16687800"/>
          <a:ext cx="3905250" cy="22288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8"/>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C82" sqref="C82"/>
    </sheetView>
  </sheetViews>
  <sheetFormatPr defaultRowHeight="12.75" x14ac:dyDescent="0.2"/>
  <cols>
    <col min="1" max="1" width="36.28515625" style="71" customWidth="1"/>
    <col min="2" max="2" width="36.42578125" style="45" customWidth="1"/>
    <col min="3" max="3" width="13.42578125" style="67"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74" t="s">
        <v>0</v>
      </c>
      <c r="B1" s="74"/>
      <c r="C1" s="74"/>
      <c r="D1" s="74"/>
      <c r="E1" s="74"/>
      <c r="F1" s="74"/>
      <c r="G1" s="74"/>
      <c r="H1" s="74"/>
    </row>
    <row r="2" spans="1:8" x14ac:dyDescent="0.2">
      <c r="A2" s="2" t="s">
        <v>1</v>
      </c>
      <c r="B2" s="3"/>
      <c r="C2" s="3"/>
      <c r="D2" s="3"/>
      <c r="E2" s="3"/>
      <c r="F2" s="3"/>
      <c r="G2" s="3"/>
      <c r="H2" s="3"/>
    </row>
    <row r="3" spans="1:8" s="9" customFormat="1" ht="53.25" customHeight="1" x14ac:dyDescent="0.2">
      <c r="A3" s="4" t="s">
        <v>2</v>
      </c>
      <c r="B3" s="5" t="s">
        <v>3</v>
      </c>
      <c r="C3" s="6" t="s">
        <v>4</v>
      </c>
      <c r="D3" s="4" t="s">
        <v>5</v>
      </c>
      <c r="E3" s="4" t="s">
        <v>6</v>
      </c>
      <c r="F3" s="4" t="s">
        <v>7</v>
      </c>
      <c r="G3" s="7" t="s">
        <v>8</v>
      </c>
      <c r="H3" s="8" t="s">
        <v>9</v>
      </c>
    </row>
    <row r="4" spans="1:8" x14ac:dyDescent="0.2">
      <c r="A4" s="10" t="s">
        <v>10</v>
      </c>
      <c r="B4" s="11"/>
      <c r="C4" s="12"/>
      <c r="D4" s="13"/>
      <c r="E4" s="13"/>
      <c r="F4" s="14"/>
      <c r="G4" s="15"/>
      <c r="H4" s="16"/>
    </row>
    <row r="5" spans="1:8" ht="36" customHeight="1" x14ac:dyDescent="0.2">
      <c r="A5" s="17" t="s">
        <v>11</v>
      </c>
      <c r="B5" s="11"/>
      <c r="C5" s="12"/>
      <c r="D5" s="13"/>
      <c r="E5" s="13"/>
      <c r="F5" s="14"/>
      <c r="G5" s="15"/>
      <c r="H5" s="16"/>
    </row>
    <row r="6" spans="1:8" s="22" customFormat="1" x14ac:dyDescent="0.2">
      <c r="A6" s="18" t="s">
        <v>12</v>
      </c>
      <c r="B6" s="19" t="s">
        <v>13</v>
      </c>
      <c r="C6" s="20">
        <v>19979</v>
      </c>
      <c r="D6" s="21">
        <v>325.28808850000001</v>
      </c>
      <c r="E6" s="21">
        <f t="shared" ref="E6:E36" si="0">(+D6/$D$65*100)</f>
        <v>6.8183839241258397</v>
      </c>
      <c r="F6" s="21" t="s">
        <v>14</v>
      </c>
      <c r="G6" s="16"/>
      <c r="H6" s="16"/>
    </row>
    <row r="7" spans="1:8" s="22" customFormat="1" x14ac:dyDescent="0.2">
      <c r="A7" s="18" t="s">
        <v>15</v>
      </c>
      <c r="B7" s="19" t="s">
        <v>16</v>
      </c>
      <c r="C7" s="20">
        <v>12103</v>
      </c>
      <c r="D7" s="21">
        <v>308.28761600000001</v>
      </c>
      <c r="E7" s="21">
        <f t="shared" si="0"/>
        <v>6.4620359590618097</v>
      </c>
      <c r="F7" s="21" t="s">
        <v>17</v>
      </c>
      <c r="G7" s="16"/>
      <c r="H7" s="15"/>
    </row>
    <row r="8" spans="1:8" s="22" customFormat="1" x14ac:dyDescent="0.2">
      <c r="A8" s="18" t="s">
        <v>18</v>
      </c>
      <c r="B8" s="19" t="s">
        <v>13</v>
      </c>
      <c r="C8" s="20">
        <v>26250</v>
      </c>
      <c r="D8" s="21">
        <v>245.109375</v>
      </c>
      <c r="E8" s="21">
        <f t="shared" si="0"/>
        <v>5.1377529065363614</v>
      </c>
      <c r="F8" s="21" t="s">
        <v>19</v>
      </c>
      <c r="G8" s="16"/>
      <c r="H8" s="16"/>
    </row>
    <row r="9" spans="1:8" s="22" customFormat="1" x14ac:dyDescent="0.2">
      <c r="A9" s="18" t="s">
        <v>20</v>
      </c>
      <c r="B9" s="19" t="s">
        <v>21</v>
      </c>
      <c r="C9" s="20">
        <v>82800</v>
      </c>
      <c r="D9" s="21">
        <v>236.89080000000001</v>
      </c>
      <c r="E9" s="21">
        <f t="shared" si="0"/>
        <v>4.9654828430439428</v>
      </c>
      <c r="F9" s="21" t="s">
        <v>22</v>
      </c>
      <c r="G9" s="16"/>
      <c r="H9" s="16"/>
    </row>
    <row r="10" spans="1:8" s="22" customFormat="1" ht="25.5" x14ac:dyDescent="0.2">
      <c r="A10" s="18" t="s">
        <v>23</v>
      </c>
      <c r="B10" s="19" t="s">
        <v>24</v>
      </c>
      <c r="C10" s="20">
        <v>8712</v>
      </c>
      <c r="D10" s="21">
        <v>229.787712</v>
      </c>
      <c r="E10" s="21">
        <f t="shared" si="0"/>
        <v>4.8165945721755454</v>
      </c>
      <c r="F10" s="21" t="s">
        <v>25</v>
      </c>
      <c r="G10" s="16"/>
      <c r="H10" s="16"/>
    </row>
    <row r="11" spans="1:8" s="22" customFormat="1" x14ac:dyDescent="0.2">
      <c r="A11" s="18" t="s">
        <v>26</v>
      </c>
      <c r="B11" s="19" t="s">
        <v>27</v>
      </c>
      <c r="C11" s="20">
        <v>5150</v>
      </c>
      <c r="D11" s="21">
        <v>221.833675</v>
      </c>
      <c r="E11" s="21">
        <f t="shared" si="0"/>
        <v>4.6498695062108197</v>
      </c>
      <c r="F11" s="21" t="s">
        <v>28</v>
      </c>
      <c r="G11" s="16"/>
      <c r="H11" s="16"/>
    </row>
    <row r="12" spans="1:8" s="22" customFormat="1" x14ac:dyDescent="0.2">
      <c r="A12" s="18" t="s">
        <v>29</v>
      </c>
      <c r="B12" s="19" t="s">
        <v>30</v>
      </c>
      <c r="C12" s="20">
        <v>14248</v>
      </c>
      <c r="D12" s="21">
        <v>214.88833600000001</v>
      </c>
      <c r="E12" s="21">
        <f t="shared" si="0"/>
        <v>4.5042878219764635</v>
      </c>
      <c r="F12" s="21" t="s">
        <v>31</v>
      </c>
      <c r="G12" s="16"/>
      <c r="H12" s="23"/>
    </row>
    <row r="13" spans="1:8" s="22" customFormat="1" x14ac:dyDescent="0.2">
      <c r="A13" s="18" t="s">
        <v>32</v>
      </c>
      <c r="B13" s="19" t="s">
        <v>13</v>
      </c>
      <c r="C13" s="20">
        <v>22637</v>
      </c>
      <c r="D13" s="21">
        <v>201.66171449999999</v>
      </c>
      <c r="E13" s="21">
        <f t="shared" si="0"/>
        <v>4.2270437832477068</v>
      </c>
      <c r="F13" s="21" t="s">
        <v>33</v>
      </c>
      <c r="G13" s="16"/>
      <c r="H13" s="16"/>
    </row>
    <row r="14" spans="1:8" s="22" customFormat="1" x14ac:dyDescent="0.2">
      <c r="A14" s="18" t="s">
        <v>34</v>
      </c>
      <c r="B14" s="19" t="s">
        <v>13</v>
      </c>
      <c r="C14" s="20">
        <v>32247</v>
      </c>
      <c r="D14" s="21">
        <v>197.89983899999999</v>
      </c>
      <c r="E14" s="21">
        <f t="shared" si="0"/>
        <v>4.1481908761153177</v>
      </c>
      <c r="F14" s="21" t="s">
        <v>35</v>
      </c>
      <c r="G14" s="16"/>
      <c r="H14" s="15"/>
    </row>
    <row r="15" spans="1:8" s="22" customFormat="1" x14ac:dyDescent="0.2">
      <c r="A15" s="18" t="s">
        <v>36</v>
      </c>
      <c r="B15" s="19" t="s">
        <v>37</v>
      </c>
      <c r="C15" s="20">
        <v>9332</v>
      </c>
      <c r="D15" s="21">
        <v>194.64685600000001</v>
      </c>
      <c r="E15" s="21">
        <f t="shared" si="0"/>
        <v>4.0800048964351712</v>
      </c>
      <c r="F15" s="21" t="s">
        <v>38</v>
      </c>
      <c r="G15" s="16"/>
      <c r="H15" s="15"/>
    </row>
    <row r="16" spans="1:8" s="22" customFormat="1" x14ac:dyDescent="0.2">
      <c r="A16" s="18" t="s">
        <v>39</v>
      </c>
      <c r="B16" s="19" t="s">
        <v>40</v>
      </c>
      <c r="C16" s="20">
        <v>2300</v>
      </c>
      <c r="D16" s="21">
        <v>193.07579999999999</v>
      </c>
      <c r="E16" s="21">
        <f t="shared" si="0"/>
        <v>4.0470738935703015</v>
      </c>
      <c r="F16" s="21" t="s">
        <v>41</v>
      </c>
      <c r="G16" s="16"/>
      <c r="H16" s="15"/>
    </row>
    <row r="17" spans="1:8" s="22" customFormat="1" x14ac:dyDescent="0.2">
      <c r="A17" s="18" t="s">
        <v>42</v>
      </c>
      <c r="B17" s="19" t="s">
        <v>30</v>
      </c>
      <c r="C17" s="20">
        <v>18193</v>
      </c>
      <c r="D17" s="21">
        <v>189.079849</v>
      </c>
      <c r="E17" s="21">
        <f t="shared" si="0"/>
        <v>3.9633145152738707</v>
      </c>
      <c r="F17" s="21" t="s">
        <v>43</v>
      </c>
      <c r="G17" s="16"/>
      <c r="H17" s="16"/>
    </row>
    <row r="18" spans="1:8" s="22" customFormat="1" x14ac:dyDescent="0.2">
      <c r="A18" s="18" t="s">
        <v>44</v>
      </c>
      <c r="B18" s="19" t="s">
        <v>45</v>
      </c>
      <c r="C18" s="20">
        <v>55700</v>
      </c>
      <c r="D18" s="21">
        <v>184.67335</v>
      </c>
      <c r="E18" s="21">
        <f t="shared" si="0"/>
        <v>3.8709496147273299</v>
      </c>
      <c r="F18" s="21" t="s">
        <v>46</v>
      </c>
      <c r="G18" s="16"/>
      <c r="H18" s="23"/>
    </row>
    <row r="19" spans="1:8" s="22" customFormat="1" x14ac:dyDescent="0.2">
      <c r="A19" s="18" t="s">
        <v>47</v>
      </c>
      <c r="B19" s="19" t="s">
        <v>16</v>
      </c>
      <c r="C19" s="20">
        <v>225000</v>
      </c>
      <c r="D19" s="21">
        <v>172.125</v>
      </c>
      <c r="E19" s="21">
        <f t="shared" si="0"/>
        <v>3.6079228672406809</v>
      </c>
      <c r="F19" s="21" t="s">
        <v>48</v>
      </c>
      <c r="G19" s="16"/>
      <c r="H19" s="23"/>
    </row>
    <row r="20" spans="1:8" s="22" customFormat="1" x14ac:dyDescent="0.2">
      <c r="A20" s="18" t="s">
        <v>49</v>
      </c>
      <c r="B20" s="19" t="s">
        <v>50</v>
      </c>
      <c r="C20" s="20">
        <v>16750</v>
      </c>
      <c r="D20" s="21">
        <v>167.7345</v>
      </c>
      <c r="E20" s="21">
        <f t="shared" si="0"/>
        <v>3.5158933227316309</v>
      </c>
      <c r="F20" s="21" t="s">
        <v>51</v>
      </c>
      <c r="G20" s="16"/>
      <c r="H20" s="15"/>
    </row>
    <row r="21" spans="1:8" s="22" customFormat="1" x14ac:dyDescent="0.2">
      <c r="A21" s="18" t="s">
        <v>52</v>
      </c>
      <c r="B21" s="19" t="s">
        <v>53</v>
      </c>
      <c r="C21" s="20">
        <v>52000</v>
      </c>
      <c r="D21" s="21">
        <v>149.5</v>
      </c>
      <c r="E21" s="21">
        <f t="shared" si="0"/>
        <v>3.1336788302250209</v>
      </c>
      <c r="F21" s="21" t="s">
        <v>54</v>
      </c>
      <c r="G21" s="16"/>
      <c r="H21" s="16"/>
    </row>
    <row r="22" spans="1:8" s="22" customFormat="1" x14ac:dyDescent="0.2">
      <c r="A22" s="18" t="s">
        <v>55</v>
      </c>
      <c r="B22" s="19" t="s">
        <v>30</v>
      </c>
      <c r="C22" s="20">
        <v>4560</v>
      </c>
      <c r="D22" s="21">
        <v>148.50551999999999</v>
      </c>
      <c r="E22" s="21">
        <f t="shared" si="0"/>
        <v>3.1128334728799896</v>
      </c>
      <c r="F22" s="21" t="s">
        <v>56</v>
      </c>
      <c r="G22" s="16"/>
      <c r="H22" s="15"/>
    </row>
    <row r="23" spans="1:8" s="22" customFormat="1" x14ac:dyDescent="0.2">
      <c r="A23" s="18" t="s">
        <v>57</v>
      </c>
      <c r="B23" s="19" t="s">
        <v>58</v>
      </c>
      <c r="C23" s="20">
        <v>6000</v>
      </c>
      <c r="D23" s="21">
        <v>146.49600000000001</v>
      </c>
      <c r="E23" s="21">
        <f t="shared" si="0"/>
        <v>3.0707117987467876</v>
      </c>
      <c r="F23" s="21" t="s">
        <v>59</v>
      </c>
      <c r="G23" s="16"/>
      <c r="H23" s="16"/>
    </row>
    <row r="24" spans="1:8" s="22" customFormat="1" x14ac:dyDescent="0.2">
      <c r="A24" s="18" t="s">
        <v>60</v>
      </c>
      <c r="B24" s="19" t="s">
        <v>40</v>
      </c>
      <c r="C24" s="20">
        <v>10500</v>
      </c>
      <c r="D24" s="21">
        <v>113.967</v>
      </c>
      <c r="E24" s="21">
        <f t="shared" si="0"/>
        <v>2.3888693996271235</v>
      </c>
      <c r="F24" s="21" t="s">
        <v>61</v>
      </c>
      <c r="G24" s="16"/>
      <c r="H24" s="15"/>
    </row>
    <row r="25" spans="1:8" s="22" customFormat="1" x14ac:dyDescent="0.2">
      <c r="A25" s="18" t="s">
        <v>62</v>
      </c>
      <c r="B25" s="19" t="s">
        <v>58</v>
      </c>
      <c r="C25" s="20">
        <v>1550</v>
      </c>
      <c r="D25" s="21">
        <v>107.865275</v>
      </c>
      <c r="E25" s="21">
        <f t="shared" si="0"/>
        <v>2.2609707610963223</v>
      </c>
      <c r="F25" s="21" t="s">
        <v>63</v>
      </c>
      <c r="G25" s="16"/>
      <c r="H25" s="15"/>
    </row>
    <row r="26" spans="1:8" s="22" customFormat="1" x14ac:dyDescent="0.2">
      <c r="A26" s="18" t="s">
        <v>64</v>
      </c>
      <c r="B26" s="19" t="s">
        <v>65</v>
      </c>
      <c r="C26" s="20">
        <v>22500</v>
      </c>
      <c r="D26" s="21">
        <v>106.50375</v>
      </c>
      <c r="E26" s="21">
        <f t="shared" si="0"/>
        <v>2.2324317505991846</v>
      </c>
      <c r="F26" s="21" t="s">
        <v>66</v>
      </c>
      <c r="G26" s="16"/>
      <c r="H26" s="16"/>
    </row>
    <row r="27" spans="1:8" s="22" customFormat="1" x14ac:dyDescent="0.2">
      <c r="A27" s="18" t="s">
        <v>67</v>
      </c>
      <c r="B27" s="19" t="s">
        <v>13</v>
      </c>
      <c r="C27" s="20">
        <v>65000</v>
      </c>
      <c r="D27" s="21">
        <v>90.382499999999993</v>
      </c>
      <c r="E27" s="21">
        <f t="shared" si="0"/>
        <v>1.8945132232295179</v>
      </c>
      <c r="F27" s="21" t="s">
        <v>68</v>
      </c>
      <c r="G27" s="16"/>
      <c r="H27" s="16"/>
    </row>
    <row r="28" spans="1:8" s="22" customFormat="1" ht="25.5" x14ac:dyDescent="0.2">
      <c r="A28" s="18" t="s">
        <v>69</v>
      </c>
      <c r="B28" s="19" t="s">
        <v>70</v>
      </c>
      <c r="C28" s="20">
        <v>6950</v>
      </c>
      <c r="D28" s="21">
        <v>85.957599999999999</v>
      </c>
      <c r="E28" s="21">
        <f t="shared" si="0"/>
        <v>1.8017626181735802</v>
      </c>
      <c r="F28" s="21" t="s">
        <v>71</v>
      </c>
      <c r="G28" s="16"/>
      <c r="H28" s="16"/>
    </row>
    <row r="29" spans="1:8" s="22" customFormat="1" x14ac:dyDescent="0.2">
      <c r="A29" s="18" t="s">
        <v>72</v>
      </c>
      <c r="B29" s="19" t="s">
        <v>73</v>
      </c>
      <c r="C29" s="20">
        <v>46000</v>
      </c>
      <c r="D29" s="21">
        <v>76.566999999999993</v>
      </c>
      <c r="E29" s="21">
        <f t="shared" si="0"/>
        <v>1.6049256655106297</v>
      </c>
      <c r="F29" s="21" t="s">
        <v>74</v>
      </c>
      <c r="G29" s="16"/>
      <c r="H29" s="15"/>
    </row>
    <row r="30" spans="1:8" s="22" customFormat="1" x14ac:dyDescent="0.2">
      <c r="A30" s="18" t="s">
        <v>75</v>
      </c>
      <c r="B30" s="19" t="s">
        <v>73</v>
      </c>
      <c r="C30" s="20">
        <v>33633</v>
      </c>
      <c r="D30" s="21">
        <v>71.873721000000003</v>
      </c>
      <c r="E30" s="21">
        <f t="shared" si="0"/>
        <v>1.5065495514862846</v>
      </c>
      <c r="F30" s="21" t="s">
        <v>76</v>
      </c>
      <c r="G30" s="16"/>
      <c r="H30" s="15"/>
    </row>
    <row r="31" spans="1:8" s="22" customFormat="1" x14ac:dyDescent="0.2">
      <c r="A31" s="18" t="s">
        <v>77</v>
      </c>
      <c r="B31" s="19" t="s">
        <v>40</v>
      </c>
      <c r="C31" s="20">
        <v>5700</v>
      </c>
      <c r="D31" s="21">
        <v>71.204400000000007</v>
      </c>
      <c r="E31" s="21">
        <f t="shared" si="0"/>
        <v>1.4925198722332742</v>
      </c>
      <c r="F31" s="21" t="s">
        <v>78</v>
      </c>
      <c r="G31" s="16"/>
      <c r="H31" s="15"/>
    </row>
    <row r="32" spans="1:8" s="22" customFormat="1" x14ac:dyDescent="0.2">
      <c r="A32" s="18" t="s">
        <v>79</v>
      </c>
      <c r="B32" s="19" t="s">
        <v>13</v>
      </c>
      <c r="C32" s="20">
        <v>38000</v>
      </c>
      <c r="D32" s="21">
        <v>70.566000000000003</v>
      </c>
      <c r="E32" s="21">
        <f t="shared" si="0"/>
        <v>1.479138329991029</v>
      </c>
      <c r="F32" s="21" t="s">
        <v>80</v>
      </c>
      <c r="G32" s="16"/>
      <c r="H32" s="16"/>
    </row>
    <row r="33" spans="1:8" s="22" customFormat="1" x14ac:dyDescent="0.2">
      <c r="A33" s="18" t="s">
        <v>81</v>
      </c>
      <c r="B33" s="19" t="s">
        <v>82</v>
      </c>
      <c r="C33" s="20">
        <v>7500</v>
      </c>
      <c r="D33" s="21">
        <v>60.457500000000003</v>
      </c>
      <c r="E33" s="21">
        <f t="shared" si="0"/>
        <v>1.2672534306242758</v>
      </c>
      <c r="F33" s="21" t="s">
        <v>83</v>
      </c>
      <c r="G33" s="16"/>
      <c r="H33" s="16"/>
    </row>
    <row r="34" spans="1:8" s="22" customFormat="1" x14ac:dyDescent="0.2">
      <c r="A34" s="18" t="s">
        <v>84</v>
      </c>
      <c r="B34" s="19" t="s">
        <v>85</v>
      </c>
      <c r="C34" s="20">
        <v>10000</v>
      </c>
      <c r="D34" s="21">
        <v>48.615000000000002</v>
      </c>
      <c r="E34" s="21">
        <f t="shared" si="0"/>
        <v>1.019022049039394</v>
      </c>
      <c r="F34" s="21" t="s">
        <v>86</v>
      </c>
      <c r="G34" s="16"/>
      <c r="H34" s="16"/>
    </row>
    <row r="35" spans="1:8" s="22" customFormat="1" x14ac:dyDescent="0.2">
      <c r="A35" s="18" t="s">
        <v>87</v>
      </c>
      <c r="B35" s="19" t="s">
        <v>82</v>
      </c>
      <c r="C35" s="20">
        <v>1094</v>
      </c>
      <c r="D35" s="21">
        <v>4.7435840000000002</v>
      </c>
      <c r="E35" s="21">
        <f t="shared" si="0"/>
        <v>9.9430560268857035E-2</v>
      </c>
      <c r="F35" s="21" t="s">
        <v>88</v>
      </c>
      <c r="G35" s="16"/>
      <c r="H35" s="16"/>
    </row>
    <row r="36" spans="1:8" s="22" customFormat="1" x14ac:dyDescent="0.2">
      <c r="A36" s="18" t="s">
        <v>89</v>
      </c>
      <c r="B36" s="19" t="s">
        <v>13</v>
      </c>
      <c r="C36" s="20">
        <v>489595</v>
      </c>
      <c r="D36" s="21">
        <v>0</v>
      </c>
      <c r="E36" s="21">
        <f t="shared" si="0"/>
        <v>0</v>
      </c>
      <c r="F36" s="21" t="s">
        <v>90</v>
      </c>
      <c r="G36" s="16"/>
      <c r="H36" s="15"/>
    </row>
    <row r="37" spans="1:8" s="22" customFormat="1" x14ac:dyDescent="0.2">
      <c r="A37" s="17" t="s">
        <v>91</v>
      </c>
      <c r="B37" s="19"/>
      <c r="C37" s="20"/>
      <c r="D37" s="24">
        <f>IF(ISERROR(SUM(D6:D36)),0,SUM(D6:D36))</f>
        <v>4636.1873610000002</v>
      </c>
      <c r="E37" s="24">
        <f>IF(ISERROR(SUM(E6:E36)),0,SUM(E6:E36))</f>
        <v>97.179412616204075</v>
      </c>
      <c r="F37" s="24"/>
      <c r="G37" s="16"/>
      <c r="H37" s="15"/>
    </row>
    <row r="38" spans="1:8" s="22" customFormat="1" x14ac:dyDescent="0.2">
      <c r="A38" s="17"/>
      <c r="B38" s="17"/>
      <c r="C38" s="25"/>
      <c r="D38" s="26"/>
      <c r="E38" s="26"/>
      <c r="F38" s="26"/>
      <c r="G38" s="16"/>
      <c r="H38" s="15"/>
    </row>
    <row r="39" spans="1:8" s="22" customFormat="1" x14ac:dyDescent="0.2">
      <c r="A39" s="17" t="s">
        <v>92</v>
      </c>
      <c r="B39" s="17"/>
      <c r="C39" s="25"/>
      <c r="D39" s="27" t="s">
        <v>93</v>
      </c>
      <c r="E39" s="27" t="s">
        <v>93</v>
      </c>
      <c r="F39" s="27"/>
      <c r="G39" s="16"/>
      <c r="H39" s="15"/>
    </row>
    <row r="40" spans="1:8" s="22" customFormat="1" x14ac:dyDescent="0.2">
      <c r="A40" s="17"/>
      <c r="B40" s="10"/>
      <c r="C40" s="25"/>
      <c r="D40" s="27"/>
      <c r="E40" s="27"/>
      <c r="F40" s="28"/>
      <c r="G40" s="16"/>
      <c r="H40" s="15"/>
    </row>
    <row r="41" spans="1:8" s="22" customFormat="1" x14ac:dyDescent="0.2">
      <c r="A41" s="17" t="s">
        <v>94</v>
      </c>
      <c r="B41" s="17"/>
      <c r="C41" s="25"/>
      <c r="D41" s="24">
        <f>IF(ISERROR(+D37),0,D37)+IF(ISERROR(+#REF!),0,#REF!)</f>
        <v>4636.1873610000002</v>
      </c>
      <c r="E41" s="24">
        <f>IF(ISERROR(+E37),0,E37)+IF(ISERROR(+#REF!),0,#REF!)</f>
        <v>97.179412616204075</v>
      </c>
      <c r="F41" s="29"/>
      <c r="G41" s="16"/>
      <c r="H41" s="15"/>
    </row>
    <row r="42" spans="1:8" s="22" customFormat="1" x14ac:dyDescent="0.2">
      <c r="A42" s="17"/>
      <c r="B42" s="10"/>
      <c r="C42" s="25"/>
      <c r="D42" s="27"/>
      <c r="E42" s="27"/>
      <c r="F42" s="28"/>
      <c r="G42" s="16"/>
      <c r="H42" s="15"/>
    </row>
    <row r="43" spans="1:8" s="22" customFormat="1" x14ac:dyDescent="0.2">
      <c r="A43" s="17"/>
      <c r="B43" s="10"/>
      <c r="C43" s="25"/>
      <c r="D43" s="27"/>
      <c r="E43" s="27"/>
      <c r="F43" s="28"/>
      <c r="G43" s="16"/>
      <c r="H43" s="15"/>
    </row>
    <row r="44" spans="1:8" s="22" customFormat="1" x14ac:dyDescent="0.2">
      <c r="A44" s="17" t="s">
        <v>95</v>
      </c>
      <c r="B44" s="10"/>
      <c r="C44" s="25"/>
      <c r="D44" s="27"/>
      <c r="E44" s="27"/>
      <c r="F44" s="28"/>
      <c r="G44" s="16"/>
      <c r="H44" s="15"/>
    </row>
    <row r="45" spans="1:8" s="22" customFormat="1" ht="29.25" customHeight="1" x14ac:dyDescent="0.2">
      <c r="A45" s="17" t="s">
        <v>11</v>
      </c>
      <c r="B45" s="10"/>
      <c r="C45" s="25"/>
      <c r="D45" s="27" t="s">
        <v>93</v>
      </c>
      <c r="E45" s="27" t="s">
        <v>93</v>
      </c>
      <c r="F45" s="30"/>
      <c r="G45" s="16"/>
      <c r="H45" s="15"/>
    </row>
    <row r="46" spans="1:8" s="22" customFormat="1" x14ac:dyDescent="0.2">
      <c r="A46" s="17"/>
      <c r="B46" s="10"/>
      <c r="C46" s="31"/>
      <c r="D46" s="30"/>
      <c r="E46" s="30"/>
      <c r="F46" s="30"/>
      <c r="G46" s="16"/>
      <c r="H46" s="15"/>
    </row>
    <row r="47" spans="1:8" s="22" customFormat="1" x14ac:dyDescent="0.2">
      <c r="A47" s="17" t="s">
        <v>96</v>
      </c>
      <c r="B47" s="10"/>
      <c r="C47" s="31"/>
      <c r="D47" s="27" t="s">
        <v>93</v>
      </c>
      <c r="E47" s="27" t="s">
        <v>93</v>
      </c>
      <c r="F47" s="28"/>
      <c r="G47" s="16"/>
      <c r="H47" s="15"/>
    </row>
    <row r="48" spans="1:8" s="22" customFormat="1" x14ac:dyDescent="0.2">
      <c r="A48" s="17"/>
      <c r="B48" s="10"/>
      <c r="C48" s="31"/>
      <c r="D48" s="30"/>
      <c r="E48" s="30"/>
      <c r="F48" s="30"/>
      <c r="G48" s="16"/>
      <c r="H48" s="15"/>
    </row>
    <row r="49" spans="1:8" s="22" customFormat="1" x14ac:dyDescent="0.2">
      <c r="A49" s="17" t="s">
        <v>97</v>
      </c>
      <c r="B49" s="10"/>
      <c r="C49" s="31"/>
      <c r="D49" s="27"/>
      <c r="E49" s="27"/>
      <c r="F49" s="27"/>
      <c r="G49" s="16"/>
      <c r="H49" s="15"/>
    </row>
    <row r="50" spans="1:8" s="22" customFormat="1" x14ac:dyDescent="0.2">
      <c r="A50" s="17"/>
      <c r="B50" s="10"/>
      <c r="C50" s="31"/>
      <c r="D50" s="21"/>
      <c r="E50" s="21"/>
      <c r="F50" s="32"/>
      <c r="G50" s="16"/>
      <c r="H50" s="15"/>
    </row>
    <row r="51" spans="1:8" s="22" customFormat="1" x14ac:dyDescent="0.2">
      <c r="A51" s="17" t="s">
        <v>98</v>
      </c>
      <c r="B51" s="10"/>
      <c r="C51" s="31"/>
      <c r="D51" s="27" t="s">
        <v>93</v>
      </c>
      <c r="E51" s="27" t="s">
        <v>93</v>
      </c>
      <c r="F51" s="27"/>
      <c r="G51" s="16"/>
      <c r="H51" s="15"/>
    </row>
    <row r="52" spans="1:8" s="22" customFormat="1" x14ac:dyDescent="0.2">
      <c r="A52" s="17"/>
      <c r="B52" s="10"/>
      <c r="C52" s="31"/>
      <c r="D52" s="27"/>
      <c r="E52" s="27"/>
      <c r="F52" s="27"/>
      <c r="G52" s="16"/>
      <c r="H52" s="15"/>
    </row>
    <row r="53" spans="1:8" s="22" customFormat="1" x14ac:dyDescent="0.2">
      <c r="A53" s="17" t="s">
        <v>99</v>
      </c>
      <c r="B53" s="10"/>
      <c r="C53" s="31"/>
      <c r="D53" s="27" t="s">
        <v>93</v>
      </c>
      <c r="E53" s="27" t="s">
        <v>93</v>
      </c>
      <c r="F53" s="27"/>
      <c r="G53" s="16"/>
      <c r="H53" s="15"/>
    </row>
    <row r="54" spans="1:8" s="22" customFormat="1" x14ac:dyDescent="0.2">
      <c r="A54" s="17"/>
      <c r="B54" s="10"/>
      <c r="C54" s="31"/>
      <c r="D54" s="27"/>
      <c r="E54" s="27"/>
      <c r="F54" s="27"/>
      <c r="G54" s="16"/>
      <c r="H54" s="15"/>
    </row>
    <row r="55" spans="1:8" s="22" customFormat="1" x14ac:dyDescent="0.2">
      <c r="A55" s="17" t="s">
        <v>100</v>
      </c>
      <c r="B55" s="10"/>
      <c r="C55" s="31"/>
      <c r="D55" s="27"/>
      <c r="E55" s="27"/>
      <c r="F55" s="28"/>
      <c r="G55" s="16"/>
      <c r="H55" s="15"/>
    </row>
    <row r="56" spans="1:8" s="22" customFormat="1" x14ac:dyDescent="0.2">
      <c r="A56" s="17"/>
      <c r="B56" s="33"/>
      <c r="C56" s="34"/>
      <c r="D56" s="30"/>
      <c r="E56" s="30"/>
      <c r="F56" s="35"/>
      <c r="G56" s="16"/>
      <c r="H56" s="15"/>
    </row>
    <row r="57" spans="1:8" s="22" customFormat="1" x14ac:dyDescent="0.2">
      <c r="A57" s="18" t="s">
        <v>101</v>
      </c>
      <c r="B57" s="19"/>
      <c r="C57" s="20">
        <v>0</v>
      </c>
      <c r="D57" s="21">
        <v>86.711640000000003</v>
      </c>
      <c r="E57" s="21">
        <f>(+D57/$D$65*100)</f>
        <v>1.8175680976728639</v>
      </c>
      <c r="F57" s="21" t="s">
        <v>102</v>
      </c>
      <c r="G57" s="16">
        <v>6.4866999999999999</v>
      </c>
      <c r="H57" s="15"/>
    </row>
    <row r="58" spans="1:8" s="22" customFormat="1" x14ac:dyDescent="0.2">
      <c r="A58" s="17" t="s">
        <v>91</v>
      </c>
      <c r="B58" s="10"/>
      <c r="C58" s="31"/>
      <c r="D58" s="27">
        <f>IF(ISERROR(SUM(D57:D57)),0,SUM(D57:D57))</f>
        <v>86.711640000000003</v>
      </c>
      <c r="E58" s="27">
        <f>IF(ISERROR(SUM(E57:E57)),0,SUM(E57:E57))</f>
        <v>1.8175680976728639</v>
      </c>
      <c r="F58" s="21"/>
      <c r="G58" s="16"/>
      <c r="H58" s="15"/>
    </row>
    <row r="59" spans="1:8" s="22" customFormat="1" x14ac:dyDescent="0.2">
      <c r="A59" s="17"/>
      <c r="B59" s="10"/>
      <c r="C59" s="31"/>
      <c r="D59" s="27"/>
      <c r="E59" s="27"/>
      <c r="F59" s="27"/>
      <c r="G59" s="16"/>
      <c r="H59" s="15"/>
    </row>
    <row r="60" spans="1:8" s="22" customFormat="1" x14ac:dyDescent="0.2">
      <c r="A60" s="17"/>
      <c r="B60" s="10"/>
      <c r="C60" s="31"/>
      <c r="D60" s="27"/>
      <c r="E60" s="27"/>
      <c r="F60" s="28"/>
      <c r="G60" s="16"/>
      <c r="H60" s="15"/>
    </row>
    <row r="61" spans="1:8" s="22" customFormat="1" x14ac:dyDescent="0.2">
      <c r="A61" s="17" t="s">
        <v>94</v>
      </c>
      <c r="B61" s="10"/>
      <c r="C61" s="31" t="s">
        <v>103</v>
      </c>
      <c r="D61" s="27">
        <f>+IF(ISERROR(#REF!),0,#REF!)+IF(ISERROR(D58),0,D58)+IF(ISERROR(D41),0,D41)+IF(ISERROR(#REF!),0,#REF!)+IF(ISERROR(#REF!),0,#REF!)+IF(ISERROR(#REF!),0,#REF!)+IF(ISERROR(#REF!),0,#REF!)+IF(ISERROR(#REF!),0,#REF!)+IF(ISERROR(#REF!),0,#REF!)</f>
        <v>4722.8990010000007</v>
      </c>
      <c r="E61" s="27">
        <f>+IF(ISERROR(#REF!),0,#REF!)+IF(ISERROR(E58),0,E58)+IF(ISERROR(E41),0,E41)+IF(ISERROR(#REF!),0,#REF!)+IF(ISERROR(#REF!),0,#REF!)+IF(ISERROR(#REF!),0,#REF!)+IF(ISERROR(#REF!),0,#REF!)+IF(ISERROR(#REF!),0,#REF!)+IF(ISERROR(#REF!),0,#REF!)</f>
        <v>98.996980713876937</v>
      </c>
      <c r="F61" s="27">
        <f>+IF(ISERROR(#REF!),0,#REF!)+IF(ISERROR(F58),0,F58)+IF(ISERROR(F41),0,F41)+IF(ISERROR(#REF!),0,#REF!)+IF(ISERROR(#REF!),0,#REF!)+IF(ISERROR(#REF!),0,#REF!)+IF(ISERROR(#REF!),0,#REF!)</f>
        <v>0</v>
      </c>
      <c r="G61" s="16"/>
      <c r="H61" s="15"/>
    </row>
    <row r="62" spans="1:8" s="22" customFormat="1" x14ac:dyDescent="0.2">
      <c r="A62" s="17"/>
      <c r="B62" s="10"/>
      <c r="C62" s="31"/>
      <c r="D62" s="27"/>
      <c r="E62" s="27"/>
      <c r="F62" s="36"/>
      <c r="H62" s="1"/>
    </row>
    <row r="63" spans="1:8" s="22" customFormat="1" x14ac:dyDescent="0.2">
      <c r="A63" s="17" t="s">
        <v>104</v>
      </c>
      <c r="B63" s="10"/>
      <c r="C63" s="31"/>
      <c r="D63" s="27">
        <f>+D65-D61</f>
        <v>47.851548100297805</v>
      </c>
      <c r="E63" s="27">
        <f>D63/$D$65*100</f>
        <v>1.0030192861230607</v>
      </c>
      <c r="F63" s="36"/>
      <c r="H63" s="1"/>
    </row>
    <row r="64" spans="1:8" s="22" customFormat="1" x14ac:dyDescent="0.2">
      <c r="A64" s="17"/>
      <c r="B64" s="10"/>
      <c r="C64" s="31"/>
      <c r="D64" s="30"/>
      <c r="E64" s="30"/>
      <c r="F64" s="36"/>
      <c r="H64" s="1"/>
    </row>
    <row r="65" spans="1:8" s="22" customFormat="1" x14ac:dyDescent="0.2">
      <c r="A65" s="17" t="s">
        <v>105</v>
      </c>
      <c r="B65" s="10"/>
      <c r="C65" s="31"/>
      <c r="D65" s="27">
        <v>4770.7505491002985</v>
      </c>
      <c r="E65" s="27">
        <f>+E61+E63</f>
        <v>100</v>
      </c>
      <c r="F65" s="36"/>
      <c r="H65" s="1"/>
    </row>
    <row r="66" spans="1:8" s="22" customFormat="1" x14ac:dyDescent="0.2">
      <c r="A66" s="37"/>
      <c r="B66" s="38"/>
      <c r="C66" s="39"/>
      <c r="D66" s="40"/>
      <c r="E66" s="40"/>
      <c r="F66" s="36"/>
      <c r="H66" s="1"/>
    </row>
    <row r="67" spans="1:8" s="22" customFormat="1" x14ac:dyDescent="0.2">
      <c r="A67" s="41"/>
      <c r="B67" s="38"/>
      <c r="C67" s="39"/>
      <c r="D67" s="40"/>
      <c r="E67" s="40"/>
      <c r="F67" s="42"/>
      <c r="H67" s="1"/>
    </row>
    <row r="68" spans="1:8" ht="15" x14ac:dyDescent="0.25">
      <c r="A68" s="75" t="s">
        <v>106</v>
      </c>
      <c r="B68" s="75"/>
      <c r="C68" s="75"/>
      <c r="D68" s="75"/>
      <c r="E68" s="75"/>
      <c r="F68" s="75"/>
      <c r="G68" s="43"/>
      <c r="H68" s="43"/>
    </row>
    <row r="69" spans="1:8" ht="15" x14ac:dyDescent="0.25">
      <c r="A69" s="44"/>
      <c r="B69" s="44"/>
      <c r="C69" s="44"/>
      <c r="D69" s="44"/>
      <c r="E69" s="44"/>
      <c r="F69" s="44"/>
      <c r="G69" s="43"/>
      <c r="H69" s="43"/>
    </row>
    <row r="70" spans="1:8" ht="34.5" customHeight="1" x14ac:dyDescent="0.2">
      <c r="A70" s="76" t="s">
        <v>107</v>
      </c>
      <c r="B70" s="76"/>
      <c r="C70" s="76"/>
      <c r="D70" s="76"/>
      <c r="E70" s="76"/>
      <c r="F70" s="76"/>
      <c r="G70" s="76"/>
      <c r="H70" s="76"/>
    </row>
    <row r="71" spans="1:8" ht="40.5" customHeight="1" x14ac:dyDescent="0.2">
      <c r="A71" s="77" t="s">
        <v>108</v>
      </c>
      <c r="B71" s="77"/>
      <c r="C71" s="77"/>
      <c r="D71" s="77"/>
      <c r="E71" s="77"/>
      <c r="F71" s="77"/>
      <c r="G71" s="43"/>
      <c r="H71" s="43"/>
    </row>
    <row r="72" spans="1:8" ht="76.5" customHeight="1" x14ac:dyDescent="0.2">
      <c r="A72" s="73" t="s">
        <v>109</v>
      </c>
      <c r="B72" s="73"/>
      <c r="C72" s="73"/>
      <c r="D72" s="73"/>
      <c r="E72" s="73"/>
      <c r="F72" s="73"/>
      <c r="G72" s="73"/>
      <c r="H72" s="73"/>
    </row>
    <row r="73" spans="1:8" x14ac:dyDescent="0.2">
      <c r="A73" s="45"/>
      <c r="C73" s="45"/>
      <c r="D73" s="45"/>
      <c r="E73" s="46"/>
      <c r="G73" s="43"/>
      <c r="H73" s="43"/>
    </row>
    <row r="74" spans="1:8" x14ac:dyDescent="0.2">
      <c r="A74" s="47" t="s">
        <v>110</v>
      </c>
      <c r="B74" s="48"/>
      <c r="C74" s="49"/>
      <c r="D74" s="45"/>
      <c r="E74" s="46"/>
      <c r="G74" s="43"/>
      <c r="H74" s="43"/>
    </row>
    <row r="75" spans="1:8" x14ac:dyDescent="0.2">
      <c r="A75" s="50" t="s">
        <v>2</v>
      </c>
      <c r="B75" s="51" t="s">
        <v>3</v>
      </c>
      <c r="C75" s="52" t="s">
        <v>7</v>
      </c>
      <c r="D75" s="52" t="s">
        <v>4</v>
      </c>
      <c r="E75" s="46"/>
      <c r="G75" s="43"/>
      <c r="H75" s="43"/>
    </row>
    <row r="76" spans="1:8" x14ac:dyDescent="0.2">
      <c r="A76" s="53" t="s">
        <v>10</v>
      </c>
      <c r="B76" s="54"/>
      <c r="C76" s="55"/>
      <c r="D76" s="55"/>
      <c r="E76" s="46"/>
      <c r="G76" s="43"/>
      <c r="H76" s="43"/>
    </row>
    <row r="77" spans="1:8" x14ac:dyDescent="0.2">
      <c r="A77" s="56" t="s">
        <v>89</v>
      </c>
      <c r="B77" s="57" t="s">
        <v>13</v>
      </c>
      <c r="C77" s="58" t="s">
        <v>90</v>
      </c>
      <c r="D77" s="59">
        <v>489595</v>
      </c>
    </row>
    <row r="78" spans="1:8" x14ac:dyDescent="0.2">
      <c r="A78" s="60"/>
      <c r="B78" s="48"/>
      <c r="C78" s="49"/>
      <c r="D78" s="45"/>
    </row>
    <row r="79" spans="1:8" x14ac:dyDescent="0.2">
      <c r="A79" s="78" t="s">
        <v>111</v>
      </c>
      <c r="B79" s="78"/>
      <c r="C79" s="78"/>
      <c r="D79" s="78"/>
      <c r="E79" s="78"/>
      <c r="F79" s="78"/>
      <c r="G79" s="78"/>
      <c r="H79" s="78"/>
    </row>
    <row r="80" spans="1:8" x14ac:dyDescent="0.2">
      <c r="A80" s="72" t="s">
        <v>112</v>
      </c>
      <c r="B80" s="72"/>
      <c r="C80" s="72"/>
      <c r="D80" s="72"/>
      <c r="E80" s="72"/>
      <c r="F80" s="72"/>
      <c r="G80" s="72"/>
      <c r="H80" s="72"/>
    </row>
    <row r="81" spans="1:5" x14ac:dyDescent="0.2">
      <c r="A81" s="61"/>
      <c r="B81" s="62"/>
      <c r="C81" s="63"/>
      <c r="D81" s="64"/>
      <c r="E81" s="64"/>
    </row>
    <row r="82" spans="1:5" x14ac:dyDescent="0.2">
      <c r="A82" s="61"/>
      <c r="B82" s="62"/>
      <c r="C82" s="63"/>
      <c r="D82" s="64"/>
      <c r="E82" s="64"/>
    </row>
    <row r="83" spans="1:5" ht="15" x14ac:dyDescent="0.25">
      <c r="A83" s="65" t="s">
        <v>113</v>
      </c>
      <c r="B83" s="66"/>
    </row>
    <row r="84" spans="1:5" ht="15" x14ac:dyDescent="0.25">
      <c r="A84" s="68" t="s">
        <v>114</v>
      </c>
      <c r="B84" s="66"/>
      <c r="C84" s="66"/>
      <c r="D84" s="66"/>
    </row>
    <row r="85" spans="1:5" ht="15" x14ac:dyDescent="0.25">
      <c r="A85" s="68" t="s">
        <v>115</v>
      </c>
      <c r="B85" s="66"/>
      <c r="C85" s="66"/>
      <c r="D85" s="66"/>
    </row>
    <row r="86" spans="1:5" ht="15" x14ac:dyDescent="0.25">
      <c r="A86" s="68" t="s">
        <v>116</v>
      </c>
      <c r="B86" s="66"/>
      <c r="C86" s="66"/>
      <c r="D86" s="66"/>
    </row>
    <row r="87" spans="1:5" ht="15" x14ac:dyDescent="0.25">
      <c r="A87" s="68"/>
      <c r="B87" s="66"/>
      <c r="C87" s="1"/>
      <c r="D87" s="66"/>
    </row>
    <row r="88" spans="1:5" ht="14.25" x14ac:dyDescent="0.2">
      <c r="A88" s="69" t="s">
        <v>117</v>
      </c>
      <c r="C88" s="70" t="s">
        <v>118</v>
      </c>
    </row>
  </sheetData>
  <mergeCells count="7">
    <mergeCell ref="A80:H80"/>
    <mergeCell ref="A72:H72"/>
    <mergeCell ref="A1:H1"/>
    <mergeCell ref="A68:F68"/>
    <mergeCell ref="A70:H70"/>
    <mergeCell ref="A71:F71"/>
    <mergeCell ref="A79:H79"/>
  </mergeCells>
  <pageMargins left="0.75" right="0.25" top="1" bottom="1" header="0.5" footer="0.5"/>
  <pageSetup paperSize="9" scale="77"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EF</vt:lpstr>
      <vt:lpstr>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2023-01-09T06:49:12Z</dcterms:created>
  <dcterms:modified xsi:type="dcterms:W3CDTF">2023-01-09T06:52:51Z</dcterms:modified>
</cp:coreProperties>
</file>