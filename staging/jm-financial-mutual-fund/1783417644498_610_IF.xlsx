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mc:Choice>
  </mc:AlternateContent>
  <bookViews>
    <workbookView xWindow="0" yWindow="0" windowWidth="20490" windowHeight="7650"/>
  </bookViews>
  <sheets>
    <sheet name="IF" sheetId="1" r:id="rId1"/>
  </sheets>
  <definedNames>
    <definedName name="_xlnm._FilterDatabase" localSheetId="0" hidden="1">IF!$A$1:$H$31</definedName>
    <definedName name="Afs">#REF!</definedName>
    <definedName name="_xlnm.Database">#REF!</definedName>
    <definedName name="EBLDB">#REF!</definedName>
    <definedName name="fl">#REF!</definedName>
    <definedName name="_xlnm.Print_Area" localSheetId="0">IF!$A$1:$E$21</definedName>
  </definedNames>
  <calcPr calcId="162913" calcMode="autoNoTable"/>
</workbook>
</file>

<file path=xl/calcChain.xml><?xml version="1.0" encoding="utf-8"?>
<calcChain xmlns="http://schemas.openxmlformats.org/spreadsheetml/2006/main">
  <c r="D19" i="1" l="1"/>
  <c r="F25" i="1"/>
  <c r="D23" i="1"/>
  <c r="E22" i="1"/>
  <c r="E23" i="1"/>
  <c r="E18" i="1"/>
  <c r="E17" i="1"/>
  <c r="E16" i="1"/>
  <c r="E19" i="1"/>
  <c r="E25" i="1"/>
  <c r="D25" i="1"/>
  <c r="D27" i="1"/>
  <c r="E27" i="1"/>
  <c r="E29" i="1"/>
</calcChain>
</file>

<file path=xl/sharedStrings.xml><?xml version="1.0" encoding="utf-8"?>
<sst xmlns="http://schemas.openxmlformats.org/spreadsheetml/2006/main" count="78" uniqueCount="63">
  <si>
    <t>JM Medium to Long Duration Fund(An open ended medium term debt scheme investing in instruments such that the Macaulay duration of the portfolio is between 4 years to 7 years.) A relatively high interest rate risk and moderate credit risk.</t>
  </si>
  <si>
    <t>Portfolio as on 31.12.2022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</si>
  <si>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</si>
  <si>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</si>
  <si>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</si>
  <si>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</si>
  <si>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</si>
  <si>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</si>
  <si>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</si>
  <si>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</si>
  <si>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</si>
  <si>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</si>
  <si>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</si>
  <si>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</si>
  <si>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</si>
  <si>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</si>
  <si>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</si>
  <si>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 (Central/State)</t>
  </si>
  <si>
    <t>7.38% Government of India Securities 2027 20/06/2027</t>
  </si>
  <si>
    <t>Sovereign</t>
  </si>
  <si>
    <t>IN0020220037</t>
  </si>
  <si>
    <t>7.26% Government of India Securities 2032 22/08/2032</t>
  </si>
  <si>
    <t>IN0020220060</t>
  </si>
  <si>
    <t>6.54% Government of India Securities 2032 17/01/2032</t>
  </si>
  <si>
    <t>IN0020210244</t>
  </si>
  <si>
    <t>Sub Total:</t>
  </si>
  <si>
    <t>MONEY MARKET INSTRUMENTS</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</si>
  <si>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</si>
  <si>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</si>
  <si>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</si>
  <si>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</si>
  <si>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</si>
  <si>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</si>
  <si>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</si>
  <si>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</si>
  <si>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</si>
  <si>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</si>
  <si>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</si>
  <si>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</si>
  <si>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</si>
  <si>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</si>
  <si>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</si>
  <si>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 xml:space="preserve">CRISIL Medium to Long Duration Fund BIII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</si>
  <si>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</si>
  <si>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</si>
  <si>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</si>
  <si>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</si>
  <si>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</si>
  <si>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</si>
  <si>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</si>
  <si>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</si>
  <si>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</si>
  <si>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B-III</t>
  </si>
  <si>
    <t>Scheme Name :</t>
  </si>
  <si>
    <t>JM Medium to Long Duration Fund</t>
  </si>
  <si>
    <t>Description (if any)</t>
  </si>
  <si>
    <t>Annualised Portfolio YTM* :</t>
  </si>
  <si>
    <t>Macaulay Duration</t>
  </si>
  <si>
    <t>Residual Maturity</t>
  </si>
  <si>
    <t xml:space="preserve">As on (Date) </t>
  </si>
  <si>
    <t>31.12.2022</t>
  </si>
  <si>
    <t xml:space="preserve">* in case of semi annual YTM,  it will be annualised </t>
  </si>
  <si>
    <t xml:space="preserve"> Portfolio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</si>
</sst>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Times New Roman"/>
      <family val="1"/>
    </font>
    <font>
      <sz val="11"/>
      <color indexed="8"/>
      <name val="Times New Roman"/>
      <family val="1"/>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cellStyleXfs>
  <cellXfs count="65">
    <xf numFmtId="0" fontId="0" fillId="0" borderId="0" xfId="0"/>
    <xf numFmtId="0" fontId="3" fillId="0" borderId="0" xfId="0" applyFont="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0" fontId="3" fillId="0" borderId="0" xfId="0" applyFont="1" applyFill="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1" xfId="1" applyFont="1" applyFill="1" applyBorder="1"/>
    <xf numFmtId="164" fontId="3" fillId="0" borderId="2" xfId="1" applyFont="1" applyFill="1" applyBorder="1"/>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4" fontId="4" fillId="0" borderId="1" xfId="1"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164" fontId="3" fillId="0" borderId="0" xfId="2" applyFont="1" applyFill="1" applyAlignment="1">
      <alignment horizontal="right"/>
    </xf>
    <xf numFmtId="0" fontId="3" fillId="0" borderId="0" xfId="3" applyFont="1" applyFill="1" applyAlignment="1">
      <alignment horizontal="right"/>
    </xf>
    <xf numFmtId="0" fontId="3" fillId="0" borderId="0" xfId="3" applyFont="1"/>
    <xf numFmtId="0" fontId="8" fillId="0" borderId="0" xfId="5" applyFont="1"/>
    <xf numFmtId="0" fontId="2" fillId="0" borderId="0" xfId="3" applyFont="1" applyFill="1" applyBorder="1" applyAlignment="1">
      <alignment horizontal="left" wrapText="1"/>
    </xf>
    <xf numFmtId="0" fontId="9" fillId="0" borderId="0" xfId="5" applyFont="1" applyBorder="1"/>
    <xf numFmtId="0" fontId="1" fillId="0" borderId="0" xfId="3"/>
    <xf numFmtId="0" fontId="4" fillId="0" borderId="0" xfId="3"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3" xfId="0" applyFont="1" applyBorder="1" applyAlignment="1">
      <alignment vertical="center" wrapText="1"/>
    </xf>
    <xf numFmtId="0" fontId="12" fillId="0" borderId="3" xfId="0" applyFont="1" applyBorder="1" applyAlignment="1">
      <alignment vertical="center" wrapText="1"/>
    </xf>
    <xf numFmtId="0" fontId="13" fillId="0" borderId="4" xfId="0" applyFont="1" applyBorder="1" applyAlignment="1">
      <alignment vertical="center" wrapText="1"/>
    </xf>
    <xf numFmtId="0" fontId="12" fillId="2" borderId="4" xfId="0" applyFont="1" applyFill="1" applyBorder="1" applyAlignment="1">
      <alignment horizontal="center" vertical="center" wrapText="1"/>
    </xf>
    <xf numFmtId="0" fontId="3" fillId="0" borderId="1" xfId="0" applyFont="1" applyBorder="1" applyAlignment="1">
      <alignment wrapText="1"/>
    </xf>
    <xf numFmtId="0" fontId="3" fillId="0" borderId="1" xfId="0" applyFont="1" applyBorder="1" applyAlignment="1">
      <alignment horizontal="left" wrapText="1"/>
    </xf>
    <xf numFmtId="0" fontId="3" fillId="0" borderId="1" xfId="0" applyFont="1" applyFill="1" applyBorder="1"/>
    <xf numFmtId="4" fontId="3" fillId="0" borderId="1" xfId="0" applyNumberFormat="1" applyFont="1" applyBorder="1" applyAlignment="1">
      <alignment horizontal="left"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left" vertical="center" wrapText="1"/>
    </xf>
    <xf numFmtId="0" fontId="10" fillId="0" borderId="3" xfId="0" applyFont="1" applyBorder="1" applyAlignment="1">
      <alignment horizontal="left" vertical="center" wrapText="1"/>
    </xf>
    <xf numFmtId="0" fontId="10" fillId="0" borderId="8" xfId="0" applyFont="1" applyBorder="1" applyAlignment="1">
      <alignment horizontal="left" vertical="top" wrapText="1"/>
    </xf>
    <xf numFmtId="0" fontId="10" fillId="0" borderId="3" xfId="0" applyFont="1" applyBorder="1" applyAlignment="1">
      <alignment horizontal="left" vertical="top" wrapText="1"/>
    </xf>
    <xf numFmtId="0" fontId="7" fillId="0" borderId="0" xfId="6" applyFont="1" applyBorder="1" applyAlignment="1">
      <alignment horizontal="left" vertical="center" wrapText="1"/>
    </xf>
    <xf numFmtId="0" fontId="5" fillId="0" borderId="0" xfId="4" applyFont="1" applyAlignment="1">
      <alignment horizontal="left" wrapText="1"/>
    </xf>
    <xf numFmtId="0" fontId="2" fillId="3" borderId="9" xfId="0" applyFont="1" applyFill="1" applyBorder="1" applyAlignment="1">
      <alignment horizontal="left" vertical="center" wrapText="1"/>
    </xf>
    <xf numFmtId="0" fontId="2" fillId="3" borderId="10" xfId="0" applyFont="1" applyFill="1" applyBorder="1" applyAlignment="1">
      <alignment horizontal="left" wrapText="1"/>
    </xf>
    <xf numFmtId="0" fontId="5" fillId="0" borderId="0" xfId="4" applyFont="1" applyAlignment="1">
      <alignment horizontal="left" vertical="top" wrapText="1"/>
    </xf>
    <xf numFmtId="0" fontId="3" fillId="0" borderId="2" xfId="0" applyFont="1" applyBorder="1" applyAlignment="1">
      <alignment horizontal="center" wrapText="1"/>
    </xf>
    <xf numFmtId="0" fontId="3" fillId="0" borderId="11" xfId="0" applyFont="1" applyBorder="1" applyAlignment="1">
      <alignment horizontal="center" wrapText="1"/>
    </xf>
  </cellXfs>
  <cellStyles count="7">
    <cellStyle name="Comma" xfId="1" builtinId="3"/>
    <cellStyle name="Comma 4 2" xfId="2"/>
    <cellStyle name="Normal" xfId="0" builtinId="0"/>
    <cellStyle name="Normal 2 2" xfId="3"/>
    <cellStyle name="Normal 2 3 2" xfId="4"/>
    <cellStyle name="Normal 4_IF" xfId="5"/>
    <cellStyle name="Normal 4_LD"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43</xdr:row>
      <xdr:rowOff>47625</xdr:rowOff>
    </xdr:from>
    <xdr:to>
      <xdr:col>1</xdr:col>
      <xdr:colOff>390525</xdr:colOff>
      <xdr:row>56</xdr:row>
      <xdr:rowOff>38100</xdr:rowOff>
    </xdr:to>
    <xdr:pic>
      <xdr:nvPicPr>
        <xdr:cNvPr id="1025" name="Picture 2"/>
        <xdr:cNvPicPr>
          <a:picLocks noChangeAspect="1"/>
        </xdr:cNvPicPr>
      </xdr:nvPicPr>
      <xdr:blipFill>
        <a:blip xmlns:r="http://schemas.openxmlformats.org/officeDocument/2006/relationships" r:embed="rId1" cstate="print"/>
        <a:srcRect/>
        <a:stretch>
          <a:fillRect/>
        </a:stretch>
      </xdr:blipFill>
      <xdr:spPr bwMode="auto">
        <a:xfrm>
          <a:off x="247650" y="8658225"/>
          <a:ext cx="3581400" cy="2095500"/>
        </a:xfrm>
        <a:prstGeom prst="rect">
          <a:avLst/>
        </a:prstGeom>
        <a:noFill/>
        <a:ln w="9525">
          <a:noFill/>
          <a:miter lim="800000"/>
          <a:headEnd/>
          <a:tailEnd/>
        </a:ln>
      </xdr:spPr>
    </xdr:pic>
    <xdr:clientData/>
  </xdr:twoCellAnchor>
  <xdr:twoCellAnchor editAs="oneCell">
    <xdr:from>
      <xdr:col>2</xdr:col>
      <xdr:colOff>1381125</xdr:colOff>
      <xdr:row>43</xdr:row>
      <xdr:rowOff>133350</xdr:rowOff>
    </xdr:from>
    <xdr:to>
      <xdr:col>7</xdr:col>
      <xdr:colOff>85725</xdr:colOff>
      <xdr:row>56</xdr:row>
      <xdr:rowOff>9525</xdr:rowOff>
    </xdr:to>
    <xdr:pic>
      <xdr:nvPicPr>
        <xdr:cNvPr id="1026" name="Picture 5"/>
        <xdr:cNvPicPr>
          <a:picLocks noChangeAspect="1"/>
        </xdr:cNvPicPr>
      </xdr:nvPicPr>
      <xdr:blipFill>
        <a:blip xmlns:r="http://schemas.openxmlformats.org/officeDocument/2006/relationships" r:embed="rId2" cstate="print"/>
        <a:srcRect/>
        <a:stretch>
          <a:fillRect/>
        </a:stretch>
      </xdr:blipFill>
      <xdr:spPr bwMode="auto">
        <a:xfrm>
          <a:off x="5810250" y="8743950"/>
          <a:ext cx="3571875" cy="1981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7"/>
  <sheetViews>
    <sheetView tabSelected="1" zoomScaleNormal="100" workbookViewId="0">
      <pane xSplit="1" ySplit="3" topLeftCell="B57" activePane="bottomRight" state="frozen"/>
      <selection activeCell="A2" sqref="A2"/>
      <selection pane="topRight" activeCell="A2" sqref="A2"/>
      <selection pane="bottomLeft" activeCell="A2" sqref="A2"/>
      <selection pane="bottomRight" activeCell="A67" sqref="A67:B67"/>
    </sheetView>
  </sheetViews>
  <sheetFormatPr defaultRowHeight="12.75" x14ac:dyDescent="0.2"/>
  <cols>
    <col min="1" max="1" width="51.5703125" style="40" customWidth="1"/>
    <col min="2" max="2" width="22.140625" style="41" customWidth="1"/>
    <col min="3" max="3" width="13.42578125" style="42" customWidth="1"/>
    <col min="4" max="4" width="16.85546875" style="1" customWidth="1"/>
    <col min="5" max="5" width="12.28515625" style="1" customWidth="1"/>
    <col min="6" max="6" width="13.5703125" style="1" customWidth="1"/>
    <col min="7" max="7" width="9.5703125" style="1" bestFit="1" customWidth="1"/>
    <col min="8" max="8" width="10.5703125" style="1" customWidth="1"/>
    <col min="9" max="16384" width="9.140625" style="1"/>
  </cols>
  <sheetData>
    <row r="1" spans="1:8" ht="24" customHeight="1" x14ac:dyDescent="0.2">
      <c r="A1" s="61" t="s">
        <v>0</v>
      </c>
      <c r="B1" s="61"/>
      <c r="C1" s="61"/>
      <c r="D1" s="61"/>
      <c r="E1" s="61"/>
      <c r="F1" s="61"/>
      <c r="G1" s="61"/>
      <c r="H1" s="61"/>
    </row>
    <row r="2" spans="1:8" x14ac:dyDescent="0.2">
      <c r="A2" s="60" t="s">
        <v>1</v>
      </c>
      <c r="B2" s="60"/>
      <c r="C2" s="60"/>
      <c r="D2" s="60"/>
      <c r="E2" s="60"/>
      <c r="F2" s="60"/>
      <c r="G2" s="60"/>
      <c r="H2" s="60"/>
    </row>
    <row r="3" spans="1:8" s="5" customFormat="1" ht="38.25" x14ac:dyDescent="0.2">
      <c r="A3" s="2" t="s">
        <v>2</v>
      </c>
      <c r="B3" s="3" t="s">
        <v>3</v>
      </c>
      <c r="C3" s="4" t="s">
        <v>4</v>
      </c>
      <c r="D3" s="2" t="s">
        <v>5</v>
      </c>
      <c r="E3" s="2" t="s">
        <v>6</v>
      </c>
      <c r="F3" s="2" t="s">
        <v>7</v>
      </c>
      <c r="G3" s="2" t="s">
        <v>8</v>
      </c>
      <c r="H3" s="2" t="s">
        <v>9</v>
      </c>
    </row>
    <row r="4" spans="1:8" s="13" customFormat="1" x14ac:dyDescent="0.2">
      <c r="A4" s="6" t="s">
        <v>10</v>
      </c>
      <c r="B4" s="7"/>
      <c r="C4" s="8"/>
      <c r="D4" s="9"/>
      <c r="E4" s="9"/>
      <c r="F4" s="10"/>
      <c r="G4" s="11"/>
      <c r="H4" s="12"/>
    </row>
    <row r="5" spans="1:8" s="13" customFormat="1" x14ac:dyDescent="0.2">
      <c r="A5" s="6" t="s">
        <v>11</v>
      </c>
      <c r="B5" s="7"/>
      <c r="C5" s="8"/>
      <c r="D5" s="9" t="s">
        <v>12</v>
      </c>
      <c r="E5" s="9" t="s">
        <v>12</v>
      </c>
      <c r="F5" s="14"/>
      <c r="G5" s="11"/>
      <c r="H5" s="12"/>
    </row>
    <row r="6" spans="1:8" s="13" customFormat="1" x14ac:dyDescent="0.2">
      <c r="A6" s="6"/>
      <c r="B6" s="7"/>
      <c r="C6" s="15"/>
      <c r="D6" s="14"/>
      <c r="E6" s="14"/>
      <c r="F6" s="14"/>
      <c r="G6" s="11"/>
      <c r="H6" s="12"/>
    </row>
    <row r="7" spans="1:8" s="13" customFormat="1" x14ac:dyDescent="0.2">
      <c r="A7" s="6" t="s">
        <v>13</v>
      </c>
      <c r="B7" s="7"/>
      <c r="C7" s="15"/>
      <c r="D7" s="9" t="s">
        <v>12</v>
      </c>
      <c r="E7" s="9" t="s">
        <v>12</v>
      </c>
      <c r="F7" s="10"/>
      <c r="G7" s="11"/>
      <c r="H7" s="12"/>
    </row>
    <row r="8" spans="1:8" s="13" customFormat="1" x14ac:dyDescent="0.2">
      <c r="A8" s="6"/>
      <c r="B8" s="7"/>
      <c r="C8" s="15"/>
      <c r="D8" s="9"/>
      <c r="E8" s="9"/>
      <c r="F8" s="9"/>
      <c r="G8" s="11"/>
      <c r="H8" s="12"/>
    </row>
    <row r="9" spans="1:8" s="13" customFormat="1" x14ac:dyDescent="0.2">
      <c r="A9" s="6" t="s">
        <v>14</v>
      </c>
      <c r="B9" s="7"/>
      <c r="C9" s="15"/>
      <c r="D9" s="9"/>
      <c r="E9" s="9"/>
      <c r="F9" s="9"/>
      <c r="G9" s="11"/>
      <c r="H9" s="12"/>
    </row>
    <row r="10" spans="1:8" s="13" customFormat="1" x14ac:dyDescent="0.2">
      <c r="A10" s="6"/>
      <c r="B10" s="7"/>
      <c r="C10" s="15"/>
      <c r="D10" s="16"/>
      <c r="E10" s="16"/>
      <c r="F10" s="17"/>
      <c r="G10" s="11"/>
      <c r="H10" s="12"/>
    </row>
    <row r="11" spans="1:8" s="13" customFormat="1" x14ac:dyDescent="0.2">
      <c r="A11" s="6" t="s">
        <v>15</v>
      </c>
      <c r="B11" s="7"/>
      <c r="C11" s="15"/>
      <c r="D11" s="9" t="s">
        <v>12</v>
      </c>
      <c r="E11" s="9" t="s">
        <v>12</v>
      </c>
      <c r="F11" s="9"/>
      <c r="G11" s="11"/>
      <c r="H11" s="12"/>
    </row>
    <row r="12" spans="1:8" s="13" customFormat="1" x14ac:dyDescent="0.2">
      <c r="A12" s="6"/>
      <c r="B12" s="7"/>
      <c r="C12" s="15"/>
      <c r="D12" s="9"/>
      <c r="E12" s="9"/>
      <c r="F12" s="9"/>
      <c r="G12" s="11"/>
      <c r="H12" s="12"/>
    </row>
    <row r="13" spans="1:8" s="13" customFormat="1" x14ac:dyDescent="0.2">
      <c r="A13" s="6" t="s">
        <v>16</v>
      </c>
      <c r="B13" s="7"/>
      <c r="C13" s="15"/>
      <c r="D13" s="9" t="s">
        <v>12</v>
      </c>
      <c r="E13" s="9" t="s">
        <v>12</v>
      </c>
      <c r="F13" s="9"/>
      <c r="G13" s="11"/>
      <c r="H13" s="12"/>
    </row>
    <row r="14" spans="1:8" s="13" customFormat="1" x14ac:dyDescent="0.2">
      <c r="A14" s="6"/>
      <c r="B14" s="7"/>
      <c r="C14" s="15"/>
      <c r="D14" s="9"/>
      <c r="E14" s="9"/>
      <c r="F14" s="9"/>
      <c r="G14" s="11"/>
      <c r="H14" s="12"/>
    </row>
    <row r="15" spans="1:8" s="13" customFormat="1" x14ac:dyDescent="0.2">
      <c r="A15" s="6" t="s">
        <v>17</v>
      </c>
      <c r="B15" s="7"/>
      <c r="C15" s="15"/>
      <c r="D15" s="9"/>
      <c r="E15" s="9"/>
      <c r="F15" s="9"/>
      <c r="G15" s="11"/>
      <c r="H15" s="12"/>
    </row>
    <row r="16" spans="1:8" s="13" customFormat="1" x14ac:dyDescent="0.2">
      <c r="A16" s="18" t="s">
        <v>18</v>
      </c>
      <c r="B16" s="19" t="s">
        <v>19</v>
      </c>
      <c r="C16" s="20">
        <v>800000</v>
      </c>
      <c r="D16" s="16">
        <v>804.58720000000005</v>
      </c>
      <c r="E16" s="16">
        <f>(+D16/$D$29*100)</f>
        <v>39.597646248423949</v>
      </c>
      <c r="F16" s="16" t="s">
        <v>20</v>
      </c>
      <c r="G16" s="11">
        <v>7.2266000000000004</v>
      </c>
      <c r="H16" s="12"/>
    </row>
    <row r="17" spans="1:8" s="13" customFormat="1" x14ac:dyDescent="0.2">
      <c r="A17" s="18" t="s">
        <v>21</v>
      </c>
      <c r="B17" s="19" t="s">
        <v>19</v>
      </c>
      <c r="C17" s="20">
        <v>500000</v>
      </c>
      <c r="D17" s="16">
        <v>497.64949999999999</v>
      </c>
      <c r="E17" s="16">
        <f>(+D17/$D$29*100)</f>
        <v>24.491750374235451</v>
      </c>
      <c r="F17" s="16" t="s">
        <v>22</v>
      </c>
      <c r="G17" s="11">
        <v>7.3269000000000002</v>
      </c>
      <c r="H17" s="12"/>
    </row>
    <row r="18" spans="1:8" s="13" customFormat="1" x14ac:dyDescent="0.2">
      <c r="A18" s="18" t="s">
        <v>23</v>
      </c>
      <c r="B18" s="19" t="s">
        <v>19</v>
      </c>
      <c r="C18" s="20">
        <v>500000</v>
      </c>
      <c r="D18" s="16">
        <v>472.99400000000003</v>
      </c>
      <c r="E18" s="16">
        <f>(+D18/$D$29*100)</f>
        <v>23.278333398327785</v>
      </c>
      <c r="F18" s="16" t="s">
        <v>24</v>
      </c>
      <c r="G18" s="11">
        <v>7.3678999999999997</v>
      </c>
      <c r="H18" s="12"/>
    </row>
    <row r="19" spans="1:8" s="13" customFormat="1" x14ac:dyDescent="0.2">
      <c r="A19" s="6" t="s">
        <v>25</v>
      </c>
      <c r="B19" s="7"/>
      <c r="C19" s="15"/>
      <c r="D19" s="9">
        <f>IF(ISERROR(SUM(D16:D18)),0,SUM(D16:D18))</f>
        <v>1775.2307000000001</v>
      </c>
      <c r="E19" s="9">
        <f>IF(ISERROR(SUM(E16:E18)),0,SUM(E16:E18))</f>
        <v>87.367730020987182</v>
      </c>
      <c r="F19" s="21"/>
      <c r="G19" s="11"/>
      <c r="H19" s="12"/>
    </row>
    <row r="20" spans="1:8" s="13" customFormat="1" x14ac:dyDescent="0.2">
      <c r="A20" s="6"/>
      <c r="B20" s="7"/>
      <c r="C20" s="15"/>
      <c r="D20" s="9"/>
      <c r="E20" s="9"/>
      <c r="F20" s="9"/>
      <c r="G20" s="11"/>
      <c r="H20" s="12"/>
    </row>
    <row r="21" spans="1:8" s="13" customFormat="1" x14ac:dyDescent="0.2">
      <c r="A21" s="6" t="s">
        <v>26</v>
      </c>
      <c r="B21" s="7"/>
      <c r="C21" s="15"/>
      <c r="D21" s="9"/>
      <c r="E21" s="9"/>
      <c r="F21" s="10"/>
      <c r="G21" s="11"/>
      <c r="H21" s="12"/>
    </row>
    <row r="22" spans="1:8" s="13" customFormat="1" x14ac:dyDescent="0.2">
      <c r="A22" s="18" t="s">
        <v>27</v>
      </c>
      <c r="B22" s="19"/>
      <c r="C22" s="20">
        <v>0</v>
      </c>
      <c r="D22" s="16">
        <v>168.96888659999999</v>
      </c>
      <c r="E22" s="16">
        <f>(+D22/$D$29*100)</f>
        <v>8.3157800653264946</v>
      </c>
      <c r="F22" s="16" t="s">
        <v>28</v>
      </c>
      <c r="G22" s="11">
        <v>6.4866999999999999</v>
      </c>
      <c r="H22" s="12"/>
    </row>
    <row r="23" spans="1:8" s="13" customFormat="1" x14ac:dyDescent="0.2">
      <c r="A23" s="6" t="s">
        <v>25</v>
      </c>
      <c r="B23" s="7"/>
      <c r="C23" s="15"/>
      <c r="D23" s="9">
        <f>IF(ISERROR(SUM(D22:D22)),0,SUM(D22:D22))</f>
        <v>168.96888659999999</v>
      </c>
      <c r="E23" s="9">
        <f>IF(ISERROR(SUM(E22:E22)),0,SUM(E22:E22))</f>
        <v>8.3157800653264946</v>
      </c>
      <c r="F23" s="16"/>
      <c r="G23" s="11"/>
      <c r="H23" s="12"/>
    </row>
    <row r="24" spans="1:8" s="13" customFormat="1" x14ac:dyDescent="0.2">
      <c r="A24" s="6"/>
      <c r="B24" s="7"/>
      <c r="C24" s="15"/>
      <c r="D24" s="9"/>
      <c r="E24" s="9"/>
      <c r="F24" s="10"/>
      <c r="G24" s="11"/>
      <c r="H24" s="12"/>
    </row>
    <row r="25" spans="1:8" s="13" customFormat="1" x14ac:dyDescent="0.2">
      <c r="A25" s="6" t="s">
        <v>29</v>
      </c>
      <c r="B25" s="7"/>
      <c r="C25" s="15" t="s">
        <v>30</v>
      </c>
      <c r="D25" s="9">
        <f>+IF(ISERROR(#REF!),0,#REF!)+IF(ISERROR(D23),0,D23)+IF(ISERROR(#REF!),0,#REF!)+IF(ISERROR(#REF!),0,#REF!)+IF(ISERROR(D19),0,D19)+IF(ISERROR(#REF!),0,#REF!)+IF(ISERROR(#REF!),0,#REF!)+IF(ISERROR(#REF!),0,#REF!)+IF(ISERROR(#REF!),0,#REF!)</f>
        <v>1944.1995866</v>
      </c>
      <c r="E25" s="9">
        <f>+IF(ISERROR(#REF!),0,#REF!)+IF(ISERROR(E23),0,E23)+IF(ISERROR(#REF!),0,#REF!)+IF(ISERROR(#REF!),0,#REF!)+IF(ISERROR(E19),0,E19)+IF(ISERROR(#REF!),0,#REF!)+IF(ISERROR(#REF!),0,#REF!)+IF(ISERROR(#REF!),0,#REF!)+IF(ISERROR(#REF!),0,#REF!)</f>
        <v>95.683510086313674</v>
      </c>
      <c r="F25" s="9">
        <f>+IF(ISERROR(#REF!),0,#REF!)+IF(ISERROR(F23),0,F23)+IF(ISERROR(#REF!),0,#REF!)+IF(ISERROR(#REF!),0,#REF!)+IF(ISERROR(#REF!),0,#REF!)+IF(ISERROR(#REF!),0,#REF!)+IF(ISERROR(#REF!),0,#REF!)</f>
        <v>0</v>
      </c>
      <c r="G25" s="11"/>
      <c r="H25" s="12"/>
    </row>
    <row r="26" spans="1:8" s="13" customFormat="1" x14ac:dyDescent="0.2">
      <c r="A26" s="6"/>
      <c r="B26" s="7"/>
      <c r="C26" s="15"/>
      <c r="D26" s="9"/>
      <c r="E26" s="9"/>
      <c r="F26" s="10"/>
      <c r="G26" s="49"/>
      <c r="H26" s="12"/>
    </row>
    <row r="27" spans="1:8" s="13" customFormat="1" x14ac:dyDescent="0.2">
      <c r="A27" s="6" t="s">
        <v>31</v>
      </c>
      <c r="B27" s="7"/>
      <c r="C27" s="15"/>
      <c r="D27" s="9">
        <f>+D29-D25</f>
        <v>87.707044799900132</v>
      </c>
      <c r="E27" s="9">
        <f>D27/$D$29*100</f>
        <v>4.3164899136863184</v>
      </c>
      <c r="F27" s="10"/>
      <c r="G27" s="49"/>
      <c r="H27" s="12"/>
    </row>
    <row r="28" spans="1:8" s="13" customFormat="1" x14ac:dyDescent="0.2">
      <c r="A28" s="6"/>
      <c r="B28" s="7"/>
      <c r="C28" s="15"/>
      <c r="D28" s="14"/>
      <c r="E28" s="14"/>
      <c r="F28" s="10"/>
      <c r="G28" s="49"/>
      <c r="H28" s="12"/>
    </row>
    <row r="29" spans="1:8" s="13" customFormat="1" x14ac:dyDescent="0.2">
      <c r="A29" s="6" t="s">
        <v>32</v>
      </c>
      <c r="B29" s="7"/>
      <c r="C29" s="15"/>
      <c r="D29" s="9">
        <v>2031.9066313999001</v>
      </c>
      <c r="E29" s="9">
        <f>+E25+E27</f>
        <v>100</v>
      </c>
      <c r="F29" s="10"/>
      <c r="G29" s="49"/>
      <c r="H29" s="12"/>
    </row>
    <row r="30" spans="1:8" s="13" customFormat="1" x14ac:dyDescent="0.2">
      <c r="A30" s="23"/>
      <c r="B30" s="24"/>
      <c r="C30" s="25"/>
      <c r="D30" s="26"/>
      <c r="E30" s="26"/>
      <c r="F30" s="22"/>
      <c r="H30" s="1"/>
    </row>
    <row r="31" spans="1:8" s="13" customFormat="1" x14ac:dyDescent="0.2">
      <c r="A31" s="27"/>
      <c r="B31" s="24"/>
      <c r="C31" s="25"/>
      <c r="D31" s="26"/>
      <c r="E31" s="26"/>
      <c r="F31" s="28"/>
      <c r="H31" s="1"/>
    </row>
    <row r="32" spans="1:8" ht="15" customHeight="1" x14ac:dyDescent="0.25">
      <c r="A32" s="59" t="s">
        <v>33</v>
      </c>
      <c r="B32" s="59"/>
      <c r="C32" s="59"/>
      <c r="D32" s="59"/>
      <c r="E32" s="59"/>
      <c r="F32" s="59"/>
      <c r="G32" s="59"/>
      <c r="H32" s="59"/>
    </row>
    <row r="33" spans="1:8" ht="30" customHeight="1" x14ac:dyDescent="0.2">
      <c r="A33" s="62" t="s">
        <v>34</v>
      </c>
      <c r="B33" s="62"/>
      <c r="C33" s="62"/>
      <c r="D33" s="62"/>
      <c r="E33" s="62"/>
      <c r="F33" s="62"/>
      <c r="G33" s="62"/>
      <c r="H33" s="62"/>
    </row>
    <row r="34" spans="1:8" ht="18.75" customHeight="1" x14ac:dyDescent="0.2">
      <c r="A34" s="62" t="s">
        <v>35</v>
      </c>
      <c r="B34" s="62"/>
      <c r="C34" s="62"/>
      <c r="D34" s="62"/>
      <c r="E34" s="62"/>
      <c r="F34" s="62"/>
      <c r="G34" s="62"/>
      <c r="H34" s="62"/>
    </row>
    <row r="35" spans="1:8" ht="68.25" customHeight="1" x14ac:dyDescent="0.2">
      <c r="A35" s="58" t="s">
        <v>36</v>
      </c>
      <c r="B35" s="58"/>
      <c r="C35" s="58"/>
      <c r="D35" s="58"/>
      <c r="E35" s="58"/>
      <c r="F35" s="58"/>
      <c r="G35" s="58"/>
      <c r="H35" s="58"/>
    </row>
    <row r="36" spans="1:8" x14ac:dyDescent="0.2">
      <c r="A36" s="29"/>
      <c r="B36" s="30"/>
      <c r="C36" s="31"/>
      <c r="D36" s="32"/>
      <c r="E36" s="33"/>
      <c r="F36" s="34"/>
      <c r="G36" s="22"/>
      <c r="H36" s="22"/>
    </row>
    <row r="37" spans="1:8" ht="14.25" x14ac:dyDescent="0.2">
      <c r="A37" s="35" t="s">
        <v>37</v>
      </c>
      <c r="B37" s="36"/>
      <c r="C37" s="36"/>
      <c r="D37" s="36"/>
      <c r="E37" s="34"/>
      <c r="F37" s="34"/>
      <c r="G37" s="22"/>
      <c r="H37" s="22"/>
    </row>
    <row r="38" spans="1:8" ht="15" x14ac:dyDescent="0.25">
      <c r="A38" s="37" t="s">
        <v>38</v>
      </c>
      <c r="B38" s="36"/>
      <c r="C38" s="36"/>
      <c r="E38" s="34"/>
      <c r="F38" s="34"/>
      <c r="G38" s="22"/>
      <c r="H38" s="22"/>
    </row>
    <row r="39" spans="1:8" ht="15" x14ac:dyDescent="0.25">
      <c r="A39" s="37" t="s">
        <v>39</v>
      </c>
      <c r="B39" s="36"/>
      <c r="C39" s="36"/>
      <c r="D39" s="36"/>
      <c r="E39" s="38"/>
      <c r="F39" s="38"/>
    </row>
    <row r="40" spans="1:8" ht="15" x14ac:dyDescent="0.25">
      <c r="A40" s="37" t="s">
        <v>40</v>
      </c>
      <c r="B40" s="36"/>
      <c r="C40" s="36"/>
      <c r="D40" s="36"/>
      <c r="E40" s="38"/>
      <c r="F40" s="38"/>
    </row>
    <row r="41" spans="1:8" ht="15" x14ac:dyDescent="0.25">
      <c r="A41" s="37"/>
      <c r="B41" s="36"/>
      <c r="C41" s="36"/>
      <c r="D41" s="36"/>
      <c r="E41" s="38"/>
      <c r="F41" s="38"/>
    </row>
    <row r="42" spans="1:8" ht="14.25" x14ac:dyDescent="0.2">
      <c r="A42" s="35" t="s">
        <v>41</v>
      </c>
      <c r="B42" s="36"/>
      <c r="C42" s="36"/>
      <c r="D42" s="39" t="s">
        <v>42</v>
      </c>
      <c r="E42" s="38"/>
      <c r="F42" s="38"/>
    </row>
    <row r="58" spans="1:4" ht="13.5" thickBot="1" x14ac:dyDescent="0.25"/>
    <row r="59" spans="1:4" ht="13.5" thickBot="1" x14ac:dyDescent="0.25">
      <c r="A59" s="51" t="s">
        <v>43</v>
      </c>
      <c r="B59" s="52"/>
      <c r="C59" s="52"/>
      <c r="D59" s="53"/>
    </row>
    <row r="60" spans="1:4" ht="13.5" thickBot="1" x14ac:dyDescent="0.25">
      <c r="A60" s="43" t="s">
        <v>44</v>
      </c>
      <c r="B60" s="54" t="s">
        <v>45</v>
      </c>
      <c r="C60" s="56" t="s">
        <v>46</v>
      </c>
      <c r="D60" s="54" t="s">
        <v>47</v>
      </c>
    </row>
    <row r="61" spans="1:4" ht="13.5" thickBot="1" x14ac:dyDescent="0.25">
      <c r="A61" s="43" t="s">
        <v>48</v>
      </c>
      <c r="B61" s="55"/>
      <c r="C61" s="57"/>
      <c r="D61" s="55"/>
    </row>
    <row r="62" spans="1:4" ht="15.75" thickBot="1" x14ac:dyDescent="0.25">
      <c r="A62" s="44" t="s">
        <v>49</v>
      </c>
      <c r="B62" s="45"/>
      <c r="C62" s="45"/>
      <c r="D62" s="45"/>
    </row>
    <row r="63" spans="1:4" ht="15.75" thickBot="1" x14ac:dyDescent="0.25">
      <c r="A63" s="44" t="s">
        <v>50</v>
      </c>
      <c r="B63" s="45"/>
      <c r="C63" s="45"/>
      <c r="D63" s="45"/>
    </row>
    <row r="64" spans="1:4" ht="15.75" thickBot="1" x14ac:dyDescent="0.25">
      <c r="A64" s="44" t="s">
        <v>51</v>
      </c>
      <c r="B64" s="45"/>
      <c r="C64" s="46" t="s">
        <v>52</v>
      </c>
      <c r="D64" s="45"/>
    </row>
    <row r="67" spans="1:2" x14ac:dyDescent="0.2">
      <c r="A67" s="63" t="s">
        <v>62</v>
      </c>
      <c r="B67" s="64"/>
    </row>
    <row r="68" spans="1:2" ht="25.5" x14ac:dyDescent="0.2">
      <c r="A68" s="47" t="s">
        <v>53</v>
      </c>
      <c r="B68" s="48" t="s">
        <v>54</v>
      </c>
    </row>
    <row r="69" spans="1:2" x14ac:dyDescent="0.2">
      <c r="A69" s="47" t="s">
        <v>55</v>
      </c>
      <c r="B69" s="48"/>
    </row>
    <row r="70" spans="1:2" x14ac:dyDescent="0.2">
      <c r="A70" s="47"/>
      <c r="B70" s="48" t="s">
        <v>30</v>
      </c>
    </row>
    <row r="71" spans="1:2" x14ac:dyDescent="0.2">
      <c r="A71" s="47" t="s">
        <v>56</v>
      </c>
      <c r="B71" s="50">
        <v>7.321217998153724</v>
      </c>
    </row>
    <row r="72" spans="1:2" x14ac:dyDescent="0.2">
      <c r="A72" s="47" t="s">
        <v>30</v>
      </c>
      <c r="B72" s="48" t="s">
        <v>30</v>
      </c>
    </row>
    <row r="73" spans="1:2" x14ac:dyDescent="0.2">
      <c r="A73" s="47" t="s">
        <v>57</v>
      </c>
      <c r="B73" s="48">
        <v>4.8845000000000001</v>
      </c>
    </row>
    <row r="74" spans="1:2" x14ac:dyDescent="0.2">
      <c r="A74" s="47" t="s">
        <v>58</v>
      </c>
      <c r="B74" s="48">
        <v>6.3735999999999997</v>
      </c>
    </row>
    <row r="75" spans="1:2" x14ac:dyDescent="0.2">
      <c r="A75" s="47" t="s">
        <v>30</v>
      </c>
      <c r="B75" s="48" t="s">
        <v>30</v>
      </c>
    </row>
    <row r="76" spans="1:2" x14ac:dyDescent="0.2">
      <c r="A76" s="47" t="s">
        <v>59</v>
      </c>
      <c r="B76" s="48" t="s">
        <v>60</v>
      </c>
    </row>
    <row r="77" spans="1:2" x14ac:dyDescent="0.2">
      <c r="A77" s="47" t="s">
        <v>61</v>
      </c>
      <c r="B77" s="48"/>
    </row>
  </sheetData>
  <mergeCells count="11">
    <mergeCell ref="A67:B67"/>
    <mergeCell ref="A32:H32"/>
    <mergeCell ref="A2:H2"/>
    <mergeCell ref="A1:H1"/>
    <mergeCell ref="A33:H33"/>
    <mergeCell ref="A34:H34"/>
    <mergeCell ref="A59:D59"/>
    <mergeCell ref="B60:B61"/>
    <mergeCell ref="C60:C61"/>
    <mergeCell ref="D60:D61"/>
    <mergeCell ref="A35:H35"/>
  </mergeCells>
  <phoneticPr fontId="0" type="noConversion"/>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IF</vt:lpstr>
      <vt:lpstr>IF!Print_Area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2023-01-03T07:19:15Z</dcterms:created>
  <dcterms:modified xsi:type="dcterms:W3CDTF">2023-01-04T10:13:22Z</dcterms:modified>
</cp:coreProperties>
</file>