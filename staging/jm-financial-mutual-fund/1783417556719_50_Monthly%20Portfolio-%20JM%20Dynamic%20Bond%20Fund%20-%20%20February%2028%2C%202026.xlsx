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Feb 2026\Monthly\Monthly\"/>
    </mc:Choice>
  </mc:AlternateContent>
  <xr:revisionPtr revIDLastSave="0" documentId="13_ncr:1_{986B4733-B39B-4332-ACED-805C992658AD}" xr6:coauthVersionLast="47" xr6:coauthVersionMax="47" xr10:uidLastSave="{00000000-0000-0000-0000-000000000000}"/>
  <bookViews>
    <workbookView xWindow="-120" yWindow="-120" windowWidth="20730" windowHeight="11040" xr2:uid="{00000000-000D-0000-FFFF-FFFF00000000}"/>
  </bookViews>
  <sheets>
    <sheet name="JM Dynamic Bond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5" i="1" l="1"/>
  <c r="E36" i="1" s="1"/>
  <c r="E28" i="1"/>
  <c r="E29" i="1" s="1"/>
  <c r="F35" i="1"/>
  <c r="F36" i="1" s="1"/>
  <c r="F29" i="1"/>
</calcChain>
</file>

<file path=xl/sharedStrings.xml><?xml version="1.0" encoding="utf-8"?>
<sst xmlns="http://schemas.openxmlformats.org/spreadsheetml/2006/main" count="167" uniqueCount="141">
  <si>
    <t>JM Financial Mutual Fund</t>
  </si>
  <si>
    <t>JM Dynamic Bond Fund (An open ended dynamic debt scheme investing across duration. A relatively high interest rate risk and moderate credit risk.)</t>
  </si>
  <si>
    <t>ISIN</t>
  </si>
  <si>
    <t>DEBT INSTRUMENTS</t>
  </si>
  <si>
    <t>(a) Listed / awaiting listing on Stock Exchanges</t>
  </si>
  <si>
    <t>CARE AAA</t>
  </si>
  <si>
    <t>Sub Total</t>
  </si>
  <si>
    <t>(b) Privately placed / Unlisted</t>
  </si>
  <si>
    <t>NIL</t>
  </si>
  <si>
    <t>(c) Securitized Debt Instruments</t>
  </si>
  <si>
    <t>(d) Government Securities / SDL</t>
  </si>
  <si>
    <t>SOVEREIGN</t>
  </si>
  <si>
    <t>Total</t>
  </si>
  <si>
    <t>MONEY MARKET INSTRUMENTS</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</si>
  <si>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</si>
  <si>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</si>
  <si>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</si>
  <si>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</si>
  <si>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</si>
  <si>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</si>
  <si>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</si>
  <si>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</si>
  <si>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</si>
  <si>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</si>
  <si>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</si>
  <si>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</si>
  <si>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</si>
  <si>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CRISIL Dynamic Bond A-III Index</t>
  </si>
  <si>
    <t>The risk of the scheme is Moderate</t>
  </si>
  <si>
    <t xml:space="preserve">  The risk of the benchmark is Moderate</t>
  </si>
  <si>
    <t>Potential Risk Class</t>
  </si>
  <si>
    <t>Relatively Low (Class A)</t>
  </si>
  <si>
    <t>Moderate (Class B)</t>
  </si>
  <si>
    <t>Relatively High (Class C)</t>
  </si>
  <si>
    <t>Relatively Low (Class I)</t>
  </si>
  <si>
    <t>Moderate (Class II)</t>
  </si>
  <si>
    <t>Relatively High Class (Class III)</t>
  </si>
  <si>
    <t>B-III</t>
  </si>
  <si>
    <t>Portfolio Information</t>
  </si>
  <si>
    <t>Scheme Name :</t>
  </si>
  <si>
    <t xml:space="preserve"> JM Dynamic Bond Fund</t>
  </si>
  <si>
    <t>Description (if any)</t>
  </si>
  <si>
    <t>Annualised Portfolio YTM* : (Regular &amp; Direct)</t>
  </si>
  <si>
    <t xml:space="preserve"> </t>
  </si>
  <si>
    <t>Macaulay Duration ( Years )</t>
  </si>
  <si>
    <t xml:space="preserve">As on (Date) </t>
  </si>
  <si>
    <t xml:space="preserve">* in case of semi annual YTM,  it will be annualised </t>
  </si>
  <si>
    <r>
      <t xml:space="preserve">Credit Risk </t>
    </r>
    <r>
      <rPr>
        <sz val="8"/>
        <color indexed="8"/>
        <rFont val="Century Gothic"/>
        <family val="2"/>
      </rPr>
      <t>®</t>
    </r>
  </si>
  <si>
    <r>
      <t xml:space="preserve">Interest Rate Risk </t>
    </r>
    <r>
      <rPr>
        <sz val="8"/>
        <color indexed="8"/>
        <rFont val="Century Gothic"/>
        <family val="2"/>
      </rPr>
      <t>¯</t>
    </r>
  </si>
  <si>
    <t>Name of Instrument</t>
  </si>
  <si>
    <t>Rating/Industry</t>
  </si>
  <si>
    <t>Market Value (In Rs. lakh)</t>
  </si>
  <si>
    <t>% To Net Assets</t>
  </si>
  <si>
    <t>Maturity Date</t>
  </si>
  <si>
    <t>Put/Call Option</t>
  </si>
  <si>
    <t>Yield</t>
  </si>
  <si>
    <t>Non Convertible Debentures / Bonds</t>
  </si>
  <si>
    <t>**  Non Traded Security</t>
  </si>
  <si>
    <t>CRISIL AAA</t>
  </si>
  <si>
    <t>INE261F08EO7</t>
  </si>
  <si>
    <t>15-SEP-2028</t>
  </si>
  <si>
    <t>INE115A07RB7</t>
  </si>
  <si>
    <t>19-JAN-2035</t>
  </si>
  <si>
    <t>INE020B08CP7</t>
  </si>
  <si>
    <t>7.5% REC Limited 28-FEB-2030**</t>
  </si>
  <si>
    <t>28-FEB-2030</t>
  </si>
  <si>
    <t>INE414G07JO1</t>
  </si>
  <si>
    <t>CRISIL AA+</t>
  </si>
  <si>
    <t>26-MAY-2028</t>
  </si>
  <si>
    <t>INE733E08288</t>
  </si>
  <si>
    <t>6.89% NTPC Limited 18-JUN-2035**</t>
  </si>
  <si>
    <t>18-JUN-2035</t>
  </si>
  <si>
    <t>8.52% Muthoot Finance Limited 26-MAY-2028**</t>
  </si>
  <si>
    <t>INE377Y07573</t>
  </si>
  <si>
    <t>7.08% Bajaj Housing Finance Ltd 12-JUN-2030**</t>
  </si>
  <si>
    <t>12-JUN-2030</t>
  </si>
  <si>
    <t>7.58% LIC Housing Finance Limited 19-JAN-2035**</t>
  </si>
  <si>
    <t>INE296A07SC1</t>
  </si>
  <si>
    <t>7.6% Bajaj Finance Limited 25-AUG-2027**</t>
  </si>
  <si>
    <t>25-AUG-2027</t>
  </si>
  <si>
    <t>INF0RQ622028</t>
  </si>
  <si>
    <t>IN0020250091</t>
  </si>
  <si>
    <t>6.48% GOI 06-Oct-2035</t>
  </si>
  <si>
    <t>06-OCT-2035</t>
  </si>
  <si>
    <t>IN0020250067</t>
  </si>
  <si>
    <t>6.01% GOI 21-Jul-2030</t>
  </si>
  <si>
    <t>21-JUL-2030</t>
  </si>
  <si>
    <t>^YTC (AT1/Tier 2 bonds)</t>
  </si>
  <si>
    <t xml:space="preserve">   Riskometer of the scheme </t>
  </si>
  <si>
    <t>Average Maturity ( Years )</t>
  </si>
  <si>
    <t>Scheme performance</t>
  </si>
  <si>
    <t>https://www.jmfinancialmf.com/products/Fixed-Income/JM-Dynamic-Bond-Fund/J72/Regular-Plan-Growth-Option</t>
  </si>
  <si>
    <t>https://www.jmfinancialmf.com/products/Fixed-Income/JM-Dynamic-Bond-Fund/J466/Direct-Plan-Growth-Option</t>
  </si>
  <si>
    <t>Regular Plan</t>
  </si>
  <si>
    <t>Direct Plan</t>
  </si>
  <si>
    <t>Quantity</t>
  </si>
  <si>
    <t>IN0020230085</t>
  </si>
  <si>
    <t>7.18% GOI - 14-Aug-2033</t>
  </si>
  <si>
    <t>14-AUG-2033</t>
  </si>
  <si>
    <t>7.48% NABARD 15-SEP-2028</t>
  </si>
  <si>
    <t>INE296A07SI8</t>
  </si>
  <si>
    <t>13-APR-2028</t>
  </si>
  <si>
    <t>IN0020250026</t>
  </si>
  <si>
    <t>6.33% GOI 05-May-2035</t>
  </si>
  <si>
    <t>05-MAY-2035</t>
  </si>
  <si>
    <t>Alternative Investment Fund Units</t>
  </si>
  <si>
    <t>Corporate Debt Market Development Fund - Class A2 Units</t>
  </si>
  <si>
    <t>7.9% Bajaj Finance Limited 13-APR-2028**</t>
  </si>
  <si>
    <t>IN0020240076</t>
  </si>
  <si>
    <t>7.02% GOI 18-JUN-2031</t>
  </si>
  <si>
    <t>18-JUN-2031</t>
  </si>
  <si>
    <t>Certificate of Deposits</t>
  </si>
  <si>
    <t>INE562A16OI3</t>
  </si>
  <si>
    <t>CRISIL A1+</t>
  </si>
  <si>
    <t>12-MAR-2026</t>
  </si>
  <si>
    <t>6.63%</t>
  </si>
  <si>
    <t>7.55%</t>
  </si>
  <si>
    <t>7.16%</t>
  </si>
  <si>
    <t>7.84%</t>
  </si>
  <si>
    <t>7.06%</t>
  </si>
  <si>
    <t>7.33%</t>
  </si>
  <si>
    <t>7.42%</t>
  </si>
  <si>
    <t>7.29%</t>
  </si>
  <si>
    <t>6.66%</t>
  </si>
  <si>
    <t>6.24%</t>
  </si>
  <si>
    <t>IN0020250141</t>
  </si>
  <si>
    <t>6.36% GOI 16-Feb-2031</t>
  </si>
  <si>
    <t>16-FEB-2031</t>
  </si>
  <si>
    <t>6.29%</t>
  </si>
  <si>
    <t>6.38%</t>
  </si>
  <si>
    <t>Indian Bank 12-MAR-2026#</t>
  </si>
  <si>
    <t>5.55%</t>
  </si>
  <si>
    <t>INE040A16IN2</t>
  </si>
  <si>
    <t>HDFC Bank Limited 07-MAY-2026**#</t>
  </si>
  <si>
    <t>CARE A1+</t>
  </si>
  <si>
    <t>07-MAY-2026</t>
  </si>
  <si>
    <t>7.25%</t>
  </si>
  <si>
    <t>02-MAR-2026</t>
  </si>
  <si>
    <t>Note - Traded Securities (Debt) as on February 27, 2026</t>
  </si>
  <si>
    <t>28.02.2026</t>
  </si>
  <si>
    <t>Monthly  Portfolio Statement for the period ended 28.02.2026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</si>
</sst>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_);_(* \(#,##0\);_(* &quot;-&quot;??_);_(@_)"/>
    <numFmt numFmtId="165" formatCode="0.0000"/>
    <numFmt numFmtId="166" formatCode="#,##0.00;\(#,##0.00\)"/>
    <numFmt numFmtId="167" formatCode="0.00\%"/>
    <numFmt numFmtId="168" formatCode="#,##0.00%"/>
    <numFmt numFmtId="169" formatCode="#,##0%"/>
  </numFmts>
  <fonts count="22"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sz val="8"/>
      <color theme="1"/>
      <name val="Century Gothic"/>
      <family val="2"/>
    </font>
    <font>
      <u/>
      <sz val="11"/>
      <color theme="10"/>
      <name val="Calibri"/>
      <family val="2"/>
      <scheme val="minor"/>
    </font>
    <font>
      <sz val="8"/>
      <color indexed="72"/>
      <name val="Century Gothic"/>
      <family val="2"/>
    </font>
    <font>
      <b/>
      <sz val="8"/>
      <color theme="1" tint="4.9989318521683403E-2"/>
      <name val="Century Gothic"/>
      <family val="2"/>
    </font>
    <font>
      <b/>
      <sz val="8"/>
      <color theme="1"/>
      <name val="Century Gothic"/>
      <family val="2"/>
    </font>
    <font>
      <b/>
      <sz val="8"/>
      <color theme="4"/>
      <name val="Century Gothic"/>
      <family val="2"/>
    </font>
    <font>
      <b/>
      <u/>
      <sz val="8"/>
      <color theme="10"/>
      <name val="Century Gothic"/>
      <family val="2"/>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s>
  <borders count="12">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0" fontId="7" fillId="0" borderId="0"/>
    <xf numFmtId="0" fontId="12" fillId="0" borderId="0" applyNumberFormat="0" applyFill="0" applyBorder="0" applyProtection="0"/>
    <xf numFmtId="0" fontId="16" fillId="0" borderId="0" applyNumberFormat="0" applyFill="0" applyBorder="0" applyAlignment="0" applyProtection="0"/>
  </cellStyleXfs>
  <cellXfs count="122">
    <xf numFmtId="0" fontId="0" fillId="0" borderId="0" xfId="0"/>
    <xf numFmtId="0" fontId="4" fillId="0" borderId="0" xfId="0" applyFont="1"/>
    <xf numFmtId="0" fontId="5" fillId="0" borderId="0" xfId="0" applyFont="1" applyAlignment="1">
      <alignment horizontal="left" wrapText="1"/>
    </xf>
    <xf numFmtId="43" fontId="5" fillId="0" borderId="0" xfId="1" applyFont="1" applyFill="1" applyBorder="1" applyAlignment="1">
      <alignment horizontal="right"/>
    </xf>
    <xf numFmtId="0" fontId="6" fillId="0" borderId="0" xfId="0" applyFont="1"/>
    <xf numFmtId="0" fontId="6" fillId="0" borderId="0" xfId="3" applyFont="1" applyAlignment="1">
      <alignment wrapText="1"/>
    </xf>
    <xf numFmtId="0" fontId="8" fillId="0" borderId="0" xfId="5" applyFont="1"/>
    <xf numFmtId="164" fontId="5" fillId="0" borderId="0" xfId="1" applyNumberFormat="1" applyFont="1" applyFill="1" applyBorder="1" applyAlignment="1">
      <alignment horizontal="right"/>
    </xf>
    <xf numFmtId="0" fontId="6" fillId="0" borderId="0" xfId="0" applyFont="1" applyAlignment="1">
      <alignment horizontal="right"/>
    </xf>
    <xf numFmtId="0" fontId="10" fillId="0" borderId="0" xfId="8" applyFont="1"/>
    <xf numFmtId="0" fontId="11" fillId="0" borderId="0" xfId="3" applyFont="1" applyAlignment="1">
      <alignment horizontal="left" wrapText="1"/>
    </xf>
    <xf numFmtId="0" fontId="6" fillId="0" borderId="0" xfId="3" applyFont="1"/>
    <xf numFmtId="43" fontId="6" fillId="0" borderId="0" xfId="1" applyFont="1" applyFill="1" applyBorder="1" applyAlignment="1">
      <alignment horizontal="right"/>
    </xf>
    <xf numFmtId="0" fontId="8" fillId="0" borderId="0" xfId="8" applyFont="1"/>
    <xf numFmtId="0" fontId="10" fillId="0" borderId="0" xfId="5" applyFont="1"/>
    <xf numFmtId="0" fontId="5" fillId="0" borderId="0" xfId="3"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0" borderId="8" xfId="3" applyFont="1" applyBorder="1" applyAlignment="1">
      <alignment vertical="center" wrapText="1"/>
    </xf>
    <xf numFmtId="0" fontId="8" fillId="3" borderId="8" xfId="3" applyFont="1" applyFill="1" applyBorder="1" applyAlignment="1">
      <alignment horizontal="center" vertical="center" wrapText="1"/>
    </xf>
    <xf numFmtId="0" fontId="6" fillId="0" borderId="0" xfId="3" applyFont="1" applyAlignment="1">
      <alignment horizontal="left" wrapText="1"/>
    </xf>
    <xf numFmtId="164" fontId="6" fillId="0" borderId="0" xfId="1" applyNumberFormat="1" applyFont="1"/>
    <xf numFmtId="0" fontId="4" fillId="0" borderId="0" xfId="0" applyFont="1" applyAlignment="1">
      <alignment wrapText="1"/>
    </xf>
    <xf numFmtId="0" fontId="4" fillId="0" borderId="0" xfId="0" applyFont="1" applyAlignment="1">
      <alignment horizontal="left" wrapText="1"/>
    </xf>
    <xf numFmtId="164" fontId="4" fillId="0" borderId="0" xfId="1" applyNumberFormat="1" applyFont="1"/>
    <xf numFmtId="0" fontId="6" fillId="0" borderId="2" xfId="3" applyFont="1" applyBorder="1" applyAlignment="1">
      <alignment wrapText="1"/>
    </xf>
    <xf numFmtId="0" fontId="6" fillId="0" borderId="2" xfId="3" applyFont="1" applyBorder="1" applyAlignment="1">
      <alignment horizontal="center" vertical="center" wrapText="1"/>
    </xf>
    <xf numFmtId="0" fontId="6" fillId="0" borderId="2" xfId="3" applyFont="1" applyBorder="1" applyAlignment="1">
      <alignment horizontal="left" wrapText="1"/>
    </xf>
    <xf numFmtId="0" fontId="6" fillId="0" borderId="10" xfId="3" applyFont="1" applyBorder="1" applyAlignment="1">
      <alignment horizontal="left" wrapText="1"/>
    </xf>
    <xf numFmtId="0" fontId="6" fillId="0" borderId="9" xfId="3" applyFont="1" applyBorder="1" applyAlignment="1">
      <alignment horizontal="left" wrapText="1"/>
    </xf>
    <xf numFmtId="0" fontId="5" fillId="0" borderId="0" xfId="3" applyFont="1" applyAlignment="1">
      <alignment horizontal="center" wrapText="1"/>
    </xf>
    <xf numFmtId="0" fontId="13" fillId="4" borderId="0" xfId="0"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6" fillId="0" borderId="0" xfId="0" applyFont="1" applyAlignment="1">
      <alignment wrapText="1"/>
    </xf>
    <xf numFmtId="0" fontId="15" fillId="0" borderId="0" xfId="0" applyFont="1"/>
    <xf numFmtId="0" fontId="14" fillId="0" borderId="0" xfId="0" applyFont="1" applyAlignment="1">
      <alignment horizontal="left" vertical="top"/>
    </xf>
    <xf numFmtId="0" fontId="6" fillId="0" borderId="0" xfId="0" applyFont="1" applyAlignment="1">
      <alignment horizontal="left" wrapText="1"/>
    </xf>
    <xf numFmtId="10" fontId="6" fillId="0" borderId="2" xfId="2" applyNumberFormat="1" applyFont="1" applyFill="1" applyBorder="1" applyAlignment="1">
      <alignment horizontal="center" wrapText="1"/>
    </xf>
    <xf numFmtId="165" fontId="6" fillId="0" borderId="2" xfId="3" applyNumberFormat="1" applyFont="1" applyBorder="1" applyAlignment="1">
      <alignment horizontal="center" wrapText="1"/>
    </xf>
    <xf numFmtId="14" fontId="6" fillId="0" borderId="2" xfId="3" applyNumberFormat="1" applyFont="1" applyBorder="1" applyAlignment="1">
      <alignment horizontal="center" wrapText="1"/>
    </xf>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center"/>
    </xf>
    <xf numFmtId="164"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4" fillId="0" borderId="0" xfId="0" applyFont="1" applyAlignment="1">
      <alignment horizontal="center"/>
    </xf>
    <xf numFmtId="0" fontId="8" fillId="0" borderId="2" xfId="0" applyFont="1" applyBorder="1"/>
    <xf numFmtId="0" fontId="14"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17" fillId="0" borderId="2" xfId="0" applyFont="1" applyBorder="1" applyAlignment="1">
      <alignment horizontal="right" vertical="top"/>
    </xf>
    <xf numFmtId="0" fontId="17" fillId="0" borderId="2" xfId="0" applyFont="1" applyBorder="1" applyAlignment="1">
      <alignment horizontal="left" vertical="top"/>
    </xf>
    <xf numFmtId="4" fontId="17"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17" fillId="0" borderId="2" xfId="0" applyNumberFormat="1" applyFont="1" applyBorder="1" applyAlignment="1">
      <alignment horizontal="right" vertical="top"/>
    </xf>
    <xf numFmtId="168" fontId="17" fillId="0" borderId="2" xfId="0" applyNumberFormat="1" applyFont="1" applyBorder="1" applyAlignment="1">
      <alignment horizontal="right" vertical="top"/>
    </xf>
    <xf numFmtId="4" fontId="8" fillId="0" borderId="2" xfId="0" applyNumberFormat="1" applyFont="1" applyBorder="1"/>
    <xf numFmtId="4" fontId="14"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17" fillId="0" borderId="2" xfId="0" applyFont="1" applyBorder="1" applyAlignment="1">
      <alignment horizontal="left" vertical="top" wrapText="1"/>
    </xf>
    <xf numFmtId="0" fontId="17" fillId="0" borderId="2" xfId="0" applyFont="1" applyBorder="1" applyAlignment="1">
      <alignment horizontal="right" vertical="top" wrapText="1"/>
    </xf>
    <xf numFmtId="168" fontId="17"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6" fontId="17" fillId="0" borderId="2" xfId="0" applyNumberFormat="1" applyFont="1" applyBorder="1" applyAlignment="1">
      <alignment horizontal="right" vertical="top" wrapText="1"/>
    </xf>
    <xf numFmtId="167" fontId="17"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17" fillId="0" borderId="2" xfId="0" applyNumberFormat="1" applyFont="1" applyBorder="1" applyAlignment="1">
      <alignment horizontal="right" vertical="top"/>
    </xf>
    <xf numFmtId="10" fontId="17" fillId="0" borderId="2" xfId="2" applyNumberFormat="1" applyFont="1" applyBorder="1" applyAlignment="1">
      <alignment horizontal="right" vertical="top"/>
    </xf>
    <xf numFmtId="0" fontId="6" fillId="0" borderId="11" xfId="0" applyFont="1" applyBorder="1" applyAlignment="1">
      <alignment horizontal="right"/>
    </xf>
    <xf numFmtId="169" fontId="6"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0" fontId="15" fillId="0" borderId="2" xfId="0" applyFont="1" applyBorder="1"/>
    <xf numFmtId="4" fontId="18" fillId="0" borderId="2" xfId="0" applyNumberFormat="1" applyFont="1" applyBorder="1"/>
    <xf numFmtId="0" fontId="15" fillId="0" borderId="2" xfId="0" applyFont="1" applyBorder="1" applyAlignment="1">
      <alignment horizontal="right"/>
    </xf>
    <xf numFmtId="0" fontId="5" fillId="0" borderId="0" xfId="0" applyFont="1" applyAlignment="1">
      <alignment wrapText="1"/>
    </xf>
    <xf numFmtId="4" fontId="10" fillId="0" borderId="0" xfId="0" applyNumberFormat="1" applyFont="1"/>
    <xf numFmtId="168" fontId="5" fillId="0" borderId="0" xfId="0" applyNumberFormat="1" applyFont="1" applyAlignment="1">
      <alignment horizontal="right" vertical="top"/>
    </xf>
    <xf numFmtId="0" fontId="15" fillId="0" borderId="0" xfId="0" applyFont="1" applyAlignment="1">
      <alignment horizontal="right"/>
    </xf>
    <xf numFmtId="0" fontId="17" fillId="0" borderId="0" xfId="0" applyFont="1" applyAlignment="1">
      <alignment horizontal="right" vertical="top"/>
    </xf>
    <xf numFmtId="0" fontId="19" fillId="0" borderId="0" xfId="0" applyFont="1" applyAlignment="1">
      <alignment wrapText="1"/>
    </xf>
    <xf numFmtId="0" fontId="20" fillId="0" borderId="0" xfId="0" applyFont="1" applyAlignment="1">
      <alignment horizontal="left" wrapText="1"/>
    </xf>
    <xf numFmtId="164" fontId="20" fillId="0" borderId="0" xfId="1" applyNumberFormat="1" applyFont="1"/>
    <xf numFmtId="0" fontId="21" fillId="0" borderId="0" xfId="10" applyFont="1" applyAlignment="1"/>
    <xf numFmtId="0" fontId="20" fillId="0" borderId="0" xfId="0" applyFont="1"/>
    <xf numFmtId="10" fontId="14" fillId="0" borderId="2" xfId="2" applyNumberFormat="1" applyFont="1" applyBorder="1" applyAlignment="1">
      <alignment horizontal="right" vertical="top"/>
    </xf>
    <xf numFmtId="10" fontId="10" fillId="0" borderId="2" xfId="2" applyNumberFormat="1" applyFont="1" applyBorder="1" applyAlignment="1">
      <alignment horizontal="right" vertical="top"/>
    </xf>
    <xf numFmtId="2" fontId="6" fillId="0" borderId="2" xfId="3" applyNumberFormat="1" applyFont="1" applyBorder="1" applyAlignment="1">
      <alignment horizontal="center"/>
    </xf>
    <xf numFmtId="0" fontId="8" fillId="0" borderId="0" xfId="7" applyFont="1" applyAlignment="1">
      <alignment horizontal="left" vertical="top" wrapText="1"/>
    </xf>
    <xf numFmtId="0" fontId="6" fillId="0" borderId="0" xfId="3" applyFont="1" applyAlignment="1">
      <alignment horizontal="left" vertical="top" wrapText="1"/>
    </xf>
    <xf numFmtId="0" fontId="6"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9" fillId="0" borderId="0" xfId="7" applyFont="1" applyAlignment="1">
      <alignment horizontal="left" vertical="top" wrapText="1"/>
    </xf>
    <xf numFmtId="0" fontId="15" fillId="0" borderId="0" xfId="0" applyFont="1" applyAlignment="1">
      <alignment wrapText="1"/>
    </xf>
    <xf numFmtId="0" fontId="21" fillId="0" borderId="0" xfId="10" applyFont="1" applyAlignment="1"/>
    <xf numFmtId="0" fontId="20" fillId="0" borderId="0" xfId="0" applyFont="1"/>
    <xf numFmtId="0" fontId="6" fillId="0" borderId="0" xfId="0" applyFont="1" applyAlignment="1">
      <alignment wrapText="1"/>
    </xf>
    <xf numFmtId="0" fontId="15" fillId="0" borderId="0" xfId="0" applyFont="1"/>
    <xf numFmtId="0" fontId="5" fillId="0" borderId="0" xfId="3" applyFont="1" applyAlignment="1">
      <alignment wrapText="1"/>
    </xf>
    <xf numFmtId="0" fontId="19" fillId="0" borderId="0" xfId="0" applyFont="1" applyAlignment="1">
      <alignment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center" wrapText="1"/>
    </xf>
    <xf numFmtId="0" fontId="10" fillId="0" borderId="6" xfId="3" applyFont="1" applyBorder="1" applyAlignment="1">
      <alignment horizontal="left" vertical="center" wrapText="1"/>
    </xf>
    <xf numFmtId="0" fontId="5" fillId="0" borderId="0" xfId="3" applyFont="1" applyAlignment="1">
      <alignment horizontal="center" wrapText="1"/>
    </xf>
    <xf numFmtId="0" fontId="10" fillId="0" borderId="0" xfId="5" applyFont="1" applyAlignment="1">
      <alignment horizontal="center"/>
    </xf>
  </cellXfs>
  <cellStyles count="11">
    <cellStyle name="Comma" xfId="1" builtinId="3"/>
    <cellStyle name="Hyperlink" xfId="10" builtinId="8"/>
    <cellStyle name="Normal" xfId="0" builtinId="0"/>
    <cellStyle name="Normal 2 2 2" xfId="3" xr:uid="{00000000-0005-0000-0000-000003000000}"/>
    <cellStyle name="Normal 2 2_Template Portfolio Disclosure -31.01 2025" xfId="4" xr:uid="{00000000-0005-0000-0000-000004000000}"/>
    <cellStyle name="Normal 2 3 2" xfId="6" xr:uid="{00000000-0005-0000-0000-000005000000}"/>
    <cellStyle name="Normal 3" xfId="9" xr:uid="{00000000-0005-0000-0000-000006000000}"/>
    <cellStyle name="Normal 4_FF" xfId="8" xr:uid="{00000000-0005-0000-0000-000007000000}"/>
    <cellStyle name="Normal 4_IF" xfId="5" xr:uid="{00000000-0005-0000-0000-000008000000}"/>
    <cellStyle name="Normal 4_LD" xfId="7" xr:uid="{00000000-0005-0000-0000-000009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79375</xdr:colOff>
      <xdr:row>65</xdr:row>
      <xdr:rowOff>85725</xdr:rowOff>
    </xdr:from>
    <xdr:to>
      <xdr:col>1</xdr:col>
      <xdr:colOff>2740025</xdr:colOff>
      <xdr:row>73</xdr:row>
      <xdr:rowOff>66675</xdr:rowOff>
    </xdr:to>
    <xdr:pic>
      <xdr:nvPicPr>
        <xdr:cNvPr id="2" name="Picture 5">
          <a:extLst>
            <a:ext uri="{FF2B5EF4-FFF2-40B4-BE49-F238E27FC236}">
              <a16:creationId xmlns:a16="http://schemas.microsoft.com/office/drawing/2014/main" id="{2C31EEA8-6CFD-4516-B5EE-884865FEA1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6150" y="12058650"/>
          <a:ext cx="2660650" cy="1428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196851</xdr:colOff>
      <xdr:row>65</xdr:row>
      <xdr:rowOff>123825</xdr:rowOff>
    </xdr:from>
    <xdr:to>
      <xdr:col>5</xdr:col>
      <xdr:colOff>254001</xdr:colOff>
      <xdr:row>73</xdr:row>
      <xdr:rowOff>139280</xdr:rowOff>
    </xdr:to>
    <xdr:pic>
      <xdr:nvPicPr>
        <xdr:cNvPr id="3" name="Picture 6">
          <a:extLst>
            <a:ext uri="{FF2B5EF4-FFF2-40B4-BE49-F238E27FC236}">
              <a16:creationId xmlns:a16="http://schemas.microsoft.com/office/drawing/2014/main" id="{C5762E04-C32F-40B5-9EE0-FDE84420E7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16476" y="12582525"/>
          <a:ext cx="2714625" cy="1463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Fixed-Income/JM-Dynamic-Bond-Fund/J466/Direct-Plan-Growth-Option" TargetMode="External"/><Relationship Id="rId1" Type="http://schemas.openxmlformats.org/officeDocument/2006/relationships/hyperlink" Target="https://www.jmfinancialmf.com/products/Fixed-Income/JM-Dynamic-Bond-Fund/J7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4"/>
  <sheetViews>
    <sheetView tabSelected="1" topLeftCell="A58" workbookViewId="0">
      <selection activeCell="G74" sqref="G74"/>
    </sheetView>
  </sheetViews>
  <sheetFormatPr defaultColWidth="9.140625" defaultRowHeight="14.25" x14ac:dyDescent="0.3"/>
  <cols>
    <col min="1" max="1" width="15.7109375" style="22" customWidth="1"/>
    <col min="2" max="2" width="53.5703125" style="23" customWidth="1"/>
    <col min="3" max="3" width="14.140625" style="24" bestFit="1" customWidth="1"/>
    <col min="4" max="4" width="12.5703125" style="1" customWidth="1"/>
    <col min="5" max="5" width="13.140625" style="1" customWidth="1"/>
    <col min="6" max="6" width="15.140625" style="1" bestFit="1" customWidth="1"/>
    <col min="7" max="7" width="11.5703125" style="1" bestFit="1" customWidth="1"/>
    <col min="8" max="8" width="7.42578125" style="1" bestFit="1" customWidth="1"/>
    <col min="9" max="9" width="10.42578125" style="1" bestFit="1" customWidth="1"/>
    <col min="10" max="10" width="9.140625" style="4"/>
    <col min="11" max="16384" width="9.140625" style="1"/>
  </cols>
  <sheetData>
    <row r="1" spans="1:10" ht="13.5" x14ac:dyDescent="0.25">
      <c r="A1" s="102" t="s">
        <v>0</v>
      </c>
      <c r="B1" s="102"/>
      <c r="C1" s="102"/>
      <c r="D1" s="102"/>
      <c r="E1" s="102"/>
      <c r="F1" s="102"/>
      <c r="G1" s="102"/>
      <c r="H1" s="102"/>
      <c r="I1" s="102"/>
      <c r="J1" s="31"/>
    </row>
    <row r="2" spans="1:10" ht="12.95" customHeight="1" x14ac:dyDescent="0.25">
      <c r="A2" s="103" t="s">
        <v>1</v>
      </c>
      <c r="B2" s="103"/>
      <c r="C2" s="103"/>
      <c r="D2" s="103"/>
      <c r="E2" s="103"/>
      <c r="F2" s="103"/>
      <c r="G2" s="103"/>
      <c r="H2" s="103"/>
      <c r="I2" s="103"/>
      <c r="J2" s="31"/>
    </row>
    <row r="3" spans="1:10" ht="12.75" customHeight="1" x14ac:dyDescent="0.25">
      <c r="A3" s="104" t="s">
        <v>140</v>
      </c>
      <c r="B3" s="104"/>
      <c r="C3" s="104"/>
      <c r="D3" s="104"/>
      <c r="E3" s="104"/>
      <c r="F3" s="104"/>
      <c r="G3" s="104"/>
      <c r="H3" s="104"/>
      <c r="I3" s="104"/>
      <c r="J3" s="31"/>
    </row>
    <row r="4" spans="1:10" s="47" customFormat="1" ht="38.25" x14ac:dyDescent="0.2">
      <c r="A4" s="32" t="s">
        <v>2</v>
      </c>
      <c r="B4" s="42" t="s">
        <v>49</v>
      </c>
      <c r="C4" s="43" t="s">
        <v>50</v>
      </c>
      <c r="D4" s="44" t="s">
        <v>95</v>
      </c>
      <c r="E4" s="45" t="s">
        <v>51</v>
      </c>
      <c r="F4" s="46" t="s">
        <v>52</v>
      </c>
      <c r="G4" s="32" t="s">
        <v>53</v>
      </c>
      <c r="H4" s="32" t="s">
        <v>54</v>
      </c>
      <c r="I4" s="32" t="s">
        <v>55</v>
      </c>
      <c r="J4" s="32" t="s">
        <v>87</v>
      </c>
    </row>
    <row r="5" spans="1:10" x14ac:dyDescent="0.3">
      <c r="A5" s="48"/>
      <c r="B5" s="49" t="s">
        <v>3</v>
      </c>
      <c r="C5" s="48"/>
      <c r="D5" s="48"/>
      <c r="E5" s="48"/>
      <c r="F5" s="50"/>
      <c r="G5" s="51"/>
      <c r="H5" s="48"/>
      <c r="I5" s="52"/>
      <c r="J5" s="33"/>
    </row>
    <row r="6" spans="1:10" x14ac:dyDescent="0.3">
      <c r="A6" s="53"/>
      <c r="B6" s="49" t="s">
        <v>4</v>
      </c>
      <c r="C6" s="53"/>
      <c r="D6" s="54"/>
      <c r="E6" s="55"/>
      <c r="F6" s="56"/>
      <c r="G6" s="52"/>
      <c r="H6" s="53"/>
      <c r="I6" s="52"/>
      <c r="J6" s="33"/>
    </row>
    <row r="7" spans="1:10" x14ac:dyDescent="0.3">
      <c r="A7" s="53"/>
      <c r="B7" s="49" t="s">
        <v>56</v>
      </c>
      <c r="C7" s="53"/>
      <c r="D7" s="54"/>
      <c r="E7" s="57"/>
      <c r="F7" s="57"/>
      <c r="G7" s="52"/>
      <c r="H7" s="53"/>
      <c r="I7" s="52"/>
      <c r="J7" s="33"/>
    </row>
    <row r="8" spans="1:10" x14ac:dyDescent="0.3">
      <c r="A8" s="53" t="s">
        <v>61</v>
      </c>
      <c r="B8" s="53" t="s">
        <v>76</v>
      </c>
      <c r="C8" s="53" t="s">
        <v>5</v>
      </c>
      <c r="D8" s="58">
        <v>500000</v>
      </c>
      <c r="E8" s="58">
        <v>500.97800000000001</v>
      </c>
      <c r="F8" s="59">
        <v>8.6640120152276096E-2</v>
      </c>
      <c r="G8" s="59" t="s">
        <v>62</v>
      </c>
      <c r="H8" s="59"/>
      <c r="I8" s="52" t="s">
        <v>116</v>
      </c>
      <c r="J8" s="33"/>
    </row>
    <row r="9" spans="1:10" x14ac:dyDescent="0.3">
      <c r="A9" s="53" t="s">
        <v>63</v>
      </c>
      <c r="B9" s="53" t="s">
        <v>64</v>
      </c>
      <c r="C9" s="53" t="s">
        <v>58</v>
      </c>
      <c r="D9" s="58">
        <v>450000</v>
      </c>
      <c r="E9" s="58">
        <v>455.15744999999998</v>
      </c>
      <c r="F9" s="59">
        <v>7.8715824160349557E-2</v>
      </c>
      <c r="G9" s="59" t="s">
        <v>65</v>
      </c>
      <c r="H9" s="59"/>
      <c r="I9" s="52" t="s">
        <v>117</v>
      </c>
      <c r="J9" s="33"/>
    </row>
    <row r="10" spans="1:10" x14ac:dyDescent="0.3">
      <c r="A10" s="53" t="s">
        <v>66</v>
      </c>
      <c r="B10" s="53" t="s">
        <v>72</v>
      </c>
      <c r="C10" s="53" t="s">
        <v>67</v>
      </c>
      <c r="D10" s="58">
        <v>400000</v>
      </c>
      <c r="E10" s="58">
        <v>405.19439999999997</v>
      </c>
      <c r="F10" s="59">
        <v>7.0075116075016111E-2</v>
      </c>
      <c r="G10" s="59" t="s">
        <v>68</v>
      </c>
      <c r="H10" s="59"/>
      <c r="I10" s="52" t="s">
        <v>118</v>
      </c>
      <c r="J10" s="33"/>
    </row>
    <row r="11" spans="1:10" x14ac:dyDescent="0.3">
      <c r="A11" s="53" t="s">
        <v>59</v>
      </c>
      <c r="B11" s="53" t="s">
        <v>99</v>
      </c>
      <c r="C11" s="53" t="s">
        <v>58</v>
      </c>
      <c r="D11" s="58">
        <v>400000</v>
      </c>
      <c r="E11" s="58">
        <v>403.536</v>
      </c>
      <c r="F11" s="59">
        <v>6.9788309118901201E-2</v>
      </c>
      <c r="G11" s="59" t="s">
        <v>60</v>
      </c>
      <c r="H11" s="59"/>
      <c r="I11" s="52" t="s">
        <v>119</v>
      </c>
      <c r="J11" s="33"/>
    </row>
    <row r="12" spans="1:10" x14ac:dyDescent="0.3">
      <c r="A12" s="53" t="s">
        <v>100</v>
      </c>
      <c r="B12" s="53" t="s">
        <v>107</v>
      </c>
      <c r="C12" s="53" t="s">
        <v>58</v>
      </c>
      <c r="D12" s="58">
        <v>300000</v>
      </c>
      <c r="E12" s="58">
        <v>303.15780000000001</v>
      </c>
      <c r="F12" s="59">
        <v>5.2428705885487356E-2</v>
      </c>
      <c r="G12" s="59" t="s">
        <v>101</v>
      </c>
      <c r="H12" s="59"/>
      <c r="I12" s="52" t="s">
        <v>120</v>
      </c>
      <c r="J12" s="33"/>
    </row>
    <row r="13" spans="1:10" x14ac:dyDescent="0.3">
      <c r="A13" s="53" t="s">
        <v>73</v>
      </c>
      <c r="B13" s="53" t="s">
        <v>74</v>
      </c>
      <c r="C13" s="53" t="s">
        <v>58</v>
      </c>
      <c r="D13" s="58">
        <v>300000</v>
      </c>
      <c r="E13" s="58">
        <v>296.25360000000001</v>
      </c>
      <c r="F13" s="59">
        <v>5.1234679965076989E-2</v>
      </c>
      <c r="G13" s="59" t="s">
        <v>75</v>
      </c>
      <c r="H13" s="59"/>
      <c r="I13" s="52" t="s">
        <v>121</v>
      </c>
      <c r="J13" s="33"/>
    </row>
    <row r="14" spans="1:10" x14ac:dyDescent="0.3">
      <c r="A14" s="53" t="s">
        <v>69</v>
      </c>
      <c r="B14" s="53" t="s">
        <v>70</v>
      </c>
      <c r="C14" s="53" t="s">
        <v>5</v>
      </c>
      <c r="D14" s="58">
        <v>300000</v>
      </c>
      <c r="E14" s="58">
        <v>292.04160000000002</v>
      </c>
      <c r="F14" s="59">
        <v>5.050624840504564E-2</v>
      </c>
      <c r="G14" s="59" t="s">
        <v>71</v>
      </c>
      <c r="H14" s="59"/>
      <c r="I14" s="52" t="s">
        <v>122</v>
      </c>
      <c r="J14" s="33"/>
    </row>
    <row r="15" spans="1:10" x14ac:dyDescent="0.3">
      <c r="A15" s="53" t="s">
        <v>77</v>
      </c>
      <c r="B15" s="53" t="s">
        <v>78</v>
      </c>
      <c r="C15" s="53" t="s">
        <v>58</v>
      </c>
      <c r="D15" s="58">
        <v>100000</v>
      </c>
      <c r="E15" s="58">
        <v>100.35509999999999</v>
      </c>
      <c r="F15" s="59">
        <v>1.7355608274003415E-2</v>
      </c>
      <c r="G15" s="59" t="s">
        <v>79</v>
      </c>
      <c r="H15" s="59"/>
      <c r="I15" s="52" t="s">
        <v>122</v>
      </c>
      <c r="J15" s="33"/>
    </row>
    <row r="16" spans="1:10" x14ac:dyDescent="0.3">
      <c r="A16" s="48"/>
      <c r="B16" s="49" t="s">
        <v>6</v>
      </c>
      <c r="C16" s="48"/>
      <c r="D16" s="60"/>
      <c r="E16" s="61">
        <v>2756.6739500000003</v>
      </c>
      <c r="F16" s="62">
        <v>0.47674461203615637</v>
      </c>
      <c r="G16" s="63"/>
      <c r="H16" s="62"/>
      <c r="I16" s="52"/>
      <c r="J16" s="33"/>
    </row>
    <row r="17" spans="1:10" x14ac:dyDescent="0.3">
      <c r="A17" s="64"/>
      <c r="B17" s="49" t="s">
        <v>7</v>
      </c>
      <c r="C17" s="64"/>
      <c r="D17" s="65"/>
      <c r="E17" s="57"/>
      <c r="F17" s="57"/>
      <c r="G17" s="63"/>
      <c r="H17" s="62"/>
      <c r="I17" s="52"/>
      <c r="J17" s="33"/>
    </row>
    <row r="18" spans="1:10" x14ac:dyDescent="0.3">
      <c r="A18" s="66"/>
      <c r="B18" s="49" t="s">
        <v>6</v>
      </c>
      <c r="C18" s="66"/>
      <c r="D18" s="66"/>
      <c r="E18" s="57" t="s">
        <v>8</v>
      </c>
      <c r="F18" s="57" t="s">
        <v>8</v>
      </c>
      <c r="G18" s="67"/>
      <c r="H18" s="66"/>
      <c r="I18" s="52"/>
      <c r="J18" s="33"/>
    </row>
    <row r="19" spans="1:10" x14ac:dyDescent="0.3">
      <c r="A19" s="66"/>
      <c r="B19" s="49" t="s">
        <v>9</v>
      </c>
      <c r="C19" s="66"/>
      <c r="D19" s="67"/>
      <c r="E19" s="57" t="s">
        <v>8</v>
      </c>
      <c r="F19" s="57" t="s">
        <v>8</v>
      </c>
      <c r="G19" s="68"/>
      <c r="H19" s="68"/>
      <c r="I19" s="52"/>
      <c r="J19" s="33"/>
    </row>
    <row r="20" spans="1:10" x14ac:dyDescent="0.3">
      <c r="A20" s="64"/>
      <c r="B20" s="49" t="s">
        <v>6</v>
      </c>
      <c r="C20" s="64"/>
      <c r="D20" s="65"/>
      <c r="E20" s="61" t="s">
        <v>8</v>
      </c>
      <c r="F20" s="62" t="s">
        <v>8</v>
      </c>
      <c r="G20" s="69"/>
      <c r="H20" s="70"/>
      <c r="I20" s="52"/>
      <c r="J20" s="33"/>
    </row>
    <row r="21" spans="1:10" x14ac:dyDescent="0.3">
      <c r="A21" s="64"/>
      <c r="B21" s="49" t="s">
        <v>10</v>
      </c>
      <c r="C21" s="64"/>
      <c r="D21" s="65"/>
      <c r="E21" s="57"/>
      <c r="F21" s="57"/>
      <c r="G21" s="69"/>
      <c r="H21" s="70"/>
      <c r="I21" s="52"/>
      <c r="J21" s="33"/>
    </row>
    <row r="22" spans="1:10" x14ac:dyDescent="0.3">
      <c r="A22" s="53" t="s">
        <v>81</v>
      </c>
      <c r="B22" s="53" t="s">
        <v>82</v>
      </c>
      <c r="C22" s="53" t="s">
        <v>11</v>
      </c>
      <c r="D22" s="58">
        <v>900000</v>
      </c>
      <c r="E22" s="58">
        <v>888.29280000000006</v>
      </c>
      <c r="F22" s="59">
        <v>0.1536231030552275</v>
      </c>
      <c r="G22" s="63" t="s">
        <v>83</v>
      </c>
      <c r="H22" s="62"/>
      <c r="I22" s="52" t="s">
        <v>123</v>
      </c>
      <c r="J22" s="33"/>
    </row>
    <row r="23" spans="1:10" x14ac:dyDescent="0.3">
      <c r="A23" s="53" t="s">
        <v>84</v>
      </c>
      <c r="B23" s="53" t="s">
        <v>85</v>
      </c>
      <c r="C23" s="53" t="s">
        <v>11</v>
      </c>
      <c r="D23" s="58">
        <v>400000</v>
      </c>
      <c r="E23" s="58">
        <v>396.55840000000001</v>
      </c>
      <c r="F23" s="59">
        <v>6.8581589258199696E-2</v>
      </c>
      <c r="G23" s="63" t="s">
        <v>86</v>
      </c>
      <c r="H23" s="62"/>
      <c r="I23" s="52" t="s">
        <v>124</v>
      </c>
      <c r="J23" s="33"/>
    </row>
    <row r="24" spans="1:10" x14ac:dyDescent="0.3">
      <c r="A24" s="53" t="s">
        <v>125</v>
      </c>
      <c r="B24" s="53" t="s">
        <v>126</v>
      </c>
      <c r="C24" s="53" t="s">
        <v>11</v>
      </c>
      <c r="D24" s="58">
        <v>300000</v>
      </c>
      <c r="E24" s="58">
        <v>300.89580000000001</v>
      </c>
      <c r="F24" s="59">
        <v>5.2037511158803854E-2</v>
      </c>
      <c r="G24" s="63" t="s">
        <v>127</v>
      </c>
      <c r="H24" s="62"/>
      <c r="I24" s="52" t="s">
        <v>128</v>
      </c>
      <c r="J24" s="33"/>
    </row>
    <row r="25" spans="1:10" x14ac:dyDescent="0.3">
      <c r="A25" s="53" t="s">
        <v>102</v>
      </c>
      <c r="B25" s="53" t="s">
        <v>103</v>
      </c>
      <c r="C25" s="53" t="s">
        <v>11</v>
      </c>
      <c r="D25" s="58">
        <v>200000</v>
      </c>
      <c r="E25" s="58">
        <v>195.899</v>
      </c>
      <c r="F25" s="59">
        <v>3.3879158162056486E-2</v>
      </c>
      <c r="G25" s="63" t="s">
        <v>104</v>
      </c>
      <c r="H25" s="62"/>
      <c r="I25" s="52" t="s">
        <v>115</v>
      </c>
      <c r="J25" s="34"/>
    </row>
    <row r="26" spans="1:10" x14ac:dyDescent="0.3">
      <c r="A26" s="53" t="s">
        <v>108</v>
      </c>
      <c r="B26" s="53" t="s">
        <v>109</v>
      </c>
      <c r="C26" s="53" t="s">
        <v>11</v>
      </c>
      <c r="D26" s="58">
        <v>100000</v>
      </c>
      <c r="E26" s="58">
        <v>102.83839999999999</v>
      </c>
      <c r="F26" s="59">
        <v>1.7785075057722755E-2</v>
      </c>
      <c r="G26" s="63" t="s">
        <v>110</v>
      </c>
      <c r="H26" s="62"/>
      <c r="I26" s="52" t="s">
        <v>129</v>
      </c>
      <c r="J26" s="34"/>
    </row>
    <row r="27" spans="1:10" x14ac:dyDescent="0.3">
      <c r="A27" s="53" t="s">
        <v>96</v>
      </c>
      <c r="B27" s="53" t="s">
        <v>97</v>
      </c>
      <c r="C27" s="53" t="s">
        <v>11</v>
      </c>
      <c r="D27" s="58">
        <v>50000</v>
      </c>
      <c r="E27" s="58">
        <v>51.596400000000003</v>
      </c>
      <c r="F27" s="59">
        <v>8.9231828452045765E-3</v>
      </c>
      <c r="G27" s="63" t="s">
        <v>98</v>
      </c>
      <c r="H27" s="62"/>
      <c r="I27" s="52" t="s">
        <v>115</v>
      </c>
      <c r="J27" s="34"/>
    </row>
    <row r="28" spans="1:10" x14ac:dyDescent="0.3">
      <c r="A28" s="64"/>
      <c r="B28" s="49" t="s">
        <v>6</v>
      </c>
      <c r="C28" s="64"/>
      <c r="D28" s="65"/>
      <c r="E28" s="61">
        <f>SUM(E22:E27)</f>
        <v>1936.0808000000002</v>
      </c>
      <c r="F28" s="96">
        <v>0.33482961953721491</v>
      </c>
      <c r="G28" s="63"/>
      <c r="H28" s="62"/>
      <c r="I28" s="52"/>
      <c r="J28" s="34"/>
    </row>
    <row r="29" spans="1:10" x14ac:dyDescent="0.3">
      <c r="A29" s="64"/>
      <c r="B29" s="71" t="s">
        <v>12</v>
      </c>
      <c r="C29" s="64"/>
      <c r="D29" s="65"/>
      <c r="E29" s="61">
        <f>E16+E28</f>
        <v>4692.7547500000001</v>
      </c>
      <c r="F29" s="96">
        <f>F16+F28</f>
        <v>0.81157423157337127</v>
      </c>
      <c r="G29" s="63"/>
      <c r="H29" s="62"/>
      <c r="I29" s="52"/>
      <c r="J29" s="34"/>
    </row>
    <row r="30" spans="1:10" x14ac:dyDescent="0.3">
      <c r="A30" s="66"/>
      <c r="B30" s="66"/>
      <c r="C30" s="66"/>
      <c r="D30" s="72"/>
      <c r="E30" s="72"/>
      <c r="F30" s="73"/>
      <c r="G30" s="68"/>
      <c r="H30" s="68"/>
      <c r="I30" s="52"/>
      <c r="J30" s="34"/>
    </row>
    <row r="31" spans="1:10" x14ac:dyDescent="0.3">
      <c r="A31" s="64"/>
      <c r="B31" s="49" t="s">
        <v>13</v>
      </c>
      <c r="C31" s="64"/>
      <c r="D31" s="65"/>
      <c r="E31" s="74"/>
      <c r="F31" s="56"/>
      <c r="G31" s="63"/>
      <c r="H31" s="62"/>
      <c r="I31" s="52"/>
      <c r="J31" s="34"/>
    </row>
    <row r="32" spans="1:10" x14ac:dyDescent="0.3">
      <c r="A32" s="64"/>
      <c r="B32" s="49" t="s">
        <v>111</v>
      </c>
      <c r="C32" s="64"/>
      <c r="D32" s="65"/>
      <c r="E32" s="74"/>
      <c r="F32" s="56"/>
      <c r="G32" s="63"/>
      <c r="H32" s="62"/>
      <c r="I32" s="52"/>
      <c r="J32" s="34"/>
    </row>
    <row r="33" spans="1:10" x14ac:dyDescent="0.3">
      <c r="A33" s="48" t="s">
        <v>112</v>
      </c>
      <c r="B33" s="53" t="s">
        <v>130</v>
      </c>
      <c r="C33" s="48" t="s">
        <v>113</v>
      </c>
      <c r="D33" s="60">
        <v>400000</v>
      </c>
      <c r="E33" s="75">
        <v>399.33280000000002</v>
      </c>
      <c r="F33" s="59">
        <v>6.9061399448169053E-2</v>
      </c>
      <c r="G33" s="63" t="s">
        <v>114</v>
      </c>
      <c r="H33" s="63"/>
      <c r="I33" s="52" t="s">
        <v>131</v>
      </c>
      <c r="J33" s="34"/>
    </row>
    <row r="34" spans="1:10" x14ac:dyDescent="0.3">
      <c r="A34" s="48" t="s">
        <v>132</v>
      </c>
      <c r="B34" s="53" t="s">
        <v>133</v>
      </c>
      <c r="C34" s="48" t="s">
        <v>134</v>
      </c>
      <c r="D34" s="60">
        <v>400000</v>
      </c>
      <c r="E34" s="75">
        <v>394.75040000000001</v>
      </c>
      <c r="F34" s="59">
        <v>6.8268910183998194E-2</v>
      </c>
      <c r="G34" s="63" t="s">
        <v>135</v>
      </c>
      <c r="H34" s="63"/>
      <c r="I34" s="52" t="s">
        <v>136</v>
      </c>
      <c r="J34" s="34"/>
    </row>
    <row r="35" spans="1:10" x14ac:dyDescent="0.3">
      <c r="A35" s="64"/>
      <c r="B35" s="49" t="s">
        <v>6</v>
      </c>
      <c r="C35" s="64"/>
      <c r="D35" s="65"/>
      <c r="E35" s="74">
        <f>E33+E34</f>
        <v>794.08320000000003</v>
      </c>
      <c r="F35" s="97">
        <f>F33+F34</f>
        <v>0.13733030963216725</v>
      </c>
      <c r="G35" s="63"/>
      <c r="H35" s="62"/>
      <c r="I35" s="52"/>
      <c r="J35" s="34"/>
    </row>
    <row r="36" spans="1:10" x14ac:dyDescent="0.3">
      <c r="A36" s="64"/>
      <c r="B36" s="64" t="s">
        <v>12</v>
      </c>
      <c r="C36" s="64"/>
      <c r="D36" s="65"/>
      <c r="E36" s="74">
        <f>E35</f>
        <v>794.08320000000003</v>
      </c>
      <c r="F36" s="97">
        <f>F35</f>
        <v>0.13733030963216725</v>
      </c>
      <c r="G36" s="63"/>
      <c r="H36" s="62"/>
      <c r="I36" s="52"/>
      <c r="J36" s="34"/>
    </row>
    <row r="37" spans="1:10" x14ac:dyDescent="0.3">
      <c r="A37" s="64"/>
      <c r="B37" s="64"/>
      <c r="C37" s="64"/>
      <c r="D37" s="65"/>
      <c r="E37" s="55"/>
      <c r="F37" s="62"/>
      <c r="G37" s="63"/>
      <c r="H37" s="62"/>
      <c r="I37" s="52"/>
      <c r="J37" s="34"/>
    </row>
    <row r="38" spans="1:10" x14ac:dyDescent="0.3">
      <c r="A38" s="64"/>
      <c r="B38" s="76" t="s">
        <v>105</v>
      </c>
      <c r="C38" s="64"/>
      <c r="D38" s="65"/>
      <c r="E38" s="65"/>
      <c r="F38" s="56"/>
      <c r="G38" s="63"/>
      <c r="H38" s="62"/>
      <c r="I38" s="52"/>
      <c r="J38" s="34"/>
    </row>
    <row r="39" spans="1:10" x14ac:dyDescent="0.3">
      <c r="A39" s="48" t="s">
        <v>80</v>
      </c>
      <c r="B39" s="77" t="s">
        <v>106</v>
      </c>
      <c r="C39" s="48"/>
      <c r="D39" s="58">
        <v>146.84200000000001</v>
      </c>
      <c r="E39" s="58">
        <v>17.130098700000001</v>
      </c>
      <c r="F39" s="59">
        <v>2.9625129438585096E-3</v>
      </c>
      <c r="G39" s="63"/>
      <c r="H39" s="62"/>
      <c r="I39" s="78">
        <v>5.45E-2</v>
      </c>
      <c r="J39" s="34"/>
    </row>
    <row r="40" spans="1:10" x14ac:dyDescent="0.3">
      <c r="A40" s="64"/>
      <c r="B40" s="49" t="s">
        <v>12</v>
      </c>
      <c r="C40" s="64"/>
      <c r="D40" s="65"/>
      <c r="E40" s="55">
        <v>17.130098700000001</v>
      </c>
      <c r="F40" s="62">
        <v>2.9503345827869478E-3</v>
      </c>
      <c r="G40" s="63"/>
      <c r="H40" s="62"/>
      <c r="I40" s="52"/>
      <c r="J40" s="34"/>
    </row>
    <row r="41" spans="1:10" x14ac:dyDescent="0.3">
      <c r="A41" s="64"/>
      <c r="B41" s="64"/>
      <c r="C41" s="64"/>
      <c r="D41" s="65"/>
      <c r="E41" s="65"/>
      <c r="F41" s="56"/>
      <c r="G41" s="63"/>
      <c r="H41" s="62"/>
      <c r="I41" s="52"/>
      <c r="J41" s="34"/>
    </row>
    <row r="42" spans="1:10" x14ac:dyDescent="0.3">
      <c r="A42" s="64"/>
      <c r="B42" s="76" t="s">
        <v>14</v>
      </c>
      <c r="C42" s="64"/>
      <c r="D42" s="65"/>
      <c r="E42" s="65"/>
      <c r="F42" s="56"/>
      <c r="G42" s="63"/>
      <c r="H42" s="62"/>
      <c r="I42" s="52"/>
      <c r="J42" s="34"/>
    </row>
    <row r="43" spans="1:10" x14ac:dyDescent="0.3">
      <c r="A43" s="53"/>
      <c r="B43" s="53" t="s">
        <v>15</v>
      </c>
      <c r="C43" s="53"/>
      <c r="D43" s="58">
        <v>1010.1079</v>
      </c>
      <c r="E43" s="58">
        <v>100.9971883</v>
      </c>
      <c r="F43" s="59">
        <v>1.7466652286835058E-2</v>
      </c>
      <c r="G43" s="63" t="s">
        <v>137</v>
      </c>
      <c r="H43" s="62"/>
      <c r="I43" s="79">
        <v>4.916943E-2</v>
      </c>
      <c r="J43" s="34"/>
    </row>
    <row r="44" spans="1:10" x14ac:dyDescent="0.3">
      <c r="A44" s="64"/>
      <c r="B44" s="76" t="s">
        <v>12</v>
      </c>
      <c r="C44" s="64"/>
      <c r="D44" s="65"/>
      <c r="E44" s="55">
        <v>100.9971883</v>
      </c>
      <c r="F44" s="62">
        <v>1.7466652286835058E-2</v>
      </c>
      <c r="G44" s="63"/>
      <c r="H44" s="62"/>
      <c r="I44" s="52"/>
      <c r="J44" s="34"/>
    </row>
    <row r="45" spans="1:10" x14ac:dyDescent="0.3">
      <c r="A45" s="64"/>
      <c r="B45" s="76"/>
      <c r="C45" s="64"/>
      <c r="D45" s="65"/>
      <c r="E45" s="65"/>
      <c r="F45" s="56"/>
      <c r="G45" s="63"/>
      <c r="H45" s="62"/>
      <c r="I45" s="52"/>
      <c r="J45" s="34"/>
    </row>
    <row r="46" spans="1:10" x14ac:dyDescent="0.3">
      <c r="A46" s="64"/>
      <c r="B46" s="76" t="s">
        <v>16</v>
      </c>
      <c r="C46" s="64"/>
      <c r="D46" s="65"/>
      <c r="E46" s="65"/>
      <c r="F46" s="56"/>
      <c r="G46" s="63"/>
      <c r="H46" s="62"/>
      <c r="I46" s="52"/>
      <c r="J46" s="80"/>
    </row>
    <row r="47" spans="1:10" x14ac:dyDescent="0.3">
      <c r="A47" s="48"/>
      <c r="B47" s="76" t="s">
        <v>17</v>
      </c>
      <c r="C47" s="48"/>
      <c r="D47" s="60"/>
      <c r="E47" s="60">
        <v>177.3212963</v>
      </c>
      <c r="F47" s="59">
        <v>3.0666293563767971E-2</v>
      </c>
      <c r="G47" s="63"/>
      <c r="H47" s="63"/>
      <c r="I47" s="52"/>
      <c r="J47" s="33"/>
    </row>
    <row r="48" spans="1:10" x14ac:dyDescent="0.3">
      <c r="A48" s="64"/>
      <c r="B48" s="76" t="s">
        <v>12</v>
      </c>
      <c r="C48" s="64"/>
      <c r="D48" s="65"/>
      <c r="E48" s="65">
        <v>177.3212963</v>
      </c>
      <c r="F48" s="62">
        <v>3.0666293563767971E-2</v>
      </c>
      <c r="G48" s="81"/>
      <c r="H48" s="82"/>
      <c r="I48" s="52"/>
      <c r="J48" s="33"/>
    </row>
    <row r="49" spans="1:10" x14ac:dyDescent="0.3">
      <c r="A49" s="83"/>
      <c r="B49" s="76" t="s">
        <v>18</v>
      </c>
      <c r="C49" s="83"/>
      <c r="D49" s="83"/>
      <c r="E49" s="84">
        <v>5782.2865333</v>
      </c>
      <c r="F49" s="62">
        <v>1</v>
      </c>
      <c r="G49" s="85"/>
      <c r="H49" s="83"/>
      <c r="I49" s="52"/>
      <c r="J49" s="33"/>
    </row>
    <row r="50" spans="1:10" x14ac:dyDescent="0.3">
      <c r="A50" s="36"/>
      <c r="B50" s="86"/>
      <c r="C50" s="36"/>
      <c r="D50" s="36"/>
      <c r="E50" s="87"/>
      <c r="F50" s="88"/>
      <c r="G50" s="89"/>
      <c r="H50" s="36"/>
      <c r="I50" s="90"/>
    </row>
    <row r="51" spans="1:10" x14ac:dyDescent="0.3">
      <c r="A51" s="37" t="s">
        <v>57</v>
      </c>
      <c r="B51" s="36"/>
      <c r="C51" s="36"/>
      <c r="D51" s="36"/>
      <c r="E51" s="36"/>
      <c r="F51" s="36"/>
      <c r="G51" s="36"/>
      <c r="H51" s="36"/>
      <c r="I51" s="36"/>
    </row>
    <row r="52" spans="1:10" x14ac:dyDescent="0.3">
      <c r="A52" s="37"/>
      <c r="B52" s="36"/>
      <c r="C52" s="36"/>
      <c r="D52" s="36"/>
      <c r="E52" s="36"/>
      <c r="F52" s="36"/>
      <c r="G52" s="36"/>
      <c r="H52" s="36"/>
      <c r="I52" s="36"/>
    </row>
    <row r="53" spans="1:10" x14ac:dyDescent="0.3">
      <c r="A53" s="6" t="s">
        <v>138</v>
      </c>
      <c r="B53" s="2"/>
      <c r="C53" s="7"/>
      <c r="D53" s="3"/>
      <c r="E53" s="3"/>
      <c r="F53" s="8"/>
      <c r="G53" s="4"/>
      <c r="H53" s="4"/>
      <c r="I53" s="4"/>
    </row>
    <row r="54" spans="1:10" x14ac:dyDescent="0.3">
      <c r="A54" s="6"/>
      <c r="B54" s="2"/>
      <c r="C54" s="7"/>
      <c r="D54" s="3"/>
      <c r="E54" s="3"/>
      <c r="F54" s="8"/>
      <c r="G54" s="4"/>
      <c r="H54" s="4"/>
      <c r="I54" s="4"/>
    </row>
    <row r="55" spans="1:10" ht="12.95" customHeight="1" x14ac:dyDescent="0.3">
      <c r="A55" s="101" t="s">
        <v>19</v>
      </c>
      <c r="B55" s="101"/>
      <c r="C55" s="101"/>
      <c r="D55" s="101"/>
      <c r="E55" s="101"/>
      <c r="F55" s="101"/>
      <c r="G55" s="101"/>
      <c r="H55" s="101"/>
      <c r="I55" s="4"/>
    </row>
    <row r="56" spans="1:10" ht="12.95" customHeight="1" x14ac:dyDescent="0.3">
      <c r="A56" s="101" t="s">
        <v>20</v>
      </c>
      <c r="B56" s="101"/>
      <c r="C56" s="101"/>
      <c r="D56" s="101"/>
      <c r="E56" s="101"/>
      <c r="F56" s="101"/>
      <c r="G56" s="101"/>
      <c r="H56" s="101"/>
      <c r="I56" s="4"/>
    </row>
    <row r="57" spans="1:10" ht="12.95" customHeight="1" x14ac:dyDescent="0.3">
      <c r="A57" s="99" t="s">
        <v>21</v>
      </c>
      <c r="B57" s="100"/>
      <c r="C57" s="100"/>
      <c r="D57" s="100"/>
      <c r="E57" s="100"/>
      <c r="F57" s="100"/>
      <c r="G57" s="100"/>
      <c r="H57" s="100"/>
      <c r="I57" s="4"/>
    </row>
    <row r="58" spans="1:10" ht="54.75" customHeight="1" x14ac:dyDescent="0.3">
      <c r="A58" s="105" t="s">
        <v>22</v>
      </c>
      <c r="B58" s="106"/>
      <c r="C58" s="106"/>
      <c r="D58" s="106"/>
      <c r="E58" s="106"/>
      <c r="F58" s="106"/>
      <c r="G58" s="106"/>
      <c r="H58" s="106"/>
      <c r="I58" s="106"/>
      <c r="J58" s="106"/>
    </row>
    <row r="59" spans="1:10" x14ac:dyDescent="0.3">
      <c r="A59" s="9" t="s">
        <v>23</v>
      </c>
      <c r="B59" s="10"/>
      <c r="C59" s="10"/>
      <c r="D59" s="10"/>
      <c r="E59" s="11"/>
      <c r="F59" s="11"/>
      <c r="G59" s="12"/>
      <c r="H59" s="12"/>
      <c r="I59" s="4"/>
    </row>
    <row r="60" spans="1:10" x14ac:dyDescent="0.3">
      <c r="A60" s="13" t="s">
        <v>24</v>
      </c>
      <c r="B60" s="10"/>
      <c r="C60" s="10"/>
      <c r="D60" s="10"/>
      <c r="E60" s="11"/>
      <c r="F60" s="11"/>
      <c r="G60" s="12"/>
      <c r="H60" s="12"/>
      <c r="I60" s="4"/>
    </row>
    <row r="61" spans="1:10" x14ac:dyDescent="0.3">
      <c r="A61" s="13" t="s">
        <v>25</v>
      </c>
      <c r="B61" s="10"/>
      <c r="C61" s="10"/>
      <c r="D61" s="10"/>
      <c r="E61" s="11"/>
      <c r="F61" s="11"/>
      <c r="G61" s="12"/>
      <c r="H61" s="12"/>
      <c r="I61" s="4"/>
    </row>
    <row r="62" spans="1:10" x14ac:dyDescent="0.3">
      <c r="A62" s="13" t="s">
        <v>26</v>
      </c>
      <c r="B62" s="10"/>
      <c r="C62" s="10"/>
      <c r="D62" s="10"/>
      <c r="E62" s="11"/>
      <c r="F62" s="11"/>
      <c r="G62" s="12"/>
      <c r="H62" s="12"/>
      <c r="I62" s="4"/>
    </row>
    <row r="63" spans="1:10" x14ac:dyDescent="0.3">
      <c r="A63" s="11"/>
      <c r="B63" s="11"/>
      <c r="C63" s="11"/>
      <c r="D63" s="11"/>
      <c r="E63" s="11"/>
      <c r="F63" s="11"/>
      <c r="G63" s="12"/>
      <c r="H63" s="12"/>
      <c r="I63" s="4"/>
    </row>
    <row r="64" spans="1:10" ht="12.95" customHeight="1" x14ac:dyDescent="0.3">
      <c r="A64" s="121" t="s">
        <v>88</v>
      </c>
      <c r="B64" s="121"/>
      <c r="C64" s="120" t="s">
        <v>27</v>
      </c>
      <c r="D64" s="120"/>
      <c r="E64" s="120"/>
      <c r="F64" s="11"/>
      <c r="G64" s="12"/>
      <c r="H64" s="12"/>
      <c r="I64" s="4"/>
    </row>
    <row r="65" spans="1:9" x14ac:dyDescent="0.3">
      <c r="A65" s="14"/>
      <c r="B65" s="10"/>
      <c r="C65" s="10"/>
      <c r="D65" s="15"/>
      <c r="E65" s="15"/>
      <c r="F65" s="15"/>
      <c r="G65" s="12"/>
      <c r="H65" s="12"/>
      <c r="I65" s="4"/>
    </row>
    <row r="66" spans="1:9" x14ac:dyDescent="0.3">
      <c r="A66" s="14"/>
      <c r="B66" s="10"/>
      <c r="C66" s="10"/>
      <c r="D66" s="15"/>
      <c r="E66" s="15"/>
      <c r="F66" s="15"/>
      <c r="G66" s="12"/>
      <c r="H66" s="12"/>
      <c r="I66" s="4"/>
    </row>
    <row r="67" spans="1:9" x14ac:dyDescent="0.3">
      <c r="A67" s="14"/>
      <c r="B67" s="10"/>
      <c r="C67" s="10"/>
      <c r="D67" s="15"/>
      <c r="E67" s="15"/>
      <c r="F67" s="15"/>
      <c r="G67" s="12"/>
      <c r="H67" s="12"/>
      <c r="I67" s="4"/>
    </row>
    <row r="68" spans="1:9" x14ac:dyDescent="0.3">
      <c r="A68" s="14"/>
      <c r="B68" s="10"/>
      <c r="C68" s="10"/>
      <c r="D68" s="15"/>
      <c r="E68" s="15"/>
      <c r="F68" s="15"/>
      <c r="G68" s="12"/>
      <c r="H68" s="12"/>
      <c r="I68" s="4"/>
    </row>
    <row r="69" spans="1:9" x14ac:dyDescent="0.3">
      <c r="A69" s="14"/>
      <c r="B69" s="10"/>
      <c r="C69" s="10"/>
      <c r="D69" s="15"/>
      <c r="E69" s="15"/>
      <c r="F69" s="15"/>
      <c r="G69" s="12"/>
      <c r="H69" s="12"/>
      <c r="I69" s="4"/>
    </row>
    <row r="70" spans="1:9" x14ac:dyDescent="0.3">
      <c r="A70" s="14"/>
      <c r="B70" s="10"/>
      <c r="C70" s="10"/>
      <c r="D70" s="15"/>
      <c r="E70" s="15"/>
      <c r="F70" s="15"/>
      <c r="G70" s="12"/>
      <c r="H70" s="12"/>
      <c r="I70" s="4"/>
    </row>
    <row r="71" spans="1:9" x14ac:dyDescent="0.3">
      <c r="A71" s="14"/>
      <c r="B71" s="10"/>
      <c r="C71" s="10"/>
      <c r="D71" s="15"/>
      <c r="E71" s="15"/>
      <c r="F71" s="15"/>
      <c r="G71" s="12"/>
      <c r="H71" s="12"/>
      <c r="I71" s="4"/>
    </row>
    <row r="72" spans="1:9" x14ac:dyDescent="0.3">
      <c r="A72" s="14"/>
      <c r="B72" s="10"/>
      <c r="C72" s="10"/>
      <c r="D72" s="15"/>
      <c r="E72" s="15"/>
      <c r="F72" s="15"/>
      <c r="G72" s="12"/>
      <c r="H72" s="12"/>
      <c r="I72" s="4"/>
    </row>
    <row r="73" spans="1:9" x14ac:dyDescent="0.3">
      <c r="A73" s="14"/>
      <c r="B73" s="10"/>
      <c r="C73" s="10"/>
      <c r="D73" s="15"/>
      <c r="E73" s="15"/>
      <c r="F73" s="15"/>
      <c r="G73" s="12"/>
      <c r="H73" s="12"/>
      <c r="I73" s="4"/>
    </row>
    <row r="74" spans="1:9" x14ac:dyDescent="0.3">
      <c r="A74" s="14"/>
      <c r="B74" s="10"/>
      <c r="C74" s="10"/>
      <c r="D74" s="15"/>
      <c r="E74" s="15"/>
      <c r="F74" s="15"/>
      <c r="G74" s="12"/>
      <c r="H74" s="12"/>
      <c r="I74" s="4"/>
    </row>
    <row r="75" spans="1:9" x14ac:dyDescent="0.3">
      <c r="A75" s="120" t="s">
        <v>28</v>
      </c>
      <c r="B75" s="120"/>
      <c r="C75" s="120" t="s">
        <v>29</v>
      </c>
      <c r="D75" s="120"/>
      <c r="E75" s="120"/>
      <c r="F75" s="15"/>
      <c r="G75" s="12"/>
      <c r="H75" s="12"/>
      <c r="I75" s="4"/>
    </row>
    <row r="76" spans="1:9" ht="15" thickBot="1" x14ac:dyDescent="0.35">
      <c r="A76" s="30"/>
      <c r="B76" s="30"/>
      <c r="C76" s="30"/>
      <c r="D76" s="30"/>
      <c r="E76" s="30"/>
      <c r="F76" s="15"/>
      <c r="G76" s="12"/>
      <c r="H76" s="12"/>
      <c r="I76" s="4"/>
    </row>
    <row r="77" spans="1:9" ht="15" thickBot="1" x14ac:dyDescent="0.35">
      <c r="A77" s="115" t="s">
        <v>30</v>
      </c>
      <c r="B77" s="116"/>
      <c r="C77" s="116"/>
      <c r="D77" s="117"/>
      <c r="E77" s="11"/>
      <c r="F77" s="11"/>
      <c r="G77" s="11"/>
      <c r="H77" s="11"/>
      <c r="I77" s="4"/>
    </row>
    <row r="78" spans="1:9" ht="15" thickBot="1" x14ac:dyDescent="0.35">
      <c r="A78" s="16" t="s">
        <v>47</v>
      </c>
      <c r="B78" s="118" t="s">
        <v>31</v>
      </c>
      <c r="C78" s="118" t="s">
        <v>32</v>
      </c>
      <c r="D78" s="118" t="s">
        <v>33</v>
      </c>
      <c r="E78" s="11"/>
      <c r="F78" s="11"/>
      <c r="G78" s="11"/>
      <c r="H78" s="11"/>
      <c r="I78" s="4"/>
    </row>
    <row r="79" spans="1:9" ht="15" thickBot="1" x14ac:dyDescent="0.35">
      <c r="A79" s="16" t="s">
        <v>48</v>
      </c>
      <c r="B79" s="119"/>
      <c r="C79" s="119"/>
      <c r="D79" s="119"/>
      <c r="E79" s="11"/>
      <c r="F79" s="11"/>
      <c r="G79" s="11"/>
      <c r="H79" s="11"/>
      <c r="I79" s="4"/>
    </row>
    <row r="80" spans="1:9" ht="27.75" thickBot="1" x14ac:dyDescent="0.35">
      <c r="A80" s="17" t="s">
        <v>34</v>
      </c>
      <c r="B80" s="18"/>
      <c r="C80" s="18"/>
      <c r="D80" s="18"/>
      <c r="E80" s="11"/>
      <c r="F80" s="11"/>
      <c r="G80" s="11"/>
      <c r="H80" s="11"/>
      <c r="I80" s="4"/>
    </row>
    <row r="81" spans="1:9" ht="15" thickBot="1" x14ac:dyDescent="0.35">
      <c r="A81" s="17" t="s">
        <v>35</v>
      </c>
      <c r="B81" s="18"/>
      <c r="C81" s="18"/>
      <c r="D81" s="18"/>
      <c r="E81" s="11"/>
      <c r="F81" s="11"/>
      <c r="G81" s="11"/>
      <c r="H81" s="11"/>
      <c r="I81" s="4"/>
    </row>
    <row r="82" spans="1:9" ht="27.75" thickBot="1" x14ac:dyDescent="0.35">
      <c r="A82" s="17" t="s">
        <v>36</v>
      </c>
      <c r="B82" s="18"/>
      <c r="C82" s="19" t="s">
        <v>37</v>
      </c>
      <c r="D82" s="18"/>
      <c r="E82" s="11"/>
      <c r="F82" s="11"/>
      <c r="G82" s="11"/>
      <c r="H82" s="11"/>
      <c r="I82" s="4"/>
    </row>
    <row r="83" spans="1:9" x14ac:dyDescent="0.3">
      <c r="A83" s="5"/>
      <c r="B83" s="20"/>
      <c r="C83" s="21"/>
      <c r="D83" s="11"/>
      <c r="E83" s="11"/>
      <c r="F83" s="11"/>
      <c r="G83" s="11"/>
      <c r="H83" s="11"/>
      <c r="I83" s="4"/>
    </row>
    <row r="84" spans="1:9" x14ac:dyDescent="0.3">
      <c r="A84" s="113" t="s">
        <v>38</v>
      </c>
      <c r="B84" s="114"/>
      <c r="C84" s="21"/>
      <c r="D84" s="11"/>
      <c r="E84" s="11"/>
      <c r="F84" s="11"/>
      <c r="G84" s="11"/>
      <c r="H84" s="11"/>
      <c r="I84" s="4"/>
    </row>
    <row r="85" spans="1:9" x14ac:dyDescent="0.3">
      <c r="A85" s="25" t="s">
        <v>39</v>
      </c>
      <c r="B85" s="26" t="s">
        <v>40</v>
      </c>
      <c r="C85" s="21"/>
      <c r="D85" s="11"/>
      <c r="E85" s="11"/>
      <c r="F85" s="11"/>
      <c r="G85" s="11"/>
      <c r="H85" s="11"/>
      <c r="I85" s="4"/>
    </row>
    <row r="86" spans="1:9" x14ac:dyDescent="0.3">
      <c r="A86" s="25" t="s">
        <v>41</v>
      </c>
      <c r="B86" s="27"/>
      <c r="C86" s="21"/>
      <c r="D86" s="11"/>
      <c r="E86" s="11"/>
      <c r="F86" s="11"/>
      <c r="G86" s="11"/>
      <c r="H86" s="11"/>
      <c r="I86" s="4"/>
    </row>
    <row r="87" spans="1:9" x14ac:dyDescent="0.3">
      <c r="A87" s="25"/>
      <c r="B87" s="27"/>
      <c r="C87" s="21"/>
      <c r="D87" s="11"/>
      <c r="E87" s="11"/>
      <c r="F87" s="11"/>
      <c r="G87" s="11"/>
      <c r="H87" s="11"/>
      <c r="I87" s="4"/>
    </row>
    <row r="88" spans="1:9" ht="40.5" x14ac:dyDescent="0.3">
      <c r="A88" s="25" t="s">
        <v>42</v>
      </c>
      <c r="B88" s="39">
        <v>6.9125096085665694E-2</v>
      </c>
      <c r="C88" s="21"/>
      <c r="D88" s="11"/>
      <c r="E88" s="11"/>
      <c r="F88" s="11"/>
      <c r="G88" s="11"/>
      <c r="H88" s="11"/>
      <c r="I88" s="4"/>
    </row>
    <row r="89" spans="1:9" x14ac:dyDescent="0.3">
      <c r="A89" s="25" t="s">
        <v>43</v>
      </c>
      <c r="B89" s="40"/>
      <c r="C89" s="21"/>
      <c r="D89" s="11"/>
      <c r="E89" s="11"/>
      <c r="F89" s="11"/>
      <c r="G89" s="11"/>
      <c r="H89" s="11"/>
      <c r="I89" s="4"/>
    </row>
    <row r="90" spans="1:9" ht="27" x14ac:dyDescent="0.3">
      <c r="A90" s="25" t="s">
        <v>44</v>
      </c>
      <c r="B90" s="98">
        <v>3.88</v>
      </c>
      <c r="C90" s="21"/>
      <c r="D90" s="11"/>
      <c r="E90" s="11"/>
      <c r="F90" s="11"/>
      <c r="G90" s="11"/>
      <c r="H90" s="11"/>
      <c r="I90" s="4"/>
    </row>
    <row r="91" spans="1:9" ht="27" x14ac:dyDescent="0.3">
      <c r="A91" s="25" t="s">
        <v>89</v>
      </c>
      <c r="B91" s="98">
        <v>4.8899999999999997</v>
      </c>
      <c r="C91" s="21"/>
      <c r="D91" s="11"/>
      <c r="E91" s="11"/>
      <c r="F91" s="11"/>
      <c r="G91" s="11"/>
      <c r="H91" s="11"/>
      <c r="I91" s="4"/>
    </row>
    <row r="92" spans="1:9" x14ac:dyDescent="0.3">
      <c r="A92" s="25" t="s">
        <v>43</v>
      </c>
      <c r="B92" s="27"/>
      <c r="C92" s="21"/>
      <c r="D92" s="11"/>
      <c r="E92" s="11"/>
      <c r="F92" s="11"/>
      <c r="G92" s="11"/>
      <c r="H92" s="11"/>
      <c r="I92" s="4"/>
    </row>
    <row r="93" spans="1:9" x14ac:dyDescent="0.3">
      <c r="A93" s="25" t="s">
        <v>45</v>
      </c>
      <c r="B93" s="41" t="s">
        <v>139</v>
      </c>
      <c r="C93" s="21"/>
      <c r="D93" s="11"/>
      <c r="E93" s="11"/>
      <c r="F93" s="11"/>
      <c r="G93" s="11"/>
      <c r="H93" s="11"/>
      <c r="I93" s="4"/>
    </row>
    <row r="94" spans="1:9" ht="40.5" x14ac:dyDescent="0.3">
      <c r="A94" s="28" t="s">
        <v>46</v>
      </c>
      <c r="B94" s="29"/>
      <c r="C94" s="21"/>
      <c r="D94" s="11"/>
      <c r="E94" s="11"/>
      <c r="F94" s="11"/>
      <c r="G94" s="11"/>
      <c r="H94" s="11"/>
      <c r="I94" s="4"/>
    </row>
    <row r="95" spans="1:9" x14ac:dyDescent="0.3">
      <c r="A95" s="35"/>
      <c r="B95" s="38"/>
      <c r="C95" s="21"/>
      <c r="D95" s="4"/>
      <c r="E95" s="4"/>
      <c r="F95" s="4"/>
      <c r="G95" s="4"/>
      <c r="H95" s="4"/>
      <c r="I95" s="4"/>
    </row>
    <row r="96" spans="1:9" x14ac:dyDescent="0.3">
      <c r="A96" s="111" t="s">
        <v>90</v>
      </c>
      <c r="B96" s="112"/>
      <c r="C96" s="21"/>
      <c r="D96" s="4"/>
      <c r="E96" s="4"/>
      <c r="F96" s="4"/>
      <c r="G96" s="4"/>
      <c r="H96" s="4"/>
      <c r="I96" s="4"/>
    </row>
    <row r="97" spans="1:9" x14ac:dyDescent="0.3">
      <c r="A97" s="91" t="s">
        <v>93</v>
      </c>
      <c r="B97" s="92"/>
      <c r="C97" s="93"/>
      <c r="D97" s="4"/>
      <c r="E97" s="4"/>
      <c r="F97" s="4"/>
      <c r="G97" s="4"/>
      <c r="H97" s="4"/>
      <c r="I97" s="4"/>
    </row>
    <row r="98" spans="1:9" ht="15.75" customHeight="1" x14ac:dyDescent="0.3">
      <c r="A98" s="107" t="s">
        <v>91</v>
      </c>
      <c r="B98" s="108"/>
      <c r="C98" s="108"/>
      <c r="D98" s="109"/>
      <c r="E98" s="110"/>
      <c r="F98" s="110"/>
      <c r="G98" s="4"/>
      <c r="H98" s="4"/>
      <c r="I98" s="4"/>
    </row>
    <row r="99" spans="1:9" ht="15.75" customHeight="1" x14ac:dyDescent="0.3">
      <c r="A99" s="94"/>
      <c r="B99" s="95"/>
      <c r="C99" s="95"/>
      <c r="D99" s="35"/>
      <c r="E99" s="36"/>
      <c r="F99" s="36"/>
      <c r="G99" s="4"/>
      <c r="H99" s="4"/>
      <c r="I99" s="4"/>
    </row>
    <row r="100" spans="1:9" x14ac:dyDescent="0.3">
      <c r="A100" s="91" t="s">
        <v>94</v>
      </c>
      <c r="B100" s="92"/>
      <c r="C100" s="93"/>
      <c r="D100" s="4"/>
      <c r="E100" s="4"/>
      <c r="F100" s="4"/>
      <c r="G100" s="4"/>
      <c r="H100" s="4"/>
      <c r="I100" s="4"/>
    </row>
    <row r="101" spans="1:9" x14ac:dyDescent="0.3">
      <c r="A101" s="107" t="s">
        <v>92</v>
      </c>
      <c r="B101" s="108"/>
      <c r="C101" s="108"/>
      <c r="D101" s="4"/>
      <c r="E101" s="4"/>
      <c r="F101" s="4"/>
      <c r="G101" s="4"/>
      <c r="H101" s="4"/>
      <c r="I101" s="4"/>
    </row>
    <row r="102" spans="1:9" x14ac:dyDescent="0.3">
      <c r="A102" s="35"/>
      <c r="B102" s="38"/>
      <c r="C102" s="21"/>
      <c r="D102" s="4"/>
      <c r="E102" s="4"/>
      <c r="F102" s="4"/>
      <c r="G102" s="4"/>
      <c r="H102" s="4"/>
      <c r="I102" s="4"/>
    </row>
    <row r="103" spans="1:9" x14ac:dyDescent="0.3">
      <c r="A103" s="35"/>
      <c r="B103" s="38"/>
      <c r="C103" s="21"/>
      <c r="D103" s="4"/>
      <c r="E103" s="4"/>
      <c r="F103" s="4"/>
      <c r="G103" s="4"/>
      <c r="H103" s="4"/>
      <c r="I103" s="4"/>
    </row>
    <row r="104" spans="1:9" x14ac:dyDescent="0.3">
      <c r="A104" s="35"/>
      <c r="B104" s="38"/>
      <c r="C104" s="21"/>
      <c r="D104" s="4"/>
      <c r="E104" s="4"/>
      <c r="F104" s="4"/>
      <c r="G104" s="4"/>
      <c r="H104" s="4"/>
      <c r="I104" s="4"/>
    </row>
    <row r="105" spans="1:9" x14ac:dyDescent="0.3">
      <c r="A105" s="35"/>
      <c r="B105" s="38"/>
      <c r="C105" s="21"/>
      <c r="D105" s="4"/>
      <c r="E105" s="4"/>
      <c r="F105" s="4"/>
      <c r="G105" s="4"/>
      <c r="H105" s="4"/>
      <c r="I105" s="4"/>
    </row>
    <row r="106" spans="1:9" x14ac:dyDescent="0.3">
      <c r="A106" s="35"/>
      <c r="B106" s="38"/>
      <c r="C106" s="21"/>
      <c r="D106" s="4"/>
      <c r="E106" s="4"/>
      <c r="F106" s="4"/>
      <c r="G106" s="4"/>
      <c r="H106" s="4"/>
      <c r="I106" s="4"/>
    </row>
    <row r="107" spans="1:9" x14ac:dyDescent="0.3">
      <c r="A107" s="35"/>
      <c r="B107" s="38"/>
      <c r="C107" s="21"/>
      <c r="D107" s="4"/>
      <c r="E107" s="4"/>
      <c r="F107" s="4"/>
      <c r="G107" s="4"/>
      <c r="H107" s="4"/>
      <c r="I107" s="4"/>
    </row>
    <row r="108" spans="1:9" x14ac:dyDescent="0.3">
      <c r="A108" s="35"/>
      <c r="B108" s="38"/>
      <c r="C108" s="21"/>
      <c r="D108" s="4"/>
      <c r="E108" s="4"/>
      <c r="F108" s="4"/>
      <c r="G108" s="4"/>
      <c r="H108" s="4"/>
      <c r="I108" s="4"/>
    </row>
    <row r="109" spans="1:9" x14ac:dyDescent="0.3">
      <c r="A109" s="35"/>
      <c r="B109" s="38"/>
      <c r="C109" s="21"/>
      <c r="D109" s="4"/>
      <c r="E109" s="4"/>
      <c r="F109" s="4"/>
      <c r="G109" s="4"/>
      <c r="H109" s="4"/>
      <c r="I109" s="4"/>
    </row>
    <row r="110" spans="1:9" x14ac:dyDescent="0.3">
      <c r="A110" s="35"/>
      <c r="B110" s="38"/>
      <c r="C110" s="21"/>
      <c r="D110" s="4"/>
      <c r="E110" s="4"/>
      <c r="F110" s="4"/>
      <c r="G110" s="4"/>
      <c r="H110" s="4"/>
      <c r="I110" s="4"/>
    </row>
    <row r="111" spans="1:9" x14ac:dyDescent="0.3">
      <c r="A111" s="35"/>
      <c r="B111" s="38"/>
      <c r="C111" s="21"/>
      <c r="D111" s="4"/>
      <c r="E111" s="4"/>
      <c r="F111" s="4"/>
      <c r="G111" s="4"/>
      <c r="H111" s="4"/>
      <c r="I111" s="4"/>
    </row>
    <row r="112" spans="1:9" x14ac:dyDescent="0.3">
      <c r="A112" s="35"/>
      <c r="B112" s="38"/>
      <c r="C112" s="21"/>
      <c r="D112" s="4"/>
      <c r="E112" s="4"/>
      <c r="F112" s="4"/>
      <c r="G112" s="4"/>
      <c r="H112" s="4"/>
      <c r="I112" s="4"/>
    </row>
    <row r="113" spans="1:9" x14ac:dyDescent="0.3">
      <c r="A113" s="35"/>
      <c r="B113" s="38"/>
      <c r="C113" s="21"/>
      <c r="D113" s="4"/>
      <c r="E113" s="4"/>
      <c r="F113" s="4"/>
      <c r="G113" s="4"/>
      <c r="H113" s="4"/>
      <c r="I113" s="4"/>
    </row>
    <row r="114" spans="1:9" x14ac:dyDescent="0.3">
      <c r="A114" s="35"/>
      <c r="B114" s="38"/>
      <c r="C114" s="21"/>
      <c r="D114" s="4"/>
      <c r="E114" s="4"/>
      <c r="F114" s="4"/>
      <c r="G114" s="4"/>
      <c r="H114" s="4"/>
      <c r="I114" s="4"/>
    </row>
    <row r="115" spans="1:9" x14ac:dyDescent="0.3">
      <c r="A115" s="35"/>
      <c r="B115" s="38"/>
      <c r="C115" s="21"/>
      <c r="D115" s="4"/>
      <c r="E115" s="4"/>
      <c r="F115" s="4"/>
      <c r="G115" s="4"/>
      <c r="H115" s="4"/>
      <c r="I115" s="4"/>
    </row>
    <row r="116" spans="1:9" x14ac:dyDescent="0.3">
      <c r="A116" s="35"/>
      <c r="B116" s="38"/>
      <c r="C116" s="21"/>
      <c r="D116" s="4"/>
      <c r="E116" s="4"/>
      <c r="F116" s="4"/>
      <c r="G116" s="4"/>
      <c r="H116" s="4"/>
      <c r="I116" s="4"/>
    </row>
    <row r="117" spans="1:9" x14ac:dyDescent="0.3">
      <c r="A117" s="35"/>
      <c r="B117" s="38"/>
      <c r="C117" s="21"/>
      <c r="D117" s="4"/>
      <c r="E117" s="4"/>
      <c r="F117" s="4"/>
      <c r="G117" s="4"/>
      <c r="H117" s="4"/>
      <c r="I117" s="4"/>
    </row>
    <row r="118" spans="1:9" x14ac:dyDescent="0.3">
      <c r="A118" s="35"/>
      <c r="B118" s="38"/>
      <c r="C118" s="21"/>
      <c r="D118" s="4"/>
      <c r="E118" s="4"/>
      <c r="F118" s="4"/>
      <c r="G118" s="4"/>
      <c r="H118" s="4"/>
      <c r="I118" s="4"/>
    </row>
    <row r="119" spans="1:9" x14ac:dyDescent="0.3">
      <c r="A119" s="35"/>
      <c r="B119" s="38"/>
      <c r="C119" s="21"/>
      <c r="D119" s="4"/>
      <c r="E119" s="4"/>
      <c r="F119" s="4"/>
      <c r="G119" s="4"/>
      <c r="H119" s="4"/>
      <c r="I119" s="4"/>
    </row>
    <row r="120" spans="1:9" x14ac:dyDescent="0.3">
      <c r="A120" s="35"/>
      <c r="B120" s="38"/>
      <c r="C120" s="21"/>
      <c r="D120" s="4"/>
      <c r="E120" s="4"/>
      <c r="F120" s="4"/>
      <c r="G120" s="4"/>
      <c r="H120" s="4"/>
      <c r="I120" s="4"/>
    </row>
    <row r="121" spans="1:9" x14ac:dyDescent="0.3">
      <c r="A121" s="35"/>
      <c r="B121" s="38"/>
      <c r="C121" s="21"/>
      <c r="D121" s="4"/>
      <c r="E121" s="4"/>
      <c r="F121" s="4"/>
      <c r="G121" s="4"/>
      <c r="H121" s="4"/>
      <c r="I121" s="4"/>
    </row>
    <row r="122" spans="1:9" x14ac:dyDescent="0.3">
      <c r="A122" s="35"/>
      <c r="B122" s="38"/>
      <c r="C122" s="21"/>
      <c r="D122" s="4"/>
      <c r="E122" s="4"/>
      <c r="F122" s="4"/>
      <c r="G122" s="4"/>
      <c r="H122" s="4"/>
      <c r="I122" s="4"/>
    </row>
    <row r="123" spans="1:9" x14ac:dyDescent="0.3">
      <c r="A123" s="35"/>
      <c r="B123" s="38"/>
      <c r="C123" s="21"/>
      <c r="D123" s="4"/>
      <c r="E123" s="4"/>
      <c r="F123" s="4"/>
      <c r="G123" s="4"/>
      <c r="H123" s="4"/>
      <c r="I123" s="4"/>
    </row>
    <row r="124" spans="1:9" x14ac:dyDescent="0.3">
      <c r="A124" s="35"/>
      <c r="B124" s="38"/>
      <c r="C124" s="21"/>
      <c r="D124" s="4"/>
      <c r="E124" s="4"/>
      <c r="F124" s="4"/>
      <c r="G124" s="4"/>
      <c r="H124" s="4"/>
      <c r="I124" s="4"/>
    </row>
    <row r="125" spans="1:9" x14ac:dyDescent="0.3">
      <c r="A125" s="35"/>
      <c r="B125" s="38"/>
      <c r="C125" s="21"/>
      <c r="D125" s="4"/>
      <c r="E125" s="4"/>
      <c r="F125" s="4"/>
      <c r="G125" s="4"/>
      <c r="H125" s="4"/>
      <c r="I125" s="4"/>
    </row>
    <row r="126" spans="1:9" x14ac:dyDescent="0.3">
      <c r="A126" s="35"/>
      <c r="B126" s="38"/>
      <c r="C126" s="21"/>
      <c r="D126" s="4"/>
      <c r="E126" s="4"/>
      <c r="F126" s="4"/>
      <c r="G126" s="4"/>
      <c r="H126" s="4"/>
      <c r="I126" s="4"/>
    </row>
    <row r="127" spans="1:9" x14ac:dyDescent="0.3">
      <c r="A127" s="35"/>
      <c r="B127" s="38"/>
      <c r="C127" s="21"/>
      <c r="D127" s="4"/>
      <c r="E127" s="4"/>
      <c r="F127" s="4"/>
      <c r="G127" s="4"/>
      <c r="H127" s="4"/>
      <c r="I127" s="4"/>
    </row>
    <row r="128" spans="1:9" x14ac:dyDescent="0.3">
      <c r="A128" s="35"/>
      <c r="B128" s="38"/>
      <c r="C128" s="21"/>
      <c r="D128" s="4"/>
      <c r="E128" s="4"/>
      <c r="F128" s="4"/>
      <c r="G128" s="4"/>
      <c r="H128" s="4"/>
      <c r="I128" s="4"/>
    </row>
    <row r="129" spans="1:9" x14ac:dyDescent="0.3">
      <c r="A129" s="35"/>
      <c r="B129" s="38"/>
      <c r="C129" s="21"/>
      <c r="D129" s="4"/>
      <c r="E129" s="4"/>
      <c r="F129" s="4"/>
      <c r="G129" s="4"/>
      <c r="H129" s="4"/>
      <c r="I129" s="4"/>
    </row>
    <row r="130" spans="1:9" x14ac:dyDescent="0.3">
      <c r="A130" s="35"/>
      <c r="B130" s="38"/>
      <c r="C130" s="21"/>
      <c r="D130" s="4"/>
      <c r="E130" s="4"/>
      <c r="F130" s="4"/>
      <c r="G130" s="4"/>
      <c r="H130" s="4"/>
      <c r="I130" s="4"/>
    </row>
    <row r="131" spans="1:9" x14ac:dyDescent="0.3">
      <c r="A131" s="35"/>
      <c r="B131" s="38"/>
      <c r="C131" s="21"/>
      <c r="D131" s="4"/>
      <c r="E131" s="4"/>
      <c r="F131" s="4"/>
      <c r="G131" s="4"/>
      <c r="H131" s="4"/>
      <c r="I131" s="4"/>
    </row>
    <row r="132" spans="1:9" x14ac:dyDescent="0.3">
      <c r="A132" s="35"/>
      <c r="B132" s="38"/>
      <c r="C132" s="21"/>
      <c r="D132" s="4"/>
      <c r="E132" s="4"/>
      <c r="F132" s="4"/>
      <c r="G132" s="4"/>
      <c r="H132" s="4"/>
      <c r="I132" s="4"/>
    </row>
    <row r="133" spans="1:9" x14ac:dyDescent="0.3">
      <c r="A133" s="35"/>
      <c r="B133" s="38"/>
      <c r="C133" s="21"/>
      <c r="D133" s="4"/>
      <c r="E133" s="4"/>
      <c r="F133" s="4"/>
      <c r="G133" s="4"/>
      <c r="H133" s="4"/>
      <c r="I133" s="4"/>
    </row>
    <row r="134" spans="1:9" x14ac:dyDescent="0.3">
      <c r="A134" s="35"/>
      <c r="B134" s="38"/>
      <c r="C134" s="21"/>
      <c r="D134" s="4"/>
      <c r="E134" s="4"/>
      <c r="F134" s="4"/>
      <c r="G134" s="4"/>
      <c r="H134" s="4"/>
      <c r="I134" s="4"/>
    </row>
    <row r="135" spans="1:9" x14ac:dyDescent="0.3">
      <c r="A135" s="35"/>
      <c r="B135" s="38"/>
      <c r="C135" s="21"/>
      <c r="D135" s="4"/>
      <c r="E135" s="4"/>
      <c r="F135" s="4"/>
      <c r="G135" s="4"/>
      <c r="H135" s="4"/>
      <c r="I135" s="4"/>
    </row>
    <row r="136" spans="1:9" x14ac:dyDescent="0.3">
      <c r="A136" s="35"/>
      <c r="B136" s="38"/>
      <c r="C136" s="21"/>
      <c r="D136" s="4"/>
      <c r="E136" s="4"/>
      <c r="F136" s="4"/>
      <c r="G136" s="4"/>
      <c r="H136" s="4"/>
      <c r="I136" s="4"/>
    </row>
    <row r="137" spans="1:9" x14ac:dyDescent="0.3">
      <c r="A137" s="35"/>
      <c r="B137" s="38"/>
      <c r="C137" s="21"/>
      <c r="D137" s="4"/>
      <c r="E137" s="4"/>
      <c r="F137" s="4"/>
      <c r="G137" s="4"/>
      <c r="H137" s="4"/>
      <c r="I137" s="4"/>
    </row>
    <row r="138" spans="1:9" x14ac:dyDescent="0.3">
      <c r="A138" s="35"/>
      <c r="B138" s="38"/>
      <c r="C138" s="21"/>
      <c r="D138" s="4"/>
      <c r="E138" s="4"/>
      <c r="F138" s="4"/>
      <c r="G138" s="4"/>
      <c r="H138" s="4"/>
      <c r="I138" s="4"/>
    </row>
    <row r="139" spans="1:9" x14ac:dyDescent="0.3">
      <c r="A139" s="35"/>
      <c r="B139" s="38"/>
      <c r="C139" s="21"/>
      <c r="D139" s="4"/>
      <c r="E139" s="4"/>
      <c r="F139" s="4"/>
      <c r="G139" s="4"/>
      <c r="H139" s="4"/>
      <c r="I139" s="4"/>
    </row>
    <row r="140" spans="1:9" x14ac:dyDescent="0.3">
      <c r="A140" s="35"/>
      <c r="B140" s="38"/>
      <c r="C140" s="21"/>
      <c r="D140" s="4"/>
      <c r="E140" s="4"/>
      <c r="F140" s="4"/>
      <c r="G140" s="4"/>
      <c r="H140" s="4"/>
      <c r="I140" s="4"/>
    </row>
    <row r="141" spans="1:9" x14ac:dyDescent="0.3">
      <c r="A141" s="35"/>
      <c r="B141" s="38"/>
      <c r="C141" s="21"/>
      <c r="D141" s="4"/>
      <c r="E141" s="4"/>
      <c r="F141" s="4"/>
      <c r="G141" s="4"/>
      <c r="H141" s="4"/>
      <c r="I141" s="4"/>
    </row>
    <row r="142" spans="1:9" x14ac:dyDescent="0.3">
      <c r="A142" s="35"/>
      <c r="B142" s="38"/>
      <c r="C142" s="21"/>
      <c r="D142" s="4"/>
      <c r="E142" s="4"/>
      <c r="F142" s="4"/>
      <c r="G142" s="4"/>
      <c r="H142" s="4"/>
      <c r="I142" s="4"/>
    </row>
    <row r="143" spans="1:9" x14ac:dyDescent="0.3">
      <c r="A143" s="35"/>
      <c r="B143" s="38"/>
      <c r="C143" s="21"/>
      <c r="D143" s="4"/>
      <c r="E143" s="4"/>
      <c r="F143" s="4"/>
      <c r="G143" s="4"/>
      <c r="H143" s="4"/>
      <c r="I143" s="4"/>
    </row>
    <row r="144" spans="1:9" x14ac:dyDescent="0.3">
      <c r="A144" s="35"/>
      <c r="B144" s="38"/>
      <c r="C144" s="21"/>
      <c r="D144" s="4"/>
      <c r="E144" s="4"/>
      <c r="F144" s="4"/>
      <c r="G144" s="4"/>
      <c r="H144" s="4"/>
      <c r="I144" s="4"/>
    </row>
    <row r="145" spans="1:9" x14ac:dyDescent="0.3">
      <c r="A145" s="35"/>
      <c r="B145" s="38"/>
      <c r="C145" s="21"/>
      <c r="D145" s="4"/>
      <c r="E145" s="4"/>
      <c r="F145" s="4"/>
      <c r="G145" s="4"/>
      <c r="H145" s="4"/>
      <c r="I145" s="4"/>
    </row>
    <row r="146" spans="1:9" x14ac:dyDescent="0.3">
      <c r="A146" s="35"/>
      <c r="B146" s="38"/>
      <c r="C146" s="21"/>
      <c r="D146" s="4"/>
      <c r="E146" s="4"/>
      <c r="F146" s="4"/>
      <c r="G146" s="4"/>
      <c r="H146" s="4"/>
      <c r="I146" s="4"/>
    </row>
    <row r="147" spans="1:9" x14ac:dyDescent="0.3">
      <c r="A147" s="35"/>
      <c r="B147" s="38"/>
      <c r="C147" s="21"/>
      <c r="D147" s="4"/>
      <c r="E147" s="4"/>
      <c r="F147" s="4"/>
      <c r="G147" s="4"/>
      <c r="H147" s="4"/>
      <c r="I147" s="4"/>
    </row>
    <row r="148" spans="1:9" x14ac:dyDescent="0.3">
      <c r="A148" s="35"/>
      <c r="B148" s="38"/>
      <c r="C148" s="21"/>
      <c r="D148" s="4"/>
      <c r="E148" s="4"/>
      <c r="F148" s="4"/>
      <c r="G148" s="4"/>
      <c r="H148" s="4"/>
      <c r="I148" s="4"/>
    </row>
    <row r="149" spans="1:9" x14ac:dyDescent="0.3">
      <c r="A149" s="35"/>
      <c r="B149" s="38"/>
      <c r="C149" s="21"/>
      <c r="D149" s="4"/>
      <c r="E149" s="4"/>
      <c r="F149" s="4"/>
      <c r="G149" s="4"/>
      <c r="H149" s="4"/>
      <c r="I149" s="4"/>
    </row>
    <row r="150" spans="1:9" x14ac:dyDescent="0.3">
      <c r="A150" s="35"/>
      <c r="B150" s="38"/>
      <c r="C150" s="21"/>
      <c r="D150" s="4"/>
      <c r="E150" s="4"/>
      <c r="F150" s="4"/>
      <c r="G150" s="4"/>
      <c r="H150" s="4"/>
      <c r="I150" s="4"/>
    </row>
    <row r="151" spans="1:9" x14ac:dyDescent="0.3">
      <c r="A151" s="35"/>
      <c r="B151" s="38"/>
      <c r="C151" s="21"/>
      <c r="D151" s="4"/>
      <c r="E151" s="4"/>
      <c r="F151" s="4"/>
      <c r="G151" s="4"/>
      <c r="H151" s="4"/>
      <c r="I151" s="4"/>
    </row>
    <row r="152" spans="1:9" x14ac:dyDescent="0.3">
      <c r="A152" s="35"/>
      <c r="B152" s="38"/>
      <c r="C152" s="21"/>
      <c r="D152" s="4"/>
      <c r="E152" s="4"/>
      <c r="F152" s="4"/>
      <c r="G152" s="4"/>
      <c r="H152" s="4"/>
      <c r="I152" s="4"/>
    </row>
    <row r="153" spans="1:9" x14ac:dyDescent="0.3">
      <c r="A153" s="35"/>
      <c r="B153" s="38"/>
      <c r="C153" s="21"/>
      <c r="D153" s="4"/>
      <c r="E153" s="4"/>
      <c r="F153" s="4"/>
      <c r="G153" s="4"/>
      <c r="H153" s="4"/>
      <c r="I153" s="4"/>
    </row>
    <row r="154" spans="1:9" x14ac:dyDescent="0.3">
      <c r="A154" s="35"/>
      <c r="B154" s="38"/>
      <c r="C154" s="21"/>
      <c r="D154" s="4"/>
      <c r="E154" s="4"/>
      <c r="F154" s="4"/>
      <c r="G154" s="4"/>
      <c r="H154" s="4"/>
      <c r="I154" s="4"/>
    </row>
  </sheetData>
  <mergeCells count="20">
    <mergeCell ref="A58:J58"/>
    <mergeCell ref="A98:C98"/>
    <mergeCell ref="D98:F98"/>
    <mergeCell ref="A101:C101"/>
    <mergeCell ref="A96:B96"/>
    <mergeCell ref="A84:B84"/>
    <mergeCell ref="A77:D77"/>
    <mergeCell ref="B78:B79"/>
    <mergeCell ref="C78:C79"/>
    <mergeCell ref="D78:D79"/>
    <mergeCell ref="C64:E64"/>
    <mergeCell ref="C75:E75"/>
    <mergeCell ref="A64:B64"/>
    <mergeCell ref="A75:B75"/>
    <mergeCell ref="A57:H57"/>
    <mergeCell ref="A55:H55"/>
    <mergeCell ref="A56:H56"/>
    <mergeCell ref="A1:I1"/>
    <mergeCell ref="A2:I2"/>
    <mergeCell ref="A3:I3"/>
  </mergeCells>
  <hyperlinks>
    <hyperlink ref="A98" r:id="rId1" xr:uid="{00000000-0004-0000-0000-000000000000}"/>
    <hyperlink ref="A101" r:id="rId2" xr:uid="{00000000-0004-0000-0000-000001000000}"/>
  </hyperlinks>
  <pageMargins left="0.7" right="0.7" top="0.75" bottom="0.75" header="0.3" footer="0.3"/>
  <pageSetup paperSize="9"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Dynamic Bond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2025-04-15T12:21:24Z</dcterms:created>
  <dcterms:modified xsi:type="dcterms:W3CDTF">2026-03-07T12:09:57Z</dcterms:modified>
</cp:coreProperties>
</file>