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CR" sheetId="1" r:id="rId1"/>
  </sheets>
  <externalReferences>
    <externalReference r:id="rId2"/>
  </externalReferences>
  <definedNames>
    <definedName name="_xlnm._FilterDatabase" localSheetId="0" hidden="1">CR!$A$1:$I$63</definedName>
    <definedName name="Afs">#REF!</definedName>
    <definedName name="_xlnm.Database">#REF!</definedName>
    <definedName name="EBLDB">#REF!</definedName>
    <definedName name="fl">#REF!</definedName>
    <definedName name="_xlnm.Print_Area" localSheetId="0">CR!$A$1:$E$47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2" i="1" l="1"/>
  <c r="D50" i="1"/>
  <c r="E49" i="1"/>
  <c r="E50" i="1" s="1"/>
  <c r="D30" i="1"/>
  <c r="D34" i="1" s="1"/>
  <c r="E29" i="1"/>
  <c r="E28" i="1"/>
  <c r="E27" i="1"/>
  <c r="E26" i="1"/>
  <c r="E25" i="1"/>
  <c r="E24" i="1"/>
  <c r="E23" i="1"/>
  <c r="E22" i="1"/>
  <c r="E21" i="1"/>
  <c r="E20" i="1"/>
  <c r="E19" i="1"/>
  <c r="E18" i="1"/>
  <c r="E17" i="1"/>
  <c r="E16" i="1"/>
  <c r="E15" i="1"/>
  <c r="E14" i="1"/>
  <c r="E13" i="1"/>
  <c r="E12" i="1"/>
  <c r="E11" i="1"/>
  <c r="E10" i="1"/>
  <c r="E9" i="1"/>
  <c r="E8" i="1"/>
  <c r="E7" i="1"/>
  <c r="E6" i="1"/>
  <c r="E30" i="1" l="1"/>
  <c r="E34" i="1" s="1"/>
  <c r="E52" i="1" s="1"/>
  <c r="E56" i="1" s="1"/>
  <c r="D52" i="1"/>
  <c r="D54" i="1" s="1"/>
  <c r="E54" i="1" s="1"/>
</calcChain>
</file>

<file path=xl/sharedStrings.xml><?xml version="1.0" encoding="utf-8"?>
<sst xmlns="http://schemas.openxmlformats.org/spreadsheetml/2006/main" count="120" uniqueCount="101">
  <si>
    <t>JM Focused Fund  (An open-ended equity scheme investing in maximum of 30 stocks of large cap, mid cap and small cap companies)</t>
  </si>
  <si>
    <t>Portfolio as on 30.11.2022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</si>
  <si>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</si>
  <si>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</si>
  <si>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</si>
  <si>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</si>
  <si>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</si>
  <si>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</si>
  <si>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</si>
  <si>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</si>
  <si>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</si>
  <si>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</si>
  <si>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</si>
  <si>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</si>
  <si>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</si>
  <si>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Axis Bank Ltd.</t>
  </si>
  <si>
    <t>Banks</t>
  </si>
  <si>
    <t>INE238A01034</t>
  </si>
  <si>
    <t>HDFC Bank Ltd.</t>
  </si>
  <si>
    <t>INE040A01034</t>
  </si>
  <si>
    <t>Infosys Ltd.</t>
  </si>
  <si>
    <t>IT - Software</t>
  </si>
  <si>
    <t>INE009A01021</t>
  </si>
  <si>
    <t>Reliance Industries Ltd.</t>
  </si>
  <si>
    <t>Petroleum Products</t>
  </si>
  <si>
    <t>INE002A01018</t>
  </si>
  <si>
    <t>Titan Company Ltd.</t>
  </si>
  <si>
    <t>Consumer Durables</t>
  </si>
  <si>
    <t>INE280A01028</t>
  </si>
  <si>
    <t>Gujarat Gas Ltd.</t>
  </si>
  <si>
    <t>Gas</t>
  </si>
  <si>
    <t>INE844O01030</t>
  </si>
  <si>
    <t>ICICI Bank Ltd.</t>
  </si>
  <si>
    <t>INE090A01021</t>
  </si>
  <si>
    <t>Bank of Baroda</t>
  </si>
  <si>
    <t>INE028A01039</t>
  </si>
  <si>
    <t>Jubilant Foodworks Ltd.</t>
  </si>
  <si>
    <t>Leisure Services</t>
  </si>
  <si>
    <t>INE797F01020</t>
  </si>
  <si>
    <t>Bandhan Bank Ltd.</t>
  </si>
  <si>
    <t>INE545U01014</t>
  </si>
  <si>
    <t>Narayana Hrudayalaya Ltd</t>
  </si>
  <si>
    <t>Healthcare Services</t>
  </si>
  <si>
    <t>INE410P01011</t>
  </si>
  <si>
    <t>Mahindra &amp; Mahindra Financial Services Ltd.</t>
  </si>
  <si>
    <t>Finance</t>
  </si>
  <si>
    <t>INE774D01024</t>
  </si>
  <si>
    <t>Maruti Suzuki India Ltd.</t>
  </si>
  <si>
    <t>Automobiles</t>
  </si>
  <si>
    <t>INE585B01010</t>
  </si>
  <si>
    <t>L&amp;T Technology Services Ltd.</t>
  </si>
  <si>
    <t>IT - Services</t>
  </si>
  <si>
    <t>INE010V01017</t>
  </si>
  <si>
    <t>Ultratech Cement Ltd.</t>
  </si>
  <si>
    <t>Cement &amp; Cement Products</t>
  </si>
  <si>
    <t>INE481G01011</t>
  </si>
  <si>
    <t>Bharat Forge Ltd.</t>
  </si>
  <si>
    <t>Industrial Products</t>
  </si>
  <si>
    <t>INE465A01025</t>
  </si>
  <si>
    <t>TVS Motor Company Ltd.</t>
  </si>
  <si>
    <t>INE494B01023</t>
  </si>
  <si>
    <t>United Spirits Ltd.</t>
  </si>
  <si>
    <t>Beverages</t>
  </si>
  <si>
    <t>INE854D01024</t>
  </si>
  <si>
    <t>Britannia Industries Ltd.</t>
  </si>
  <si>
    <t>Food Products</t>
  </si>
  <si>
    <t>INE216A01030</t>
  </si>
  <si>
    <t>Dr. Reddy's Laboratories Ltd.</t>
  </si>
  <si>
    <t>Pharmaceuticals &amp; Biotechnology</t>
  </si>
  <si>
    <t>INE089A01023</t>
  </si>
  <si>
    <t>Varun Beverages Ltd.</t>
  </si>
  <si>
    <t>INE200M01013</t>
  </si>
  <si>
    <t>Trent Ltd.</t>
  </si>
  <si>
    <t>Retailing</t>
  </si>
  <si>
    <t>INE849A01020</t>
  </si>
  <si>
    <t>ACC Ltd.</t>
  </si>
  <si>
    <t>INE012A01025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</si>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</sst>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5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3">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9" fillId="0" borderId="0" xfId="6" applyFont="1"/>
  </cellXfs>
  <cellStyles count="7">
    <cellStyle name="Comma" xfId="1" builtinId="3"/>
    <cellStyle name="Comma 4" xfId="4"/>
    <cellStyle name="Normal" xfId="0" builtinId="0"/>
    <cellStyle name="Normal 2 3 2" xfId="2"/>
    <cellStyle name="Normal 4_CR"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73</xdr:row>
      <xdr:rowOff>0</xdr:rowOff>
    </xdr:from>
    <xdr:to>
      <xdr:col>1</xdr:col>
      <xdr:colOff>466725</xdr:colOff>
      <xdr:row>85</xdr:row>
      <xdr:rowOff>76200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4192250"/>
          <a:ext cx="3867150" cy="2019300"/>
        </a:xfrm>
        <a:prstGeom prst="rect">
          <a:avLst/>
        </a:prstGeom>
        <a:noFill/>
        <a:ln w="9525">
          <a:noFill/>
          <a:miter lim="800000"/>
          <a:headEnd/>
          <a:tailEnd/>
        </a:ln>
      </xdr:spPr>
    </xdr:pic>
    <xdr:clientData/>
  </xdr:twoCellAnchor>
  <xdr:twoCellAnchor editAs="oneCell">
    <xdr:from>
      <xdr:col>3</xdr:col>
      <xdr:colOff>0</xdr:colOff>
      <xdr:row>73</xdr:row>
      <xdr:rowOff>0</xdr:rowOff>
    </xdr:from>
    <xdr:to>
      <xdr:col>6</xdr:col>
      <xdr:colOff>485775</xdr:colOff>
      <xdr:row>85</xdr:row>
      <xdr:rowOff>76200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400800" y="14192250"/>
          <a:ext cx="3790950" cy="20193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202022/Monthly/Template%20Portfolio%20Disclosure%20-30th%20Nov%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30.11.2022"/>
      <sheetName val="GHS 3011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2"/>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A63" sqref="A63:E63"/>
    </sheetView>
  </sheetViews>
  <sheetFormatPr defaultRowHeight="12.75" x14ac:dyDescent="0.2"/>
  <cols>
    <col min="1" max="1" width="51" style="59" customWidth="1"/>
    <col min="2" max="2" width="31.5703125" style="60" customWidth="1"/>
    <col min="3" max="3" width="13.42578125" style="61" customWidth="1"/>
    <col min="4" max="4" width="20.85546875" style="5" customWidth="1"/>
    <col min="5" max="5" width="12.42578125" style="5" bestFit="1" customWidth="1"/>
    <col min="6" max="6" width="16.28515625" style="5" customWidth="1"/>
    <col min="7" max="7" width="9.5703125" style="5" bestFit="1" customWidth="1"/>
    <col min="8" max="8" width="12.28515625" style="5"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53.25" customHeight="1" x14ac:dyDescent="0.2">
      <c r="A3" s="7" t="s">
        <v>2</v>
      </c>
      <c r="B3" s="8" t="s">
        <v>3</v>
      </c>
      <c r="C3" s="9" t="s">
        <v>4</v>
      </c>
      <c r="D3" s="7" t="s">
        <v>5</v>
      </c>
      <c r="E3" s="7" t="s">
        <v>6</v>
      </c>
      <c r="F3" s="7" t="s">
        <v>7</v>
      </c>
      <c r="G3" s="10" t="s">
        <v>8</v>
      </c>
      <c r="H3" s="11" t="s">
        <v>9</v>
      </c>
    </row>
    <row r="4" spans="1:8" x14ac:dyDescent="0.2">
      <c r="A4" s="13" t="s">
        <v>10</v>
      </c>
      <c r="B4" s="14"/>
      <c r="C4" s="15"/>
      <c r="D4" s="16"/>
      <c r="E4" s="16"/>
      <c r="F4" s="17"/>
      <c r="G4" s="18"/>
      <c r="H4" s="19"/>
    </row>
    <row r="5" spans="1:8" x14ac:dyDescent="0.2">
      <c r="A5" s="20" t="s">
        <v>11</v>
      </c>
      <c r="B5" s="14"/>
      <c r="C5" s="15"/>
      <c r="D5" s="16"/>
      <c r="E5" s="16"/>
      <c r="F5" s="17"/>
      <c r="G5" s="18"/>
      <c r="H5" s="19"/>
    </row>
    <row r="6" spans="1:8" s="25" customFormat="1" x14ac:dyDescent="0.2">
      <c r="A6" s="21" t="s">
        <v>12</v>
      </c>
      <c r="B6" s="22" t="s">
        <v>13</v>
      </c>
      <c r="C6" s="23">
        <v>15027</v>
      </c>
      <c r="D6" s="24">
        <v>311.78770950000001</v>
      </c>
      <c r="E6" s="24">
        <f t="shared" ref="E6:E29" si="0">(+D6/$D$56*100)</f>
        <v>6.8983948648459599</v>
      </c>
      <c r="F6" s="24" t="s">
        <v>14</v>
      </c>
      <c r="G6" s="19"/>
      <c r="H6" s="18"/>
    </row>
    <row r="7" spans="1:8" s="25" customFormat="1" x14ac:dyDescent="0.2">
      <c r="A7" s="21" t="s">
        <v>15</v>
      </c>
      <c r="B7" s="22" t="s">
        <v>16</v>
      </c>
      <c r="C7" s="23">
        <v>32900</v>
      </c>
      <c r="D7" s="24">
        <v>296.51125000000002</v>
      </c>
      <c r="E7" s="24">
        <f t="shared" si="0"/>
        <v>6.5603987009278084</v>
      </c>
      <c r="F7" s="24" t="s">
        <v>17</v>
      </c>
      <c r="G7" s="19"/>
      <c r="H7" s="19"/>
    </row>
    <row r="8" spans="1:8" s="25" customFormat="1" x14ac:dyDescent="0.2">
      <c r="A8" s="21" t="s">
        <v>18</v>
      </c>
      <c r="B8" s="22" t="s">
        <v>16</v>
      </c>
      <c r="C8" s="23">
        <v>17508</v>
      </c>
      <c r="D8" s="24">
        <v>281.60742600000003</v>
      </c>
      <c r="E8" s="24">
        <f t="shared" si="0"/>
        <v>6.2306472071532664</v>
      </c>
      <c r="F8" s="24" t="s">
        <v>19</v>
      </c>
      <c r="G8" s="19"/>
      <c r="H8" s="19"/>
    </row>
    <row r="9" spans="1:8" s="25" customFormat="1" x14ac:dyDescent="0.2">
      <c r="A9" s="21" t="s">
        <v>20</v>
      </c>
      <c r="B9" s="22" t="s">
        <v>21</v>
      </c>
      <c r="C9" s="23">
        <v>15910</v>
      </c>
      <c r="D9" s="24">
        <v>260.12054499999999</v>
      </c>
      <c r="E9" s="24">
        <f t="shared" si="0"/>
        <v>5.7552436391625381</v>
      </c>
      <c r="F9" s="24" t="s">
        <v>22</v>
      </c>
      <c r="G9" s="19"/>
      <c r="H9" s="26"/>
    </row>
    <row r="10" spans="1:8" s="25" customFormat="1" x14ac:dyDescent="0.2">
      <c r="A10" s="21" t="s">
        <v>23</v>
      </c>
      <c r="B10" s="22" t="s">
        <v>24</v>
      </c>
      <c r="C10" s="23">
        <v>8350</v>
      </c>
      <c r="D10" s="24">
        <v>228.067725</v>
      </c>
      <c r="E10" s="24">
        <f t="shared" si="0"/>
        <v>5.0460655601214466</v>
      </c>
      <c r="F10" s="24" t="s">
        <v>25</v>
      </c>
      <c r="G10" s="19"/>
      <c r="H10" s="18"/>
    </row>
    <row r="11" spans="1:8" s="25" customFormat="1" x14ac:dyDescent="0.2">
      <c r="A11" s="21" t="s">
        <v>26</v>
      </c>
      <c r="B11" s="22" t="s">
        <v>27</v>
      </c>
      <c r="C11" s="23">
        <v>8404</v>
      </c>
      <c r="D11" s="24">
        <v>222.95812000000001</v>
      </c>
      <c r="E11" s="24">
        <f t="shared" si="0"/>
        <v>4.9330140451983064</v>
      </c>
      <c r="F11" s="24" t="s">
        <v>28</v>
      </c>
      <c r="G11" s="19"/>
      <c r="H11" s="18"/>
    </row>
    <row r="12" spans="1:8" s="25" customFormat="1" x14ac:dyDescent="0.2">
      <c r="A12" s="21" t="s">
        <v>29</v>
      </c>
      <c r="B12" s="22" t="s">
        <v>30</v>
      </c>
      <c r="C12" s="23">
        <v>43700</v>
      </c>
      <c r="D12" s="24">
        <v>217.99744999999999</v>
      </c>
      <c r="E12" s="24">
        <f t="shared" si="0"/>
        <v>4.8232577609975156</v>
      </c>
      <c r="F12" s="24" t="s">
        <v>31</v>
      </c>
      <c r="G12" s="19"/>
      <c r="H12" s="19"/>
    </row>
    <row r="13" spans="1:8" s="25" customFormat="1" x14ac:dyDescent="0.2">
      <c r="A13" s="21" t="s">
        <v>32</v>
      </c>
      <c r="B13" s="22" t="s">
        <v>16</v>
      </c>
      <c r="C13" s="23">
        <v>22300</v>
      </c>
      <c r="D13" s="24">
        <v>212.4967</v>
      </c>
      <c r="E13" s="24">
        <f t="shared" si="0"/>
        <v>4.7015520477939576</v>
      </c>
      <c r="F13" s="24" t="s">
        <v>33</v>
      </c>
      <c r="G13" s="19"/>
      <c r="H13" s="26"/>
    </row>
    <row r="14" spans="1:8" s="25" customFormat="1" x14ac:dyDescent="0.2">
      <c r="A14" s="21" t="s">
        <v>34</v>
      </c>
      <c r="B14" s="22" t="s">
        <v>16</v>
      </c>
      <c r="C14" s="23">
        <v>125000</v>
      </c>
      <c r="D14" s="24">
        <v>207.8125</v>
      </c>
      <c r="E14" s="24">
        <f t="shared" si="0"/>
        <v>4.5979127437375817</v>
      </c>
      <c r="F14" s="24" t="s">
        <v>35</v>
      </c>
      <c r="G14" s="19"/>
      <c r="H14" s="19"/>
    </row>
    <row r="15" spans="1:8" s="25" customFormat="1" x14ac:dyDescent="0.2">
      <c r="A15" s="21" t="s">
        <v>36</v>
      </c>
      <c r="B15" s="22" t="s">
        <v>37</v>
      </c>
      <c r="C15" s="23">
        <v>38000</v>
      </c>
      <c r="D15" s="24">
        <v>207.803</v>
      </c>
      <c r="E15" s="24">
        <f t="shared" si="0"/>
        <v>4.5977025534407252</v>
      </c>
      <c r="F15" s="24" t="s">
        <v>38</v>
      </c>
      <c r="G15" s="19"/>
      <c r="H15" s="26"/>
    </row>
    <row r="16" spans="1:8" s="25" customFormat="1" x14ac:dyDescent="0.2">
      <c r="A16" s="21" t="s">
        <v>39</v>
      </c>
      <c r="B16" s="22" t="s">
        <v>16</v>
      </c>
      <c r="C16" s="23">
        <v>82000</v>
      </c>
      <c r="D16" s="24">
        <v>195.488</v>
      </c>
      <c r="E16" s="24">
        <f t="shared" si="0"/>
        <v>4.3252295528313853</v>
      </c>
      <c r="F16" s="24" t="s">
        <v>40</v>
      </c>
      <c r="G16" s="19"/>
      <c r="H16" s="19"/>
    </row>
    <row r="17" spans="1:8" s="25" customFormat="1" x14ac:dyDescent="0.2">
      <c r="A17" s="21" t="s">
        <v>41</v>
      </c>
      <c r="B17" s="22" t="s">
        <v>42</v>
      </c>
      <c r="C17" s="23">
        <v>24100</v>
      </c>
      <c r="D17" s="24">
        <v>178.9907</v>
      </c>
      <c r="E17" s="24">
        <f t="shared" si="0"/>
        <v>3.9602219334280195</v>
      </c>
      <c r="F17" s="24" t="s">
        <v>43</v>
      </c>
      <c r="G17" s="19"/>
      <c r="H17" s="18"/>
    </row>
    <row r="18" spans="1:8" s="25" customFormat="1" x14ac:dyDescent="0.2">
      <c r="A18" s="21" t="s">
        <v>44</v>
      </c>
      <c r="B18" s="22" t="s">
        <v>45</v>
      </c>
      <c r="C18" s="23">
        <v>83000</v>
      </c>
      <c r="D18" s="24">
        <v>178.45</v>
      </c>
      <c r="E18" s="24">
        <f t="shared" si="0"/>
        <v>3.948258786742719</v>
      </c>
      <c r="F18" s="24" t="s">
        <v>46</v>
      </c>
      <c r="G18" s="19"/>
      <c r="H18" s="18"/>
    </row>
    <row r="19" spans="1:8" s="25" customFormat="1" x14ac:dyDescent="0.2">
      <c r="A19" s="21" t="s">
        <v>47</v>
      </c>
      <c r="B19" s="22" t="s">
        <v>48</v>
      </c>
      <c r="C19" s="23">
        <v>1925</v>
      </c>
      <c r="D19" s="24">
        <v>172.7523875</v>
      </c>
      <c r="E19" s="24">
        <f t="shared" si="0"/>
        <v>3.8221974327691686</v>
      </c>
      <c r="F19" s="24" t="s">
        <v>49</v>
      </c>
      <c r="G19" s="19"/>
      <c r="H19" s="18"/>
    </row>
    <row r="20" spans="1:8" s="25" customFormat="1" x14ac:dyDescent="0.2">
      <c r="A20" s="21" t="s">
        <v>50</v>
      </c>
      <c r="B20" s="22" t="s">
        <v>51</v>
      </c>
      <c r="C20" s="23">
        <v>4500</v>
      </c>
      <c r="D20" s="24">
        <v>171.66825</v>
      </c>
      <c r="E20" s="24">
        <f t="shared" si="0"/>
        <v>3.7982105714051326</v>
      </c>
      <c r="F20" s="24" t="s">
        <v>52</v>
      </c>
      <c r="G20" s="19"/>
      <c r="H20" s="18"/>
    </row>
    <row r="21" spans="1:8" s="25" customFormat="1" x14ac:dyDescent="0.2">
      <c r="A21" s="21" t="s">
        <v>53</v>
      </c>
      <c r="B21" s="22" t="s">
        <v>54</v>
      </c>
      <c r="C21" s="23">
        <v>2400</v>
      </c>
      <c r="D21" s="24">
        <v>169.84800000000001</v>
      </c>
      <c r="E21" s="24">
        <f t="shared" si="0"/>
        <v>3.7579370042626925</v>
      </c>
      <c r="F21" s="24" t="s">
        <v>55</v>
      </c>
      <c r="G21" s="19"/>
      <c r="H21" s="18"/>
    </row>
    <row r="22" spans="1:8" s="25" customFormat="1" x14ac:dyDescent="0.2">
      <c r="A22" s="21" t="s">
        <v>56</v>
      </c>
      <c r="B22" s="22" t="s">
        <v>57</v>
      </c>
      <c r="C22" s="23">
        <v>19750</v>
      </c>
      <c r="D22" s="24">
        <v>169.76112499999999</v>
      </c>
      <c r="E22" s="24">
        <f t="shared" si="0"/>
        <v>3.756014869311175</v>
      </c>
      <c r="F22" s="24" t="s">
        <v>58</v>
      </c>
      <c r="G22" s="19"/>
      <c r="H22" s="19"/>
    </row>
    <row r="23" spans="1:8" s="25" customFormat="1" x14ac:dyDescent="0.2">
      <c r="A23" s="21" t="s">
        <v>59</v>
      </c>
      <c r="B23" s="22" t="s">
        <v>48</v>
      </c>
      <c r="C23" s="23">
        <v>15750</v>
      </c>
      <c r="D23" s="24">
        <v>165.08362500000001</v>
      </c>
      <c r="E23" s="24">
        <f t="shared" si="0"/>
        <v>3.6525238047273194</v>
      </c>
      <c r="F23" s="24" t="s">
        <v>60</v>
      </c>
      <c r="G23" s="19"/>
      <c r="H23" s="18"/>
    </row>
    <row r="24" spans="1:8" s="25" customFormat="1" x14ac:dyDescent="0.2">
      <c r="A24" s="21" t="s">
        <v>61</v>
      </c>
      <c r="B24" s="22" t="s">
        <v>62</v>
      </c>
      <c r="C24" s="23">
        <v>16800</v>
      </c>
      <c r="D24" s="24">
        <v>156.62639999999999</v>
      </c>
      <c r="E24" s="24">
        <f t="shared" si="0"/>
        <v>3.4654052117449137</v>
      </c>
      <c r="F24" s="24" t="s">
        <v>63</v>
      </c>
      <c r="G24" s="19"/>
      <c r="H24" s="18"/>
    </row>
    <row r="25" spans="1:8" s="25" customFormat="1" x14ac:dyDescent="0.2">
      <c r="A25" s="21" t="s">
        <v>64</v>
      </c>
      <c r="B25" s="22" t="s">
        <v>65</v>
      </c>
      <c r="C25" s="23">
        <v>3150</v>
      </c>
      <c r="D25" s="24">
        <v>137.41245000000001</v>
      </c>
      <c r="E25" s="24">
        <f t="shared" si="0"/>
        <v>3.0402909112936096</v>
      </c>
      <c r="F25" s="24" t="s">
        <v>66</v>
      </c>
      <c r="G25" s="19"/>
      <c r="H25" s="19"/>
    </row>
    <row r="26" spans="1:8" s="25" customFormat="1" x14ac:dyDescent="0.2">
      <c r="A26" s="21" t="s">
        <v>67</v>
      </c>
      <c r="B26" s="22" t="s">
        <v>68</v>
      </c>
      <c r="C26" s="23">
        <v>2500</v>
      </c>
      <c r="D26" s="24">
        <v>112.17874999999999</v>
      </c>
      <c r="E26" s="24">
        <f t="shared" si="0"/>
        <v>2.4819878698420559</v>
      </c>
      <c r="F26" s="24" t="s">
        <v>69</v>
      </c>
      <c r="G26" s="19"/>
      <c r="H26" s="19"/>
    </row>
    <row r="27" spans="1:8" s="25" customFormat="1" x14ac:dyDescent="0.2">
      <c r="A27" s="21" t="s">
        <v>70</v>
      </c>
      <c r="B27" s="22" t="s">
        <v>62</v>
      </c>
      <c r="C27" s="23">
        <v>6154</v>
      </c>
      <c r="D27" s="24">
        <v>76.909615000000002</v>
      </c>
      <c r="E27" s="24">
        <f t="shared" si="0"/>
        <v>1.7016478745236743</v>
      </c>
      <c r="F27" s="24" t="s">
        <v>71</v>
      </c>
      <c r="G27" s="19"/>
      <c r="H27" s="18"/>
    </row>
    <row r="28" spans="1:8" s="25" customFormat="1" x14ac:dyDescent="0.2">
      <c r="A28" s="21" t="s">
        <v>72</v>
      </c>
      <c r="B28" s="22" t="s">
        <v>73</v>
      </c>
      <c r="C28" s="23">
        <v>5100</v>
      </c>
      <c r="D28" s="24">
        <v>75.054150000000007</v>
      </c>
      <c r="E28" s="24">
        <f t="shared" si="0"/>
        <v>1.6605951651387285</v>
      </c>
      <c r="F28" s="24" t="s">
        <v>74</v>
      </c>
      <c r="G28" s="19"/>
      <c r="H28" s="18"/>
    </row>
    <row r="29" spans="1:8" s="25" customFormat="1" x14ac:dyDescent="0.2">
      <c r="A29" s="21" t="s">
        <v>75</v>
      </c>
      <c r="B29" s="22" t="s">
        <v>54</v>
      </c>
      <c r="C29" s="23">
        <v>1800</v>
      </c>
      <c r="D29" s="24">
        <v>46.138500000000001</v>
      </c>
      <c r="E29" s="24">
        <f t="shared" si="0"/>
        <v>1.0208278959491677</v>
      </c>
      <c r="F29" s="24" t="s">
        <v>76</v>
      </c>
      <c r="G29" s="19"/>
      <c r="H29" s="19"/>
    </row>
    <row r="30" spans="1:8" s="25" customFormat="1" x14ac:dyDescent="0.2">
      <c r="A30" s="20" t="s">
        <v>77</v>
      </c>
      <c r="B30" s="22"/>
      <c r="C30" s="23"/>
      <c r="D30" s="27">
        <f>IF(ISERROR(SUM(D6:D29)),0,SUM(D6:D29))</f>
        <v>4453.5243779999992</v>
      </c>
      <c r="E30" s="27">
        <f>IF(ISERROR(SUM(E6:E29)),0,SUM(E6:E29))</f>
        <v>98.535538007348862</v>
      </c>
      <c r="F30" s="27"/>
      <c r="G30" s="19"/>
      <c r="H30" s="18"/>
    </row>
    <row r="31" spans="1:8" s="25" customFormat="1" x14ac:dyDescent="0.2">
      <c r="A31" s="20"/>
      <c r="B31" s="20"/>
      <c r="C31" s="28"/>
      <c r="D31" s="29"/>
      <c r="E31" s="29"/>
      <c r="F31" s="29"/>
      <c r="G31" s="19"/>
      <c r="H31" s="18"/>
    </row>
    <row r="32" spans="1:8" s="25" customFormat="1" x14ac:dyDescent="0.2">
      <c r="A32" s="20" t="s">
        <v>78</v>
      </c>
      <c r="B32" s="20"/>
      <c r="C32" s="28"/>
      <c r="D32" s="30" t="s">
        <v>79</v>
      </c>
      <c r="E32" s="30" t="s">
        <v>79</v>
      </c>
      <c r="F32" s="30"/>
      <c r="G32" s="19"/>
      <c r="H32" s="18"/>
    </row>
    <row r="33" spans="1:8" s="25" customFormat="1" x14ac:dyDescent="0.2">
      <c r="A33" s="20"/>
      <c r="B33" s="13"/>
      <c r="C33" s="28"/>
      <c r="D33" s="30"/>
      <c r="E33" s="30"/>
      <c r="F33" s="31"/>
      <c r="G33" s="19"/>
      <c r="H33" s="18"/>
    </row>
    <row r="34" spans="1:8" s="25" customFormat="1" x14ac:dyDescent="0.2">
      <c r="A34" s="20" t="s">
        <v>80</v>
      </c>
      <c r="B34" s="20"/>
      <c r="C34" s="28"/>
      <c r="D34" s="27">
        <f>IF(ISERROR(+D30),0,D30)+IF(ISERROR(+#REF!),0,#REF!)</f>
        <v>4453.5243779999992</v>
      </c>
      <c r="E34" s="27">
        <f>IF(ISERROR(+E30),0,E30)+IF(ISERROR(+#REF!),0,#REF!)</f>
        <v>98.535538007348862</v>
      </c>
      <c r="F34" s="32"/>
      <c r="G34" s="19"/>
      <c r="H34" s="18"/>
    </row>
    <row r="35" spans="1:8" s="25" customFormat="1" x14ac:dyDescent="0.2">
      <c r="A35" s="20"/>
      <c r="B35" s="13"/>
      <c r="C35" s="28"/>
      <c r="D35" s="30"/>
      <c r="E35" s="30"/>
      <c r="F35" s="31"/>
      <c r="G35" s="19"/>
      <c r="H35" s="18"/>
    </row>
    <row r="36" spans="1:8" s="25" customFormat="1" x14ac:dyDescent="0.2">
      <c r="A36" s="20" t="s">
        <v>81</v>
      </c>
      <c r="B36" s="13"/>
      <c r="C36" s="28"/>
      <c r="D36" s="30"/>
      <c r="E36" s="30"/>
      <c r="F36" s="31"/>
      <c r="G36" s="19"/>
      <c r="H36" s="18"/>
    </row>
    <row r="37" spans="1:8" s="25" customFormat="1" x14ac:dyDescent="0.2">
      <c r="A37" s="20" t="s">
        <v>11</v>
      </c>
      <c r="B37" s="13"/>
      <c r="C37" s="28"/>
      <c r="D37" s="30" t="s">
        <v>79</v>
      </c>
      <c r="E37" s="30" t="s">
        <v>79</v>
      </c>
      <c r="F37" s="33"/>
      <c r="G37" s="19"/>
      <c r="H37" s="18"/>
    </row>
    <row r="38" spans="1:8" s="25" customFormat="1" x14ac:dyDescent="0.2">
      <c r="A38" s="20"/>
      <c r="B38" s="13"/>
      <c r="C38" s="34"/>
      <c r="D38" s="33"/>
      <c r="E38" s="33"/>
      <c r="F38" s="33"/>
      <c r="G38" s="19"/>
      <c r="H38" s="18"/>
    </row>
    <row r="39" spans="1:8" s="25" customFormat="1" x14ac:dyDescent="0.2">
      <c r="A39" s="20" t="s">
        <v>82</v>
      </c>
      <c r="B39" s="13"/>
      <c r="C39" s="34"/>
      <c r="D39" s="30" t="s">
        <v>79</v>
      </c>
      <c r="E39" s="30" t="s">
        <v>79</v>
      </c>
      <c r="F39" s="31"/>
      <c r="G39" s="19"/>
      <c r="H39" s="18"/>
    </row>
    <row r="40" spans="1:8" s="25" customFormat="1" x14ac:dyDescent="0.2">
      <c r="A40" s="20"/>
      <c r="B40" s="13"/>
      <c r="C40" s="34"/>
      <c r="D40" s="30"/>
      <c r="E40" s="30"/>
      <c r="F40" s="30"/>
      <c r="G40" s="19"/>
      <c r="H40" s="18"/>
    </row>
    <row r="41" spans="1:8" s="25" customFormat="1" x14ac:dyDescent="0.2">
      <c r="A41" s="20" t="s">
        <v>83</v>
      </c>
      <c r="B41" s="13"/>
      <c r="C41" s="34"/>
      <c r="D41" s="30"/>
      <c r="E41" s="30"/>
      <c r="F41" s="30"/>
      <c r="G41" s="19"/>
      <c r="H41" s="18"/>
    </row>
    <row r="42" spans="1:8" s="25" customFormat="1" x14ac:dyDescent="0.2">
      <c r="A42" s="20"/>
      <c r="B42" s="13"/>
      <c r="C42" s="34"/>
      <c r="D42" s="24"/>
      <c r="E42" s="24"/>
      <c r="F42" s="35"/>
      <c r="G42" s="19"/>
      <c r="H42" s="18"/>
    </row>
    <row r="43" spans="1:8" s="25" customFormat="1" x14ac:dyDescent="0.2">
      <c r="A43" s="20" t="s">
        <v>84</v>
      </c>
      <c r="B43" s="13"/>
      <c r="C43" s="34"/>
      <c r="D43" s="30" t="s">
        <v>79</v>
      </c>
      <c r="E43" s="30" t="s">
        <v>79</v>
      </c>
      <c r="F43" s="30"/>
      <c r="G43" s="19"/>
      <c r="H43" s="18"/>
    </row>
    <row r="44" spans="1:8" s="25" customFormat="1" x14ac:dyDescent="0.2">
      <c r="A44" s="20"/>
      <c r="B44" s="13"/>
      <c r="C44" s="34"/>
      <c r="D44" s="30"/>
      <c r="E44" s="30"/>
      <c r="F44" s="30"/>
      <c r="G44" s="19"/>
      <c r="H44" s="18"/>
    </row>
    <row r="45" spans="1:8" s="25" customFormat="1" x14ac:dyDescent="0.2">
      <c r="A45" s="20" t="s">
        <v>85</v>
      </c>
      <c r="B45" s="13"/>
      <c r="C45" s="34"/>
      <c r="D45" s="30" t="s">
        <v>79</v>
      </c>
      <c r="E45" s="30" t="s">
        <v>79</v>
      </c>
      <c r="F45" s="30"/>
      <c r="G45" s="19"/>
      <c r="H45" s="18"/>
    </row>
    <row r="46" spans="1:8" s="25" customFormat="1" x14ac:dyDescent="0.2">
      <c r="A46" s="20"/>
      <c r="B46" s="13"/>
      <c r="C46" s="34"/>
      <c r="D46" s="30"/>
      <c r="E46" s="30"/>
      <c r="F46" s="30"/>
      <c r="G46" s="19"/>
      <c r="H46" s="18"/>
    </row>
    <row r="47" spans="1:8" s="25" customFormat="1" x14ac:dyDescent="0.2">
      <c r="A47" s="20" t="s">
        <v>86</v>
      </c>
      <c r="B47" s="13"/>
      <c r="C47" s="34"/>
      <c r="D47" s="30"/>
      <c r="E47" s="30"/>
      <c r="F47" s="31"/>
      <c r="G47" s="19"/>
      <c r="H47" s="18"/>
    </row>
    <row r="48" spans="1:8" s="25" customFormat="1" x14ac:dyDescent="0.2">
      <c r="A48" s="20"/>
      <c r="B48" s="36"/>
      <c r="C48" s="37"/>
      <c r="D48" s="33"/>
      <c r="E48" s="33"/>
      <c r="F48" s="38"/>
      <c r="G48" s="19"/>
      <c r="H48" s="18"/>
    </row>
    <row r="49" spans="1:8" s="25" customFormat="1" x14ac:dyDescent="0.2">
      <c r="A49" s="21" t="s">
        <v>87</v>
      </c>
      <c r="B49" s="22"/>
      <c r="C49" s="23">
        <v>0</v>
      </c>
      <c r="D49" s="24">
        <v>46.666377500000003</v>
      </c>
      <c r="E49" s="24">
        <f>(+D49/$D$56*100)</f>
        <v>1.0325073410469474</v>
      </c>
      <c r="F49" s="24">
        <v>0</v>
      </c>
      <c r="G49" s="19">
        <v>5.6050000000000004</v>
      </c>
      <c r="H49" s="18"/>
    </row>
    <row r="50" spans="1:8" s="25" customFormat="1" x14ac:dyDescent="0.2">
      <c r="A50" s="20" t="s">
        <v>77</v>
      </c>
      <c r="B50" s="13"/>
      <c r="C50" s="34"/>
      <c r="D50" s="30">
        <f>IF(ISERROR(SUM(D49:D49)),0,SUM(D49:D49))</f>
        <v>46.666377500000003</v>
      </c>
      <c r="E50" s="30">
        <f>IF(ISERROR(SUM(E49:E49)),0,SUM(E49:E49))</f>
        <v>1.0325073410469474</v>
      </c>
      <c r="F50" s="24"/>
      <c r="G50" s="19"/>
      <c r="H50" s="18"/>
    </row>
    <row r="51" spans="1:8" s="25" customFormat="1" x14ac:dyDescent="0.2">
      <c r="A51" s="20"/>
      <c r="B51" s="13"/>
      <c r="C51" s="34"/>
      <c r="D51" s="30"/>
      <c r="E51" s="30"/>
      <c r="F51" s="31"/>
      <c r="G51" s="19"/>
      <c r="H51" s="18"/>
    </row>
    <row r="52" spans="1:8" s="25" customFormat="1" x14ac:dyDescent="0.2">
      <c r="A52" s="20" t="s">
        <v>80</v>
      </c>
      <c r="B52" s="13"/>
      <c r="C52" s="34" t="s">
        <v>88</v>
      </c>
      <c r="D52" s="30">
        <f>+IF(ISERROR(#REF!),0,#REF!)+IF(ISERROR(D50),0,D50)+IF(ISERROR(D34),0,D34)+IF(ISERROR(#REF!),0,#REF!)+IF(ISERROR(#REF!),0,#REF!)+IF(ISERROR(#REF!),0,#REF!)+IF(ISERROR(#REF!),0,#REF!)+IF(ISERROR(#REF!),0,#REF!)+IF(ISERROR(#REF!),0,#REF!)</f>
        <v>4500.1907554999989</v>
      </c>
      <c r="E52" s="30">
        <f>+IF(ISERROR(#REF!),0,#REF!)+IF(ISERROR(E50),0,E50)+IF(ISERROR(E34),0,E34)+IF(ISERROR(#REF!),0,#REF!)+IF(ISERROR(#REF!),0,#REF!)+IF(ISERROR(#REF!),0,#REF!)+IF(ISERROR(#REF!),0,#REF!)+IF(ISERROR(#REF!),0,#REF!)+IF(ISERROR(#REF!),0,#REF!)</f>
        <v>99.568045348395813</v>
      </c>
      <c r="F52" s="30">
        <f>+IF(ISERROR(#REF!),0,#REF!)+IF(ISERROR(F50),0,F50)+IF(ISERROR(F34),0,F34)+IF(ISERROR(#REF!),0,#REF!)+IF(ISERROR(#REF!),0,#REF!)+IF(ISERROR(#REF!),0,#REF!)+IF(ISERROR(#REF!),0,#REF!)</f>
        <v>0</v>
      </c>
      <c r="G52" s="19"/>
      <c r="H52" s="18"/>
    </row>
    <row r="53" spans="1:8" s="25" customFormat="1" x14ac:dyDescent="0.2">
      <c r="A53" s="20"/>
      <c r="B53" s="13"/>
      <c r="C53" s="34"/>
      <c r="D53" s="30"/>
      <c r="E53" s="30"/>
      <c r="F53" s="39"/>
      <c r="H53" s="5"/>
    </row>
    <row r="54" spans="1:8" s="25" customFormat="1" x14ac:dyDescent="0.2">
      <c r="A54" s="20" t="s">
        <v>89</v>
      </c>
      <c r="B54" s="13"/>
      <c r="C54" s="34"/>
      <c r="D54" s="30">
        <f>+D56-D52</f>
        <v>19.523114299800909</v>
      </c>
      <c r="E54" s="30">
        <f>D54/$D$56*100</f>
        <v>0.43195465160421065</v>
      </c>
      <c r="F54" s="39"/>
      <c r="H54" s="5"/>
    </row>
    <row r="55" spans="1:8" s="25" customFormat="1" x14ac:dyDescent="0.2">
      <c r="A55" s="20"/>
      <c r="B55" s="13"/>
      <c r="C55" s="34"/>
      <c r="D55" s="33"/>
      <c r="E55" s="33"/>
      <c r="F55" s="39"/>
      <c r="H55" s="5"/>
    </row>
    <row r="56" spans="1:8" s="25" customFormat="1" x14ac:dyDescent="0.2">
      <c r="A56" s="20" t="s">
        <v>90</v>
      </c>
      <c r="B56" s="13"/>
      <c r="C56" s="34"/>
      <c r="D56" s="30">
        <v>4519.7138697997998</v>
      </c>
      <c r="E56" s="30">
        <f>+E52+E54</f>
        <v>100.00000000000003</v>
      </c>
      <c r="F56" s="39"/>
      <c r="H56" s="5"/>
    </row>
    <row r="57" spans="1:8" s="25" customFormat="1" x14ac:dyDescent="0.2">
      <c r="A57" s="40"/>
      <c r="B57" s="41"/>
      <c r="C57" s="42"/>
      <c r="D57" s="43"/>
      <c r="E57" s="43"/>
      <c r="F57" s="39"/>
      <c r="H57" s="5"/>
    </row>
    <row r="58" spans="1:8" s="25" customFormat="1" x14ac:dyDescent="0.2">
      <c r="A58" s="44"/>
      <c r="B58" s="41"/>
      <c r="C58" s="42"/>
      <c r="D58" s="43"/>
      <c r="E58" s="43"/>
      <c r="F58" s="45"/>
      <c r="H58" s="5"/>
    </row>
    <row r="59" spans="1:8" s="25" customFormat="1" ht="15" x14ac:dyDescent="0.25">
      <c r="A59" s="46" t="s">
        <v>91</v>
      </c>
      <c r="B59" s="46"/>
      <c r="C59" s="46"/>
      <c r="D59" s="46"/>
      <c r="E59" s="46"/>
      <c r="F59" s="46"/>
      <c r="G59" s="46"/>
      <c r="H59" s="5"/>
    </row>
    <row r="60" spans="1:8" s="25" customFormat="1" ht="15" x14ac:dyDescent="0.25">
      <c r="A60" s="47"/>
      <c r="B60" s="47"/>
      <c r="C60" s="47"/>
      <c r="D60" s="47"/>
      <c r="E60" s="47"/>
      <c r="F60" s="47"/>
      <c r="G60" s="47"/>
      <c r="H60" s="5"/>
    </row>
    <row r="61" spans="1:8" s="25" customFormat="1" ht="45" customHeight="1" x14ac:dyDescent="0.2">
      <c r="A61" s="48" t="s">
        <v>92</v>
      </c>
      <c r="B61" s="48"/>
      <c r="C61" s="48"/>
      <c r="D61" s="48"/>
      <c r="E61" s="48"/>
      <c r="F61" s="48"/>
      <c r="G61" s="39"/>
      <c r="H61" s="5"/>
    </row>
    <row r="62" spans="1:8" s="25" customFormat="1" ht="23.25" customHeight="1" x14ac:dyDescent="0.2">
      <c r="A62" s="49" t="s">
        <v>93</v>
      </c>
      <c r="B62" s="49"/>
      <c r="C62" s="49"/>
      <c r="D62" s="49"/>
      <c r="E62" s="49"/>
      <c r="F62" s="49"/>
      <c r="G62" s="49"/>
      <c r="H62" s="5"/>
    </row>
    <row r="63" spans="1:8" s="25" customFormat="1" ht="84.75" customHeight="1" x14ac:dyDescent="0.2">
      <c r="A63" s="50" t="s">
        <v>94</v>
      </c>
      <c r="B63" s="50"/>
      <c r="C63" s="50"/>
      <c r="D63" s="50"/>
      <c r="E63" s="50"/>
      <c r="F63" s="50"/>
      <c r="G63" s="50"/>
      <c r="H63" s="5"/>
    </row>
    <row r="64" spans="1:8" x14ac:dyDescent="0.2">
      <c r="A64" s="51"/>
      <c r="B64" s="52"/>
      <c r="C64" s="53"/>
      <c r="D64" s="54"/>
      <c r="E64" s="45"/>
      <c r="G64" s="39"/>
    </row>
    <row r="65" spans="1:7" x14ac:dyDescent="0.2">
      <c r="A65" s="51"/>
      <c r="B65" s="52"/>
      <c r="C65" s="53"/>
      <c r="D65" s="54"/>
      <c r="E65" s="45"/>
      <c r="G65" s="39"/>
    </row>
    <row r="66" spans="1:7" x14ac:dyDescent="0.2">
      <c r="A66" s="51"/>
      <c r="B66" s="52"/>
      <c r="C66" s="53"/>
      <c r="D66" s="54"/>
      <c r="E66" s="45"/>
      <c r="G66" s="39"/>
    </row>
    <row r="67" spans="1:7" ht="15" x14ac:dyDescent="0.25">
      <c r="A67" s="55" t="s">
        <v>95</v>
      </c>
      <c r="B67" s="56"/>
      <c r="C67" s="56"/>
      <c r="G67" s="39"/>
    </row>
    <row r="68" spans="1:7" ht="15" x14ac:dyDescent="0.25">
      <c r="A68" s="58" t="s">
        <v>97</v>
      </c>
      <c r="B68" s="56"/>
      <c r="C68" s="56"/>
      <c r="D68" s="56"/>
      <c r="G68" s="39"/>
    </row>
    <row r="69" spans="1:7" ht="15" x14ac:dyDescent="0.25">
      <c r="A69" s="58" t="s">
        <v>98</v>
      </c>
      <c r="B69" s="56"/>
      <c r="C69" s="56"/>
      <c r="D69" s="56"/>
      <c r="G69" s="39"/>
    </row>
    <row r="70" spans="1:7" ht="15" x14ac:dyDescent="0.25">
      <c r="A70" s="58" t="s">
        <v>99</v>
      </c>
      <c r="B70" s="56"/>
      <c r="C70" s="56"/>
      <c r="D70" s="56"/>
      <c r="G70" s="39"/>
    </row>
    <row r="71" spans="1:7" ht="15" x14ac:dyDescent="0.25">
      <c r="A71" s="58"/>
      <c r="B71" s="56"/>
      <c r="C71" s="56"/>
      <c r="D71" s="56"/>
      <c r="G71" s="39"/>
    </row>
    <row r="72" spans="1:7" ht="14.25" x14ac:dyDescent="0.2">
      <c r="A72" s="62" t="s">
        <v>100</v>
      </c>
      <c r="B72" s="56"/>
      <c r="C72" s="56"/>
      <c r="D72" s="57" t="s">
        <v>96</v>
      </c>
      <c r="G72" s="39"/>
    </row>
  </sheetData>
  <mergeCells count="5">
    <mergeCell ref="A59:G59"/>
    <mergeCell ref="A61:F61"/>
    <mergeCell ref="A62:G62"/>
    <mergeCell ref="A63:E63"/>
    <mergeCell ref="F63:G63"/>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2022-12-05T08:42:43Z</dcterms:created>
  <dcterms:modified xsi:type="dcterms:W3CDTF">2022-12-05T08:44:46Z</dcterms:modified>
</cp:coreProperties>
</file>