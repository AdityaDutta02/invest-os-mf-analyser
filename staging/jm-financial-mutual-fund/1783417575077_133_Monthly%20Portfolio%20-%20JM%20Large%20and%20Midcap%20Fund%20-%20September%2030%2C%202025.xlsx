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1D26D724-A3E2-44C7-89EB-F8BEC7FD41E0}"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1" l="1"/>
  <c r="F62" i="1"/>
  <c r="F64" i="1" l="1"/>
  <c r="E64" i="1"/>
  <c r="F89" i="1"/>
  <c r="E89" i="1"/>
  <c r="E81" i="1"/>
  <c r="F80" i="1"/>
  <c r="F81" i="1" s="1"/>
</calcChain>
</file>

<file path=xl/sharedStrings.xml><?xml version="1.0" encoding="utf-8"?>
<sst xmlns="http://schemas.openxmlformats.org/spreadsheetml/2006/main" count="247" uniqueCount="185">
  <si>
    <t>Quantity</t>
  </si>
  <si>
    <t>JM Financial Mutual Fund</t>
  </si>
  <si>
    <t>NIL</t>
  </si>
  <si>
    <t>Total</t>
  </si>
  <si>
    <t>(b) Privately placed / Unlisted</t>
  </si>
  <si>
    <t>Cash &amp; Cash Equivalents</t>
  </si>
  <si>
    <t>Net Receivable/Payable</t>
  </si>
  <si>
    <t>CCIL</t>
  </si>
  <si>
    <t>HDFC Asset Management Company Limited</t>
  </si>
  <si>
    <t>Marico Limited</t>
  </si>
  <si>
    <t>Fortis Healthcare Limited</t>
  </si>
  <si>
    <t>Cummins India Limited</t>
  </si>
  <si>
    <t>(a) Listed / awaiting listing on the stock exchanges</t>
  </si>
  <si>
    <t>Dixon Technologies (India) Limited</t>
  </si>
  <si>
    <t>Kaynes Technology India Private Ltd</t>
  </si>
  <si>
    <t>WAAREE ENERGIES LIMITED</t>
  </si>
  <si>
    <t>Thermax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</si>
  <si>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</si>
  <si>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</si>
  <si>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</si>
  <si>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</si>
  <si>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</si>
  <si>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</si>
  <si>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</si>
  <si>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</si>
  <si>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</si>
  <si>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</si>
  <si>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</si>
  <si>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</si>
  <si>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</si>
  <si>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</si>
  <si>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</si>
  <si>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</si>
  <si>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</si>
  <si>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</si>
  <si>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</si>
  <si>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INE298A01020</t>
  </si>
  <si>
    <t>INE338I01027</t>
  </si>
  <si>
    <t>INE918Z01012</t>
  </si>
  <si>
    <t>INE377N01017</t>
  </si>
  <si>
    <t>INE152A01029</t>
  </si>
  <si>
    <t>ISIN</t>
  </si>
  <si>
    <t>INE118H01025</t>
  </si>
  <si>
    <t>BSE Ltd</t>
  </si>
  <si>
    <t>Coforge Limited</t>
  </si>
  <si>
    <t>INE200A01026</t>
  </si>
  <si>
    <t>GE Vernova T&amp;D India Limited</t>
  </si>
  <si>
    <t>INE371P01015</t>
  </si>
  <si>
    <t>Amber Enterprises India Limited</t>
  </si>
  <si>
    <t>INE982J01020</t>
  </si>
  <si>
    <t>One 97 Communications Limited</t>
  </si>
  <si>
    <t>HDB Financial Services Limited</t>
  </si>
  <si>
    <t>INE756I01012</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</si>
  <si>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</si>
  <si>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</si>
  <si>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</si>
  <si>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</si>
  <si>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</si>
  <si>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</si>
  <si>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</si>
  <si>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</si>
  <si>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</si>
  <si>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</si>
  <si>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</si>
  <si>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</si>
  <si>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</si>
  <si>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</si>
  <si>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</si>
  <si>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</si>
  <si>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</si>
  <si>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</si>
  <si>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</si>
  <si>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</si>
  <si>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</si>
  <si>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</si>
  <si>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</si>
  <si>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</si>
  <si>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</si>
  <si>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INE481G01011</t>
  </si>
  <si>
    <t>UltraTech Cement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</si>
  <si>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</si>
  <si>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</si>
  <si>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</si>
  <si>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</si>
  <si>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</si>
  <si>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</si>
  <si>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</si>
  <si>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</si>
  <si>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</si>
  <si>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</si>
  <si>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</si>
  <si>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</si>
  <si>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INE226A01021</t>
  </si>
  <si>
    <t>Voltas Limited</t>
  </si>
  <si>
    <t>INE192R01011</t>
  </si>
  <si>
    <t>Avenue Supermarts Limited</t>
  </si>
  <si>
    <t>INE271C01023</t>
  </si>
  <si>
    <t>DLF Limited</t>
  </si>
  <si>
    <t>INE849A01020</t>
  </si>
  <si>
    <t>Trent Limited</t>
  </si>
  <si>
    <t>INE128S01021</t>
  </si>
  <si>
    <t>FIVE-STAR BUSINESS FINANCE LIMITED</t>
  </si>
  <si>
    <t>JM Large and Midcap Fund (An open ended equity scheme predominantly investing in large and mid cap stocks.)</t>
  </si>
  <si>
    <t>INE067A01029</t>
  </si>
  <si>
    <t>CG Power And Industrial Solutions Ltd</t>
  </si>
  <si>
    <t>INE0DYJ01015</t>
  </si>
  <si>
    <t>SYRMA SGS TECHNOLOGY LIMITED</t>
  </si>
  <si>
    <t>INE383A01012</t>
  </si>
  <si>
    <t>INDIA CEMENTS LTD</t>
  </si>
  <si>
    <t>INE062A01020</t>
  </si>
  <si>
    <t>State Bank of India</t>
  </si>
  <si>
    <t>INE417T01026</t>
  </si>
  <si>
    <t>PB Fintech Limited</t>
  </si>
  <si>
    <t>INE263A01024</t>
  </si>
  <si>
    <t>Bharat Electronics Limited</t>
  </si>
  <si>
    <t>INE180A01020</t>
  </si>
  <si>
    <t>Max Financial Services Limited</t>
  </si>
  <si>
    <t>INE151G01028</t>
  </si>
  <si>
    <t>Shaily Engineering Plastics Limited</t>
  </si>
  <si>
    <t>INE669C01036</t>
  </si>
  <si>
    <t>Tech Mahindra Limited</t>
  </si>
  <si>
    <t>INE013P01021</t>
  </si>
  <si>
    <t>One Source Specialty Pharma Ltd</t>
  </si>
  <si>
    <t>INE148O01028</t>
  </si>
  <si>
    <t>Delhivery Limited</t>
  </si>
  <si>
    <t>INE1NPP01017</t>
  </si>
  <si>
    <t>Siemens Energy India Limited</t>
  </si>
  <si>
    <t>INE158A01026</t>
  </si>
  <si>
    <t>Hero MotoCorp Limited</t>
  </si>
  <si>
    <t>INE066F01020</t>
  </si>
  <si>
    <t>Hindustan Aeronautics Ltd</t>
  </si>
  <si>
    <t>INE121E01018</t>
  </si>
  <si>
    <t>JSW Energy Limited</t>
  </si>
  <si>
    <t>Power</t>
  </si>
  <si>
    <t>Motilal Oswal Financial Services</t>
  </si>
  <si>
    <t>INE290S01011</t>
  </si>
  <si>
    <t>CarTrade Tech Limited</t>
  </si>
  <si>
    <t>INE585B01010</t>
  </si>
  <si>
    <t>Maruti Suzuki India Limited</t>
  </si>
  <si>
    <t>INE0KBH01020</t>
  </si>
  <si>
    <t>Blue Jet Healthcare Ltd</t>
  </si>
  <si>
    <t>01-OCT-2025</t>
  </si>
  <si>
    <t>Monthly Portfolio Statement for the period ended 30.09.2025</t>
  </si>
  <si>
    <t>Banks</t>
  </si>
  <si>
    <t>Telecom - Services</t>
  </si>
  <si>
    <t>IT - Software</t>
  </si>
  <si>
    <t>Finance</t>
  </si>
  <si>
    <t>Financial Technology (Fintech)</t>
  </si>
  <si>
    <t>Automobiles</t>
  </si>
  <si>
    <t>Electrical Equipment</t>
  </si>
  <si>
    <t>Industrial Manufacturing</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</si>
  <si>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</si>
  <si>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</si>
  <si>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</si>
  <si>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</si>
  <si>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</si>
  <si>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</si>
  <si>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</si>
  <si>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</si>
  <si>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</si>
  <si>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</si>
  <si>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</si>
  <si>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</si>
  <si>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</si>
  <si>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(b) Unlisted</t>
  </si>
  <si>
    <t>INE494B04019</t>
  </si>
  <si>
    <t>^YTC (AT1/Tier 2 bonds)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</si>
  <si>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</si>
  <si>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</si>
  <si>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</si>
  <si>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</si>
  <si>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</si>
  <si>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</si>
  <si>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</si>
  <si>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</si>
  <si>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</si>
  <si>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Riskometer of the scheme </t>
  </si>
  <si>
    <t>The risk of the scheme is Very High</t>
  </si>
  <si>
    <t xml:space="preserve">                  The risk of the benchmark is Very High </t>
  </si>
  <si>
    <t xml:space="preserve">6% TVS Motor Co Ltd. Cumulative Non Convertible
Redeemable Preference Shares  #
</t>
  </si>
  <si>
    <t>CARE A1+</t>
  </si>
  <si>
    <t>6.05%</t>
  </si>
  <si>
    <t>Scheme performance</t>
  </si>
  <si>
    <t>https://www.jmfinancialmf.com/downloads/Statutory-Disclosure/Scheme-Dashboard</t>
  </si>
  <si>
    <t xml:space="preserve">                   Nifty Large Midcap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</si>
</sst>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 numFmtId="172" formatCode="0.000\%"/>
  </numFmts>
  <fonts count="23"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color indexed="8"/>
      <name val="Tahoma"/>
      <family val="2"/>
    </font>
    <font>
      <b/>
      <sz val="10"/>
      <color indexed="72"/>
      <name val="Tahoma"/>
      <family val="2"/>
    </font>
    <font>
      <sz val="10"/>
      <color indexed="72"/>
      <name val="Tahoma"/>
      <family val="2"/>
    </font>
    <font>
      <b/>
      <sz val="10"/>
      <color indexed="8"/>
      <name val="Tahoma"/>
      <family val="2"/>
    </font>
    <font>
      <b/>
      <sz val="10"/>
      <name val="Tahoma"/>
      <family val="2"/>
    </font>
    <font>
      <sz val="10"/>
      <name val="Tahoma"/>
      <family val="2"/>
    </font>
    <font>
      <sz val="10"/>
      <name val="Century Gothic"/>
      <family val="2"/>
    </font>
    <font>
      <b/>
      <sz val="8"/>
      <name val="Century Gothic"/>
      <family val="2"/>
    </font>
    <font>
      <i/>
      <sz val="8"/>
      <color indexed="8"/>
      <name val="Century Gothic"/>
      <family val="2"/>
    </font>
    <font>
      <b/>
      <sz val="8"/>
      <color indexed="8"/>
      <name val="Century Gothic"/>
      <family val="2"/>
    </font>
    <font>
      <sz val="8"/>
      <color indexed="72"/>
      <name val="Century Gothic"/>
      <family val="2"/>
    </font>
    <font>
      <sz val="8"/>
      <color indexed="8"/>
      <name val="Century Gothic"/>
      <family val="2"/>
    </font>
    <font>
      <b/>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xf numFmtId="0" fontId="22" fillId="0" borderId="0" applyNumberFormat="0" applyFill="0" applyBorder="0" applyAlignment="0" applyProtection="0"/>
  </cellStyleXfs>
  <cellXfs count="10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0" borderId="1" xfId="0" applyFont="1" applyBorder="1"/>
    <xf numFmtId="0" fontId="10" fillId="0" borderId="1" xfId="0" applyFont="1" applyBorder="1" applyAlignment="1">
      <alignment horizontal="left" vertical="top"/>
    </xf>
    <xf numFmtId="4" fontId="9" fillId="0" borderId="1" xfId="0" applyNumberFormat="1" applyFont="1" applyBorder="1"/>
    <xf numFmtId="10" fontId="9" fillId="0" borderId="1" xfId="6" applyNumberFormat="1" applyFont="1" applyFill="1" applyBorder="1" applyAlignment="1"/>
    <xf numFmtId="10" fontId="9" fillId="0" borderId="1" xfId="6" applyNumberFormat="1" applyFont="1" applyFill="1" applyBorder="1" applyAlignment="1">
      <alignment horizontal="right"/>
    </xf>
    <xf numFmtId="0" fontId="11" fillId="0" borderId="1" xfId="0" applyFont="1" applyBorder="1" applyAlignment="1">
      <alignment horizontal="right" vertical="top"/>
    </xf>
    <xf numFmtId="4" fontId="12" fillId="0" borderId="1" xfId="0" applyNumberFormat="1" applyFont="1" applyBorder="1" applyAlignment="1">
      <alignment horizontal="right"/>
    </xf>
    <xf numFmtId="0" fontId="11" fillId="0" borderId="1" xfId="0" applyFont="1" applyBorder="1" applyAlignment="1">
      <alignment horizontal="left" vertical="top"/>
    </xf>
    <xf numFmtId="4" fontId="11" fillId="0" borderId="1" xfId="0" applyNumberFormat="1" applyFont="1" applyBorder="1" applyAlignment="1">
      <alignment horizontal="right" vertical="top"/>
    </xf>
    <xf numFmtId="166" fontId="11" fillId="0" borderId="1" xfId="0" applyNumberFormat="1" applyFont="1" applyBorder="1" applyAlignment="1">
      <alignment horizontal="right" vertical="top"/>
    </xf>
    <xf numFmtId="10" fontId="11" fillId="0" borderId="1" xfId="6" applyNumberFormat="1" applyFont="1" applyFill="1" applyBorder="1" applyAlignment="1" applyProtection="1">
      <alignment horizontal="right" vertical="top"/>
    </xf>
    <xf numFmtId="0" fontId="12" fillId="0" borderId="1" xfId="0" applyFont="1" applyBorder="1"/>
    <xf numFmtId="4" fontId="12" fillId="0" borderId="1" xfId="0" applyNumberFormat="1" applyFont="1" applyBorder="1"/>
    <xf numFmtId="4" fontId="13" fillId="0" borderId="1" xfId="0" applyNumberFormat="1" applyFont="1" applyBorder="1" applyAlignment="1">
      <alignment horizontal="right" vertical="top"/>
    </xf>
    <xf numFmtId="166" fontId="13" fillId="0" borderId="1" xfId="0" applyNumberFormat="1" applyFont="1" applyBorder="1" applyAlignment="1">
      <alignment horizontal="right" vertical="top"/>
    </xf>
    <xf numFmtId="0" fontId="0" fillId="0" borderId="1" xfId="0" applyBorder="1"/>
    <xf numFmtId="167" fontId="9" fillId="0" borderId="1" xfId="0" applyNumberFormat="1" applyFont="1" applyBorder="1"/>
    <xf numFmtId="0" fontId="9" fillId="0" borderId="1" xfId="0" applyFont="1" applyBorder="1" applyAlignment="1">
      <alignment horizontal="right"/>
    </xf>
    <xf numFmtId="4" fontId="11" fillId="0" borderId="1" xfId="0" applyNumberFormat="1" applyFont="1" applyBorder="1" applyAlignment="1">
      <alignment horizontal="left" vertical="top"/>
    </xf>
    <xf numFmtId="167" fontId="13" fillId="0" borderId="1" xfId="0" applyNumberFormat="1" applyFont="1" applyBorder="1" applyAlignment="1">
      <alignment horizontal="right" vertical="top"/>
    </xf>
    <xf numFmtId="4" fontId="10"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0" fontId="11" fillId="0" borderId="1" xfId="0" applyFont="1" applyBorder="1" applyAlignment="1">
      <alignment horizontal="left" vertical="top" wrapText="1"/>
    </xf>
    <xf numFmtId="0" fontId="11" fillId="0" borderId="1" xfId="0" applyFont="1" applyBorder="1" applyAlignment="1">
      <alignment horizontal="right" vertical="top" wrapText="1"/>
    </xf>
    <xf numFmtId="166" fontId="11" fillId="0" borderId="1" xfId="0" applyNumberFormat="1" applyFont="1" applyBorder="1" applyAlignment="1">
      <alignment horizontal="right" vertical="top" wrapText="1"/>
    </xf>
    <xf numFmtId="166" fontId="14" fillId="0" borderId="1" xfId="0" applyNumberFormat="1" applyFont="1" applyBorder="1" applyAlignment="1">
      <alignment horizontal="right"/>
    </xf>
    <xf numFmtId="166" fontId="13" fillId="0" borderId="1" xfId="0" applyNumberFormat="1" applyFont="1" applyBorder="1" applyAlignment="1">
      <alignment horizontal="right"/>
    </xf>
    <xf numFmtId="0" fontId="13" fillId="0" borderId="1" xfId="0" applyFont="1" applyBorder="1" applyAlignment="1">
      <alignment horizontal="left" vertical="top" wrapText="1"/>
    </xf>
    <xf numFmtId="168" fontId="11" fillId="0" borderId="1" xfId="0" applyNumberFormat="1" applyFont="1" applyBorder="1" applyAlignment="1">
      <alignment horizontal="right" vertical="top" wrapText="1"/>
    </xf>
    <xf numFmtId="167" fontId="11" fillId="0" borderId="1" xfId="0" applyNumberFormat="1" applyFont="1" applyBorder="1" applyAlignment="1">
      <alignment horizontal="right" vertical="top" wrapText="1"/>
    </xf>
    <xf numFmtId="4" fontId="12" fillId="0" borderId="1" xfId="0" applyNumberFormat="1" applyFont="1" applyBorder="1" applyAlignment="1">
      <alignment horizontal="right" vertical="top"/>
    </xf>
    <xf numFmtId="0" fontId="13" fillId="0" borderId="1" xfId="0" applyFont="1" applyBorder="1" applyAlignment="1">
      <alignment wrapText="1"/>
    </xf>
    <xf numFmtId="169" fontId="14" fillId="0" borderId="1" xfId="0" applyNumberFormat="1" applyFont="1" applyBorder="1" applyAlignment="1">
      <alignment horizontal="right" vertical="top"/>
    </xf>
    <xf numFmtId="169" fontId="13" fillId="0" borderId="1" xfId="0" applyNumberFormat="1" applyFont="1" applyBorder="1" applyAlignment="1">
      <alignment horizontal="right" vertical="top"/>
    </xf>
    <xf numFmtId="0" fontId="0" fillId="0" borderId="1" xfId="0" applyBorder="1" applyAlignment="1">
      <alignment horizontal="right"/>
    </xf>
    <xf numFmtId="10" fontId="11" fillId="0" borderId="1" xfId="6" applyNumberFormat="1" applyFont="1" applyBorder="1" applyAlignment="1">
      <alignment horizontal="right" vertical="top"/>
    </xf>
    <xf numFmtId="0" fontId="15" fillId="3" borderId="0" xfId="0" applyFont="1" applyFill="1"/>
    <xf numFmtId="0" fontId="1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0" xfId="0" applyFont="1"/>
    <xf numFmtId="0" fontId="17" fillId="0" borderId="0" xfId="8" applyFont="1" applyAlignment="1">
      <alignment horizontal="left" vertical="top" wrapText="1"/>
    </xf>
    <xf numFmtId="0" fontId="3" fillId="0" borderId="0" xfId="2" applyFont="1" applyAlignment="1">
      <alignment horizontal="right"/>
    </xf>
    <xf numFmtId="165" fontId="16" fillId="0" borderId="1" xfId="1" applyNumberFormat="1" applyFont="1" applyFill="1" applyBorder="1" applyAlignment="1">
      <alignment horizontal="center" vertical="top"/>
    </xf>
    <xf numFmtId="0" fontId="1" fillId="0" borderId="0" xfId="2" applyFont="1" applyAlignment="1">
      <alignment horizontal="center"/>
    </xf>
    <xf numFmtId="0" fontId="16" fillId="0" borderId="0" xfId="0" applyFont="1" applyAlignment="1">
      <alignment wrapText="1"/>
    </xf>
    <xf numFmtId="4" fontId="18" fillId="0" borderId="0" xfId="0" applyNumberFormat="1" applyFont="1"/>
    <xf numFmtId="171" fontId="18" fillId="0" borderId="0" xfId="0" applyNumberFormat="1" applyFont="1"/>
    <xf numFmtId="0" fontId="3" fillId="0" borderId="0" xfId="0" applyFont="1" applyAlignment="1">
      <alignment horizontal="right"/>
    </xf>
    <xf numFmtId="0" fontId="19" fillId="0" borderId="0" xfId="0" applyFont="1" applyAlignment="1">
      <alignment horizontal="right" vertical="top"/>
    </xf>
    <xf numFmtId="166" fontId="16" fillId="0" borderId="0" xfId="0" applyNumberFormat="1" applyFont="1" applyAlignment="1">
      <alignment horizontal="right" vertical="top"/>
    </xf>
    <xf numFmtId="0" fontId="3" fillId="0" borderId="0" xfId="5" applyFont="1" applyAlignment="1">
      <alignment vertical="top"/>
    </xf>
    <xf numFmtId="0" fontId="20" fillId="0" borderId="0" xfId="8" applyFont="1" applyAlignment="1">
      <alignment vertical="top"/>
    </xf>
    <xf numFmtId="0" fontId="3" fillId="0" borderId="0" xfId="2" applyFont="1" applyAlignment="1">
      <alignment vertical="top"/>
    </xf>
    <xf numFmtId="0" fontId="17" fillId="0" borderId="0" xfId="8" applyFont="1" applyAlignment="1">
      <alignment vertical="top"/>
    </xf>
    <xf numFmtId="0" fontId="18" fillId="0" borderId="0" xfId="9" applyFont="1"/>
    <xf numFmtId="0" fontId="4" fillId="0" borderId="0" xfId="2" applyFont="1" applyAlignment="1">
      <alignment horizontal="left"/>
    </xf>
    <xf numFmtId="0" fontId="20" fillId="0" borderId="0" xfId="9"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8" fillId="0" borderId="0" xfId="3" applyFont="1" applyAlignment="1">
      <alignment horizontal="center"/>
    </xf>
    <xf numFmtId="0" fontId="16" fillId="0" borderId="0" xfId="2" applyFont="1" applyAlignment="1">
      <alignment horizontal="center" wrapText="1"/>
    </xf>
    <xf numFmtId="0" fontId="3" fillId="0" borderId="0" xfId="0" applyFont="1" applyAlignment="1">
      <alignment horizontal="left" wrapText="1"/>
    </xf>
    <xf numFmtId="10" fontId="13" fillId="0" borderId="1" xfId="6" applyNumberFormat="1" applyFont="1" applyBorder="1" applyAlignment="1">
      <alignment horizontal="right" vertical="top"/>
    </xf>
    <xf numFmtId="0" fontId="18" fillId="0" borderId="1" xfId="0" applyFont="1" applyBorder="1"/>
    <xf numFmtId="4" fontId="18" fillId="0" borderId="1" xfId="0" applyNumberFormat="1" applyFont="1" applyBorder="1"/>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4" fontId="21" fillId="0" borderId="1" xfId="0" applyNumberFormat="1" applyFont="1" applyBorder="1" applyAlignment="1">
      <alignment horizontal="right" vertical="top"/>
    </xf>
    <xf numFmtId="4" fontId="3" fillId="0" borderId="0" xfId="0" applyNumberFormat="1" applyFont="1" applyAlignment="1">
      <alignment horizontal="right"/>
    </xf>
    <xf numFmtId="10" fontId="3" fillId="0" borderId="0" xfId="6" applyNumberFormat="1" applyFont="1"/>
    <xf numFmtId="10" fontId="9" fillId="0" borderId="1" xfId="6" applyNumberFormat="1" applyFont="1" applyBorder="1"/>
    <xf numFmtId="10" fontId="12" fillId="0" borderId="1" xfId="6" applyNumberFormat="1" applyFont="1" applyBorder="1"/>
    <xf numFmtId="0" fontId="18" fillId="0" borderId="1" xfId="0" applyFont="1" applyBorder="1" applyAlignment="1">
      <alignment vertical="center" wrapText="1"/>
    </xf>
    <xf numFmtId="0" fontId="3" fillId="0" borderId="1" xfId="2" applyFont="1" applyBorder="1" applyAlignment="1">
      <alignment vertical="center"/>
    </xf>
    <xf numFmtId="0" fontId="20" fillId="0" borderId="1" xfId="0" applyFont="1" applyBorder="1" applyAlignment="1">
      <alignment vertical="center"/>
    </xf>
    <xf numFmtId="4" fontId="20" fillId="0" borderId="1" xfId="0" applyNumberFormat="1" applyFont="1" applyBorder="1" applyAlignment="1">
      <alignment vertical="center"/>
    </xf>
    <xf numFmtId="4" fontId="20" fillId="0" borderId="1" xfId="0" applyNumberFormat="1" applyFont="1" applyBorder="1" applyAlignment="1">
      <alignment horizontal="right" vertical="center"/>
    </xf>
    <xf numFmtId="166" fontId="19" fillId="0" borderId="1" xfId="0" applyNumberFormat="1" applyFont="1" applyBorder="1" applyAlignment="1">
      <alignment horizontal="right" vertical="center"/>
    </xf>
    <xf numFmtId="15" fontId="3" fillId="0" borderId="1" xfId="6" applyNumberFormat="1" applyFont="1" applyFill="1" applyBorder="1" applyAlignment="1" applyProtection="1">
      <alignment horizontal="right" vertical="center"/>
    </xf>
    <xf numFmtId="166" fontId="16" fillId="0" borderId="1" xfId="0" applyNumberFormat="1" applyFont="1" applyBorder="1" applyAlignment="1">
      <alignment horizontal="right" vertical="center"/>
    </xf>
    <xf numFmtId="172" fontId="3" fillId="0" borderId="1" xfId="0" applyNumberFormat="1" applyFont="1" applyBorder="1" applyAlignment="1">
      <alignment horizontal="right" vertical="center"/>
    </xf>
    <xf numFmtId="0" fontId="3" fillId="0" borderId="0" xfId="0" applyFont="1" applyAlignment="1">
      <alignment horizontal="left"/>
    </xf>
    <xf numFmtId="0" fontId="22" fillId="0" borderId="0" xfId="10" applyAlignment="1"/>
    <xf numFmtId="0" fontId="16" fillId="0" borderId="0" xfId="2" applyFont="1" applyAlignment="1">
      <alignment horizontal="center"/>
    </xf>
    <xf numFmtId="0" fontId="3" fillId="0" borderId="0" xfId="0" applyFont="1"/>
    <xf numFmtId="0" fontId="16" fillId="0" borderId="0" xfId="2" applyFont="1" applyAlignment="1">
      <alignment horizontal="center" wrapText="1"/>
    </xf>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7" fillId="0" borderId="0" xfId="8" applyFont="1" applyAlignment="1">
      <alignment horizontal="left" vertical="top" wrapText="1"/>
    </xf>
  </cellXfs>
  <cellStyles count="11">
    <cellStyle name="Comma" xfId="1" builtinId="3"/>
    <cellStyle name="Comma 4" xfId="4" xr:uid="{00000000-0005-0000-0000-000001000000}"/>
    <cellStyle name="Hyperlink" xfId="10" builtinId="8"/>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5928EA62-6451-4008-B7AB-FD3A21ED7E39}"/>
    <cellStyle name="Normal 4_IF" xfId="3" xr:uid="{00000000-0005-0000-0000-000006000000}"/>
    <cellStyle name="Normal 4_LD" xfId="8" xr:uid="{BA5983F2-4445-4D07-9A72-4DE44132CAE8}"/>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104</xdr:row>
      <xdr:rowOff>161925</xdr:rowOff>
    </xdr:from>
    <xdr:ext cx="2651125" cy="1466850"/>
    <xdr:pic>
      <xdr:nvPicPr>
        <xdr:cNvPr id="2" name="Picture 5">
          <a:extLst>
            <a:ext uri="{FF2B5EF4-FFF2-40B4-BE49-F238E27FC236}">
              <a16:creationId xmlns:a16="http://schemas.microsoft.com/office/drawing/2014/main" id="{CB72FAEB-5B91-467F-A7CB-D9F218BC9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0" y="2033587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104</xdr:row>
      <xdr:rowOff>142875</xdr:rowOff>
    </xdr:from>
    <xdr:ext cx="2686050" cy="1466850"/>
    <xdr:pic>
      <xdr:nvPicPr>
        <xdr:cNvPr id="3" name="Picture 6">
          <a:extLst>
            <a:ext uri="{FF2B5EF4-FFF2-40B4-BE49-F238E27FC236}">
              <a16:creationId xmlns:a16="http://schemas.microsoft.com/office/drawing/2014/main" id="{E09BB2C1-0128-4384-B86D-1AF15C943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16825"/>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9"/>
  <sheetViews>
    <sheetView tabSelected="1" zoomScaleNormal="100" workbookViewId="0">
      <selection activeCell="K1" sqref="K1:XFD1048576"/>
    </sheetView>
  </sheetViews>
  <sheetFormatPr defaultColWidth="9.140625" defaultRowHeight="12.75" x14ac:dyDescent="0.2"/>
  <cols>
    <col min="1" max="1" width="14.42578125" style="1" customWidth="1"/>
    <col min="2" max="2" width="49.7109375" style="4" customWidth="1"/>
    <col min="3" max="3" width="35.85546875" style="3" customWidth="1"/>
    <col min="4" max="4" width="13.42578125" style="2" customWidth="1"/>
    <col min="5" max="5" width="12" style="1" customWidth="1"/>
    <col min="6" max="6" width="11.42578125" style="1" bestFit="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0" ht="13.5" x14ac:dyDescent="0.25">
      <c r="A1" s="8"/>
      <c r="B1" s="98" t="s">
        <v>1</v>
      </c>
      <c r="C1" s="98"/>
      <c r="D1" s="98"/>
      <c r="E1" s="98"/>
      <c r="F1" s="98"/>
      <c r="G1" s="98"/>
      <c r="H1" s="98"/>
      <c r="I1" s="98"/>
      <c r="J1" s="45"/>
    </row>
    <row r="2" spans="1:10" ht="13.5" x14ac:dyDescent="0.25">
      <c r="A2" s="8"/>
      <c r="B2" s="99" t="s">
        <v>102</v>
      </c>
      <c r="C2" s="99"/>
      <c r="D2" s="99"/>
      <c r="E2" s="99"/>
      <c r="F2" s="99"/>
      <c r="G2" s="99"/>
      <c r="H2" s="99"/>
      <c r="I2" s="99"/>
      <c r="J2" s="45"/>
    </row>
    <row r="3" spans="1:10" ht="12.75" customHeight="1" x14ac:dyDescent="0.25">
      <c r="A3" s="8"/>
      <c r="B3" s="100" t="s">
        <v>142</v>
      </c>
      <c r="C3" s="100"/>
      <c r="D3" s="100"/>
      <c r="E3" s="100"/>
      <c r="F3" s="100"/>
      <c r="G3" s="100"/>
      <c r="H3" s="100"/>
      <c r="I3" s="100"/>
      <c r="J3" s="45"/>
    </row>
    <row r="4" spans="1:10" s="54" customFormat="1" ht="44.25" customHeight="1" x14ac:dyDescent="0.2">
      <c r="A4" s="46" t="s">
        <v>41</v>
      </c>
      <c r="B4" s="46" t="s">
        <v>25</v>
      </c>
      <c r="C4" s="53" t="s">
        <v>26</v>
      </c>
      <c r="D4" s="46" t="s">
        <v>0</v>
      </c>
      <c r="E4" s="46" t="s">
        <v>27</v>
      </c>
      <c r="F4" s="46" t="s">
        <v>28</v>
      </c>
      <c r="G4" s="46" t="s">
        <v>29</v>
      </c>
      <c r="H4" s="46" t="s">
        <v>30</v>
      </c>
      <c r="I4" s="46" t="s">
        <v>31</v>
      </c>
      <c r="J4" s="46" t="s">
        <v>166</v>
      </c>
    </row>
    <row r="5" spans="1:10" ht="14.25" x14ac:dyDescent="0.3">
      <c r="A5" s="9"/>
      <c r="B5" s="10" t="s">
        <v>12</v>
      </c>
      <c r="C5" s="9"/>
      <c r="D5" s="11"/>
      <c r="E5" s="15"/>
      <c r="F5" s="15"/>
      <c r="G5" s="13"/>
      <c r="H5" s="12"/>
      <c r="I5" s="14"/>
      <c r="J5" s="47"/>
    </row>
    <row r="6" spans="1:10" ht="14.25" x14ac:dyDescent="0.3">
      <c r="A6" s="16" t="s">
        <v>54</v>
      </c>
      <c r="B6" s="16" t="s">
        <v>55</v>
      </c>
      <c r="C6" s="16" t="s">
        <v>143</v>
      </c>
      <c r="D6" s="17">
        <v>119000</v>
      </c>
      <c r="E6" s="17">
        <v>1604.12</v>
      </c>
      <c r="F6" s="18">
        <v>4.7620524655967909E-2</v>
      </c>
      <c r="G6" s="19"/>
      <c r="H6" s="19"/>
      <c r="I6" s="14"/>
      <c r="J6" s="47"/>
    </row>
    <row r="7" spans="1:10" ht="14.25" x14ac:dyDescent="0.3">
      <c r="A7" s="16" t="s">
        <v>56</v>
      </c>
      <c r="B7" s="16" t="s">
        <v>57</v>
      </c>
      <c r="C7" s="16" t="s">
        <v>143</v>
      </c>
      <c r="D7" s="17">
        <v>150000</v>
      </c>
      <c r="E7" s="17">
        <v>1426.5</v>
      </c>
      <c r="F7" s="18">
        <v>4.2347628869248075E-2</v>
      </c>
      <c r="G7" s="19"/>
      <c r="H7" s="19"/>
      <c r="I7" s="14"/>
      <c r="J7" s="48"/>
    </row>
    <row r="8" spans="1:10" ht="14.25" x14ac:dyDescent="0.3">
      <c r="A8" s="16" t="s">
        <v>58</v>
      </c>
      <c r="B8" s="16" t="s">
        <v>59</v>
      </c>
      <c r="C8" s="16" t="s">
        <v>144</v>
      </c>
      <c r="D8" s="17">
        <v>66000</v>
      </c>
      <c r="E8" s="17">
        <v>1239.7439999999999</v>
      </c>
      <c r="F8" s="18">
        <v>3.6803518264898062E-2</v>
      </c>
      <c r="G8" s="19"/>
      <c r="H8" s="19"/>
      <c r="I8" s="14"/>
      <c r="J8" s="48"/>
    </row>
    <row r="9" spans="1:10" ht="14.25" x14ac:dyDescent="0.3">
      <c r="A9" s="16" t="s">
        <v>53</v>
      </c>
      <c r="B9" s="16" t="s">
        <v>44</v>
      </c>
      <c r="C9" s="16" t="s">
        <v>145</v>
      </c>
      <c r="D9" s="17">
        <v>67000</v>
      </c>
      <c r="E9" s="17">
        <v>1065.97</v>
      </c>
      <c r="F9" s="18">
        <v>3.1644796316685854E-2</v>
      </c>
      <c r="G9" s="19"/>
      <c r="H9" s="19"/>
      <c r="I9" s="14"/>
      <c r="J9" s="47"/>
    </row>
    <row r="10" spans="1:10" ht="14.25" x14ac:dyDescent="0.3">
      <c r="A10" s="16" t="s">
        <v>60</v>
      </c>
      <c r="B10" s="16" t="s">
        <v>61</v>
      </c>
      <c r="C10" s="16" t="s">
        <v>145</v>
      </c>
      <c r="D10" s="17">
        <v>21000</v>
      </c>
      <c r="E10" s="17">
        <v>1012.725</v>
      </c>
      <c r="F10" s="18">
        <v>3.0064144722474064E-2</v>
      </c>
      <c r="G10" s="19"/>
      <c r="H10" s="19"/>
      <c r="I10" s="14"/>
      <c r="J10" s="47"/>
    </row>
    <row r="11" spans="1:10" ht="14.25" x14ac:dyDescent="0.3">
      <c r="A11" s="16" t="s">
        <v>62</v>
      </c>
      <c r="B11" s="16" t="s">
        <v>63</v>
      </c>
      <c r="C11" s="16" t="s">
        <v>146</v>
      </c>
      <c r="D11" s="17">
        <v>97000</v>
      </c>
      <c r="E11" s="17">
        <v>968.93299999999999</v>
      </c>
      <c r="F11" s="18">
        <v>2.8764118530085623E-2</v>
      </c>
      <c r="G11" s="19"/>
      <c r="H11" s="19"/>
      <c r="I11" s="14"/>
      <c r="J11" s="48"/>
    </row>
    <row r="12" spans="1:10" ht="14.25" x14ac:dyDescent="0.3">
      <c r="A12" s="16" t="s">
        <v>49</v>
      </c>
      <c r="B12" s="16" t="s">
        <v>50</v>
      </c>
      <c r="C12" s="16" t="s">
        <v>147</v>
      </c>
      <c r="D12" s="17">
        <v>70400</v>
      </c>
      <c r="E12" s="17">
        <v>791.15520000000004</v>
      </c>
      <c r="F12" s="18">
        <v>2.3486538231739035E-2</v>
      </c>
      <c r="G12" s="19"/>
      <c r="H12" s="19"/>
      <c r="I12" s="14"/>
      <c r="J12" s="48"/>
    </row>
    <row r="13" spans="1:10" ht="14.25" x14ac:dyDescent="0.3">
      <c r="A13" s="16" t="s">
        <v>70</v>
      </c>
      <c r="B13" s="16" t="s">
        <v>71</v>
      </c>
      <c r="C13" s="16" t="s">
        <v>148</v>
      </c>
      <c r="D13" s="17">
        <v>21000</v>
      </c>
      <c r="E13" s="17">
        <v>722.12699999999995</v>
      </c>
      <c r="F13" s="18">
        <v>2.1437340478418158E-2</v>
      </c>
      <c r="G13" s="19"/>
      <c r="H13" s="19"/>
      <c r="I13" s="14"/>
      <c r="J13" s="48"/>
    </row>
    <row r="14" spans="1:10" ht="14.25" x14ac:dyDescent="0.3">
      <c r="A14" s="16" t="s">
        <v>103</v>
      </c>
      <c r="B14" s="16" t="s">
        <v>104</v>
      </c>
      <c r="C14" s="16" t="s">
        <v>149</v>
      </c>
      <c r="D14" s="17">
        <v>93465</v>
      </c>
      <c r="E14" s="17">
        <v>692.52891750000003</v>
      </c>
      <c r="F14" s="18">
        <v>2.0558680392227212E-2</v>
      </c>
      <c r="G14" s="19"/>
      <c r="H14" s="19"/>
      <c r="I14" s="14"/>
      <c r="J14" s="48"/>
    </row>
    <row r="15" spans="1:10" ht="14.25" x14ac:dyDescent="0.3">
      <c r="A15" s="16" t="s">
        <v>35</v>
      </c>
      <c r="B15" s="16" t="s">
        <v>10</v>
      </c>
      <c r="C15" s="16" t="s">
        <v>67</v>
      </c>
      <c r="D15" s="17">
        <v>68500</v>
      </c>
      <c r="E15" s="17">
        <v>664.31299999999999</v>
      </c>
      <c r="F15" s="18">
        <v>1.9721051789005815E-2</v>
      </c>
      <c r="G15" s="19"/>
      <c r="H15" s="19"/>
      <c r="I15" s="14"/>
      <c r="J15" s="47"/>
    </row>
    <row r="16" spans="1:10" ht="14.25" x14ac:dyDescent="0.3">
      <c r="A16" s="16" t="s">
        <v>105</v>
      </c>
      <c r="B16" s="16" t="s">
        <v>106</v>
      </c>
      <c r="C16" s="16" t="s">
        <v>150</v>
      </c>
      <c r="D16" s="17">
        <v>85835</v>
      </c>
      <c r="E16" s="17">
        <v>658.69779000000005</v>
      </c>
      <c r="F16" s="18">
        <v>1.9554356500465407E-2</v>
      </c>
      <c r="G16" s="19"/>
      <c r="H16" s="19"/>
      <c r="I16" s="14"/>
      <c r="J16" s="48"/>
    </row>
    <row r="17" spans="1:10" ht="14.25" x14ac:dyDescent="0.3">
      <c r="A17" s="16" t="s">
        <v>36</v>
      </c>
      <c r="B17" s="16" t="s">
        <v>11</v>
      </c>
      <c r="C17" s="16" t="s">
        <v>151</v>
      </c>
      <c r="D17" s="17">
        <v>16500</v>
      </c>
      <c r="E17" s="17">
        <v>647.87249999999995</v>
      </c>
      <c r="F17" s="18">
        <v>1.9232992768729001E-2</v>
      </c>
      <c r="G17" s="19"/>
      <c r="H17" s="19"/>
      <c r="I17" s="14"/>
      <c r="J17" s="48"/>
    </row>
    <row r="18" spans="1:10" ht="14.25" x14ac:dyDescent="0.3">
      <c r="A18" s="16" t="s">
        <v>123</v>
      </c>
      <c r="B18" s="16" t="s">
        <v>124</v>
      </c>
      <c r="C18" s="16" t="s">
        <v>152</v>
      </c>
      <c r="D18" s="17">
        <v>139000</v>
      </c>
      <c r="E18" s="17">
        <v>625.56949999999995</v>
      </c>
      <c r="F18" s="18">
        <v>1.857089731364955E-2</v>
      </c>
      <c r="G18" s="19"/>
      <c r="H18" s="19"/>
      <c r="I18" s="14"/>
      <c r="J18" s="48"/>
    </row>
    <row r="19" spans="1:10" ht="14.25" x14ac:dyDescent="0.3">
      <c r="A19" s="16" t="s">
        <v>80</v>
      </c>
      <c r="B19" s="16" t="s">
        <v>81</v>
      </c>
      <c r="C19" s="16" t="s">
        <v>146</v>
      </c>
      <c r="D19" s="17">
        <v>99000</v>
      </c>
      <c r="E19" s="17">
        <v>609.93899999999996</v>
      </c>
      <c r="F19" s="18">
        <v>1.8106884265601333E-2</v>
      </c>
      <c r="G19" s="19"/>
      <c r="H19" s="19"/>
      <c r="I19" s="14"/>
      <c r="J19" s="48"/>
    </row>
    <row r="20" spans="1:10" ht="14.25" x14ac:dyDescent="0.3">
      <c r="A20" s="16" t="s">
        <v>111</v>
      </c>
      <c r="B20" s="16" t="s">
        <v>112</v>
      </c>
      <c r="C20" s="16" t="s">
        <v>147</v>
      </c>
      <c r="D20" s="17">
        <v>35650</v>
      </c>
      <c r="E20" s="17">
        <v>606.76300000000003</v>
      </c>
      <c r="F20" s="18">
        <v>1.8012600305356865E-2</v>
      </c>
      <c r="G20" s="19"/>
      <c r="H20" s="19"/>
      <c r="I20" s="14"/>
      <c r="J20" s="47"/>
    </row>
    <row r="21" spans="1:10" ht="14.25" x14ac:dyDescent="0.3">
      <c r="A21" s="16" t="s">
        <v>76</v>
      </c>
      <c r="B21" s="16" t="s">
        <v>77</v>
      </c>
      <c r="C21" s="16" t="s">
        <v>153</v>
      </c>
      <c r="D21" s="17">
        <v>21000</v>
      </c>
      <c r="E21" s="17">
        <v>606.45899999999995</v>
      </c>
      <c r="F21" s="18">
        <v>1.8003575644174777E-2</v>
      </c>
      <c r="G21" s="19"/>
      <c r="H21" s="19"/>
      <c r="I21" s="14"/>
      <c r="J21" s="48"/>
    </row>
    <row r="22" spans="1:10" ht="14.25" x14ac:dyDescent="0.3">
      <c r="A22" s="16" t="s">
        <v>42</v>
      </c>
      <c r="B22" s="16" t="s">
        <v>43</v>
      </c>
      <c r="C22" s="16" t="s">
        <v>154</v>
      </c>
      <c r="D22" s="17">
        <v>29500</v>
      </c>
      <c r="E22" s="17">
        <v>601.85900000000004</v>
      </c>
      <c r="F22" s="18">
        <v>1.7867018271024729E-2</v>
      </c>
      <c r="G22" s="19"/>
      <c r="H22" s="19"/>
      <c r="I22" s="14"/>
      <c r="J22" s="48"/>
    </row>
    <row r="23" spans="1:10" ht="14.25" x14ac:dyDescent="0.3">
      <c r="A23" s="16" t="s">
        <v>64</v>
      </c>
      <c r="B23" s="16" t="s">
        <v>65</v>
      </c>
      <c r="C23" s="16" t="s">
        <v>66</v>
      </c>
      <c r="D23" s="17">
        <v>16300</v>
      </c>
      <c r="E23" s="17">
        <v>596.41700000000003</v>
      </c>
      <c r="F23" s="18">
        <v>1.7705464961311132E-2</v>
      </c>
      <c r="G23" s="19"/>
      <c r="H23" s="19"/>
      <c r="I23" s="14"/>
      <c r="J23" s="48"/>
    </row>
    <row r="24" spans="1:10" ht="14.25" x14ac:dyDescent="0.3">
      <c r="A24" s="16" t="s">
        <v>47</v>
      </c>
      <c r="B24" s="16" t="s">
        <v>48</v>
      </c>
      <c r="C24" s="16" t="s">
        <v>155</v>
      </c>
      <c r="D24" s="17">
        <v>7199</v>
      </c>
      <c r="E24" s="17">
        <v>582.32710999999995</v>
      </c>
      <c r="F24" s="18">
        <v>1.7287187055577847E-2</v>
      </c>
      <c r="G24" s="19"/>
      <c r="H24" s="19"/>
      <c r="I24" s="14"/>
      <c r="J24" s="48"/>
    </row>
    <row r="25" spans="1:10" ht="14.25" x14ac:dyDescent="0.3">
      <c r="A25" s="16" t="s">
        <v>115</v>
      </c>
      <c r="B25" s="16" t="s">
        <v>116</v>
      </c>
      <c r="C25" s="16" t="s">
        <v>156</v>
      </c>
      <c r="D25" s="17">
        <v>36799</v>
      </c>
      <c r="E25" s="17">
        <v>579.91544099999999</v>
      </c>
      <c r="F25" s="18">
        <v>1.7215593320024064E-2</v>
      </c>
      <c r="G25" s="19"/>
      <c r="H25" s="19"/>
      <c r="I25" s="14"/>
      <c r="J25" s="47"/>
    </row>
    <row r="26" spans="1:10" ht="14.25" x14ac:dyDescent="0.3">
      <c r="A26" s="16" t="s">
        <v>82</v>
      </c>
      <c r="B26" s="16" t="s">
        <v>83</v>
      </c>
      <c r="C26" s="16" t="s">
        <v>157</v>
      </c>
      <c r="D26" s="17">
        <v>15702</v>
      </c>
      <c r="E26" s="17">
        <v>565.77446399999997</v>
      </c>
      <c r="F26" s="18">
        <v>1.6795798825916405E-2</v>
      </c>
      <c r="G26" s="19"/>
      <c r="H26" s="19"/>
      <c r="I26" s="14"/>
      <c r="J26" s="48"/>
    </row>
    <row r="27" spans="1:10" ht="14.25" x14ac:dyDescent="0.3">
      <c r="A27" s="16" t="s">
        <v>68</v>
      </c>
      <c r="B27" s="16" t="s">
        <v>69</v>
      </c>
      <c r="C27" s="16" t="s">
        <v>152</v>
      </c>
      <c r="D27" s="17">
        <v>10000</v>
      </c>
      <c r="E27" s="17">
        <v>559.45000000000005</v>
      </c>
      <c r="F27" s="18">
        <v>1.6608048349737704E-2</v>
      </c>
      <c r="G27" s="19"/>
      <c r="H27" s="19"/>
      <c r="I27" s="14"/>
      <c r="J27" s="47"/>
    </row>
    <row r="28" spans="1:10" ht="14.25" x14ac:dyDescent="0.3">
      <c r="A28" s="16" t="s">
        <v>113</v>
      </c>
      <c r="B28" s="16" t="s">
        <v>114</v>
      </c>
      <c r="C28" s="16" t="s">
        <v>158</v>
      </c>
      <c r="D28" s="17">
        <v>137351</v>
      </c>
      <c r="E28" s="17">
        <v>554.8293645</v>
      </c>
      <c r="F28" s="18">
        <v>1.6470878383180346E-2</v>
      </c>
      <c r="G28" s="19"/>
      <c r="H28" s="19"/>
      <c r="I28" s="14"/>
      <c r="J28" s="48"/>
    </row>
    <row r="29" spans="1:10" ht="14.25" x14ac:dyDescent="0.3">
      <c r="A29" s="16" t="s">
        <v>84</v>
      </c>
      <c r="B29" s="16" t="s">
        <v>85</v>
      </c>
      <c r="C29" s="16" t="s">
        <v>148</v>
      </c>
      <c r="D29" s="17">
        <v>15900</v>
      </c>
      <c r="E29" s="17">
        <v>544.89300000000003</v>
      </c>
      <c r="F29" s="18">
        <v>1.6175903636488742E-2</v>
      </c>
      <c r="G29" s="19"/>
      <c r="H29" s="19"/>
      <c r="I29" s="14"/>
      <c r="J29" s="47"/>
    </row>
    <row r="30" spans="1:10" ht="14.25" x14ac:dyDescent="0.3">
      <c r="A30" s="16" t="s">
        <v>109</v>
      </c>
      <c r="B30" s="16" t="s">
        <v>110</v>
      </c>
      <c r="C30" s="16" t="s">
        <v>143</v>
      </c>
      <c r="D30" s="17">
        <v>62000</v>
      </c>
      <c r="E30" s="17">
        <v>540.91899999999998</v>
      </c>
      <c r="F30" s="18">
        <v>1.6057929940641289E-2</v>
      </c>
      <c r="G30" s="19"/>
      <c r="H30" s="19"/>
      <c r="I30" s="14"/>
      <c r="J30" s="47"/>
    </row>
    <row r="31" spans="1:10" ht="14.25" x14ac:dyDescent="0.3">
      <c r="A31" s="16" t="s">
        <v>129</v>
      </c>
      <c r="B31" s="16" t="s">
        <v>130</v>
      </c>
      <c r="C31" s="16" t="s">
        <v>158</v>
      </c>
      <c r="D31" s="17">
        <v>11300</v>
      </c>
      <c r="E31" s="17">
        <v>536.35450000000003</v>
      </c>
      <c r="F31" s="18">
        <v>1.5922426434175335E-2</v>
      </c>
      <c r="G31" s="19"/>
      <c r="H31" s="19"/>
      <c r="I31" s="14"/>
      <c r="J31" s="47"/>
    </row>
    <row r="32" spans="1:10" ht="14.25" x14ac:dyDescent="0.3">
      <c r="A32" s="16" t="s">
        <v>127</v>
      </c>
      <c r="B32" s="16" t="s">
        <v>128</v>
      </c>
      <c r="C32" s="16" t="s">
        <v>148</v>
      </c>
      <c r="D32" s="17">
        <v>9500</v>
      </c>
      <c r="E32" s="17">
        <v>519.88750000000005</v>
      </c>
      <c r="F32" s="18">
        <v>1.5433580724683637E-2</v>
      </c>
      <c r="G32" s="19"/>
      <c r="H32" s="19"/>
      <c r="I32" s="14"/>
      <c r="J32" s="47"/>
    </row>
    <row r="33" spans="1:10" ht="14.25" x14ac:dyDescent="0.3">
      <c r="A33" s="16" t="s">
        <v>107</v>
      </c>
      <c r="B33" s="16" t="s">
        <v>108</v>
      </c>
      <c r="C33" s="16" t="s">
        <v>159</v>
      </c>
      <c r="D33" s="17">
        <v>135000</v>
      </c>
      <c r="E33" s="17">
        <v>518.4</v>
      </c>
      <c r="F33" s="18">
        <v>1.5389422226300877E-2</v>
      </c>
      <c r="G33" s="19"/>
      <c r="H33" s="19"/>
      <c r="I33" s="14"/>
      <c r="J33" s="48"/>
    </row>
    <row r="34" spans="1:10" ht="14.25" x14ac:dyDescent="0.3">
      <c r="A34" s="16" t="s">
        <v>74</v>
      </c>
      <c r="B34" s="16" t="s">
        <v>75</v>
      </c>
      <c r="C34" s="16" t="s">
        <v>157</v>
      </c>
      <c r="D34" s="17">
        <v>41950</v>
      </c>
      <c r="E34" s="17">
        <v>513.34214999999995</v>
      </c>
      <c r="F34" s="18">
        <v>1.5239272941564581E-2</v>
      </c>
      <c r="G34" s="19"/>
      <c r="H34" s="19"/>
      <c r="I34" s="14"/>
      <c r="J34" s="47"/>
    </row>
    <row r="35" spans="1:10" ht="14.25" x14ac:dyDescent="0.3">
      <c r="A35" s="16" t="s">
        <v>34</v>
      </c>
      <c r="B35" s="16" t="s">
        <v>9</v>
      </c>
      <c r="C35" s="16" t="s">
        <v>160</v>
      </c>
      <c r="D35" s="17">
        <v>73500</v>
      </c>
      <c r="E35" s="17">
        <v>512.58900000000006</v>
      </c>
      <c r="F35" s="18">
        <v>1.5216914640349808E-2</v>
      </c>
      <c r="G35" s="19"/>
      <c r="H35" s="19"/>
      <c r="I35" s="14"/>
      <c r="J35" s="48"/>
    </row>
    <row r="36" spans="1:10" ht="14.25" x14ac:dyDescent="0.3">
      <c r="A36" s="16" t="s">
        <v>121</v>
      </c>
      <c r="B36" s="16" t="s">
        <v>122</v>
      </c>
      <c r="C36" s="16" t="s">
        <v>157</v>
      </c>
      <c r="D36" s="17">
        <v>27699</v>
      </c>
      <c r="E36" s="17">
        <v>509.77239600000001</v>
      </c>
      <c r="F36" s="18">
        <v>1.5133299848296783E-2</v>
      </c>
      <c r="G36" s="19"/>
      <c r="H36" s="19"/>
      <c r="I36" s="14"/>
      <c r="J36" s="48"/>
    </row>
    <row r="37" spans="1:10" ht="14.25" x14ac:dyDescent="0.3">
      <c r="A37" s="16" t="s">
        <v>131</v>
      </c>
      <c r="B37" s="16" t="s">
        <v>132</v>
      </c>
      <c r="C37" s="16" t="s">
        <v>133</v>
      </c>
      <c r="D37" s="17">
        <v>95000</v>
      </c>
      <c r="E37" s="17">
        <v>504.3075</v>
      </c>
      <c r="F37" s="18">
        <v>1.4971066839101523E-2</v>
      </c>
      <c r="G37" s="19"/>
      <c r="H37" s="19"/>
      <c r="I37" s="14"/>
      <c r="J37" s="48"/>
    </row>
    <row r="38" spans="1:10" ht="14.25" x14ac:dyDescent="0.3">
      <c r="A38" s="16" t="s">
        <v>86</v>
      </c>
      <c r="B38" s="16" t="s">
        <v>87</v>
      </c>
      <c r="C38" s="16" t="s">
        <v>161</v>
      </c>
      <c r="D38" s="17">
        <v>35900</v>
      </c>
      <c r="E38" s="17">
        <v>503.85649999999998</v>
      </c>
      <c r="F38" s="18">
        <v>1.4957678279255725E-2</v>
      </c>
      <c r="G38" s="19"/>
      <c r="H38" s="19"/>
      <c r="I38" s="14"/>
      <c r="J38" s="48"/>
    </row>
    <row r="39" spans="1:10" ht="14.25" x14ac:dyDescent="0.3">
      <c r="A39" s="16" t="s">
        <v>39</v>
      </c>
      <c r="B39" s="16" t="s">
        <v>15</v>
      </c>
      <c r="C39" s="16" t="s">
        <v>149</v>
      </c>
      <c r="D39" s="17">
        <v>15000</v>
      </c>
      <c r="E39" s="17">
        <v>499.26</v>
      </c>
      <c r="F39" s="18">
        <v>1.4821224808454814E-2</v>
      </c>
      <c r="G39" s="19"/>
      <c r="H39" s="19"/>
      <c r="I39" s="14"/>
      <c r="J39" s="48"/>
    </row>
    <row r="40" spans="1:10" ht="14.25" x14ac:dyDescent="0.3">
      <c r="A40" s="16" t="s">
        <v>37</v>
      </c>
      <c r="B40" s="16" t="s">
        <v>134</v>
      </c>
      <c r="C40" s="16" t="s">
        <v>154</v>
      </c>
      <c r="D40" s="17">
        <v>55000</v>
      </c>
      <c r="E40" s="17">
        <v>491.48</v>
      </c>
      <c r="F40" s="18">
        <v>1.4590264729518432E-2</v>
      </c>
      <c r="G40" s="19"/>
      <c r="H40" s="19"/>
      <c r="I40" s="14"/>
      <c r="J40" s="48"/>
    </row>
    <row r="41" spans="1:10" ht="14.25" x14ac:dyDescent="0.3">
      <c r="A41" s="16" t="s">
        <v>135</v>
      </c>
      <c r="B41" s="16" t="s">
        <v>136</v>
      </c>
      <c r="C41" s="16" t="s">
        <v>162</v>
      </c>
      <c r="D41" s="17">
        <v>20000</v>
      </c>
      <c r="E41" s="17">
        <v>490.02</v>
      </c>
      <c r="F41" s="18">
        <v>1.4546922606736026E-2</v>
      </c>
      <c r="G41" s="19"/>
      <c r="H41" s="19"/>
      <c r="I41" s="14"/>
      <c r="J41" s="48"/>
    </row>
    <row r="42" spans="1:10" ht="14.25" x14ac:dyDescent="0.3">
      <c r="A42" s="16" t="s">
        <v>32</v>
      </c>
      <c r="B42" s="16" t="s">
        <v>8</v>
      </c>
      <c r="C42" s="16" t="s">
        <v>154</v>
      </c>
      <c r="D42" s="17">
        <v>8850</v>
      </c>
      <c r="E42" s="17">
        <v>489.62625000000003</v>
      </c>
      <c r="F42" s="18">
        <v>1.4535233592458237E-2</v>
      </c>
      <c r="G42" s="19"/>
      <c r="H42" s="19"/>
      <c r="I42" s="14"/>
      <c r="J42" s="48"/>
    </row>
    <row r="43" spans="1:10" ht="14.25" x14ac:dyDescent="0.3">
      <c r="A43" s="16" t="s">
        <v>88</v>
      </c>
      <c r="B43" s="16" t="s">
        <v>89</v>
      </c>
      <c r="C43" s="16" t="s">
        <v>162</v>
      </c>
      <c r="D43" s="17">
        <v>150000</v>
      </c>
      <c r="E43" s="17">
        <v>488.25</v>
      </c>
      <c r="F43" s="18">
        <v>1.4494377704458725E-2</v>
      </c>
      <c r="G43" s="19"/>
      <c r="H43" s="19"/>
      <c r="I43" s="14"/>
      <c r="J43" s="48"/>
    </row>
    <row r="44" spans="1:10" ht="14.25" x14ac:dyDescent="0.3">
      <c r="A44" s="16" t="s">
        <v>137</v>
      </c>
      <c r="B44" s="16" t="s">
        <v>138</v>
      </c>
      <c r="C44" s="16" t="s">
        <v>148</v>
      </c>
      <c r="D44" s="17">
        <v>3000</v>
      </c>
      <c r="E44" s="17">
        <v>480.87</v>
      </c>
      <c r="F44" s="18">
        <v>1.4275292179709303E-2</v>
      </c>
      <c r="G44" s="19"/>
      <c r="H44" s="19"/>
      <c r="I44" s="14"/>
      <c r="J44" s="48"/>
    </row>
    <row r="45" spans="1:10" ht="14.25" x14ac:dyDescent="0.3">
      <c r="A45" s="16" t="s">
        <v>90</v>
      </c>
      <c r="B45" s="16" t="s">
        <v>91</v>
      </c>
      <c r="C45" s="16" t="s">
        <v>151</v>
      </c>
      <c r="D45" s="17">
        <v>6510</v>
      </c>
      <c r="E45" s="17">
        <v>474.3186</v>
      </c>
      <c r="F45" s="18">
        <v>1.4080804793958169E-2</v>
      </c>
      <c r="G45" s="19"/>
      <c r="H45" s="19"/>
      <c r="I45" s="14"/>
      <c r="J45" s="48"/>
    </row>
    <row r="46" spans="1:10" ht="14.25" x14ac:dyDescent="0.3">
      <c r="A46" s="16" t="s">
        <v>45</v>
      </c>
      <c r="B46" s="16" t="s">
        <v>46</v>
      </c>
      <c r="C46" s="16" t="s">
        <v>149</v>
      </c>
      <c r="D46" s="17">
        <v>15649</v>
      </c>
      <c r="E46" s="17">
        <v>463.28864499999997</v>
      </c>
      <c r="F46" s="18">
        <v>1.3753365298140079E-2</v>
      </c>
      <c r="G46" s="19"/>
      <c r="H46" s="19"/>
      <c r="I46" s="14"/>
      <c r="J46" s="47"/>
    </row>
    <row r="47" spans="1:10" ht="14.25" x14ac:dyDescent="0.3">
      <c r="A47" s="16" t="s">
        <v>33</v>
      </c>
      <c r="B47" s="16" t="s">
        <v>13</v>
      </c>
      <c r="C47" s="16" t="s">
        <v>155</v>
      </c>
      <c r="D47" s="17">
        <v>2700</v>
      </c>
      <c r="E47" s="17">
        <v>440.69400000000002</v>
      </c>
      <c r="F47" s="18">
        <v>1.3082611957170986E-2</v>
      </c>
      <c r="G47" s="19"/>
      <c r="H47" s="19"/>
      <c r="I47" s="14"/>
      <c r="J47" s="47"/>
    </row>
    <row r="48" spans="1:10" ht="14.25" x14ac:dyDescent="0.3">
      <c r="A48" s="16" t="s">
        <v>78</v>
      </c>
      <c r="B48" s="16" t="s">
        <v>79</v>
      </c>
      <c r="C48" s="16" t="s">
        <v>159</v>
      </c>
      <c r="D48" s="17">
        <v>3600</v>
      </c>
      <c r="E48" s="17">
        <v>439.99200000000002</v>
      </c>
      <c r="F48" s="18">
        <v>1.306177211457287E-2</v>
      </c>
      <c r="G48" s="19"/>
      <c r="H48" s="19"/>
      <c r="I48" s="14"/>
      <c r="J48" s="48"/>
    </row>
    <row r="49" spans="1:10" ht="14.25" x14ac:dyDescent="0.3">
      <c r="A49" s="16" t="s">
        <v>119</v>
      </c>
      <c r="B49" s="16" t="s">
        <v>120</v>
      </c>
      <c r="C49" s="16" t="s">
        <v>145</v>
      </c>
      <c r="D49" s="17">
        <v>31300</v>
      </c>
      <c r="E49" s="17">
        <v>438.29390000000001</v>
      </c>
      <c r="F49" s="18">
        <v>1.3011361663410674E-2</v>
      </c>
      <c r="G49" s="19"/>
      <c r="H49" s="19"/>
      <c r="I49" s="14"/>
      <c r="J49" s="47"/>
    </row>
    <row r="50" spans="1:10" ht="14.25" x14ac:dyDescent="0.3">
      <c r="A50" s="16" t="s">
        <v>139</v>
      </c>
      <c r="B50" s="16" t="s">
        <v>140</v>
      </c>
      <c r="C50" s="16" t="s">
        <v>157</v>
      </c>
      <c r="D50" s="17">
        <v>67900</v>
      </c>
      <c r="E50" s="17">
        <v>427.87184999999999</v>
      </c>
      <c r="F50" s="18">
        <v>1.2701968669750145E-2</v>
      </c>
      <c r="G50" s="19"/>
      <c r="H50" s="19"/>
      <c r="I50" s="14"/>
      <c r="J50" s="48"/>
    </row>
    <row r="51" spans="1:10" ht="14.25" x14ac:dyDescent="0.3">
      <c r="A51" s="16" t="s">
        <v>100</v>
      </c>
      <c r="B51" s="16" t="s">
        <v>101</v>
      </c>
      <c r="C51" s="16" t="s">
        <v>146</v>
      </c>
      <c r="D51" s="17">
        <v>79000</v>
      </c>
      <c r="E51" s="17">
        <v>423.91399999999999</v>
      </c>
      <c r="F51" s="18">
        <v>1.258447440902799E-2</v>
      </c>
      <c r="G51" s="19"/>
      <c r="H51" s="19"/>
      <c r="I51" s="14"/>
      <c r="J51" s="47"/>
    </row>
    <row r="52" spans="1:10" ht="14.25" x14ac:dyDescent="0.3">
      <c r="A52" s="16" t="s">
        <v>98</v>
      </c>
      <c r="B52" s="16" t="s">
        <v>99</v>
      </c>
      <c r="C52" s="16" t="s">
        <v>162</v>
      </c>
      <c r="D52" s="17">
        <v>8700</v>
      </c>
      <c r="E52" s="17">
        <v>406.9425</v>
      </c>
      <c r="F52" s="18">
        <v>1.2080651918067987E-2</v>
      </c>
      <c r="G52" s="19"/>
      <c r="H52" s="19"/>
      <c r="I52" s="14"/>
      <c r="J52" s="48"/>
    </row>
    <row r="53" spans="1:10" ht="14.25" x14ac:dyDescent="0.3">
      <c r="A53" s="16" t="s">
        <v>72</v>
      </c>
      <c r="B53" s="16" t="s">
        <v>73</v>
      </c>
      <c r="C53" s="16" t="s">
        <v>153</v>
      </c>
      <c r="D53" s="17">
        <v>90000</v>
      </c>
      <c r="E53" s="17">
        <v>399.33</v>
      </c>
      <c r="F53" s="18">
        <v>1.1854664308697395E-2</v>
      </c>
      <c r="G53" s="19"/>
      <c r="H53" s="19"/>
      <c r="I53" s="14"/>
      <c r="J53" s="47"/>
    </row>
    <row r="54" spans="1:10" ht="14.25" x14ac:dyDescent="0.3">
      <c r="A54" s="16" t="s">
        <v>117</v>
      </c>
      <c r="B54" s="16" t="s">
        <v>118</v>
      </c>
      <c r="C54" s="16" t="s">
        <v>151</v>
      </c>
      <c r="D54" s="17">
        <v>18134</v>
      </c>
      <c r="E54" s="17">
        <v>394.75904600000001</v>
      </c>
      <c r="F54" s="18">
        <v>1.1718969206299635E-2</v>
      </c>
      <c r="G54" s="19"/>
      <c r="H54" s="19"/>
      <c r="I54" s="14"/>
      <c r="J54" s="48"/>
    </row>
    <row r="55" spans="1:10" ht="14.25" x14ac:dyDescent="0.3">
      <c r="A55" s="16" t="s">
        <v>92</v>
      </c>
      <c r="B55" s="16" t="s">
        <v>93</v>
      </c>
      <c r="C55" s="16" t="s">
        <v>155</v>
      </c>
      <c r="D55" s="17">
        <v>28000</v>
      </c>
      <c r="E55" s="17">
        <v>378.98</v>
      </c>
      <c r="F55" s="18">
        <v>1.1250546364435777E-2</v>
      </c>
      <c r="G55" s="19"/>
      <c r="H55" s="19"/>
      <c r="I55" s="14"/>
      <c r="J55" s="48"/>
    </row>
    <row r="56" spans="1:10" ht="14.25" x14ac:dyDescent="0.3">
      <c r="A56" s="16" t="s">
        <v>125</v>
      </c>
      <c r="B56" s="16" t="s">
        <v>126</v>
      </c>
      <c r="C56" s="16" t="s">
        <v>149</v>
      </c>
      <c r="D56" s="17">
        <v>10500</v>
      </c>
      <c r="E56" s="17">
        <v>360.44400000000002</v>
      </c>
      <c r="F56" s="18">
        <v>1.0700279523412024E-2</v>
      </c>
      <c r="G56" s="19"/>
      <c r="H56" s="19"/>
      <c r="I56" s="14"/>
      <c r="J56" s="47"/>
    </row>
    <row r="57" spans="1:10" ht="14.25" x14ac:dyDescent="0.3">
      <c r="A57" s="16" t="s">
        <v>38</v>
      </c>
      <c r="B57" s="16" t="s">
        <v>14</v>
      </c>
      <c r="C57" s="16" t="s">
        <v>150</v>
      </c>
      <c r="D57" s="17">
        <v>5100</v>
      </c>
      <c r="E57" s="17">
        <v>359.65199999999999</v>
      </c>
      <c r="F57" s="18">
        <v>1.0676767906121843E-2</v>
      </c>
      <c r="G57" s="19"/>
      <c r="H57" s="19"/>
      <c r="I57" s="14"/>
      <c r="J57" s="48"/>
    </row>
    <row r="58" spans="1:10" ht="14.25" x14ac:dyDescent="0.3">
      <c r="A58" s="16" t="s">
        <v>96</v>
      </c>
      <c r="B58" s="16" t="s">
        <v>97</v>
      </c>
      <c r="C58" s="16" t="s">
        <v>163</v>
      </c>
      <c r="D58" s="17">
        <v>47000</v>
      </c>
      <c r="E58" s="17">
        <v>335.11</v>
      </c>
      <c r="F58" s="18">
        <v>9.9482046339808769E-3</v>
      </c>
      <c r="G58" s="19"/>
      <c r="H58" s="19"/>
      <c r="I58" s="14"/>
      <c r="J58" s="47"/>
    </row>
    <row r="59" spans="1:10" ht="14.25" x14ac:dyDescent="0.3">
      <c r="A59" s="16" t="s">
        <v>94</v>
      </c>
      <c r="B59" s="16" t="s">
        <v>95</v>
      </c>
      <c r="C59" s="16" t="s">
        <v>162</v>
      </c>
      <c r="D59" s="17">
        <v>6800</v>
      </c>
      <c r="E59" s="17">
        <v>304.3272</v>
      </c>
      <c r="F59" s="18">
        <v>9.0343745674149548E-3</v>
      </c>
      <c r="G59" s="19"/>
      <c r="H59" s="19"/>
      <c r="I59" s="14"/>
      <c r="J59" s="48"/>
    </row>
    <row r="60" spans="1:10" ht="14.25" x14ac:dyDescent="0.3">
      <c r="A60" s="16" t="s">
        <v>40</v>
      </c>
      <c r="B60" s="16" t="s">
        <v>16</v>
      </c>
      <c r="C60" s="16" t="s">
        <v>149</v>
      </c>
      <c r="D60" s="17">
        <v>9393</v>
      </c>
      <c r="E60" s="17">
        <v>297.78627899999998</v>
      </c>
      <c r="F60" s="18">
        <v>8.8401982652971337E-3</v>
      </c>
      <c r="G60" s="19"/>
      <c r="H60" s="19"/>
      <c r="I60" s="14"/>
      <c r="J60" s="48"/>
    </row>
    <row r="61" spans="1:10" ht="14.25" x14ac:dyDescent="0.3">
      <c r="A61" s="16" t="s">
        <v>52</v>
      </c>
      <c r="B61" s="16" t="s">
        <v>51</v>
      </c>
      <c r="C61" s="16" t="s">
        <v>146</v>
      </c>
      <c r="D61" s="17">
        <v>30000</v>
      </c>
      <c r="E61" s="17">
        <v>225.09</v>
      </c>
      <c r="F61" s="18">
        <v>6.6821085048573772E-3</v>
      </c>
      <c r="G61" s="19"/>
      <c r="H61" s="19"/>
      <c r="I61" s="14"/>
      <c r="J61" s="48"/>
    </row>
    <row r="62" spans="1:10" ht="14.25" x14ac:dyDescent="0.3">
      <c r="A62" s="20"/>
      <c r="B62" s="10" t="s">
        <v>17</v>
      </c>
      <c r="C62" s="20"/>
      <c r="D62" s="21"/>
      <c r="E62" s="22">
        <f>SUM(E6:E61)</f>
        <v>32698.611103000003</v>
      </c>
      <c r="F62" s="23">
        <f>SUM(F6:F61)</f>
        <v>0.97070357345230862</v>
      </c>
      <c r="G62" s="19"/>
      <c r="H62" s="19"/>
      <c r="I62" s="14"/>
      <c r="J62" s="48"/>
    </row>
    <row r="63" spans="1:10" ht="14.25" x14ac:dyDescent="0.3">
      <c r="A63" s="9"/>
      <c r="B63" s="10" t="s">
        <v>164</v>
      </c>
      <c r="C63" s="9"/>
      <c r="D63" s="11"/>
      <c r="E63" s="79" t="s">
        <v>2</v>
      </c>
      <c r="F63" s="78" t="s">
        <v>2</v>
      </c>
      <c r="G63" s="19"/>
      <c r="H63" s="19"/>
      <c r="I63" s="14"/>
      <c r="J63" s="48"/>
    </row>
    <row r="64" spans="1:10" ht="14.25" x14ac:dyDescent="0.3">
      <c r="A64" s="20"/>
      <c r="B64" s="10" t="s">
        <v>3</v>
      </c>
      <c r="C64" s="20"/>
      <c r="D64" s="21"/>
      <c r="E64" s="22">
        <f>+E62</f>
        <v>32698.611103000003</v>
      </c>
      <c r="F64" s="23">
        <f>+F62</f>
        <v>0.97070357345230862</v>
      </c>
      <c r="G64" s="19"/>
      <c r="H64" s="19"/>
      <c r="I64" s="14"/>
      <c r="J64" s="48"/>
    </row>
    <row r="65" spans="1:10" ht="14.25" x14ac:dyDescent="0.3">
      <c r="A65" s="20"/>
      <c r="B65" s="10"/>
      <c r="C65" s="20"/>
      <c r="D65" s="21"/>
      <c r="E65" s="22"/>
      <c r="F65" s="23"/>
      <c r="G65" s="19"/>
      <c r="H65" s="19"/>
      <c r="I65" s="14"/>
      <c r="J65" s="48"/>
    </row>
    <row r="66" spans="1:10" ht="14.25" x14ac:dyDescent="0.3">
      <c r="A66" s="9"/>
      <c r="B66" s="10" t="s">
        <v>18</v>
      </c>
      <c r="C66" s="9"/>
      <c r="D66" s="9"/>
      <c r="E66" s="9"/>
      <c r="F66" s="25"/>
      <c r="G66" s="26"/>
      <c r="H66" s="9"/>
      <c r="I66" s="14"/>
      <c r="J66" s="48"/>
    </row>
    <row r="67" spans="1:10" ht="14.25" x14ac:dyDescent="0.3">
      <c r="A67" s="16"/>
      <c r="B67" s="10" t="s">
        <v>19</v>
      </c>
      <c r="C67" s="16"/>
      <c r="D67" s="27"/>
      <c r="E67" s="22" t="s">
        <v>2</v>
      </c>
      <c r="F67" s="28" t="s">
        <v>2</v>
      </c>
      <c r="G67" s="14"/>
      <c r="H67" s="16"/>
      <c r="I67" s="14"/>
      <c r="J67" s="48"/>
    </row>
    <row r="68" spans="1:10" ht="14.25" x14ac:dyDescent="0.3">
      <c r="A68" s="9"/>
      <c r="B68" s="10" t="s">
        <v>17</v>
      </c>
      <c r="C68" s="9"/>
      <c r="D68" s="11"/>
      <c r="E68" s="29" t="s">
        <v>2</v>
      </c>
      <c r="F68" s="23" t="s">
        <v>2</v>
      </c>
      <c r="G68" s="30"/>
      <c r="H68" s="23"/>
      <c r="I68" s="14"/>
      <c r="J68" s="48"/>
    </row>
    <row r="69" spans="1:10" ht="14.25" x14ac:dyDescent="0.3">
      <c r="A69" s="20"/>
      <c r="B69" s="10" t="s">
        <v>4</v>
      </c>
      <c r="C69" s="20"/>
      <c r="D69" s="21"/>
      <c r="E69" s="15" t="s">
        <v>2</v>
      </c>
      <c r="F69" s="15" t="s">
        <v>2</v>
      </c>
      <c r="G69" s="30"/>
      <c r="H69" s="23"/>
      <c r="I69" s="14"/>
      <c r="J69" s="48"/>
    </row>
    <row r="70" spans="1:10" ht="14.25" x14ac:dyDescent="0.3">
      <c r="A70" s="31"/>
      <c r="B70" s="10" t="s">
        <v>17</v>
      </c>
      <c r="C70" s="31"/>
      <c r="D70" s="31"/>
      <c r="E70" s="29" t="s">
        <v>2</v>
      </c>
      <c r="F70" s="23" t="s">
        <v>2</v>
      </c>
      <c r="G70" s="32"/>
      <c r="H70" s="31"/>
      <c r="I70" s="14"/>
      <c r="J70" s="48"/>
    </row>
    <row r="71" spans="1:10" ht="14.25" x14ac:dyDescent="0.3">
      <c r="A71" s="31"/>
      <c r="B71" s="10" t="s">
        <v>20</v>
      </c>
      <c r="C71" s="31"/>
      <c r="D71" s="32"/>
      <c r="E71" s="15" t="s">
        <v>2</v>
      </c>
      <c r="F71" s="15" t="s">
        <v>2</v>
      </c>
      <c r="G71" s="33"/>
      <c r="H71" s="33"/>
      <c r="I71" s="14"/>
      <c r="J71" s="48"/>
    </row>
    <row r="72" spans="1:10" ht="14.25" x14ac:dyDescent="0.3">
      <c r="A72" s="20"/>
      <c r="B72" s="10" t="s">
        <v>17</v>
      </c>
      <c r="C72" s="20"/>
      <c r="D72" s="21"/>
      <c r="E72" s="29" t="s">
        <v>2</v>
      </c>
      <c r="F72" s="23" t="s">
        <v>2</v>
      </c>
      <c r="G72" s="34"/>
      <c r="H72" s="35"/>
      <c r="I72" s="14"/>
      <c r="J72" s="48"/>
    </row>
    <row r="73" spans="1:10" ht="14.25" x14ac:dyDescent="0.3">
      <c r="A73" s="20"/>
      <c r="B73" s="10" t="s">
        <v>21</v>
      </c>
      <c r="C73" s="20"/>
      <c r="D73" s="21"/>
      <c r="E73" s="15" t="s">
        <v>2</v>
      </c>
      <c r="F73" s="15" t="s">
        <v>2</v>
      </c>
      <c r="G73" s="34"/>
      <c r="H73" s="35"/>
      <c r="I73" s="14"/>
      <c r="J73" s="48"/>
    </row>
    <row r="74" spans="1:10" ht="13.5" customHeight="1" x14ac:dyDescent="0.3">
      <c r="A74" s="20"/>
      <c r="B74" s="10" t="s">
        <v>17</v>
      </c>
      <c r="C74" s="20"/>
      <c r="D74" s="21"/>
      <c r="E74" s="29" t="s">
        <v>2</v>
      </c>
      <c r="F74" s="23" t="s">
        <v>2</v>
      </c>
      <c r="G74" s="30"/>
      <c r="H74" s="23"/>
      <c r="I74" s="14"/>
      <c r="J74" s="48"/>
    </row>
    <row r="75" spans="1:10" ht="13.5" customHeight="1" x14ac:dyDescent="0.3">
      <c r="A75" s="20"/>
      <c r="B75" s="36" t="s">
        <v>3</v>
      </c>
      <c r="C75" s="20"/>
      <c r="D75" s="21"/>
      <c r="E75" s="29" t="s">
        <v>2</v>
      </c>
      <c r="F75" s="23" t="s">
        <v>2</v>
      </c>
      <c r="G75" s="30"/>
      <c r="H75" s="23"/>
      <c r="I75" s="14"/>
      <c r="J75" s="48"/>
    </row>
    <row r="76" spans="1:10" ht="13.5" customHeight="1" x14ac:dyDescent="0.3">
      <c r="A76" s="31"/>
      <c r="B76" s="31"/>
      <c r="C76" s="31"/>
      <c r="D76" s="37"/>
      <c r="E76" s="37"/>
      <c r="F76" s="38"/>
      <c r="G76" s="33"/>
      <c r="H76" s="33"/>
      <c r="I76" s="14"/>
      <c r="J76" s="48"/>
    </row>
    <row r="77" spans="1:10" ht="14.25" x14ac:dyDescent="0.3">
      <c r="A77" s="20"/>
      <c r="B77" s="10" t="s">
        <v>22</v>
      </c>
      <c r="C77" s="20"/>
      <c r="D77" s="21"/>
      <c r="E77" s="39"/>
      <c r="F77" s="28"/>
      <c r="G77" s="30"/>
      <c r="H77" s="23"/>
      <c r="I77" s="14"/>
      <c r="J77" s="48"/>
    </row>
    <row r="78" spans="1:10" ht="14.25" x14ac:dyDescent="0.3">
      <c r="A78" s="20"/>
      <c r="B78" s="75" t="s">
        <v>3</v>
      </c>
      <c r="C78" s="75"/>
      <c r="D78" s="76"/>
      <c r="E78" s="77" t="s">
        <v>2</v>
      </c>
      <c r="F78" s="78" t="s">
        <v>2</v>
      </c>
      <c r="G78" s="30"/>
      <c r="H78" s="23"/>
      <c r="I78" s="14"/>
      <c r="J78" s="48"/>
    </row>
    <row r="79" spans="1:10" ht="14.25" x14ac:dyDescent="0.3">
      <c r="A79" s="20"/>
      <c r="B79" s="75"/>
      <c r="C79" s="75"/>
      <c r="D79" s="76"/>
      <c r="E79" s="77"/>
      <c r="F79" s="78"/>
      <c r="G79" s="30"/>
      <c r="H79" s="23"/>
      <c r="I79" s="14"/>
      <c r="J79" s="48"/>
    </row>
    <row r="80" spans="1:10" ht="38.25" x14ac:dyDescent="0.2">
      <c r="A80" s="86" t="s">
        <v>165</v>
      </c>
      <c r="B80" s="84" t="s">
        <v>179</v>
      </c>
      <c r="C80" s="86" t="s">
        <v>180</v>
      </c>
      <c r="D80" s="87">
        <v>84000</v>
      </c>
      <c r="E80" s="88">
        <v>8.4356159999999996</v>
      </c>
      <c r="F80" s="89">
        <f>E80/E$90</f>
        <v>2.5042294823097853E-4</v>
      </c>
      <c r="G80" s="90">
        <v>46266</v>
      </c>
      <c r="H80" s="91"/>
      <c r="I80" s="92" t="s">
        <v>181</v>
      </c>
      <c r="J80" s="85"/>
    </row>
    <row r="81" spans="1:10" ht="14.25" x14ac:dyDescent="0.3">
      <c r="A81" s="20"/>
      <c r="B81" s="20" t="s">
        <v>3</v>
      </c>
      <c r="C81" s="20"/>
      <c r="D81" s="21"/>
      <c r="E81" s="22">
        <f>+E80</f>
        <v>8.4356159999999996</v>
      </c>
      <c r="F81" s="74">
        <f>+F80</f>
        <v>2.5042294823097853E-4</v>
      </c>
      <c r="G81" s="30"/>
      <c r="H81" s="23"/>
      <c r="I81" s="14"/>
      <c r="J81" s="48"/>
    </row>
    <row r="82" spans="1:10" ht="14.25" x14ac:dyDescent="0.3">
      <c r="A82" s="20"/>
      <c r="B82" s="20"/>
      <c r="C82" s="20"/>
      <c r="D82" s="21"/>
      <c r="E82" s="21"/>
      <c r="F82" s="28"/>
      <c r="G82" s="30"/>
      <c r="H82" s="23"/>
      <c r="I82" s="14"/>
      <c r="J82" s="48"/>
    </row>
    <row r="83" spans="1:10" ht="27" x14ac:dyDescent="0.3">
      <c r="A83" s="20"/>
      <c r="B83" s="40" t="s">
        <v>23</v>
      </c>
      <c r="C83" s="20"/>
      <c r="D83" s="21"/>
      <c r="E83" s="21"/>
      <c r="F83" s="28"/>
      <c r="G83" s="30"/>
      <c r="H83" s="23"/>
      <c r="I83" s="14"/>
      <c r="J83" s="48"/>
    </row>
    <row r="84" spans="1:10" ht="14.25" x14ac:dyDescent="0.3">
      <c r="A84" s="16"/>
      <c r="B84" s="16" t="s">
        <v>7</v>
      </c>
      <c r="C84" s="16"/>
      <c r="D84" s="17">
        <v>6012.9254000000001</v>
      </c>
      <c r="E84" s="17">
        <v>601.29254000000003</v>
      </c>
      <c r="F84" s="18">
        <v>1.7850202121112865E-2</v>
      </c>
      <c r="G84" s="30" t="s">
        <v>141</v>
      </c>
      <c r="H84" s="23"/>
      <c r="I84" s="44">
        <v>5.4732469999999998E-2</v>
      </c>
      <c r="J84" s="49"/>
    </row>
    <row r="85" spans="1:10" ht="14.25" x14ac:dyDescent="0.3">
      <c r="A85" s="20"/>
      <c r="B85" s="40" t="s">
        <v>3</v>
      </c>
      <c r="C85" s="20"/>
      <c r="D85" s="21"/>
      <c r="E85" s="22">
        <v>601.29254000000003</v>
      </c>
      <c r="F85" s="23">
        <v>1.7850202121112865E-2</v>
      </c>
      <c r="G85" s="30"/>
      <c r="H85" s="23"/>
      <c r="I85" s="14"/>
      <c r="J85" s="49"/>
    </row>
    <row r="86" spans="1:10" ht="14.25" x14ac:dyDescent="0.3">
      <c r="A86" s="20"/>
      <c r="B86" s="40"/>
      <c r="C86" s="20"/>
      <c r="D86" s="21"/>
      <c r="E86" s="21"/>
      <c r="F86" s="28"/>
      <c r="G86" s="30"/>
      <c r="H86" s="23"/>
      <c r="I86" s="14"/>
      <c r="J86" s="49"/>
    </row>
    <row r="87" spans="1:10" ht="14.25" x14ac:dyDescent="0.3">
      <c r="A87" s="20"/>
      <c r="B87" s="40" t="s">
        <v>5</v>
      </c>
      <c r="C87" s="20"/>
      <c r="D87" s="21"/>
      <c r="E87" s="21"/>
      <c r="F87" s="28"/>
      <c r="G87" s="30"/>
      <c r="H87" s="23"/>
      <c r="I87" s="14"/>
      <c r="J87" s="49"/>
    </row>
    <row r="88" spans="1:10" ht="14.25" x14ac:dyDescent="0.3">
      <c r="A88" s="9"/>
      <c r="B88" s="40" t="s">
        <v>6</v>
      </c>
      <c r="C88" s="9"/>
      <c r="D88" s="11"/>
      <c r="E88" s="11">
        <v>377.13589250000251</v>
      </c>
      <c r="F88" s="82">
        <v>1.1195801478347525E-2</v>
      </c>
      <c r="G88" s="30"/>
      <c r="H88" s="30"/>
      <c r="I88" s="14"/>
      <c r="J88" s="49"/>
    </row>
    <row r="89" spans="1:10" ht="14.25" x14ac:dyDescent="0.3">
      <c r="A89" s="20"/>
      <c r="B89" s="40" t="s">
        <v>3</v>
      </c>
      <c r="C89" s="20"/>
      <c r="D89" s="21"/>
      <c r="E89" s="21">
        <f>+E88</f>
        <v>377.13589250000251</v>
      </c>
      <c r="F89" s="83">
        <f>+F88</f>
        <v>1.1195801478347525E-2</v>
      </c>
      <c r="G89" s="41"/>
      <c r="H89" s="42"/>
      <c r="I89" s="14"/>
      <c r="J89" s="48"/>
    </row>
    <row r="90" spans="1:10" ht="14.25" x14ac:dyDescent="0.3">
      <c r="A90" s="24"/>
      <c r="B90" s="40" t="s">
        <v>24</v>
      </c>
      <c r="C90" s="24"/>
      <c r="D90" s="24"/>
      <c r="E90" s="21">
        <v>33685.475151500003</v>
      </c>
      <c r="F90" s="23">
        <v>1</v>
      </c>
      <c r="G90" s="43"/>
      <c r="H90" s="24"/>
      <c r="I90" s="14"/>
      <c r="J90" s="48"/>
    </row>
    <row r="91" spans="1:10" ht="14.25" x14ac:dyDescent="0.3">
      <c r="B91" s="7"/>
      <c r="C91" s="7"/>
      <c r="D91" s="7"/>
      <c r="E91" s="6"/>
      <c r="F91" s="6"/>
      <c r="G91" s="7"/>
      <c r="H91" s="7"/>
      <c r="I91" s="6"/>
      <c r="J91" s="6"/>
    </row>
    <row r="92" spans="1:10" ht="14.25" x14ac:dyDescent="0.3">
      <c r="A92" s="50" t="s">
        <v>167</v>
      </c>
      <c r="B92" s="55"/>
      <c r="C92" s="50"/>
      <c r="D92" s="50"/>
      <c r="E92" s="56"/>
      <c r="F92" s="57"/>
      <c r="G92" s="80"/>
      <c r="H92" s="81"/>
      <c r="I92" s="59"/>
      <c r="J92" s="50"/>
    </row>
    <row r="93" spans="1:10" ht="14.25" x14ac:dyDescent="0.3">
      <c r="A93" s="50"/>
      <c r="B93" s="55"/>
      <c r="C93" s="50"/>
      <c r="D93" s="50"/>
      <c r="E93" s="56"/>
      <c r="F93" s="60"/>
      <c r="G93" s="58"/>
      <c r="H93" s="50"/>
      <c r="I93" s="59"/>
      <c r="J93" s="50"/>
    </row>
    <row r="94" spans="1:10" ht="14.25" x14ac:dyDescent="0.3">
      <c r="A94" s="61" t="s">
        <v>168</v>
      </c>
      <c r="B94" s="61"/>
      <c r="C94" s="61"/>
      <c r="D94" s="61"/>
      <c r="E94" s="61"/>
      <c r="F94" s="61"/>
      <c r="G94" s="61"/>
      <c r="H94" s="61"/>
      <c r="I94" s="50"/>
      <c r="J94" s="6"/>
    </row>
    <row r="95" spans="1:10" ht="14.25" x14ac:dyDescent="0.3">
      <c r="A95" s="61" t="s">
        <v>169</v>
      </c>
      <c r="B95" s="61"/>
      <c r="C95" s="61"/>
      <c r="D95" s="61"/>
      <c r="E95" s="61"/>
      <c r="F95" s="61"/>
      <c r="G95" s="61"/>
      <c r="H95" s="61"/>
      <c r="I95" s="50"/>
      <c r="J95" s="6"/>
    </row>
    <row r="96" spans="1:10" ht="14.25" x14ac:dyDescent="0.3">
      <c r="A96" s="62" t="s">
        <v>170</v>
      </c>
      <c r="B96" s="62"/>
      <c r="C96" s="62"/>
      <c r="D96" s="62"/>
      <c r="E96" s="62"/>
      <c r="F96" s="62"/>
      <c r="G96" s="63"/>
      <c r="H96" s="63"/>
      <c r="I96" s="50"/>
      <c r="J96" s="6"/>
    </row>
    <row r="97" spans="1:10" ht="58.5" customHeight="1" x14ac:dyDescent="0.3">
      <c r="A97" s="101" t="s">
        <v>171</v>
      </c>
      <c r="B97" s="101"/>
      <c r="C97" s="101"/>
      <c r="D97" s="101"/>
      <c r="E97" s="101"/>
      <c r="F97" s="101"/>
      <c r="G97" s="101"/>
      <c r="H97" s="101"/>
      <c r="I97" s="50"/>
      <c r="J97" s="6"/>
    </row>
    <row r="98" spans="1:10" ht="14.25" x14ac:dyDescent="0.3">
      <c r="A98" s="64"/>
      <c r="B98" s="64"/>
      <c r="C98" s="64"/>
      <c r="D98" s="64"/>
      <c r="E98" s="64"/>
      <c r="F98" s="64"/>
      <c r="G98" s="63"/>
      <c r="H98" s="63"/>
      <c r="I98" s="50"/>
      <c r="J98" s="6"/>
    </row>
    <row r="99" spans="1:10" ht="14.25" x14ac:dyDescent="0.3">
      <c r="A99" s="65" t="s">
        <v>172</v>
      </c>
      <c r="B99" s="66"/>
      <c r="C99" s="6"/>
      <c r="D99" s="66"/>
      <c r="E99" s="6"/>
      <c r="F99" s="6"/>
      <c r="G99" s="6"/>
      <c r="H99" s="6"/>
      <c r="I99" s="50"/>
      <c r="J99" s="50"/>
    </row>
    <row r="100" spans="1:10" ht="14.25" x14ac:dyDescent="0.3">
      <c r="A100" s="67" t="s">
        <v>173</v>
      </c>
      <c r="B100" s="66"/>
      <c r="C100" s="66"/>
      <c r="D100" s="66"/>
      <c r="E100" s="6"/>
      <c r="F100" s="6"/>
      <c r="G100" s="6"/>
      <c r="H100" s="6"/>
      <c r="I100" s="50"/>
      <c r="J100" s="50"/>
    </row>
    <row r="101" spans="1:10" ht="14.25" x14ac:dyDescent="0.3">
      <c r="A101" s="67" t="s">
        <v>174</v>
      </c>
      <c r="B101" s="66"/>
      <c r="C101" s="66"/>
      <c r="D101" s="66"/>
      <c r="E101" s="6"/>
      <c r="F101" s="6"/>
      <c r="G101" s="6"/>
      <c r="H101" s="6"/>
      <c r="I101" s="50"/>
      <c r="J101" s="50"/>
    </row>
    <row r="102" spans="1:10" ht="14.25" x14ac:dyDescent="0.3">
      <c r="A102" s="67" t="s">
        <v>175</v>
      </c>
      <c r="B102" s="66"/>
      <c r="C102" s="66"/>
      <c r="D102" s="66"/>
      <c r="E102" s="6"/>
      <c r="F102" s="6"/>
      <c r="G102" s="6"/>
      <c r="H102" s="6"/>
      <c r="I102" s="50"/>
      <c r="J102" s="50"/>
    </row>
    <row r="103" spans="1:10" ht="14.25" x14ac:dyDescent="0.3">
      <c r="A103" s="50"/>
      <c r="B103" s="68"/>
      <c r="C103" s="69"/>
      <c r="D103" s="70"/>
      <c r="E103" s="6"/>
      <c r="F103" s="6"/>
      <c r="G103" s="6"/>
      <c r="H103" s="6"/>
      <c r="I103" s="6"/>
      <c r="J103" s="51"/>
    </row>
    <row r="104" spans="1:10" ht="14.25" x14ac:dyDescent="0.3">
      <c r="A104" s="50"/>
      <c r="B104" s="71" t="s">
        <v>176</v>
      </c>
      <c r="C104" s="95" t="s">
        <v>184</v>
      </c>
      <c r="D104" s="95"/>
      <c r="E104" s="96"/>
      <c r="F104" s="96"/>
      <c r="G104" s="6"/>
      <c r="H104" s="6"/>
      <c r="I104" s="6"/>
      <c r="J104" s="52"/>
    </row>
    <row r="105" spans="1:10" ht="14.25" x14ac:dyDescent="0.3">
      <c r="A105" s="50"/>
      <c r="B105" s="71"/>
      <c r="C105" s="69"/>
      <c r="D105" s="70"/>
      <c r="E105" s="6"/>
      <c r="F105" s="6"/>
      <c r="G105" s="6"/>
      <c r="H105" s="6"/>
      <c r="I105" s="6"/>
      <c r="J105" s="52"/>
    </row>
    <row r="106" spans="1:10" ht="14.25" x14ac:dyDescent="0.3">
      <c r="A106" s="50"/>
      <c r="B106" s="68"/>
      <c r="C106" s="69"/>
      <c r="D106" s="70"/>
      <c r="E106" s="6"/>
      <c r="F106" s="6"/>
      <c r="G106" s="6"/>
      <c r="H106" s="6"/>
      <c r="I106" s="6"/>
      <c r="J106" s="52"/>
    </row>
    <row r="107" spans="1:10" ht="14.25" x14ac:dyDescent="0.3">
      <c r="A107" s="50"/>
      <c r="B107" s="68"/>
      <c r="C107" s="69"/>
      <c r="D107" s="70"/>
      <c r="E107" s="6"/>
      <c r="F107" s="6"/>
      <c r="G107" s="6"/>
      <c r="H107" s="6"/>
      <c r="I107" s="6"/>
      <c r="J107" s="52"/>
    </row>
    <row r="108" spans="1:10" ht="14.25" x14ac:dyDescent="0.3">
      <c r="A108" s="50"/>
      <c r="B108" s="68"/>
      <c r="C108" s="69"/>
      <c r="D108" s="70"/>
      <c r="E108" s="6"/>
      <c r="F108" s="6"/>
      <c r="G108" s="6"/>
      <c r="H108" s="6"/>
      <c r="I108" s="6"/>
      <c r="J108" s="52"/>
    </row>
    <row r="109" spans="1:10" ht="14.25" x14ac:dyDescent="0.3">
      <c r="A109" s="50"/>
      <c r="B109" s="68"/>
      <c r="C109" s="69"/>
      <c r="D109" s="70"/>
      <c r="E109" s="6"/>
      <c r="F109" s="6"/>
      <c r="G109" s="6"/>
      <c r="H109" s="6"/>
      <c r="I109" s="6"/>
      <c r="J109" s="52"/>
    </row>
    <row r="110" spans="1:10" ht="14.25" x14ac:dyDescent="0.3">
      <c r="A110" s="50"/>
      <c r="B110" s="68"/>
      <c r="C110" s="69"/>
      <c r="D110" s="70"/>
      <c r="E110" s="6"/>
      <c r="F110" s="6"/>
      <c r="G110" s="6"/>
      <c r="H110" s="6"/>
      <c r="I110" s="6"/>
      <c r="J110" s="52"/>
    </row>
    <row r="111" spans="1:10" ht="14.25" x14ac:dyDescent="0.3">
      <c r="A111" s="50"/>
      <c r="B111" s="68"/>
      <c r="C111" s="69"/>
      <c r="D111" s="70"/>
      <c r="E111" s="6"/>
      <c r="F111" s="6"/>
      <c r="G111" s="6"/>
      <c r="H111" s="6"/>
      <c r="I111" s="6"/>
      <c r="J111" s="6"/>
    </row>
    <row r="112" spans="1:10" ht="14.25" x14ac:dyDescent="0.3">
      <c r="A112" s="50"/>
      <c r="B112" s="68"/>
      <c r="C112" s="69"/>
      <c r="D112" s="70"/>
      <c r="E112" s="6"/>
      <c r="F112" s="6"/>
      <c r="G112" s="6"/>
      <c r="H112" s="6"/>
      <c r="I112" s="6"/>
      <c r="J112" s="6"/>
    </row>
    <row r="113" spans="1:10" ht="14.25" x14ac:dyDescent="0.3">
      <c r="A113" s="50"/>
      <c r="B113" s="68"/>
      <c r="C113" s="69"/>
      <c r="D113" s="70"/>
      <c r="E113" s="6"/>
      <c r="F113" s="6"/>
      <c r="G113" s="6"/>
      <c r="H113" s="6"/>
      <c r="I113" s="6"/>
      <c r="J113" s="6"/>
    </row>
    <row r="114" spans="1:10" ht="14.25" x14ac:dyDescent="0.3">
      <c r="A114" s="50"/>
      <c r="B114" s="68"/>
      <c r="C114" s="69"/>
      <c r="D114" s="70"/>
      <c r="E114" s="6"/>
      <c r="F114" s="6"/>
      <c r="G114" s="6"/>
      <c r="H114" s="6"/>
      <c r="I114" s="6"/>
      <c r="J114" s="6"/>
    </row>
    <row r="115" spans="1:10" ht="14.25" x14ac:dyDescent="0.3">
      <c r="A115" s="50"/>
      <c r="B115" s="72" t="s">
        <v>177</v>
      </c>
      <c r="C115" s="97" t="s">
        <v>178</v>
      </c>
      <c r="D115" s="97"/>
      <c r="E115" s="97"/>
      <c r="F115" s="97"/>
      <c r="G115" s="6"/>
      <c r="H115" s="6"/>
      <c r="I115" s="6"/>
      <c r="J115" s="6"/>
    </row>
    <row r="116" spans="1:10" ht="14.25" x14ac:dyDescent="0.3">
      <c r="A116" s="50"/>
      <c r="B116" s="68"/>
      <c r="C116" s="69"/>
      <c r="D116" s="70"/>
      <c r="E116" s="6"/>
      <c r="F116" s="6"/>
      <c r="G116" s="6"/>
      <c r="H116" s="6"/>
      <c r="I116" s="6"/>
      <c r="J116" s="6"/>
    </row>
    <row r="117" spans="1:10" ht="14.25" x14ac:dyDescent="0.3">
      <c r="A117" s="50"/>
      <c r="B117" s="68" t="s">
        <v>182</v>
      </c>
      <c r="C117" s="73"/>
      <c r="D117" s="70"/>
      <c r="E117" s="50"/>
      <c r="F117" s="50"/>
      <c r="G117" s="50"/>
      <c r="H117" s="50"/>
      <c r="I117" s="50"/>
      <c r="J117" s="6"/>
    </row>
    <row r="118" spans="1:10" ht="14.25" x14ac:dyDescent="0.3">
      <c r="A118" s="50"/>
      <c r="B118" s="94" t="s">
        <v>183</v>
      </c>
      <c r="C118" s="93"/>
      <c r="D118" s="70"/>
      <c r="E118" s="50"/>
      <c r="F118" s="50"/>
      <c r="G118" s="50"/>
      <c r="H118" s="50"/>
      <c r="I118" s="50"/>
      <c r="J118" s="6"/>
    </row>
    <row r="119" spans="1:10" x14ac:dyDescent="0.2">
      <c r="B119" s="94"/>
    </row>
  </sheetData>
  <mergeCells count="6">
    <mergeCell ref="C104:F104"/>
    <mergeCell ref="C115:F115"/>
    <mergeCell ref="B1:I1"/>
    <mergeCell ref="B2:I2"/>
    <mergeCell ref="B3:I3"/>
    <mergeCell ref="A97:H97"/>
  </mergeCells>
  <hyperlinks>
    <hyperlink ref="B118" r:id="rId1" xr:uid="{D2BEFF60-187D-4660-94ED-11691BB73A39}"/>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2025-10-08T06:10:24Z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