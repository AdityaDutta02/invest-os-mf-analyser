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Overnight Fund" sheetId="1" r:id="rId1"/>
  </sheets>
  <definedNames>
    <definedName name="_xlnm._FilterDatabase" localSheetId="0" hidden="1">'JM Overnight Fund'!$A$1:$IQ$42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22" i="1" s="1"/>
  <c r="E17" i="1"/>
  <c r="E18" i="1" s="1"/>
  <c r="E20" i="1" s="1"/>
  <c r="E24" i="1" l="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<sst xmlns="http://schemas.openxmlformats.org/spreadsheetml/2006/main" count="66" uniqueCount="56">
  <si>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</si>
  <si>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</si>
  <si>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</si>
  <si>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</si>
  <si>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</si>
  <si>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</si>
  <si>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</si>
  <si>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</si>
  <si>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</si>
  <si>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</si>
  <si>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</si>
  <si>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</si>
  <si>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</si>
  <si>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</si>
  <si>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</si>
  <si>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</si>
  <si>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</si>
  <si>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</si>
  <si>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</si>
  <si>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</si>
  <si>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</si>
  <si>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</si>
  <si>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</si>
  <si>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</si>
  <si>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</si>
  <si>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</si>
  <si>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</si>
  <si>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</si>
  <si>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</si>
  <si>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</si>
  <si>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</si>
  <si>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</si>
  <si>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</si>
  <si>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</si>
  <si>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</si>
  <si>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</si>
  <si>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</si>
  <si>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</si>
  <si>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</si>
  <si>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</si>
  <si>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</si>
  <si>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</si>
  <si>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</si>
  <si>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</si>
  <si>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</si>
  <si>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</si>
  <si>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</si>
  <si>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</si>
  <si>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</si>
  <si>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</si>
  <si>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 (in days)</t>
  </si>
  <si>
    <t>Residual Maturity (in days)</t>
  </si>
  <si>
    <t xml:space="preserve">As on (Date) </t>
  </si>
  <si>
    <t>31.03.2024</t>
  </si>
  <si>
    <t xml:space="preserve">* in case of semi annual YTM,  it will be annualised </t>
  </si>
  <si>
    <t>Monthly Portfolio Statement for the period ended 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</si>
</sst>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78">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3" applyFont="1" applyAlignment="1">
      <alignment horizontal="left" wrapText="1"/>
    </xf>
    <xf numFmtId="165" fontId="3" fillId="0" borderId="0" xfId="1" applyNumberFormat="1" applyFont="1"/>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5" applyFont="1" applyBorder="1" applyAlignment="1">
      <alignment horizontal="left" vertical="top" wrapText="1"/>
    </xf>
    <xf numFmtId="0" fontId="5" fillId="0" borderId="0" xfId="3" applyFont="1" applyAlignment="1">
      <alignment horizontal="left" vertical="top" wrapText="1"/>
    </xf>
    <xf numFmtId="0" fontId="8" fillId="0" borderId="0" xfId="5" applyFont="1" applyBorder="1" applyAlignment="1">
      <alignment horizontal="lef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37</xdr:row>
      <xdr:rowOff>38100</xdr:rowOff>
    </xdr:from>
    <xdr:to>
      <xdr:col>0</xdr:col>
      <xdr:colOff>2809649</xdr:colOff>
      <xdr:row>43</xdr:row>
      <xdr:rowOff>104775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7429500"/>
          <a:ext cx="2133374"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419101</xdr:colOff>
      <xdr:row>37</xdr:row>
      <xdr:rowOff>47628</xdr:rowOff>
    </xdr:from>
    <xdr:to>
      <xdr:col>3</xdr:col>
      <xdr:colOff>457201</xdr:colOff>
      <xdr:row>43</xdr:row>
      <xdr:rowOff>66675</xdr:rowOff>
    </xdr:to>
    <xdr:pic>
      <xdr:nvPicPr>
        <xdr:cNvPr id="3"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95701" y="7439028"/>
          <a:ext cx="2095500" cy="1104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3"/>
  <sheetViews>
    <sheetView tabSelected="1" zoomScaleNormal="100" workbookViewId="0">
      <selection sqref="A1:H1"/>
    </sheetView>
  </sheetViews>
  <sheetFormatPr defaultRowHeight="12.75" x14ac:dyDescent="0.2"/>
  <cols>
    <col min="1" max="1" width="49.140625" style="58" customWidth="1"/>
    <col min="2" max="2" width="17.42578125" style="25" customWidth="1"/>
    <col min="3" max="3" width="13.42578125" style="26" customWidth="1"/>
    <col min="4" max="4" width="13.5703125" style="1" customWidth="1"/>
    <col min="5" max="5" width="11" style="1" customWidth="1"/>
    <col min="6" max="6" width="12.140625" style="1" customWidth="1"/>
    <col min="7" max="7" width="9.5703125" style="1" bestFit="1" customWidth="1"/>
    <col min="8" max="8" width="14.28515625" style="1" customWidth="1"/>
    <col min="9" max="16384" width="9.140625" style="1"/>
  </cols>
  <sheetData>
    <row r="1" spans="1:8" x14ac:dyDescent="0.2">
      <c r="A1" s="61" t="s">
        <v>0</v>
      </c>
      <c r="B1" s="61"/>
      <c r="C1" s="61"/>
      <c r="D1" s="61"/>
      <c r="E1" s="61"/>
      <c r="F1" s="61"/>
      <c r="G1" s="61"/>
      <c r="H1" s="61"/>
    </row>
    <row r="2" spans="1:8" x14ac:dyDescent="0.2">
      <c r="A2" s="62" t="s">
        <v>1</v>
      </c>
      <c r="B2" s="62"/>
      <c r="C2" s="62"/>
      <c r="D2" s="62"/>
      <c r="E2" s="62"/>
      <c r="F2" s="62"/>
      <c r="G2" s="62"/>
      <c r="H2" s="62"/>
    </row>
    <row r="3" spans="1:8" ht="12.75" customHeight="1" x14ac:dyDescent="0.2">
      <c r="A3" s="63" t="s">
        <v>55</v>
      </c>
      <c r="B3" s="63"/>
      <c r="C3" s="63"/>
      <c r="D3" s="63"/>
      <c r="E3" s="63"/>
      <c r="F3" s="63"/>
      <c r="G3" s="63"/>
      <c r="H3" s="63"/>
    </row>
    <row r="4" spans="1:8" s="2" customFormat="1" ht="25.5" x14ac:dyDescent="0.2">
      <c r="A4" s="59" t="s">
        <v>2</v>
      </c>
      <c r="B4" s="59" t="s">
        <v>3</v>
      </c>
      <c r="C4" s="60" t="s">
        <v>4</v>
      </c>
      <c r="D4" s="59" t="s">
        <v>5</v>
      </c>
      <c r="E4" s="59" t="s">
        <v>6</v>
      </c>
      <c r="F4" s="59" t="s">
        <v>7</v>
      </c>
      <c r="G4" s="59" t="s">
        <v>8</v>
      </c>
      <c r="H4" s="59"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7"/>
      <c r="G16" s="8"/>
      <c r="H16" s="9"/>
    </row>
    <row r="17" spans="1:8" s="10" customFormat="1" ht="14.25" x14ac:dyDescent="0.3">
      <c r="A17" s="15" t="s">
        <v>18</v>
      </c>
      <c r="B17" s="16"/>
      <c r="C17" s="17">
        <v>0</v>
      </c>
      <c r="D17" s="13">
        <v>31425.4208254</v>
      </c>
      <c r="E17" s="13">
        <f>(+D17/$D$24*100)</f>
        <v>99.781094004403442</v>
      </c>
      <c r="F17" s="13" t="s">
        <v>19</v>
      </c>
      <c r="G17" s="8">
        <v>7.0068999999999999</v>
      </c>
      <c r="H17" s="9"/>
    </row>
    <row r="18" spans="1:8" s="10" customFormat="1" ht="14.25" x14ac:dyDescent="0.3">
      <c r="A18" s="3" t="s">
        <v>20</v>
      </c>
      <c r="B18" s="4"/>
      <c r="C18" s="12"/>
      <c r="D18" s="6">
        <f>IF(ISERROR(SUM(D17:D17)),0,SUM(D17:D17))</f>
        <v>31425.4208254</v>
      </c>
      <c r="E18" s="6">
        <f>IF(ISERROR(SUM(E17:E17)),0,SUM(E17:E17))</f>
        <v>99.781094004403442</v>
      </c>
      <c r="F18" s="13"/>
      <c r="G18" s="8"/>
      <c r="H18" s="9"/>
    </row>
    <row r="19" spans="1:8" s="10" customFormat="1" ht="14.25" x14ac:dyDescent="0.3">
      <c r="A19" s="3"/>
      <c r="B19" s="4"/>
      <c r="C19" s="12"/>
      <c r="D19" s="6"/>
      <c r="E19" s="6"/>
      <c r="F19" s="7"/>
      <c r="G19" s="8"/>
      <c r="H19" s="9"/>
    </row>
    <row r="20" spans="1:8" s="10" customFormat="1" ht="14.25" x14ac:dyDescent="0.3">
      <c r="A20" s="3" t="s">
        <v>21</v>
      </c>
      <c r="B20" s="4"/>
      <c r="C20" s="12" t="s">
        <v>22</v>
      </c>
      <c r="D20" s="6">
        <f>+IF(ISERROR(#REF!),0,#REF!)+IF(ISERROR(D18),0,D18)+IF(ISERROR(#REF!),0,#REF!)+IF(ISERROR(#REF!),0,#REF!)+IF(ISERROR(#REF!),0,#REF!)+IF(ISERROR(#REF!),0,#REF!)+IF(ISERROR(#REF!),0,#REF!)+IF(ISERROR(#REF!),0,#REF!)+IF(ISERROR(#REF!),0,#REF!)+IF(ISERROR(#REF!),0,#REF!)+IF(ISERROR(#REF!),0,#REF!)</f>
        <v>31425.4208254</v>
      </c>
      <c r="E20" s="6">
        <f>+IF(ISERROR(#REF!),0,#REF!)+IF(ISERROR(E18),0,E18)+IF(ISERROR(#REF!),0,#REF!)+IF(ISERROR(#REF!),0,#REF!)+IF(ISERROR(#REF!),0,#REF!)+IF(ISERROR(#REF!),0,#REF!)+IF(ISERROR(#REF!),0,#REF!)+IF(ISERROR(#REF!),0,#REF!)+IF(ISERROR(#REF!),0,#REF!)+IF(ISERROR(#REF!),0,#REF!)+IF(ISERROR(#REF!),0,#REF!)</f>
        <v>99.781094004403442</v>
      </c>
      <c r="F20" s="6"/>
      <c r="G20" s="8"/>
      <c r="H20" s="9"/>
    </row>
    <row r="21" spans="1:8" s="10" customFormat="1" ht="14.25" x14ac:dyDescent="0.3">
      <c r="A21" s="3"/>
      <c r="B21" s="4"/>
      <c r="C21" s="12"/>
      <c r="D21" s="6"/>
      <c r="E21" s="6"/>
      <c r="F21" s="18"/>
      <c r="G21" s="19"/>
      <c r="H21" s="20"/>
    </row>
    <row r="22" spans="1:8" s="10" customFormat="1" ht="14.25" x14ac:dyDescent="0.3">
      <c r="A22" s="3" t="s">
        <v>23</v>
      </c>
      <c r="B22" s="4"/>
      <c r="C22" s="12"/>
      <c r="D22" s="6">
        <f>+D24-D20</f>
        <v>68.943050799996854</v>
      </c>
      <c r="E22" s="6">
        <f>D22/$D$24*100</f>
        <v>0.21890599559655335</v>
      </c>
      <c r="F22" s="18"/>
      <c r="G22" s="19"/>
      <c r="H22" s="20"/>
    </row>
    <row r="23" spans="1:8" s="10" customFormat="1" ht="14.25" x14ac:dyDescent="0.3">
      <c r="A23" s="3"/>
      <c r="B23" s="4"/>
      <c r="C23" s="12"/>
      <c r="D23" s="11"/>
      <c r="E23" s="11"/>
      <c r="F23" s="18"/>
      <c r="G23" s="19"/>
      <c r="H23" s="20"/>
    </row>
    <row r="24" spans="1:8" s="10" customFormat="1" ht="14.25" x14ac:dyDescent="0.3">
      <c r="A24" s="3" t="s">
        <v>24</v>
      </c>
      <c r="B24" s="4"/>
      <c r="C24" s="12"/>
      <c r="D24" s="6">
        <v>31494.363876199997</v>
      </c>
      <c r="E24" s="6">
        <f>+E20+E22</f>
        <v>100</v>
      </c>
      <c r="F24" s="18"/>
      <c r="G24" s="19"/>
      <c r="H24" s="20"/>
    </row>
    <row r="25" spans="1:8" s="10" customFormat="1" ht="14.25" x14ac:dyDescent="0.3">
      <c r="A25" s="21"/>
      <c r="B25" s="22"/>
      <c r="C25" s="23"/>
      <c r="D25" s="24"/>
      <c r="E25" s="24"/>
      <c r="F25" s="18"/>
      <c r="G25" s="19"/>
      <c r="H25" s="20"/>
    </row>
    <row r="26" spans="1:8" ht="14.25" x14ac:dyDescent="0.3">
      <c r="A26" s="21"/>
      <c r="B26" s="22"/>
      <c r="C26" s="23"/>
      <c r="D26" s="24"/>
      <c r="E26" s="24"/>
      <c r="F26" s="18"/>
      <c r="G26" s="19"/>
      <c r="H26" s="20"/>
    </row>
    <row r="27" spans="1:8" ht="13.5" x14ac:dyDescent="0.2">
      <c r="A27" s="64" t="s">
        <v>25</v>
      </c>
      <c r="B27" s="64"/>
      <c r="C27" s="64"/>
      <c r="D27" s="64"/>
      <c r="E27" s="64"/>
      <c r="F27" s="64"/>
      <c r="G27" s="64"/>
      <c r="H27" s="64"/>
    </row>
    <row r="28" spans="1:8" ht="26.25" customHeight="1" x14ac:dyDescent="0.2">
      <c r="A28" s="65" t="s">
        <v>26</v>
      </c>
      <c r="B28" s="65"/>
      <c r="C28" s="65"/>
      <c r="D28" s="65"/>
      <c r="E28" s="65"/>
      <c r="F28" s="65"/>
      <c r="G28" s="65"/>
      <c r="H28" s="65"/>
    </row>
    <row r="29" spans="1:8" ht="13.5" x14ac:dyDescent="0.2">
      <c r="A29" s="68" t="s">
        <v>27</v>
      </c>
      <c r="B29" s="68"/>
      <c r="C29" s="68"/>
      <c r="D29" s="68"/>
      <c r="E29" s="68"/>
      <c r="F29" s="68"/>
      <c r="G29" s="69"/>
      <c r="H29" s="69"/>
    </row>
    <row r="30" spans="1:8" ht="51.75" customHeight="1" x14ac:dyDescent="0.2">
      <c r="A30" s="70" t="s">
        <v>28</v>
      </c>
      <c r="B30" s="70"/>
      <c r="C30" s="70"/>
      <c r="D30" s="70"/>
      <c r="E30" s="70"/>
      <c r="F30" s="70"/>
      <c r="G30" s="69"/>
      <c r="H30" s="69"/>
    </row>
    <row r="31" spans="1:8" ht="14.25" x14ac:dyDescent="0.3">
      <c r="A31" s="27"/>
      <c r="B31" s="28"/>
      <c r="C31" s="29"/>
      <c r="D31" s="30"/>
      <c r="E31" s="31"/>
      <c r="F31" s="20"/>
      <c r="G31" s="32"/>
      <c r="H31" s="32"/>
    </row>
    <row r="32" spans="1:8" ht="14.25" x14ac:dyDescent="0.3">
      <c r="A32" s="33" t="s">
        <v>29</v>
      </c>
      <c r="B32" s="34"/>
      <c r="C32" s="34"/>
      <c r="D32" s="71"/>
      <c r="E32" s="71"/>
      <c r="F32" s="20"/>
      <c r="G32" s="32"/>
      <c r="H32" s="32"/>
    </row>
    <row r="33" spans="1:8" ht="14.25" x14ac:dyDescent="0.3">
      <c r="A33" s="35" t="s">
        <v>30</v>
      </c>
      <c r="B33" s="34"/>
      <c r="C33" s="34"/>
      <c r="D33" s="34"/>
      <c r="E33" s="20"/>
      <c r="F33" s="20"/>
      <c r="G33" s="20"/>
      <c r="H33" s="20"/>
    </row>
    <row r="34" spans="1:8" ht="14.25" x14ac:dyDescent="0.3">
      <c r="A34" s="35" t="s">
        <v>31</v>
      </c>
      <c r="B34" s="34"/>
      <c r="C34" s="34"/>
      <c r="D34" s="34"/>
      <c r="E34" s="20"/>
      <c r="F34" s="20"/>
      <c r="G34" s="20"/>
      <c r="H34" s="20"/>
    </row>
    <row r="35" spans="1:8" ht="14.25" x14ac:dyDescent="0.3">
      <c r="A35" s="35" t="s">
        <v>32</v>
      </c>
      <c r="B35" s="34"/>
      <c r="C35" s="34"/>
      <c r="D35" s="34"/>
      <c r="E35" s="20"/>
      <c r="F35" s="20"/>
      <c r="G35" s="20"/>
      <c r="H35" s="20"/>
    </row>
    <row r="36" spans="1:8" ht="14.25" x14ac:dyDescent="0.3">
      <c r="A36" s="35"/>
      <c r="B36" s="34"/>
      <c r="C36" s="34"/>
      <c r="D36" s="36"/>
      <c r="E36" s="36"/>
      <c r="F36" s="20"/>
      <c r="G36" s="20"/>
      <c r="H36" s="20"/>
    </row>
    <row r="37" spans="1:8" ht="14.25" x14ac:dyDescent="0.3">
      <c r="A37" s="37" t="s">
        <v>33</v>
      </c>
      <c r="B37" s="72" t="s">
        <v>34</v>
      </c>
      <c r="C37" s="72"/>
      <c r="D37" s="72"/>
      <c r="E37" s="20"/>
      <c r="F37" s="37"/>
      <c r="G37" s="20"/>
      <c r="H37" s="20"/>
    </row>
    <row r="38" spans="1:8" ht="14.25" x14ac:dyDescent="0.3">
      <c r="A38" s="38"/>
      <c r="B38" s="34"/>
      <c r="C38" s="34"/>
      <c r="D38" s="34"/>
      <c r="E38" s="20"/>
      <c r="F38" s="20"/>
      <c r="G38" s="20"/>
      <c r="H38" s="20"/>
    </row>
    <row r="39" spans="1:8" ht="14.25" x14ac:dyDescent="0.3">
      <c r="A39" s="34"/>
      <c r="B39" s="34"/>
      <c r="C39" s="34"/>
      <c r="D39" s="34"/>
      <c r="E39" s="20"/>
      <c r="F39" s="20"/>
      <c r="G39" s="20"/>
      <c r="H39" s="20"/>
    </row>
    <row r="40" spans="1:8" ht="14.25" x14ac:dyDescent="0.3">
      <c r="A40" s="39"/>
      <c r="B40" s="40"/>
      <c r="C40" s="41"/>
      <c r="D40" s="20"/>
      <c r="E40" s="20"/>
      <c r="F40" s="20"/>
      <c r="G40" s="20"/>
      <c r="H40" s="20"/>
    </row>
    <row r="41" spans="1:8" ht="14.25" x14ac:dyDescent="0.3">
      <c r="A41" s="39"/>
      <c r="B41" s="40"/>
      <c r="C41" s="41"/>
      <c r="D41" s="20"/>
      <c r="E41" s="20"/>
      <c r="F41" s="20"/>
      <c r="G41" s="20"/>
      <c r="H41" s="20"/>
    </row>
    <row r="42" spans="1:8" ht="14.25" x14ac:dyDescent="0.3">
      <c r="A42" s="39"/>
      <c r="B42" s="40"/>
      <c r="C42" s="41"/>
      <c r="D42" s="20"/>
      <c r="E42" s="20"/>
      <c r="F42" s="20"/>
      <c r="G42" s="20"/>
      <c r="H42" s="20"/>
    </row>
    <row r="43" spans="1:8" ht="14.25" x14ac:dyDescent="0.3">
      <c r="A43" s="39"/>
      <c r="B43" s="40"/>
      <c r="C43" s="41"/>
      <c r="D43" s="20"/>
      <c r="E43" s="20"/>
      <c r="F43" s="20"/>
      <c r="G43" s="20"/>
      <c r="H43" s="20"/>
    </row>
    <row r="44" spans="1:8" ht="14.25" x14ac:dyDescent="0.3">
      <c r="A44" s="39"/>
      <c r="B44" s="40"/>
      <c r="C44" s="41"/>
      <c r="D44" s="20"/>
      <c r="E44" s="20"/>
      <c r="F44" s="20"/>
      <c r="G44" s="20"/>
      <c r="H44" s="20"/>
    </row>
    <row r="45" spans="1:8" ht="15" thickBot="1" x14ac:dyDescent="0.35">
      <c r="A45" s="39"/>
      <c r="B45" s="40"/>
      <c r="C45" s="41"/>
      <c r="D45" s="20"/>
      <c r="E45" s="20"/>
      <c r="F45" s="20"/>
      <c r="G45" s="20"/>
      <c r="H45" s="20"/>
    </row>
    <row r="46" spans="1:8" ht="15" thickBot="1" x14ac:dyDescent="0.35">
      <c r="A46" s="73" t="s">
        <v>35</v>
      </c>
      <c r="B46" s="74"/>
      <c r="C46" s="74"/>
      <c r="D46" s="75"/>
      <c r="E46" s="20"/>
      <c r="F46" s="20"/>
      <c r="G46" s="20"/>
      <c r="H46" s="20"/>
    </row>
    <row r="47" spans="1:8" ht="15" thickBot="1" x14ac:dyDescent="0.35">
      <c r="A47" s="42" t="s">
        <v>36</v>
      </c>
      <c r="B47" s="76" t="s">
        <v>37</v>
      </c>
      <c r="C47" s="76" t="s">
        <v>38</v>
      </c>
      <c r="D47" s="76" t="s">
        <v>39</v>
      </c>
      <c r="E47" s="20"/>
      <c r="F47" s="20"/>
      <c r="G47" s="20"/>
      <c r="H47" s="20"/>
    </row>
    <row r="48" spans="1:8" ht="15" thickBot="1" x14ac:dyDescent="0.35">
      <c r="A48" s="42" t="s">
        <v>40</v>
      </c>
      <c r="B48" s="77"/>
      <c r="C48" s="77"/>
      <c r="D48" s="77"/>
      <c r="E48" s="20"/>
      <c r="F48" s="20"/>
      <c r="G48" s="20"/>
      <c r="H48" s="20"/>
    </row>
    <row r="49" spans="1:8" ht="15" thickBot="1" x14ac:dyDescent="0.35">
      <c r="A49" s="43" t="s">
        <v>41</v>
      </c>
      <c r="B49" s="44" t="s">
        <v>42</v>
      </c>
      <c r="C49" s="45"/>
      <c r="D49" s="45"/>
      <c r="E49" s="20"/>
      <c r="F49" s="20"/>
      <c r="G49" s="20"/>
      <c r="H49" s="20"/>
    </row>
    <row r="50" spans="1:8" ht="15" thickBot="1" x14ac:dyDescent="0.35">
      <c r="A50" s="43" t="s">
        <v>43</v>
      </c>
      <c r="B50" s="45"/>
      <c r="C50" s="45"/>
      <c r="D50" s="45"/>
      <c r="E50" s="20"/>
      <c r="F50" s="20"/>
      <c r="G50" s="20"/>
      <c r="H50" s="20"/>
    </row>
    <row r="51" spans="1:8" ht="15" thickBot="1" x14ac:dyDescent="0.35">
      <c r="A51" s="43" t="s">
        <v>44</v>
      </c>
      <c r="B51" s="45"/>
      <c r="C51" s="45"/>
      <c r="D51" s="45"/>
      <c r="E51" s="20"/>
      <c r="F51" s="20"/>
      <c r="G51" s="20"/>
      <c r="H51" s="20"/>
    </row>
    <row r="52" spans="1:8" ht="14.25" x14ac:dyDescent="0.3">
      <c r="A52" s="39"/>
      <c r="B52" s="40"/>
      <c r="C52" s="41"/>
      <c r="D52" s="20"/>
      <c r="E52" s="20"/>
      <c r="F52" s="20"/>
      <c r="G52" s="20"/>
      <c r="H52" s="20"/>
    </row>
    <row r="53" spans="1:8" ht="14.25" x14ac:dyDescent="0.3">
      <c r="A53" s="66" t="s">
        <v>45</v>
      </c>
      <c r="B53" s="67"/>
      <c r="C53" s="20"/>
      <c r="D53" s="20"/>
      <c r="E53" s="20"/>
      <c r="F53" s="20"/>
      <c r="G53" s="20"/>
      <c r="H53" s="20"/>
    </row>
    <row r="54" spans="1:8" ht="14.25" x14ac:dyDescent="0.3">
      <c r="A54" s="46" t="s">
        <v>46</v>
      </c>
      <c r="B54" s="47" t="s">
        <v>47</v>
      </c>
      <c r="C54" s="41"/>
      <c r="D54" s="20"/>
      <c r="E54" s="20"/>
      <c r="F54" s="20"/>
      <c r="G54" s="20"/>
      <c r="H54" s="20"/>
    </row>
    <row r="55" spans="1:8" ht="14.25" x14ac:dyDescent="0.3">
      <c r="A55" s="46" t="s">
        <v>48</v>
      </c>
      <c r="B55" s="48"/>
      <c r="C55" s="41"/>
      <c r="D55" s="20"/>
      <c r="E55" s="20"/>
      <c r="F55" s="20"/>
      <c r="G55" s="20"/>
      <c r="H55" s="20"/>
    </row>
    <row r="56" spans="1:8" ht="14.25" x14ac:dyDescent="0.3">
      <c r="A56" s="46"/>
      <c r="B56" s="48" t="s">
        <v>22</v>
      </c>
      <c r="C56" s="41"/>
      <c r="D56" s="20"/>
      <c r="E56" s="20"/>
      <c r="F56" s="20"/>
      <c r="G56" s="20"/>
      <c r="H56" s="20"/>
    </row>
    <row r="57" spans="1:8" ht="14.25" x14ac:dyDescent="0.3">
      <c r="A57" s="46" t="s">
        <v>49</v>
      </c>
      <c r="B57" s="49">
        <v>7.0062331188169763E-2</v>
      </c>
      <c r="C57" s="41"/>
      <c r="D57" s="20"/>
      <c r="E57" s="20"/>
      <c r="F57" s="20"/>
      <c r="G57" s="20"/>
      <c r="H57" s="20"/>
    </row>
    <row r="58" spans="1:8" ht="14.25" x14ac:dyDescent="0.3">
      <c r="A58" s="46" t="s">
        <v>22</v>
      </c>
      <c r="B58" s="50"/>
      <c r="C58" s="41"/>
      <c r="D58" s="20"/>
      <c r="E58" s="20"/>
      <c r="F58" s="20"/>
      <c r="G58" s="20"/>
      <c r="H58" s="20"/>
    </row>
    <row r="59" spans="1:8" ht="14.25" x14ac:dyDescent="0.3">
      <c r="A59" s="46" t="s">
        <v>50</v>
      </c>
      <c r="B59" s="51">
        <v>2.0074999999999998</v>
      </c>
      <c r="C59" s="41"/>
      <c r="D59" s="20"/>
      <c r="E59" s="20"/>
      <c r="F59" s="20"/>
      <c r="G59" s="52"/>
      <c r="H59" s="20"/>
    </row>
    <row r="60" spans="1:8" ht="14.25" x14ac:dyDescent="0.3">
      <c r="A60" s="46" t="s">
        <v>51</v>
      </c>
      <c r="B60" s="51">
        <v>2.0074999999999998</v>
      </c>
      <c r="C60" s="41"/>
      <c r="D60" s="52"/>
      <c r="E60" s="20"/>
      <c r="F60" s="53"/>
      <c r="G60" s="20"/>
      <c r="H60" s="20"/>
    </row>
    <row r="61" spans="1:8" ht="14.25" x14ac:dyDescent="0.3">
      <c r="A61" s="46" t="s">
        <v>22</v>
      </c>
      <c r="B61" s="54"/>
      <c r="C61" s="41"/>
      <c r="D61" s="53"/>
      <c r="E61" s="20"/>
      <c r="F61" s="53"/>
      <c r="G61" s="52"/>
      <c r="H61" s="20"/>
    </row>
    <row r="62" spans="1:8" ht="14.25" x14ac:dyDescent="0.3">
      <c r="A62" s="46" t="s">
        <v>52</v>
      </c>
      <c r="B62" s="55" t="s">
        <v>53</v>
      </c>
      <c r="C62" s="41"/>
      <c r="D62" s="20"/>
      <c r="E62" s="20"/>
      <c r="F62" s="53"/>
      <c r="G62" s="20"/>
      <c r="H62" s="20"/>
    </row>
    <row r="63" spans="1:8" ht="14.25" x14ac:dyDescent="0.3">
      <c r="A63" s="56" t="s">
        <v>54</v>
      </c>
      <c r="B63" s="57"/>
      <c r="C63" s="41"/>
      <c r="D63" s="20"/>
      <c r="E63" s="20"/>
      <c r="F63" s="53"/>
      <c r="G63" s="20"/>
      <c r="H63" s="20"/>
    </row>
  </sheetData>
  <mergeCells count="14">
    <mergeCell ref="A53:B53"/>
    <mergeCell ref="A29:H29"/>
    <mergeCell ref="A30:H30"/>
    <mergeCell ref="D32:E32"/>
    <mergeCell ref="B37:D37"/>
    <mergeCell ref="A46:D46"/>
    <mergeCell ref="B47:B48"/>
    <mergeCell ref="C47:C48"/>
    <mergeCell ref="D47:D48"/>
    <mergeCell ref="A1:H1"/>
    <mergeCell ref="A2:H2"/>
    <mergeCell ref="A3:H3"/>
    <mergeCell ref="A27:H27"/>
    <mergeCell ref="A28:H2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2024-04-01T12:47:32Z</dcterms:created>
  <dcterms:modified xsi:type="dcterms:W3CDTF">2024-04-03T12:46:03Z</dcterms:modified>
</cp:coreProperties>
</file>